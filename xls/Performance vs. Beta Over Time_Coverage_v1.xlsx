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state-my.sharepoint.com/personal/mbra_psclp_net/Documents/Cowork (MB)/7. Visual Studio/Performance-v-BETA/xls/"/>
    </mc:Choice>
  </mc:AlternateContent>
  <xr:revisionPtr revIDLastSave="16649" documentId="13_ncr:1_{756EC400-35F1-42B7-BBC2-12AF89925D49}" xr6:coauthVersionLast="47" xr6:coauthVersionMax="47" xr10:uidLastSave="{9BC5BCE8-6BEE-427E-A777-45D77BFDE4AF}"/>
  <bookViews>
    <workbookView xWindow="-120" yWindow="-120" windowWidth="51840" windowHeight="21120" firstSheet="1" activeTab="1" xr2:uid="{9A0942F6-C04D-4674-9FBA-C89527D61DC2}"/>
  </bookViews>
  <sheets>
    <sheet name="__FDSCACHE__" sheetId="2" state="veryHidden" r:id="rId1"/>
    <sheet name="WCC" sheetId="5" r:id="rId2"/>
  </sheets>
  <definedNames>
    <definedName name="MLNK076abed6b3c84f7ebf219ca7aa29e159" hidden="1">#REF!</definedName>
    <definedName name="MLNK0b58962b1b7a4328827df906c4feb14e" hidden="1">#REF!</definedName>
    <definedName name="MLNK129f0b34cdce462787151a8b4ea161fb" hidden="1">#REF!</definedName>
    <definedName name="MLNK1562f22242a34c68a8690b8ee9818b23" hidden="1">#REF!</definedName>
    <definedName name="MLNK15e782c34dbe490ea7cdfd5fd01b7495" localSheetId="1" hidden="1">WCC!$1:$1048576</definedName>
    <definedName name="MLNK15e782c34dbe490ea7cdfd5fd01b7495" hidden="1">#REF!</definedName>
    <definedName name="MLNK15e9fccb2bc64971975ac24cc7d5e44b" hidden="1">#REF!</definedName>
    <definedName name="MLNK1b92abcb2f2e4dbe9e8d5435b1f1dda2" hidden="1">#REF!</definedName>
    <definedName name="MLNK1c00db5337f54d0ca5a02a9a38c1f430" hidden="1">#REF!</definedName>
    <definedName name="MLNK23bbfdf4d35f4533968274fabae368fb" hidden="1">#REF!</definedName>
    <definedName name="MLNK28e38757d3034778a80097e5817dd1b5" hidden="1">#REF!</definedName>
    <definedName name="MLNK2a52885e55c64702b1f9564c2f4e3c01" hidden="1">WCC!$1:$1048576</definedName>
    <definedName name="MLNK2a75b0b0871e49daaf1018e06eaea303" hidden="1">#REF!</definedName>
    <definedName name="MLNK3167323d7675441cbbab83ac34741bf9" hidden="1">#REF!</definedName>
    <definedName name="MLNK342c84e1893c4f8697351836e590dcd0" hidden="1">#REF!</definedName>
    <definedName name="MLNK3674dd0aaf5a425cbfca781cf1804b3f" hidden="1">#REF!</definedName>
    <definedName name="MLNK380aa2041e3641d48299435ea2d68ed0" hidden="1">#REF!</definedName>
    <definedName name="MLNK3a5adf0d1f3b44c38c84eba8a913c5a6" hidden="1">#REF!</definedName>
    <definedName name="MLNK3d308ddb7e6b42f7bdab8dc4f88de342" hidden="1">#REF!</definedName>
    <definedName name="MLNK4312b527fd344e2a9c1301065160a207" hidden="1">#REF!</definedName>
    <definedName name="MLNK51cae6022e4044bb8d6939833111631e" hidden="1">#REF!</definedName>
    <definedName name="MLNK5940666281b645139cf26524a3392f19" hidden="1">#REF!</definedName>
    <definedName name="MLNK5dffe15beb6f4c74b9b8c4f7673cda64" hidden="1">#REF!</definedName>
    <definedName name="MLNK6435f12d0ca648239304c4d2cc05ab33" hidden="1">#REF!</definedName>
    <definedName name="MLNK77267f7695814ad480aa2e726b2f1810" localSheetId="1" hidden="1">WCC!$1:$1048576</definedName>
    <definedName name="MLNK77267f7695814ad480aa2e726b2f1810" hidden="1">#REF!</definedName>
    <definedName name="MLNK7784286fc37a4b9193772dc0e20db9ae" hidden="1">#REF!</definedName>
    <definedName name="MLNK7a5c2c0c5e4840fe8f5f59a85d26a165" hidden="1">WCC!$AS$4:$BK$35</definedName>
    <definedName name="MLNK829be5316a4b431ab754db614c828bc3" hidden="1">#REF!</definedName>
    <definedName name="MLNK829da9d90de848e5a71a4af599af75bc" hidden="1">#REF!</definedName>
    <definedName name="MLNK83e6e8dbc88e4a1db5cb80a8c686296a" hidden="1">WCC!$1:$1048576</definedName>
    <definedName name="MLNK866d37bd8f1d4a91a0a4014268b4d3e4" hidden="1">#REF!</definedName>
    <definedName name="MLNK8751ab6945c741cfbd3fc57cd2bd14f9" hidden="1">#REF!</definedName>
    <definedName name="MLNK8d7045e4c2fa48f0a8207b8d1c5050fd" hidden="1">#REF!</definedName>
    <definedName name="MLNK9421988591694927b749f3fc8a70a54e" localSheetId="1" hidden="1">WCC!$AS$4:$BK$35</definedName>
    <definedName name="MLNK9421988591694927b749f3fc8a70a54e" hidden="1">#REF!</definedName>
    <definedName name="MLNK9be86e77cf0742e399d55705ef8e0101" hidden="1">#REF!</definedName>
    <definedName name="MLNK9d963ffc6e4645ef9e5349891494e65c" hidden="1">#REF!</definedName>
    <definedName name="MLNK9e45aac24d5b491b8efc3ee1fa6fad97" hidden="1">#REF!</definedName>
    <definedName name="MLNKa1d3b26f708241328c448f10add0d601" hidden="1">#REF!</definedName>
    <definedName name="MLNKaed7c9b60bea43b9b9181c4a8feafe6e" hidden="1">#REF!</definedName>
    <definedName name="MLNKafe9de0063094b2e86dcc6b81ea6df08" hidden="1">#REF!</definedName>
    <definedName name="MLNKb2050519741d465e9d8d191ff2e8eb5f" hidden="1">#REF!</definedName>
    <definedName name="MLNKb881917ff9dd411ca2185c57fa2f3470" hidden="1">#REF!</definedName>
    <definedName name="MLNKb9a702cd1de048b6b3c18fe046b5ae2e" hidden="1">#REF!</definedName>
    <definedName name="MLNKbed25160da8d47f39ed3f3277888481f" hidden="1">#REF!</definedName>
    <definedName name="MLNKc5af124033ef49c192c18fbd82ea94bb" hidden="1">#REF!</definedName>
    <definedName name="MLNKc61d80b7af8d4dcaad38f7ab0163e82c" hidden="1">#REF!</definedName>
    <definedName name="MLNKc74888a40481468a8d5e1b980e8bc4c0" hidden="1">#REF!</definedName>
    <definedName name="MLNKc9d5aed13609407d8c35de66a849920b" hidden="1">#REF!</definedName>
    <definedName name="MLNKccafee14796f4a4f9e207d71f816360e" hidden="1">#REF!</definedName>
    <definedName name="MLNKd351de3e0f0d4afea615c9f93156935d" hidden="1">#REF!</definedName>
    <definedName name="MLNKd53c69d91fe447198106f80070ab74c2" hidden="1">#REF!</definedName>
    <definedName name="MLNKdbee2c67aab842c8a460fca5721cf40d" hidden="1">#REF!</definedName>
    <definedName name="MLNKeec4ca156cce4a0a95da7bf5b4dd4bf4" hidden="1">#REF!</definedName>
    <definedName name="MLNKfa54ff28316042e59f497f5072165d7f" hidden="1">#REF!</definedName>
    <definedName name="MLNKfa6f46c341de413f93a52995b51e743d" hidden="1">#REF!</definedName>
    <definedName name="Tegus_functions_Workbook_ID">"c56816c8-4f30-4347-aafa-e68b59574d35"</definedName>
  </definedNames>
  <calcPr calcId="191029" calcMode="autoNoTable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73" i="5" l="1"/>
  <c r="AH773" i="5" l="1"/>
  <c r="AI773" i="5"/>
  <c r="AK773" i="5"/>
  <c r="AJ773" i="5"/>
  <c r="AL773" i="5"/>
  <c r="AG772" i="5"/>
  <c r="AL772" i="5" l="1"/>
  <c r="AI772" i="5"/>
  <c r="AH772" i="5"/>
  <c r="AJ772" i="5"/>
  <c r="AK772" i="5"/>
  <c r="E7" i="5" l="1" a="1"/>
  <c r="E7" i="5" s="1"/>
  <c r="E6" i="5" a="1"/>
  <c r="E6" i="5" s="1"/>
  <c r="E5" i="5"/>
  <c r="E4" i="5" s="1"/>
  <c r="F772" i="5" a="1"/>
  <c r="F773" i="5" a="1"/>
  <c r="D21" i="5" a="1"/>
  <c r="S772" i="5" a="1"/>
  <c r="S773" i="5" a="1"/>
  <c r="E8" i="5" a="1"/>
  <c r="F773" i="5" l="1"/>
  <c r="F772" i="5"/>
  <c r="D21" i="5"/>
  <c r="AG21" i="5" s="1"/>
  <c r="AG771" i="5"/>
  <c r="AG770" i="5"/>
  <c r="AG769" i="5"/>
  <c r="AG768" i="5"/>
  <c r="E8" i="5"/>
  <c r="S773" i="5"/>
  <c r="S772" i="5"/>
  <c r="AG767" i="5"/>
  <c r="AG766" i="5"/>
  <c r="AG765" i="5"/>
  <c r="AG764" i="5"/>
  <c r="AG763" i="5"/>
  <c r="AG762" i="5"/>
  <c r="AG761" i="5"/>
  <c r="AG760" i="5"/>
  <c r="AG759" i="5"/>
  <c r="AG758" i="5"/>
  <c r="AG757" i="5"/>
  <c r="AG756" i="5"/>
  <c r="AG755" i="5"/>
  <c r="AG754" i="5"/>
  <c r="AG753" i="5"/>
  <c r="AG752" i="5"/>
  <c r="AG751" i="5"/>
  <c r="AG750" i="5"/>
  <c r="AG749" i="5"/>
  <c r="AG748" i="5"/>
  <c r="AG747" i="5"/>
  <c r="AG746" i="5"/>
  <c r="AG745" i="5"/>
  <c r="AG744" i="5"/>
  <c r="AG743" i="5"/>
  <c r="AG742" i="5"/>
  <c r="AG741" i="5"/>
  <c r="AG740" i="5"/>
  <c r="AG739" i="5"/>
  <c r="AG738" i="5"/>
  <c r="AG737" i="5"/>
  <c r="AG736" i="5"/>
  <c r="AG735" i="5"/>
  <c r="AG734" i="5"/>
  <c r="AG733" i="5"/>
  <c r="AG732" i="5"/>
  <c r="AG731" i="5"/>
  <c r="AG730" i="5"/>
  <c r="AG729" i="5"/>
  <c r="AG728" i="5"/>
  <c r="AG727" i="5"/>
  <c r="AG726" i="5"/>
  <c r="AG725" i="5"/>
  <c r="AG724" i="5"/>
  <c r="AG723" i="5"/>
  <c r="AG722" i="5"/>
  <c r="AG721" i="5"/>
  <c r="AG720" i="5"/>
  <c r="AG719" i="5"/>
  <c r="AG718" i="5"/>
  <c r="AG717" i="5"/>
  <c r="AG716" i="5"/>
  <c r="AG715" i="5"/>
  <c r="AG714" i="5"/>
  <c r="AG713" i="5"/>
  <c r="AG712" i="5"/>
  <c r="AG711" i="5"/>
  <c r="AG710" i="5"/>
  <c r="AG709" i="5"/>
  <c r="AG708" i="5"/>
  <c r="AG707" i="5"/>
  <c r="AG706" i="5"/>
  <c r="AG705" i="5"/>
  <c r="AG704" i="5"/>
  <c r="AG703" i="5"/>
  <c r="AG702" i="5"/>
  <c r="AG701" i="5"/>
  <c r="AG700" i="5"/>
  <c r="AG699" i="5"/>
  <c r="AG698" i="5"/>
  <c r="AG697" i="5"/>
  <c r="AG696" i="5"/>
  <c r="AG695" i="5"/>
  <c r="AG694" i="5"/>
  <c r="AG693" i="5"/>
  <c r="AG692" i="5"/>
  <c r="AG691" i="5"/>
  <c r="AG690" i="5"/>
  <c r="AG689" i="5"/>
  <c r="AG688" i="5"/>
  <c r="AG687" i="5"/>
  <c r="AG686" i="5"/>
  <c r="AG685" i="5"/>
  <c r="AG684" i="5"/>
  <c r="AG683" i="5"/>
  <c r="AG682" i="5"/>
  <c r="AG681" i="5"/>
  <c r="AG680" i="5"/>
  <c r="AG679" i="5"/>
  <c r="AG678" i="5"/>
  <c r="AG677" i="5"/>
  <c r="AG676" i="5"/>
  <c r="AG675" i="5"/>
  <c r="AG674" i="5"/>
  <c r="AG673" i="5"/>
  <c r="AG672" i="5"/>
  <c r="AG671" i="5"/>
  <c r="AG670" i="5"/>
  <c r="AG669" i="5"/>
  <c r="AG668" i="5"/>
  <c r="AG667" i="5"/>
  <c r="AG666" i="5"/>
  <c r="AG665" i="5"/>
  <c r="AG664" i="5"/>
  <c r="AG663" i="5"/>
  <c r="AG662" i="5"/>
  <c r="AG661" i="5"/>
  <c r="AG660" i="5"/>
  <c r="AG659" i="5"/>
  <c r="AG658" i="5"/>
  <c r="AG657" i="5"/>
  <c r="AG656" i="5"/>
  <c r="AG655" i="5"/>
  <c r="AG654" i="5"/>
  <c r="AG653" i="5"/>
  <c r="AG652" i="5"/>
  <c r="AG651" i="5"/>
  <c r="AG650" i="5"/>
  <c r="AG649" i="5"/>
  <c r="AG648" i="5"/>
  <c r="AG647" i="5"/>
  <c r="AG646" i="5"/>
  <c r="AG645" i="5"/>
  <c r="AG644" i="5"/>
  <c r="AG643" i="5"/>
  <c r="AG642" i="5"/>
  <c r="AG641" i="5"/>
  <c r="AG640" i="5"/>
  <c r="AG639" i="5"/>
  <c r="AG638" i="5"/>
  <c r="AG637" i="5"/>
  <c r="AG636" i="5"/>
  <c r="AG635" i="5"/>
  <c r="AG634" i="5"/>
  <c r="AG633" i="5"/>
  <c r="AG632" i="5"/>
  <c r="AG631" i="5"/>
  <c r="AG630" i="5"/>
  <c r="AG629" i="5"/>
  <c r="AG628" i="5"/>
  <c r="AG627" i="5"/>
  <c r="AG626" i="5"/>
  <c r="AG625" i="5"/>
  <c r="AG624" i="5"/>
  <c r="AG623" i="5"/>
  <c r="AG622" i="5"/>
  <c r="AG621" i="5"/>
  <c r="AG620" i="5"/>
  <c r="AG619" i="5"/>
  <c r="AG618" i="5"/>
  <c r="AG617" i="5"/>
  <c r="AG616" i="5"/>
  <c r="AG615" i="5"/>
  <c r="AG614" i="5"/>
  <c r="AG613" i="5"/>
  <c r="AG612" i="5"/>
  <c r="AG611" i="5"/>
  <c r="AG610" i="5"/>
  <c r="AG609" i="5"/>
  <c r="AG608" i="5"/>
  <c r="AG607" i="5"/>
  <c r="AG606" i="5"/>
  <c r="AG605" i="5"/>
  <c r="AG604" i="5"/>
  <c r="AG603" i="5"/>
  <c r="AG602" i="5"/>
  <c r="AG601" i="5"/>
  <c r="AG600" i="5"/>
  <c r="AG599" i="5"/>
  <c r="AG598" i="5"/>
  <c r="AG597" i="5"/>
  <c r="AG596" i="5"/>
  <c r="AG595" i="5"/>
  <c r="AG594" i="5"/>
  <c r="AG593" i="5"/>
  <c r="AG592" i="5"/>
  <c r="AG591" i="5"/>
  <c r="AG590" i="5"/>
  <c r="AG589" i="5"/>
  <c r="AG588" i="5"/>
  <c r="AG587" i="5"/>
  <c r="AG586" i="5"/>
  <c r="AG585" i="5"/>
  <c r="AG584" i="5"/>
  <c r="AG583" i="5"/>
  <c r="AG582" i="5"/>
  <c r="AG581" i="5"/>
  <c r="AG580" i="5"/>
  <c r="AG579" i="5"/>
  <c r="AG578" i="5"/>
  <c r="AG577" i="5"/>
  <c r="AG576" i="5"/>
  <c r="AG575" i="5"/>
  <c r="AG574" i="5"/>
  <c r="AG573" i="5"/>
  <c r="AG572" i="5"/>
  <c r="AG571" i="5"/>
  <c r="AG570" i="5"/>
  <c r="AG569" i="5"/>
  <c r="AG568" i="5"/>
  <c r="AG567" i="5"/>
  <c r="AG566" i="5"/>
  <c r="AG565" i="5"/>
  <c r="AG564" i="5"/>
  <c r="AG563" i="5"/>
  <c r="AG562" i="5"/>
  <c r="AG561" i="5"/>
  <c r="AG560" i="5"/>
  <c r="AG559" i="5"/>
  <c r="AG558" i="5"/>
  <c r="AG557" i="5"/>
  <c r="AG556" i="5"/>
  <c r="AG555" i="5"/>
  <c r="AG554" i="5"/>
  <c r="AG553" i="5"/>
  <c r="AG552" i="5"/>
  <c r="AG551" i="5"/>
  <c r="AG550" i="5"/>
  <c r="AG549" i="5"/>
  <c r="AG548" i="5"/>
  <c r="AG547" i="5"/>
  <c r="AG546" i="5"/>
  <c r="AG545" i="5"/>
  <c r="AG544" i="5"/>
  <c r="AG543" i="5"/>
  <c r="AG542" i="5"/>
  <c r="AG541" i="5"/>
  <c r="AG540" i="5"/>
  <c r="AG539" i="5"/>
  <c r="AG538" i="5"/>
  <c r="AG537" i="5"/>
  <c r="AG536" i="5"/>
  <c r="AG535" i="5"/>
  <c r="AG534" i="5"/>
  <c r="AG533" i="5"/>
  <c r="AG532" i="5"/>
  <c r="AG531" i="5"/>
  <c r="AG530" i="5"/>
  <c r="AG529" i="5"/>
  <c r="AG528" i="5"/>
  <c r="AG527" i="5"/>
  <c r="AG526" i="5"/>
  <c r="AG525" i="5"/>
  <c r="AG524" i="5"/>
  <c r="AG523" i="5"/>
  <c r="AG522" i="5"/>
  <c r="AG521" i="5"/>
  <c r="AG520" i="5"/>
  <c r="AG519" i="5"/>
  <c r="AG518" i="5"/>
  <c r="AG517" i="5"/>
  <c r="AG516" i="5"/>
  <c r="AG515" i="5"/>
  <c r="AG514" i="5"/>
  <c r="AG513" i="5"/>
  <c r="AG512" i="5"/>
  <c r="AG511" i="5"/>
  <c r="AG510" i="5"/>
  <c r="AG509" i="5"/>
  <c r="AG508" i="5"/>
  <c r="AG507" i="5"/>
  <c r="AG506" i="5"/>
  <c r="AG505" i="5"/>
  <c r="AG504" i="5"/>
  <c r="AG503" i="5"/>
  <c r="AG502" i="5"/>
  <c r="AG501" i="5"/>
  <c r="AG500" i="5"/>
  <c r="AG499" i="5"/>
  <c r="AG498" i="5"/>
  <c r="AG497" i="5"/>
  <c r="AG496" i="5"/>
  <c r="AG495" i="5"/>
  <c r="AG494" i="5"/>
  <c r="AG493" i="5"/>
  <c r="AG492" i="5"/>
  <c r="AG491" i="5"/>
  <c r="AG490" i="5"/>
  <c r="AG489" i="5"/>
  <c r="AG488" i="5"/>
  <c r="AG487" i="5"/>
  <c r="AG486" i="5"/>
  <c r="AG485" i="5"/>
  <c r="AG484" i="5"/>
  <c r="AG483" i="5"/>
  <c r="AG482" i="5"/>
  <c r="AG481" i="5"/>
  <c r="AG480" i="5"/>
  <c r="AG479" i="5"/>
  <c r="AG478" i="5"/>
  <c r="AG477" i="5"/>
  <c r="AG476" i="5"/>
  <c r="AG475" i="5"/>
  <c r="AG474" i="5"/>
  <c r="AG473" i="5"/>
  <c r="AG472" i="5"/>
  <c r="AG471" i="5"/>
  <c r="AG470" i="5"/>
  <c r="AG469" i="5"/>
  <c r="AG468" i="5"/>
  <c r="AG467" i="5"/>
  <c r="AG466" i="5"/>
  <c r="AG465" i="5"/>
  <c r="AG464" i="5"/>
  <c r="AG463" i="5"/>
  <c r="AG462" i="5"/>
  <c r="AG461" i="5"/>
  <c r="AG460" i="5"/>
  <c r="AG459" i="5"/>
  <c r="AG458" i="5"/>
  <c r="AG457" i="5"/>
  <c r="AG456" i="5"/>
  <c r="AG455" i="5"/>
  <c r="AG454" i="5"/>
  <c r="AG453" i="5"/>
  <c r="AG452" i="5"/>
  <c r="AG451" i="5"/>
  <c r="AG450" i="5"/>
  <c r="AG449" i="5"/>
  <c r="AG448" i="5"/>
  <c r="AG447" i="5"/>
  <c r="AG446" i="5"/>
  <c r="AG445" i="5"/>
  <c r="AG444" i="5"/>
  <c r="AG443" i="5"/>
  <c r="AG442" i="5"/>
  <c r="AG441" i="5"/>
  <c r="AG440" i="5"/>
  <c r="AG439" i="5"/>
  <c r="AG438" i="5"/>
  <c r="AG437" i="5"/>
  <c r="AG436" i="5"/>
  <c r="AG435" i="5"/>
  <c r="AG434" i="5"/>
  <c r="AG433" i="5"/>
  <c r="AG432" i="5"/>
  <c r="AG431" i="5"/>
  <c r="AG430" i="5"/>
  <c r="AG429" i="5"/>
  <c r="AG428" i="5"/>
  <c r="AG427" i="5"/>
  <c r="AG426" i="5"/>
  <c r="AG425" i="5"/>
  <c r="AG424" i="5"/>
  <c r="AG423" i="5"/>
  <c r="AG422" i="5"/>
  <c r="AG421" i="5"/>
  <c r="AG420" i="5"/>
  <c r="AG419" i="5"/>
  <c r="AG418" i="5"/>
  <c r="AG417" i="5"/>
  <c r="AG416" i="5"/>
  <c r="AG415" i="5"/>
  <c r="AG414" i="5"/>
  <c r="AG413" i="5"/>
  <c r="AG412" i="5"/>
  <c r="AG411" i="5"/>
  <c r="AG410" i="5"/>
  <c r="AG409" i="5"/>
  <c r="AG408" i="5"/>
  <c r="AG407" i="5"/>
  <c r="AG406" i="5"/>
  <c r="AG405" i="5"/>
  <c r="AG404" i="5"/>
  <c r="AG403" i="5"/>
  <c r="AG402" i="5"/>
  <c r="AG401" i="5"/>
  <c r="AG400" i="5"/>
  <c r="AG399" i="5"/>
  <c r="AG398" i="5"/>
  <c r="AG397" i="5"/>
  <c r="AG396" i="5"/>
  <c r="AG395" i="5"/>
  <c r="AG394" i="5"/>
  <c r="AG393" i="5"/>
  <c r="AG392" i="5"/>
  <c r="AG391" i="5"/>
  <c r="AG390" i="5"/>
  <c r="AG389" i="5"/>
  <c r="AG388" i="5"/>
  <c r="AG387" i="5"/>
  <c r="AG386" i="5"/>
  <c r="AG385" i="5"/>
  <c r="AG384" i="5"/>
  <c r="AG383" i="5"/>
  <c r="AG382" i="5"/>
  <c r="AG381" i="5"/>
  <c r="AG380" i="5"/>
  <c r="AG379" i="5"/>
  <c r="AG378" i="5"/>
  <c r="AG377" i="5"/>
  <c r="AG376" i="5"/>
  <c r="AG375" i="5"/>
  <c r="AG374" i="5"/>
  <c r="AG373" i="5"/>
  <c r="AG372" i="5"/>
  <c r="AG371" i="5"/>
  <c r="AG370" i="5"/>
  <c r="AG369" i="5"/>
  <c r="AG368" i="5"/>
  <c r="AG367" i="5"/>
  <c r="AG366" i="5"/>
  <c r="AG365" i="5"/>
  <c r="AG364" i="5"/>
  <c r="AG363" i="5"/>
  <c r="AG362" i="5"/>
  <c r="AG361" i="5"/>
  <c r="AG360" i="5"/>
  <c r="AG359" i="5"/>
  <c r="AG358" i="5"/>
  <c r="AG357" i="5"/>
  <c r="AG356" i="5"/>
  <c r="AG355" i="5"/>
  <c r="AG354" i="5"/>
  <c r="AG353" i="5"/>
  <c r="AG352" i="5"/>
  <c r="AG351" i="5"/>
  <c r="AG350" i="5"/>
  <c r="AG349" i="5"/>
  <c r="AG348" i="5"/>
  <c r="AG347" i="5"/>
  <c r="AG346" i="5"/>
  <c r="AG345" i="5"/>
  <c r="AG344" i="5"/>
  <c r="AG343" i="5"/>
  <c r="AG342" i="5"/>
  <c r="AG341" i="5"/>
  <c r="AG340" i="5"/>
  <c r="AG339" i="5"/>
  <c r="AG338" i="5"/>
  <c r="AG337" i="5"/>
  <c r="AG336" i="5"/>
  <c r="AG335" i="5"/>
  <c r="AG334" i="5"/>
  <c r="AG333" i="5"/>
  <c r="AG332" i="5"/>
  <c r="AG331" i="5"/>
  <c r="AG330" i="5"/>
  <c r="AG329" i="5"/>
  <c r="AG328" i="5"/>
  <c r="AG327" i="5"/>
  <c r="AG326" i="5"/>
  <c r="AG325" i="5"/>
  <c r="AG324" i="5"/>
  <c r="AG323" i="5"/>
  <c r="AG322" i="5"/>
  <c r="AG321" i="5"/>
  <c r="AG320" i="5"/>
  <c r="AG319" i="5"/>
  <c r="AG318" i="5"/>
  <c r="AG317" i="5"/>
  <c r="AG316" i="5"/>
  <c r="AG315" i="5"/>
  <c r="AG314" i="5"/>
  <c r="AG313" i="5"/>
  <c r="AG312" i="5"/>
  <c r="AG311" i="5"/>
  <c r="AG310" i="5"/>
  <c r="AG309" i="5"/>
  <c r="AG308" i="5"/>
  <c r="AG307" i="5"/>
  <c r="AG306" i="5"/>
  <c r="AG305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S325" i="5" a="1"/>
  <c r="S704" i="5" a="1"/>
  <c r="S300" i="5" a="1"/>
  <c r="S199" i="5" a="1"/>
  <c r="S678" i="5" a="1"/>
  <c r="S372" i="5" a="1"/>
  <c r="S187" i="5" a="1"/>
  <c r="S756" i="5" a="1"/>
  <c r="AB678" i="5" a="1"/>
  <c r="AB169" i="5" a="1"/>
  <c r="AB300" i="5" a="1"/>
  <c r="AB236" i="5" a="1"/>
  <c r="AB756" i="5" a="1"/>
  <c r="AB156" i="5" a="1"/>
  <c r="AB372" i="5" a="1"/>
  <c r="AB704" i="5" a="1"/>
  <c r="AB627" i="5" a="1"/>
  <c r="AB516" i="5" a="1"/>
  <c r="AB199" i="5" a="1"/>
  <c r="AB123" i="5" a="1"/>
  <c r="AB325" i="5" a="1"/>
  <c r="AB187" i="5" a="1"/>
  <c r="S627" i="5" a="1"/>
  <c r="S123" i="5" a="1"/>
  <c r="S236" i="5" a="1"/>
  <c r="S516" i="5" a="1"/>
  <c r="S156" i="5" a="1"/>
  <c r="S169" i="5" a="1"/>
  <c r="S702" i="5" a="1"/>
  <c r="S438" i="5" a="1"/>
  <c r="S390" i="5" a="1"/>
  <c r="S174" i="5" a="1"/>
  <c r="AB710" i="5" a="1"/>
  <c r="AB37" i="5" a="1"/>
  <c r="AB699" i="5" a="1"/>
  <c r="AB541" i="5" a="1"/>
  <c r="AB511" i="5" a="1"/>
  <c r="AB606" i="5" a="1"/>
  <c r="AB179" i="5" a="1"/>
  <c r="AB134" i="5" a="1"/>
  <c r="AB162" i="5" a="1"/>
  <c r="AB421" i="5" a="1"/>
  <c r="AB108" i="5" a="1"/>
  <c r="AB176" i="5" a="1"/>
  <c r="AB243" i="5" a="1"/>
  <c r="AB373" i="5" a="1"/>
  <c r="AB257" i="5" a="1"/>
  <c r="AB361" i="5" a="1"/>
  <c r="AB472" i="5" a="1"/>
  <c r="AB709" i="5" a="1"/>
  <c r="AB542" i="5" a="1"/>
  <c r="AB758" i="5" a="1"/>
  <c r="AB35" i="5" a="1"/>
  <c r="AB350" i="5" a="1"/>
  <c r="AB126" i="5" a="1"/>
  <c r="AB158" i="5" a="1"/>
  <c r="AB520" i="5" a="1"/>
  <c r="AB266" i="5" a="1"/>
  <c r="AB132" i="5" a="1"/>
  <c r="AB73" i="5" a="1"/>
  <c r="AB56" i="5" a="1"/>
  <c r="AB715" i="5" a="1"/>
  <c r="AB276" i="5" a="1"/>
  <c r="AB488" i="5" a="1"/>
  <c r="AB487" i="5" a="1"/>
  <c r="AB661" i="5" a="1"/>
  <c r="AB403" i="5" a="1"/>
  <c r="AB209" i="5" a="1"/>
  <c r="AB589" i="5" a="1"/>
  <c r="AB79" i="5" a="1"/>
  <c r="AB438" i="5" a="1"/>
  <c r="AB168" i="5" a="1"/>
  <c r="AB288" i="5" a="1"/>
  <c r="AB613" i="5" a="1"/>
  <c r="AB410" i="5" a="1"/>
  <c r="AB66" i="5" a="1"/>
  <c r="AB691" i="5" a="1"/>
  <c r="AB468" i="5" a="1"/>
  <c r="AB588" i="5" a="1"/>
  <c r="AB637" i="5" a="1"/>
  <c r="AB612" i="5" a="1"/>
  <c r="AB374" i="5" a="1"/>
  <c r="AB203" i="5" a="1"/>
  <c r="AB733" i="5" a="1"/>
  <c r="AB26" i="5" a="1"/>
  <c r="AB566" i="5" a="1"/>
  <c r="AB390" i="5" a="1"/>
  <c r="AB582" i="5" a="1"/>
  <c r="AB248" i="5" a="1"/>
  <c r="AB331" i="5" a="1"/>
  <c r="AB97" i="5" a="1"/>
  <c r="AB500" i="5" a="1"/>
  <c r="AB732" i="5" a="1"/>
  <c r="AB470" i="5" a="1"/>
  <c r="AB366" i="5" a="1"/>
  <c r="AB440" i="5" a="1"/>
  <c r="AB59" i="5" a="1"/>
  <c r="AB254" i="5" a="1"/>
  <c r="AB471" i="5" a="1"/>
  <c r="AB422" i="5" a="1"/>
  <c r="AB135" i="5" a="1"/>
  <c r="AB728" i="5" a="1"/>
  <c r="AB256" i="5" a="1"/>
  <c r="AB302" i="5" a="1"/>
  <c r="AB540" i="5" a="1"/>
  <c r="AB301" i="5" a="1"/>
  <c r="AB230" i="5" a="1"/>
  <c r="AB518" i="5" a="1"/>
  <c r="AB88" i="5" a="1"/>
  <c r="AB319" i="5" a="1"/>
  <c r="AB708" i="5" a="1"/>
  <c r="AB36" i="5" a="1"/>
  <c r="AB222" i="5" a="1"/>
  <c r="AB702" i="5" a="1"/>
  <c r="AB568" i="5" a="1"/>
  <c r="AB279" i="5" a="1"/>
  <c r="AB200" i="5" a="1"/>
  <c r="AB564" i="5" a="1"/>
  <c r="AB590" i="5" a="1"/>
  <c r="AB734" i="5" a="1"/>
  <c r="AB376" i="5" a="1"/>
  <c r="AB205" i="5" a="1"/>
  <c r="AB344" i="5" a="1"/>
  <c r="AB109" i="5" a="1"/>
  <c r="AB54" i="5" a="1"/>
  <c r="AB380" i="5" a="1"/>
  <c r="AB227" i="5" a="1"/>
  <c r="AB398" i="5" a="1"/>
  <c r="AB396" i="5" a="1"/>
  <c r="AB543" i="5" a="1"/>
  <c r="AB464" i="5" a="1"/>
  <c r="AB528" i="5" a="1"/>
  <c r="AB85" i="5" a="1"/>
  <c r="AB411" i="5" a="1"/>
  <c r="AB386" i="5" a="1"/>
  <c r="AB660" i="5" a="1"/>
  <c r="AB277" i="5" a="1"/>
  <c r="AB284" i="5" a="1"/>
  <c r="AB43" i="5" a="1"/>
  <c r="AB517" i="5" a="1"/>
  <c r="AB83" i="5" a="1"/>
  <c r="AB228" i="5" a="1"/>
  <c r="AB565" i="5" a="1"/>
  <c r="AB265" i="5" a="1"/>
  <c r="AB507" i="5" a="1"/>
  <c r="AB252" i="5" a="1"/>
  <c r="AB204" i="5" a="1"/>
  <c r="AB392" i="5" a="1"/>
  <c r="AB446" i="5" a="1"/>
  <c r="AB420" i="5" a="1"/>
  <c r="AB296" i="5" a="1"/>
  <c r="AB61" i="5" a="1"/>
  <c r="AB761" i="5" a="1"/>
  <c r="AB534" i="5" a="1"/>
  <c r="AB636" i="5" a="1"/>
  <c r="AB462" i="5" a="1"/>
  <c r="AB684" i="5" a="1"/>
  <c r="AB60" i="5" a="1"/>
  <c r="AB181" i="5" a="1"/>
  <c r="AB90" i="5" a="1"/>
  <c r="AB326" i="5" a="1"/>
  <c r="AB348" i="5" a="1"/>
  <c r="AB432" i="5" a="1"/>
  <c r="AB744" i="5" a="1"/>
  <c r="AB63" i="5" a="1"/>
  <c r="AB131" i="5" a="1"/>
  <c r="AB89" i="5" a="1"/>
  <c r="AB664" i="5" a="1"/>
  <c r="AB349" i="5" a="1"/>
  <c r="AB241" i="5" a="1"/>
  <c r="AB722" i="5" a="1"/>
  <c r="AB397" i="5" a="1"/>
  <c r="AB211" i="5" a="1"/>
  <c r="AB92" i="5" a="1"/>
  <c r="AB253" i="5" a="1"/>
  <c r="AB492" i="5" a="1"/>
  <c r="AB107" i="5" a="1"/>
  <c r="AB688" i="5" a="1"/>
  <c r="AB343" i="5" a="1"/>
  <c r="AB51" i="5" a="1"/>
  <c r="AB425" i="5" a="1"/>
  <c r="AB523" i="5" a="1"/>
  <c r="AB569" i="5" a="1"/>
  <c r="AB337" i="5" a="1"/>
  <c r="AB448" i="5" a="1"/>
  <c r="AB665" i="5" a="1"/>
  <c r="AB120" i="5" a="1"/>
  <c r="AB122" i="5" a="1"/>
  <c r="AB103" i="5" a="1"/>
  <c r="AB735" i="5" a="1"/>
  <c r="AB449" i="5" a="1"/>
  <c r="AB444" i="5" a="1"/>
  <c r="AB180" i="5" a="1"/>
  <c r="AB174" i="5" a="1"/>
  <c r="AB469" i="5" a="1"/>
  <c r="S410" i="5" a="1"/>
  <c r="S728" i="5" a="1"/>
  <c r="S488" i="5" a="1"/>
  <c r="S464" i="5" a="1"/>
  <c r="S440" i="5" a="1"/>
  <c r="S392" i="5" a="1"/>
  <c r="S344" i="5" a="1"/>
  <c r="S296" i="5" a="1"/>
  <c r="S248" i="5" a="1"/>
  <c r="S200" i="5" a="1"/>
  <c r="S176" i="5" a="1"/>
  <c r="S56" i="5" a="1"/>
  <c r="S582" i="5" a="1"/>
  <c r="S126" i="5" a="1"/>
  <c r="S54" i="5" a="1"/>
  <c r="S507" i="5" a="1"/>
  <c r="S722" i="5" a="1"/>
  <c r="S266" i="5" a="1"/>
  <c r="S691" i="5" a="1"/>
  <c r="S511" i="5" a="1"/>
  <c r="S487" i="5" a="1"/>
  <c r="S343" i="5" a="1"/>
  <c r="S319" i="5" a="1"/>
  <c r="S103" i="5" a="1"/>
  <c r="S79" i="5" a="1"/>
  <c r="S606" i="5" a="1"/>
  <c r="S534" i="5" a="1"/>
  <c r="S462" i="5" a="1"/>
  <c r="S366" i="5" a="1"/>
  <c r="S222" i="5" a="1"/>
  <c r="S243" i="5" a="1"/>
  <c r="S51" i="5" a="1"/>
  <c r="S386" i="5" a="1"/>
  <c r="S122" i="5" a="1"/>
  <c r="S26" i="5" a="1"/>
  <c r="S331" i="5" a="1"/>
  <c r="S211" i="5" a="1"/>
  <c r="S43" i="5" a="1"/>
  <c r="S699" i="5" a="1"/>
  <c r="S411" i="5" a="1"/>
  <c r="S523" i="5" a="1"/>
  <c r="S403" i="5" a="1"/>
  <c r="S361" i="5" a="1"/>
  <c r="S337" i="5" a="1"/>
  <c r="S265" i="5" a="1"/>
  <c r="S241" i="5" a="1"/>
  <c r="S97" i="5" a="1"/>
  <c r="S73" i="5" a="1"/>
  <c r="S744" i="5" a="1"/>
  <c r="S528" i="5" a="1"/>
  <c r="S432" i="5" a="1"/>
  <c r="S288" i="5" a="1"/>
  <c r="S168" i="5" a="1"/>
  <c r="S120" i="5" a="1"/>
  <c r="S500" i="5" a="1"/>
  <c r="S380" i="5" a="1"/>
  <c r="S284" i="5" a="1"/>
  <c r="S92" i="5" a="1"/>
  <c r="S715" i="5" a="1"/>
  <c r="S162" i="5" a="1"/>
  <c r="S90" i="5" a="1"/>
  <c r="S66" i="5" a="1"/>
  <c r="S664" i="5" a="1"/>
  <c r="S568" i="5" a="1"/>
  <c r="S448" i="5" a="1"/>
  <c r="S376" i="5" a="1"/>
  <c r="S543" i="5" a="1"/>
  <c r="S35" i="5" a="1"/>
  <c r="S761" i="5" a="1"/>
  <c r="S665" i="5" a="1"/>
  <c r="S569" i="5" a="1"/>
  <c r="S449" i="5" a="1"/>
  <c r="S425" i="5" a="1"/>
  <c r="S257" i="5" a="1"/>
  <c r="S209" i="5" a="1"/>
  <c r="S89" i="5" a="1"/>
  <c r="S472" i="5" a="1"/>
  <c r="S256" i="5" a="1"/>
  <c r="S88" i="5" a="1"/>
  <c r="S735" i="5" a="1"/>
  <c r="S471" i="5" a="1"/>
  <c r="S279" i="5" a="1"/>
  <c r="S135" i="5" a="1"/>
  <c r="S63" i="5" a="1"/>
  <c r="S60" i="5" a="1"/>
  <c r="S203" i="5" a="1"/>
  <c r="S83" i="5" a="1"/>
  <c r="S688" i="5" a="1"/>
  <c r="S520" i="5" a="1"/>
  <c r="S227" i="5" a="1"/>
  <c r="S107" i="5" a="1"/>
  <c r="S758" i="5" a="1"/>
  <c r="S734" i="5" a="1"/>
  <c r="S710" i="5" a="1"/>
  <c r="S590" i="5" a="1"/>
  <c r="S566" i="5" a="1"/>
  <c r="S542" i="5" a="1"/>
  <c r="S518" i="5" a="1"/>
  <c r="S470" i="5" a="1"/>
  <c r="S446" i="5" a="1"/>
  <c r="S422" i="5" a="1"/>
  <c r="S398" i="5" a="1"/>
  <c r="S374" i="5" a="1"/>
  <c r="S350" i="5" a="1"/>
  <c r="S326" i="5" a="1"/>
  <c r="S302" i="5" a="1"/>
  <c r="S254" i="5" a="1"/>
  <c r="S230" i="5" a="1"/>
  <c r="S158" i="5" a="1"/>
  <c r="S134" i="5" a="1"/>
  <c r="S733" i="5" a="1"/>
  <c r="S709" i="5" a="1"/>
  <c r="S661" i="5" a="1"/>
  <c r="S637" i="5" a="1"/>
  <c r="S613" i="5" a="1"/>
  <c r="S589" i="5" a="1"/>
  <c r="S565" i="5" a="1"/>
  <c r="S541" i="5" a="1"/>
  <c r="S517" i="5" a="1"/>
  <c r="S469" i="5" a="1"/>
  <c r="S421" i="5" a="1"/>
  <c r="S397" i="5" a="1"/>
  <c r="S373" i="5" a="1"/>
  <c r="S349" i="5" a="1"/>
  <c r="S301" i="5" a="1"/>
  <c r="S277" i="5" a="1"/>
  <c r="S253" i="5" a="1"/>
  <c r="S205" i="5" a="1"/>
  <c r="S181" i="5" a="1"/>
  <c r="S109" i="5" a="1"/>
  <c r="S85" i="5" a="1"/>
  <c r="S61" i="5" a="1"/>
  <c r="S37" i="5" a="1"/>
  <c r="S732" i="5" a="1"/>
  <c r="S708" i="5" a="1"/>
  <c r="S684" i="5" a="1"/>
  <c r="S660" i="5" a="1"/>
  <c r="S636" i="5" a="1"/>
  <c r="S612" i="5" a="1"/>
  <c r="S588" i="5" a="1"/>
  <c r="S564" i="5" a="1"/>
  <c r="S540" i="5" a="1"/>
  <c r="S492" i="5" a="1"/>
  <c r="S468" i="5" a="1"/>
  <c r="S444" i="5" a="1"/>
  <c r="S420" i="5" a="1"/>
  <c r="S396" i="5" a="1"/>
  <c r="S348" i="5" a="1"/>
  <c r="S276" i="5" a="1"/>
  <c r="S252" i="5" a="1"/>
  <c r="S228" i="5" a="1"/>
  <c r="S204" i="5" a="1"/>
  <c r="S180" i="5" a="1"/>
  <c r="S132" i="5" a="1"/>
  <c r="S108" i="5" a="1"/>
  <c r="S36" i="5" a="1"/>
  <c r="S179" i="5" a="1"/>
  <c r="S131" i="5" a="1"/>
  <c r="S59" i="5" a="1"/>
  <c r="S729" i="5" a="1"/>
  <c r="S633" i="5" a="1"/>
  <c r="S609" i="5" a="1"/>
  <c r="S561" i="5" a="1"/>
  <c r="S537" i="5" a="1"/>
  <c r="S465" i="5" a="1"/>
  <c r="S441" i="5" a="1"/>
  <c r="S417" i="5" a="1"/>
  <c r="S369" i="5" a="1"/>
  <c r="S321" i="5" a="1"/>
  <c r="S273" i="5" a="1"/>
  <c r="S249" i="5" a="1"/>
  <c r="S129" i="5" a="1"/>
  <c r="S33" i="5" a="1"/>
  <c r="S638" i="5" a="1"/>
  <c r="S680" i="5" a="1"/>
  <c r="S608" i="5" a="1"/>
  <c r="S584" i="5" a="1"/>
  <c r="S512" i="5" a="1"/>
  <c r="S368" i="5" a="1"/>
  <c r="S152" i="5" a="1"/>
  <c r="S146" i="5" a="1"/>
  <c r="S751" i="5" a="1"/>
  <c r="S583" i="5" a="1"/>
  <c r="S439" i="5" a="1"/>
  <c r="S367" i="5" a="1"/>
  <c r="S271" i="5" a="1"/>
  <c r="S247" i="5" a="1"/>
  <c r="S31" i="5" a="1"/>
  <c r="S339" i="5" a="1"/>
  <c r="S219" i="5" a="1"/>
  <c r="S409" i="5" a="1"/>
  <c r="S136" i="5" a="1"/>
  <c r="S39" i="5" a="1"/>
  <c r="S614" i="5" a="1"/>
  <c r="S494" i="5" a="1"/>
  <c r="S278" i="5" a="1"/>
  <c r="S110" i="5" a="1"/>
  <c r="S630" i="5" a="1"/>
  <c r="S414" i="5" a="1"/>
  <c r="S342" i="5" a="1"/>
  <c r="S294" i="5" a="1"/>
  <c r="S246" i="5" a="1"/>
  <c r="S198" i="5" a="1"/>
  <c r="S150" i="5" a="1"/>
  <c r="AB246" i="5" a="1"/>
  <c r="AB207" i="5" a="1"/>
  <c r="AB417" i="5" a="1"/>
  <c r="AB62" i="5" a="1"/>
  <c r="AB602" i="5" a="1"/>
  <c r="AB327" i="5" a="1"/>
  <c r="AB219" i="5" a="1"/>
  <c r="AB630" i="5" a="1"/>
  <c r="AB136" i="5" a="1"/>
  <c r="AB185" i="5" a="1"/>
  <c r="AB729" i="5" a="1"/>
  <c r="AB617" i="5" a="1"/>
  <c r="AB150" i="5" a="1"/>
  <c r="AB409" i="5" a="1"/>
  <c r="AB465" i="5" a="1"/>
  <c r="AB31" i="5" a="1"/>
  <c r="AB493" i="5" a="1"/>
  <c r="AB494" i="5" a="1"/>
  <c r="AB609" i="5" a="1"/>
  <c r="AB638" i="5" a="1"/>
  <c r="AB757" i="5" a="1"/>
  <c r="AB608" i="5" a="1"/>
  <c r="AB247" i="5" a="1"/>
  <c r="AB441" i="5" a="1"/>
  <c r="AB273" i="5" a="1"/>
  <c r="AB672" i="5" a="1"/>
  <c r="AB686" i="5" a="1"/>
  <c r="AB746" i="5" a="1"/>
  <c r="AB133" i="5" a="1"/>
  <c r="AB98" i="5" a="1"/>
  <c r="AB401" i="5" a="1"/>
  <c r="AB760" i="5" a="1"/>
  <c r="AB321" i="5" a="1"/>
  <c r="AB662" i="5" a="1"/>
  <c r="AB367" i="5" a="1"/>
  <c r="AB188" i="5" a="1"/>
  <c r="AB86" i="5" a="1"/>
  <c r="AB271" i="5" a="1"/>
  <c r="AB139" i="5" a="1"/>
  <c r="AB157" i="5" a="1"/>
  <c r="AB229" i="5" a="1"/>
  <c r="AB206" i="5" a="1"/>
  <c r="AB712" i="5" a="1"/>
  <c r="AB561" i="5" a="1"/>
  <c r="AB521" i="5" a="1"/>
  <c r="AB152" i="5" a="1"/>
  <c r="AB680" i="5" a="1"/>
  <c r="AB278" i="5" a="1"/>
  <c r="AB161" i="5" a="1"/>
  <c r="AB129" i="5" a="1"/>
  <c r="AB583" i="5" a="1"/>
  <c r="AB537" i="5" a="1"/>
  <c r="AB208" i="5" a="1"/>
  <c r="AB38" i="5" a="1"/>
  <c r="AB110" i="5" a="1"/>
  <c r="AB663" i="5" a="1"/>
  <c r="AB39" i="5" a="1"/>
  <c r="AB458" i="5" a="1"/>
  <c r="AB451" i="5" a="1"/>
  <c r="AB342" i="5" a="1"/>
  <c r="AB368" i="5" a="1"/>
  <c r="AB667" i="5" a="1"/>
  <c r="AB182" i="5" a="1"/>
  <c r="AB210" i="5" a="1"/>
  <c r="AB339" i="5" a="1"/>
  <c r="AB369" i="5" a="1"/>
  <c r="AB414" i="5" a="1"/>
  <c r="AB146" i="5" a="1"/>
  <c r="AB294" i="5" a="1"/>
  <c r="AB751" i="5" a="1"/>
  <c r="AB198" i="5" a="1"/>
  <c r="AB439" i="5" a="1"/>
  <c r="AB249" i="5" a="1"/>
  <c r="AB84" i="5" a="1"/>
  <c r="AB445" i="5" a="1"/>
  <c r="AB685" i="5" a="1"/>
  <c r="AB554" i="5" a="1"/>
  <c r="AB33" i="5" a="1"/>
  <c r="AB160" i="5" a="1"/>
  <c r="AB633" i="5" a="1"/>
  <c r="AB512" i="5" a="1"/>
  <c r="AB282" i="5" a="1"/>
  <c r="AB281" i="5" a="1"/>
  <c r="AB96" i="5" a="1"/>
  <c r="AB584" i="5" a="1"/>
  <c r="AB614" i="5" a="1"/>
  <c r="AB68" i="5" a="1"/>
  <c r="S746" i="5" a="1"/>
  <c r="S602" i="5" a="1"/>
  <c r="S554" i="5" a="1"/>
  <c r="S458" i="5" a="1"/>
  <c r="S98" i="5" a="1"/>
  <c r="S672" i="5" a="1"/>
  <c r="S208" i="5" a="1"/>
  <c r="S188" i="5" a="1"/>
  <c r="S68" i="5" a="1"/>
  <c r="S667" i="5" a="1"/>
  <c r="S451" i="5" a="1"/>
  <c r="S139" i="5" a="1"/>
  <c r="S210" i="5" a="1"/>
  <c r="S185" i="5" a="1"/>
  <c r="S161" i="5" a="1"/>
  <c r="S760" i="5" a="1"/>
  <c r="S160" i="5" a="1"/>
  <c r="S182" i="5" a="1"/>
  <c r="S38" i="5" a="1"/>
  <c r="S282" i="5" a="1"/>
  <c r="S712" i="5" a="1"/>
  <c r="S617" i="5" a="1"/>
  <c r="S521" i="5" a="1"/>
  <c r="S401" i="5" a="1"/>
  <c r="S281" i="5" a="1"/>
  <c r="S662" i="5" a="1"/>
  <c r="S663" i="5" a="1"/>
  <c r="S327" i="5" a="1"/>
  <c r="S207" i="5" a="1"/>
  <c r="S757" i="5" a="1"/>
  <c r="S685" i="5" a="1"/>
  <c r="S493" i="5" a="1"/>
  <c r="S445" i="5" a="1"/>
  <c r="S229" i="5" a="1"/>
  <c r="S157" i="5" a="1"/>
  <c r="S133" i="5" a="1"/>
  <c r="S206" i="5" a="1"/>
  <c r="S86" i="5" a="1"/>
  <c r="S84" i="5" a="1"/>
  <c r="S96" i="5" a="1"/>
  <c r="S686" i="5" a="1"/>
  <c r="S62" i="5" a="1"/>
  <c r="S753" i="5" a="1"/>
  <c r="S705" i="5" a="1"/>
  <c r="S681" i="5" a="1"/>
  <c r="S657" i="5" a="1"/>
  <c r="S585" i="5" a="1"/>
  <c r="S513" i="5" a="1"/>
  <c r="S489" i="5" a="1"/>
  <c r="S393" i="5" a="1"/>
  <c r="S345" i="5" a="1"/>
  <c r="S297" i="5" a="1"/>
  <c r="S225" i="5" a="1"/>
  <c r="S201" i="5" a="1"/>
  <c r="S177" i="5" a="1"/>
  <c r="S153" i="5" a="1"/>
  <c r="S105" i="5" a="1"/>
  <c r="S81" i="5" a="1"/>
  <c r="S57" i="5" a="1"/>
  <c r="S510" i="5" a="1"/>
  <c r="S611" i="5" a="1"/>
  <c r="S419" i="5" a="1"/>
  <c r="S706" i="5" a="1"/>
  <c r="S394" i="5" a="1"/>
  <c r="S752" i="5" a="1"/>
  <c r="S656" i="5" a="1"/>
  <c r="S632" i="5" a="1"/>
  <c r="S560" i="5" a="1"/>
  <c r="S536" i="5" a="1"/>
  <c r="S416" i="5" a="1"/>
  <c r="S320" i="5" a="1"/>
  <c r="S272" i="5" a="1"/>
  <c r="S224" i="5" a="1"/>
  <c r="S128" i="5" a="1"/>
  <c r="S104" i="5" a="1"/>
  <c r="S80" i="5" a="1"/>
  <c r="S558" i="5" a="1"/>
  <c r="S78" i="5" a="1"/>
  <c r="S587" i="5" a="1"/>
  <c r="S443" i="5" a="1"/>
  <c r="S155" i="5" a="1"/>
  <c r="S754" i="5" a="1"/>
  <c r="S274" i="5" a="1"/>
  <c r="S727" i="5" a="1"/>
  <c r="S679" i="5" a="1"/>
  <c r="S655" i="5" a="1"/>
  <c r="S535" i="5" a="1"/>
  <c r="S415" i="5" a="1"/>
  <c r="S391" i="5" a="1"/>
  <c r="S295" i="5" a="1"/>
  <c r="S223" i="5" a="1"/>
  <c r="S151" i="5" a="1"/>
  <c r="S127" i="5" a="1"/>
  <c r="S55" i="5" a="1"/>
  <c r="S486" i="5" a="1"/>
  <c r="S318" i="5" a="1"/>
  <c r="S30" i="5" a="1"/>
  <c r="S375" i="5" a="1"/>
  <c r="S562" i="5" a="1"/>
  <c r="S442" i="5" a="1"/>
  <c r="S226" i="5" a="1"/>
  <c r="S34" i="5" a="1"/>
  <c r="S750" i="5" a="1"/>
  <c r="S726" i="5" a="1"/>
  <c r="S723" i="5" a="1"/>
  <c r="S651" i="5" a="1"/>
  <c r="S603" i="5" a="1"/>
  <c r="S459" i="5" a="1"/>
  <c r="S387" i="5" a="1"/>
  <c r="S363" i="5" a="1"/>
  <c r="S315" i="5" a="1"/>
  <c r="S267" i="5" a="1"/>
  <c r="S195" i="5" a="1"/>
  <c r="S171" i="5" a="1"/>
  <c r="S147" i="5" a="1"/>
  <c r="S75" i="5" a="1"/>
  <c r="S27" i="5" a="1"/>
  <c r="S567" i="5" a="1"/>
  <c r="S323" i="5" a="1"/>
  <c r="S610" i="5" a="1"/>
  <c r="S202" i="5" a="1"/>
  <c r="AB552" i="5" a="1"/>
  <c r="AB259" i="5" a="1"/>
  <c r="AB217" i="5" a="1"/>
  <c r="AB393" i="5" a="1"/>
  <c r="AB250" i="5" a="1"/>
  <c r="AB50" i="5" a="1"/>
  <c r="AB651" i="5" a="1"/>
  <c r="AB320" i="5" a="1"/>
  <c r="AB394" i="5" a="1"/>
  <c r="AB443" i="5" a="1"/>
  <c r="AB452" i="5" a="1"/>
  <c r="AB415" i="5" a="1"/>
  <c r="AB467" i="5" a="1"/>
  <c r="AB763" i="5" a="1"/>
  <c r="AB658" i="5" a="1"/>
  <c r="AB163" i="5" a="1"/>
  <c r="AB626" i="5" a="1"/>
  <c r="AB682" i="5" a="1"/>
  <c r="AB346" i="5" a="1"/>
  <c r="AB67" i="5" a="1"/>
  <c r="AB272" i="5" a="1"/>
  <c r="AB730" i="5" a="1"/>
  <c r="AB42" i="5" a="1"/>
  <c r="AB258" i="5" a="1"/>
  <c r="AB44" i="5" a="1"/>
  <c r="AB323" i="5" a="1"/>
  <c r="AB305" i="5" a="1"/>
  <c r="AB153" i="5" a="1"/>
  <c r="AB322" i="5" a="1"/>
  <c r="AB114" i="5" a="1"/>
  <c r="AB234" i="5" a="1"/>
  <c r="AB632" i="5" a="1"/>
  <c r="AB112" i="5" a="1"/>
  <c r="AB260" i="5" a="1"/>
  <c r="AB562" i="5" a="1"/>
  <c r="AB315" i="5" a="1"/>
  <c r="AB720" i="5" a="1"/>
  <c r="AB611" i="5" a="1"/>
  <c r="AB434" i="5" a="1"/>
  <c r="AB81" i="5" a="1"/>
  <c r="AB400" i="5" a="1"/>
  <c r="AB27" i="5" a="1"/>
  <c r="AB140" i="5" a="1"/>
  <c r="AB226" i="5" a="1"/>
  <c r="AB34" i="5" a="1"/>
  <c r="AB459" i="5" a="1"/>
  <c r="AB371" i="5" a="1"/>
  <c r="AB510" i="5" a="1"/>
  <c r="AB466" i="5" a="1"/>
  <c r="AB727" i="5" a="1"/>
  <c r="AB251" i="5" a="1"/>
  <c r="AB201" i="5" a="1"/>
  <c r="AB352" i="5" a="1"/>
  <c r="AB404" i="5" a="1"/>
  <c r="AB154" i="5" a="1"/>
  <c r="AB544" i="5" a="1"/>
  <c r="AB723" i="5" a="1"/>
  <c r="AB687" i="5" a="1"/>
  <c r="AB433" i="5" a="1"/>
  <c r="AB184" i="5" a="1"/>
  <c r="AB387" i="5" a="1"/>
  <c r="AB308" i="5" a="1"/>
  <c r="AB679" i="5" a="1"/>
  <c r="AB681" i="5" a="1"/>
  <c r="AB504" i="5" a="1"/>
  <c r="AB318" i="5" a="1"/>
  <c r="AB639" i="5" a="1"/>
  <c r="AB689" i="5" a="1"/>
  <c r="AB419" i="5" a="1"/>
  <c r="AB486" i="5" a="1"/>
  <c r="AB514" i="5" a="1"/>
  <c r="AB194" i="5" a="1"/>
  <c r="AB489" i="5" a="1"/>
  <c r="AB144" i="5" a="1"/>
  <c r="AB519" i="5" a="1"/>
  <c r="AB304" i="5" a="1"/>
  <c r="AB475" i="5" a="1"/>
  <c r="AB363" i="5" a="1"/>
  <c r="AB171" i="5" a="1"/>
  <c r="AB536" i="5" a="1"/>
  <c r="AB513" i="5" a="1"/>
  <c r="AB391" i="5" a="1"/>
  <c r="AB41" i="5" a="1"/>
  <c r="AB754" i="5" a="1"/>
  <c r="AB753" i="5" a="1"/>
  <c r="AB442" i="5" a="1"/>
  <c r="AB567" i="5" a="1"/>
  <c r="AB212" i="5" a="1"/>
  <c r="AB242" i="5" a="1"/>
  <c r="AB232" i="5" a="1"/>
  <c r="AB49" i="5" a="1"/>
  <c r="AB151" i="5" a="1"/>
  <c r="AB379" i="5" a="1"/>
  <c r="AB353" i="5" a="1"/>
  <c r="AB274" i="5" a="1"/>
  <c r="AB192" i="5" a="1"/>
  <c r="AB58" i="5" a="1"/>
  <c r="AB635" i="5" a="1"/>
  <c r="AB560" i="5" a="1"/>
  <c r="AB657" i="5" a="1"/>
  <c r="AB752" i="5" a="1"/>
  <c r="AB137" i="5" a="1"/>
  <c r="AB476" i="5" a="1"/>
  <c r="AB656" i="5" a="1"/>
  <c r="AB74" i="5" a="1"/>
  <c r="AB324" i="5" a="1"/>
  <c r="AB490" i="5" a="1"/>
  <c r="AB698" i="5" a="1"/>
  <c r="AB395" i="5" a="1"/>
  <c r="AB610" i="5" a="1"/>
  <c r="AB177" i="5" a="1"/>
  <c r="AB30" i="5" a="1"/>
  <c r="AB225" i="5" a="1"/>
  <c r="AB491" i="5" a="1"/>
  <c r="AB375" i="5" a="1"/>
  <c r="AB360" i="5" a="1"/>
  <c r="AB128" i="5" a="1"/>
  <c r="AB587" i="5" a="1"/>
  <c r="AB183" i="5" a="1"/>
  <c r="AB399" i="5" a="1"/>
  <c r="AB539" i="5" a="1"/>
  <c r="AB127" i="5" a="1"/>
  <c r="AB641" i="5" a="1"/>
  <c r="AB731" i="5" a="1"/>
  <c r="AB696" i="5" a="1"/>
  <c r="AB711" i="5" a="1"/>
  <c r="AB57" i="5" a="1"/>
  <c r="AB385" i="5" a="1"/>
  <c r="AB105" i="5" a="1"/>
  <c r="AB558" i="5" a="1"/>
  <c r="AB585" i="5" a="1"/>
  <c r="AB576" i="5" a="1"/>
  <c r="AB750" i="5" a="1"/>
  <c r="AB345" i="5" a="1"/>
  <c r="AB295" i="5" a="1"/>
  <c r="AB593" i="5" a="1"/>
  <c r="AB75" i="5" a="1"/>
  <c r="AB634" i="5" a="1"/>
  <c r="AB705" i="5" a="1"/>
  <c r="AB80" i="5" a="1"/>
  <c r="AB40" i="5" a="1"/>
  <c r="AB104" i="5" a="1"/>
  <c r="AB755" i="5" a="1"/>
  <c r="AB706" i="5" a="1"/>
  <c r="AB423" i="5" a="1"/>
  <c r="AB600" i="5" a="1"/>
  <c r="AB202" i="5" a="1"/>
  <c r="AB655" i="5" a="1"/>
  <c r="AB216" i="5" a="1"/>
  <c r="AB643" i="5" a="1"/>
  <c r="AB497" i="5" a="1"/>
  <c r="AB535" i="5" a="1"/>
  <c r="AB530" i="5" a="1"/>
  <c r="AB480" i="5" a="1"/>
  <c r="AB683" i="5" a="1"/>
  <c r="AB482" i="5" a="1"/>
  <c r="AB496" i="5" a="1"/>
  <c r="AB370" i="5" a="1"/>
  <c r="AB255" i="5" a="1"/>
  <c r="AB91" i="5" a="1"/>
  <c r="AB55" i="5" a="1"/>
  <c r="AB297" i="5" a="1"/>
  <c r="AB283" i="5" a="1"/>
  <c r="AB147" i="5" a="1"/>
  <c r="AB87" i="5" a="1"/>
  <c r="AB408" i="5" a="1"/>
  <c r="AB586" i="5" a="1"/>
  <c r="AB298" i="5" a="1"/>
  <c r="AB603" i="5" a="1"/>
  <c r="AB48" i="5" a="1"/>
  <c r="AB240" i="5" a="1"/>
  <c r="AB726" i="5" a="1"/>
  <c r="AB155" i="5" a="1"/>
  <c r="AB130" i="5" a="1"/>
  <c r="AB223" i="5" a="1"/>
  <c r="AB195" i="5" a="1"/>
  <c r="AB218" i="5" a="1"/>
  <c r="AB224" i="5" a="1"/>
  <c r="AB416" i="5" a="1"/>
  <c r="AB495" i="5" a="1"/>
  <c r="AB78" i="5" a="1"/>
  <c r="AB267" i="5" a="1"/>
  <c r="S698" i="5" a="1"/>
  <c r="S626" i="5" a="1"/>
  <c r="S530" i="5" a="1"/>
  <c r="S482" i="5" a="1"/>
  <c r="S434" i="5" a="1"/>
  <c r="S242" i="5" a="1"/>
  <c r="S218" i="5" a="1"/>
  <c r="S194" i="5" a="1"/>
  <c r="S74" i="5" a="1"/>
  <c r="S50" i="5" a="1"/>
  <c r="S304" i="5" a="1"/>
  <c r="S519" i="5" a="1"/>
  <c r="S467" i="5" a="1"/>
  <c r="S371" i="5" a="1"/>
  <c r="S730" i="5" a="1"/>
  <c r="S250" i="5" a="1"/>
  <c r="S433" i="5" a="1"/>
  <c r="S385" i="5" a="1"/>
  <c r="S217" i="5" a="1"/>
  <c r="S49" i="5" a="1"/>
  <c r="S687" i="5" a="1"/>
  <c r="S539" i="5" a="1"/>
  <c r="S658" i="5" a="1"/>
  <c r="S322" i="5" a="1"/>
  <c r="S720" i="5" a="1"/>
  <c r="S696" i="5" a="1"/>
  <c r="S600" i="5" a="1"/>
  <c r="S576" i="5" a="1"/>
  <c r="S552" i="5" a="1"/>
  <c r="S504" i="5" a="1"/>
  <c r="S480" i="5" a="1"/>
  <c r="S408" i="5" a="1"/>
  <c r="S360" i="5" a="1"/>
  <c r="S240" i="5" a="1"/>
  <c r="S216" i="5" a="1"/>
  <c r="S192" i="5" a="1"/>
  <c r="S144" i="5" a="1"/>
  <c r="S48" i="5" a="1"/>
  <c r="S232" i="5" a="1"/>
  <c r="S87" i="5" a="1"/>
  <c r="S731" i="5" a="1"/>
  <c r="S490" i="5" a="1"/>
  <c r="S370" i="5" a="1"/>
  <c r="S130" i="5" a="1"/>
  <c r="S497" i="5" a="1"/>
  <c r="S41" i="5" a="1"/>
  <c r="S495" i="5" a="1"/>
  <c r="S183" i="5" a="1"/>
  <c r="S593" i="5" a="1"/>
  <c r="S305" i="5" a="1"/>
  <c r="S137" i="5" a="1"/>
  <c r="S352" i="5" a="1"/>
  <c r="S40" i="5" a="1"/>
  <c r="S255" i="5" a="1"/>
  <c r="S491" i="5" a="1"/>
  <c r="S251" i="5" a="1"/>
  <c r="S682" i="5" a="1"/>
  <c r="S58" i="5" a="1"/>
  <c r="S476" i="5" a="1"/>
  <c r="S452" i="5" a="1"/>
  <c r="S404" i="5" a="1"/>
  <c r="S308" i="5" a="1"/>
  <c r="S260" i="5" a="1"/>
  <c r="S212" i="5" a="1"/>
  <c r="S140" i="5" a="1"/>
  <c r="S44" i="5" a="1"/>
  <c r="S544" i="5" a="1"/>
  <c r="S112" i="5" a="1"/>
  <c r="S639" i="5" a="1"/>
  <c r="S399" i="5" a="1"/>
  <c r="S683" i="5" a="1"/>
  <c r="S514" i="5" a="1"/>
  <c r="S346" i="5" a="1"/>
  <c r="S763" i="5" a="1"/>
  <c r="S643" i="5" a="1"/>
  <c r="S475" i="5" a="1"/>
  <c r="S379" i="5" a="1"/>
  <c r="S283" i="5" a="1"/>
  <c r="S259" i="5" a="1"/>
  <c r="S163" i="5" a="1"/>
  <c r="S91" i="5" a="1"/>
  <c r="S67" i="5" a="1"/>
  <c r="S689" i="5" a="1"/>
  <c r="S641" i="5" a="1"/>
  <c r="S353" i="5" a="1"/>
  <c r="S400" i="5" a="1"/>
  <c r="S184" i="5" a="1"/>
  <c r="S711" i="5" a="1"/>
  <c r="S635" i="5" a="1"/>
  <c r="S298" i="5" a="1"/>
  <c r="S258" i="5" a="1"/>
  <c r="S234" i="5" a="1"/>
  <c r="S114" i="5" a="1"/>
  <c r="S42" i="5" a="1"/>
  <c r="S496" i="5" a="1"/>
  <c r="S423" i="5" a="1"/>
  <c r="S324" i="5" a="1"/>
  <c r="S755" i="5" a="1"/>
  <c r="S395" i="5" a="1"/>
  <c r="S634" i="5" a="1"/>
  <c r="S466" i="5" a="1"/>
  <c r="S154" i="5" a="1"/>
  <c r="S586" i="5" a="1"/>
  <c r="S121" i="5" a="1"/>
  <c r="S383" i="5" a="1"/>
  <c r="S95" i="5" a="1"/>
  <c r="S718" i="5" a="1"/>
  <c r="S526" i="5" a="1"/>
  <c r="S358" i="5" a="1"/>
  <c r="S32" i="5" a="1"/>
  <c r="S175" i="5" a="1"/>
  <c r="S674" i="5" a="1"/>
  <c r="S335" i="5" a="1"/>
  <c r="S215" i="5" a="1"/>
  <c r="S47" i="5" a="1"/>
  <c r="S598" i="5" a="1"/>
  <c r="S406" i="5" a="1"/>
  <c r="S286" i="5" a="1"/>
  <c r="S94" i="5" a="1"/>
  <c r="S654" i="5" a="1"/>
  <c r="S270" i="5" a="1"/>
  <c r="S102" i="5" a="1"/>
  <c r="S578" i="5" a="1"/>
  <c r="S314" i="5" a="1"/>
  <c r="S481" i="5" a="1"/>
  <c r="S145" i="5" a="1"/>
  <c r="S24" i="5" a="1"/>
  <c r="S287" i="5" a="1"/>
  <c r="S167" i="5" a="1"/>
  <c r="S742" i="5" a="1"/>
  <c r="AB674" i="5" a="1"/>
  <c r="AB94" i="5" a="1"/>
  <c r="AB215" i="5" a="1"/>
  <c r="AB82" i="5" a="1"/>
  <c r="AB740" i="5" a="1"/>
  <c r="AB237" i="5" a="1"/>
  <c r="AB563" i="5" a="1"/>
  <c r="AB524" i="5" a="1"/>
  <c r="AB303" i="5" a="1"/>
  <c r="AB165" i="5" a="1"/>
  <c r="AB654" i="5" a="1"/>
  <c r="AB220" i="5" a="1"/>
  <c r="AB741" i="5" a="1"/>
  <c r="AB69" i="5" a="1"/>
  <c r="AB718" i="5" a="1"/>
  <c r="AB430" i="5" a="1"/>
  <c r="AB328" i="5" a="1"/>
  <c r="AB191" i="5" a="1"/>
  <c r="AB477" i="5" a="1"/>
  <c r="AB615" i="5" a="1"/>
  <c r="AB525" i="5" a="1"/>
  <c r="AB714" i="5" a="1"/>
  <c r="AB175" i="5" a="1"/>
  <c r="AB286" i="5" a="1"/>
  <c r="AB546" i="5" a="1"/>
  <c r="AB578" i="5" a="1"/>
  <c r="AB358" i="5" a="1"/>
  <c r="AB737" i="5" a="1"/>
  <c r="AB95" i="5" a="1"/>
  <c r="AB406" i="5" a="1"/>
  <c r="AB483" i="5" a="1"/>
  <c r="AB106" i="5" a="1"/>
  <c r="AB65" i="5" a="1"/>
  <c r="AB501" i="5" a="1"/>
  <c r="AB333" i="5" a="1"/>
  <c r="AB538" i="5" a="1"/>
  <c r="AB570" i="5" a="1"/>
  <c r="AB692" i="5" a="1"/>
  <c r="AB47" i="5" a="1"/>
  <c r="AB594" i="5" a="1"/>
  <c r="AB46" i="5" a="1"/>
  <c r="AB102" i="5" a="1"/>
  <c r="AB707" i="5" a="1"/>
  <c r="AB515" i="5" a="1"/>
  <c r="AB455" i="5" a="1"/>
  <c r="AB382" i="5" a="1"/>
  <c r="AB24" i="5" a="1"/>
  <c r="AB659" i="5" a="1"/>
  <c r="AB117" i="5" a="1"/>
  <c r="AB738" i="5" a="1"/>
  <c r="AB454" i="5" a="1"/>
  <c r="AB645" i="5" a="1"/>
  <c r="AB347" i="5" a="1"/>
  <c r="AB596" i="5" a="1"/>
  <c r="AB591" i="5" a="1"/>
  <c r="AB547" i="5" a="1"/>
  <c r="AB332" i="5" a="1"/>
  <c r="AB597" i="5" a="1"/>
  <c r="AB526" i="5" a="1"/>
  <c r="AB235" i="5" a="1"/>
  <c r="AB213" i="5" a="1"/>
  <c r="AB405" i="5" a="1"/>
  <c r="AB178" i="5" a="1"/>
  <c r="AB270" i="5" a="1"/>
  <c r="AB545" i="5" a="1"/>
  <c r="AB335" i="5" a="1"/>
  <c r="AB383" i="5" a="1"/>
  <c r="AB167" i="5" a="1"/>
  <c r="AB71" i="5" a="1"/>
  <c r="AB549" i="5" a="1"/>
  <c r="AB548" i="5" a="1"/>
  <c r="AB762" i="5" a="1"/>
  <c r="AB642" i="5" a="1"/>
  <c r="AB116" i="5" a="1"/>
  <c r="AB141" i="5" a="1"/>
  <c r="AB186" i="5" a="1"/>
  <c r="AB736" i="5" a="1"/>
  <c r="AB384" i="5" a="1"/>
  <c r="AB32" i="5" a="1"/>
  <c r="AB739" i="5" a="1"/>
  <c r="AB121" i="5" a="1"/>
  <c r="AB287" i="5" a="1"/>
  <c r="AB573" i="5" a="1"/>
  <c r="AB280" i="5" a="1"/>
  <c r="AB262" i="5" a="1"/>
  <c r="AB238" i="5" a="1"/>
  <c r="AB742" i="5" a="1"/>
  <c r="AB453" i="5" a="1"/>
  <c r="AB22" i="5" a="1"/>
  <c r="AB550" i="5" a="1"/>
  <c r="AB474" i="5" a="1"/>
  <c r="AB145" i="5" a="1"/>
  <c r="AB314" i="5" a="1"/>
  <c r="AB571" i="5" a="1"/>
  <c r="AB214" i="5" a="1"/>
  <c r="AB285" i="5" a="1"/>
  <c r="AB717" i="5" a="1"/>
  <c r="AB447" i="5" a="1"/>
  <c r="AB166" i="5" a="1"/>
  <c r="AB598" i="5" a="1"/>
  <c r="AB275" i="5" a="1"/>
  <c r="AB231" i="5" a="1"/>
  <c r="AB299" i="5" a="1"/>
  <c r="AB233" i="5" a="1"/>
  <c r="S384" i="5" a="1"/>
  <c r="S430" i="5" a="1"/>
  <c r="S262" i="5" a="1"/>
  <c r="S220" i="5" a="1"/>
  <c r="S483" i="5" a="1"/>
  <c r="S455" i="5" a="1"/>
  <c r="S191" i="5" a="1"/>
  <c r="S550" i="5" a="1"/>
  <c r="S382" i="5" a="1"/>
  <c r="S214" i="5" a="1"/>
  <c r="S22" i="5" a="1"/>
  <c r="S741" i="5" a="1"/>
  <c r="S717" i="5" a="1"/>
  <c r="S645" i="5" a="1"/>
  <c r="S597" i="5" a="1"/>
  <c r="S573" i="5" a="1"/>
  <c r="S549" i="5" a="1"/>
  <c r="S525" i="5" a="1"/>
  <c r="S501" i="5" a="1"/>
  <c r="S477" i="5" a="1"/>
  <c r="S453" i="5" a="1"/>
  <c r="S405" i="5" a="1"/>
  <c r="S333" i="5" a="1"/>
  <c r="S285" i="5" a="1"/>
  <c r="S237" i="5" a="1"/>
  <c r="S213" i="5" a="1"/>
  <c r="S165" i="5" a="1"/>
  <c r="S141" i="5" a="1"/>
  <c r="S117" i="5" a="1"/>
  <c r="S69" i="5" a="1"/>
  <c r="S740" i="5" a="1"/>
  <c r="S692" i="5" a="1"/>
  <c r="S596" i="5" a="1"/>
  <c r="S548" i="5" a="1"/>
  <c r="S524" i="5" a="1"/>
  <c r="S332" i="5" a="1"/>
  <c r="S116" i="5" a="1"/>
  <c r="S615" i="5" a="1"/>
  <c r="S447" i="5" a="1"/>
  <c r="S303" i="5" a="1"/>
  <c r="S238" i="5" a="1"/>
  <c r="S46" i="5" a="1"/>
  <c r="S739" i="5" a="1"/>
  <c r="S571" i="5" a="1"/>
  <c r="S547" i="5" a="1"/>
  <c r="S235" i="5" a="1"/>
  <c r="S762" i="5" a="1"/>
  <c r="S738" i="5" a="1"/>
  <c r="S714" i="5" a="1"/>
  <c r="S642" i="5" a="1"/>
  <c r="S594" i="5" a="1"/>
  <c r="S570" i="5" a="1"/>
  <c r="S546" i="5" a="1"/>
  <c r="S474" i="5" a="1"/>
  <c r="S186" i="5" a="1"/>
  <c r="S166" i="5" a="1"/>
  <c r="S737" i="5" a="1"/>
  <c r="S545" i="5" a="1"/>
  <c r="S233" i="5" a="1"/>
  <c r="S65" i="5" a="1"/>
  <c r="S736" i="5" a="1"/>
  <c r="S328" i="5" a="1"/>
  <c r="S280" i="5" a="1"/>
  <c r="S591" i="5" a="1"/>
  <c r="S231" i="5" a="1"/>
  <c r="S707" i="5" a="1"/>
  <c r="S659" i="5" a="1"/>
  <c r="S563" i="5" a="1"/>
  <c r="S515" i="5" a="1"/>
  <c r="S347" i="5" a="1"/>
  <c r="S299" i="5" a="1"/>
  <c r="S275" i="5" a="1"/>
  <c r="S538" i="5" a="1"/>
  <c r="S178" i="5" a="1"/>
  <c r="S106" i="5" a="1"/>
  <c r="S82" i="5" a="1"/>
  <c r="S71" i="5" a="1"/>
  <c r="S454" i="5" a="1"/>
  <c r="S148" i="5" a="1"/>
  <c r="S747" i="5" a="1"/>
  <c r="S721" i="5" a="1"/>
  <c r="S625" i="5" a="1"/>
  <c r="S505" i="5" a="1"/>
  <c r="S313" i="5" a="1"/>
  <c r="S72" i="5" a="1"/>
  <c r="S529" i="5" a="1"/>
  <c r="S703" i="5" a="1"/>
  <c r="S172" i="5" a="1"/>
  <c r="S76" i="5" a="1"/>
  <c r="S697" i="5" a="1"/>
  <c r="S673" i="5" a="1"/>
  <c r="S649" i="5" a="1"/>
  <c r="S193" i="5" a="1"/>
  <c r="S100" i="5" a="1"/>
  <c r="S555" i="5" a="1"/>
  <c r="S170" i="5" a="1"/>
  <c r="S601" i="5" a="1"/>
  <c r="S457" i="5" a="1"/>
  <c r="S725" i="5" a="1"/>
  <c r="S677" i="5" a="1"/>
  <c r="S653" i="5" a="1"/>
  <c r="S629" i="5" a="1"/>
  <c r="S557" i="5" a="1"/>
  <c r="S461" i="5" a="1"/>
  <c r="S413" i="5" a="1"/>
  <c r="S293" i="5" a="1"/>
  <c r="S221" i="5" a="1"/>
  <c r="S173" i="5" a="1"/>
  <c r="S149" i="5" a="1"/>
  <c r="S125" i="5" a="1"/>
  <c r="S101" i="5" a="1"/>
  <c r="S77" i="5" a="1"/>
  <c r="S29" i="5" a="1"/>
  <c r="S28" i="5" a="1"/>
  <c r="S579" i="5" a="1"/>
  <c r="S745" i="5" a="1"/>
  <c r="S577" i="5" a="1"/>
  <c r="S289" i="5" a="1"/>
  <c r="S724" i="5" a="1"/>
  <c r="S700" i="5" a="1"/>
  <c r="S676" i="5" a="1"/>
  <c r="S628" i="5" a="1"/>
  <c r="S604" i="5" a="1"/>
  <c r="S580" i="5" a="1"/>
  <c r="S556" i="5" a="1"/>
  <c r="S508" i="5" a="1"/>
  <c r="S484" i="5" a="1"/>
  <c r="S436" i="5" a="1"/>
  <c r="S388" i="5" a="1"/>
  <c r="S364" i="5" a="1"/>
  <c r="S268" i="5" a="1"/>
  <c r="AB407" i="5" a="1"/>
  <c r="AB646" i="5" a="1"/>
  <c r="AB478" i="5" a="1"/>
  <c r="AB693" i="5" a="1"/>
  <c r="AB28" i="5" a="1"/>
  <c r="AB668" i="5" a="1"/>
  <c r="AB289" i="5" a="1"/>
  <c r="AB555" i="5" a="1"/>
  <c r="AB173" i="5" a="1"/>
  <c r="AB508" i="5" a="1"/>
  <c r="AB481" i="5" a="1"/>
  <c r="AB765" i="5" a="1"/>
  <c r="AB429" i="5" a="1"/>
  <c r="AB76" i="5" a="1"/>
  <c r="AB100" i="5" a="1"/>
  <c r="AB580" i="5" a="1"/>
  <c r="AB125" i="5" a="1"/>
  <c r="AB457" i="5" a="1"/>
  <c r="AB721" i="5" a="1"/>
  <c r="AB413" i="5" a="1"/>
  <c r="AB456" i="5" a="1"/>
  <c r="AB676" i="5" a="1"/>
  <c r="AB93" i="5" a="1"/>
  <c r="AB142" i="5" a="1"/>
  <c r="AB149" i="5" a="1"/>
  <c r="AB649" i="5" a="1"/>
  <c r="AB703" i="5" a="1"/>
  <c r="AB313" i="5" a="1"/>
  <c r="AB621" i="5" a="1"/>
  <c r="AB77" i="5" a="1"/>
  <c r="AB190" i="5" a="1"/>
  <c r="AB620" i="5" a="1"/>
  <c r="AB619" i="5" a="1"/>
  <c r="AB747" i="5" a="1"/>
  <c r="AB164" i="5" a="1"/>
  <c r="AB261" i="5" a="1"/>
  <c r="AB647" i="5" a="1"/>
  <c r="AB604" i="5" a="1"/>
  <c r="AB364" i="5" a="1"/>
  <c r="AB764" i="5" a="1"/>
  <c r="AB311" i="5" a="1"/>
  <c r="AB759" i="5" a="1"/>
  <c r="AB23" i="5" a="1"/>
  <c r="AB189" i="5" a="1"/>
  <c r="AB45" i="5" a="1"/>
  <c r="AB268" i="5" a="1"/>
  <c r="AB743" i="5" a="1"/>
  <c r="AB307" i="5" a="1"/>
  <c r="AB629" i="5" a="1"/>
  <c r="AB653" i="5" a="1"/>
  <c r="AB695" i="5" a="1"/>
  <c r="AB436" i="5" a="1"/>
  <c r="AB293" i="5" a="1"/>
  <c r="AB221" i="5" a="1"/>
  <c r="AB725" i="5" a="1"/>
  <c r="AB377" i="5" a="1"/>
  <c r="AB745" i="5" a="1"/>
  <c r="AB577" i="5" a="1"/>
  <c r="AB170" i="5" a="1"/>
  <c r="AB72" i="5" a="1"/>
  <c r="AB579" i="5" a="1"/>
  <c r="AB193" i="5" a="1"/>
  <c r="AB644" i="5" a="1"/>
  <c r="AB700" i="5" a="1"/>
  <c r="AB502" i="5" a="1"/>
  <c r="AB461" i="5" a="1"/>
  <c r="AB572" i="5" a="1"/>
  <c r="AB625" i="5" a="1"/>
  <c r="AB355" i="5" a="1"/>
  <c r="AB529" i="5" a="1"/>
  <c r="AB119" i="5" a="1"/>
  <c r="AB148" i="5" a="1"/>
  <c r="AB574" i="5" a="1"/>
  <c r="AB697" i="5" a="1"/>
  <c r="AB592" i="5" a="1"/>
  <c r="AB310" i="5" a="1"/>
  <c r="AB527" i="5" a="1"/>
  <c r="AB312" i="5" a="1"/>
  <c r="AB388" i="5" a="1"/>
  <c r="AB648" i="5" a="1"/>
  <c r="AB381" i="5" a="1"/>
  <c r="AB595" i="5" a="1"/>
  <c r="AB239" i="5" a="1"/>
  <c r="AB640" i="5" a="1"/>
  <c r="AB484" i="5" a="1"/>
  <c r="AB70" i="5" a="1"/>
  <c r="AB669" i="5" a="1"/>
  <c r="AB551" i="5" a="1"/>
  <c r="AB716" i="5" a="1"/>
  <c r="AB336" i="5" a="1"/>
  <c r="AB556" i="5" a="1"/>
  <c r="AB29" i="5" a="1"/>
  <c r="AB724" i="5" a="1"/>
  <c r="AB362" i="5" a="1"/>
  <c r="AB309" i="5" a="1"/>
  <c r="AB671" i="5" a="1"/>
  <c r="AB616" i="5" a="1"/>
  <c r="AB601" i="5" a="1"/>
  <c r="AB172" i="5" a="1"/>
  <c r="AB677" i="5" a="1"/>
  <c r="AB143" i="5" a="1"/>
  <c r="AB673" i="5" a="1"/>
  <c r="AB767" i="5" a="1"/>
  <c r="AB111" i="5" a="1"/>
  <c r="AB628" i="5" a="1"/>
  <c r="AB64" i="5" a="1"/>
  <c r="AB329" i="5" a="1"/>
  <c r="AB101" i="5" a="1"/>
  <c r="AB115" i="5" a="1"/>
  <c r="AB505" i="5" a="1"/>
  <c r="S362" i="5" a="1"/>
  <c r="S648" i="5" a="1"/>
  <c r="S456" i="5" a="1"/>
  <c r="S767" i="5" a="1"/>
  <c r="S743" i="5" a="1"/>
  <c r="S695" i="5" a="1"/>
  <c r="S671" i="5" a="1"/>
  <c r="S647" i="5" a="1"/>
  <c r="S551" i="5" a="1"/>
  <c r="S527" i="5" a="1"/>
  <c r="S407" i="5" a="1"/>
  <c r="S311" i="5" a="1"/>
  <c r="S239" i="5" a="1"/>
  <c r="S143" i="5" a="1"/>
  <c r="S119" i="5" a="1"/>
  <c r="S23" i="5" a="1"/>
  <c r="S669" i="5" a="1"/>
  <c r="S381" i="5" a="1"/>
  <c r="S261" i="5" a="1"/>
  <c r="S93" i="5" a="1"/>
  <c r="S45" i="5" a="1"/>
  <c r="S646" i="5" a="1"/>
  <c r="S574" i="5" a="1"/>
  <c r="S502" i="5" a="1"/>
  <c r="S478" i="5" a="1"/>
  <c r="S310" i="5" a="1"/>
  <c r="S190" i="5" a="1"/>
  <c r="S142" i="5" a="1"/>
  <c r="S70" i="5" a="1"/>
  <c r="S765" i="5" a="1"/>
  <c r="S693" i="5" a="1"/>
  <c r="S621" i="5" a="1"/>
  <c r="S429" i="5" a="1"/>
  <c r="S309" i="5" a="1"/>
  <c r="S189" i="5" a="1"/>
  <c r="S115" i="5" a="1"/>
  <c r="S312" i="5" a="1"/>
  <c r="S764" i="5" a="1"/>
  <c r="S716" i="5" a="1"/>
  <c r="S668" i="5" a="1"/>
  <c r="S644" i="5" a="1"/>
  <c r="S620" i="5" a="1"/>
  <c r="S572" i="5" a="1"/>
  <c r="S164" i="5" a="1"/>
  <c r="S619" i="5" a="1"/>
  <c r="S595" i="5" a="1"/>
  <c r="S355" i="5" a="1"/>
  <c r="S307" i="5" a="1"/>
  <c r="S377" i="5" a="1"/>
  <c r="S329" i="5" a="1"/>
  <c r="S64" i="5" a="1"/>
  <c r="S640" i="5" a="1"/>
  <c r="S616" i="5" a="1"/>
  <c r="S592" i="5" a="1"/>
  <c r="S111" i="5" a="1"/>
  <c r="S759" i="5" a="1"/>
  <c r="S336" i="5" a="1"/>
  <c r="S771" i="5" a="1"/>
  <c r="S770" i="5" a="1"/>
  <c r="S769" i="5" a="1"/>
  <c r="S631" i="5" a="1"/>
  <c r="S607" i="5" a="1"/>
  <c r="S559" i="5" a="1"/>
  <c r="S463" i="5" a="1"/>
  <c r="S768" i="5" a="1"/>
  <c r="S159" i="5" a="1"/>
  <c r="S749" i="5" a="1"/>
  <c r="S701" i="5" a="1"/>
  <c r="S605" i="5" a="1"/>
  <c r="S581" i="5" a="1"/>
  <c r="S533" i="5" a="1"/>
  <c r="S509" i="5" a="1"/>
  <c r="S485" i="5" a="1"/>
  <c r="S437" i="5" a="1"/>
  <c r="S389" i="5" a="1"/>
  <c r="S365" i="5" a="1"/>
  <c r="S341" i="5" a="1"/>
  <c r="S317" i="5" a="1"/>
  <c r="S269" i="5" a="1"/>
  <c r="S245" i="5" a="1"/>
  <c r="S197" i="5" a="1"/>
  <c r="S53" i="5" a="1"/>
  <c r="S748" i="5" a="1"/>
  <c r="S652" i="5" a="1"/>
  <c r="S532" i="5" a="1"/>
  <c r="S460" i="5" a="1"/>
  <c r="S412" i="5" a="1"/>
  <c r="S340" i="5" a="1"/>
  <c r="S316" i="5" a="1"/>
  <c r="S292" i="5" a="1"/>
  <c r="S244" i="5" a="1"/>
  <c r="S196" i="5" a="1"/>
  <c r="S124" i="5" a="1"/>
  <c r="S52" i="5" a="1"/>
  <c r="AB244" i="5" a="1"/>
  <c r="AB428" i="5" a="1"/>
  <c r="AB99" i="5" a="1"/>
  <c r="AB650" i="5" a="1"/>
  <c r="AB316" i="5" a="1"/>
  <c r="AB719" i="5" a="1"/>
  <c r="AB771" i="5" a="1"/>
  <c r="AB675" i="5" a="1"/>
  <c r="AB618" i="5" a="1"/>
  <c r="AB378" i="5" a="1"/>
  <c r="AB365" i="5" a="1"/>
  <c r="AB509" i="5" a="1"/>
  <c r="AB749" i="5" a="1"/>
  <c r="AB412" i="5" a="1"/>
  <c r="AB607" i="5" a="1"/>
  <c r="AB418" i="5" a="1"/>
  <c r="AB599" i="5" a="1"/>
  <c r="AB498" i="5" a="1"/>
  <c r="AB359" i="5" a="1"/>
  <c r="AB52" i="5" a="1"/>
  <c r="AB351" i="5" a="1"/>
  <c r="AB196" i="5" a="1"/>
  <c r="AB623" i="5" a="1"/>
  <c r="AB666" i="5" a="1"/>
  <c r="AB389" i="5" a="1"/>
  <c r="AB460" i="5" a="1"/>
  <c r="AB53" i="5" a="1"/>
  <c r="AB113" i="5" a="1"/>
  <c r="AB290" i="5" a="1"/>
  <c r="AB435" i="5" a="1"/>
  <c r="AB748" i="5" a="1"/>
  <c r="AB334" i="5" a="1"/>
  <c r="AB21" i="5" a="1"/>
  <c r="AB338" i="5" a="1"/>
  <c r="AB506" i="5" a="1"/>
  <c r="AB553" i="5" a="1"/>
  <c r="AB263" i="5" a="1"/>
  <c r="AB138" i="5" a="1"/>
  <c r="AB713" i="5" a="1"/>
  <c r="AB694" i="5" a="1"/>
  <c r="AB197" i="5" a="1"/>
  <c r="AB479" i="5" a="1"/>
  <c r="AB557" i="5" a="1"/>
  <c r="AB575" i="5" a="1"/>
  <c r="AB701" i="5" a="1"/>
  <c r="AB766" i="5" a="1"/>
  <c r="AB291" i="5" a="1"/>
  <c r="AB357" i="5" a="1"/>
  <c r="AB159" i="5" a="1"/>
  <c r="AB124" i="5" a="1"/>
  <c r="AB118" i="5" a="1"/>
  <c r="AB769" i="5" a="1"/>
  <c r="AB768" i="5" a="1"/>
  <c r="AB450" i="5" a="1"/>
  <c r="AB533" i="5" a="1"/>
  <c r="AB531" i="5" a="1"/>
  <c r="AB245" i="5" a="1"/>
  <c r="AB499" i="5" a="1"/>
  <c r="AB485" i="5" a="1"/>
  <c r="AB473" i="5" a="1"/>
  <c r="AB330" i="5" a="1"/>
  <c r="AB426" i="5" a="1"/>
  <c r="AB354" i="5" a="1"/>
  <c r="AB652" i="5" a="1"/>
  <c r="AB503" i="5" a="1"/>
  <c r="AB317" i="5" a="1"/>
  <c r="AB264" i="5" a="1"/>
  <c r="AB624" i="5" a="1"/>
  <c r="AB269" i="5" a="1"/>
  <c r="AB581" i="5" a="1"/>
  <c r="AB690" i="5" a="1"/>
  <c r="AB605" i="5" a="1"/>
  <c r="AB356" i="5" a="1"/>
  <c r="AB341" i="5" a="1"/>
  <c r="AB532" i="5" a="1"/>
  <c r="AB437" i="5" a="1"/>
  <c r="AB431" i="5" a="1"/>
  <c r="AB25" i="5" a="1"/>
  <c r="AB292" i="5" a="1"/>
  <c r="AB622" i="5" a="1"/>
  <c r="AB631" i="5" a="1"/>
  <c r="AB427" i="5" a="1"/>
  <c r="AB424" i="5" a="1"/>
  <c r="AB770" i="5" a="1"/>
  <c r="AB463" i="5" a="1"/>
  <c r="AB559" i="5" a="1"/>
  <c r="AB340" i="5" a="1"/>
  <c r="AB670" i="5" a="1"/>
  <c r="AB522" i="5" a="1"/>
  <c r="S675" i="5" a="1"/>
  <c r="S531" i="5" a="1"/>
  <c r="S435" i="5" a="1"/>
  <c r="S291" i="5" a="1"/>
  <c r="S99" i="5" a="1"/>
  <c r="S650" i="5" a="1"/>
  <c r="S506" i="5" a="1"/>
  <c r="S338" i="5" a="1"/>
  <c r="S290" i="5" a="1"/>
  <c r="S553" i="5" a="1"/>
  <c r="S25" i="5" a="1"/>
  <c r="S351" i="5" a="1"/>
  <c r="S624" i="5" a="1"/>
  <c r="S264" i="5" a="1"/>
  <c r="S719" i="5" a="1"/>
  <c r="S623" i="5" a="1"/>
  <c r="S599" i="5" a="1"/>
  <c r="S575" i="5" a="1"/>
  <c r="S503" i="5" a="1"/>
  <c r="S479" i="5" a="1"/>
  <c r="S431" i="5" a="1"/>
  <c r="S359" i="5" a="1"/>
  <c r="S263" i="5" a="1"/>
  <c r="S766" i="5" a="1"/>
  <c r="S694" i="5" a="1"/>
  <c r="S670" i="5" a="1"/>
  <c r="S622" i="5" a="1"/>
  <c r="S334" i="5" a="1"/>
  <c r="S118" i="5" a="1"/>
  <c r="S357" i="5" a="1"/>
  <c r="S418" i="5" a="1"/>
  <c r="S428" i="5" a="1"/>
  <c r="S356" i="5" a="1"/>
  <c r="S499" i="5" a="1"/>
  <c r="S427" i="5" a="1"/>
  <c r="S690" i="5" a="1"/>
  <c r="S666" i="5" a="1"/>
  <c r="S618" i="5" a="1"/>
  <c r="S522" i="5" a="1"/>
  <c r="S498" i="5" a="1"/>
  <c r="S450" i="5" a="1"/>
  <c r="S426" i="5" a="1"/>
  <c r="S378" i="5" a="1"/>
  <c r="S354" i="5" a="1"/>
  <c r="S330" i="5" a="1"/>
  <c r="S138" i="5" a="1"/>
  <c r="S713" i="5" a="1"/>
  <c r="S473" i="5" a="1"/>
  <c r="S113" i="5" a="1"/>
  <c r="S424" i="5" a="1"/>
  <c r="S21" i="5" a="1"/>
  <c r="S402" i="5" a="1"/>
  <c r="AB306" i="5" a="1"/>
  <c r="AB402" i="5" a="1"/>
  <c r="S306" i="5" a="1"/>
  <c r="AB773" i="5" a="1"/>
  <c r="AB772" i="5" a="1"/>
  <c r="V772" i="5"/>
  <c r="T773" i="5"/>
  <c r="U773" i="5"/>
  <c r="W772" i="5"/>
  <c r="T772" i="5"/>
  <c r="V773" i="5"/>
  <c r="U772" i="5"/>
  <c r="W773" i="5"/>
  <c r="S169" i="5" l="1"/>
  <c r="S156" i="5"/>
  <c r="S516" i="5"/>
  <c r="S236" i="5"/>
  <c r="S123" i="5"/>
  <c r="S627" i="5"/>
  <c r="AB187" i="5"/>
  <c r="AB325" i="5"/>
  <c r="AB123" i="5"/>
  <c r="AB199" i="5"/>
  <c r="AB516" i="5"/>
  <c r="AB627" i="5"/>
  <c r="AB704" i="5"/>
  <c r="AB372" i="5"/>
  <c r="AB156" i="5"/>
  <c r="AB756" i="5"/>
  <c r="AB236" i="5"/>
  <c r="AB300" i="5"/>
  <c r="AB169" i="5"/>
  <c r="AB678" i="5"/>
  <c r="S756" i="5"/>
  <c r="S187" i="5"/>
  <c r="S372" i="5"/>
  <c r="S678" i="5"/>
  <c r="S199" i="5"/>
  <c r="S300" i="5"/>
  <c r="S704" i="5"/>
  <c r="S325" i="5"/>
  <c r="S59" i="5"/>
  <c r="S131" i="5"/>
  <c r="S179" i="5"/>
  <c r="S36" i="5"/>
  <c r="S108" i="5"/>
  <c r="S132" i="5"/>
  <c r="S180" i="5"/>
  <c r="S204" i="5"/>
  <c r="S228" i="5"/>
  <c r="S252" i="5"/>
  <c r="S276" i="5"/>
  <c r="S348" i="5"/>
  <c r="S396" i="5"/>
  <c r="S420" i="5"/>
  <c r="S444" i="5"/>
  <c r="S468" i="5"/>
  <c r="S492" i="5"/>
  <c r="S540" i="5"/>
  <c r="S564" i="5"/>
  <c r="S588" i="5"/>
  <c r="S612" i="5"/>
  <c r="S636" i="5"/>
  <c r="S660" i="5"/>
  <c r="S684" i="5"/>
  <c r="S708" i="5"/>
  <c r="S732" i="5"/>
  <c r="S37" i="5"/>
  <c r="S61" i="5"/>
  <c r="S85" i="5"/>
  <c r="S109" i="5"/>
  <c r="S181" i="5"/>
  <c r="S205" i="5"/>
  <c r="S253" i="5"/>
  <c r="S277" i="5"/>
  <c r="S301" i="5"/>
  <c r="S349" i="5"/>
  <c r="S373" i="5"/>
  <c r="S397" i="5"/>
  <c r="S421" i="5"/>
  <c r="S469" i="5"/>
  <c r="S517" i="5"/>
  <c r="S541" i="5"/>
  <c r="S565" i="5"/>
  <c r="S589" i="5"/>
  <c r="S613" i="5"/>
  <c r="S637" i="5"/>
  <c r="S661" i="5"/>
  <c r="S709" i="5"/>
  <c r="S733" i="5"/>
  <c r="S134" i="5"/>
  <c r="S158" i="5"/>
  <c r="S230" i="5"/>
  <c r="S254" i="5"/>
  <c r="S302" i="5"/>
  <c r="S326" i="5"/>
  <c r="S350" i="5"/>
  <c r="S374" i="5"/>
  <c r="S398" i="5"/>
  <c r="S422" i="5"/>
  <c r="S446" i="5"/>
  <c r="S470" i="5"/>
  <c r="S518" i="5"/>
  <c r="S542" i="5"/>
  <c r="S566" i="5"/>
  <c r="S590" i="5"/>
  <c r="S710" i="5"/>
  <c r="S734" i="5"/>
  <c r="S758" i="5"/>
  <c r="S107" i="5"/>
  <c r="S227" i="5"/>
  <c r="S520" i="5"/>
  <c r="S688" i="5"/>
  <c r="S83" i="5"/>
  <c r="S203" i="5"/>
  <c r="S60" i="5"/>
  <c r="S63" i="5"/>
  <c r="S135" i="5"/>
  <c r="S279" i="5"/>
  <c r="S471" i="5"/>
  <c r="S735" i="5"/>
  <c r="S88" i="5"/>
  <c r="S256" i="5"/>
  <c r="S472" i="5"/>
  <c r="S89" i="5"/>
  <c r="S209" i="5"/>
  <c r="S257" i="5"/>
  <c r="S425" i="5"/>
  <c r="S449" i="5"/>
  <c r="S569" i="5"/>
  <c r="S665" i="5"/>
  <c r="S761" i="5"/>
  <c r="S35" i="5"/>
  <c r="S543" i="5"/>
  <c r="S376" i="5"/>
  <c r="S448" i="5"/>
  <c r="S568" i="5"/>
  <c r="S664" i="5"/>
  <c r="S66" i="5"/>
  <c r="S90" i="5"/>
  <c r="S162" i="5"/>
  <c r="S715" i="5"/>
  <c r="S92" i="5"/>
  <c r="S284" i="5"/>
  <c r="S380" i="5"/>
  <c r="S500" i="5"/>
  <c r="S120" i="5"/>
  <c r="S168" i="5"/>
  <c r="S288" i="5"/>
  <c r="S432" i="5"/>
  <c r="S528" i="5"/>
  <c r="S744" i="5"/>
  <c r="S73" i="5"/>
  <c r="S97" i="5"/>
  <c r="S241" i="5"/>
  <c r="S265" i="5"/>
  <c r="S337" i="5"/>
  <c r="S361" i="5"/>
  <c r="S403" i="5"/>
  <c r="S523" i="5"/>
  <c r="S411" i="5"/>
  <c r="S699" i="5"/>
  <c r="S43" i="5"/>
  <c r="S211" i="5"/>
  <c r="S331" i="5"/>
  <c r="S26" i="5"/>
  <c r="S122" i="5"/>
  <c r="S386" i="5"/>
  <c r="S51" i="5"/>
  <c r="S243" i="5"/>
  <c r="S222" i="5"/>
  <c r="S366" i="5"/>
  <c r="S462" i="5"/>
  <c r="S534" i="5"/>
  <c r="S606" i="5"/>
  <c r="S79" i="5"/>
  <c r="S103" i="5"/>
  <c r="S319" i="5"/>
  <c r="S343" i="5"/>
  <c r="S487" i="5"/>
  <c r="S511" i="5"/>
  <c r="S691" i="5"/>
  <c r="S266" i="5"/>
  <c r="S722" i="5"/>
  <c r="S507" i="5"/>
  <c r="S54" i="5"/>
  <c r="S126" i="5"/>
  <c r="S582" i="5"/>
  <c r="S56" i="5"/>
  <c r="S176" i="5"/>
  <c r="S200" i="5"/>
  <c r="S248" i="5"/>
  <c r="S296" i="5"/>
  <c r="S344" i="5"/>
  <c r="S392" i="5"/>
  <c r="S440" i="5"/>
  <c r="S464" i="5"/>
  <c r="S488" i="5"/>
  <c r="S728" i="5"/>
  <c r="S410" i="5"/>
  <c r="AB469" i="5"/>
  <c r="AB174" i="5"/>
  <c r="AB180" i="5"/>
  <c r="AB444" i="5"/>
  <c r="AB449" i="5"/>
  <c r="AB735" i="5"/>
  <c r="AB103" i="5"/>
  <c r="AB122" i="5"/>
  <c r="AB120" i="5"/>
  <c r="AB665" i="5"/>
  <c r="AB448" i="5"/>
  <c r="AB337" i="5"/>
  <c r="AB569" i="5"/>
  <c r="AB523" i="5"/>
  <c r="AB425" i="5"/>
  <c r="AB51" i="5"/>
  <c r="AB343" i="5"/>
  <c r="AB688" i="5"/>
  <c r="AB107" i="5"/>
  <c r="AB492" i="5"/>
  <c r="AB253" i="5"/>
  <c r="AB92" i="5"/>
  <c r="AB211" i="5"/>
  <c r="AB397" i="5"/>
  <c r="AB722" i="5"/>
  <c r="AB241" i="5"/>
  <c r="AB349" i="5"/>
  <c r="AB664" i="5"/>
  <c r="AB89" i="5"/>
  <c r="AB131" i="5"/>
  <c r="AB63" i="5"/>
  <c r="AB744" i="5"/>
  <c r="AB432" i="5"/>
  <c r="AB348" i="5"/>
  <c r="AB326" i="5"/>
  <c r="AB90" i="5"/>
  <c r="AB181" i="5"/>
  <c r="AB60" i="5"/>
  <c r="AB684" i="5"/>
  <c r="AB462" i="5"/>
  <c r="AB636" i="5"/>
  <c r="AB534" i="5"/>
  <c r="AB761" i="5"/>
  <c r="AB61" i="5"/>
  <c r="AB296" i="5"/>
  <c r="AB420" i="5"/>
  <c r="AB446" i="5"/>
  <c r="AB392" i="5"/>
  <c r="AB204" i="5"/>
  <c r="AB252" i="5"/>
  <c r="AB507" i="5"/>
  <c r="AB265" i="5"/>
  <c r="AB565" i="5"/>
  <c r="AB228" i="5"/>
  <c r="AB83" i="5"/>
  <c r="AB517" i="5"/>
  <c r="AB43" i="5"/>
  <c r="AB284" i="5"/>
  <c r="AB277" i="5"/>
  <c r="AB660" i="5"/>
  <c r="AB386" i="5"/>
  <c r="AB411" i="5"/>
  <c r="AB85" i="5"/>
  <c r="AB528" i="5"/>
  <c r="AB464" i="5"/>
  <c r="AB543" i="5"/>
  <c r="AB396" i="5"/>
  <c r="AB398" i="5"/>
  <c r="AB227" i="5"/>
  <c r="AB380" i="5"/>
  <c r="AB54" i="5"/>
  <c r="AB109" i="5"/>
  <c r="AB344" i="5"/>
  <c r="AB205" i="5"/>
  <c r="AB376" i="5"/>
  <c r="AB734" i="5"/>
  <c r="AB590" i="5"/>
  <c r="AB564" i="5"/>
  <c r="AB200" i="5"/>
  <c r="AB279" i="5"/>
  <c r="AB568" i="5"/>
  <c r="AB702" i="5"/>
  <c r="AB222" i="5"/>
  <c r="AB36" i="5"/>
  <c r="AB708" i="5"/>
  <c r="AB319" i="5"/>
  <c r="AB88" i="5"/>
  <c r="AB518" i="5"/>
  <c r="AB230" i="5"/>
  <c r="AB301" i="5"/>
  <c r="AB540" i="5"/>
  <c r="AB302" i="5"/>
  <c r="AB256" i="5"/>
  <c r="AB728" i="5"/>
  <c r="AB135" i="5"/>
  <c r="AB422" i="5"/>
  <c r="AB471" i="5"/>
  <c r="AB254" i="5"/>
  <c r="AB59" i="5"/>
  <c r="AB440" i="5"/>
  <c r="AB366" i="5"/>
  <c r="AB470" i="5"/>
  <c r="AB732" i="5"/>
  <c r="AB500" i="5"/>
  <c r="AB97" i="5"/>
  <c r="AB331" i="5"/>
  <c r="AB248" i="5"/>
  <c r="AB582" i="5"/>
  <c r="AB390" i="5"/>
  <c r="AB566" i="5"/>
  <c r="AB26" i="5"/>
  <c r="AB733" i="5"/>
  <c r="AB203" i="5"/>
  <c r="AB374" i="5"/>
  <c r="AB612" i="5"/>
  <c r="AB637" i="5"/>
  <c r="AB588" i="5"/>
  <c r="AB468" i="5"/>
  <c r="AB691" i="5"/>
  <c r="AB66" i="5"/>
  <c r="AB410" i="5"/>
  <c r="AB613" i="5"/>
  <c r="AB288" i="5"/>
  <c r="AB168" i="5"/>
  <c r="AB438" i="5"/>
  <c r="AB79" i="5"/>
  <c r="AB589" i="5"/>
  <c r="AB209" i="5"/>
  <c r="AB403" i="5"/>
  <c r="AB661" i="5"/>
  <c r="AB487" i="5"/>
  <c r="AB488" i="5"/>
  <c r="AB276" i="5"/>
  <c r="AB715" i="5"/>
  <c r="AB56" i="5"/>
  <c r="AB73" i="5"/>
  <c r="AB132" i="5"/>
  <c r="AB266" i="5"/>
  <c r="AB520" i="5"/>
  <c r="AB158" i="5"/>
  <c r="AB126" i="5"/>
  <c r="AB350" i="5"/>
  <c r="AB35" i="5"/>
  <c r="AB758" i="5"/>
  <c r="AB542" i="5"/>
  <c r="AB709" i="5"/>
  <c r="AB472" i="5"/>
  <c r="AB361" i="5"/>
  <c r="AB257" i="5"/>
  <c r="AB373" i="5"/>
  <c r="AB243" i="5"/>
  <c r="AB176" i="5"/>
  <c r="AB108" i="5"/>
  <c r="AB421" i="5"/>
  <c r="AB162" i="5"/>
  <c r="AB134" i="5"/>
  <c r="AB179" i="5"/>
  <c r="AB606" i="5"/>
  <c r="AB511" i="5"/>
  <c r="AB541" i="5"/>
  <c r="AB699" i="5"/>
  <c r="AB37" i="5"/>
  <c r="AB710" i="5"/>
  <c r="S174" i="5"/>
  <c r="S390" i="5"/>
  <c r="S438" i="5"/>
  <c r="S702" i="5"/>
  <c r="S62" i="5"/>
  <c r="S686" i="5"/>
  <c r="S96" i="5"/>
  <c r="S84" i="5"/>
  <c r="S86" i="5"/>
  <c r="S206" i="5"/>
  <c r="S133" i="5"/>
  <c r="S157" i="5"/>
  <c r="S229" i="5"/>
  <c r="S445" i="5"/>
  <c r="S493" i="5"/>
  <c r="S685" i="5"/>
  <c r="S757" i="5"/>
  <c r="S207" i="5"/>
  <c r="S327" i="5"/>
  <c r="S663" i="5"/>
  <c r="S662" i="5"/>
  <c r="S281" i="5"/>
  <c r="S401" i="5"/>
  <c r="S521" i="5"/>
  <c r="S617" i="5"/>
  <c r="S712" i="5"/>
  <c r="S282" i="5"/>
  <c r="S38" i="5"/>
  <c r="S182" i="5"/>
  <c r="S160" i="5"/>
  <c r="S760" i="5"/>
  <c r="S161" i="5"/>
  <c r="S185" i="5"/>
  <c r="S210" i="5"/>
  <c r="S139" i="5"/>
  <c r="S451" i="5"/>
  <c r="S667" i="5"/>
  <c r="S68" i="5"/>
  <c r="S188" i="5"/>
  <c r="S208" i="5"/>
  <c r="S672" i="5"/>
  <c r="S98" i="5"/>
  <c r="S458" i="5"/>
  <c r="S554" i="5"/>
  <c r="S602" i="5"/>
  <c r="S746" i="5"/>
  <c r="AB68" i="5"/>
  <c r="AB614" i="5"/>
  <c r="AB584" i="5"/>
  <c r="AB96" i="5"/>
  <c r="AB281" i="5"/>
  <c r="AB282" i="5"/>
  <c r="AB512" i="5"/>
  <c r="AB633" i="5"/>
  <c r="AB160" i="5"/>
  <c r="AB33" i="5"/>
  <c r="AB554" i="5"/>
  <c r="AB685" i="5"/>
  <c r="AB445" i="5"/>
  <c r="AB84" i="5"/>
  <c r="AB249" i="5"/>
  <c r="AB439" i="5"/>
  <c r="AB198" i="5"/>
  <c r="AB751" i="5"/>
  <c r="AB294" i="5"/>
  <c r="AB146" i="5"/>
  <c r="AB414" i="5"/>
  <c r="AB369" i="5"/>
  <c r="AB339" i="5"/>
  <c r="AB210" i="5"/>
  <c r="AB182" i="5"/>
  <c r="AB667" i="5"/>
  <c r="AB368" i="5"/>
  <c r="AB342" i="5"/>
  <c r="AB451" i="5"/>
  <c r="AB458" i="5"/>
  <c r="AB39" i="5"/>
  <c r="AB663" i="5"/>
  <c r="AB110" i="5"/>
  <c r="AB38" i="5"/>
  <c r="AB208" i="5"/>
  <c r="AB537" i="5"/>
  <c r="AB583" i="5"/>
  <c r="AB129" i="5"/>
  <c r="AB161" i="5"/>
  <c r="AB278" i="5"/>
  <c r="AB680" i="5"/>
  <c r="AB152" i="5"/>
  <c r="AB521" i="5"/>
  <c r="AB561" i="5"/>
  <c r="AB712" i="5"/>
  <c r="AB206" i="5"/>
  <c r="AB229" i="5"/>
  <c r="AB157" i="5"/>
  <c r="AB139" i="5"/>
  <c r="AB271" i="5"/>
  <c r="AB86" i="5"/>
  <c r="AB188" i="5"/>
  <c r="AB367" i="5"/>
  <c r="AB662" i="5"/>
  <c r="AB321" i="5"/>
  <c r="AB760" i="5"/>
  <c r="AB401" i="5"/>
  <c r="AB98" i="5"/>
  <c r="AB133" i="5"/>
  <c r="AB746" i="5"/>
  <c r="AB686" i="5"/>
  <c r="AB672" i="5"/>
  <c r="AB273" i="5"/>
  <c r="AB441" i="5"/>
  <c r="AB247" i="5"/>
  <c r="AB608" i="5"/>
  <c r="AB757" i="5"/>
  <c r="AB638" i="5"/>
  <c r="AB609" i="5"/>
  <c r="AB494" i="5"/>
  <c r="AB493" i="5"/>
  <c r="AB31" i="5"/>
  <c r="AB465" i="5"/>
  <c r="AB409" i="5"/>
  <c r="AB150" i="5"/>
  <c r="AB617" i="5"/>
  <c r="AB729" i="5"/>
  <c r="AB185" i="5"/>
  <c r="AB136" i="5"/>
  <c r="AB630" i="5"/>
  <c r="AB219" i="5"/>
  <c r="AB327" i="5"/>
  <c r="AB602" i="5"/>
  <c r="AB62" i="5"/>
  <c r="AB417" i="5"/>
  <c r="AB207" i="5"/>
  <c r="AB246" i="5"/>
  <c r="S150" i="5"/>
  <c r="S198" i="5"/>
  <c r="S246" i="5"/>
  <c r="S294" i="5"/>
  <c r="S342" i="5"/>
  <c r="S414" i="5"/>
  <c r="S630" i="5"/>
  <c r="S110" i="5"/>
  <c r="S278" i="5"/>
  <c r="S494" i="5"/>
  <c r="S614" i="5"/>
  <c r="S39" i="5"/>
  <c r="S136" i="5"/>
  <c r="S409" i="5"/>
  <c r="S219" i="5"/>
  <c r="S339" i="5"/>
  <c r="S31" i="5"/>
  <c r="S247" i="5"/>
  <c r="S271" i="5"/>
  <c r="S367" i="5"/>
  <c r="S439" i="5"/>
  <c r="S583" i="5"/>
  <c r="S751" i="5"/>
  <c r="S146" i="5"/>
  <c r="S152" i="5"/>
  <c r="S368" i="5"/>
  <c r="S512" i="5"/>
  <c r="S584" i="5"/>
  <c r="S608" i="5"/>
  <c r="S680" i="5"/>
  <c r="S638" i="5"/>
  <c r="S33" i="5"/>
  <c r="S129" i="5"/>
  <c r="S249" i="5"/>
  <c r="S273" i="5"/>
  <c r="S321" i="5"/>
  <c r="S369" i="5"/>
  <c r="S417" i="5"/>
  <c r="S441" i="5"/>
  <c r="S465" i="5"/>
  <c r="S537" i="5"/>
  <c r="S561" i="5"/>
  <c r="S609" i="5"/>
  <c r="S633" i="5"/>
  <c r="S729" i="5"/>
  <c r="S586" i="5"/>
  <c r="S154" i="5"/>
  <c r="S466" i="5"/>
  <c r="S634" i="5"/>
  <c r="S395" i="5"/>
  <c r="S755" i="5"/>
  <c r="S324" i="5"/>
  <c r="S423" i="5"/>
  <c r="S496" i="5"/>
  <c r="S42" i="5"/>
  <c r="S114" i="5"/>
  <c r="S234" i="5"/>
  <c r="S258" i="5"/>
  <c r="S298" i="5"/>
  <c r="S635" i="5"/>
  <c r="S711" i="5"/>
  <c r="S184" i="5"/>
  <c r="S400" i="5"/>
  <c r="S353" i="5"/>
  <c r="S641" i="5"/>
  <c r="S689" i="5"/>
  <c r="S67" i="5"/>
  <c r="S91" i="5"/>
  <c r="S163" i="5"/>
  <c r="S259" i="5"/>
  <c r="S283" i="5"/>
  <c r="S379" i="5"/>
  <c r="S475" i="5"/>
  <c r="S643" i="5"/>
  <c r="S763" i="5"/>
  <c r="S346" i="5"/>
  <c r="S514" i="5"/>
  <c r="S683" i="5"/>
  <c r="S399" i="5"/>
  <c r="S639" i="5"/>
  <c r="S112" i="5"/>
  <c r="S544" i="5"/>
  <c r="S44" i="5"/>
  <c r="S140" i="5"/>
  <c r="S212" i="5"/>
  <c r="S260" i="5"/>
  <c r="S308" i="5"/>
  <c r="S404" i="5"/>
  <c r="S452" i="5"/>
  <c r="S476" i="5"/>
  <c r="S58" i="5"/>
  <c r="S682" i="5"/>
  <c r="S251" i="5"/>
  <c r="S491" i="5"/>
  <c r="S255" i="5"/>
  <c r="S40" i="5"/>
  <c r="S352" i="5"/>
  <c r="S137" i="5"/>
  <c r="S305" i="5"/>
  <c r="S593" i="5"/>
  <c r="S183" i="5"/>
  <c r="S495" i="5"/>
  <c r="S41" i="5"/>
  <c r="S497" i="5"/>
  <c r="S130" i="5"/>
  <c r="S370" i="5"/>
  <c r="S490" i="5"/>
  <c r="S731" i="5"/>
  <c r="S87" i="5"/>
  <c r="S232" i="5"/>
  <c r="S48" i="5"/>
  <c r="S144" i="5"/>
  <c r="S192" i="5"/>
  <c r="S216" i="5"/>
  <c r="S240" i="5"/>
  <c r="S360" i="5"/>
  <c r="S408" i="5"/>
  <c r="S480" i="5"/>
  <c r="S504" i="5"/>
  <c r="S552" i="5"/>
  <c r="S576" i="5"/>
  <c r="S600" i="5"/>
  <c r="S696" i="5"/>
  <c r="S720" i="5"/>
  <c r="S322" i="5"/>
  <c r="S658" i="5"/>
  <c r="S539" i="5"/>
  <c r="S687" i="5"/>
  <c r="S49" i="5"/>
  <c r="S217" i="5"/>
  <c r="S385" i="5"/>
  <c r="S433" i="5"/>
  <c r="S250" i="5"/>
  <c r="S730" i="5"/>
  <c r="S371" i="5"/>
  <c r="S467" i="5"/>
  <c r="S519" i="5"/>
  <c r="S304" i="5"/>
  <c r="S50" i="5"/>
  <c r="S74" i="5"/>
  <c r="S194" i="5"/>
  <c r="S218" i="5"/>
  <c r="S242" i="5"/>
  <c r="S434" i="5"/>
  <c r="S482" i="5"/>
  <c r="S530" i="5"/>
  <c r="S626" i="5"/>
  <c r="S698" i="5"/>
  <c r="AB267" i="5"/>
  <c r="AB78" i="5"/>
  <c r="AB495" i="5"/>
  <c r="AB416" i="5"/>
  <c r="AB224" i="5"/>
  <c r="AB218" i="5"/>
  <c r="AB195" i="5"/>
  <c r="AB223" i="5"/>
  <c r="AB130" i="5"/>
  <c r="AB155" i="5"/>
  <c r="AB726" i="5"/>
  <c r="AB240" i="5"/>
  <c r="AB48" i="5"/>
  <c r="AB603" i="5"/>
  <c r="AB298" i="5"/>
  <c r="AB586" i="5"/>
  <c r="AB408" i="5"/>
  <c r="AB87" i="5"/>
  <c r="AB147" i="5"/>
  <c r="AB283" i="5"/>
  <c r="AB297" i="5"/>
  <c r="AB55" i="5"/>
  <c r="AB91" i="5"/>
  <c r="AB255" i="5"/>
  <c r="AB370" i="5"/>
  <c r="AB496" i="5"/>
  <c r="AB482" i="5"/>
  <c r="AB683" i="5"/>
  <c r="AB480" i="5"/>
  <c r="AB530" i="5"/>
  <c r="AB535" i="5"/>
  <c r="AB497" i="5"/>
  <c r="AB643" i="5"/>
  <c r="AB216" i="5"/>
  <c r="AB655" i="5"/>
  <c r="AB202" i="5"/>
  <c r="AB600" i="5"/>
  <c r="AB423" i="5"/>
  <c r="AB706" i="5"/>
  <c r="AB755" i="5"/>
  <c r="AB104" i="5"/>
  <c r="AB40" i="5"/>
  <c r="AB80" i="5"/>
  <c r="AB705" i="5"/>
  <c r="AB634" i="5"/>
  <c r="AB75" i="5"/>
  <c r="AB593" i="5"/>
  <c r="AB295" i="5"/>
  <c r="AB345" i="5"/>
  <c r="AB750" i="5"/>
  <c r="AB576" i="5"/>
  <c r="AB585" i="5"/>
  <c r="AB558" i="5"/>
  <c r="AB105" i="5"/>
  <c r="AB385" i="5"/>
  <c r="AB57" i="5"/>
  <c r="AB711" i="5"/>
  <c r="AB696" i="5"/>
  <c r="AB731" i="5"/>
  <c r="AB641" i="5"/>
  <c r="AB127" i="5"/>
  <c r="AB539" i="5"/>
  <c r="AB399" i="5"/>
  <c r="AB183" i="5"/>
  <c r="AB587" i="5"/>
  <c r="AB128" i="5"/>
  <c r="AB360" i="5"/>
  <c r="AB375" i="5"/>
  <c r="AB491" i="5"/>
  <c r="AB225" i="5"/>
  <c r="AB30" i="5"/>
  <c r="AB177" i="5"/>
  <c r="AB610" i="5"/>
  <c r="AB395" i="5"/>
  <c r="AB698" i="5"/>
  <c r="AB490" i="5"/>
  <c r="AB324" i="5"/>
  <c r="AB74" i="5"/>
  <c r="AB656" i="5"/>
  <c r="AB476" i="5"/>
  <c r="AB137" i="5"/>
  <c r="AB752" i="5"/>
  <c r="AB657" i="5"/>
  <c r="AB560" i="5"/>
  <c r="AB635" i="5"/>
  <c r="AB58" i="5"/>
  <c r="AB192" i="5"/>
  <c r="AB274" i="5"/>
  <c r="AB353" i="5"/>
  <c r="AB379" i="5"/>
  <c r="AB151" i="5"/>
  <c r="AB49" i="5"/>
  <c r="AB232" i="5"/>
  <c r="AB242" i="5"/>
  <c r="AB212" i="5"/>
  <c r="AB567" i="5"/>
  <c r="AB442" i="5"/>
  <c r="AB753" i="5"/>
  <c r="AB754" i="5"/>
  <c r="AB41" i="5"/>
  <c r="AB391" i="5"/>
  <c r="AB513" i="5"/>
  <c r="AB536" i="5"/>
  <c r="AB171" i="5"/>
  <c r="AB363" i="5"/>
  <c r="AB475" i="5"/>
  <c r="AB304" i="5"/>
  <c r="AB519" i="5"/>
  <c r="AB144" i="5"/>
  <c r="AB489" i="5"/>
  <c r="AB194" i="5"/>
  <c r="AB514" i="5"/>
  <c r="AB486" i="5"/>
  <c r="AB419" i="5"/>
  <c r="AB689" i="5"/>
  <c r="AB639" i="5"/>
  <c r="AB318" i="5"/>
  <c r="AB504" i="5"/>
  <c r="AB681" i="5"/>
  <c r="AB679" i="5"/>
  <c r="AB308" i="5"/>
  <c r="AB387" i="5"/>
  <c r="AB184" i="5"/>
  <c r="AB433" i="5"/>
  <c r="AB687" i="5"/>
  <c r="AB723" i="5"/>
  <c r="AB544" i="5"/>
  <c r="AB154" i="5"/>
  <c r="AB404" i="5"/>
  <c r="AB352" i="5"/>
  <c r="AB201" i="5"/>
  <c r="AB251" i="5"/>
  <c r="AB727" i="5"/>
  <c r="AB466" i="5"/>
  <c r="AB510" i="5"/>
  <c r="AB371" i="5"/>
  <c r="AB459" i="5"/>
  <c r="AB34" i="5"/>
  <c r="AB226" i="5"/>
  <c r="AB140" i="5"/>
  <c r="AB27" i="5"/>
  <c r="AB400" i="5"/>
  <c r="AB81" i="5"/>
  <c r="AB434" i="5"/>
  <c r="AB611" i="5"/>
  <c r="AB720" i="5"/>
  <c r="AB315" i="5"/>
  <c r="AB562" i="5"/>
  <c r="AB260" i="5"/>
  <c r="AB112" i="5"/>
  <c r="AB632" i="5"/>
  <c r="AB234" i="5"/>
  <c r="AB114" i="5"/>
  <c r="AB322" i="5"/>
  <c r="AB153" i="5"/>
  <c r="AB305" i="5"/>
  <c r="AB323" i="5"/>
  <c r="AB44" i="5"/>
  <c r="AB258" i="5"/>
  <c r="AB42" i="5"/>
  <c r="AB730" i="5"/>
  <c r="AB272" i="5"/>
  <c r="AB67" i="5"/>
  <c r="AB346" i="5"/>
  <c r="AB682" i="5"/>
  <c r="AB626" i="5"/>
  <c r="AB163" i="5"/>
  <c r="AB658" i="5"/>
  <c r="AB763" i="5"/>
  <c r="AB467" i="5"/>
  <c r="AB415" i="5"/>
  <c r="AB452" i="5"/>
  <c r="AB443" i="5"/>
  <c r="AB394" i="5"/>
  <c r="AB320" i="5"/>
  <c r="AB651" i="5"/>
  <c r="AB50" i="5"/>
  <c r="AB250" i="5"/>
  <c r="AB393" i="5"/>
  <c r="AB217" i="5"/>
  <c r="AB259" i="5"/>
  <c r="AB552" i="5"/>
  <c r="S202" i="5"/>
  <c r="S610" i="5"/>
  <c r="S323" i="5"/>
  <c r="S567" i="5"/>
  <c r="S27" i="5"/>
  <c r="S75" i="5"/>
  <c r="S147" i="5"/>
  <c r="S171" i="5"/>
  <c r="S195" i="5"/>
  <c r="S267" i="5"/>
  <c r="S315" i="5"/>
  <c r="S363" i="5"/>
  <c r="S387" i="5"/>
  <c r="S459" i="5"/>
  <c r="S603" i="5"/>
  <c r="S651" i="5"/>
  <c r="S723" i="5"/>
  <c r="S726" i="5"/>
  <c r="S750" i="5"/>
  <c r="S34" i="5"/>
  <c r="S226" i="5"/>
  <c r="S442" i="5"/>
  <c r="S562" i="5"/>
  <c r="S375" i="5"/>
  <c r="S30" i="5"/>
  <c r="S318" i="5"/>
  <c r="S486" i="5"/>
  <c r="S55" i="5"/>
  <c r="S127" i="5"/>
  <c r="S151" i="5"/>
  <c r="S223" i="5"/>
  <c r="S295" i="5"/>
  <c r="S391" i="5"/>
  <c r="S415" i="5"/>
  <c r="S535" i="5"/>
  <c r="S655" i="5"/>
  <c r="S679" i="5"/>
  <c r="S727" i="5"/>
  <c r="S274" i="5"/>
  <c r="S754" i="5"/>
  <c r="S155" i="5"/>
  <c r="S443" i="5"/>
  <c r="S587" i="5"/>
  <c r="S78" i="5"/>
  <c r="S558" i="5"/>
  <c r="S80" i="5"/>
  <c r="S104" i="5"/>
  <c r="S128" i="5"/>
  <c r="S224" i="5"/>
  <c r="S272" i="5"/>
  <c r="S320" i="5"/>
  <c r="S416" i="5"/>
  <c r="S536" i="5"/>
  <c r="S560" i="5"/>
  <c r="S632" i="5"/>
  <c r="S656" i="5"/>
  <c r="S752" i="5"/>
  <c r="S394" i="5"/>
  <c r="S706" i="5"/>
  <c r="S419" i="5"/>
  <c r="S611" i="5"/>
  <c r="S510" i="5"/>
  <c r="S57" i="5"/>
  <c r="S81" i="5"/>
  <c r="S105" i="5"/>
  <c r="S153" i="5"/>
  <c r="S177" i="5"/>
  <c r="S201" i="5"/>
  <c r="S225" i="5"/>
  <c r="S297" i="5"/>
  <c r="S345" i="5"/>
  <c r="S393" i="5"/>
  <c r="S489" i="5"/>
  <c r="S513" i="5"/>
  <c r="S585" i="5"/>
  <c r="S657" i="5"/>
  <c r="S681" i="5"/>
  <c r="S705" i="5"/>
  <c r="S753" i="5"/>
  <c r="S454" i="5"/>
  <c r="S71" i="5"/>
  <c r="S82" i="5"/>
  <c r="S106" i="5"/>
  <c r="S178" i="5"/>
  <c r="S538" i="5"/>
  <c r="S275" i="5"/>
  <c r="S299" i="5"/>
  <c r="S347" i="5"/>
  <c r="S515" i="5"/>
  <c r="S563" i="5"/>
  <c r="S659" i="5"/>
  <c r="S707" i="5"/>
  <c r="S231" i="5"/>
  <c r="S591" i="5"/>
  <c r="S280" i="5"/>
  <c r="S328" i="5"/>
  <c r="S736" i="5"/>
  <c r="S65" i="5"/>
  <c r="S233" i="5"/>
  <c r="S545" i="5"/>
  <c r="S737" i="5"/>
  <c r="S166" i="5"/>
  <c r="S186" i="5"/>
  <c r="S474" i="5"/>
  <c r="S546" i="5"/>
  <c r="S570" i="5"/>
  <c r="S594" i="5"/>
  <c r="S642" i="5"/>
  <c r="S714" i="5"/>
  <c r="S738" i="5"/>
  <c r="S762" i="5"/>
  <c r="S235" i="5"/>
  <c r="S547" i="5"/>
  <c r="S571" i="5"/>
  <c r="S739" i="5"/>
  <c r="S46" i="5"/>
  <c r="S238" i="5"/>
  <c r="S303" i="5"/>
  <c r="S447" i="5"/>
  <c r="S615" i="5"/>
  <c r="S116" i="5"/>
  <c r="S332" i="5"/>
  <c r="S524" i="5"/>
  <c r="S548" i="5"/>
  <c r="S596" i="5"/>
  <c r="S692" i="5"/>
  <c r="S740" i="5"/>
  <c r="S69" i="5"/>
  <c r="S117" i="5"/>
  <c r="S141" i="5"/>
  <c r="S165" i="5"/>
  <c r="S213" i="5"/>
  <c r="S237" i="5"/>
  <c r="S285" i="5"/>
  <c r="S333" i="5"/>
  <c r="S405" i="5"/>
  <c r="S453" i="5"/>
  <c r="S477" i="5"/>
  <c r="S501" i="5"/>
  <c r="S525" i="5"/>
  <c r="S549" i="5"/>
  <c r="S573" i="5"/>
  <c r="S597" i="5"/>
  <c r="S645" i="5"/>
  <c r="S717" i="5"/>
  <c r="S741" i="5"/>
  <c r="S22" i="5"/>
  <c r="S214" i="5"/>
  <c r="S382" i="5"/>
  <c r="S550" i="5"/>
  <c r="S191" i="5"/>
  <c r="S455" i="5"/>
  <c r="S483" i="5"/>
  <c r="S220" i="5"/>
  <c r="S262" i="5"/>
  <c r="S430" i="5"/>
  <c r="S384" i="5"/>
  <c r="AB233" i="5"/>
  <c r="AB299" i="5"/>
  <c r="AB231" i="5"/>
  <c r="AB275" i="5"/>
  <c r="AB598" i="5"/>
  <c r="AB166" i="5"/>
  <c r="AB447" i="5"/>
  <c r="AB717" i="5"/>
  <c r="AB285" i="5"/>
  <c r="AB214" i="5"/>
  <c r="AB571" i="5"/>
  <c r="AB314" i="5"/>
  <c r="AB145" i="5"/>
  <c r="AB474" i="5"/>
  <c r="AB550" i="5"/>
  <c r="AB22" i="5"/>
  <c r="AB453" i="5"/>
  <c r="AB742" i="5"/>
  <c r="AB238" i="5"/>
  <c r="AB262" i="5"/>
  <c r="AB280" i="5"/>
  <c r="AB573" i="5"/>
  <c r="AB287" i="5"/>
  <c r="AB121" i="5"/>
  <c r="AB739" i="5"/>
  <c r="AB32" i="5"/>
  <c r="AB384" i="5"/>
  <c r="AB736" i="5"/>
  <c r="AB186" i="5"/>
  <c r="AB141" i="5"/>
  <c r="AB116" i="5"/>
  <c r="AB642" i="5"/>
  <c r="AB762" i="5"/>
  <c r="AB548" i="5"/>
  <c r="AB549" i="5"/>
  <c r="AB71" i="5"/>
  <c r="AB167" i="5"/>
  <c r="AB383" i="5"/>
  <c r="AB335" i="5"/>
  <c r="AB545" i="5"/>
  <c r="AB270" i="5"/>
  <c r="AB178" i="5"/>
  <c r="AB405" i="5"/>
  <c r="AB213" i="5"/>
  <c r="AB235" i="5"/>
  <c r="AB526" i="5"/>
  <c r="AB597" i="5"/>
  <c r="AB332" i="5"/>
  <c r="AB547" i="5"/>
  <c r="AB591" i="5"/>
  <c r="AB596" i="5"/>
  <c r="AB347" i="5"/>
  <c r="AB645" i="5"/>
  <c r="AB454" i="5"/>
  <c r="AB738" i="5"/>
  <c r="AB117" i="5"/>
  <c r="AB659" i="5"/>
  <c r="AB24" i="5"/>
  <c r="AB382" i="5"/>
  <c r="AB455" i="5"/>
  <c r="AB515" i="5"/>
  <c r="AB707" i="5"/>
  <c r="AB102" i="5"/>
  <c r="AB46" i="5"/>
  <c r="AB594" i="5"/>
  <c r="AB47" i="5"/>
  <c r="AB692" i="5"/>
  <c r="AB570" i="5"/>
  <c r="AB538" i="5"/>
  <c r="AB333" i="5"/>
  <c r="AB501" i="5"/>
  <c r="AB65" i="5"/>
  <c r="AB106" i="5"/>
  <c r="AB483" i="5"/>
  <c r="AB406" i="5"/>
  <c r="AB95" i="5"/>
  <c r="AB737" i="5"/>
  <c r="AB358" i="5"/>
  <c r="AB578" i="5"/>
  <c r="AB546" i="5"/>
  <c r="AB286" i="5"/>
  <c r="AB175" i="5"/>
  <c r="AB714" i="5"/>
  <c r="AB525" i="5"/>
  <c r="AB615" i="5"/>
  <c r="AB477" i="5"/>
  <c r="AB191" i="5"/>
  <c r="AB328" i="5"/>
  <c r="AB430" i="5"/>
  <c r="AB718" i="5"/>
  <c r="AB69" i="5"/>
  <c r="AB741" i="5"/>
  <c r="AB220" i="5"/>
  <c r="AB654" i="5"/>
  <c r="AB165" i="5"/>
  <c r="AB303" i="5"/>
  <c r="AB524" i="5"/>
  <c r="AB563" i="5"/>
  <c r="AB237" i="5"/>
  <c r="AB740" i="5"/>
  <c r="AB82" i="5"/>
  <c r="AB215" i="5"/>
  <c r="AB94" i="5"/>
  <c r="AB674" i="5"/>
  <c r="S742" i="5"/>
  <c r="S167" i="5"/>
  <c r="S287" i="5"/>
  <c r="S24" i="5"/>
  <c r="S145" i="5"/>
  <c r="S481" i="5"/>
  <c r="S314" i="5"/>
  <c r="S578" i="5"/>
  <c r="S102" i="5"/>
  <c r="S270" i="5"/>
  <c r="S654" i="5"/>
  <c r="S94" i="5"/>
  <c r="S286" i="5"/>
  <c r="S406" i="5"/>
  <c r="S598" i="5"/>
  <c r="S47" i="5"/>
  <c r="S215" i="5"/>
  <c r="S335" i="5"/>
  <c r="S674" i="5"/>
  <c r="S175" i="5"/>
  <c r="S32" i="5"/>
  <c r="S358" i="5"/>
  <c r="S526" i="5"/>
  <c r="S718" i="5"/>
  <c r="S95" i="5"/>
  <c r="S383" i="5"/>
  <c r="S121" i="5"/>
  <c r="S336" i="5"/>
  <c r="S759" i="5"/>
  <c r="S111" i="5"/>
  <c r="S592" i="5"/>
  <c r="S616" i="5"/>
  <c r="S640" i="5"/>
  <c r="S64" i="5"/>
  <c r="S329" i="5"/>
  <c r="S377" i="5"/>
  <c r="S307" i="5"/>
  <c r="S355" i="5"/>
  <c r="S595" i="5"/>
  <c r="S619" i="5"/>
  <c r="S164" i="5"/>
  <c r="S572" i="5"/>
  <c r="S620" i="5"/>
  <c r="S644" i="5"/>
  <c r="S668" i="5"/>
  <c r="S716" i="5"/>
  <c r="S764" i="5"/>
  <c r="S312" i="5"/>
  <c r="S115" i="5"/>
  <c r="S189" i="5"/>
  <c r="S309" i="5"/>
  <c r="S429" i="5"/>
  <c r="S621" i="5"/>
  <c r="S693" i="5"/>
  <c r="S765" i="5"/>
  <c r="S70" i="5"/>
  <c r="S142" i="5"/>
  <c r="S190" i="5"/>
  <c r="S310" i="5"/>
  <c r="S478" i="5"/>
  <c r="S502" i="5"/>
  <c r="S574" i="5"/>
  <c r="S646" i="5"/>
  <c r="S45" i="5"/>
  <c r="S93" i="5"/>
  <c r="S261" i="5"/>
  <c r="S381" i="5"/>
  <c r="S669" i="5"/>
  <c r="S23" i="5"/>
  <c r="S119" i="5"/>
  <c r="S143" i="5"/>
  <c r="S239" i="5"/>
  <c r="S311" i="5"/>
  <c r="S407" i="5"/>
  <c r="S527" i="5"/>
  <c r="S551" i="5"/>
  <c r="S647" i="5"/>
  <c r="S671" i="5"/>
  <c r="S695" i="5"/>
  <c r="S743" i="5"/>
  <c r="S767" i="5"/>
  <c r="S456" i="5"/>
  <c r="S648" i="5"/>
  <c r="S362" i="5"/>
  <c r="AB505" i="5"/>
  <c r="AB115" i="5"/>
  <c r="AB101" i="5"/>
  <c r="AB329" i="5"/>
  <c r="AB64" i="5"/>
  <c r="AB628" i="5"/>
  <c r="AB111" i="5"/>
  <c r="AB767" i="5"/>
  <c r="AB673" i="5"/>
  <c r="AB143" i="5"/>
  <c r="AB677" i="5"/>
  <c r="AB172" i="5"/>
  <c r="AB601" i="5"/>
  <c r="AB616" i="5"/>
  <c r="AB671" i="5"/>
  <c r="AB309" i="5"/>
  <c r="AB362" i="5"/>
  <c r="AB724" i="5"/>
  <c r="AB29" i="5"/>
  <c r="AB556" i="5"/>
  <c r="AB336" i="5"/>
  <c r="AB716" i="5"/>
  <c r="AB551" i="5"/>
  <c r="AB669" i="5"/>
  <c r="AB70" i="5"/>
  <c r="AB484" i="5"/>
  <c r="AB640" i="5"/>
  <c r="AB239" i="5"/>
  <c r="AB595" i="5"/>
  <c r="AB381" i="5"/>
  <c r="AB648" i="5"/>
  <c r="AB388" i="5"/>
  <c r="AB312" i="5"/>
  <c r="AB527" i="5"/>
  <c r="AB310" i="5"/>
  <c r="AB592" i="5"/>
  <c r="AB697" i="5"/>
  <c r="AB574" i="5"/>
  <c r="AB148" i="5"/>
  <c r="AB119" i="5"/>
  <c r="AB529" i="5"/>
  <c r="AB355" i="5"/>
  <c r="AB625" i="5"/>
  <c r="AB572" i="5"/>
  <c r="AB461" i="5"/>
  <c r="AB502" i="5"/>
  <c r="AB700" i="5"/>
  <c r="AB644" i="5"/>
  <c r="AB193" i="5"/>
  <c r="AB579" i="5"/>
  <c r="AB72" i="5"/>
  <c r="AB170" i="5"/>
  <c r="AB577" i="5"/>
  <c r="AB745" i="5"/>
  <c r="AB377" i="5"/>
  <c r="AB725" i="5"/>
  <c r="AB221" i="5"/>
  <c r="AB293" i="5"/>
  <c r="AB436" i="5"/>
  <c r="AB695" i="5"/>
  <c r="AB653" i="5"/>
  <c r="AB629" i="5"/>
  <c r="AB307" i="5"/>
  <c r="AB743" i="5"/>
  <c r="AB268" i="5"/>
  <c r="AB45" i="5"/>
  <c r="AB189" i="5"/>
  <c r="AB23" i="5"/>
  <c r="AB759" i="5"/>
  <c r="AB311" i="5"/>
  <c r="AB764" i="5"/>
  <c r="AB364" i="5"/>
  <c r="AB604" i="5"/>
  <c r="AB647" i="5"/>
  <c r="AB261" i="5"/>
  <c r="AB164" i="5"/>
  <c r="AB747" i="5"/>
  <c r="AB619" i="5"/>
  <c r="AB620" i="5"/>
  <c r="AB190" i="5"/>
  <c r="AB77" i="5"/>
  <c r="AB621" i="5"/>
  <c r="AB313" i="5"/>
  <c r="AB703" i="5"/>
  <c r="AB649" i="5"/>
  <c r="AB149" i="5"/>
  <c r="AB142" i="5"/>
  <c r="AB93" i="5"/>
  <c r="AB676" i="5"/>
  <c r="AB456" i="5"/>
  <c r="AB413" i="5"/>
  <c r="AB721" i="5"/>
  <c r="AB457" i="5"/>
  <c r="AB125" i="5"/>
  <c r="AB580" i="5"/>
  <c r="AB100" i="5"/>
  <c r="AB76" i="5"/>
  <c r="AB429" i="5"/>
  <c r="AB765" i="5"/>
  <c r="AB481" i="5"/>
  <c r="AB508" i="5"/>
  <c r="AB173" i="5"/>
  <c r="AB555" i="5"/>
  <c r="AB289" i="5"/>
  <c r="AB668" i="5"/>
  <c r="AB28" i="5"/>
  <c r="AB693" i="5"/>
  <c r="AB478" i="5"/>
  <c r="AB646" i="5"/>
  <c r="AB407" i="5"/>
  <c r="S268" i="5"/>
  <c r="S364" i="5"/>
  <c r="S388" i="5"/>
  <c r="S436" i="5"/>
  <c r="S484" i="5"/>
  <c r="S508" i="5"/>
  <c r="S556" i="5"/>
  <c r="S580" i="5"/>
  <c r="S604" i="5"/>
  <c r="S628" i="5"/>
  <c r="S676" i="5"/>
  <c r="S700" i="5"/>
  <c r="S724" i="5"/>
  <c r="S289" i="5"/>
  <c r="S577" i="5"/>
  <c r="S745" i="5"/>
  <c r="S579" i="5"/>
  <c r="S28" i="5"/>
  <c r="S29" i="5"/>
  <c r="S77" i="5"/>
  <c r="S101" i="5"/>
  <c r="S125" i="5"/>
  <c r="S149" i="5"/>
  <c r="S173" i="5"/>
  <c r="S221" i="5"/>
  <c r="S293" i="5"/>
  <c r="S413" i="5"/>
  <c r="S461" i="5"/>
  <c r="S557" i="5"/>
  <c r="S629" i="5"/>
  <c r="S653" i="5"/>
  <c r="S677" i="5"/>
  <c r="S725" i="5"/>
  <c r="S457" i="5"/>
  <c r="S601" i="5"/>
  <c r="S170" i="5"/>
  <c r="S555" i="5"/>
  <c r="S100" i="5"/>
  <c r="S193" i="5"/>
  <c r="S649" i="5"/>
  <c r="S673" i="5"/>
  <c r="S697" i="5"/>
  <c r="S76" i="5"/>
  <c r="S172" i="5"/>
  <c r="S703" i="5"/>
  <c r="S529" i="5"/>
  <c r="S72" i="5"/>
  <c r="S313" i="5"/>
  <c r="S505" i="5"/>
  <c r="S625" i="5"/>
  <c r="S721" i="5"/>
  <c r="S747" i="5"/>
  <c r="S148" i="5"/>
  <c r="S21" i="5"/>
  <c r="S424" i="5"/>
  <c r="S113" i="5"/>
  <c r="S473" i="5"/>
  <c r="S713" i="5"/>
  <c r="S138" i="5"/>
  <c r="S330" i="5"/>
  <c r="S354" i="5"/>
  <c r="S378" i="5"/>
  <c r="S426" i="5"/>
  <c r="S450" i="5"/>
  <c r="S498" i="5"/>
  <c r="S522" i="5"/>
  <c r="S618" i="5"/>
  <c r="S666" i="5"/>
  <c r="S690" i="5"/>
  <c r="S427" i="5"/>
  <c r="S499" i="5"/>
  <c r="S356" i="5"/>
  <c r="S428" i="5"/>
  <c r="S418" i="5"/>
  <c r="S357" i="5"/>
  <c r="S118" i="5"/>
  <c r="S334" i="5"/>
  <c r="S622" i="5"/>
  <c r="S670" i="5"/>
  <c r="S694" i="5"/>
  <c r="S766" i="5"/>
  <c r="S263" i="5"/>
  <c r="S359" i="5"/>
  <c r="S431" i="5"/>
  <c r="S479" i="5"/>
  <c r="S503" i="5"/>
  <c r="S575" i="5"/>
  <c r="S599" i="5"/>
  <c r="S623" i="5"/>
  <c r="S719" i="5"/>
  <c r="S264" i="5"/>
  <c r="S624" i="5"/>
  <c r="S351" i="5"/>
  <c r="S25" i="5"/>
  <c r="S553" i="5"/>
  <c r="S290" i="5"/>
  <c r="S338" i="5"/>
  <c r="S506" i="5"/>
  <c r="S650" i="5"/>
  <c r="S99" i="5"/>
  <c r="S291" i="5"/>
  <c r="S435" i="5"/>
  <c r="S531" i="5"/>
  <c r="S675" i="5"/>
  <c r="AB522" i="5"/>
  <c r="AB670" i="5"/>
  <c r="AB340" i="5"/>
  <c r="AB559" i="5"/>
  <c r="AB463" i="5"/>
  <c r="AB770" i="5"/>
  <c r="AB424" i="5"/>
  <c r="AB427" i="5"/>
  <c r="AB631" i="5"/>
  <c r="AB622" i="5"/>
  <c r="AB292" i="5"/>
  <c r="AB25" i="5"/>
  <c r="AB431" i="5"/>
  <c r="AB437" i="5"/>
  <c r="AB532" i="5"/>
  <c r="AB341" i="5"/>
  <c r="AB356" i="5"/>
  <c r="AB605" i="5"/>
  <c r="AB690" i="5"/>
  <c r="AB581" i="5"/>
  <c r="AB269" i="5"/>
  <c r="AB624" i="5"/>
  <c r="AB264" i="5"/>
  <c r="AB317" i="5"/>
  <c r="AB503" i="5"/>
  <c r="AB652" i="5"/>
  <c r="AB354" i="5"/>
  <c r="AB426" i="5"/>
  <c r="AB330" i="5"/>
  <c r="AB473" i="5"/>
  <c r="AB485" i="5"/>
  <c r="AB499" i="5"/>
  <c r="AB245" i="5"/>
  <c r="AB531" i="5"/>
  <c r="AB533" i="5"/>
  <c r="AB450" i="5"/>
  <c r="AB768" i="5"/>
  <c r="AB769" i="5"/>
  <c r="AB118" i="5"/>
  <c r="AB124" i="5"/>
  <c r="AB159" i="5"/>
  <c r="AB357" i="5"/>
  <c r="AB291" i="5"/>
  <c r="AB766" i="5"/>
  <c r="AB701" i="5"/>
  <c r="AB575" i="5"/>
  <c r="AB557" i="5"/>
  <c r="AB479" i="5"/>
  <c r="AB197" i="5"/>
  <c r="AB694" i="5"/>
  <c r="AB713" i="5"/>
  <c r="AB138" i="5"/>
  <c r="AB263" i="5"/>
  <c r="AB553" i="5"/>
  <c r="AB506" i="5"/>
  <c r="AB338" i="5"/>
  <c r="AB21" i="5"/>
  <c r="AB334" i="5"/>
  <c r="AB748" i="5"/>
  <c r="AB435" i="5"/>
  <c r="AB290" i="5"/>
  <c r="AB113" i="5"/>
  <c r="AB53" i="5"/>
  <c r="AB460" i="5"/>
  <c r="AB389" i="5"/>
  <c r="AB666" i="5"/>
  <c r="AB623" i="5"/>
  <c r="AB196" i="5"/>
  <c r="AB351" i="5"/>
  <c r="AB52" i="5"/>
  <c r="AB359" i="5"/>
  <c r="AB498" i="5"/>
  <c r="AB599" i="5"/>
  <c r="AB418" i="5"/>
  <c r="AB607" i="5"/>
  <c r="AB412" i="5"/>
  <c r="AB749" i="5"/>
  <c r="AB509" i="5"/>
  <c r="AB365" i="5"/>
  <c r="AB378" i="5"/>
  <c r="AB618" i="5"/>
  <c r="AB675" i="5"/>
  <c r="AB771" i="5"/>
  <c r="AB719" i="5"/>
  <c r="AB316" i="5"/>
  <c r="AB650" i="5"/>
  <c r="AB99" i="5"/>
  <c r="AB428" i="5"/>
  <c r="AB244" i="5"/>
  <c r="S52" i="5"/>
  <c r="S124" i="5"/>
  <c r="S196" i="5"/>
  <c r="S244" i="5"/>
  <c r="S292" i="5"/>
  <c r="S316" i="5"/>
  <c r="S340" i="5"/>
  <c r="S412" i="5"/>
  <c r="S460" i="5"/>
  <c r="S532" i="5"/>
  <c r="S652" i="5"/>
  <c r="S748" i="5"/>
  <c r="S53" i="5"/>
  <c r="S197" i="5"/>
  <c r="S245" i="5"/>
  <c r="S269" i="5"/>
  <c r="S317" i="5"/>
  <c r="S341" i="5"/>
  <c r="S365" i="5"/>
  <c r="S389" i="5"/>
  <c r="S437" i="5"/>
  <c r="S485" i="5"/>
  <c r="S509" i="5"/>
  <c r="S533" i="5"/>
  <c r="S581" i="5"/>
  <c r="S605" i="5"/>
  <c r="S701" i="5"/>
  <c r="S749" i="5"/>
  <c r="S159" i="5"/>
  <c r="S768" i="5"/>
  <c r="S463" i="5"/>
  <c r="S559" i="5"/>
  <c r="S607" i="5"/>
  <c r="S631" i="5"/>
  <c r="S769" i="5"/>
  <c r="S770" i="5"/>
  <c r="S771" i="5"/>
  <c r="S306" i="5"/>
  <c r="AB402" i="5"/>
  <c r="AB306" i="5"/>
  <c r="S402" i="5"/>
  <c r="AH768" i="5"/>
  <c r="AJ768" i="5"/>
  <c r="AK768" i="5"/>
  <c r="AL768" i="5"/>
  <c r="AI768" i="5"/>
  <c r="AJ769" i="5"/>
  <c r="AH769" i="5"/>
  <c r="AK769" i="5"/>
  <c r="AI769" i="5"/>
  <c r="AL769" i="5"/>
  <c r="AH770" i="5"/>
  <c r="AK770" i="5"/>
  <c r="AI770" i="5"/>
  <c r="AL770" i="5"/>
  <c r="AJ770" i="5"/>
  <c r="AK771" i="5"/>
  <c r="AH771" i="5"/>
  <c r="AI771" i="5"/>
  <c r="AL771" i="5"/>
  <c r="AJ771" i="5"/>
  <c r="AB772" i="5"/>
  <c r="AB773" i="5"/>
  <c r="AL751" i="5"/>
  <c r="AI751" i="5"/>
  <c r="AJ751" i="5"/>
  <c r="AK751" i="5"/>
  <c r="AH751" i="5"/>
  <c r="AH176" i="5"/>
  <c r="AI176" i="5"/>
  <c r="AJ176" i="5"/>
  <c r="AK176" i="5"/>
  <c r="AL176" i="5"/>
  <c r="AH753" i="5"/>
  <c r="AI753" i="5"/>
  <c r="AK753" i="5"/>
  <c r="AJ753" i="5"/>
  <c r="AL753" i="5"/>
  <c r="AL51" i="5"/>
  <c r="AI51" i="5"/>
  <c r="AJ51" i="5"/>
  <c r="AH51" i="5"/>
  <c r="AK51" i="5"/>
  <c r="AJ307" i="5"/>
  <c r="AK307" i="5"/>
  <c r="AI307" i="5"/>
  <c r="AH307" i="5"/>
  <c r="AL307" i="5"/>
  <c r="AK531" i="5"/>
  <c r="AL531" i="5"/>
  <c r="AI531" i="5"/>
  <c r="AJ531" i="5"/>
  <c r="AH531" i="5"/>
  <c r="AH691" i="5"/>
  <c r="AJ691" i="5"/>
  <c r="AK691" i="5"/>
  <c r="AL691" i="5"/>
  <c r="AI691" i="5"/>
  <c r="AI723" i="5"/>
  <c r="AJ723" i="5"/>
  <c r="AL723" i="5"/>
  <c r="AH723" i="5"/>
  <c r="AK723" i="5"/>
  <c r="AK755" i="5"/>
  <c r="AL755" i="5"/>
  <c r="AH755" i="5"/>
  <c r="AI755" i="5"/>
  <c r="AJ755" i="5"/>
  <c r="AJ497" i="5"/>
  <c r="AL497" i="5"/>
  <c r="AH497" i="5"/>
  <c r="AI497" i="5"/>
  <c r="AK497" i="5"/>
  <c r="AH468" i="5"/>
  <c r="AI468" i="5"/>
  <c r="AL468" i="5"/>
  <c r="AK468" i="5"/>
  <c r="AJ468" i="5"/>
  <c r="AH500" i="5"/>
  <c r="AI500" i="5"/>
  <c r="AJ500" i="5"/>
  <c r="AL500" i="5"/>
  <c r="AK500" i="5"/>
  <c r="AH532" i="5"/>
  <c r="AI532" i="5"/>
  <c r="AJ532" i="5"/>
  <c r="AK532" i="5"/>
  <c r="AL532" i="5"/>
  <c r="AH564" i="5"/>
  <c r="AL564" i="5"/>
  <c r="AI564" i="5"/>
  <c r="AJ564" i="5"/>
  <c r="AK564" i="5"/>
  <c r="AH596" i="5"/>
  <c r="AL596" i="5"/>
  <c r="AI596" i="5"/>
  <c r="AJ596" i="5"/>
  <c r="AK596" i="5"/>
  <c r="AJ628" i="5"/>
  <c r="AH628" i="5"/>
  <c r="AK628" i="5"/>
  <c r="AL628" i="5"/>
  <c r="AI628" i="5"/>
  <c r="AI660" i="5"/>
  <c r="AJ660" i="5"/>
  <c r="AL660" i="5"/>
  <c r="AH660" i="5"/>
  <c r="AK660" i="5"/>
  <c r="AL692" i="5"/>
  <c r="AI692" i="5"/>
  <c r="AH692" i="5"/>
  <c r="AK692" i="5"/>
  <c r="AJ692" i="5"/>
  <c r="AL724" i="5"/>
  <c r="AH724" i="5"/>
  <c r="AK724" i="5"/>
  <c r="AI724" i="5"/>
  <c r="AJ724" i="5"/>
  <c r="AI756" i="5"/>
  <c r="AJ756" i="5"/>
  <c r="AK756" i="5"/>
  <c r="AL756" i="5"/>
  <c r="AH756" i="5"/>
  <c r="AK175" i="5"/>
  <c r="AL175" i="5"/>
  <c r="AH175" i="5"/>
  <c r="AJ175" i="5"/>
  <c r="AI175" i="5"/>
  <c r="AK303" i="5"/>
  <c r="AH303" i="5"/>
  <c r="AI303" i="5"/>
  <c r="AJ303" i="5"/>
  <c r="AL303" i="5"/>
  <c r="AH272" i="5"/>
  <c r="AI272" i="5"/>
  <c r="AJ272" i="5"/>
  <c r="AK272" i="5"/>
  <c r="AL272" i="5"/>
  <c r="AJ752" i="5"/>
  <c r="AK752" i="5"/>
  <c r="AI752" i="5"/>
  <c r="AH752" i="5"/>
  <c r="AL752" i="5"/>
  <c r="AI177" i="5"/>
  <c r="AH177" i="5"/>
  <c r="AJ177" i="5"/>
  <c r="AK177" i="5"/>
  <c r="AL177" i="5"/>
  <c r="AI305" i="5"/>
  <c r="AH305" i="5"/>
  <c r="AK305" i="5"/>
  <c r="AL305" i="5"/>
  <c r="AJ305" i="5"/>
  <c r="AK242" i="5"/>
  <c r="AL242" i="5"/>
  <c r="AI242" i="5"/>
  <c r="AH242" i="5"/>
  <c r="AJ242" i="5"/>
  <c r="AH690" i="5"/>
  <c r="AK690" i="5"/>
  <c r="AI690" i="5"/>
  <c r="AJ690" i="5"/>
  <c r="AL690" i="5"/>
  <c r="AH83" i="5"/>
  <c r="AI83" i="5"/>
  <c r="AJ83" i="5"/>
  <c r="AL83" i="5"/>
  <c r="AK83" i="5"/>
  <c r="AH115" i="5"/>
  <c r="AI115" i="5"/>
  <c r="AL115" i="5"/>
  <c r="AJ115" i="5"/>
  <c r="AK115" i="5"/>
  <c r="AL147" i="5"/>
  <c r="AI147" i="5"/>
  <c r="AH147" i="5"/>
  <c r="AJ147" i="5"/>
  <c r="AK147" i="5"/>
  <c r="AI179" i="5"/>
  <c r="AJ179" i="5"/>
  <c r="AH179" i="5"/>
  <c r="AK179" i="5"/>
  <c r="AL179" i="5"/>
  <c r="AJ211" i="5"/>
  <c r="AH211" i="5"/>
  <c r="AI211" i="5"/>
  <c r="AL211" i="5"/>
  <c r="AK211" i="5"/>
  <c r="AJ243" i="5"/>
  <c r="AI243" i="5"/>
  <c r="AL243" i="5"/>
  <c r="AH243" i="5"/>
  <c r="AK243" i="5"/>
  <c r="AI275" i="5"/>
  <c r="AL275" i="5"/>
  <c r="AH275" i="5"/>
  <c r="AJ275" i="5"/>
  <c r="AK275" i="5"/>
  <c r="AI339" i="5"/>
  <c r="AJ339" i="5"/>
  <c r="AH339" i="5"/>
  <c r="AK339" i="5"/>
  <c r="AL339" i="5"/>
  <c r="AH371" i="5"/>
  <c r="AL371" i="5"/>
  <c r="AI371" i="5"/>
  <c r="AJ371" i="5"/>
  <c r="AK371" i="5"/>
  <c r="AK403" i="5"/>
  <c r="AL403" i="5"/>
  <c r="AH403" i="5"/>
  <c r="AI403" i="5"/>
  <c r="AJ403" i="5"/>
  <c r="AH435" i="5"/>
  <c r="AI435" i="5"/>
  <c r="AJ435" i="5"/>
  <c r="AK435" i="5"/>
  <c r="AL435" i="5"/>
  <c r="AJ467" i="5"/>
  <c r="AI467" i="5"/>
  <c r="AH467" i="5"/>
  <c r="AK467" i="5"/>
  <c r="AL467" i="5"/>
  <c r="AK499" i="5"/>
  <c r="AH499" i="5"/>
  <c r="AL499" i="5"/>
  <c r="AI499" i="5"/>
  <c r="AJ499" i="5"/>
  <c r="AI563" i="5"/>
  <c r="AJ563" i="5"/>
  <c r="AH563" i="5"/>
  <c r="AL563" i="5"/>
  <c r="AK563" i="5"/>
  <c r="AH595" i="5"/>
  <c r="AI595" i="5"/>
  <c r="AJ595" i="5"/>
  <c r="AK595" i="5"/>
  <c r="AL595" i="5"/>
  <c r="AH627" i="5"/>
  <c r="AI627" i="5"/>
  <c r="AJ627" i="5"/>
  <c r="AK627" i="5"/>
  <c r="AL627" i="5"/>
  <c r="AI659" i="5"/>
  <c r="AH659" i="5"/>
  <c r="AJ659" i="5"/>
  <c r="AK659" i="5"/>
  <c r="AL659" i="5"/>
  <c r="AH52" i="5"/>
  <c r="AI52" i="5"/>
  <c r="AL52" i="5"/>
  <c r="AJ52" i="5"/>
  <c r="AK52" i="5"/>
  <c r="AH84" i="5"/>
  <c r="AI84" i="5"/>
  <c r="AK84" i="5"/>
  <c r="AJ84" i="5"/>
  <c r="AL84" i="5"/>
  <c r="AH116" i="5"/>
  <c r="AI116" i="5"/>
  <c r="AJ116" i="5"/>
  <c r="AK116" i="5"/>
  <c r="AL116" i="5"/>
  <c r="AH148" i="5"/>
  <c r="AI148" i="5"/>
  <c r="AJ148" i="5"/>
  <c r="AL148" i="5"/>
  <c r="AK148" i="5"/>
  <c r="AH180" i="5"/>
  <c r="AI180" i="5"/>
  <c r="AL180" i="5"/>
  <c r="AK180" i="5"/>
  <c r="AJ180" i="5"/>
  <c r="AH212" i="5"/>
  <c r="AI212" i="5"/>
  <c r="AL212" i="5"/>
  <c r="AJ212" i="5"/>
  <c r="AK212" i="5"/>
  <c r="AH244" i="5"/>
  <c r="AI244" i="5"/>
  <c r="AK244" i="5"/>
  <c r="AJ244" i="5"/>
  <c r="AL244" i="5"/>
  <c r="AH276" i="5"/>
  <c r="AI276" i="5"/>
  <c r="AJ276" i="5"/>
  <c r="AK276" i="5"/>
  <c r="AL276" i="5"/>
  <c r="AH308" i="5"/>
  <c r="AI308" i="5"/>
  <c r="AJ308" i="5"/>
  <c r="AK308" i="5"/>
  <c r="AL308" i="5"/>
  <c r="AH340" i="5"/>
  <c r="AI340" i="5"/>
  <c r="AJ340" i="5"/>
  <c r="AL340" i="5"/>
  <c r="AK340" i="5"/>
  <c r="AH372" i="5"/>
  <c r="AI372" i="5"/>
  <c r="AK372" i="5"/>
  <c r="AJ372" i="5"/>
  <c r="AL372" i="5"/>
  <c r="AH404" i="5"/>
  <c r="AI404" i="5"/>
  <c r="AL404" i="5"/>
  <c r="AJ404" i="5"/>
  <c r="AK404" i="5"/>
  <c r="AH436" i="5"/>
  <c r="AI436" i="5"/>
  <c r="AJ436" i="5"/>
  <c r="AK436" i="5"/>
  <c r="AL436" i="5"/>
  <c r="AJ53" i="5"/>
  <c r="AK53" i="5"/>
  <c r="AH53" i="5"/>
  <c r="AI53" i="5"/>
  <c r="AL53" i="5"/>
  <c r="AJ85" i="5"/>
  <c r="AI85" i="5"/>
  <c r="AK85" i="5"/>
  <c r="AL85" i="5"/>
  <c r="AH85" i="5"/>
  <c r="AJ117" i="5"/>
  <c r="AL117" i="5"/>
  <c r="AH117" i="5"/>
  <c r="AI117" i="5"/>
  <c r="AK117" i="5"/>
  <c r="AJ149" i="5"/>
  <c r="AH149" i="5"/>
  <c r="AI149" i="5"/>
  <c r="AL149" i="5"/>
  <c r="AK149" i="5"/>
  <c r="AJ181" i="5"/>
  <c r="AL181" i="5"/>
  <c r="AH181" i="5"/>
  <c r="AK181" i="5"/>
  <c r="AI181" i="5"/>
  <c r="AJ213" i="5"/>
  <c r="AL213" i="5"/>
  <c r="AH213" i="5"/>
  <c r="AI213" i="5"/>
  <c r="AK213" i="5"/>
  <c r="AJ245" i="5"/>
  <c r="AI245" i="5"/>
  <c r="AK245" i="5"/>
  <c r="AH245" i="5"/>
  <c r="AL245" i="5"/>
  <c r="AJ277" i="5"/>
  <c r="AK277" i="5"/>
  <c r="AH277" i="5"/>
  <c r="AI277" i="5"/>
  <c r="AL277" i="5"/>
  <c r="AJ309" i="5"/>
  <c r="AK309" i="5"/>
  <c r="AL309" i="5"/>
  <c r="AI309" i="5"/>
  <c r="AH309" i="5"/>
  <c r="AJ341" i="5"/>
  <c r="AL341" i="5"/>
  <c r="AH341" i="5"/>
  <c r="AI341" i="5"/>
  <c r="AK341" i="5"/>
  <c r="AJ373" i="5"/>
  <c r="AH373" i="5"/>
  <c r="AI373" i="5"/>
  <c r="AK373" i="5"/>
  <c r="AL373" i="5"/>
  <c r="AJ405" i="5"/>
  <c r="AL405" i="5"/>
  <c r="AH405" i="5"/>
  <c r="AI405" i="5"/>
  <c r="AK405" i="5"/>
  <c r="AJ437" i="5"/>
  <c r="AL437" i="5"/>
  <c r="AH437" i="5"/>
  <c r="AK437" i="5"/>
  <c r="AI437" i="5"/>
  <c r="AJ469" i="5"/>
  <c r="AK469" i="5"/>
  <c r="AL469" i="5"/>
  <c r="AH469" i="5"/>
  <c r="AI469" i="5"/>
  <c r="AJ501" i="5"/>
  <c r="AK501" i="5"/>
  <c r="AL501" i="5"/>
  <c r="AH501" i="5"/>
  <c r="AI501" i="5"/>
  <c r="AJ533" i="5"/>
  <c r="AL533" i="5"/>
  <c r="AI533" i="5"/>
  <c r="AK533" i="5"/>
  <c r="AH533" i="5"/>
  <c r="AJ565" i="5"/>
  <c r="AH565" i="5"/>
  <c r="AI565" i="5"/>
  <c r="AL565" i="5"/>
  <c r="AK565" i="5"/>
  <c r="AK597" i="5"/>
  <c r="AH597" i="5"/>
  <c r="AI597" i="5"/>
  <c r="AJ597" i="5"/>
  <c r="AL597" i="5"/>
  <c r="AH629" i="5"/>
  <c r="AI629" i="5"/>
  <c r="AJ629" i="5"/>
  <c r="AK629" i="5"/>
  <c r="AL629" i="5"/>
  <c r="AK661" i="5"/>
  <c r="AJ661" i="5"/>
  <c r="AH661" i="5"/>
  <c r="AI661" i="5"/>
  <c r="AL661" i="5"/>
  <c r="AH693" i="5"/>
  <c r="AJ693" i="5"/>
  <c r="AI693" i="5"/>
  <c r="AK693" i="5"/>
  <c r="AL693" i="5"/>
  <c r="AH725" i="5"/>
  <c r="AJ725" i="5"/>
  <c r="AK725" i="5"/>
  <c r="AL725" i="5"/>
  <c r="AI725" i="5"/>
  <c r="AH757" i="5"/>
  <c r="AJ757" i="5"/>
  <c r="AK757" i="5"/>
  <c r="AL757" i="5"/>
  <c r="AI757" i="5"/>
  <c r="AL687" i="5"/>
  <c r="AJ687" i="5"/>
  <c r="AK687" i="5"/>
  <c r="AI687" i="5"/>
  <c r="AH687" i="5"/>
  <c r="AJ240" i="5"/>
  <c r="AH240" i="5"/>
  <c r="AK240" i="5"/>
  <c r="AL240" i="5"/>
  <c r="AI240" i="5"/>
  <c r="AH721" i="5"/>
  <c r="AI721" i="5"/>
  <c r="AL721" i="5"/>
  <c r="AJ721" i="5"/>
  <c r="AK721" i="5"/>
  <c r="AL758" i="5"/>
  <c r="AJ758" i="5"/>
  <c r="AK758" i="5"/>
  <c r="AH758" i="5"/>
  <c r="AI758" i="5"/>
  <c r="AK247" i="5"/>
  <c r="AJ247" i="5"/>
  <c r="AL247" i="5"/>
  <c r="AH247" i="5"/>
  <c r="AI247" i="5"/>
  <c r="AK440" i="5"/>
  <c r="AL440" i="5"/>
  <c r="AH440" i="5"/>
  <c r="AI440" i="5"/>
  <c r="AJ440" i="5"/>
  <c r="AJ218" i="5"/>
  <c r="AK218" i="5"/>
  <c r="AH218" i="5"/>
  <c r="AL218" i="5"/>
  <c r="AI218" i="5"/>
  <c r="AJ282" i="5"/>
  <c r="AK282" i="5"/>
  <c r="AL282" i="5"/>
  <c r="AI282" i="5"/>
  <c r="AH282" i="5"/>
  <c r="AJ314" i="5"/>
  <c r="AK314" i="5"/>
  <c r="AH314" i="5"/>
  <c r="AI314" i="5"/>
  <c r="AL314" i="5"/>
  <c r="AJ378" i="5"/>
  <c r="AK378" i="5"/>
  <c r="AH378" i="5"/>
  <c r="AI378" i="5"/>
  <c r="AL378" i="5"/>
  <c r="AJ410" i="5"/>
  <c r="AK410" i="5"/>
  <c r="AH410" i="5"/>
  <c r="AI410" i="5"/>
  <c r="AL410" i="5"/>
  <c r="AJ442" i="5"/>
  <c r="AK442" i="5"/>
  <c r="AH442" i="5"/>
  <c r="AI442" i="5"/>
  <c r="AL442" i="5"/>
  <c r="AJ474" i="5"/>
  <c r="AK474" i="5"/>
  <c r="AH474" i="5"/>
  <c r="AI474" i="5"/>
  <c r="AL474" i="5"/>
  <c r="AJ506" i="5"/>
  <c r="AK506" i="5"/>
  <c r="AI506" i="5"/>
  <c r="AL506" i="5"/>
  <c r="AH506" i="5"/>
  <c r="AJ538" i="5"/>
  <c r="AK538" i="5"/>
  <c r="AH538" i="5"/>
  <c r="AL538" i="5"/>
  <c r="AI538" i="5"/>
  <c r="AJ570" i="5"/>
  <c r="AK570" i="5"/>
  <c r="AL570" i="5"/>
  <c r="AH570" i="5"/>
  <c r="AI570" i="5"/>
  <c r="AH602" i="5"/>
  <c r="AK602" i="5"/>
  <c r="AL602" i="5"/>
  <c r="AI602" i="5"/>
  <c r="AJ602" i="5"/>
  <c r="AH634" i="5"/>
  <c r="AK634" i="5"/>
  <c r="AL634" i="5"/>
  <c r="AJ634" i="5"/>
  <c r="AI634" i="5"/>
  <c r="AL666" i="5"/>
  <c r="AJ666" i="5"/>
  <c r="AK666" i="5"/>
  <c r="AH666" i="5"/>
  <c r="AI666" i="5"/>
  <c r="AH698" i="5"/>
  <c r="AK698" i="5"/>
  <c r="AL698" i="5"/>
  <c r="AI698" i="5"/>
  <c r="AJ698" i="5"/>
  <c r="AH730" i="5"/>
  <c r="AK730" i="5"/>
  <c r="AL730" i="5"/>
  <c r="AJ730" i="5"/>
  <c r="AI730" i="5"/>
  <c r="AJ762" i="5"/>
  <c r="AK762" i="5"/>
  <c r="AH762" i="5"/>
  <c r="AI762" i="5"/>
  <c r="AL762" i="5"/>
  <c r="AK367" i="5"/>
  <c r="AH367" i="5"/>
  <c r="AL367" i="5"/>
  <c r="AI367" i="5"/>
  <c r="AJ367" i="5"/>
  <c r="AI592" i="5"/>
  <c r="AL592" i="5"/>
  <c r="AH592" i="5"/>
  <c r="AJ592" i="5"/>
  <c r="AK592" i="5"/>
  <c r="AH369" i="5"/>
  <c r="AI369" i="5"/>
  <c r="AJ369" i="5"/>
  <c r="AK369" i="5"/>
  <c r="AL369" i="5"/>
  <c r="AK146" i="5"/>
  <c r="AL146" i="5"/>
  <c r="AH146" i="5"/>
  <c r="AI146" i="5"/>
  <c r="AJ146" i="5"/>
  <c r="AJ594" i="5"/>
  <c r="AI594" i="5"/>
  <c r="AK594" i="5"/>
  <c r="AH594" i="5"/>
  <c r="AL594" i="5"/>
  <c r="AH214" i="5"/>
  <c r="AK214" i="5"/>
  <c r="AI214" i="5"/>
  <c r="AJ214" i="5"/>
  <c r="AL214" i="5"/>
  <c r="AH406" i="5"/>
  <c r="AI406" i="5"/>
  <c r="AK406" i="5"/>
  <c r="AL406" i="5"/>
  <c r="AJ406" i="5"/>
  <c r="AL599" i="5"/>
  <c r="AK599" i="5"/>
  <c r="AI599" i="5"/>
  <c r="AJ599" i="5"/>
  <c r="AH599" i="5"/>
  <c r="AH56" i="5"/>
  <c r="AK56" i="5"/>
  <c r="AL56" i="5"/>
  <c r="AI56" i="5"/>
  <c r="AJ56" i="5"/>
  <c r="AJ376" i="5"/>
  <c r="AK376" i="5"/>
  <c r="AL376" i="5"/>
  <c r="AH376" i="5"/>
  <c r="AI376" i="5"/>
  <c r="AL89" i="5"/>
  <c r="AH89" i="5"/>
  <c r="AJ89" i="5"/>
  <c r="AI89" i="5"/>
  <c r="AK89" i="5"/>
  <c r="AL313" i="5"/>
  <c r="AI313" i="5"/>
  <c r="AJ313" i="5"/>
  <c r="AK313" i="5"/>
  <c r="AH313" i="5"/>
  <c r="AJ441" i="5"/>
  <c r="AK441" i="5"/>
  <c r="AH441" i="5"/>
  <c r="AI441" i="5"/>
  <c r="AL441" i="5"/>
  <c r="AK537" i="5"/>
  <c r="AL537" i="5"/>
  <c r="AI537" i="5"/>
  <c r="AH537" i="5"/>
  <c r="AJ537" i="5"/>
  <c r="AL633" i="5"/>
  <c r="AH633" i="5"/>
  <c r="AI633" i="5"/>
  <c r="AJ633" i="5"/>
  <c r="AK633" i="5"/>
  <c r="AI729" i="5"/>
  <c r="AK729" i="5"/>
  <c r="AL729" i="5"/>
  <c r="AJ729" i="5"/>
  <c r="AH729" i="5"/>
  <c r="AJ26" i="5"/>
  <c r="AK26" i="5"/>
  <c r="AH26" i="5"/>
  <c r="AI26" i="5"/>
  <c r="AL26" i="5"/>
  <c r="AJ58" i="5"/>
  <c r="AK58" i="5"/>
  <c r="AH58" i="5"/>
  <c r="AI58" i="5"/>
  <c r="AL58" i="5"/>
  <c r="AJ90" i="5"/>
  <c r="AK90" i="5"/>
  <c r="AL90" i="5"/>
  <c r="AI90" i="5"/>
  <c r="AH90" i="5"/>
  <c r="AJ122" i="5"/>
  <c r="AK122" i="5"/>
  <c r="AL122" i="5"/>
  <c r="AH122" i="5"/>
  <c r="AI122" i="5"/>
  <c r="AJ154" i="5"/>
  <c r="AK154" i="5"/>
  <c r="AH154" i="5"/>
  <c r="AI154" i="5"/>
  <c r="AL154" i="5"/>
  <c r="AJ186" i="5"/>
  <c r="AK186" i="5"/>
  <c r="AI186" i="5"/>
  <c r="AL186" i="5"/>
  <c r="AH186" i="5"/>
  <c r="AJ250" i="5"/>
  <c r="AK250" i="5"/>
  <c r="AI250" i="5"/>
  <c r="AL250" i="5"/>
  <c r="AH250" i="5"/>
  <c r="AJ346" i="5"/>
  <c r="AK346" i="5"/>
  <c r="AH346" i="5"/>
  <c r="AI346" i="5"/>
  <c r="AL346" i="5"/>
  <c r="AL27" i="5"/>
  <c r="AK27" i="5"/>
  <c r="AI27" i="5"/>
  <c r="AJ27" i="5"/>
  <c r="AH27" i="5"/>
  <c r="AL59" i="5"/>
  <c r="AK59" i="5"/>
  <c r="AJ59" i="5"/>
  <c r="AI59" i="5"/>
  <c r="AH59" i="5"/>
  <c r="AL91" i="5"/>
  <c r="AK91" i="5"/>
  <c r="AH91" i="5"/>
  <c r="AJ91" i="5"/>
  <c r="AI91" i="5"/>
  <c r="AL123" i="5"/>
  <c r="AJ123" i="5"/>
  <c r="AK123" i="5"/>
  <c r="AH123" i="5"/>
  <c r="AI123" i="5"/>
  <c r="AL155" i="5"/>
  <c r="AK155" i="5"/>
  <c r="AJ155" i="5"/>
  <c r="AH155" i="5"/>
  <c r="AI155" i="5"/>
  <c r="AL187" i="5"/>
  <c r="AH187" i="5"/>
  <c r="AI187" i="5"/>
  <c r="AJ187" i="5"/>
  <c r="AK187" i="5"/>
  <c r="AL219" i="5"/>
  <c r="AH219" i="5"/>
  <c r="AK219" i="5"/>
  <c r="AI219" i="5"/>
  <c r="AJ219" i="5"/>
  <c r="AL251" i="5"/>
  <c r="AH251" i="5"/>
  <c r="AJ251" i="5"/>
  <c r="AK251" i="5"/>
  <c r="AI251" i="5"/>
  <c r="AL283" i="5"/>
  <c r="AK283" i="5"/>
  <c r="AH283" i="5"/>
  <c r="AI283" i="5"/>
  <c r="AJ283" i="5"/>
  <c r="AL315" i="5"/>
  <c r="AH315" i="5"/>
  <c r="AI315" i="5"/>
  <c r="AJ315" i="5"/>
  <c r="AK315" i="5"/>
  <c r="AL347" i="5"/>
  <c r="AH347" i="5"/>
  <c r="AI347" i="5"/>
  <c r="AJ347" i="5"/>
  <c r="AK347" i="5"/>
  <c r="AL379" i="5"/>
  <c r="AH379" i="5"/>
  <c r="AJ379" i="5"/>
  <c r="AK379" i="5"/>
  <c r="AI379" i="5"/>
  <c r="AL411" i="5"/>
  <c r="AJ411" i="5"/>
  <c r="AK411" i="5"/>
  <c r="AH411" i="5"/>
  <c r="AI411" i="5"/>
  <c r="AL443" i="5"/>
  <c r="AH443" i="5"/>
  <c r="AI443" i="5"/>
  <c r="AK443" i="5"/>
  <c r="AJ443" i="5"/>
  <c r="AL475" i="5"/>
  <c r="AH475" i="5"/>
  <c r="AI475" i="5"/>
  <c r="AJ475" i="5"/>
  <c r="AK475" i="5"/>
  <c r="AL507" i="5"/>
  <c r="AI507" i="5"/>
  <c r="AK507" i="5"/>
  <c r="AJ507" i="5"/>
  <c r="AH507" i="5"/>
  <c r="AL539" i="5"/>
  <c r="AH539" i="5"/>
  <c r="AI539" i="5"/>
  <c r="AK539" i="5"/>
  <c r="AJ539" i="5"/>
  <c r="AH571" i="5"/>
  <c r="AK571" i="5"/>
  <c r="AL571" i="5"/>
  <c r="AI571" i="5"/>
  <c r="AJ571" i="5"/>
  <c r="AI603" i="5"/>
  <c r="AJ603" i="5"/>
  <c r="AK603" i="5"/>
  <c r="AL603" i="5"/>
  <c r="AH603" i="5"/>
  <c r="AL635" i="5"/>
  <c r="AI635" i="5"/>
  <c r="AJ635" i="5"/>
  <c r="AK635" i="5"/>
  <c r="AH635" i="5"/>
  <c r="AH667" i="5"/>
  <c r="AJ667" i="5"/>
  <c r="AI667" i="5"/>
  <c r="AL667" i="5"/>
  <c r="AK667" i="5"/>
  <c r="AI699" i="5"/>
  <c r="AJ699" i="5"/>
  <c r="AK699" i="5"/>
  <c r="AL699" i="5"/>
  <c r="AH699" i="5"/>
  <c r="AI731" i="5"/>
  <c r="AJ731" i="5"/>
  <c r="AK731" i="5"/>
  <c r="AL731" i="5"/>
  <c r="AH731" i="5"/>
  <c r="AH763" i="5"/>
  <c r="AI763" i="5"/>
  <c r="AJ763" i="5"/>
  <c r="AK763" i="5"/>
  <c r="AL763" i="5"/>
  <c r="AK111" i="5"/>
  <c r="AL111" i="5"/>
  <c r="AH111" i="5"/>
  <c r="AI111" i="5"/>
  <c r="AJ111" i="5"/>
  <c r="AH278" i="5"/>
  <c r="AJ278" i="5"/>
  <c r="AI278" i="5"/>
  <c r="AL278" i="5"/>
  <c r="AK278" i="5"/>
  <c r="AL55" i="5"/>
  <c r="AK55" i="5"/>
  <c r="AJ55" i="5"/>
  <c r="AH55" i="5"/>
  <c r="AI55" i="5"/>
  <c r="AH663" i="5"/>
  <c r="AI663" i="5"/>
  <c r="AL663" i="5"/>
  <c r="AJ663" i="5"/>
  <c r="AK663" i="5"/>
  <c r="AI24" i="5"/>
  <c r="AH24" i="5"/>
  <c r="AJ24" i="5"/>
  <c r="AK24" i="5"/>
  <c r="AL24" i="5"/>
  <c r="AK216" i="5"/>
  <c r="AL216" i="5"/>
  <c r="AJ216" i="5"/>
  <c r="AH216" i="5"/>
  <c r="AI216" i="5"/>
  <c r="AI280" i="5"/>
  <c r="AH280" i="5"/>
  <c r="AJ280" i="5"/>
  <c r="AL280" i="5"/>
  <c r="AK280" i="5"/>
  <c r="AH217" i="5"/>
  <c r="AI217" i="5"/>
  <c r="AK217" i="5"/>
  <c r="AL217" i="5"/>
  <c r="AJ217" i="5"/>
  <c r="AH377" i="5"/>
  <c r="AI377" i="5"/>
  <c r="AK377" i="5"/>
  <c r="AL377" i="5"/>
  <c r="AJ377" i="5"/>
  <c r="AJ473" i="5"/>
  <c r="AH473" i="5"/>
  <c r="AI473" i="5"/>
  <c r="AK473" i="5"/>
  <c r="AL473" i="5"/>
  <c r="AH569" i="5"/>
  <c r="AL569" i="5"/>
  <c r="AJ569" i="5"/>
  <c r="AK569" i="5"/>
  <c r="AI569" i="5"/>
  <c r="AH665" i="5"/>
  <c r="AL665" i="5"/>
  <c r="AJ665" i="5"/>
  <c r="AK665" i="5"/>
  <c r="AI665" i="5"/>
  <c r="AJ697" i="5"/>
  <c r="AK697" i="5"/>
  <c r="AL697" i="5"/>
  <c r="AH697" i="5"/>
  <c r="AI697" i="5"/>
  <c r="AJ60" i="5"/>
  <c r="AK60" i="5"/>
  <c r="AL60" i="5"/>
  <c r="AH60" i="5"/>
  <c r="AI60" i="5"/>
  <c r="AJ92" i="5"/>
  <c r="AK92" i="5"/>
  <c r="AH92" i="5"/>
  <c r="AI92" i="5"/>
  <c r="AL92" i="5"/>
  <c r="AJ124" i="5"/>
  <c r="AK124" i="5"/>
  <c r="AH124" i="5"/>
  <c r="AL124" i="5"/>
  <c r="AI124" i="5"/>
  <c r="AJ156" i="5"/>
  <c r="AK156" i="5"/>
  <c r="AI156" i="5"/>
  <c r="AH156" i="5"/>
  <c r="AL156" i="5"/>
  <c r="AJ188" i="5"/>
  <c r="AK188" i="5"/>
  <c r="AH188" i="5"/>
  <c r="AI188" i="5"/>
  <c r="AL188" i="5"/>
  <c r="AJ220" i="5"/>
  <c r="AH220" i="5"/>
  <c r="AI220" i="5"/>
  <c r="AL220" i="5"/>
  <c r="AK220" i="5"/>
  <c r="AJ252" i="5"/>
  <c r="AH252" i="5"/>
  <c r="AK252" i="5"/>
  <c r="AL252" i="5"/>
  <c r="AI252" i="5"/>
  <c r="AJ284" i="5"/>
  <c r="AK284" i="5"/>
  <c r="AL284" i="5"/>
  <c r="AH284" i="5"/>
  <c r="AI284" i="5"/>
  <c r="AJ316" i="5"/>
  <c r="AI316" i="5"/>
  <c r="AK316" i="5"/>
  <c r="AL316" i="5"/>
  <c r="AH316" i="5"/>
  <c r="AJ348" i="5"/>
  <c r="AI348" i="5"/>
  <c r="AL348" i="5"/>
  <c r="AK348" i="5"/>
  <c r="AH348" i="5"/>
  <c r="AJ380" i="5"/>
  <c r="AH380" i="5"/>
  <c r="AI380" i="5"/>
  <c r="AK380" i="5"/>
  <c r="AL380" i="5"/>
  <c r="AJ412" i="5"/>
  <c r="AL412" i="5"/>
  <c r="AH412" i="5"/>
  <c r="AI412" i="5"/>
  <c r="AK412" i="5"/>
  <c r="AJ444" i="5"/>
  <c r="AK444" i="5"/>
  <c r="AI444" i="5"/>
  <c r="AL444" i="5"/>
  <c r="AH444" i="5"/>
  <c r="AJ476" i="5"/>
  <c r="AK476" i="5"/>
  <c r="AL476" i="5"/>
  <c r="AH476" i="5"/>
  <c r="AI476" i="5"/>
  <c r="AL508" i="5"/>
  <c r="AH508" i="5"/>
  <c r="AJ508" i="5"/>
  <c r="AK508" i="5"/>
  <c r="AI508" i="5"/>
  <c r="AH540" i="5"/>
  <c r="AI540" i="5"/>
  <c r="AK540" i="5"/>
  <c r="AL540" i="5"/>
  <c r="AJ540" i="5"/>
  <c r="AH572" i="5"/>
  <c r="AI572" i="5"/>
  <c r="AK572" i="5"/>
  <c r="AL572" i="5"/>
  <c r="AJ572" i="5"/>
  <c r="AK604" i="5"/>
  <c r="AL604" i="5"/>
  <c r="AJ604" i="5"/>
  <c r="AH604" i="5"/>
  <c r="AI604" i="5"/>
  <c r="AH636" i="5"/>
  <c r="AI636" i="5"/>
  <c r="AJ636" i="5"/>
  <c r="AK636" i="5"/>
  <c r="AL636" i="5"/>
  <c r="AL668" i="5"/>
  <c r="AI668" i="5"/>
  <c r="AH668" i="5"/>
  <c r="AK668" i="5"/>
  <c r="AJ668" i="5"/>
  <c r="AK700" i="5"/>
  <c r="AH700" i="5"/>
  <c r="AL700" i="5"/>
  <c r="AI700" i="5"/>
  <c r="AJ700" i="5"/>
  <c r="AK732" i="5"/>
  <c r="AJ732" i="5"/>
  <c r="AH732" i="5"/>
  <c r="AI732" i="5"/>
  <c r="AL732" i="5"/>
  <c r="AJ764" i="5"/>
  <c r="AL764" i="5"/>
  <c r="AH764" i="5"/>
  <c r="AI764" i="5"/>
  <c r="AK764" i="5"/>
  <c r="AK47" i="5"/>
  <c r="AL47" i="5"/>
  <c r="AH47" i="5"/>
  <c r="AI47" i="5"/>
  <c r="AJ47" i="5"/>
  <c r="AK431" i="5"/>
  <c r="AH431" i="5"/>
  <c r="AI431" i="5"/>
  <c r="AL431" i="5"/>
  <c r="AJ431" i="5"/>
  <c r="AK496" i="5"/>
  <c r="AH496" i="5"/>
  <c r="AI496" i="5"/>
  <c r="AL496" i="5"/>
  <c r="AJ496" i="5"/>
  <c r="AL401" i="5"/>
  <c r="AK401" i="5"/>
  <c r="AH401" i="5"/>
  <c r="AI401" i="5"/>
  <c r="AJ401" i="5"/>
  <c r="AK178" i="5"/>
  <c r="AL178" i="5"/>
  <c r="AH178" i="5"/>
  <c r="AJ178" i="5"/>
  <c r="AI178" i="5"/>
  <c r="AH562" i="5"/>
  <c r="AJ562" i="5"/>
  <c r="AI562" i="5"/>
  <c r="AK562" i="5"/>
  <c r="AL562" i="5"/>
  <c r="AH118" i="5"/>
  <c r="AI118" i="5"/>
  <c r="AK118" i="5"/>
  <c r="AL118" i="5"/>
  <c r="AJ118" i="5"/>
  <c r="AH374" i="5"/>
  <c r="AL374" i="5"/>
  <c r="AJ374" i="5"/>
  <c r="AI374" i="5"/>
  <c r="AK374" i="5"/>
  <c r="AI631" i="5"/>
  <c r="AK631" i="5"/>
  <c r="AL631" i="5"/>
  <c r="AJ631" i="5"/>
  <c r="AH631" i="5"/>
  <c r="AJ120" i="5"/>
  <c r="AK120" i="5"/>
  <c r="AH120" i="5"/>
  <c r="AL120" i="5"/>
  <c r="AI120" i="5"/>
  <c r="AL408" i="5"/>
  <c r="AK408" i="5"/>
  <c r="AH408" i="5"/>
  <c r="AI408" i="5"/>
  <c r="AJ408" i="5"/>
  <c r="AH249" i="5"/>
  <c r="AI249" i="5"/>
  <c r="AL249" i="5"/>
  <c r="AK249" i="5"/>
  <c r="AJ249" i="5"/>
  <c r="AH409" i="5"/>
  <c r="AK409" i="5"/>
  <c r="AL409" i="5"/>
  <c r="AI409" i="5"/>
  <c r="AJ409" i="5"/>
  <c r="AK505" i="5"/>
  <c r="AL505" i="5"/>
  <c r="AH505" i="5"/>
  <c r="AI505" i="5"/>
  <c r="AJ505" i="5"/>
  <c r="AL601" i="5"/>
  <c r="AI601" i="5"/>
  <c r="AH601" i="5"/>
  <c r="AJ601" i="5"/>
  <c r="AK601" i="5"/>
  <c r="AH761" i="5"/>
  <c r="AJ761" i="5"/>
  <c r="AI761" i="5"/>
  <c r="AK761" i="5"/>
  <c r="AL761" i="5"/>
  <c r="AJ28" i="5"/>
  <c r="AK28" i="5"/>
  <c r="AH28" i="5"/>
  <c r="AI28" i="5"/>
  <c r="AL28" i="5"/>
  <c r="AK29" i="5"/>
  <c r="AH29" i="5"/>
  <c r="AI29" i="5"/>
  <c r="AJ29" i="5"/>
  <c r="AL29" i="5"/>
  <c r="AH61" i="5"/>
  <c r="AK61" i="5"/>
  <c r="AL61" i="5"/>
  <c r="AI61" i="5"/>
  <c r="AJ61" i="5"/>
  <c r="AL93" i="5"/>
  <c r="AK93" i="5"/>
  <c r="AH93" i="5"/>
  <c r="AI93" i="5"/>
  <c r="AJ93" i="5"/>
  <c r="AK125" i="5"/>
  <c r="AL125" i="5"/>
  <c r="AH125" i="5"/>
  <c r="AI125" i="5"/>
  <c r="AJ125" i="5"/>
  <c r="AH157" i="5"/>
  <c r="AI157" i="5"/>
  <c r="AK157" i="5"/>
  <c r="AL157" i="5"/>
  <c r="AJ157" i="5"/>
  <c r="AK189" i="5"/>
  <c r="AH189" i="5"/>
  <c r="AL189" i="5"/>
  <c r="AI189" i="5"/>
  <c r="AJ189" i="5"/>
  <c r="AL221" i="5"/>
  <c r="AI221" i="5"/>
  <c r="AJ221" i="5"/>
  <c r="AH221" i="5"/>
  <c r="AK221" i="5"/>
  <c r="AJ253" i="5"/>
  <c r="AK253" i="5"/>
  <c r="AI253" i="5"/>
  <c r="AH253" i="5"/>
  <c r="AL253" i="5"/>
  <c r="AH285" i="5"/>
  <c r="AI285" i="5"/>
  <c r="AJ285" i="5"/>
  <c r="AK285" i="5"/>
  <c r="AL285" i="5"/>
  <c r="AH317" i="5"/>
  <c r="AK317" i="5"/>
  <c r="AL317" i="5"/>
  <c r="AI317" i="5"/>
  <c r="AJ317" i="5"/>
  <c r="AK349" i="5"/>
  <c r="AL349" i="5"/>
  <c r="AJ349" i="5"/>
  <c r="AH349" i="5"/>
  <c r="AI349" i="5"/>
  <c r="AH381" i="5"/>
  <c r="AI381" i="5"/>
  <c r="AJ381" i="5"/>
  <c r="AL381" i="5"/>
  <c r="AK381" i="5"/>
  <c r="AI413" i="5"/>
  <c r="AJ413" i="5"/>
  <c r="AH413" i="5"/>
  <c r="AK413" i="5"/>
  <c r="AL413" i="5"/>
  <c r="AL445" i="5"/>
  <c r="AI445" i="5"/>
  <c r="AJ445" i="5"/>
  <c r="AK445" i="5"/>
  <c r="AH445" i="5"/>
  <c r="AH477" i="5"/>
  <c r="AI477" i="5"/>
  <c r="AJ477" i="5"/>
  <c r="AL477" i="5"/>
  <c r="AK477" i="5"/>
  <c r="AH509" i="5"/>
  <c r="AI509" i="5"/>
  <c r="AJ509" i="5"/>
  <c r="AK509" i="5"/>
  <c r="AL509" i="5"/>
  <c r="AH541" i="5"/>
  <c r="AJ541" i="5"/>
  <c r="AI541" i="5"/>
  <c r="AK541" i="5"/>
  <c r="AL541" i="5"/>
  <c r="AH573" i="5"/>
  <c r="AI573" i="5"/>
  <c r="AJ573" i="5"/>
  <c r="AK573" i="5"/>
  <c r="AL573" i="5"/>
  <c r="AH605" i="5"/>
  <c r="AI605" i="5"/>
  <c r="AJ605" i="5"/>
  <c r="AK605" i="5"/>
  <c r="AL605" i="5"/>
  <c r="AH637" i="5"/>
  <c r="AI637" i="5"/>
  <c r="AJ637" i="5"/>
  <c r="AK637" i="5"/>
  <c r="AL637" i="5"/>
  <c r="AH669" i="5"/>
  <c r="AJ669" i="5"/>
  <c r="AL669" i="5"/>
  <c r="AI669" i="5"/>
  <c r="AK669" i="5"/>
  <c r="AI701" i="5"/>
  <c r="AJ701" i="5"/>
  <c r="AH701" i="5"/>
  <c r="AK701" i="5"/>
  <c r="AL701" i="5"/>
  <c r="AI733" i="5"/>
  <c r="AJ733" i="5"/>
  <c r="AH733" i="5"/>
  <c r="AL733" i="5"/>
  <c r="AK733" i="5"/>
  <c r="AI765" i="5"/>
  <c r="AJ765" i="5"/>
  <c r="AL765" i="5"/>
  <c r="AH765" i="5"/>
  <c r="AK765" i="5"/>
  <c r="AK655" i="5"/>
  <c r="AL655" i="5"/>
  <c r="AH655" i="5"/>
  <c r="AJ655" i="5"/>
  <c r="AI655" i="5"/>
  <c r="AI208" i="5"/>
  <c r="AJ208" i="5"/>
  <c r="AK208" i="5"/>
  <c r="AH208" i="5"/>
  <c r="AL208" i="5"/>
  <c r="AJ689" i="5"/>
  <c r="AK689" i="5"/>
  <c r="AL689" i="5"/>
  <c r="AH689" i="5"/>
  <c r="AI689" i="5"/>
  <c r="AK306" i="5"/>
  <c r="AH306" i="5"/>
  <c r="AI306" i="5"/>
  <c r="AJ306" i="5"/>
  <c r="AL306" i="5"/>
  <c r="AI662" i="5"/>
  <c r="AJ662" i="5"/>
  <c r="AH662" i="5"/>
  <c r="AL662" i="5"/>
  <c r="AK662" i="5"/>
  <c r="AK151" i="5"/>
  <c r="AH151" i="5"/>
  <c r="AI151" i="5"/>
  <c r="AJ151" i="5"/>
  <c r="AL151" i="5"/>
  <c r="AJ407" i="5"/>
  <c r="AK407" i="5"/>
  <c r="AH407" i="5"/>
  <c r="AI407" i="5"/>
  <c r="AL407" i="5"/>
  <c r="AJ568" i="5"/>
  <c r="AK568" i="5"/>
  <c r="AL568" i="5"/>
  <c r="AI568" i="5"/>
  <c r="AH568" i="5"/>
  <c r="AK185" i="5"/>
  <c r="AL185" i="5"/>
  <c r="AJ185" i="5"/>
  <c r="AH185" i="5"/>
  <c r="AI185" i="5"/>
  <c r="AI30" i="5"/>
  <c r="AL30" i="5"/>
  <c r="AH30" i="5"/>
  <c r="AJ30" i="5"/>
  <c r="AK30" i="5"/>
  <c r="AJ318" i="5"/>
  <c r="AK318" i="5"/>
  <c r="AH318" i="5"/>
  <c r="AI318" i="5"/>
  <c r="AL318" i="5"/>
  <c r="AJ446" i="5"/>
  <c r="AK446" i="5"/>
  <c r="AL446" i="5"/>
  <c r="AH446" i="5"/>
  <c r="AI446" i="5"/>
  <c r="AK543" i="5"/>
  <c r="AJ543" i="5"/>
  <c r="AL543" i="5"/>
  <c r="AH543" i="5"/>
  <c r="AI543" i="5"/>
  <c r="AL128" i="5"/>
  <c r="AJ128" i="5"/>
  <c r="AH128" i="5"/>
  <c r="AI128" i="5"/>
  <c r="AK128" i="5"/>
  <c r="AL288" i="5"/>
  <c r="AH288" i="5"/>
  <c r="AI288" i="5"/>
  <c r="AJ288" i="5"/>
  <c r="AK288" i="5"/>
  <c r="AL352" i="5"/>
  <c r="AH352" i="5"/>
  <c r="AI352" i="5"/>
  <c r="AJ352" i="5"/>
  <c r="AK352" i="5"/>
  <c r="AL384" i="5"/>
  <c r="AJ384" i="5"/>
  <c r="AH384" i="5"/>
  <c r="AI384" i="5"/>
  <c r="AK384" i="5"/>
  <c r="AL416" i="5"/>
  <c r="AI416" i="5"/>
  <c r="AJ416" i="5"/>
  <c r="AH416" i="5"/>
  <c r="AK416" i="5"/>
  <c r="AL448" i="5"/>
  <c r="AH448" i="5"/>
  <c r="AK448" i="5"/>
  <c r="AI448" i="5"/>
  <c r="AJ448" i="5"/>
  <c r="AL480" i="5"/>
  <c r="AH480" i="5"/>
  <c r="AJ480" i="5"/>
  <c r="AK480" i="5"/>
  <c r="AI480" i="5"/>
  <c r="AL512" i="5"/>
  <c r="AK512" i="5"/>
  <c r="AH512" i="5"/>
  <c r="AI512" i="5"/>
  <c r="AJ512" i="5"/>
  <c r="AL544" i="5"/>
  <c r="AI544" i="5"/>
  <c r="AJ544" i="5"/>
  <c r="AK544" i="5"/>
  <c r="AH544" i="5"/>
  <c r="AJ576" i="5"/>
  <c r="AL576" i="5"/>
  <c r="AK576" i="5"/>
  <c r="AH576" i="5"/>
  <c r="AI576" i="5"/>
  <c r="AK608" i="5"/>
  <c r="AL608" i="5"/>
  <c r="AH608" i="5"/>
  <c r="AI608" i="5"/>
  <c r="AJ608" i="5"/>
  <c r="AJ640" i="5"/>
  <c r="AK640" i="5"/>
  <c r="AL640" i="5"/>
  <c r="AI640" i="5"/>
  <c r="AH640" i="5"/>
  <c r="AH672" i="5"/>
  <c r="AI672" i="5"/>
  <c r="AJ672" i="5"/>
  <c r="AK672" i="5"/>
  <c r="AL672" i="5"/>
  <c r="AL704" i="5"/>
  <c r="AI704" i="5"/>
  <c r="AJ704" i="5"/>
  <c r="AH704" i="5"/>
  <c r="AK704" i="5"/>
  <c r="AH736" i="5"/>
  <c r="AK736" i="5"/>
  <c r="AL736" i="5"/>
  <c r="AI736" i="5"/>
  <c r="AJ736" i="5"/>
  <c r="AK335" i="5"/>
  <c r="AH335" i="5"/>
  <c r="AL335" i="5"/>
  <c r="AI335" i="5"/>
  <c r="AJ335" i="5"/>
  <c r="AI560" i="5"/>
  <c r="AJ560" i="5"/>
  <c r="AK560" i="5"/>
  <c r="AH560" i="5"/>
  <c r="AL560" i="5"/>
  <c r="AL433" i="5"/>
  <c r="AI433" i="5"/>
  <c r="AJ433" i="5"/>
  <c r="AH433" i="5"/>
  <c r="AK433" i="5"/>
  <c r="AI626" i="5"/>
  <c r="AJ626" i="5"/>
  <c r="AK626" i="5"/>
  <c r="AH626" i="5"/>
  <c r="AL626" i="5"/>
  <c r="AH182" i="5"/>
  <c r="AI182" i="5"/>
  <c r="AJ182" i="5"/>
  <c r="AL182" i="5"/>
  <c r="AK182" i="5"/>
  <c r="AH438" i="5"/>
  <c r="AK438" i="5"/>
  <c r="AL438" i="5"/>
  <c r="AI438" i="5"/>
  <c r="AJ438" i="5"/>
  <c r="AL471" i="5"/>
  <c r="AK471" i="5"/>
  <c r="AJ471" i="5"/>
  <c r="AH471" i="5"/>
  <c r="AI471" i="5"/>
  <c r="AL664" i="5"/>
  <c r="AI664" i="5"/>
  <c r="AJ664" i="5"/>
  <c r="AK664" i="5"/>
  <c r="AH664" i="5"/>
  <c r="AL702" i="5"/>
  <c r="AH702" i="5"/>
  <c r="AI702" i="5"/>
  <c r="AJ702" i="5"/>
  <c r="AK702" i="5"/>
  <c r="AL127" i="5"/>
  <c r="AJ127" i="5"/>
  <c r="AK127" i="5"/>
  <c r="AH127" i="5"/>
  <c r="AI127" i="5"/>
  <c r="AJ351" i="5"/>
  <c r="AH351" i="5"/>
  <c r="AI351" i="5"/>
  <c r="AK351" i="5"/>
  <c r="AL351" i="5"/>
  <c r="AI639" i="5"/>
  <c r="AJ639" i="5"/>
  <c r="AK639" i="5"/>
  <c r="AL639" i="5"/>
  <c r="AH639" i="5"/>
  <c r="AL32" i="5"/>
  <c r="AK32" i="5"/>
  <c r="AI32" i="5"/>
  <c r="AH32" i="5"/>
  <c r="AJ32" i="5"/>
  <c r="AL256" i="5"/>
  <c r="AK256" i="5"/>
  <c r="AI256" i="5"/>
  <c r="AJ256" i="5"/>
  <c r="AH256" i="5"/>
  <c r="AH65" i="5"/>
  <c r="AK65" i="5"/>
  <c r="AL65" i="5"/>
  <c r="AI65" i="5"/>
  <c r="AJ65" i="5"/>
  <c r="AH97" i="5"/>
  <c r="AK97" i="5"/>
  <c r="AI97" i="5"/>
  <c r="AJ97" i="5"/>
  <c r="AL97" i="5"/>
  <c r="AH129" i="5"/>
  <c r="AK129" i="5"/>
  <c r="AI129" i="5"/>
  <c r="AJ129" i="5"/>
  <c r="AL129" i="5"/>
  <c r="AH161" i="5"/>
  <c r="AL161" i="5"/>
  <c r="AI161" i="5"/>
  <c r="AK161" i="5"/>
  <c r="AJ161" i="5"/>
  <c r="AH193" i="5"/>
  <c r="AI193" i="5"/>
  <c r="AJ193" i="5"/>
  <c r="AK193" i="5"/>
  <c r="AL193" i="5"/>
  <c r="AH225" i="5"/>
  <c r="AK225" i="5"/>
  <c r="AJ225" i="5"/>
  <c r="AL225" i="5"/>
  <c r="AI225" i="5"/>
  <c r="AH257" i="5"/>
  <c r="AJ257" i="5"/>
  <c r="AI257" i="5"/>
  <c r="AK257" i="5"/>
  <c r="AL257" i="5"/>
  <c r="AH289" i="5"/>
  <c r="AL289" i="5"/>
  <c r="AI289" i="5"/>
  <c r="AK289" i="5"/>
  <c r="AJ289" i="5"/>
  <c r="AH321" i="5"/>
  <c r="AJ321" i="5"/>
  <c r="AI321" i="5"/>
  <c r="AK321" i="5"/>
  <c r="AL321" i="5"/>
  <c r="AH353" i="5"/>
  <c r="AJ353" i="5"/>
  <c r="AI353" i="5"/>
  <c r="AK353" i="5"/>
  <c r="AL353" i="5"/>
  <c r="AH385" i="5"/>
  <c r="AJ385" i="5"/>
  <c r="AK385" i="5"/>
  <c r="AI385" i="5"/>
  <c r="AL385" i="5"/>
  <c r="AH417" i="5"/>
  <c r="AL417" i="5"/>
  <c r="AI417" i="5"/>
  <c r="AJ417" i="5"/>
  <c r="AK417" i="5"/>
  <c r="AH449" i="5"/>
  <c r="AI449" i="5"/>
  <c r="AJ449" i="5"/>
  <c r="AK449" i="5"/>
  <c r="AL449" i="5"/>
  <c r="AH481" i="5"/>
  <c r="AK481" i="5"/>
  <c r="AI481" i="5"/>
  <c r="AJ481" i="5"/>
  <c r="AL481" i="5"/>
  <c r="AH513" i="5"/>
  <c r="AK513" i="5"/>
  <c r="AL513" i="5"/>
  <c r="AJ513" i="5"/>
  <c r="AI513" i="5"/>
  <c r="AH545" i="5"/>
  <c r="AI545" i="5"/>
  <c r="AJ545" i="5"/>
  <c r="AK545" i="5"/>
  <c r="AL545" i="5"/>
  <c r="AH577" i="5"/>
  <c r="AL577" i="5"/>
  <c r="AK577" i="5"/>
  <c r="AI577" i="5"/>
  <c r="AJ577" i="5"/>
  <c r="AH609" i="5"/>
  <c r="AI609" i="5"/>
  <c r="AJ609" i="5"/>
  <c r="AK609" i="5"/>
  <c r="AL609" i="5"/>
  <c r="AL641" i="5"/>
  <c r="AH641" i="5"/>
  <c r="AI641" i="5"/>
  <c r="AJ641" i="5"/>
  <c r="AK641" i="5"/>
  <c r="AJ673" i="5"/>
  <c r="AK673" i="5"/>
  <c r="AL673" i="5"/>
  <c r="AH673" i="5"/>
  <c r="AI673" i="5"/>
  <c r="AK705" i="5"/>
  <c r="AL705" i="5"/>
  <c r="AI705" i="5"/>
  <c r="AH705" i="5"/>
  <c r="AJ705" i="5"/>
  <c r="AK737" i="5"/>
  <c r="AH737" i="5"/>
  <c r="AI737" i="5"/>
  <c r="AJ737" i="5"/>
  <c r="AL737" i="5"/>
  <c r="AH495" i="5"/>
  <c r="AL495" i="5"/>
  <c r="AI495" i="5"/>
  <c r="AJ495" i="5"/>
  <c r="AK495" i="5"/>
  <c r="AH432" i="5"/>
  <c r="AI432" i="5"/>
  <c r="AJ432" i="5"/>
  <c r="AK432" i="5"/>
  <c r="AL432" i="5"/>
  <c r="AI593" i="5"/>
  <c r="AH593" i="5"/>
  <c r="AJ593" i="5"/>
  <c r="AK593" i="5"/>
  <c r="AL593" i="5"/>
  <c r="AH402" i="5"/>
  <c r="AL402" i="5"/>
  <c r="AI402" i="5"/>
  <c r="AJ402" i="5"/>
  <c r="AK402" i="5"/>
  <c r="AK630" i="5"/>
  <c r="AJ630" i="5"/>
  <c r="AL630" i="5"/>
  <c r="AI630" i="5"/>
  <c r="AH630" i="5"/>
  <c r="AH23" i="5"/>
  <c r="AI23" i="5"/>
  <c r="AJ23" i="5"/>
  <c r="AK23" i="5"/>
  <c r="AL23" i="5"/>
  <c r="AJ375" i="5"/>
  <c r="AH375" i="5"/>
  <c r="AI375" i="5"/>
  <c r="AK375" i="5"/>
  <c r="AL375" i="5"/>
  <c r="AH696" i="5"/>
  <c r="AL696" i="5"/>
  <c r="AI696" i="5"/>
  <c r="AJ696" i="5"/>
  <c r="AK696" i="5"/>
  <c r="AI25" i="5"/>
  <c r="AJ25" i="5"/>
  <c r="AH25" i="5"/>
  <c r="AK25" i="5"/>
  <c r="AL25" i="5"/>
  <c r="AK190" i="5"/>
  <c r="AL190" i="5"/>
  <c r="AH190" i="5"/>
  <c r="AI190" i="5"/>
  <c r="AJ190" i="5"/>
  <c r="AI542" i="5"/>
  <c r="AJ542" i="5"/>
  <c r="AL542" i="5"/>
  <c r="AH542" i="5"/>
  <c r="AK542" i="5"/>
  <c r="AH159" i="5"/>
  <c r="AI159" i="5"/>
  <c r="AL159" i="5"/>
  <c r="AJ159" i="5"/>
  <c r="AK159" i="5"/>
  <c r="AI415" i="5"/>
  <c r="AJ415" i="5"/>
  <c r="AH415" i="5"/>
  <c r="AL415" i="5"/>
  <c r="AK415" i="5"/>
  <c r="AJ735" i="5"/>
  <c r="AK735" i="5"/>
  <c r="AL735" i="5"/>
  <c r="AH735" i="5"/>
  <c r="AI735" i="5"/>
  <c r="AL96" i="5"/>
  <c r="AH96" i="5"/>
  <c r="AI96" i="5"/>
  <c r="AJ96" i="5"/>
  <c r="AK96" i="5"/>
  <c r="AL160" i="5"/>
  <c r="AK160" i="5"/>
  <c r="AH160" i="5"/>
  <c r="AI160" i="5"/>
  <c r="AJ160" i="5"/>
  <c r="AL66" i="5"/>
  <c r="AI66" i="5"/>
  <c r="AK66" i="5"/>
  <c r="AH66" i="5"/>
  <c r="AJ66" i="5"/>
  <c r="AL130" i="5"/>
  <c r="AI130" i="5"/>
  <c r="AJ130" i="5"/>
  <c r="AK130" i="5"/>
  <c r="AH130" i="5"/>
  <c r="AL162" i="5"/>
  <c r="AI162" i="5"/>
  <c r="AK162" i="5"/>
  <c r="AH162" i="5"/>
  <c r="AJ162" i="5"/>
  <c r="AL194" i="5"/>
  <c r="AI194" i="5"/>
  <c r="AK194" i="5"/>
  <c r="AJ194" i="5"/>
  <c r="AH194" i="5"/>
  <c r="AL226" i="5"/>
  <c r="AI226" i="5"/>
  <c r="AJ226" i="5"/>
  <c r="AH226" i="5"/>
  <c r="AK226" i="5"/>
  <c r="AL258" i="5"/>
  <c r="AI258" i="5"/>
  <c r="AJ258" i="5"/>
  <c r="AH258" i="5"/>
  <c r="AK258" i="5"/>
  <c r="AL290" i="5"/>
  <c r="AI290" i="5"/>
  <c r="AH290" i="5"/>
  <c r="AJ290" i="5"/>
  <c r="AK290" i="5"/>
  <c r="AL322" i="5"/>
  <c r="AI322" i="5"/>
  <c r="AH322" i="5"/>
  <c r="AJ322" i="5"/>
  <c r="AK322" i="5"/>
  <c r="AL354" i="5"/>
  <c r="AI354" i="5"/>
  <c r="AH354" i="5"/>
  <c r="AK354" i="5"/>
  <c r="AJ354" i="5"/>
  <c r="AL386" i="5"/>
  <c r="AI386" i="5"/>
  <c r="AK386" i="5"/>
  <c r="AH386" i="5"/>
  <c r="AJ386" i="5"/>
  <c r="AL418" i="5"/>
  <c r="AI418" i="5"/>
  <c r="AH418" i="5"/>
  <c r="AJ418" i="5"/>
  <c r="AK418" i="5"/>
  <c r="AL450" i="5"/>
  <c r="AI450" i="5"/>
  <c r="AJ450" i="5"/>
  <c r="AK450" i="5"/>
  <c r="AH450" i="5"/>
  <c r="AL482" i="5"/>
  <c r="AI482" i="5"/>
  <c r="AJ482" i="5"/>
  <c r="AK482" i="5"/>
  <c r="AH482" i="5"/>
  <c r="AI514" i="5"/>
  <c r="AH514" i="5"/>
  <c r="AJ514" i="5"/>
  <c r="AK514" i="5"/>
  <c r="AL514" i="5"/>
  <c r="AI546" i="5"/>
  <c r="AH546" i="5"/>
  <c r="AL546" i="5"/>
  <c r="AK546" i="5"/>
  <c r="AJ546" i="5"/>
  <c r="AJ578" i="5"/>
  <c r="AK578" i="5"/>
  <c r="AL578" i="5"/>
  <c r="AH578" i="5"/>
  <c r="AI578" i="5"/>
  <c r="AJ610" i="5"/>
  <c r="AK610" i="5"/>
  <c r="AH610" i="5"/>
  <c r="AL610" i="5"/>
  <c r="AI610" i="5"/>
  <c r="AJ642" i="5"/>
  <c r="AK642" i="5"/>
  <c r="AL642" i="5"/>
  <c r="AH642" i="5"/>
  <c r="AI642" i="5"/>
  <c r="AL674" i="5"/>
  <c r="AJ674" i="5"/>
  <c r="AK674" i="5"/>
  <c r="AH674" i="5"/>
  <c r="AI674" i="5"/>
  <c r="AH706" i="5"/>
  <c r="AI706" i="5"/>
  <c r="AL706" i="5"/>
  <c r="AJ706" i="5"/>
  <c r="AK706" i="5"/>
  <c r="AL738" i="5"/>
  <c r="AI738" i="5"/>
  <c r="AJ738" i="5"/>
  <c r="AK738" i="5"/>
  <c r="AH738" i="5"/>
  <c r="AH623" i="5"/>
  <c r="AI623" i="5"/>
  <c r="AJ623" i="5"/>
  <c r="AK623" i="5"/>
  <c r="AL623" i="5"/>
  <c r="AK304" i="5"/>
  <c r="AL304" i="5"/>
  <c r="AH304" i="5"/>
  <c r="AI304" i="5"/>
  <c r="AJ304" i="5"/>
  <c r="AH657" i="5"/>
  <c r="AI657" i="5"/>
  <c r="AK657" i="5"/>
  <c r="AL657" i="5"/>
  <c r="AJ657" i="5"/>
  <c r="AK338" i="5"/>
  <c r="AJ338" i="5"/>
  <c r="AL338" i="5"/>
  <c r="AH338" i="5"/>
  <c r="AI338" i="5"/>
  <c r="AL726" i="5"/>
  <c r="AI726" i="5"/>
  <c r="AH726" i="5"/>
  <c r="AJ726" i="5"/>
  <c r="AK726" i="5"/>
  <c r="AH311" i="5"/>
  <c r="AI311" i="5"/>
  <c r="AL311" i="5"/>
  <c r="AK311" i="5"/>
  <c r="AJ311" i="5"/>
  <c r="AL760" i="5"/>
  <c r="AI760" i="5"/>
  <c r="AJ760" i="5"/>
  <c r="AK760" i="5"/>
  <c r="AH760" i="5"/>
  <c r="AL222" i="5"/>
  <c r="AJ222" i="5"/>
  <c r="AK222" i="5"/>
  <c r="AH222" i="5"/>
  <c r="AI222" i="5"/>
  <c r="AK574" i="5"/>
  <c r="AL574" i="5"/>
  <c r="AH574" i="5"/>
  <c r="AI574" i="5"/>
  <c r="AJ574" i="5"/>
  <c r="AH319" i="5"/>
  <c r="AI319" i="5"/>
  <c r="AL319" i="5"/>
  <c r="AJ319" i="5"/>
  <c r="AK319" i="5"/>
  <c r="AL767" i="5"/>
  <c r="AJ767" i="5"/>
  <c r="AK767" i="5"/>
  <c r="AH767" i="5"/>
  <c r="AI767" i="5"/>
  <c r="AL224" i="5"/>
  <c r="AH224" i="5"/>
  <c r="AK224" i="5"/>
  <c r="AI224" i="5"/>
  <c r="AJ224" i="5"/>
  <c r="AH67" i="5"/>
  <c r="AK67" i="5"/>
  <c r="AL67" i="5"/>
  <c r="AI67" i="5"/>
  <c r="AJ67" i="5"/>
  <c r="AH163" i="5"/>
  <c r="AK163" i="5"/>
  <c r="AL163" i="5"/>
  <c r="AI163" i="5"/>
  <c r="AJ163" i="5"/>
  <c r="AK227" i="5"/>
  <c r="AH227" i="5"/>
  <c r="AL227" i="5"/>
  <c r="AI227" i="5"/>
  <c r="AJ227" i="5"/>
  <c r="AK259" i="5"/>
  <c r="AL259" i="5"/>
  <c r="AH259" i="5"/>
  <c r="AI259" i="5"/>
  <c r="AJ259" i="5"/>
  <c r="AI291" i="5"/>
  <c r="AJ291" i="5"/>
  <c r="AH291" i="5"/>
  <c r="AK291" i="5"/>
  <c r="AL291" i="5"/>
  <c r="AL323" i="5"/>
  <c r="AI323" i="5"/>
  <c r="AJ323" i="5"/>
  <c r="AH323" i="5"/>
  <c r="AK323" i="5"/>
  <c r="AH355" i="5"/>
  <c r="AJ355" i="5"/>
  <c r="AL355" i="5"/>
  <c r="AI355" i="5"/>
  <c r="AK355" i="5"/>
  <c r="AJ387" i="5"/>
  <c r="AH387" i="5"/>
  <c r="AI387" i="5"/>
  <c r="AK387" i="5"/>
  <c r="AL387" i="5"/>
  <c r="AI419" i="5"/>
  <c r="AJ419" i="5"/>
  <c r="AK419" i="5"/>
  <c r="AL419" i="5"/>
  <c r="AH419" i="5"/>
  <c r="AI451" i="5"/>
  <c r="AL451" i="5"/>
  <c r="AJ451" i="5"/>
  <c r="AK451" i="5"/>
  <c r="AH451" i="5"/>
  <c r="AH483" i="5"/>
  <c r="AI483" i="5"/>
  <c r="AJ483" i="5"/>
  <c r="AK483" i="5"/>
  <c r="AL483" i="5"/>
  <c r="AJ515" i="5"/>
  <c r="AK515" i="5"/>
  <c r="AL515" i="5"/>
  <c r="AH515" i="5"/>
  <c r="AI515" i="5"/>
  <c r="AJ547" i="5"/>
  <c r="AK547" i="5"/>
  <c r="AL547" i="5"/>
  <c r="AH547" i="5"/>
  <c r="AI547" i="5"/>
  <c r="AJ579" i="5"/>
  <c r="AH579" i="5"/>
  <c r="AI579" i="5"/>
  <c r="AK579" i="5"/>
  <c r="AL579" i="5"/>
  <c r="AJ611" i="5"/>
  <c r="AH611" i="5"/>
  <c r="AK611" i="5"/>
  <c r="AI611" i="5"/>
  <c r="AL611" i="5"/>
  <c r="AJ643" i="5"/>
  <c r="AK643" i="5"/>
  <c r="AL643" i="5"/>
  <c r="AH643" i="5"/>
  <c r="AI643" i="5"/>
  <c r="AJ675" i="5"/>
  <c r="AK675" i="5"/>
  <c r="AH675" i="5"/>
  <c r="AI675" i="5"/>
  <c r="AL675" i="5"/>
  <c r="AK707" i="5"/>
  <c r="AL707" i="5"/>
  <c r="AH707" i="5"/>
  <c r="AI707" i="5"/>
  <c r="AJ707" i="5"/>
  <c r="AK739" i="5"/>
  <c r="AL739" i="5"/>
  <c r="AH739" i="5"/>
  <c r="AI739" i="5"/>
  <c r="AJ739" i="5"/>
  <c r="AH559" i="5"/>
  <c r="AL559" i="5"/>
  <c r="AJ559" i="5"/>
  <c r="AK559" i="5"/>
  <c r="AI559" i="5"/>
  <c r="AI336" i="5"/>
  <c r="AH336" i="5"/>
  <c r="AJ336" i="5"/>
  <c r="AK336" i="5"/>
  <c r="AL336" i="5"/>
  <c r="AI625" i="5"/>
  <c r="AH625" i="5"/>
  <c r="AJ625" i="5"/>
  <c r="AK625" i="5"/>
  <c r="AL625" i="5"/>
  <c r="AJ370" i="5"/>
  <c r="AL370" i="5"/>
  <c r="AK370" i="5"/>
  <c r="AH370" i="5"/>
  <c r="AI370" i="5"/>
  <c r="AL694" i="5"/>
  <c r="AI694" i="5"/>
  <c r="AJ694" i="5"/>
  <c r="AK694" i="5"/>
  <c r="AH694" i="5"/>
  <c r="AJ343" i="5"/>
  <c r="AI343" i="5"/>
  <c r="AH343" i="5"/>
  <c r="AK343" i="5"/>
  <c r="AL343" i="5"/>
  <c r="AH728" i="5"/>
  <c r="AJ728" i="5"/>
  <c r="AI728" i="5"/>
  <c r="AK728" i="5"/>
  <c r="AL728" i="5"/>
  <c r="AJ158" i="5"/>
  <c r="AI158" i="5"/>
  <c r="AK158" i="5"/>
  <c r="AH158" i="5"/>
  <c r="AL158" i="5"/>
  <c r="AJ606" i="5"/>
  <c r="AK606" i="5"/>
  <c r="AL606" i="5"/>
  <c r="AI606" i="5"/>
  <c r="AH606" i="5"/>
  <c r="AL223" i="5"/>
  <c r="AJ223" i="5"/>
  <c r="AK223" i="5"/>
  <c r="AI223" i="5"/>
  <c r="AH223" i="5"/>
  <c r="AI479" i="5"/>
  <c r="AJ479" i="5"/>
  <c r="AL479" i="5"/>
  <c r="AH479" i="5"/>
  <c r="AK479" i="5"/>
  <c r="AH703" i="5"/>
  <c r="AI703" i="5"/>
  <c r="AJ703" i="5"/>
  <c r="AK703" i="5"/>
  <c r="AL703" i="5"/>
  <c r="AL64" i="5"/>
  <c r="AI64" i="5"/>
  <c r="AJ64" i="5"/>
  <c r="AK64" i="5"/>
  <c r="AH64" i="5"/>
  <c r="AL192" i="5"/>
  <c r="AH192" i="5"/>
  <c r="AI192" i="5"/>
  <c r="AK192" i="5"/>
  <c r="AJ192" i="5"/>
  <c r="AI68" i="5"/>
  <c r="AH68" i="5"/>
  <c r="AJ68" i="5"/>
  <c r="AK68" i="5"/>
  <c r="AL68" i="5"/>
  <c r="AK260" i="5"/>
  <c r="AL260" i="5"/>
  <c r="AH260" i="5"/>
  <c r="AI260" i="5"/>
  <c r="AJ260" i="5"/>
  <c r="AI324" i="5"/>
  <c r="AK324" i="5"/>
  <c r="AL324" i="5"/>
  <c r="AJ324" i="5"/>
  <c r="AH324" i="5"/>
  <c r="AH356" i="5"/>
  <c r="AL356" i="5"/>
  <c r="AI356" i="5"/>
  <c r="AJ356" i="5"/>
  <c r="AK356" i="5"/>
  <c r="AH420" i="5"/>
  <c r="AI420" i="5"/>
  <c r="AJ420" i="5"/>
  <c r="AK420" i="5"/>
  <c r="AL420" i="5"/>
  <c r="AK452" i="5"/>
  <c r="AL452" i="5"/>
  <c r="AH452" i="5"/>
  <c r="AI452" i="5"/>
  <c r="AJ452" i="5"/>
  <c r="AI484" i="5"/>
  <c r="AK484" i="5"/>
  <c r="AL484" i="5"/>
  <c r="AJ484" i="5"/>
  <c r="AH484" i="5"/>
  <c r="AH516" i="5"/>
  <c r="AI516" i="5"/>
  <c r="AJ516" i="5"/>
  <c r="AK516" i="5"/>
  <c r="AL516" i="5"/>
  <c r="AI548" i="5"/>
  <c r="AH548" i="5"/>
  <c r="AJ548" i="5"/>
  <c r="AK548" i="5"/>
  <c r="AL548" i="5"/>
  <c r="AH580" i="5"/>
  <c r="AL580" i="5"/>
  <c r="AI580" i="5"/>
  <c r="AJ580" i="5"/>
  <c r="AK580" i="5"/>
  <c r="AJ612" i="5"/>
  <c r="AI612" i="5"/>
  <c r="AH612" i="5"/>
  <c r="AL612" i="5"/>
  <c r="AK612" i="5"/>
  <c r="AH644" i="5"/>
  <c r="AL644" i="5"/>
  <c r="AI644" i="5"/>
  <c r="AJ644" i="5"/>
  <c r="AK644" i="5"/>
  <c r="AH676" i="5"/>
  <c r="AK676" i="5"/>
  <c r="AL676" i="5"/>
  <c r="AJ676" i="5"/>
  <c r="AI676" i="5"/>
  <c r="AH708" i="5"/>
  <c r="AI708" i="5"/>
  <c r="AJ708" i="5"/>
  <c r="AK708" i="5"/>
  <c r="AL708" i="5"/>
  <c r="AK740" i="5"/>
  <c r="AL740" i="5"/>
  <c r="AH740" i="5"/>
  <c r="AI740" i="5"/>
  <c r="AJ740" i="5"/>
  <c r="AK463" i="5"/>
  <c r="AH463" i="5"/>
  <c r="AL463" i="5"/>
  <c r="AI463" i="5"/>
  <c r="AJ463" i="5"/>
  <c r="AJ464" i="5"/>
  <c r="AK464" i="5"/>
  <c r="AH464" i="5"/>
  <c r="AI464" i="5"/>
  <c r="AL464" i="5"/>
  <c r="AH529" i="5"/>
  <c r="AI529" i="5"/>
  <c r="AJ529" i="5"/>
  <c r="AK529" i="5"/>
  <c r="AL529" i="5"/>
  <c r="AL210" i="5"/>
  <c r="AK210" i="5"/>
  <c r="AH210" i="5"/>
  <c r="AJ210" i="5"/>
  <c r="AI210" i="5"/>
  <c r="AH498" i="5"/>
  <c r="AI498" i="5"/>
  <c r="AJ498" i="5"/>
  <c r="AK498" i="5"/>
  <c r="AL498" i="5"/>
  <c r="AK566" i="5"/>
  <c r="AJ566" i="5"/>
  <c r="AL566" i="5"/>
  <c r="AH566" i="5"/>
  <c r="AI566" i="5"/>
  <c r="AK183" i="5"/>
  <c r="AH183" i="5"/>
  <c r="AJ183" i="5"/>
  <c r="AL183" i="5"/>
  <c r="AI183" i="5"/>
  <c r="AK567" i="5"/>
  <c r="AL567" i="5"/>
  <c r="AH567" i="5"/>
  <c r="AI567" i="5"/>
  <c r="AJ567" i="5"/>
  <c r="AJ88" i="5"/>
  <c r="AK88" i="5"/>
  <c r="AH88" i="5"/>
  <c r="AI88" i="5"/>
  <c r="AL88" i="5"/>
  <c r="AI504" i="5"/>
  <c r="AK504" i="5"/>
  <c r="AJ504" i="5"/>
  <c r="AL504" i="5"/>
  <c r="AH504" i="5"/>
  <c r="AH734" i="5"/>
  <c r="AL734" i="5"/>
  <c r="AI734" i="5"/>
  <c r="AK734" i="5"/>
  <c r="AJ734" i="5"/>
  <c r="AJ287" i="5"/>
  <c r="AH287" i="5"/>
  <c r="AI287" i="5"/>
  <c r="AK287" i="5"/>
  <c r="AL287" i="5"/>
  <c r="AI671" i="5"/>
  <c r="AH671" i="5"/>
  <c r="AL671" i="5"/>
  <c r="AK671" i="5"/>
  <c r="AJ671" i="5"/>
  <c r="AL320" i="5"/>
  <c r="AI320" i="5"/>
  <c r="AJ320" i="5"/>
  <c r="AK320" i="5"/>
  <c r="AH320" i="5"/>
  <c r="AH33" i="5"/>
  <c r="AJ33" i="5"/>
  <c r="AK33" i="5"/>
  <c r="AL33" i="5"/>
  <c r="AI33" i="5"/>
  <c r="AL34" i="5"/>
  <c r="AI34" i="5"/>
  <c r="AJ34" i="5"/>
  <c r="AK34" i="5"/>
  <c r="AH34" i="5"/>
  <c r="AL98" i="5"/>
  <c r="AI98" i="5"/>
  <c r="AJ98" i="5"/>
  <c r="AH98" i="5"/>
  <c r="AK98" i="5"/>
  <c r="AH35" i="5"/>
  <c r="AK35" i="5"/>
  <c r="AL35" i="5"/>
  <c r="AJ35" i="5"/>
  <c r="AI35" i="5"/>
  <c r="AH99" i="5"/>
  <c r="AI99" i="5"/>
  <c r="AL99" i="5"/>
  <c r="AJ99" i="5"/>
  <c r="AK99" i="5"/>
  <c r="AH131" i="5"/>
  <c r="AL131" i="5"/>
  <c r="AI131" i="5"/>
  <c r="AJ131" i="5"/>
  <c r="AK131" i="5"/>
  <c r="AH195" i="5"/>
  <c r="AI195" i="5"/>
  <c r="AK195" i="5"/>
  <c r="AL195" i="5"/>
  <c r="AJ195" i="5"/>
  <c r="AJ36" i="5"/>
  <c r="AK36" i="5"/>
  <c r="AH36" i="5"/>
  <c r="AI36" i="5"/>
  <c r="AL36" i="5"/>
  <c r="AK100" i="5"/>
  <c r="AL100" i="5"/>
  <c r="AH100" i="5"/>
  <c r="AI100" i="5"/>
  <c r="AJ100" i="5"/>
  <c r="AK132" i="5"/>
  <c r="AL132" i="5"/>
  <c r="AI132" i="5"/>
  <c r="AH132" i="5"/>
  <c r="AJ132" i="5"/>
  <c r="AJ164" i="5"/>
  <c r="AK164" i="5"/>
  <c r="AH164" i="5"/>
  <c r="AI164" i="5"/>
  <c r="AL164" i="5"/>
  <c r="AJ196" i="5"/>
  <c r="AH196" i="5"/>
  <c r="AK196" i="5"/>
  <c r="AI196" i="5"/>
  <c r="AL196" i="5"/>
  <c r="AI228" i="5"/>
  <c r="AJ228" i="5"/>
  <c r="AH228" i="5"/>
  <c r="AK228" i="5"/>
  <c r="AL228" i="5"/>
  <c r="AI292" i="5"/>
  <c r="AK292" i="5"/>
  <c r="AL292" i="5"/>
  <c r="AH292" i="5"/>
  <c r="AJ292" i="5"/>
  <c r="AK388" i="5"/>
  <c r="AL388" i="5"/>
  <c r="AJ388" i="5"/>
  <c r="AH388" i="5"/>
  <c r="AI388" i="5"/>
  <c r="AK37" i="5"/>
  <c r="AH37" i="5"/>
  <c r="AL37" i="5"/>
  <c r="AJ37" i="5"/>
  <c r="AI37" i="5"/>
  <c r="AJ69" i="5"/>
  <c r="AL69" i="5"/>
  <c r="AK69" i="5"/>
  <c r="AI69" i="5"/>
  <c r="AH69" i="5"/>
  <c r="AI101" i="5"/>
  <c r="AH101" i="5"/>
  <c r="AJ101" i="5"/>
  <c r="AL101" i="5"/>
  <c r="AK101" i="5"/>
  <c r="AL133" i="5"/>
  <c r="AH133" i="5"/>
  <c r="AI133" i="5"/>
  <c r="AJ133" i="5"/>
  <c r="AK133" i="5"/>
  <c r="AL165" i="5"/>
  <c r="AJ165" i="5"/>
  <c r="AH165" i="5"/>
  <c r="AK165" i="5"/>
  <c r="AI165" i="5"/>
  <c r="AH197" i="5"/>
  <c r="AL197" i="5"/>
  <c r="AJ197" i="5"/>
  <c r="AK197" i="5"/>
  <c r="AI197" i="5"/>
  <c r="AH229" i="5"/>
  <c r="AI229" i="5"/>
  <c r="AK229" i="5"/>
  <c r="AJ229" i="5"/>
  <c r="AL229" i="5"/>
  <c r="AL261" i="5"/>
  <c r="AK261" i="5"/>
  <c r="AH261" i="5"/>
  <c r="AI261" i="5"/>
  <c r="AJ261" i="5"/>
  <c r="AI293" i="5"/>
  <c r="AJ293" i="5"/>
  <c r="AH293" i="5"/>
  <c r="AK293" i="5"/>
  <c r="AL293" i="5"/>
  <c r="AH325" i="5"/>
  <c r="AJ325" i="5"/>
  <c r="AL325" i="5"/>
  <c r="AK325" i="5"/>
  <c r="AI325" i="5"/>
  <c r="AL357" i="5"/>
  <c r="AI357" i="5"/>
  <c r="AJ357" i="5"/>
  <c r="AH357" i="5"/>
  <c r="AK357" i="5"/>
  <c r="AL389" i="5"/>
  <c r="AI389" i="5"/>
  <c r="AH389" i="5"/>
  <c r="AJ389" i="5"/>
  <c r="AK389" i="5"/>
  <c r="AK421" i="5"/>
  <c r="AL421" i="5"/>
  <c r="AH421" i="5"/>
  <c r="AI421" i="5"/>
  <c r="AJ421" i="5"/>
  <c r="AH453" i="5"/>
  <c r="AJ453" i="5"/>
  <c r="AK453" i="5"/>
  <c r="AL453" i="5"/>
  <c r="AI453" i="5"/>
  <c r="AJ485" i="5"/>
  <c r="AK485" i="5"/>
  <c r="AL485" i="5"/>
  <c r="AH485" i="5"/>
  <c r="AI485" i="5"/>
  <c r="AK517" i="5"/>
  <c r="AH517" i="5"/>
  <c r="AJ517" i="5"/>
  <c r="AL517" i="5"/>
  <c r="AI517" i="5"/>
  <c r="AL549" i="5"/>
  <c r="AK549" i="5"/>
  <c r="AH549" i="5"/>
  <c r="AI549" i="5"/>
  <c r="AJ549" i="5"/>
  <c r="AJ581" i="5"/>
  <c r="AK581" i="5"/>
  <c r="AI581" i="5"/>
  <c r="AL581" i="5"/>
  <c r="AH581" i="5"/>
  <c r="AH613" i="5"/>
  <c r="AJ613" i="5"/>
  <c r="AK613" i="5"/>
  <c r="AL613" i="5"/>
  <c r="AI613" i="5"/>
  <c r="AK645" i="5"/>
  <c r="AH645" i="5"/>
  <c r="AJ645" i="5"/>
  <c r="AI645" i="5"/>
  <c r="AL645" i="5"/>
  <c r="AK677" i="5"/>
  <c r="AI677" i="5"/>
  <c r="AL677" i="5"/>
  <c r="AJ677" i="5"/>
  <c r="AH677" i="5"/>
  <c r="AK709" i="5"/>
  <c r="AL709" i="5"/>
  <c r="AH709" i="5"/>
  <c r="AI709" i="5"/>
  <c r="AJ709" i="5"/>
  <c r="AH741" i="5"/>
  <c r="AJ741" i="5"/>
  <c r="AK741" i="5"/>
  <c r="AL741" i="5"/>
  <c r="AI741" i="5"/>
  <c r="AK79" i="5"/>
  <c r="AL79" i="5"/>
  <c r="AH79" i="5"/>
  <c r="AJ79" i="5"/>
  <c r="AI79" i="5"/>
  <c r="AK399" i="5"/>
  <c r="AH399" i="5"/>
  <c r="AJ399" i="5"/>
  <c r="AL399" i="5"/>
  <c r="AI399" i="5"/>
  <c r="AJ528" i="5"/>
  <c r="AH528" i="5"/>
  <c r="AI528" i="5"/>
  <c r="AK528" i="5"/>
  <c r="AL528" i="5"/>
  <c r="AH81" i="5"/>
  <c r="AI81" i="5"/>
  <c r="AJ81" i="5"/>
  <c r="AL81" i="5"/>
  <c r="AK81" i="5"/>
  <c r="AK465" i="5"/>
  <c r="AI465" i="5"/>
  <c r="AL465" i="5"/>
  <c r="AJ465" i="5"/>
  <c r="AH465" i="5"/>
  <c r="AJ82" i="5"/>
  <c r="AK82" i="5"/>
  <c r="AL82" i="5"/>
  <c r="AH82" i="5"/>
  <c r="AI82" i="5"/>
  <c r="AI466" i="5"/>
  <c r="AJ466" i="5"/>
  <c r="AL466" i="5"/>
  <c r="AH466" i="5"/>
  <c r="AK466" i="5"/>
  <c r="AK598" i="5"/>
  <c r="AH598" i="5"/>
  <c r="AI598" i="5"/>
  <c r="AJ598" i="5"/>
  <c r="AL598" i="5"/>
  <c r="AH87" i="5"/>
  <c r="AI87" i="5"/>
  <c r="AK87" i="5"/>
  <c r="AL87" i="5"/>
  <c r="AJ87" i="5"/>
  <c r="AK439" i="5"/>
  <c r="AL439" i="5"/>
  <c r="AI439" i="5"/>
  <c r="AH439" i="5"/>
  <c r="AJ439" i="5"/>
  <c r="AL632" i="5"/>
  <c r="AK632" i="5"/>
  <c r="AH632" i="5"/>
  <c r="AI632" i="5"/>
  <c r="AJ632" i="5"/>
  <c r="AH153" i="5"/>
  <c r="AI153" i="5"/>
  <c r="AK153" i="5"/>
  <c r="AJ153" i="5"/>
  <c r="AL153" i="5"/>
  <c r="AH62" i="5"/>
  <c r="AI62" i="5"/>
  <c r="AK62" i="5"/>
  <c r="AL62" i="5"/>
  <c r="AJ62" i="5"/>
  <c r="AK382" i="5"/>
  <c r="AI382" i="5"/>
  <c r="AJ382" i="5"/>
  <c r="AH382" i="5"/>
  <c r="AL382" i="5"/>
  <c r="AK478" i="5"/>
  <c r="AL478" i="5"/>
  <c r="AH478" i="5"/>
  <c r="AI478" i="5"/>
  <c r="AJ478" i="5"/>
  <c r="AI511" i="5"/>
  <c r="AJ511" i="5"/>
  <c r="AK511" i="5"/>
  <c r="AL511" i="5"/>
  <c r="AH511" i="5"/>
  <c r="AJ166" i="5"/>
  <c r="AI166" i="5"/>
  <c r="AK166" i="5"/>
  <c r="AH166" i="5"/>
  <c r="AL166" i="5"/>
  <c r="AK262" i="5"/>
  <c r="AJ262" i="5"/>
  <c r="AL262" i="5"/>
  <c r="AH262" i="5"/>
  <c r="AI262" i="5"/>
  <c r="AH358" i="5"/>
  <c r="AI358" i="5"/>
  <c r="AK358" i="5"/>
  <c r="AL358" i="5"/>
  <c r="AJ358" i="5"/>
  <c r="AH454" i="5"/>
  <c r="AI454" i="5"/>
  <c r="AJ454" i="5"/>
  <c r="AK454" i="5"/>
  <c r="AL454" i="5"/>
  <c r="AH582" i="5"/>
  <c r="AI582" i="5"/>
  <c r="AJ582" i="5"/>
  <c r="AK582" i="5"/>
  <c r="AL582" i="5"/>
  <c r="AI39" i="5"/>
  <c r="AJ39" i="5"/>
  <c r="AK39" i="5"/>
  <c r="AH39" i="5"/>
  <c r="AL39" i="5"/>
  <c r="AI71" i="5"/>
  <c r="AJ71" i="5"/>
  <c r="AH71" i="5"/>
  <c r="AK71" i="5"/>
  <c r="AL71" i="5"/>
  <c r="AI103" i="5"/>
  <c r="AJ103" i="5"/>
  <c r="AK103" i="5"/>
  <c r="AL103" i="5"/>
  <c r="AH103" i="5"/>
  <c r="AI135" i="5"/>
  <c r="AJ135" i="5"/>
  <c r="AK135" i="5"/>
  <c r="AH135" i="5"/>
  <c r="AL135" i="5"/>
  <c r="AI167" i="5"/>
  <c r="AJ167" i="5"/>
  <c r="AH167" i="5"/>
  <c r="AK167" i="5"/>
  <c r="AL167" i="5"/>
  <c r="AI199" i="5"/>
  <c r="AJ199" i="5"/>
  <c r="AL199" i="5"/>
  <c r="AH199" i="5"/>
  <c r="AK199" i="5"/>
  <c r="AI231" i="5"/>
  <c r="AJ231" i="5"/>
  <c r="AH231" i="5"/>
  <c r="AK231" i="5"/>
  <c r="AL231" i="5"/>
  <c r="AI263" i="5"/>
  <c r="AJ263" i="5"/>
  <c r="AH263" i="5"/>
  <c r="AK263" i="5"/>
  <c r="AL263" i="5"/>
  <c r="AI295" i="5"/>
  <c r="AJ295" i="5"/>
  <c r="AH295" i="5"/>
  <c r="AK295" i="5"/>
  <c r="AL295" i="5"/>
  <c r="AI327" i="5"/>
  <c r="AJ327" i="5"/>
  <c r="AH327" i="5"/>
  <c r="AK327" i="5"/>
  <c r="AL327" i="5"/>
  <c r="AI359" i="5"/>
  <c r="AJ359" i="5"/>
  <c r="AL359" i="5"/>
  <c r="AK359" i="5"/>
  <c r="AH359" i="5"/>
  <c r="AI391" i="5"/>
  <c r="AJ391" i="5"/>
  <c r="AH391" i="5"/>
  <c r="AK391" i="5"/>
  <c r="AL391" i="5"/>
  <c r="AI423" i="5"/>
  <c r="AJ423" i="5"/>
  <c r="AL423" i="5"/>
  <c r="AH423" i="5"/>
  <c r="AK423" i="5"/>
  <c r="AI455" i="5"/>
  <c r="AJ455" i="5"/>
  <c r="AK455" i="5"/>
  <c r="AL455" i="5"/>
  <c r="AH455" i="5"/>
  <c r="AI487" i="5"/>
  <c r="AJ487" i="5"/>
  <c r="AK487" i="5"/>
  <c r="AL487" i="5"/>
  <c r="AH487" i="5"/>
  <c r="AI519" i="5"/>
  <c r="AJ519" i="5"/>
  <c r="AH519" i="5"/>
  <c r="AK519" i="5"/>
  <c r="AL519" i="5"/>
  <c r="AI551" i="5"/>
  <c r="AJ551" i="5"/>
  <c r="AL551" i="5"/>
  <c r="AH551" i="5"/>
  <c r="AK551" i="5"/>
  <c r="AK583" i="5"/>
  <c r="AL583" i="5"/>
  <c r="AH583" i="5"/>
  <c r="AI583" i="5"/>
  <c r="AJ583" i="5"/>
  <c r="AJ615" i="5"/>
  <c r="AK615" i="5"/>
  <c r="AL615" i="5"/>
  <c r="AH615" i="5"/>
  <c r="AI615" i="5"/>
  <c r="AH647" i="5"/>
  <c r="AI647" i="5"/>
  <c r="AK647" i="5"/>
  <c r="AL647" i="5"/>
  <c r="AJ647" i="5"/>
  <c r="AK679" i="5"/>
  <c r="AL679" i="5"/>
  <c r="AH679" i="5"/>
  <c r="AI679" i="5"/>
  <c r="AJ679" i="5"/>
  <c r="AK711" i="5"/>
  <c r="AL711" i="5"/>
  <c r="AH711" i="5"/>
  <c r="AI711" i="5"/>
  <c r="AJ711" i="5"/>
  <c r="AH743" i="5"/>
  <c r="AI743" i="5"/>
  <c r="AL743" i="5"/>
  <c r="AJ743" i="5"/>
  <c r="AK743" i="5"/>
  <c r="AH527" i="5"/>
  <c r="AI527" i="5"/>
  <c r="AK527" i="5"/>
  <c r="AL527" i="5"/>
  <c r="AJ527" i="5"/>
  <c r="AH400" i="5"/>
  <c r="AJ400" i="5"/>
  <c r="AK400" i="5"/>
  <c r="AI400" i="5"/>
  <c r="AL400" i="5"/>
  <c r="AJ49" i="5"/>
  <c r="AK49" i="5"/>
  <c r="AH49" i="5"/>
  <c r="AI49" i="5"/>
  <c r="AL49" i="5"/>
  <c r="AJ561" i="5"/>
  <c r="AK561" i="5"/>
  <c r="AH561" i="5"/>
  <c r="AI561" i="5"/>
  <c r="AL561" i="5"/>
  <c r="AH434" i="5"/>
  <c r="AI434" i="5"/>
  <c r="AJ434" i="5"/>
  <c r="AK434" i="5"/>
  <c r="AL434" i="5"/>
  <c r="AH54" i="5"/>
  <c r="AI54" i="5"/>
  <c r="AK54" i="5"/>
  <c r="AL54" i="5"/>
  <c r="AJ54" i="5"/>
  <c r="AI502" i="5"/>
  <c r="AJ502" i="5"/>
  <c r="AK502" i="5"/>
  <c r="AL502" i="5"/>
  <c r="AH502" i="5"/>
  <c r="AH215" i="5"/>
  <c r="AI215" i="5"/>
  <c r="AJ215" i="5"/>
  <c r="AK215" i="5"/>
  <c r="AL215" i="5"/>
  <c r="AI535" i="5"/>
  <c r="AH535" i="5"/>
  <c r="AJ535" i="5"/>
  <c r="AK535" i="5"/>
  <c r="AL535" i="5"/>
  <c r="AK536" i="5"/>
  <c r="AL536" i="5"/>
  <c r="AH536" i="5"/>
  <c r="AI536" i="5"/>
  <c r="AJ536" i="5"/>
  <c r="AH670" i="5"/>
  <c r="AI670" i="5"/>
  <c r="AL670" i="5"/>
  <c r="AJ670" i="5"/>
  <c r="AK670" i="5"/>
  <c r="AL95" i="5"/>
  <c r="AI95" i="5"/>
  <c r="AJ95" i="5"/>
  <c r="AH95" i="5"/>
  <c r="AK95" i="5"/>
  <c r="AH383" i="5"/>
  <c r="AI383" i="5"/>
  <c r="AJ383" i="5"/>
  <c r="AL383" i="5"/>
  <c r="AK383" i="5"/>
  <c r="AL102" i="5"/>
  <c r="AI102" i="5"/>
  <c r="AK102" i="5"/>
  <c r="AH102" i="5"/>
  <c r="AJ102" i="5"/>
  <c r="AK230" i="5"/>
  <c r="AL230" i="5"/>
  <c r="AH230" i="5"/>
  <c r="AI230" i="5"/>
  <c r="AJ230" i="5"/>
  <c r="AH326" i="5"/>
  <c r="AI326" i="5"/>
  <c r="AJ326" i="5"/>
  <c r="AK326" i="5"/>
  <c r="AL326" i="5"/>
  <c r="AI422" i="5"/>
  <c r="AH422" i="5"/>
  <c r="AJ422" i="5"/>
  <c r="AL422" i="5"/>
  <c r="AK422" i="5"/>
  <c r="AH550" i="5"/>
  <c r="AI550" i="5"/>
  <c r="AJ550" i="5"/>
  <c r="AK550" i="5"/>
  <c r="AL550" i="5"/>
  <c r="AI646" i="5"/>
  <c r="AH646" i="5"/>
  <c r="AK646" i="5"/>
  <c r="AJ646" i="5"/>
  <c r="AL646" i="5"/>
  <c r="AK742" i="5"/>
  <c r="AL742" i="5"/>
  <c r="AH742" i="5"/>
  <c r="AI742" i="5"/>
  <c r="AJ742" i="5"/>
  <c r="AK40" i="5"/>
  <c r="AJ40" i="5"/>
  <c r="AI40" i="5"/>
  <c r="AL40" i="5"/>
  <c r="AH40" i="5"/>
  <c r="AK72" i="5"/>
  <c r="AH72" i="5"/>
  <c r="AI72" i="5"/>
  <c r="AJ72" i="5"/>
  <c r="AL72" i="5"/>
  <c r="AK104" i="5"/>
  <c r="AL104" i="5"/>
  <c r="AI104" i="5"/>
  <c r="AJ104" i="5"/>
  <c r="AH104" i="5"/>
  <c r="AK136" i="5"/>
  <c r="AI136" i="5"/>
  <c r="AL136" i="5"/>
  <c r="AH136" i="5"/>
  <c r="AJ136" i="5"/>
  <c r="AK168" i="5"/>
  <c r="AJ168" i="5"/>
  <c r="AL168" i="5"/>
  <c r="AH168" i="5"/>
  <c r="AI168" i="5"/>
  <c r="AK200" i="5"/>
  <c r="AI200" i="5"/>
  <c r="AJ200" i="5"/>
  <c r="AH200" i="5"/>
  <c r="AL200" i="5"/>
  <c r="AK232" i="5"/>
  <c r="AH232" i="5"/>
  <c r="AJ232" i="5"/>
  <c r="AI232" i="5"/>
  <c r="AL232" i="5"/>
  <c r="AK264" i="5"/>
  <c r="AI264" i="5"/>
  <c r="AH264" i="5"/>
  <c r="AJ264" i="5"/>
  <c r="AL264" i="5"/>
  <c r="AK296" i="5"/>
  <c r="AJ296" i="5"/>
  <c r="AL296" i="5"/>
  <c r="AH296" i="5"/>
  <c r="AI296" i="5"/>
  <c r="AK328" i="5"/>
  <c r="AL328" i="5"/>
  <c r="AH328" i="5"/>
  <c r="AJ328" i="5"/>
  <c r="AI328" i="5"/>
  <c r="AK360" i="5"/>
  <c r="AL360" i="5"/>
  <c r="AJ360" i="5"/>
  <c r="AH360" i="5"/>
  <c r="AI360" i="5"/>
  <c r="AK392" i="5"/>
  <c r="AI392" i="5"/>
  <c r="AJ392" i="5"/>
  <c r="AH392" i="5"/>
  <c r="AL392" i="5"/>
  <c r="AK424" i="5"/>
  <c r="AJ424" i="5"/>
  <c r="AL424" i="5"/>
  <c r="AH424" i="5"/>
  <c r="AI424" i="5"/>
  <c r="AK456" i="5"/>
  <c r="AL456" i="5"/>
  <c r="AI456" i="5"/>
  <c r="AJ456" i="5"/>
  <c r="AH456" i="5"/>
  <c r="AK488" i="5"/>
  <c r="AH488" i="5"/>
  <c r="AI488" i="5"/>
  <c r="AL488" i="5"/>
  <c r="AJ488" i="5"/>
  <c r="AK520" i="5"/>
  <c r="AL520" i="5"/>
  <c r="AH520" i="5"/>
  <c r="AI520" i="5"/>
  <c r="AJ520" i="5"/>
  <c r="AK552" i="5"/>
  <c r="AI552" i="5"/>
  <c r="AJ552" i="5"/>
  <c r="AH552" i="5"/>
  <c r="AL552" i="5"/>
  <c r="AI584" i="5"/>
  <c r="AJ584" i="5"/>
  <c r="AK584" i="5"/>
  <c r="AL584" i="5"/>
  <c r="AH584" i="5"/>
  <c r="AL616" i="5"/>
  <c r="AI616" i="5"/>
  <c r="AJ616" i="5"/>
  <c r="AK616" i="5"/>
  <c r="AH616" i="5"/>
  <c r="AJ648" i="5"/>
  <c r="AK648" i="5"/>
  <c r="AL648" i="5"/>
  <c r="AH648" i="5"/>
  <c r="AI648" i="5"/>
  <c r="AH680" i="5"/>
  <c r="AI680" i="5"/>
  <c r="AJ680" i="5"/>
  <c r="AK680" i="5"/>
  <c r="AL680" i="5"/>
  <c r="AH712" i="5"/>
  <c r="AI712" i="5"/>
  <c r="AK712" i="5"/>
  <c r="AL712" i="5"/>
  <c r="AJ712" i="5"/>
  <c r="AI744" i="5"/>
  <c r="AH744" i="5"/>
  <c r="AK744" i="5"/>
  <c r="AJ744" i="5"/>
  <c r="AL744" i="5"/>
  <c r="AK239" i="5"/>
  <c r="AH239" i="5"/>
  <c r="AI239" i="5"/>
  <c r="AJ239" i="5"/>
  <c r="AL239" i="5"/>
  <c r="AL80" i="5"/>
  <c r="AI80" i="5"/>
  <c r="AJ80" i="5"/>
  <c r="AK80" i="5"/>
  <c r="AH80" i="5"/>
  <c r="AI624" i="5"/>
  <c r="AL624" i="5"/>
  <c r="AJ624" i="5"/>
  <c r="AK624" i="5"/>
  <c r="AH624" i="5"/>
  <c r="AH273" i="5"/>
  <c r="AK273" i="5"/>
  <c r="AI273" i="5"/>
  <c r="AJ273" i="5"/>
  <c r="AL273" i="5"/>
  <c r="AJ50" i="5"/>
  <c r="AK50" i="5"/>
  <c r="AI50" i="5"/>
  <c r="AH50" i="5"/>
  <c r="AL50" i="5"/>
  <c r="AJ530" i="5"/>
  <c r="AK530" i="5"/>
  <c r="AH530" i="5"/>
  <c r="AI530" i="5"/>
  <c r="AL530" i="5"/>
  <c r="AK534" i="5"/>
  <c r="AL534" i="5"/>
  <c r="AJ534" i="5"/>
  <c r="AH534" i="5"/>
  <c r="AI534" i="5"/>
  <c r="AH119" i="5"/>
  <c r="AI119" i="5"/>
  <c r="AK119" i="5"/>
  <c r="AJ119" i="5"/>
  <c r="AL119" i="5"/>
  <c r="AK503" i="5"/>
  <c r="AJ503" i="5"/>
  <c r="AL503" i="5"/>
  <c r="AI503" i="5"/>
  <c r="AH503" i="5"/>
  <c r="AH600" i="5"/>
  <c r="AK600" i="5"/>
  <c r="AL600" i="5"/>
  <c r="AI600" i="5"/>
  <c r="AJ600" i="5"/>
  <c r="AH121" i="5"/>
  <c r="AJ121" i="5"/>
  <c r="AK121" i="5"/>
  <c r="AI121" i="5"/>
  <c r="AL121" i="5"/>
  <c r="AL254" i="5"/>
  <c r="AI254" i="5"/>
  <c r="AJ254" i="5"/>
  <c r="AH254" i="5"/>
  <c r="AK254" i="5"/>
  <c r="AK510" i="5"/>
  <c r="AI510" i="5"/>
  <c r="AL510" i="5"/>
  <c r="AJ510" i="5"/>
  <c r="AH510" i="5"/>
  <c r="AJ31" i="5"/>
  <c r="AK31" i="5"/>
  <c r="AI31" i="5"/>
  <c r="AL31" i="5"/>
  <c r="AH31" i="5"/>
  <c r="AJ447" i="5"/>
  <c r="AK447" i="5"/>
  <c r="AH447" i="5"/>
  <c r="AI447" i="5"/>
  <c r="AL447" i="5"/>
  <c r="AH38" i="5"/>
  <c r="AJ38" i="5"/>
  <c r="AK38" i="5"/>
  <c r="AL38" i="5"/>
  <c r="AI38" i="5"/>
  <c r="AJ198" i="5"/>
  <c r="AK198" i="5"/>
  <c r="AL198" i="5"/>
  <c r="AH198" i="5"/>
  <c r="AI198" i="5"/>
  <c r="AK294" i="5"/>
  <c r="AL294" i="5"/>
  <c r="AH294" i="5"/>
  <c r="AJ294" i="5"/>
  <c r="AI294" i="5"/>
  <c r="AH390" i="5"/>
  <c r="AI390" i="5"/>
  <c r="AJ390" i="5"/>
  <c r="AK390" i="5"/>
  <c r="AL390" i="5"/>
  <c r="AL518" i="5"/>
  <c r="AH518" i="5"/>
  <c r="AK518" i="5"/>
  <c r="AJ518" i="5"/>
  <c r="AI518" i="5"/>
  <c r="AL614" i="5"/>
  <c r="AJ614" i="5"/>
  <c r="AK614" i="5"/>
  <c r="AH614" i="5"/>
  <c r="AI614" i="5"/>
  <c r="AH678" i="5"/>
  <c r="AI678" i="5"/>
  <c r="AJ678" i="5"/>
  <c r="AK678" i="5"/>
  <c r="AL678" i="5"/>
  <c r="AI710" i="5"/>
  <c r="AK710" i="5"/>
  <c r="AJ710" i="5"/>
  <c r="AL710" i="5"/>
  <c r="AH710" i="5"/>
  <c r="AI41" i="5"/>
  <c r="AJ41" i="5"/>
  <c r="AH41" i="5"/>
  <c r="AK41" i="5"/>
  <c r="AL41" i="5"/>
  <c r="AI73" i="5"/>
  <c r="AJ73" i="5"/>
  <c r="AK73" i="5"/>
  <c r="AL73" i="5"/>
  <c r="AH73" i="5"/>
  <c r="AI105" i="5"/>
  <c r="AJ105" i="5"/>
  <c r="AK105" i="5"/>
  <c r="AH105" i="5"/>
  <c r="AL105" i="5"/>
  <c r="AI137" i="5"/>
  <c r="AJ137" i="5"/>
  <c r="AH137" i="5"/>
  <c r="AL137" i="5"/>
  <c r="AK137" i="5"/>
  <c r="AI169" i="5"/>
  <c r="AJ169" i="5"/>
  <c r="AL169" i="5"/>
  <c r="AK169" i="5"/>
  <c r="AH169" i="5"/>
  <c r="AI201" i="5"/>
  <c r="AJ201" i="5"/>
  <c r="AH201" i="5"/>
  <c r="AK201" i="5"/>
  <c r="AL201" i="5"/>
  <c r="AI233" i="5"/>
  <c r="AL233" i="5"/>
  <c r="AH233" i="5"/>
  <c r="AJ233" i="5"/>
  <c r="AK233" i="5"/>
  <c r="AI265" i="5"/>
  <c r="AL265" i="5"/>
  <c r="AH265" i="5"/>
  <c r="AJ265" i="5"/>
  <c r="AK265" i="5"/>
  <c r="AI297" i="5"/>
  <c r="AJ297" i="5"/>
  <c r="AK297" i="5"/>
  <c r="AH297" i="5"/>
  <c r="AL297" i="5"/>
  <c r="AI329" i="5"/>
  <c r="AH329" i="5"/>
  <c r="AJ329" i="5"/>
  <c r="AK329" i="5"/>
  <c r="AL329" i="5"/>
  <c r="AI361" i="5"/>
  <c r="AH361" i="5"/>
  <c r="AJ361" i="5"/>
  <c r="AK361" i="5"/>
  <c r="AL361" i="5"/>
  <c r="AI393" i="5"/>
  <c r="AL393" i="5"/>
  <c r="AH393" i="5"/>
  <c r="AJ393" i="5"/>
  <c r="AK393" i="5"/>
  <c r="AI425" i="5"/>
  <c r="AJ425" i="5"/>
  <c r="AK425" i="5"/>
  <c r="AH425" i="5"/>
  <c r="AL425" i="5"/>
  <c r="AI457" i="5"/>
  <c r="AH457" i="5"/>
  <c r="AL457" i="5"/>
  <c r="AJ457" i="5"/>
  <c r="AK457" i="5"/>
  <c r="AK489" i="5"/>
  <c r="AL489" i="5"/>
  <c r="AJ489" i="5"/>
  <c r="AH489" i="5"/>
  <c r="AI489" i="5"/>
  <c r="AJ521" i="5"/>
  <c r="AK521" i="5"/>
  <c r="AI521" i="5"/>
  <c r="AH521" i="5"/>
  <c r="AL521" i="5"/>
  <c r="AH553" i="5"/>
  <c r="AK553" i="5"/>
  <c r="AL553" i="5"/>
  <c r="AI553" i="5"/>
  <c r="AJ553" i="5"/>
  <c r="AL585" i="5"/>
  <c r="AK585" i="5"/>
  <c r="AH585" i="5"/>
  <c r="AI585" i="5"/>
  <c r="AJ585" i="5"/>
  <c r="AL617" i="5"/>
  <c r="AH617" i="5"/>
  <c r="AI617" i="5"/>
  <c r="AJ617" i="5"/>
  <c r="AK617" i="5"/>
  <c r="AH649" i="5"/>
  <c r="AI649" i="5"/>
  <c r="AJ649" i="5"/>
  <c r="AK649" i="5"/>
  <c r="AL649" i="5"/>
  <c r="AJ681" i="5"/>
  <c r="AK681" i="5"/>
  <c r="AL681" i="5"/>
  <c r="AI681" i="5"/>
  <c r="AH681" i="5"/>
  <c r="AJ713" i="5"/>
  <c r="AI713" i="5"/>
  <c r="AH713" i="5"/>
  <c r="AL713" i="5"/>
  <c r="AK713" i="5"/>
  <c r="AH745" i="5"/>
  <c r="AJ745" i="5"/>
  <c r="AI745" i="5"/>
  <c r="AL745" i="5"/>
  <c r="AK745" i="5"/>
  <c r="AK207" i="5"/>
  <c r="AH207" i="5"/>
  <c r="AI207" i="5"/>
  <c r="AJ207" i="5"/>
  <c r="AL207" i="5"/>
  <c r="AJ48" i="5"/>
  <c r="AL48" i="5"/>
  <c r="AH48" i="5"/>
  <c r="AI48" i="5"/>
  <c r="AK48" i="5"/>
  <c r="AJ688" i="5"/>
  <c r="AK688" i="5"/>
  <c r="AH688" i="5"/>
  <c r="AI688" i="5"/>
  <c r="AL688" i="5"/>
  <c r="AJ209" i="5"/>
  <c r="AK209" i="5"/>
  <c r="AL209" i="5"/>
  <c r="AI209" i="5"/>
  <c r="AH209" i="5"/>
  <c r="AI722" i="5"/>
  <c r="AH722" i="5"/>
  <c r="AJ722" i="5"/>
  <c r="AK722" i="5"/>
  <c r="AL722" i="5"/>
  <c r="AH150" i="5"/>
  <c r="AI150" i="5"/>
  <c r="AL150" i="5"/>
  <c r="AK150" i="5"/>
  <c r="AJ150" i="5"/>
  <c r="AH310" i="5"/>
  <c r="AL310" i="5"/>
  <c r="AK310" i="5"/>
  <c r="AJ310" i="5"/>
  <c r="AI310" i="5"/>
  <c r="AH695" i="5"/>
  <c r="AJ695" i="5"/>
  <c r="AK695" i="5"/>
  <c r="AL695" i="5"/>
  <c r="AI695" i="5"/>
  <c r="AH152" i="5"/>
  <c r="AI152" i="5"/>
  <c r="AJ152" i="5"/>
  <c r="AK152" i="5"/>
  <c r="AL152" i="5"/>
  <c r="AI312" i="5"/>
  <c r="AH312" i="5"/>
  <c r="AJ312" i="5"/>
  <c r="AK312" i="5"/>
  <c r="AL312" i="5"/>
  <c r="AJ94" i="5"/>
  <c r="AK94" i="5"/>
  <c r="AH94" i="5"/>
  <c r="AI94" i="5"/>
  <c r="AL94" i="5"/>
  <c r="AH766" i="5"/>
  <c r="AI766" i="5"/>
  <c r="AJ766" i="5"/>
  <c r="AL766" i="5"/>
  <c r="AK766" i="5"/>
  <c r="AJ255" i="5"/>
  <c r="AI255" i="5"/>
  <c r="AK255" i="5"/>
  <c r="AL255" i="5"/>
  <c r="AH255" i="5"/>
  <c r="AK70" i="5"/>
  <c r="AH70" i="5"/>
  <c r="AI70" i="5"/>
  <c r="AJ70" i="5"/>
  <c r="AL70" i="5"/>
  <c r="AK486" i="5"/>
  <c r="AL486" i="5"/>
  <c r="AH486" i="5"/>
  <c r="AI486" i="5"/>
  <c r="AJ486" i="5"/>
  <c r="AL42" i="5"/>
  <c r="AI42" i="5"/>
  <c r="AJ42" i="5"/>
  <c r="AK42" i="5"/>
  <c r="AH42" i="5"/>
  <c r="AH74" i="5"/>
  <c r="AI74" i="5"/>
  <c r="AL74" i="5"/>
  <c r="AJ74" i="5"/>
  <c r="AK74" i="5"/>
  <c r="AI106" i="5"/>
  <c r="AJ106" i="5"/>
  <c r="AH106" i="5"/>
  <c r="AK106" i="5"/>
  <c r="AL106" i="5"/>
  <c r="AK138" i="5"/>
  <c r="AL138" i="5"/>
  <c r="AH138" i="5"/>
  <c r="AI138" i="5"/>
  <c r="AJ138" i="5"/>
  <c r="AK170" i="5"/>
  <c r="AI170" i="5"/>
  <c r="AL170" i="5"/>
  <c r="AJ170" i="5"/>
  <c r="AH170" i="5"/>
  <c r="AI202" i="5"/>
  <c r="AJ202" i="5"/>
  <c r="AH202" i="5"/>
  <c r="AK202" i="5"/>
  <c r="AL202" i="5"/>
  <c r="AJ234" i="5"/>
  <c r="AK234" i="5"/>
  <c r="AI234" i="5"/>
  <c r="AL234" i="5"/>
  <c r="AH234" i="5"/>
  <c r="AH266" i="5"/>
  <c r="AJ266" i="5"/>
  <c r="AL266" i="5"/>
  <c r="AI266" i="5"/>
  <c r="AK266" i="5"/>
  <c r="AH298" i="5"/>
  <c r="AI298" i="5"/>
  <c r="AJ298" i="5"/>
  <c r="AK298" i="5"/>
  <c r="AL298" i="5"/>
  <c r="AL330" i="5"/>
  <c r="AH330" i="5"/>
  <c r="AI330" i="5"/>
  <c r="AJ330" i="5"/>
  <c r="AK330" i="5"/>
  <c r="AH362" i="5"/>
  <c r="AL362" i="5"/>
  <c r="AI362" i="5"/>
  <c r="AK362" i="5"/>
  <c r="AJ362" i="5"/>
  <c r="AK394" i="5"/>
  <c r="AH394" i="5"/>
  <c r="AJ394" i="5"/>
  <c r="AI394" i="5"/>
  <c r="AL394" i="5"/>
  <c r="AK426" i="5"/>
  <c r="AL426" i="5"/>
  <c r="AH426" i="5"/>
  <c r="AI426" i="5"/>
  <c r="AJ426" i="5"/>
  <c r="AJ458" i="5"/>
  <c r="AK458" i="5"/>
  <c r="AH458" i="5"/>
  <c r="AI458" i="5"/>
  <c r="AL458" i="5"/>
  <c r="AJ490" i="5"/>
  <c r="AK490" i="5"/>
  <c r="AI490" i="5"/>
  <c r="AL490" i="5"/>
  <c r="AH490" i="5"/>
  <c r="AK522" i="5"/>
  <c r="AL522" i="5"/>
  <c r="AI522" i="5"/>
  <c r="AJ522" i="5"/>
  <c r="AH522" i="5"/>
  <c r="AH554" i="5"/>
  <c r="AI554" i="5"/>
  <c r="AJ554" i="5"/>
  <c r="AK554" i="5"/>
  <c r="AL554" i="5"/>
  <c r="AK586" i="5"/>
  <c r="AH586" i="5"/>
  <c r="AI586" i="5"/>
  <c r="AJ586" i="5"/>
  <c r="AL586" i="5"/>
  <c r="AJ618" i="5"/>
  <c r="AK618" i="5"/>
  <c r="AI618" i="5"/>
  <c r="AL618" i="5"/>
  <c r="AH618" i="5"/>
  <c r="AJ650" i="5"/>
  <c r="AK650" i="5"/>
  <c r="AL650" i="5"/>
  <c r="AI650" i="5"/>
  <c r="AH650" i="5"/>
  <c r="AH682" i="5"/>
  <c r="AI682" i="5"/>
  <c r="AK682" i="5"/>
  <c r="AL682" i="5"/>
  <c r="AJ682" i="5"/>
  <c r="AH714" i="5"/>
  <c r="AI714" i="5"/>
  <c r="AK714" i="5"/>
  <c r="AL714" i="5"/>
  <c r="AJ714" i="5"/>
  <c r="AH746" i="5"/>
  <c r="AI746" i="5"/>
  <c r="AJ746" i="5"/>
  <c r="AK746" i="5"/>
  <c r="AL746" i="5"/>
  <c r="AL719" i="5"/>
  <c r="AJ719" i="5"/>
  <c r="AK719" i="5"/>
  <c r="AI719" i="5"/>
  <c r="AH719" i="5"/>
  <c r="AI144" i="5"/>
  <c r="AL144" i="5"/>
  <c r="AJ144" i="5"/>
  <c r="AK144" i="5"/>
  <c r="AH144" i="5"/>
  <c r="AK271" i="5"/>
  <c r="AH271" i="5"/>
  <c r="AI271" i="5"/>
  <c r="AL271" i="5"/>
  <c r="AJ271" i="5"/>
  <c r="AJ720" i="5"/>
  <c r="AK720" i="5"/>
  <c r="AI720" i="5"/>
  <c r="AL720" i="5"/>
  <c r="AH720" i="5"/>
  <c r="AK113" i="5"/>
  <c r="AH113" i="5"/>
  <c r="AI113" i="5"/>
  <c r="AJ113" i="5"/>
  <c r="AL113" i="5"/>
  <c r="AH241" i="5"/>
  <c r="AJ241" i="5"/>
  <c r="AK241" i="5"/>
  <c r="AL241" i="5"/>
  <c r="AI241" i="5"/>
  <c r="AI114" i="5"/>
  <c r="AJ114" i="5"/>
  <c r="AK114" i="5"/>
  <c r="AL114" i="5"/>
  <c r="AH114" i="5"/>
  <c r="AJ658" i="5"/>
  <c r="AL658" i="5"/>
  <c r="AH658" i="5"/>
  <c r="AI658" i="5"/>
  <c r="AK658" i="5"/>
  <c r="AH86" i="5"/>
  <c r="AI86" i="5"/>
  <c r="AJ86" i="5"/>
  <c r="AK86" i="5"/>
  <c r="AL86" i="5"/>
  <c r="AH342" i="5"/>
  <c r="AI342" i="5"/>
  <c r="AK342" i="5"/>
  <c r="AJ342" i="5"/>
  <c r="AL342" i="5"/>
  <c r="AH727" i="5"/>
  <c r="AJ727" i="5"/>
  <c r="AK727" i="5"/>
  <c r="AL727" i="5"/>
  <c r="AI727" i="5"/>
  <c r="AK184" i="5"/>
  <c r="AI184" i="5"/>
  <c r="AJ184" i="5"/>
  <c r="AH184" i="5"/>
  <c r="AL184" i="5"/>
  <c r="AH344" i="5"/>
  <c r="AI344" i="5"/>
  <c r="AJ344" i="5"/>
  <c r="AK344" i="5"/>
  <c r="AL344" i="5"/>
  <c r="AL345" i="5"/>
  <c r="AH345" i="5"/>
  <c r="AI345" i="5"/>
  <c r="AK345" i="5"/>
  <c r="AJ345" i="5"/>
  <c r="AJ126" i="5"/>
  <c r="AK126" i="5"/>
  <c r="AI126" i="5"/>
  <c r="AL126" i="5"/>
  <c r="AH126" i="5"/>
  <c r="AL286" i="5"/>
  <c r="AJ286" i="5"/>
  <c r="AH286" i="5"/>
  <c r="AK286" i="5"/>
  <c r="AI286" i="5"/>
  <c r="AK414" i="5"/>
  <c r="AH414" i="5"/>
  <c r="AI414" i="5"/>
  <c r="AJ414" i="5"/>
  <c r="AL414" i="5"/>
  <c r="AI63" i="5"/>
  <c r="AK63" i="5"/>
  <c r="AJ63" i="5"/>
  <c r="AL63" i="5"/>
  <c r="AH63" i="5"/>
  <c r="AJ575" i="5"/>
  <c r="AK575" i="5"/>
  <c r="AL575" i="5"/>
  <c r="AH575" i="5"/>
  <c r="AI575" i="5"/>
  <c r="AH134" i="5"/>
  <c r="AJ134" i="5"/>
  <c r="AK134" i="5"/>
  <c r="AL134" i="5"/>
  <c r="AI134" i="5"/>
  <c r="AK75" i="5"/>
  <c r="AH75" i="5"/>
  <c r="AL75" i="5"/>
  <c r="AJ75" i="5"/>
  <c r="AI75" i="5"/>
  <c r="AK107" i="5"/>
  <c r="AL107" i="5"/>
  <c r="AH107" i="5"/>
  <c r="AI107" i="5"/>
  <c r="AJ107" i="5"/>
  <c r="AL171" i="5"/>
  <c r="AI171" i="5"/>
  <c r="AJ171" i="5"/>
  <c r="AH171" i="5"/>
  <c r="AK171" i="5"/>
  <c r="AL235" i="5"/>
  <c r="AI235" i="5"/>
  <c r="AJ235" i="5"/>
  <c r="AK235" i="5"/>
  <c r="AH235" i="5"/>
  <c r="AJ299" i="5"/>
  <c r="AH299" i="5"/>
  <c r="AI299" i="5"/>
  <c r="AK299" i="5"/>
  <c r="AL299" i="5"/>
  <c r="AJ363" i="5"/>
  <c r="AK363" i="5"/>
  <c r="AL363" i="5"/>
  <c r="AH363" i="5"/>
  <c r="AI363" i="5"/>
  <c r="AJ427" i="5"/>
  <c r="AK427" i="5"/>
  <c r="AL427" i="5"/>
  <c r="AH427" i="5"/>
  <c r="AI427" i="5"/>
  <c r="AH491" i="5"/>
  <c r="AI491" i="5"/>
  <c r="AJ491" i="5"/>
  <c r="AK491" i="5"/>
  <c r="AL491" i="5"/>
  <c r="AL555" i="5"/>
  <c r="AI555" i="5"/>
  <c r="AK555" i="5"/>
  <c r="AJ555" i="5"/>
  <c r="AH555" i="5"/>
  <c r="AK619" i="5"/>
  <c r="AH619" i="5"/>
  <c r="AL619" i="5"/>
  <c r="AI619" i="5"/>
  <c r="AJ619" i="5"/>
  <c r="AH651" i="5"/>
  <c r="AI651" i="5"/>
  <c r="AJ651" i="5"/>
  <c r="AK651" i="5"/>
  <c r="AL651" i="5"/>
  <c r="AH715" i="5"/>
  <c r="AJ715" i="5"/>
  <c r="AI715" i="5"/>
  <c r="AK715" i="5"/>
  <c r="AL715" i="5"/>
  <c r="AJ747" i="5"/>
  <c r="AK747" i="5"/>
  <c r="AL747" i="5"/>
  <c r="AI747" i="5"/>
  <c r="AH747" i="5"/>
  <c r="AJ76" i="5"/>
  <c r="AK76" i="5"/>
  <c r="AH76" i="5"/>
  <c r="AI76" i="5"/>
  <c r="AL76" i="5"/>
  <c r="AH140" i="5"/>
  <c r="AI140" i="5"/>
  <c r="AJ140" i="5"/>
  <c r="AK140" i="5"/>
  <c r="AL140" i="5"/>
  <c r="AI204" i="5"/>
  <c r="AH204" i="5"/>
  <c r="AL204" i="5"/>
  <c r="AJ204" i="5"/>
  <c r="AK204" i="5"/>
  <c r="AH268" i="5"/>
  <c r="AI268" i="5"/>
  <c r="AJ268" i="5"/>
  <c r="AK268" i="5"/>
  <c r="AL268" i="5"/>
  <c r="AJ300" i="5"/>
  <c r="AL300" i="5"/>
  <c r="AK300" i="5"/>
  <c r="AI300" i="5"/>
  <c r="AH300" i="5"/>
  <c r="AK332" i="5"/>
  <c r="AL332" i="5"/>
  <c r="AJ332" i="5"/>
  <c r="AI332" i="5"/>
  <c r="AH332" i="5"/>
  <c r="AL364" i="5"/>
  <c r="AH364" i="5"/>
  <c r="AI364" i="5"/>
  <c r="AJ364" i="5"/>
  <c r="AK364" i="5"/>
  <c r="AJ428" i="5"/>
  <c r="AL428" i="5"/>
  <c r="AK428" i="5"/>
  <c r="AH428" i="5"/>
  <c r="AI428" i="5"/>
  <c r="AI460" i="5"/>
  <c r="AH460" i="5"/>
  <c r="AJ460" i="5"/>
  <c r="AK460" i="5"/>
  <c r="AL460" i="5"/>
  <c r="AK492" i="5"/>
  <c r="AL492" i="5"/>
  <c r="AH492" i="5"/>
  <c r="AI492" i="5"/>
  <c r="AJ492" i="5"/>
  <c r="AK524" i="5"/>
  <c r="AJ524" i="5"/>
  <c r="AL524" i="5"/>
  <c r="AI524" i="5"/>
  <c r="AH524" i="5"/>
  <c r="AH556" i="5"/>
  <c r="AI556" i="5"/>
  <c r="AJ556" i="5"/>
  <c r="AK556" i="5"/>
  <c r="AL556" i="5"/>
  <c r="AI588" i="5"/>
  <c r="AJ588" i="5"/>
  <c r="AH588" i="5"/>
  <c r="AK588" i="5"/>
  <c r="AL588" i="5"/>
  <c r="AI620" i="5"/>
  <c r="AJ620" i="5"/>
  <c r="AK620" i="5"/>
  <c r="AL620" i="5"/>
  <c r="AH620" i="5"/>
  <c r="AH652" i="5"/>
  <c r="AI652" i="5"/>
  <c r="AJ652" i="5"/>
  <c r="AK652" i="5"/>
  <c r="AL652" i="5"/>
  <c r="AL684" i="5"/>
  <c r="AH684" i="5"/>
  <c r="AJ684" i="5"/>
  <c r="AK684" i="5"/>
  <c r="AI684" i="5"/>
  <c r="AL716" i="5"/>
  <c r="AH716" i="5"/>
  <c r="AI716" i="5"/>
  <c r="AJ716" i="5"/>
  <c r="AK716" i="5"/>
  <c r="AL748" i="5"/>
  <c r="AK748" i="5"/>
  <c r="AI748" i="5"/>
  <c r="AH748" i="5"/>
  <c r="AJ748" i="5"/>
  <c r="AK45" i="5"/>
  <c r="AL45" i="5"/>
  <c r="AH45" i="5"/>
  <c r="AI45" i="5"/>
  <c r="AJ45" i="5"/>
  <c r="AK77" i="5"/>
  <c r="AL77" i="5"/>
  <c r="AI77" i="5"/>
  <c r="AH77" i="5"/>
  <c r="AJ77" i="5"/>
  <c r="AK109" i="5"/>
  <c r="AL109" i="5"/>
  <c r="AI109" i="5"/>
  <c r="AJ109" i="5"/>
  <c r="AH109" i="5"/>
  <c r="AK141" i="5"/>
  <c r="AL141" i="5"/>
  <c r="AI141" i="5"/>
  <c r="AJ141" i="5"/>
  <c r="AH141" i="5"/>
  <c r="AK173" i="5"/>
  <c r="AL173" i="5"/>
  <c r="AI173" i="5"/>
  <c r="AH173" i="5"/>
  <c r="AJ173" i="5"/>
  <c r="AK205" i="5"/>
  <c r="AL205" i="5"/>
  <c r="AI205" i="5"/>
  <c r="AJ205" i="5"/>
  <c r="AH205" i="5"/>
  <c r="AK237" i="5"/>
  <c r="AL237" i="5"/>
  <c r="AI237" i="5"/>
  <c r="AJ237" i="5"/>
  <c r="AH237" i="5"/>
  <c r="AK269" i="5"/>
  <c r="AL269" i="5"/>
  <c r="AI269" i="5"/>
  <c r="AJ269" i="5"/>
  <c r="AH269" i="5"/>
  <c r="AK301" i="5"/>
  <c r="AL301" i="5"/>
  <c r="AJ301" i="5"/>
  <c r="AH301" i="5"/>
  <c r="AI301" i="5"/>
  <c r="AK333" i="5"/>
  <c r="AL333" i="5"/>
  <c r="AJ333" i="5"/>
  <c r="AH333" i="5"/>
  <c r="AI333" i="5"/>
  <c r="AK365" i="5"/>
  <c r="AL365" i="5"/>
  <c r="AH365" i="5"/>
  <c r="AI365" i="5"/>
  <c r="AJ365" i="5"/>
  <c r="AK397" i="5"/>
  <c r="AL397" i="5"/>
  <c r="AH397" i="5"/>
  <c r="AJ397" i="5"/>
  <c r="AI397" i="5"/>
  <c r="AK429" i="5"/>
  <c r="AL429" i="5"/>
  <c r="AH429" i="5"/>
  <c r="AI429" i="5"/>
  <c r="AJ429" i="5"/>
  <c r="AK461" i="5"/>
  <c r="AL461" i="5"/>
  <c r="AH461" i="5"/>
  <c r="AI461" i="5"/>
  <c r="AJ461" i="5"/>
  <c r="AK493" i="5"/>
  <c r="AL493" i="5"/>
  <c r="AJ493" i="5"/>
  <c r="AH493" i="5"/>
  <c r="AI493" i="5"/>
  <c r="AK525" i="5"/>
  <c r="AL525" i="5"/>
  <c r="AI525" i="5"/>
  <c r="AJ525" i="5"/>
  <c r="AH525" i="5"/>
  <c r="AK557" i="5"/>
  <c r="AI557" i="5"/>
  <c r="AJ557" i="5"/>
  <c r="AL557" i="5"/>
  <c r="AH557" i="5"/>
  <c r="AH589" i="5"/>
  <c r="AL589" i="5"/>
  <c r="AJ589" i="5"/>
  <c r="AI589" i="5"/>
  <c r="AK589" i="5"/>
  <c r="AK621" i="5"/>
  <c r="AJ621" i="5"/>
  <c r="AH621" i="5"/>
  <c r="AI621" i="5"/>
  <c r="AL621" i="5"/>
  <c r="AK653" i="5"/>
  <c r="AL653" i="5"/>
  <c r="AI653" i="5"/>
  <c r="AJ653" i="5"/>
  <c r="AH653" i="5"/>
  <c r="AI685" i="5"/>
  <c r="AJ685" i="5"/>
  <c r="AK685" i="5"/>
  <c r="AH685" i="5"/>
  <c r="AL685" i="5"/>
  <c r="AK717" i="5"/>
  <c r="AL717" i="5"/>
  <c r="AH717" i="5"/>
  <c r="AI717" i="5"/>
  <c r="AJ717" i="5"/>
  <c r="AJ749" i="5"/>
  <c r="AK749" i="5"/>
  <c r="AL749" i="5"/>
  <c r="AH749" i="5"/>
  <c r="AI749" i="5"/>
  <c r="AK143" i="5"/>
  <c r="AL143" i="5"/>
  <c r="AH143" i="5"/>
  <c r="AI143" i="5"/>
  <c r="AJ143" i="5"/>
  <c r="AJ591" i="5"/>
  <c r="AL591" i="5"/>
  <c r="AK591" i="5"/>
  <c r="AI591" i="5"/>
  <c r="AH591" i="5"/>
  <c r="AK112" i="5"/>
  <c r="AL112" i="5"/>
  <c r="AH112" i="5"/>
  <c r="AJ112" i="5"/>
  <c r="AI112" i="5"/>
  <c r="AI368" i="5"/>
  <c r="AJ368" i="5"/>
  <c r="AK368" i="5"/>
  <c r="AL368" i="5"/>
  <c r="AH368" i="5"/>
  <c r="AK656" i="5"/>
  <c r="AL656" i="5"/>
  <c r="AH656" i="5"/>
  <c r="AI656" i="5"/>
  <c r="AJ656" i="5"/>
  <c r="AK145" i="5"/>
  <c r="AL145" i="5"/>
  <c r="AI145" i="5"/>
  <c r="AH145" i="5"/>
  <c r="AJ145" i="5"/>
  <c r="AJ337" i="5"/>
  <c r="AH337" i="5"/>
  <c r="AI337" i="5"/>
  <c r="AL337" i="5"/>
  <c r="AK337" i="5"/>
  <c r="AI274" i="5"/>
  <c r="AJ274" i="5"/>
  <c r="AK274" i="5"/>
  <c r="AL274" i="5"/>
  <c r="AH274" i="5"/>
  <c r="AI754" i="5"/>
  <c r="AJ754" i="5"/>
  <c r="AK754" i="5"/>
  <c r="AH754" i="5"/>
  <c r="AL754" i="5"/>
  <c r="AH22" i="5"/>
  <c r="AI22" i="5"/>
  <c r="AJ22" i="5"/>
  <c r="AK22" i="5"/>
  <c r="AL22" i="5"/>
  <c r="AH246" i="5"/>
  <c r="AI246" i="5"/>
  <c r="AJ246" i="5"/>
  <c r="AK246" i="5"/>
  <c r="AL246" i="5"/>
  <c r="AH470" i="5"/>
  <c r="AI470" i="5"/>
  <c r="AJ470" i="5"/>
  <c r="AK470" i="5"/>
  <c r="AL470" i="5"/>
  <c r="AH279" i="5"/>
  <c r="AI279" i="5"/>
  <c r="AK279" i="5"/>
  <c r="AL279" i="5"/>
  <c r="AJ279" i="5"/>
  <c r="AH759" i="5"/>
  <c r="AI759" i="5"/>
  <c r="AJ759" i="5"/>
  <c r="AK759" i="5"/>
  <c r="AL759" i="5"/>
  <c r="AI248" i="5"/>
  <c r="AJ248" i="5"/>
  <c r="AL248" i="5"/>
  <c r="AK248" i="5"/>
  <c r="AH248" i="5"/>
  <c r="AH472" i="5"/>
  <c r="AI472" i="5"/>
  <c r="AJ472" i="5"/>
  <c r="AK472" i="5"/>
  <c r="AL472" i="5"/>
  <c r="AL57" i="5"/>
  <c r="AI57" i="5"/>
  <c r="AH57" i="5"/>
  <c r="AJ57" i="5"/>
  <c r="AK57" i="5"/>
  <c r="AH281" i="5"/>
  <c r="AI281" i="5"/>
  <c r="AK281" i="5"/>
  <c r="AL281" i="5"/>
  <c r="AJ281" i="5"/>
  <c r="AK350" i="5"/>
  <c r="AH350" i="5"/>
  <c r="AL350" i="5"/>
  <c r="AI350" i="5"/>
  <c r="AJ350" i="5"/>
  <c r="AL638" i="5"/>
  <c r="AK638" i="5"/>
  <c r="AH638" i="5"/>
  <c r="AI638" i="5"/>
  <c r="AJ638" i="5"/>
  <c r="AK191" i="5"/>
  <c r="AI191" i="5"/>
  <c r="AH191" i="5"/>
  <c r="AJ191" i="5"/>
  <c r="AL191" i="5"/>
  <c r="AJ607" i="5"/>
  <c r="AL607" i="5"/>
  <c r="AK607" i="5"/>
  <c r="AH607" i="5"/>
  <c r="AI607" i="5"/>
  <c r="AH43" i="5"/>
  <c r="AI43" i="5"/>
  <c r="AL43" i="5"/>
  <c r="AJ43" i="5"/>
  <c r="AK43" i="5"/>
  <c r="AI139" i="5"/>
  <c r="AJ139" i="5"/>
  <c r="AK139" i="5"/>
  <c r="AH139" i="5"/>
  <c r="AL139" i="5"/>
  <c r="AK203" i="5"/>
  <c r="AL203" i="5"/>
  <c r="AH203" i="5"/>
  <c r="AJ203" i="5"/>
  <c r="AI203" i="5"/>
  <c r="AK267" i="5"/>
  <c r="AL267" i="5"/>
  <c r="AH267" i="5"/>
  <c r="AI267" i="5"/>
  <c r="AJ267" i="5"/>
  <c r="AJ331" i="5"/>
  <c r="AK331" i="5"/>
  <c r="AH331" i="5"/>
  <c r="AI331" i="5"/>
  <c r="AL331" i="5"/>
  <c r="AI395" i="5"/>
  <c r="AH395" i="5"/>
  <c r="AK395" i="5"/>
  <c r="AL395" i="5"/>
  <c r="AJ395" i="5"/>
  <c r="AJ459" i="5"/>
  <c r="AK459" i="5"/>
  <c r="AI459" i="5"/>
  <c r="AL459" i="5"/>
  <c r="AH459" i="5"/>
  <c r="AI523" i="5"/>
  <c r="AJ523" i="5"/>
  <c r="AK523" i="5"/>
  <c r="AH523" i="5"/>
  <c r="AL523" i="5"/>
  <c r="AK587" i="5"/>
  <c r="AH587" i="5"/>
  <c r="AJ587" i="5"/>
  <c r="AI587" i="5"/>
  <c r="AL587" i="5"/>
  <c r="AH683" i="5"/>
  <c r="AI683" i="5"/>
  <c r="AJ683" i="5"/>
  <c r="AK683" i="5"/>
  <c r="AL683" i="5"/>
  <c r="AJ44" i="5"/>
  <c r="AH44" i="5"/>
  <c r="AI44" i="5"/>
  <c r="AK44" i="5"/>
  <c r="AL44" i="5"/>
  <c r="AK108" i="5"/>
  <c r="AH108" i="5"/>
  <c r="AI108" i="5"/>
  <c r="AJ108" i="5"/>
  <c r="AL108" i="5"/>
  <c r="AH172" i="5"/>
  <c r="AJ172" i="5"/>
  <c r="AK172" i="5"/>
  <c r="AI172" i="5"/>
  <c r="AL172" i="5"/>
  <c r="AI236" i="5"/>
  <c r="AK236" i="5"/>
  <c r="AL236" i="5"/>
  <c r="AH236" i="5"/>
  <c r="AJ236" i="5"/>
  <c r="AI396" i="5"/>
  <c r="AJ396" i="5"/>
  <c r="AK396" i="5"/>
  <c r="AL396" i="5"/>
  <c r="AH396" i="5"/>
  <c r="AK46" i="5"/>
  <c r="AL46" i="5"/>
  <c r="AJ46" i="5"/>
  <c r="AH46" i="5"/>
  <c r="AI46" i="5"/>
  <c r="AJ78" i="5"/>
  <c r="AH78" i="5"/>
  <c r="AI78" i="5"/>
  <c r="AK78" i="5"/>
  <c r="AL78" i="5"/>
  <c r="AK110" i="5"/>
  <c r="AL110" i="5"/>
  <c r="AH110" i="5"/>
  <c r="AI110" i="5"/>
  <c r="AJ110" i="5"/>
  <c r="AL142" i="5"/>
  <c r="AI142" i="5"/>
  <c r="AJ142" i="5"/>
  <c r="AK142" i="5"/>
  <c r="AH142" i="5"/>
  <c r="AI174" i="5"/>
  <c r="AK174" i="5"/>
  <c r="AJ174" i="5"/>
  <c r="AL174" i="5"/>
  <c r="AH174" i="5"/>
  <c r="AH206" i="5"/>
  <c r="AI206" i="5"/>
  <c r="AJ206" i="5"/>
  <c r="AK206" i="5"/>
  <c r="AL206" i="5"/>
  <c r="AK238" i="5"/>
  <c r="AL238" i="5"/>
  <c r="AI238" i="5"/>
  <c r="AJ238" i="5"/>
  <c r="AH238" i="5"/>
  <c r="AI270" i="5"/>
  <c r="AL270" i="5"/>
  <c r="AH270" i="5"/>
  <c r="AJ270" i="5"/>
  <c r="AK270" i="5"/>
  <c r="AI302" i="5"/>
  <c r="AL302" i="5"/>
  <c r="AH302" i="5"/>
  <c r="AJ302" i="5"/>
  <c r="AK302" i="5"/>
  <c r="AH334" i="5"/>
  <c r="AI334" i="5"/>
  <c r="AL334" i="5"/>
  <c r="AJ334" i="5"/>
  <c r="AK334" i="5"/>
  <c r="AJ366" i="5"/>
  <c r="AK366" i="5"/>
  <c r="AH366" i="5"/>
  <c r="AL366" i="5"/>
  <c r="AI366" i="5"/>
  <c r="AH398" i="5"/>
  <c r="AI398" i="5"/>
  <c r="AJ398" i="5"/>
  <c r="AL398" i="5"/>
  <c r="AK398" i="5"/>
  <c r="AL430" i="5"/>
  <c r="AI430" i="5"/>
  <c r="AJ430" i="5"/>
  <c r="AH430" i="5"/>
  <c r="AK430" i="5"/>
  <c r="AH462" i="5"/>
  <c r="AJ462" i="5"/>
  <c r="AK462" i="5"/>
  <c r="AL462" i="5"/>
  <c r="AI462" i="5"/>
  <c r="AI494" i="5"/>
  <c r="AJ494" i="5"/>
  <c r="AL494" i="5"/>
  <c r="AH494" i="5"/>
  <c r="AK494" i="5"/>
  <c r="AL526" i="5"/>
  <c r="AI526" i="5"/>
  <c r="AH526" i="5"/>
  <c r="AJ526" i="5"/>
  <c r="AK526" i="5"/>
  <c r="AL558" i="5"/>
  <c r="AK558" i="5"/>
  <c r="AJ558" i="5"/>
  <c r="AH558" i="5"/>
  <c r="AI558" i="5"/>
  <c r="AI590" i="5"/>
  <c r="AL590" i="5"/>
  <c r="AH590" i="5"/>
  <c r="AJ590" i="5"/>
  <c r="AK590" i="5"/>
  <c r="AI622" i="5"/>
  <c r="AJ622" i="5"/>
  <c r="AK622" i="5"/>
  <c r="AL622" i="5"/>
  <c r="AH622" i="5"/>
  <c r="AI654" i="5"/>
  <c r="AK654" i="5"/>
  <c r="AL654" i="5"/>
  <c r="AJ654" i="5"/>
  <c r="AH654" i="5"/>
  <c r="AJ686" i="5"/>
  <c r="AK686" i="5"/>
  <c r="AI686" i="5"/>
  <c r="AL686" i="5"/>
  <c r="AH686" i="5"/>
  <c r="AJ718" i="5"/>
  <c r="AK718" i="5"/>
  <c r="AH718" i="5"/>
  <c r="AI718" i="5"/>
  <c r="AL718" i="5"/>
  <c r="AH750" i="5"/>
  <c r="AI750" i="5"/>
  <c r="AJ750" i="5"/>
  <c r="AK750" i="5"/>
  <c r="AL750" i="5"/>
  <c r="AL21" i="5"/>
  <c r="AJ21" i="5"/>
  <c r="AK21" i="5"/>
  <c r="AH21" i="5"/>
  <c r="AI21" i="5"/>
  <c r="O773" i="5"/>
  <c r="R773" i="5"/>
  <c r="Q773" i="5"/>
  <c r="P773" i="5"/>
  <c r="P772" i="5"/>
  <c r="O772" i="5"/>
  <c r="Q772" i="5"/>
  <c r="R772" i="5"/>
  <c r="F212" i="5" a="1"/>
  <c r="F245" i="5" a="1"/>
  <c r="F758" i="5" a="1"/>
  <c r="F634" i="5" a="1"/>
  <c r="F122" i="5" a="1"/>
  <c r="F187" i="5" a="1"/>
  <c r="F111" i="5" a="1"/>
  <c r="F473" i="5" a="1"/>
  <c r="F412" i="5" a="1"/>
  <c r="F496" i="5" a="1"/>
  <c r="F385" i="5" a="1"/>
  <c r="F402" i="5" a="1"/>
  <c r="F319" i="5" a="1"/>
  <c r="F64" i="5" a="1"/>
  <c r="F676" i="5" a="1"/>
  <c r="F287" i="5" a="1"/>
  <c r="F229" i="5" a="1"/>
  <c r="F709" i="5" a="1"/>
  <c r="F598" i="5" a="1"/>
  <c r="F62" i="5" a="1"/>
  <c r="F262" i="5" a="1"/>
  <c r="F422" i="5" a="1"/>
  <c r="F745" i="5" a="1"/>
  <c r="F719" i="5" a="1"/>
  <c r="F113" i="5" a="1"/>
  <c r="F684" i="5" a="1"/>
  <c r="F274" i="5" a="1"/>
  <c r="F331" i="5" a="1"/>
  <c r="F622" i="5" a="1"/>
  <c r="F458" i="5" a="1"/>
  <c r="F557" i="5" a="1"/>
  <c r="F281" i="5" a="1"/>
  <c r="F334" i="5" a="1"/>
  <c r="F494" i="5" a="1"/>
  <c r="F654" i="5" a="1"/>
  <c r="F574" i="5" a="1"/>
  <c r="F266" i="5" a="1"/>
  <c r="F578" i="5" a="1"/>
  <c r="F376" i="5" a="1"/>
  <c r="F769" i="5" a="1"/>
  <c r="F28" i="5" a="1"/>
  <c r="F723" i="5" a="1"/>
  <c r="F692" i="5" a="1"/>
  <c r="F303" i="5" a="1"/>
  <c r="F371" i="5" a="1"/>
  <c r="F117" i="5" a="1"/>
  <c r="F565" i="5" a="1"/>
  <c r="F474" i="5" a="1"/>
  <c r="F367" i="5" a="1"/>
  <c r="F89" i="5" a="1"/>
  <c r="F347" i="5" a="1"/>
  <c r="F216" i="5" a="1"/>
  <c r="F92" i="5" a="1"/>
  <c r="F252" i="5" a="1"/>
  <c r="F409" i="5" a="1"/>
  <c r="F477" i="5" a="1"/>
  <c r="F655" i="5" a="1"/>
  <c r="F545" i="5" a="1"/>
  <c r="F227" i="5" a="1"/>
  <c r="F675" i="5" a="1"/>
  <c r="F516" i="5" a="1"/>
  <c r="F567" i="5" a="1"/>
  <c r="F261" i="5" a="1"/>
  <c r="F519" i="5" a="1"/>
  <c r="F680" i="5" a="1"/>
  <c r="F678" i="5" a="1"/>
  <c r="F137" i="5" a="1"/>
  <c r="F617" i="5" a="1"/>
  <c r="F486" i="5" a="1"/>
  <c r="F298" i="5" a="1"/>
  <c r="F342" i="5" a="1"/>
  <c r="F126" i="5" a="1"/>
  <c r="F76" i="5" a="1"/>
  <c r="F524" i="5" a="1"/>
  <c r="F717" i="5" a="1"/>
  <c r="F279" i="5" a="1"/>
  <c r="F683" i="5" a="1"/>
  <c r="F396" i="5" a="1"/>
  <c r="F324" i="5" a="1"/>
  <c r="F200" i="5" a="1"/>
  <c r="F753" i="5" a="1"/>
  <c r="F725" i="5" a="1"/>
  <c r="F507" i="5" a="1"/>
  <c r="F569" i="5" a="1"/>
  <c r="F401" i="5" a="1"/>
  <c r="F640" i="5" a="1"/>
  <c r="F471" i="5" a="1"/>
  <c r="F351" i="5" a="1"/>
  <c r="F417" i="5" a="1"/>
  <c r="F162" i="5" a="1"/>
  <c r="F625" i="5" a="1"/>
  <c r="F356" i="5" a="1"/>
  <c r="F36" i="5" a="1"/>
  <c r="F72" i="5" a="1"/>
  <c r="F510" i="5" a="1"/>
  <c r="F294" i="5" a="1"/>
  <c r="F457" i="5" a="1"/>
  <c r="F722" i="5" a="1"/>
  <c r="F330" i="5" a="1"/>
  <c r="F618" i="5" a="1"/>
  <c r="F134" i="5" a="1"/>
  <c r="F109" i="5" a="1"/>
  <c r="F43" i="5" a="1"/>
  <c r="F174" i="5" a="1"/>
  <c r="F364" i="5" a="1"/>
  <c r="F269" i="5" a="1"/>
  <c r="F44" i="5" a="1"/>
  <c r="F375" i="5" a="1"/>
  <c r="F167" i="5" a="1"/>
  <c r="F365" i="5" a="1"/>
  <c r="F302" i="5" a="1"/>
  <c r="F726" i="5" a="1"/>
  <c r="F39" i="5" a="1"/>
  <c r="F27" i="5" a="1"/>
  <c r="F746" i="5" a="1"/>
  <c r="F770" i="5" a="1"/>
  <c r="F51" i="5" a="1"/>
  <c r="F179" i="5" a="1"/>
  <c r="F372" i="5" a="1"/>
  <c r="F437" i="5" a="1"/>
  <c r="F666" i="5" a="1"/>
  <c r="F572" i="5" a="1"/>
  <c r="F189" i="5" a="1"/>
  <c r="F349" i="5" a="1"/>
  <c r="F637" i="5" a="1"/>
  <c r="F352" i="5" a="1"/>
  <c r="F97" i="5" a="1"/>
  <c r="F577" i="5" a="1"/>
  <c r="F735" i="5" a="1"/>
  <c r="F322" i="5" a="1"/>
  <c r="F610" i="5" a="1"/>
  <c r="F767" i="5" a="1"/>
  <c r="F547" i="5" a="1"/>
  <c r="F707" i="5" a="1"/>
  <c r="F158" i="5" a="1"/>
  <c r="F529" i="5" a="1"/>
  <c r="F671" i="5" a="1"/>
  <c r="F228" i="5" a="1"/>
  <c r="F101" i="5" a="1"/>
  <c r="F421" i="5" a="1"/>
  <c r="F81" i="5" a="1"/>
  <c r="F71" i="5" a="1"/>
  <c r="F49" i="5" a="1"/>
  <c r="F232" i="5" a="1"/>
  <c r="F119" i="5" a="1"/>
  <c r="F297" i="5" a="1"/>
  <c r="F312" i="5" a="1"/>
  <c r="F170" i="5" a="1"/>
  <c r="F286" i="5" a="1"/>
  <c r="F619" i="5" a="1"/>
  <c r="F526" i="5" a="1"/>
  <c r="F418" i="5" a="1"/>
  <c r="F199" i="5" a="1"/>
  <c r="F112" i="5" a="1"/>
  <c r="F540" i="5" a="1"/>
  <c r="F157" i="5" a="1"/>
  <c r="F332" i="5" a="1"/>
  <c r="F532" i="5" a="1"/>
  <c r="F563" i="5" a="1"/>
  <c r="F214" i="5" a="1"/>
  <c r="F729" i="5" a="1"/>
  <c r="F59" i="5" a="1"/>
  <c r="F29" i="5" a="1"/>
  <c r="F512" i="5" a="1"/>
  <c r="F257" i="5" a="1"/>
  <c r="F25" i="5" a="1"/>
  <c r="F482" i="5" a="1"/>
  <c r="F311" i="5" a="1"/>
  <c r="F387" i="5" a="1"/>
  <c r="F370" i="5" a="1"/>
  <c r="F210" i="5" a="1"/>
  <c r="F35" i="5" a="1"/>
  <c r="F100" i="5" a="1"/>
  <c r="F87" i="5" a="1"/>
  <c r="F231" i="5" a="1"/>
  <c r="F551" i="5" a="1"/>
  <c r="F711" i="5" a="1"/>
  <c r="F215" i="5" a="1"/>
  <c r="F383" i="5" a="1"/>
  <c r="F104" i="5" a="1"/>
  <c r="F392" i="5" a="1"/>
  <c r="F241" i="5" a="1"/>
  <c r="F299" i="5" a="1"/>
  <c r="F429" i="5" a="1"/>
  <c r="F368" i="5" a="1"/>
  <c r="F395" i="5" a="1"/>
  <c r="F46" i="5" a="1"/>
  <c r="F448" i="5" a="1"/>
  <c r="F644" i="5" a="1"/>
  <c r="F121" i="5" a="1"/>
  <c r="F166" i="5" a="1"/>
  <c r="F500" i="5" a="1"/>
  <c r="F183" i="5" a="1"/>
  <c r="F242" i="5" a="1"/>
  <c r="F438" i="5" a="1"/>
  <c r="F755" i="5" a="1"/>
  <c r="F277" i="5" a="1"/>
  <c r="F314" i="5" a="1"/>
  <c r="F506" i="5" a="1"/>
  <c r="F592" i="5" a="1"/>
  <c r="F219" i="5" a="1"/>
  <c r="F124" i="5" a="1"/>
  <c r="F284" i="5" a="1"/>
  <c r="F732" i="5" a="1"/>
  <c r="F631" i="5" a="1"/>
  <c r="F505" i="5" a="1"/>
  <c r="F151" i="5" a="1"/>
  <c r="F560" i="5" a="1"/>
  <c r="F623" i="5" a="1"/>
  <c r="F259" i="5" a="1"/>
  <c r="F192" i="5" a="1"/>
  <c r="F133" i="5" a="1"/>
  <c r="F391" i="5" a="1"/>
  <c r="F552" i="5" a="1"/>
  <c r="F712" i="5" a="1"/>
  <c r="F710" i="5" a="1"/>
  <c r="F169" i="5" a="1"/>
  <c r="F150" i="5" a="1"/>
  <c r="F42" i="5" a="1"/>
  <c r="F727" i="5" a="1"/>
  <c r="F716" i="5" a="1"/>
  <c r="F589" i="5" a="1"/>
  <c r="F350" i="5" a="1"/>
  <c r="F38" i="5" a="1"/>
  <c r="F747" i="5" a="1"/>
  <c r="F355" i="5" a="1"/>
  <c r="F520" i="5" a="1"/>
  <c r="F405" i="5" a="1"/>
  <c r="F593" i="5" a="1"/>
  <c r="F549" i="5" a="1"/>
  <c r="F425" i="5" a="1"/>
  <c r="F564" i="5" a="1"/>
  <c r="F724" i="5" a="1"/>
  <c r="F272" i="5" a="1"/>
  <c r="F403" i="5" a="1"/>
  <c r="F84" i="5" a="1"/>
  <c r="F404" i="5" a="1"/>
  <c r="F313" i="5" a="1"/>
  <c r="F379" i="5" a="1"/>
  <c r="F667" i="5" a="1"/>
  <c r="F604" i="5" a="1"/>
  <c r="F221" i="5" a="1"/>
  <c r="F669" i="5" a="1"/>
  <c r="F318" i="5" a="1"/>
  <c r="F433" i="5" a="1"/>
  <c r="F639" i="5" a="1"/>
  <c r="F289" i="5" a="1"/>
  <c r="F630" i="5" a="1"/>
  <c r="F190" i="5" a="1"/>
  <c r="F96" i="5" a="1"/>
  <c r="F606" i="5" a="1"/>
  <c r="F548" i="5" a="1"/>
  <c r="F320" i="5" a="1"/>
  <c r="F292" i="5" a="1"/>
  <c r="F581" i="5" a="1"/>
  <c r="F382" i="5" a="1"/>
  <c r="F358" i="5" a="1"/>
  <c r="F102" i="5" a="1"/>
  <c r="F550" i="5" a="1"/>
  <c r="F503" i="5" a="1"/>
  <c r="F489" i="5" a="1"/>
  <c r="F207" i="5" a="1"/>
  <c r="F490" i="5" a="1"/>
  <c r="F650" i="5" a="1"/>
  <c r="F144" i="5" a="1"/>
  <c r="F75" i="5" a="1"/>
  <c r="F140" i="5" a="1"/>
  <c r="F754" i="5" a="1"/>
  <c r="F193" i="5" a="1"/>
  <c r="F750" i="5" a="1"/>
  <c r="F282" i="5" a="1"/>
  <c r="F502" i="5" a="1"/>
  <c r="F703" i="5" a="1"/>
  <c r="F690" i="5" a="1"/>
  <c r="F211" i="5" a="1"/>
  <c r="F244" i="5" a="1"/>
  <c r="F597" i="5" a="1"/>
  <c r="F757" i="5" a="1"/>
  <c r="F247" i="5" a="1"/>
  <c r="F154" i="5" a="1"/>
  <c r="F539" i="5" a="1"/>
  <c r="F278" i="5" a="1"/>
  <c r="F665" i="5" a="1"/>
  <c r="F444" i="5" a="1"/>
  <c r="F764" i="5" a="1"/>
  <c r="F61" i="5" a="1"/>
  <c r="F509" i="5" a="1"/>
  <c r="F664" i="5" a="1"/>
  <c r="F737" i="5" a="1"/>
  <c r="F194" i="5" a="1"/>
  <c r="F642" i="5" a="1"/>
  <c r="F304" i="5" a="1"/>
  <c r="F760" i="5" a="1"/>
  <c r="F708" i="5" a="1"/>
  <c r="F741" i="5" a="1"/>
  <c r="F465" i="5" a="1"/>
  <c r="F439" i="5" a="1"/>
  <c r="F103" i="5" a="1"/>
  <c r="F424" i="5" a="1"/>
  <c r="F273" i="5" a="1"/>
  <c r="F363" i="5" a="1"/>
  <c r="F141" i="5" a="1"/>
  <c r="F749" i="5" a="1"/>
  <c r="F656" i="5" a="1"/>
  <c r="F759" i="5" a="1"/>
  <c r="F428" i="5" a="1"/>
  <c r="F459" i="5" a="1"/>
  <c r="F653" i="5" a="1"/>
  <c r="F66" i="5" a="1"/>
  <c r="F377" i="5" a="1"/>
  <c r="F587" i="5" a="1"/>
  <c r="F335" i="5" a="1"/>
  <c r="F196" i="5" a="1"/>
  <c r="F450" i="5" a="1"/>
  <c r="F771" i="5" a="1"/>
  <c r="F149" i="5" a="1"/>
  <c r="F309" i="5" a="1"/>
  <c r="F406" i="5" a="1"/>
  <c r="F280" i="5" a="1"/>
  <c r="F178" i="5" a="1"/>
  <c r="F384" i="5" a="1"/>
  <c r="F32" i="5" a="1"/>
  <c r="F129" i="5" a="1"/>
  <c r="F354" i="5" a="1"/>
  <c r="F224" i="5" a="1"/>
  <c r="F419" i="5" a="1"/>
  <c r="F739" i="5" a="1"/>
  <c r="F694" i="5" a="1"/>
  <c r="F580" i="5" a="1"/>
  <c r="F478" i="5" a="1"/>
  <c r="F423" i="5" a="1"/>
  <c r="F583" i="5" a="1"/>
  <c r="F561" i="5" a="1"/>
  <c r="F264" i="5" a="1"/>
  <c r="F31" i="5" a="1"/>
  <c r="F329" i="5" a="1"/>
  <c r="F48" i="5" a="1"/>
  <c r="F94" i="5" a="1"/>
  <c r="F362" i="5" a="1"/>
  <c r="F556" i="5" a="1"/>
  <c r="F301" i="5" a="1"/>
  <c r="F206" i="5" a="1"/>
  <c r="F366" i="5" a="1"/>
  <c r="F114" i="5" a="1"/>
  <c r="F204" i="5" a="1"/>
  <c r="F638" i="5" a="1"/>
  <c r="F357" i="5" a="1"/>
  <c r="F344" i="5" a="1"/>
  <c r="F53" i="5" a="1"/>
  <c r="F469" i="5" a="1"/>
  <c r="F687" i="5" a="1"/>
  <c r="F91" i="5" a="1"/>
  <c r="F55" i="5" a="1"/>
  <c r="F601" i="5" a="1"/>
  <c r="F208" i="5" a="1"/>
  <c r="F446" i="5" a="1"/>
  <c r="F544" i="5" a="1"/>
  <c r="F672" i="5" a="1"/>
  <c r="F495" i="5" a="1"/>
  <c r="F223" i="5" a="1"/>
  <c r="F740" i="5" a="1"/>
  <c r="F88" i="5" a="1"/>
  <c r="F99" i="5" a="1"/>
  <c r="F132" i="5" a="1"/>
  <c r="F263" i="5" a="1"/>
  <c r="F535" i="5" a="1"/>
  <c r="F584" i="5" a="1"/>
  <c r="F310" i="5" a="1"/>
  <c r="F522" i="5" a="1"/>
  <c r="F461" i="5" a="1"/>
  <c r="F139" i="5" a="1"/>
  <c r="F78" i="5" a="1"/>
  <c r="F523" i="5" a="1"/>
  <c r="F394" i="5" a="1"/>
  <c r="F218" i="5" a="1"/>
  <c r="F57" i="5" a="1"/>
  <c r="F105" i="5" a="1"/>
  <c r="F700" i="5" a="1"/>
  <c r="F374" i="5" a="1"/>
  <c r="F70" i="5" a="1"/>
  <c r="F497" i="5" a="1"/>
  <c r="F595" i="5" a="1"/>
  <c r="F378" i="5" a="1"/>
  <c r="F538" i="5" a="1"/>
  <c r="F698" i="5" a="1"/>
  <c r="F599" i="5" a="1"/>
  <c r="F251" i="5" a="1"/>
  <c r="F93" i="5" a="1"/>
  <c r="F381" i="5" a="1"/>
  <c r="F407" i="5" a="1"/>
  <c r="F704" i="5" a="1"/>
  <c r="F161" i="5" a="1"/>
  <c r="F449" i="5" a="1"/>
  <c r="F674" i="5" a="1"/>
  <c r="F579" i="5" a="1"/>
  <c r="F420" i="5" a="1"/>
  <c r="F388" i="5" a="1"/>
  <c r="F165" i="5" a="1"/>
  <c r="F293" i="5" a="1"/>
  <c r="F453" i="5" a="1"/>
  <c r="F79" i="5" a="1"/>
  <c r="F743" i="5" a="1"/>
  <c r="F136" i="5" a="1"/>
  <c r="F390" i="5" a="1"/>
  <c r="F649" i="5" a="1"/>
  <c r="F202" i="5" a="1"/>
  <c r="F107" i="5" a="1"/>
  <c r="F651" i="5" a="1"/>
  <c r="F748" i="5" a="1"/>
  <c r="F248" i="5" a="1"/>
  <c r="F238" i="5" a="1"/>
  <c r="F686" i="5" a="1"/>
  <c r="F414" i="5" a="1"/>
  <c r="F413" i="5" a="1"/>
  <c r="F37" i="5" a="1"/>
  <c r="F591" i="5" a="1"/>
  <c r="F720" i="5" a="1"/>
  <c r="F762" i="5" a="1"/>
  <c r="F152" i="5" a="1"/>
  <c r="F594" i="5" a="1"/>
  <c r="F415" i="5" a="1"/>
  <c r="F596" i="5" a="1"/>
  <c r="F752" i="5" a="1"/>
  <c r="F83" i="5" a="1"/>
  <c r="F243" i="5" a="1"/>
  <c r="F116" i="5" a="1"/>
  <c r="F181" i="5" a="1"/>
  <c r="F440" i="5" a="1"/>
  <c r="F26" i="5" a="1"/>
  <c r="F186" i="5" a="1"/>
  <c r="F411" i="5" a="1"/>
  <c r="F699" i="5" a="1"/>
  <c r="F156" i="5" a="1"/>
  <c r="F316" i="5" a="1"/>
  <c r="F476" i="5" a="1"/>
  <c r="F120" i="5" a="1"/>
  <c r="F609" i="5" a="1"/>
  <c r="F160" i="5" a="1"/>
  <c r="F451" i="5" a="1"/>
  <c r="F613" i="5" a="1"/>
  <c r="F632" i="5" a="1"/>
  <c r="F536" i="5" a="1"/>
  <c r="F646" i="5" a="1"/>
  <c r="F296" i="5" a="1"/>
  <c r="F456" i="5" a="1"/>
  <c r="F616" i="5" a="1"/>
  <c r="F744" i="5" a="1"/>
  <c r="F600" i="5" a="1"/>
  <c r="F518" i="5" a="1"/>
  <c r="F41" i="5" a="1"/>
  <c r="F184" i="5" a="1"/>
  <c r="F143" i="5" a="1"/>
  <c r="F22" i="5" a="1"/>
  <c r="F203" i="5" a="1"/>
  <c r="F108" i="5" a="1"/>
  <c r="F558" i="5" a="1"/>
  <c r="F658" i="5" a="1"/>
  <c r="F173" i="5" a="1"/>
  <c r="F145" i="5" a="1"/>
  <c r="F479" i="5" a="1"/>
  <c r="F614" i="5" a="1"/>
  <c r="F172" i="5" a="1"/>
  <c r="F426" i="5" a="1"/>
  <c r="F336" i="5" a="1"/>
  <c r="F635" i="5" a="1"/>
  <c r="F652" i="5" a="1"/>
  <c r="F751" i="5" a="1"/>
  <c r="F307" i="5" a="1"/>
  <c r="F276" i="5" a="1"/>
  <c r="F341" i="5" a="1"/>
  <c r="F629" i="5" a="1"/>
  <c r="F47" i="5" a="1"/>
  <c r="F541" i="5" a="1"/>
  <c r="F689" i="5" a="1"/>
  <c r="F702" i="5" a="1"/>
  <c r="F641" i="5" a="1"/>
  <c r="F542" i="5" a="1"/>
  <c r="F226" i="5" a="1"/>
  <c r="F222" i="5" a="1"/>
  <c r="F452" i="5" a="1"/>
  <c r="F82" i="5" a="1"/>
  <c r="F454" i="5" a="1"/>
  <c r="F230" i="5" a="1"/>
  <c r="F50" i="5" a="1"/>
  <c r="F201" i="5" a="1"/>
  <c r="F766" i="5" a="1"/>
  <c r="F74" i="5" a="1"/>
  <c r="F682" i="5" a="1"/>
  <c r="F427" i="5" a="1"/>
  <c r="F197" i="5" a="1"/>
  <c r="F688" i="5" a="1"/>
  <c r="F246" i="5" a="1"/>
  <c r="F533" i="5" a="1"/>
  <c r="F60" i="5" a="1"/>
  <c r="F338" i="5" a="1"/>
  <c r="F191" i="5" a="1"/>
  <c r="F389" i="5" a="1"/>
  <c r="F225" i="5" a="1"/>
  <c r="F679" i="5" a="1"/>
  <c r="F436" i="5" a="1"/>
  <c r="F369" i="5" a="1"/>
  <c r="F217" i="5" a="1"/>
  <c r="F697" i="5" a="1"/>
  <c r="F408" i="5" a="1"/>
  <c r="F701" i="5" a="1"/>
  <c r="F568" i="5" a="1"/>
  <c r="F416" i="5" a="1"/>
  <c r="F256" i="5" a="1"/>
  <c r="F23" i="5" a="1"/>
  <c r="F386" i="5" a="1"/>
  <c r="F514" i="5" a="1"/>
  <c r="F291" i="5" a="1"/>
  <c r="F559" i="5" a="1"/>
  <c r="F498" i="5" a="1"/>
  <c r="F504" i="5" a="1"/>
  <c r="F131" i="5" a="1"/>
  <c r="F325" i="5" a="1"/>
  <c r="F135" i="5" a="1"/>
  <c r="F434" i="5" a="1"/>
  <c r="F742" i="5" a="1"/>
  <c r="F361" i="5" a="1"/>
  <c r="F681" i="5" a="1"/>
  <c r="F271" i="5" a="1"/>
  <c r="F588" i="5" a="1"/>
  <c r="F333" i="5" a="1"/>
  <c r="F621" i="5" a="1"/>
  <c r="F398" i="5" a="1"/>
  <c r="F430" i="5" a="1"/>
  <c r="F34" i="5" a="1"/>
  <c r="F267" i="5" a="1"/>
  <c r="F484" i="5" a="1"/>
  <c r="F488" i="5" a="1"/>
  <c r="F142" i="5" a="1"/>
  <c r="F693" i="5" a="1"/>
  <c r="F605" i="5" a="1"/>
  <c r="F464" i="5" a="1"/>
  <c r="F705" i="5" a="1"/>
  <c r="F685" i="5" a="1"/>
  <c r="F531" i="5" a="1"/>
  <c r="F756" i="5" a="1"/>
  <c r="F435" i="5" a="1"/>
  <c r="F501" i="5" a="1"/>
  <c r="F570" i="5" a="1"/>
  <c r="F123" i="5" a="1"/>
  <c r="F571" i="5" a="1"/>
  <c r="F508" i="5" a="1"/>
  <c r="F636" i="5" a="1"/>
  <c r="F543" i="5" a="1"/>
  <c r="F321" i="5" a="1"/>
  <c r="F657" i="5" a="1"/>
  <c r="F323" i="5" a="1"/>
  <c r="F68" i="5" a="1"/>
  <c r="F33" i="5" a="1"/>
  <c r="F485" i="5" a="1"/>
  <c r="F295" i="5" a="1"/>
  <c r="F455" i="5" a="1"/>
  <c r="F615" i="5" a="1"/>
  <c r="F447" i="5" a="1"/>
  <c r="F233" i="5" a="1"/>
  <c r="F521" i="5" a="1"/>
  <c r="F234" i="5" a="1"/>
  <c r="F171" i="5" a="1"/>
  <c r="F493" i="5" a="1"/>
  <c r="F110" i="5" a="1"/>
  <c r="F715" i="5" a="1"/>
  <c r="F566" i="5" a="1"/>
  <c r="F63" i="5" a="1"/>
  <c r="F513" i="5" a="1"/>
  <c r="F607" i="5" a="1"/>
  <c r="F728" i="5" a="1"/>
  <c r="F586" i="5" a="1"/>
  <c r="F317" i="5" a="1"/>
  <c r="F115" i="5" a="1"/>
  <c r="F275" i="5" a="1"/>
  <c r="F627" i="5" a="1"/>
  <c r="F148" i="5" a="1"/>
  <c r="F410" i="5" a="1"/>
  <c r="F730" i="5" a="1"/>
  <c r="F146" i="5" a="1"/>
  <c r="F441" i="5" a="1"/>
  <c r="F283" i="5" a="1"/>
  <c r="F348" i="5" a="1"/>
  <c r="F668" i="5" a="1"/>
  <c r="F253" i="5" a="1"/>
  <c r="F576" i="5" a="1"/>
  <c r="F626" i="5" a="1"/>
  <c r="F481" i="5" a="1"/>
  <c r="F67" i="5" a="1"/>
  <c r="F611" i="5" a="1"/>
  <c r="F612" i="5" a="1"/>
  <c r="F463" i="5" a="1"/>
  <c r="F511" i="5" a="1"/>
  <c r="F168" i="5" a="1"/>
  <c r="F328" i="5" a="1"/>
  <c r="F73" i="5" a="1"/>
  <c r="F393" i="5" a="1"/>
  <c r="F270" i="5" a="1"/>
  <c r="F546" i="5" a="1"/>
  <c r="F734" i="5" a="1"/>
  <c r="F527" i="5" a="1"/>
  <c r="F695" i="5" a="1"/>
  <c r="F45" i="5" a="1"/>
  <c r="F718" i="5" a="1"/>
  <c r="F138" i="5" a="1"/>
  <c r="F380" i="5" a="1"/>
  <c r="F290" i="5" a="1"/>
  <c r="F339" i="5" a="1"/>
  <c r="F480" i="5" a="1"/>
  <c r="F528" i="5" a="1"/>
  <c r="F468" i="5" a="1"/>
  <c r="F177" i="5" a="1"/>
  <c r="F213" i="5" a="1"/>
  <c r="F58" i="5" a="1"/>
  <c r="F250" i="5" a="1"/>
  <c r="F443" i="5" a="1"/>
  <c r="F731" i="5" a="1"/>
  <c r="F663" i="5" a="1"/>
  <c r="F188" i="5" a="1"/>
  <c r="F562" i="5" a="1"/>
  <c r="F125" i="5" a="1"/>
  <c r="F260" i="5" a="1"/>
  <c r="F239" i="5" a="1"/>
  <c r="F268" i="5" a="1"/>
  <c r="F147" i="5" a="1"/>
  <c r="F643" i="5" a="1"/>
  <c r="F300" i="5" a="1"/>
  <c r="F130" i="5" a="1"/>
  <c r="F85" i="5" a="1"/>
  <c r="F763" i="5" a="1"/>
  <c r="F359" i="5" a="1"/>
  <c r="F237" i="5" a="1"/>
  <c r="F52" i="5" a="1"/>
  <c r="F768" i="5" a="1"/>
  <c r="F175" i="5" a="1"/>
  <c r="F308" i="5" a="1"/>
  <c r="F661" i="5" a="1"/>
  <c r="F240" i="5" a="1"/>
  <c r="F56" i="5" a="1"/>
  <c r="F537" i="5" a="1"/>
  <c r="F445" i="5" a="1"/>
  <c r="F573" i="5" a="1"/>
  <c r="F733" i="5" a="1"/>
  <c r="F185" i="5" a="1"/>
  <c r="F128" i="5" a="1"/>
  <c r="F736" i="5" a="1"/>
  <c r="F127" i="5" a="1"/>
  <c r="F432" i="5" a="1"/>
  <c r="F159" i="5" a="1"/>
  <c r="F258" i="5" a="1"/>
  <c r="F706" i="5" a="1"/>
  <c r="F343" i="5" a="1"/>
  <c r="F164" i="5" a="1"/>
  <c r="F645" i="5" a="1"/>
  <c r="F399" i="5" a="1"/>
  <c r="F466" i="5" a="1"/>
  <c r="F582" i="5" a="1"/>
  <c r="F54" i="5" a="1"/>
  <c r="F670" i="5" a="1"/>
  <c r="F80" i="5" a="1"/>
  <c r="F530" i="5" a="1"/>
  <c r="F553" i="5" a="1"/>
  <c r="F255" i="5" a="1"/>
  <c r="F554" i="5" a="1"/>
  <c r="F714" i="5" a="1"/>
  <c r="F345" i="5" a="1"/>
  <c r="F460" i="5" a="1"/>
  <c r="F620" i="5" a="1"/>
  <c r="F205" i="5" a="1"/>
  <c r="F472" i="5" a="1"/>
  <c r="F590" i="5" a="1"/>
  <c r="F628" i="5" a="1"/>
  <c r="F761" i="5" a="1"/>
  <c r="F648" i="5" a="1"/>
  <c r="F98" i="5" a="1"/>
  <c r="F77" i="5" a="1"/>
  <c r="F660" i="5" a="1"/>
  <c r="F346" i="5" a="1"/>
  <c r="F515" i="5" a="1"/>
  <c r="F198" i="5" a="1"/>
  <c r="F21" i="5" a="1"/>
  <c r="F662" i="5" a="1"/>
  <c r="F462" i="5" a="1"/>
  <c r="F624" i="5" a="1"/>
  <c r="F397" i="5" a="1"/>
  <c r="F467" i="5" a="1"/>
  <c r="F180" i="5" a="1"/>
  <c r="F602" i="5" a="1"/>
  <c r="F90" i="5" a="1"/>
  <c r="F155" i="5" a="1"/>
  <c r="F431" i="5" a="1"/>
  <c r="F306" i="5" a="1"/>
  <c r="F182" i="5" a="1"/>
  <c r="F353" i="5" a="1"/>
  <c r="F673" i="5" a="1"/>
  <c r="F483" i="5" a="1"/>
  <c r="F327" i="5" a="1"/>
  <c r="F487" i="5" a="1"/>
  <c r="F534" i="5" a="1"/>
  <c r="F254" i="5" a="1"/>
  <c r="F265" i="5" a="1"/>
  <c r="F713" i="5" a="1"/>
  <c r="F209" i="5" a="1"/>
  <c r="F106" i="5" a="1"/>
  <c r="F235" i="5" a="1"/>
  <c r="F491" i="5" a="1"/>
  <c r="F492" i="5" a="1"/>
  <c r="F525" i="5" a="1"/>
  <c r="F337" i="5" a="1"/>
  <c r="F236" i="5" a="1"/>
  <c r="F86" i="5" a="1"/>
  <c r="F575" i="5" a="1"/>
  <c r="F499" i="5" a="1"/>
  <c r="F305" i="5" a="1"/>
  <c r="F659" i="5" a="1"/>
  <c r="F373" i="5" a="1"/>
  <c r="F442" i="5" a="1"/>
  <c r="F315" i="5" a="1"/>
  <c r="F603" i="5" a="1"/>
  <c r="F220" i="5" a="1"/>
  <c r="F118" i="5" a="1"/>
  <c r="F249" i="5" a="1"/>
  <c r="F285" i="5" a="1"/>
  <c r="F608" i="5" a="1"/>
  <c r="F65" i="5" a="1"/>
  <c r="F696" i="5" a="1"/>
  <c r="F738" i="5" a="1"/>
  <c r="F163" i="5" a="1"/>
  <c r="F195" i="5" a="1"/>
  <c r="F69" i="5" a="1"/>
  <c r="F517" i="5" a="1"/>
  <c r="F677" i="5" a="1"/>
  <c r="F153" i="5" a="1"/>
  <c r="F647" i="5" a="1"/>
  <c r="F95" i="5" a="1"/>
  <c r="F326" i="5" a="1"/>
  <c r="F40" i="5" a="1"/>
  <c r="F360" i="5" a="1"/>
  <c r="F585" i="5" a="1"/>
  <c r="F555" i="5" a="1"/>
  <c r="F30" i="5" a="1"/>
  <c r="F176" i="5" a="1"/>
  <c r="F691" i="5" a="1"/>
  <c r="F340" i="5" a="1"/>
  <c r="F721" i="5" a="1"/>
  <c r="F633" i="5" a="1"/>
  <c r="F475" i="5" a="1"/>
  <c r="F765" i="5" a="1"/>
  <c r="F470" i="5" a="1"/>
  <c r="F288" i="5" a="1"/>
  <c r="F400" i="5" a="1"/>
  <c r="F24" i="5" a="1"/>
  <c r="AC770" i="5" a="1"/>
  <c r="T770" i="5" a="1"/>
  <c r="AF753" i="5" a="1"/>
  <c r="W753" i="5" a="1"/>
  <c r="AF770" i="5" a="1"/>
  <c r="W770" i="5" a="1"/>
  <c r="AE753" i="5" a="1"/>
  <c r="V753" i="5" a="1"/>
  <c r="AF725" i="5" a="1"/>
  <c r="W725" i="5" a="1"/>
  <c r="AE758" i="5" a="1"/>
  <c r="V758" i="5" a="1"/>
  <c r="AF732" i="5" a="1"/>
  <c r="W732" i="5" a="1"/>
  <c r="AE496" i="5" a="1"/>
  <c r="V496" i="5" a="1"/>
  <c r="AF726" i="5" a="1"/>
  <c r="W726" i="5" a="1"/>
  <c r="AF745" i="5" a="1"/>
  <c r="W745" i="5" a="1"/>
  <c r="AF722" i="5" a="1"/>
  <c r="W722" i="5" a="1"/>
  <c r="AF109" i="5" a="1"/>
  <c r="W109" i="5" a="1"/>
  <c r="AC622" i="5" a="1"/>
  <c r="T622" i="5" a="1"/>
  <c r="AF754" i="5" a="1"/>
  <c r="W754" i="5" a="1"/>
  <c r="AE764" i="5" a="1"/>
  <c r="V764" i="5" a="1"/>
  <c r="AC767" i="5" a="1"/>
  <c r="T767" i="5" a="1"/>
  <c r="AE607" i="5" a="1"/>
  <c r="V607" i="5" a="1"/>
  <c r="AD770" i="5" a="1"/>
  <c r="U770" i="5" a="1"/>
  <c r="AF758" i="5" a="1"/>
  <c r="W758" i="5" a="1"/>
  <c r="AE216" i="5" a="1"/>
  <c r="V216" i="5" a="1"/>
  <c r="AC151" i="5" a="1"/>
  <c r="T151" i="5" a="1"/>
  <c r="AF735" i="5" a="1"/>
  <c r="W735" i="5" a="1"/>
  <c r="AC231" i="5" a="1"/>
  <c r="T231" i="5" a="1"/>
  <c r="AF312" i="5" a="1"/>
  <c r="W312" i="5" a="1"/>
  <c r="AF719" i="5" a="1"/>
  <c r="W719" i="5" a="1"/>
  <c r="AE684" i="5" a="1"/>
  <c r="V684" i="5" a="1"/>
  <c r="AD617" i="5" a="1"/>
  <c r="U617" i="5" a="1"/>
  <c r="AE352" i="5" a="1"/>
  <c r="V352" i="5" a="1"/>
  <c r="AF723" i="5" a="1"/>
  <c r="W723" i="5" a="1"/>
  <c r="AF729" i="5" a="1"/>
  <c r="W729" i="5" a="1"/>
  <c r="AF737" i="5" a="1"/>
  <c r="W737" i="5" a="1"/>
  <c r="AE754" i="5" a="1"/>
  <c r="V754" i="5" a="1"/>
  <c r="AF727" i="5" a="1"/>
  <c r="W727" i="5" a="1"/>
  <c r="AF140" i="5" a="1"/>
  <c r="W140" i="5" a="1"/>
  <c r="AF757" i="5" a="1"/>
  <c r="W757" i="5" a="1"/>
  <c r="AF749" i="5" a="1"/>
  <c r="W749" i="5" a="1"/>
  <c r="AE770" i="5" a="1"/>
  <c r="V770" i="5" a="1"/>
  <c r="AF755" i="5" a="1"/>
  <c r="W755" i="5" a="1"/>
  <c r="AD506" i="5" a="1"/>
  <c r="U506" i="5" a="1"/>
  <c r="AD189" i="5" a="1"/>
  <c r="U189" i="5" a="1"/>
  <c r="AE767" i="5" a="1"/>
  <c r="V767" i="5" a="1"/>
  <c r="AF712" i="5" a="1"/>
  <c r="W712" i="5" a="1"/>
  <c r="AE759" i="5" a="1"/>
  <c r="V759" i="5" a="1"/>
  <c r="AF741" i="5" a="1"/>
  <c r="W741" i="5" a="1"/>
  <c r="AD362" i="5" a="1"/>
  <c r="U362" i="5" a="1"/>
  <c r="AF771" i="5" a="1"/>
  <c r="W771" i="5" a="1"/>
  <c r="AE149" i="5" a="1"/>
  <c r="V149" i="5" a="1"/>
  <c r="AE757" i="5" a="1"/>
  <c r="V757" i="5" a="1"/>
  <c r="AF767" i="5" a="1"/>
  <c r="W767" i="5" a="1"/>
  <c r="AE103" i="5" a="1"/>
  <c r="V103" i="5" a="1"/>
  <c r="AF759" i="5" a="1"/>
  <c r="W759" i="5" a="1"/>
  <c r="AC771" i="5" a="1"/>
  <c r="T771" i="5" a="1"/>
  <c r="AC367" i="5" a="1"/>
  <c r="T367" i="5" a="1"/>
  <c r="AD771" i="5" a="1"/>
  <c r="U771" i="5" a="1"/>
  <c r="AE752" i="5" a="1"/>
  <c r="V752" i="5" a="1"/>
  <c r="AE280" i="5" a="1"/>
  <c r="V280" i="5" a="1"/>
  <c r="AD767" i="5" a="1"/>
  <c r="U767" i="5" a="1"/>
  <c r="AF739" i="5" a="1"/>
  <c r="W739" i="5" a="1"/>
  <c r="AE755" i="5" a="1"/>
  <c r="V755" i="5" a="1"/>
  <c r="AF724" i="5" a="1"/>
  <c r="W724" i="5" a="1"/>
  <c r="AF752" i="5" a="1"/>
  <c r="W752" i="5" a="1"/>
  <c r="AF740" i="5" a="1"/>
  <c r="W740" i="5" a="1"/>
  <c r="AF716" i="5" a="1"/>
  <c r="W716" i="5" a="1"/>
  <c r="AE771" i="5" a="1"/>
  <c r="V771" i="5" a="1"/>
  <c r="AD764" i="5" a="1"/>
  <c r="U764" i="5" a="1"/>
  <c r="AC178" i="5" a="1"/>
  <c r="T178" i="5" a="1"/>
  <c r="AE760" i="5" a="1"/>
  <c r="V760" i="5" a="1"/>
  <c r="AD694" i="5" a="1"/>
  <c r="U694" i="5" a="1"/>
  <c r="AF744" i="5" a="1"/>
  <c r="W744" i="5" a="1"/>
  <c r="AF764" i="5" a="1"/>
  <c r="W764" i="5" a="1"/>
  <c r="AF96" i="5" a="1"/>
  <c r="W96" i="5" a="1"/>
  <c r="AF760" i="5" a="1"/>
  <c r="W760" i="5" a="1"/>
  <c r="AC320" i="5" a="1"/>
  <c r="T320" i="5" a="1"/>
  <c r="AF456" i="5" a="1"/>
  <c r="W456" i="5" a="1"/>
  <c r="AD766" i="5" a="1"/>
  <c r="U766" i="5" a="1"/>
  <c r="AD178" i="5" a="1"/>
  <c r="U178" i="5" a="1"/>
  <c r="AC194" i="5" a="1"/>
  <c r="T194" i="5" a="1"/>
  <c r="AE766" i="5" a="1"/>
  <c r="V766" i="5" a="1"/>
  <c r="AE658" i="5" a="1"/>
  <c r="V658" i="5" a="1"/>
  <c r="AF748" i="5" a="1"/>
  <c r="W748" i="5" a="1"/>
  <c r="AF742" i="5" a="1"/>
  <c r="W742" i="5" a="1"/>
  <c r="AE136" i="5" a="1"/>
  <c r="V136" i="5" a="1"/>
  <c r="AC118" i="5" a="1"/>
  <c r="T118" i="5" a="1"/>
  <c r="AE756" i="5" a="1"/>
  <c r="V756" i="5" a="1"/>
  <c r="AC699" i="5" a="1"/>
  <c r="T699" i="5" a="1"/>
  <c r="AC295" i="5" a="1"/>
  <c r="T295" i="5" a="1"/>
  <c r="AF743" i="5" a="1"/>
  <c r="W743" i="5" a="1"/>
  <c r="AF756" i="5" a="1"/>
  <c r="W756" i="5" a="1"/>
  <c r="AD226" i="5" a="1"/>
  <c r="U226" i="5" a="1"/>
  <c r="AF766" i="5" a="1"/>
  <c r="W766" i="5" a="1"/>
  <c r="AD173" i="5" a="1"/>
  <c r="U173" i="5" a="1"/>
  <c r="AF718" i="5" a="1"/>
  <c r="W718" i="5" a="1"/>
  <c r="AF761" i="5" a="1"/>
  <c r="W761" i="5" a="1"/>
  <c r="AC768" i="5" a="1"/>
  <c r="T768" i="5" a="1"/>
  <c r="AF730" i="5" a="1"/>
  <c r="W730" i="5" a="1"/>
  <c r="AE168" i="5" a="1"/>
  <c r="V168" i="5" a="1"/>
  <c r="AF63" i="5" a="1"/>
  <c r="W63" i="5" a="1"/>
  <c r="AF715" i="5" a="1"/>
  <c r="W715" i="5" a="1"/>
  <c r="AF717" i="5" a="1"/>
  <c r="W717" i="5" a="1"/>
  <c r="AE768" i="5" a="1"/>
  <c r="V768" i="5" a="1"/>
  <c r="AF751" i="5" a="1"/>
  <c r="W751" i="5" a="1"/>
  <c r="AF177" i="5" a="1"/>
  <c r="W177" i="5" a="1"/>
  <c r="AF731" i="5" a="1"/>
  <c r="W731" i="5" a="1"/>
  <c r="AE761" i="5" a="1"/>
  <c r="V761" i="5" a="1"/>
  <c r="AC164" i="5" a="1"/>
  <c r="T164" i="5" a="1"/>
  <c r="AF747" i="5" a="1"/>
  <c r="W747" i="5" a="1"/>
  <c r="AF768" i="5" a="1"/>
  <c r="W768" i="5" a="1"/>
  <c r="AC751" i="5" a="1"/>
  <c r="T751" i="5" a="1"/>
  <c r="AF240" i="5" a="1"/>
  <c r="W240" i="5" a="1"/>
  <c r="AF123" i="5" a="1"/>
  <c r="W123" i="5" a="1"/>
  <c r="AD668" i="5" a="1"/>
  <c r="U668" i="5" a="1"/>
  <c r="AF736" i="5" a="1"/>
  <c r="W736" i="5" a="1"/>
  <c r="AD159" i="5" a="1"/>
  <c r="U159" i="5" a="1"/>
  <c r="AC511" i="5" a="1"/>
  <c r="T511" i="5" a="1"/>
  <c r="AF714" i="5" a="1"/>
  <c r="W714" i="5" a="1"/>
  <c r="AF720" i="5" a="1"/>
  <c r="W720" i="5" a="1"/>
  <c r="AD146" i="5" a="1"/>
  <c r="U146" i="5" a="1"/>
  <c r="AD768" i="5" a="1"/>
  <c r="U768" i="5" a="1"/>
  <c r="AE762" i="5" a="1"/>
  <c r="V762" i="5" a="1"/>
  <c r="AF733" i="5" a="1"/>
  <c r="W733" i="5" a="1"/>
  <c r="AF734" i="5" a="1"/>
  <c r="W734" i="5" a="1"/>
  <c r="AE769" i="5" a="1"/>
  <c r="V769" i="5" a="1"/>
  <c r="AF762" i="5" a="1"/>
  <c r="W762" i="5" a="1"/>
  <c r="AD763" i="5" a="1"/>
  <c r="U763" i="5" a="1"/>
  <c r="AD765" i="5" a="1"/>
  <c r="U765" i="5" a="1"/>
  <c r="AE736" i="5" a="1"/>
  <c r="V736" i="5" a="1"/>
  <c r="AC769" i="5" a="1"/>
  <c r="T769" i="5" a="1"/>
  <c r="AE763" i="5" a="1"/>
  <c r="V763" i="5" a="1"/>
  <c r="AE765" i="5" a="1"/>
  <c r="V765" i="5" a="1"/>
  <c r="AC673" i="5" a="1"/>
  <c r="T673" i="5" a="1"/>
  <c r="AF713" i="5" a="1"/>
  <c r="W713" i="5" a="1"/>
  <c r="AD746" i="5" a="1"/>
  <c r="U746" i="5" a="1"/>
  <c r="AF750" i="5" a="1"/>
  <c r="W750" i="5" a="1"/>
  <c r="AF567" i="5" a="1"/>
  <c r="W567" i="5" a="1"/>
  <c r="AF618" i="5" a="1"/>
  <c r="W618" i="5" a="1"/>
  <c r="AF769" i="5" a="1"/>
  <c r="W769" i="5" a="1"/>
  <c r="AE305" i="5" a="1"/>
  <c r="V305" i="5" a="1"/>
  <c r="AE180" i="5" a="1"/>
  <c r="V180" i="5" a="1"/>
  <c r="AD762" i="5" a="1"/>
  <c r="U762" i="5" a="1"/>
  <c r="AF763" i="5" a="1"/>
  <c r="W763" i="5" a="1"/>
  <c r="AF128" i="5" a="1"/>
  <c r="W128" i="5" a="1"/>
  <c r="AF728" i="5" a="1"/>
  <c r="W728" i="5" a="1"/>
  <c r="AF644" i="5" a="1"/>
  <c r="W644" i="5" a="1"/>
  <c r="AD769" i="5" a="1"/>
  <c r="U769" i="5" a="1"/>
  <c r="AD315" i="5" a="1"/>
  <c r="U315" i="5" a="1"/>
  <c r="AE163" i="5" a="1"/>
  <c r="V163" i="5" a="1"/>
  <c r="AF265" i="5" a="1"/>
  <c r="W265" i="5" a="1"/>
  <c r="AF746" i="5" a="1"/>
  <c r="W746" i="5" a="1"/>
  <c r="AD113" i="5" a="1"/>
  <c r="U113" i="5" a="1"/>
  <c r="AF721" i="5" a="1"/>
  <c r="W721" i="5" a="1"/>
  <c r="AF765" i="5" a="1"/>
  <c r="W765" i="5" a="1"/>
  <c r="AF696" i="5" a="1"/>
  <c r="W696" i="5" a="1"/>
  <c r="AD290" i="5" a="1"/>
  <c r="U290" i="5" a="1"/>
  <c r="AF738" i="5" a="1"/>
  <c r="W738" i="5" a="1"/>
  <c r="AD242" i="5" a="1"/>
  <c r="U242" i="5" a="1"/>
  <c r="AC371" i="5" a="1"/>
  <c r="T371" i="5" a="1"/>
  <c r="AD376" i="5" a="1"/>
  <c r="U376" i="5" a="1"/>
  <c r="AF216" i="5" a="1"/>
  <c r="W216" i="5" a="1"/>
  <c r="AF409" i="5" a="1"/>
  <c r="W409" i="5" a="1"/>
  <c r="AF29" i="5" a="1"/>
  <c r="W29" i="5" a="1"/>
  <c r="AF655" i="5" a="1"/>
  <c r="W655" i="5" a="1"/>
  <c r="AF662" i="5" a="1"/>
  <c r="W662" i="5" a="1"/>
  <c r="AE640" i="5" a="1"/>
  <c r="V640" i="5" a="1"/>
  <c r="AD438" i="5" a="1"/>
  <c r="U438" i="5" a="1"/>
  <c r="AD351" i="5" a="1"/>
  <c r="U351" i="5" a="1"/>
  <c r="AD705" i="5" a="1"/>
  <c r="U705" i="5" a="1"/>
  <c r="AD25" i="5" a="1"/>
  <c r="U25" i="5" a="1"/>
  <c r="AD158" i="5" a="1"/>
  <c r="U158" i="5" a="1"/>
  <c r="AC98" i="5" a="1"/>
  <c r="T98" i="5" a="1"/>
  <c r="AE228" i="5" a="1"/>
  <c r="V228" i="5" a="1"/>
  <c r="AD231" i="5" a="1"/>
  <c r="U231" i="5" a="1"/>
  <c r="AC679" i="5" a="1"/>
  <c r="T679" i="5" a="1"/>
  <c r="AF49" i="5" a="1"/>
  <c r="W49" i="5" a="1"/>
  <c r="AE520" i="5" a="1"/>
  <c r="V520" i="5" a="1"/>
  <c r="AE138" i="5" a="1"/>
  <c r="V138" i="5" a="1"/>
  <c r="AE299" i="5" a="1"/>
  <c r="V299" i="5" a="1"/>
  <c r="AE77" i="5" a="1"/>
  <c r="V77" i="5" a="1"/>
  <c r="AE237" i="5" a="1"/>
  <c r="V237" i="5" a="1"/>
  <c r="AD112" i="5" a="1"/>
  <c r="U112" i="5" a="1"/>
  <c r="AD462" i="5" a="1"/>
  <c r="U462" i="5" a="1"/>
  <c r="AF372" i="5" a="1"/>
  <c r="W372" i="5" a="1"/>
  <c r="AD27" i="5" a="1"/>
  <c r="U27" i="5" a="1"/>
  <c r="AD572" i="5" a="1"/>
  <c r="U572" i="5" a="1"/>
  <c r="AE317" i="5" a="1"/>
  <c r="V317" i="5" a="1"/>
  <c r="AF30" i="5" a="1"/>
  <c r="W30" i="5" a="1"/>
  <c r="AE480" i="5" a="1"/>
  <c r="V480" i="5" a="1"/>
  <c r="AF351" i="5" a="1"/>
  <c r="W351" i="5" a="1"/>
  <c r="AD97" i="5" a="1"/>
  <c r="U97" i="5" a="1"/>
  <c r="AE257" i="5" a="1"/>
  <c r="V257" i="5" a="1"/>
  <c r="AC417" i="5" a="1"/>
  <c r="T417" i="5" a="1"/>
  <c r="AC705" i="5" a="1"/>
  <c r="T705" i="5" a="1"/>
  <c r="AC130" i="5" a="1"/>
  <c r="T130" i="5" a="1"/>
  <c r="AE450" i="5" a="1"/>
  <c r="V450" i="5" a="1"/>
  <c r="AC387" i="5" a="1"/>
  <c r="T387" i="5" a="1"/>
  <c r="AC356" i="5" a="1"/>
  <c r="T356" i="5" a="1"/>
  <c r="AF98" i="5" a="1"/>
  <c r="W98" i="5" a="1"/>
  <c r="AF389" i="5" a="1"/>
  <c r="W389" i="5" a="1"/>
  <c r="AC87" i="5" a="1"/>
  <c r="T87" i="5" a="1"/>
  <c r="AC49" i="5" a="1"/>
  <c r="T49" i="5" a="1"/>
  <c r="AE72" i="5" a="1"/>
  <c r="V72" i="5" a="1"/>
  <c r="AE232" i="5" a="1"/>
  <c r="V232" i="5" a="1"/>
  <c r="AF552" i="5" a="1"/>
  <c r="W552" i="5" a="1"/>
  <c r="AF624" i="5" a="1"/>
  <c r="W624" i="5" a="1"/>
  <c r="AF119" i="5" a="1"/>
  <c r="W119" i="5" a="1"/>
  <c r="AD510" i="5" a="1"/>
  <c r="U510" i="5" a="1"/>
  <c r="AD458" i="5" a="1"/>
  <c r="U458" i="5" a="1"/>
  <c r="AC274" i="5" a="1"/>
  <c r="T274" i="5" a="1"/>
  <c r="AD532" i="5" a="1"/>
  <c r="U532" i="5" a="1"/>
  <c r="AC457" i="5" a="1"/>
  <c r="T457" i="5" a="1"/>
  <c r="AC723" i="5" a="1"/>
  <c r="T723" i="5" a="1"/>
  <c r="AD692" i="5" a="1"/>
  <c r="U692" i="5" a="1"/>
  <c r="AC272" i="5" a="1"/>
  <c r="T272" i="5" a="1"/>
  <c r="AC84" i="5" a="1"/>
  <c r="T84" i="5" a="1"/>
  <c r="AE372" i="5" a="1"/>
  <c r="V372" i="5" a="1"/>
  <c r="AC117" i="5" a="1"/>
  <c r="T117" i="5" a="1"/>
  <c r="AF277" i="5" a="1"/>
  <c r="W277" i="5" a="1"/>
  <c r="AF314" i="5" a="1"/>
  <c r="W314" i="5" a="1"/>
  <c r="AD122" i="5" a="1"/>
  <c r="U122" i="5" a="1"/>
  <c r="AD412" i="5" a="1"/>
  <c r="U412" i="5" a="1"/>
  <c r="AC655" i="5" a="1"/>
  <c r="T655" i="5" a="1"/>
  <c r="AF288" i="5" a="1"/>
  <c r="W288" i="5" a="1"/>
  <c r="AF480" i="5" a="1"/>
  <c r="W480" i="5" a="1"/>
  <c r="AC577" i="5" a="1"/>
  <c r="T577" i="5" a="1"/>
  <c r="AE402" i="5" a="1"/>
  <c r="V402" i="5" a="1"/>
  <c r="AF290" i="5" a="1"/>
  <c r="W290" i="5" a="1"/>
  <c r="AD387" i="5" a="1"/>
  <c r="U387" i="5" a="1"/>
  <c r="AF529" i="5" a="1"/>
  <c r="W529" i="5" a="1"/>
  <c r="AF228" i="5" a="1"/>
  <c r="W228" i="5" a="1"/>
  <c r="AE549" i="5" a="1"/>
  <c r="V549" i="5" a="1"/>
  <c r="AD87" i="5" a="1"/>
  <c r="U87" i="5" a="1"/>
  <c r="AF71" i="5" a="1"/>
  <c r="W71" i="5" a="1"/>
  <c r="AE391" i="5" a="1"/>
  <c r="V391" i="5" a="1"/>
  <c r="AE679" i="5" a="1"/>
  <c r="V679" i="5" a="1"/>
  <c r="AD49" i="5" a="1"/>
  <c r="U49" i="5" a="1"/>
  <c r="AC297" i="5" a="1"/>
  <c r="T297" i="5" a="1"/>
  <c r="AD170" i="5" a="1"/>
  <c r="U170" i="5" a="1"/>
  <c r="AC727" i="5" a="1"/>
  <c r="T727" i="5" a="1"/>
  <c r="AC126" i="5" a="1"/>
  <c r="T126" i="5" a="1"/>
  <c r="AC332" i="5" a="1"/>
  <c r="T332" i="5" a="1"/>
  <c r="AD524" i="5" a="1"/>
  <c r="U524" i="5" a="1"/>
  <c r="AC717" i="5" a="1"/>
  <c r="T717" i="5" a="1"/>
  <c r="AD654" i="5" a="1"/>
  <c r="U654" i="5" a="1"/>
  <c r="AC535" i="5" a="1"/>
  <c r="T535" i="5" a="1"/>
  <c r="AC710" i="5" a="1"/>
  <c r="T710" i="5" a="1"/>
  <c r="AE329" i="5" a="1"/>
  <c r="V329" i="5" a="1"/>
  <c r="AF330" i="5" a="1"/>
  <c r="W330" i="5" a="1"/>
  <c r="AE202" i="5" a="1"/>
  <c r="V202" i="5" a="1"/>
  <c r="AF206" i="5" a="1"/>
  <c r="W206" i="5" a="1"/>
  <c r="AC103" i="5" a="1"/>
  <c r="T103" i="5" a="1"/>
  <c r="AF102" i="5" a="1"/>
  <c r="W102" i="5" a="1"/>
  <c r="AE41" i="5" a="1"/>
  <c r="V41" i="5" a="1"/>
  <c r="AC563" i="5" a="1"/>
  <c r="T563" i="5" a="1"/>
  <c r="AD725" i="5" a="1"/>
  <c r="U725" i="5" a="1"/>
  <c r="AC314" i="5" a="1"/>
  <c r="T314" i="5" a="1"/>
  <c r="AF506" i="5" a="1"/>
  <c r="W506" i="5" a="1"/>
  <c r="AE89" i="5" a="1"/>
  <c r="V89" i="5" a="1"/>
  <c r="AE154" i="5" a="1"/>
  <c r="V154" i="5" a="1"/>
  <c r="AD507" i="5" a="1"/>
  <c r="U507" i="5" a="1"/>
  <c r="AE111" i="5" a="1"/>
  <c r="V111" i="5" a="1"/>
  <c r="AE569" i="5" a="1"/>
  <c r="V569" i="5" a="1"/>
  <c r="AF412" i="5" a="1"/>
  <c r="W412" i="5" a="1"/>
  <c r="AF402" i="5" a="1"/>
  <c r="W402" i="5" a="1"/>
  <c r="AF25" i="5" a="1"/>
  <c r="W25" i="5" a="1"/>
  <c r="AE370" i="5" a="1"/>
  <c r="V370" i="5" a="1"/>
  <c r="AD356" i="5" a="1"/>
  <c r="U356" i="5" a="1"/>
  <c r="AC261" i="5" a="1"/>
  <c r="T261" i="5" a="1"/>
  <c r="AD382" i="5" a="1"/>
  <c r="U382" i="5" a="1"/>
  <c r="AC391" i="5" a="1"/>
  <c r="T391" i="5" a="1"/>
  <c r="AE383" i="5" a="1"/>
  <c r="V383" i="5" a="1"/>
  <c r="AC392" i="5" a="1"/>
  <c r="T392" i="5" a="1"/>
  <c r="AD712" i="5" a="1"/>
  <c r="U712" i="5" a="1"/>
  <c r="AD169" i="5" a="1"/>
  <c r="U169" i="5" a="1"/>
  <c r="AF241" i="5" a="1"/>
  <c r="W241" i="5" a="1"/>
  <c r="AF684" i="5" a="1"/>
  <c r="W684" i="5" a="1"/>
  <c r="AE281" i="5" a="1"/>
  <c r="V281" i="5" a="1"/>
  <c r="AE43" i="5" a="1"/>
  <c r="V43" i="5" a="1"/>
  <c r="AC174" i="5" a="1"/>
  <c r="T174" i="5" a="1"/>
  <c r="AE671" i="5" a="1"/>
  <c r="V671" i="5" a="1"/>
  <c r="AE503" i="5" a="1"/>
  <c r="V503" i="5" a="1"/>
  <c r="AD364" i="5" a="1"/>
  <c r="U364" i="5" a="1"/>
  <c r="AD556" i="5" a="1"/>
  <c r="U556" i="5" a="1"/>
  <c r="AF169" i="5" a="1"/>
  <c r="W169" i="5" a="1"/>
  <c r="AF150" i="5" a="1"/>
  <c r="W150" i="5" a="1"/>
  <c r="AE210" i="5" a="1"/>
  <c r="V210" i="5" a="1"/>
  <c r="AE100" i="5" a="1"/>
  <c r="V100" i="5" a="1"/>
  <c r="AC104" i="5" a="1"/>
  <c r="T104" i="5" a="1"/>
  <c r="AD41" i="5" a="1"/>
  <c r="U41" i="5" a="1"/>
  <c r="AD651" i="5" a="1"/>
  <c r="U651" i="5" a="1"/>
  <c r="AE390" i="5" a="1"/>
  <c r="V390" i="5" a="1"/>
  <c r="AF114" i="5" a="1"/>
  <c r="W114" i="5" a="1"/>
  <c r="AC656" i="5" a="1"/>
  <c r="T656" i="5" a="1"/>
  <c r="AD459" i="5" a="1"/>
  <c r="U459" i="5" a="1"/>
  <c r="AD51" i="5" a="1"/>
  <c r="U51" i="5" a="1"/>
  <c r="AD244" i="5" a="1"/>
  <c r="U244" i="5" a="1"/>
  <c r="AF284" i="5" a="1"/>
  <c r="W284" i="5" a="1"/>
  <c r="AE444" i="5" a="1"/>
  <c r="V444" i="5" a="1"/>
  <c r="AF631" i="5" a="1"/>
  <c r="W631" i="5" a="1"/>
  <c r="AF505" i="5" a="1"/>
  <c r="W505" i="5" a="1"/>
  <c r="AD655" i="5" a="1"/>
  <c r="U655" i="5" a="1"/>
  <c r="AC560" i="5" a="1"/>
  <c r="T560" i="5" a="1"/>
  <c r="AC129" i="5" a="1"/>
  <c r="T129" i="5" a="1"/>
  <c r="AF577" i="5" a="1"/>
  <c r="W577" i="5" a="1"/>
  <c r="AF259" i="5" a="1"/>
  <c r="W259" i="5" a="1"/>
  <c r="AE356" i="5" a="1"/>
  <c r="V356" i="5" a="1"/>
  <c r="AE548" i="5" a="1"/>
  <c r="V548" i="5" a="1"/>
  <c r="AD292" i="5" a="1"/>
  <c r="U292" i="5" a="1"/>
  <c r="AF457" i="5" a="1"/>
  <c r="W457" i="5" a="1"/>
  <c r="AE617" i="5" a="1"/>
  <c r="V617" i="5" a="1"/>
  <c r="AF75" i="5" a="1"/>
  <c r="W75" i="5" a="1"/>
  <c r="AD269" i="5" a="1"/>
  <c r="U269" i="5" a="1"/>
  <c r="AF350" i="5" a="1"/>
  <c r="W350" i="5" a="1"/>
  <c r="AF43" i="5" a="1"/>
  <c r="W43" i="5" a="1"/>
  <c r="AD44" i="5" a="1"/>
  <c r="U44" i="5" a="1"/>
  <c r="AC206" i="5" a="1"/>
  <c r="T206" i="5" a="1"/>
  <c r="AC61" i="5" a="1"/>
  <c r="T61" i="5" a="1"/>
  <c r="AE189" i="5" a="1"/>
  <c r="V189" i="5" a="1"/>
  <c r="AF639" i="5" a="1"/>
  <c r="W639" i="5" a="1"/>
  <c r="AD482" i="5" a="1"/>
  <c r="U482" i="5" a="1"/>
  <c r="AE708" i="5" a="1"/>
  <c r="V708" i="5" a="1"/>
  <c r="AE88" i="5" a="1"/>
  <c r="V88" i="5" a="1"/>
  <c r="AE741" i="5" a="1"/>
  <c r="V741" i="5" a="1"/>
  <c r="AE31" i="5" a="1"/>
  <c r="V31" i="5" a="1"/>
  <c r="AE207" i="5" a="1"/>
  <c r="V207" i="5" a="1"/>
  <c r="AE330" i="5" a="1"/>
  <c r="V330" i="5" a="1"/>
  <c r="AD490" i="5" a="1"/>
  <c r="U490" i="5" a="1"/>
  <c r="AE46" i="5" a="1"/>
  <c r="V46" i="5" a="1"/>
  <c r="AE366" i="5" a="1"/>
  <c r="V366" i="5" a="1"/>
  <c r="AC561" i="5" a="1"/>
  <c r="T561" i="5" a="1"/>
  <c r="AE712" i="5" a="1"/>
  <c r="V712" i="5" a="1"/>
  <c r="AF141" i="5" a="1"/>
  <c r="W141" i="5" a="1"/>
  <c r="AC46" i="5" a="1"/>
  <c r="T46" i="5" a="1"/>
  <c r="AE264" i="5" a="1"/>
  <c r="V264" i="5" a="1"/>
  <c r="AD650" i="5" a="1"/>
  <c r="U650" i="5" a="1"/>
  <c r="AF301" i="5" a="1"/>
  <c r="W301" i="5" a="1"/>
  <c r="AD46" i="5" a="1"/>
  <c r="U46" i="5" a="1"/>
  <c r="AD439" i="5" a="1"/>
  <c r="U439" i="5" a="1"/>
  <c r="AD201" i="5" a="1"/>
  <c r="U201" i="5" a="1"/>
  <c r="AF522" i="5" a="1"/>
  <c r="W522" i="5" a="1"/>
  <c r="AF144" i="5" a="1"/>
  <c r="W144" i="5" a="1"/>
  <c r="AC204" i="5" a="1"/>
  <c r="T204" i="5" a="1"/>
  <c r="AF458" i="5" a="1"/>
  <c r="W458" i="5" a="1"/>
  <c r="AC564" i="5" a="1"/>
  <c r="T564" i="5" a="1"/>
  <c r="AC406" i="5" a="1"/>
  <c r="T406" i="5" a="1"/>
  <c r="AF604" i="5" a="1"/>
  <c r="W604" i="5" a="1"/>
  <c r="AD401" i="5" a="1"/>
  <c r="U401" i="5" a="1"/>
  <c r="AE87" i="5" a="1"/>
  <c r="V87" i="5" a="1"/>
  <c r="AF650" i="5" a="1"/>
  <c r="W650" i="5" a="1"/>
  <c r="AC368" i="5" a="1"/>
  <c r="T368" i="5" a="1"/>
  <c r="AE424" i="5" a="1"/>
  <c r="V424" i="5" a="1"/>
  <c r="AE114" i="5" a="1"/>
  <c r="V114" i="5" a="1"/>
  <c r="AD75" i="5" a="1"/>
  <c r="U75" i="5" a="1"/>
  <c r="AE34" i="5" a="1"/>
  <c r="V34" i="5" a="1"/>
  <c r="AC51" i="5" a="1"/>
  <c r="T51" i="5" a="1"/>
  <c r="AE690" i="5" a="1"/>
  <c r="V690" i="5" a="1"/>
  <c r="AE378" i="5" a="1"/>
  <c r="V378" i="5" a="1"/>
  <c r="AC506" i="5" a="1"/>
  <c r="T506" i="5" a="1"/>
  <c r="AC729" i="5" a="1"/>
  <c r="T729" i="5" a="1"/>
  <c r="AE59" i="5" a="1"/>
  <c r="V59" i="5" a="1"/>
  <c r="AD278" i="5" a="1"/>
  <c r="U278" i="5" a="1"/>
  <c r="AD124" i="5" a="1"/>
  <c r="U124" i="5" a="1"/>
  <c r="AE401" i="5" a="1"/>
  <c r="V401" i="5" a="1"/>
  <c r="AF509" i="5" a="1"/>
  <c r="W509" i="5" a="1"/>
  <c r="AE208" i="5" a="1"/>
  <c r="V208" i="5" a="1"/>
  <c r="AC512" i="5" a="1"/>
  <c r="T512" i="5" a="1"/>
  <c r="AF642" i="5" a="1"/>
  <c r="W642" i="5" a="1"/>
  <c r="AE311" i="5" a="1"/>
  <c r="V311" i="5" a="1"/>
  <c r="AC420" i="5" a="1"/>
  <c r="T420" i="5" a="1"/>
  <c r="AD334" i="5" a="1"/>
  <c r="U334" i="5" a="1"/>
  <c r="AF378" i="5" a="1"/>
  <c r="W378" i="5" a="1"/>
  <c r="AE592" i="5" a="1"/>
  <c r="V592" i="5" a="1"/>
  <c r="AF219" i="5" a="1"/>
  <c r="W219" i="5" a="1"/>
  <c r="AE156" i="5" a="1"/>
  <c r="V156" i="5" a="1"/>
  <c r="AC631" i="5" a="1"/>
  <c r="T631" i="5" a="1"/>
  <c r="AC381" i="5" a="1"/>
  <c r="T381" i="5" a="1"/>
  <c r="AF482" i="5" a="1"/>
  <c r="W482" i="5" a="1"/>
  <c r="AD370" i="5" a="1"/>
  <c r="U370" i="5" a="1"/>
  <c r="AC169" i="5" a="1"/>
  <c r="T169" i="5" a="1"/>
  <c r="AD286" i="5" a="1"/>
  <c r="U286" i="5" a="1"/>
  <c r="AE429" i="5" a="1"/>
  <c r="V429" i="5" a="1"/>
  <c r="AF108" i="5" a="1"/>
  <c r="W108" i="5" a="1"/>
  <c r="AE428" i="5" a="1"/>
  <c r="V428" i="5" a="1"/>
  <c r="AE324" i="5" a="1"/>
  <c r="V324" i="5" a="1"/>
  <c r="AC83" i="5" a="1"/>
  <c r="T83" i="5" a="1"/>
  <c r="AD116" i="5" a="1"/>
  <c r="U116" i="5" a="1"/>
  <c r="AF404" i="5" a="1"/>
  <c r="W404" i="5" a="1"/>
  <c r="AC247" i="5" a="1"/>
  <c r="T247" i="5" a="1"/>
  <c r="AD699" i="5" a="1"/>
  <c r="U699" i="5" a="1"/>
  <c r="AC444" i="5" a="1"/>
  <c r="T444" i="5" a="1"/>
  <c r="AE221" i="5" a="1"/>
  <c r="V221" i="5" a="1"/>
  <c r="AF672" i="5" a="1"/>
  <c r="W672" i="5" a="1"/>
  <c r="AF289" i="5" a="1"/>
  <c r="W289" i="5" a="1"/>
  <c r="AE449" i="5" a="1"/>
  <c r="V449" i="5" a="1"/>
  <c r="AC495" i="5" a="1"/>
  <c r="T495" i="5" a="1"/>
  <c r="AD190" i="5" a="1"/>
  <c r="U190" i="5" a="1"/>
  <c r="AD194" i="5" a="1"/>
  <c r="U194" i="5" a="1"/>
  <c r="AC482" i="5" a="1"/>
  <c r="T482" i="5" a="1"/>
  <c r="AE259" i="5" a="1"/>
  <c r="V259" i="5" a="1"/>
  <c r="AD579" i="5" a="1"/>
  <c r="U579" i="5" a="1"/>
  <c r="AF192" i="5" a="1"/>
  <c r="W192" i="5" a="1"/>
  <c r="AE420" i="5" a="1"/>
  <c r="V420" i="5" a="1"/>
  <c r="AD99" i="5" a="1"/>
  <c r="U99" i="5" a="1"/>
  <c r="AF197" i="5" a="1"/>
  <c r="W197" i="5" a="1"/>
  <c r="AE497" i="5" a="1"/>
  <c r="V497" i="5" a="1"/>
  <c r="AD724" i="5" a="1"/>
  <c r="U724" i="5" a="1"/>
  <c r="AD309" i="5" a="1"/>
  <c r="U309" i="5" a="1"/>
  <c r="AD247" i="5" a="1"/>
  <c r="U247" i="5" a="1"/>
  <c r="AC538" i="5" a="1"/>
  <c r="T538" i="5" a="1"/>
  <c r="AF698" i="5" a="1"/>
  <c r="W698" i="5" a="1"/>
  <c r="AC369" i="5" a="1"/>
  <c r="T369" i="5" a="1"/>
  <c r="AF313" i="5" a="1"/>
  <c r="W313" i="5" a="1"/>
  <c r="AD316" i="5" a="1"/>
  <c r="U316" i="5" a="1"/>
  <c r="AF120" i="5" a="1"/>
  <c r="W120" i="5" a="1"/>
  <c r="AC433" i="5" a="1"/>
  <c r="T433" i="5" a="1"/>
  <c r="AE664" i="5" a="1"/>
  <c r="V664" i="5" a="1"/>
  <c r="AF32" i="5" a="1"/>
  <c r="W32" i="5" a="1"/>
  <c r="AF194" i="5" a="1"/>
  <c r="W194" i="5" a="1"/>
  <c r="AD291" i="5" a="1"/>
  <c r="U291" i="5" a="1"/>
  <c r="AC739" i="5" a="1"/>
  <c r="T739" i="5" a="1"/>
  <c r="AD580" i="5" a="1"/>
  <c r="U580" i="5" a="1"/>
  <c r="AF320" i="5" a="1"/>
  <c r="W320" i="5" a="1"/>
  <c r="AF388" i="5" a="1"/>
  <c r="W388" i="5" a="1"/>
  <c r="AC465" i="5" a="1"/>
  <c r="T465" i="5" a="1"/>
  <c r="AC439" i="5" a="1"/>
  <c r="T439" i="5" a="1"/>
  <c r="AD454" i="5" a="1"/>
  <c r="U454" i="5" a="1"/>
  <c r="AC583" i="5" a="1"/>
  <c r="T583" i="5" a="1"/>
  <c r="AC102" i="5" a="1"/>
  <c r="T102" i="5" a="1"/>
  <c r="AC31" i="5" a="1"/>
  <c r="T31" i="5" a="1"/>
  <c r="AF649" i="5" a="1"/>
  <c r="W649" i="5" a="1"/>
  <c r="AE184" i="5" a="1"/>
  <c r="V184" i="5" a="1"/>
  <c r="AD363" i="5" a="1"/>
  <c r="U363" i="5" a="1"/>
  <c r="AC78" i="5" a="1"/>
  <c r="T78" i="5" a="1"/>
  <c r="AD366" i="5" a="1"/>
  <c r="U366" i="5" a="1"/>
  <c r="AF546" i="5" a="1"/>
  <c r="W546" i="5" a="1"/>
  <c r="AC195" i="5" a="1"/>
  <c r="T195" i="5" a="1"/>
  <c r="AD121" i="5" a="1"/>
  <c r="U121" i="5" a="1"/>
  <c r="AE468" i="5" a="1"/>
  <c r="V468" i="5" a="1"/>
  <c r="AF66" i="5" a="1"/>
  <c r="W66" i="5" a="1"/>
  <c r="AC728" i="5" a="1"/>
  <c r="T728" i="5" a="1"/>
  <c r="AD80" i="5" a="1"/>
  <c r="U80" i="5" a="1"/>
  <c r="AE724" i="5" a="1"/>
  <c r="V724" i="5" a="1"/>
  <c r="AE83" i="5" a="1"/>
  <c r="V83" i="5" a="1"/>
  <c r="AD243" i="5" a="1"/>
  <c r="U243" i="5" a="1"/>
  <c r="AC435" i="5" a="1"/>
  <c r="T435" i="5" a="1"/>
  <c r="AF116" i="5" a="1"/>
  <c r="W116" i="5" a="1"/>
  <c r="AE276" i="5" a="1"/>
  <c r="V276" i="5" a="1"/>
  <c r="AD436" i="5" a="1"/>
  <c r="U436" i="5" a="1"/>
  <c r="AE181" i="5" a="1"/>
  <c r="V181" i="5" a="1"/>
  <c r="AF440" i="5" a="1"/>
  <c r="W440" i="5" a="1"/>
  <c r="AD26" i="5" a="1"/>
  <c r="U26" i="5" a="1"/>
  <c r="AC217" i="5" a="1"/>
  <c r="T217" i="5" a="1"/>
  <c r="AF316" i="5" a="1"/>
  <c r="W316" i="5" a="1"/>
  <c r="AE689" i="5" a="1"/>
  <c r="V689" i="5" a="1"/>
  <c r="AC321" i="5" a="1"/>
  <c r="T321" i="5" a="1"/>
  <c r="AF224" i="5" a="1"/>
  <c r="W224" i="5" a="1"/>
  <c r="AE223" i="5" a="1"/>
  <c r="V223" i="5" a="1"/>
  <c r="AD478" i="5" a="1"/>
  <c r="U478" i="5" a="1"/>
  <c r="AD434" i="5" a="1"/>
  <c r="U434" i="5" a="1"/>
  <c r="AE102" i="5" a="1"/>
  <c r="V102" i="5" a="1"/>
  <c r="AC584" i="5" a="1"/>
  <c r="T584" i="5" a="1"/>
  <c r="AD50" i="5" a="1"/>
  <c r="U50" i="5" a="1"/>
  <c r="AF600" i="5" a="1"/>
  <c r="W600" i="5" a="1"/>
  <c r="AC361" i="5" a="1"/>
  <c r="T361" i="5" a="1"/>
  <c r="AE521" i="5" a="1"/>
  <c r="V521" i="5" a="1"/>
  <c r="AC74" i="5" a="1"/>
  <c r="T74" i="5" a="1"/>
  <c r="AF362" i="5" a="1"/>
  <c r="W362" i="5" a="1"/>
  <c r="AF271" i="5" a="1"/>
  <c r="W271" i="5" a="1"/>
  <c r="AF428" i="5" a="1"/>
  <c r="W428" i="5" a="1"/>
  <c r="AC459" i="5" a="1"/>
  <c r="T459" i="5" a="1"/>
  <c r="AD78" i="5" a="1"/>
  <c r="U78" i="5" a="1"/>
  <c r="AC398" i="5" a="1"/>
  <c r="T398" i="5" a="1"/>
  <c r="AC260" i="5" a="1"/>
  <c r="T260" i="5" a="1"/>
  <c r="AF483" i="5" a="1"/>
  <c r="W483" i="5" a="1"/>
  <c r="AF171" i="5" a="1"/>
  <c r="W171" i="5" a="1"/>
  <c r="AC198" i="5" a="1"/>
  <c r="T198" i="5" a="1"/>
  <c r="AE341" i="5" a="1"/>
  <c r="V341" i="5" a="1"/>
  <c r="AD698" i="5" a="1"/>
  <c r="U698" i="5" a="1"/>
  <c r="AC251" i="5" a="1"/>
  <c r="T251" i="5" a="1"/>
  <c r="AD217" i="5" a="1"/>
  <c r="U217" i="5" a="1"/>
  <c r="AF47" i="5" a="1"/>
  <c r="W47" i="5" a="1"/>
  <c r="AC601" i="5" a="1"/>
  <c r="T601" i="5" a="1"/>
  <c r="AE568" i="5" a="1"/>
  <c r="V568" i="5" a="1"/>
  <c r="AE544" i="5" a="1"/>
  <c r="V544" i="5" a="1"/>
  <c r="AD626" i="5" a="1"/>
  <c r="U626" i="5" a="1"/>
  <c r="AC32" i="5" a="1"/>
  <c r="T32" i="5" a="1"/>
  <c r="AE23" i="5" a="1"/>
  <c r="V23" i="5" a="1"/>
  <c r="AE514" i="5" a="1"/>
  <c r="V514" i="5" a="1"/>
  <c r="AC291" i="5" a="1"/>
  <c r="T291" i="5" a="1"/>
  <c r="AC68" i="5" a="1"/>
  <c r="T68" i="5" a="1"/>
  <c r="AE498" i="5" a="1"/>
  <c r="V498" i="5" a="1"/>
  <c r="AF504" i="5" a="1"/>
  <c r="W504" i="5" a="1"/>
  <c r="AF447" i="5" a="1"/>
  <c r="W447" i="5" a="1"/>
  <c r="AF48" i="5" a="1"/>
  <c r="W48" i="5" a="1"/>
  <c r="AE234" i="5" a="1"/>
  <c r="V234" i="5" a="1"/>
  <c r="AE522" i="5" a="1"/>
  <c r="V522" i="5" a="1"/>
  <c r="AC271" i="5" a="1"/>
  <c r="T271" i="5" a="1"/>
  <c r="AF427" i="5" a="1"/>
  <c r="W427" i="5" a="1"/>
  <c r="AD461" i="5" a="1"/>
  <c r="U461" i="5" a="1"/>
  <c r="AF145" i="5" a="1"/>
  <c r="W145" i="5" a="1"/>
  <c r="AD238" i="5" a="1"/>
  <c r="U238" i="5" a="1"/>
  <c r="AC686" i="5" a="1"/>
  <c r="T686" i="5" a="1"/>
  <c r="AE106" i="5" a="1"/>
  <c r="V106" i="5" a="1"/>
  <c r="AF460" i="5" a="1"/>
  <c r="W460" i="5" a="1"/>
  <c r="AD333" i="5" a="1"/>
  <c r="U333" i="5" a="1"/>
  <c r="AD110" i="5" a="1"/>
  <c r="U110" i="5" a="1"/>
  <c r="AC176" i="5" a="1"/>
  <c r="T176" i="5" a="1"/>
  <c r="AD603" i="5" a="1"/>
  <c r="U603" i="5" a="1"/>
  <c r="AF60" i="5" a="1"/>
  <c r="W60" i="5" a="1"/>
  <c r="AE487" i="5" a="1"/>
  <c r="V487" i="5" a="1"/>
  <c r="AD125" i="5" a="1"/>
  <c r="U125" i="5" a="1"/>
  <c r="AE306" i="5" a="1"/>
  <c r="V306" i="5" a="1"/>
  <c r="AE159" i="5" a="1"/>
  <c r="V159" i="5" a="1"/>
  <c r="AD267" i="5" a="1"/>
  <c r="U267" i="5" a="1"/>
  <c r="AC515" i="5" a="1"/>
  <c r="T515" i="5" a="1"/>
  <c r="AD497" i="5" a="1"/>
  <c r="U497" i="5" a="1"/>
  <c r="AD596" i="5" a="1"/>
  <c r="U596" i="5" a="1"/>
  <c r="AC243" i="5" a="1"/>
  <c r="T243" i="5" a="1"/>
  <c r="AD627" i="5" a="1"/>
  <c r="U627" i="5" a="1"/>
  <c r="AF410" i="5" a="1"/>
  <c r="W410" i="5" a="1"/>
  <c r="AE570" i="5" a="1"/>
  <c r="V570" i="5" a="1"/>
  <c r="AC55" i="5" a="1"/>
  <c r="T55" i="5" a="1"/>
  <c r="AF217" i="5" a="1"/>
  <c r="W217" i="5" a="1"/>
  <c r="AF701" i="5" a="1"/>
  <c r="W701" i="5" a="1"/>
  <c r="AF384" i="5" a="1"/>
  <c r="W384" i="5" a="1"/>
  <c r="AD321" i="5" a="1"/>
  <c r="U321" i="5" a="1"/>
  <c r="AF481" i="5" a="1"/>
  <c r="W481" i="5" a="1"/>
  <c r="AF23" i="5" a="1"/>
  <c r="W23" i="5" a="1"/>
  <c r="AE354" i="5" a="1"/>
  <c r="V354" i="5" a="1"/>
  <c r="AF674" i="5" a="1"/>
  <c r="W674" i="5" a="1"/>
  <c r="AE451" i="5" a="1"/>
  <c r="V451" i="5" a="1"/>
  <c r="AC559" i="5" a="1"/>
  <c r="T559" i="5" a="1"/>
  <c r="AC694" i="5" a="1"/>
  <c r="T694" i="5" a="1"/>
  <c r="AE68" i="5" a="1"/>
  <c r="V68" i="5" a="1"/>
  <c r="AC536" i="5" a="1"/>
  <c r="T536" i="5" a="1"/>
  <c r="AC296" i="5" a="1"/>
  <c r="T296" i="5" a="1"/>
  <c r="AC518" i="5" a="1"/>
  <c r="T518" i="5" a="1"/>
  <c r="AD73" i="5" a="1"/>
  <c r="U73" i="5" a="1"/>
  <c r="AF361" i="5" a="1"/>
  <c r="W361" i="5" a="1"/>
  <c r="AE688" i="5" a="1"/>
  <c r="V688" i="5" a="1"/>
  <c r="AC344" i="5" a="1"/>
  <c r="T344" i="5" a="1"/>
  <c r="AE715" i="5" a="1"/>
  <c r="V715" i="5" a="1"/>
  <c r="AD428" i="5" a="1"/>
  <c r="U428" i="5" a="1"/>
  <c r="AD748" i="5" a="1"/>
  <c r="U748" i="5" a="1"/>
  <c r="AC248" i="5" a="1"/>
  <c r="T248" i="5" a="1"/>
  <c r="AE523" i="5" a="1"/>
  <c r="V523" i="5" a="1"/>
  <c r="AD558" i="5" a="1"/>
  <c r="U558" i="5" a="1"/>
  <c r="AD559" i="5" a="1"/>
  <c r="U559" i="5" a="1"/>
  <c r="AD164" i="5" a="1"/>
  <c r="U164" i="5" a="1"/>
  <c r="AF121" i="5" a="1"/>
  <c r="W121" i="5" a="1"/>
  <c r="AF553" i="5" a="1"/>
  <c r="W553" i="5" a="1"/>
  <c r="AF205" i="5" a="1"/>
  <c r="W205" i="5" a="1"/>
  <c r="AF508" i="5" a="1"/>
  <c r="W508" i="5" a="1"/>
  <c r="AE328" i="5" a="1"/>
  <c r="V328" i="5" a="1"/>
  <c r="AF365" i="5" a="1"/>
  <c r="W365" i="5" a="1"/>
  <c r="AD56" i="5" a="1"/>
  <c r="U56" i="5" a="1"/>
  <c r="AD166" i="5" a="1"/>
  <c r="U166" i="5" a="1"/>
  <c r="AE40" i="5" a="1"/>
  <c r="V40" i="5" a="1"/>
  <c r="AD751" i="5" a="1"/>
  <c r="U751" i="5" a="1"/>
  <c r="AC115" i="5" a="1"/>
  <c r="T115" i="5" a="1"/>
  <c r="AD148" i="5" a="1"/>
  <c r="U148" i="5" a="1"/>
  <c r="AC730" i="5" a="1"/>
  <c r="T730" i="5" a="1"/>
  <c r="AC441" i="5" a="1"/>
  <c r="T441" i="5" a="1"/>
  <c r="AF411" i="5" a="1"/>
  <c r="W411" i="5" a="1"/>
  <c r="AF188" i="5" a="1"/>
  <c r="W188" i="5" a="1"/>
  <c r="AE562" i="5" a="1"/>
  <c r="V562" i="5" a="1"/>
  <c r="AF601" i="5" a="1"/>
  <c r="W601" i="5" a="1"/>
  <c r="AD93" i="5" a="1"/>
  <c r="U93" i="5" a="1"/>
  <c r="AC704" i="5" a="1"/>
  <c r="T704" i="5" a="1"/>
  <c r="AE161" i="5" a="1"/>
  <c r="V161" i="5" a="1"/>
  <c r="AF451" i="5" a="1"/>
  <c r="W451" i="5" a="1"/>
  <c r="AC223" i="5" a="1"/>
  <c r="T223" i="5" a="1"/>
  <c r="AF463" i="5" a="1"/>
  <c r="W463" i="5" a="1"/>
  <c r="AD388" i="5" a="1"/>
  <c r="U388" i="5" a="1"/>
  <c r="AD79" i="5" a="1"/>
  <c r="U79" i="5" a="1"/>
  <c r="AC632" i="5" a="1"/>
  <c r="T632" i="5" a="1"/>
  <c r="AF168" i="5" a="1"/>
  <c r="W168" i="5" a="1"/>
  <c r="AE616" i="5" a="1"/>
  <c r="V616" i="5" a="1"/>
  <c r="AD233" i="5" a="1"/>
  <c r="U233" i="5" a="1"/>
  <c r="AE682" i="5" a="1"/>
  <c r="V682" i="5" a="1"/>
  <c r="AD63" i="5" a="1"/>
  <c r="U63" i="5" a="1"/>
  <c r="AC427" i="5" a="1"/>
  <c r="T427" i="5" a="1"/>
  <c r="AD460" i="5" a="1"/>
  <c r="U460" i="5" a="1"/>
  <c r="AD246" i="5" a="1"/>
  <c r="U246" i="5" a="1"/>
  <c r="AC238" i="5" a="1"/>
  <c r="T238" i="5" a="1"/>
  <c r="AC153" i="5" a="1"/>
  <c r="T153" i="5" a="1"/>
  <c r="AC393" i="5" a="1"/>
  <c r="T393" i="5" a="1"/>
  <c r="AD430" i="5" a="1"/>
  <c r="U430" i="5" a="1"/>
  <c r="AF468" i="5" a="1"/>
  <c r="W468" i="5" a="1"/>
  <c r="AC467" i="5" a="1"/>
  <c r="T467" i="5" a="1"/>
  <c r="AD734" i="5" a="1"/>
  <c r="U734" i="5" a="1"/>
  <c r="AF648" i="5" a="1"/>
  <c r="W648" i="5" a="1"/>
  <c r="AE346" i="5" a="1"/>
  <c r="V346" i="5" a="1"/>
  <c r="AE714" i="5" a="1"/>
  <c r="V714" i="5" a="1"/>
  <c r="AF236" i="5" a="1"/>
  <c r="W236" i="5" a="1"/>
  <c r="AC21" i="5" a="1"/>
  <c r="T21" i="5" a="1"/>
  <c r="AE148" i="5" a="1"/>
  <c r="V148" i="5" a="1"/>
  <c r="AE53" i="5" a="1"/>
  <c r="V53" i="5" a="1"/>
  <c r="AD410" i="5" a="1"/>
  <c r="U410" i="5" a="1"/>
  <c r="AF146" i="5" a="1"/>
  <c r="W146" i="5" a="1"/>
  <c r="AC58" i="5" a="1"/>
  <c r="T58" i="5" a="1"/>
  <c r="AC697" i="5" a="1"/>
  <c r="T697" i="5" a="1"/>
  <c r="AF408" i="5" a="1"/>
  <c r="W408" i="5" a="1"/>
  <c r="AD689" i="5" a="1"/>
  <c r="U689" i="5" a="1"/>
  <c r="AD386" i="5" a="1"/>
  <c r="U386" i="5" a="1"/>
  <c r="AD674" i="5" a="1"/>
  <c r="U674" i="5" a="1"/>
  <c r="AD452" i="5" a="1"/>
  <c r="U452" i="5" a="1"/>
  <c r="AC463" i="5" a="1"/>
  <c r="T463" i="5" a="1"/>
  <c r="AF37" i="5" a="1"/>
  <c r="W37" i="5" a="1"/>
  <c r="AD82" i="5" a="1"/>
  <c r="U82" i="5" a="1"/>
  <c r="AC54" i="5" a="1"/>
  <c r="T54" i="5" a="1"/>
  <c r="AF530" i="5" a="1"/>
  <c r="W530" i="5" a="1"/>
  <c r="AC121" i="5" a="1"/>
  <c r="T121" i="5" a="1"/>
  <c r="AD393" i="5" a="1"/>
  <c r="U393" i="5" a="1"/>
  <c r="AD681" i="5" a="1"/>
  <c r="U681" i="5" a="1"/>
  <c r="AE695" i="5" a="1"/>
  <c r="V695" i="5" a="1"/>
  <c r="AF74" i="5" a="1"/>
  <c r="W74" i="5" a="1"/>
  <c r="AD554" i="5" a="1"/>
  <c r="U554" i="5" a="1"/>
  <c r="AE268" i="5" a="1"/>
  <c r="V268" i="5" a="1"/>
  <c r="AE246" i="5" a="1"/>
  <c r="V246" i="5" a="1"/>
  <c r="AC523" i="5" a="1"/>
  <c r="T523" i="5" a="1"/>
  <c r="AF193" i="5" a="1"/>
  <c r="W193" i="5" a="1"/>
  <c r="AC171" i="5" a="1"/>
  <c r="T171" i="5" a="1"/>
  <c r="AC502" i="5" a="1"/>
  <c r="T502" i="5" a="1"/>
  <c r="AD531" i="5" a="1"/>
  <c r="U531" i="5" a="1"/>
  <c r="AC756" i="5" a="1"/>
  <c r="T756" i="5" a="1"/>
  <c r="AE467" i="5" a="1"/>
  <c r="V467" i="5" a="1"/>
  <c r="AC56" i="5" a="1"/>
  <c r="T56" i="5" a="1"/>
  <c r="AD411" i="5" a="1"/>
  <c r="U411" i="5" a="1"/>
  <c r="AF306" i="5" a="1"/>
  <c r="W306" i="5" a="1"/>
  <c r="AE702" i="5" a="1"/>
  <c r="V702" i="5" a="1"/>
  <c r="AD256" i="5" a="1"/>
  <c r="U256" i="5" a="1"/>
  <c r="AD193" i="5" a="1"/>
  <c r="U193" i="5" a="1"/>
  <c r="AE641" i="5" a="1"/>
  <c r="V641" i="5" a="1"/>
  <c r="AC375" i="5" a="1"/>
  <c r="T375" i="5" a="1"/>
  <c r="AE160" i="5" a="1"/>
  <c r="V160" i="5" a="1"/>
  <c r="AF386" i="5" a="1"/>
  <c r="W386" i="5" a="1"/>
  <c r="AC222" i="5" a="1"/>
  <c r="T222" i="5" a="1"/>
  <c r="AC483" i="5" a="1"/>
  <c r="T483" i="5" a="1"/>
  <c r="AC343" i="5" a="1"/>
  <c r="T343" i="5" a="1"/>
  <c r="AE452" i="5" a="1"/>
  <c r="V452" i="5" a="1"/>
  <c r="AD33" i="5" a="1"/>
  <c r="U33" i="5" a="1"/>
  <c r="AE645" i="5" a="1"/>
  <c r="V645" i="5" a="1"/>
  <c r="AD327" i="5" a="1"/>
  <c r="U327" i="5" a="1"/>
  <c r="AC38" i="5" a="1"/>
  <c r="T38" i="5" a="1"/>
  <c r="AD518" i="5" a="1"/>
  <c r="U518" i="5" a="1"/>
  <c r="AD255" i="5" a="1"/>
  <c r="U255" i="5" a="1"/>
  <c r="AE63" i="5" a="1"/>
  <c r="V63" i="5" a="1"/>
  <c r="AD171" i="5" a="1"/>
  <c r="U171" i="5" a="1"/>
  <c r="AE472" i="5" a="1"/>
  <c r="V472" i="5" a="1"/>
  <c r="AD718" i="5" a="1"/>
  <c r="U718" i="5" a="1"/>
  <c r="AE713" i="5" a="1"/>
  <c r="V713" i="5" a="1"/>
  <c r="AC283" i="5" a="1"/>
  <c r="T283" i="5" a="1"/>
  <c r="AE491" i="5" a="1"/>
  <c r="V491" i="5" a="1"/>
  <c r="AC175" i="5" a="1"/>
  <c r="T175" i="5" a="1"/>
  <c r="AF668" i="5" a="1"/>
  <c r="W668" i="5" a="1"/>
  <c r="AE546" i="5" a="1"/>
  <c r="V546" i="5" a="1"/>
  <c r="AD195" i="5" a="1"/>
  <c r="U195" i="5" a="1"/>
  <c r="AC466" i="5" a="1"/>
  <c r="T466" i="5" a="1"/>
  <c r="AF62" i="5" a="1"/>
  <c r="W62" i="5" a="1"/>
  <c r="AE115" i="5" a="1"/>
  <c r="V115" i="5" a="1"/>
  <c r="AD501" i="5" a="1"/>
  <c r="U501" i="5" a="1"/>
  <c r="AE442" i="5" a="1"/>
  <c r="V442" i="5" a="1"/>
  <c r="AF283" i="5" a="1"/>
  <c r="W283" i="5" a="1"/>
  <c r="AE508" i="5" a="1"/>
  <c r="V508" i="5" a="1"/>
  <c r="AC416" i="5" a="1"/>
  <c r="T416" i="5" a="1"/>
  <c r="AF576" i="5" a="1"/>
  <c r="W576" i="5" a="1"/>
  <c r="AE256" i="5" a="1"/>
  <c r="V256" i="5" a="1"/>
  <c r="AE353" i="5" a="1"/>
  <c r="V353" i="5" a="1"/>
  <c r="AC513" i="5" a="1"/>
  <c r="T513" i="5" a="1"/>
  <c r="AF432" i="5" a="1"/>
  <c r="W432" i="5" a="1"/>
  <c r="AF338" i="5" a="1"/>
  <c r="W338" i="5" a="1"/>
  <c r="AE323" i="5" a="1"/>
  <c r="V323" i="5" a="1"/>
  <c r="AF343" i="5" a="1"/>
  <c r="W343" i="5" a="1"/>
  <c r="AC326" i="5" a="1"/>
  <c r="T326" i="5" a="1"/>
  <c r="AD530" i="5" a="1"/>
  <c r="U530" i="5" a="1"/>
  <c r="AE233" i="5" a="1"/>
  <c r="V233" i="5" a="1"/>
  <c r="AF628" i="5" a="1"/>
  <c r="W628" i="5" a="1"/>
  <c r="AC659" i="5" a="1"/>
  <c r="T659" i="5" a="1"/>
  <c r="AD53" i="5" a="1"/>
  <c r="U53" i="5" a="1"/>
  <c r="AC443" i="5" a="1"/>
  <c r="T443" i="5" a="1"/>
  <c r="AE191" i="5" a="1"/>
  <c r="V191" i="5" a="1"/>
  <c r="AD508" i="5" a="1"/>
  <c r="U508" i="5" a="1"/>
  <c r="AC249" i="5" a="1"/>
  <c r="T249" i="5" a="1"/>
  <c r="AE185" i="5" a="1"/>
  <c r="V185" i="5" a="1"/>
  <c r="AF673" i="5" a="1"/>
  <c r="W673" i="5" a="1"/>
  <c r="AC163" i="5" a="1"/>
  <c r="T163" i="5" a="1"/>
  <c r="AC345" i="5" a="1"/>
  <c r="T345" i="5" a="1"/>
  <c r="AD339" i="5" a="1"/>
  <c r="U339" i="5" a="1"/>
  <c r="AD340" i="5" a="1"/>
  <c r="U340" i="5" a="1"/>
  <c r="AD533" i="5" a="1"/>
  <c r="U533" i="5" a="1"/>
  <c r="AD218" i="5" a="1"/>
  <c r="U218" i="5" a="1"/>
  <c r="AC537" i="5" a="1"/>
  <c r="T537" i="5" a="1"/>
  <c r="AE377" i="5" a="1"/>
  <c r="V377" i="5" a="1"/>
  <c r="AD220" i="5" a="1"/>
  <c r="U220" i="5" a="1"/>
  <c r="AE668" i="5" a="1"/>
  <c r="V668" i="5" a="1"/>
  <c r="AC225" i="5" a="1"/>
  <c r="T225" i="5" a="1"/>
  <c r="AC338" i="5" a="1"/>
  <c r="T338" i="5" a="1"/>
  <c r="AF163" i="5" a="1"/>
  <c r="W163" i="5" a="1"/>
  <c r="AC703" i="5" a="1"/>
  <c r="T703" i="5" a="1"/>
  <c r="AF183" i="5" a="1"/>
  <c r="W183" i="5" a="1"/>
  <c r="AE69" i="5" a="1"/>
  <c r="V69" i="5" a="1"/>
  <c r="AE39" i="5" a="1"/>
  <c r="V39" i="5" a="1"/>
  <c r="AD199" i="5" a="1"/>
  <c r="U199" i="5" a="1"/>
  <c r="AE400" i="5" a="1"/>
  <c r="V400" i="5" a="1"/>
  <c r="AF326" i="5" a="1"/>
  <c r="W326" i="5" a="1"/>
  <c r="AF360" i="5" a="1"/>
  <c r="W360" i="5" a="1"/>
  <c r="AD152" i="5" a="1"/>
  <c r="U152" i="5" a="1"/>
  <c r="AD266" i="5" a="1"/>
  <c r="U266" i="5" a="1"/>
  <c r="AC236" i="5" a="1"/>
  <c r="T236" i="5" a="1"/>
  <c r="AE142" i="5" a="1"/>
  <c r="V142" i="5" a="1"/>
  <c r="AF675" i="5" a="1"/>
  <c r="W675" i="5" a="1"/>
  <c r="AD69" i="5" a="1"/>
  <c r="U69" i="5" a="1"/>
  <c r="AC199" i="5" a="1"/>
  <c r="T199" i="5" a="1"/>
  <c r="AD722" i="5" a="1"/>
  <c r="U722" i="5" a="1"/>
  <c r="AC279" i="5" a="1"/>
  <c r="T279" i="5" a="1"/>
  <c r="AE412" i="5" a="1"/>
  <c r="V412" i="5" a="1"/>
  <c r="AD578" i="5" a="1"/>
  <c r="U578" i="5" a="1"/>
  <c r="AE245" i="5" a="1"/>
  <c r="V245" i="5" a="1"/>
  <c r="AE282" i="5" a="1"/>
  <c r="V282" i="5" a="1"/>
  <c r="AD602" i="5" a="1"/>
  <c r="U602" i="5" a="1"/>
  <c r="AE376" i="5" a="1"/>
  <c r="V376" i="5" a="1"/>
  <c r="AD380" i="5" a="1"/>
  <c r="U380" i="5" a="1"/>
  <c r="AF28" i="5" a="1"/>
  <c r="W28" i="5" a="1"/>
  <c r="AC157" i="5" a="1"/>
  <c r="T157" i="5" a="1"/>
  <c r="AF182" i="5" a="1"/>
  <c r="W182" i="5" a="1"/>
  <c r="AC127" i="5" a="1"/>
  <c r="T127" i="5" a="1"/>
  <c r="AC385" i="5" a="1"/>
  <c r="T385" i="5" a="1"/>
  <c r="AD513" i="5" a="1"/>
  <c r="U513" i="5" a="1"/>
  <c r="AE593" i="5" a="1"/>
  <c r="V593" i="5" a="1"/>
  <c r="AD415" i="5" a="1"/>
  <c r="U415" i="5" a="1"/>
  <c r="AD338" i="5" a="1"/>
  <c r="U338" i="5" a="1"/>
  <c r="AF336" i="5" a="1"/>
  <c r="W336" i="5" a="1"/>
  <c r="AE644" i="5" a="1"/>
  <c r="V644" i="5" a="1"/>
  <c r="AC464" i="5" a="1"/>
  <c r="T464" i="5" a="1"/>
  <c r="AF196" i="5" a="1"/>
  <c r="W196" i="5" a="1"/>
  <c r="AC487" i="5" a="1"/>
  <c r="T487" i="5" a="1"/>
  <c r="AF266" i="5" a="1"/>
  <c r="W266" i="5" a="1"/>
  <c r="AF337" i="5" a="1"/>
  <c r="W337" i="5" a="1"/>
  <c r="AE738" i="5" a="1"/>
  <c r="V738" i="5" a="1"/>
  <c r="AF72" i="5" a="1"/>
  <c r="W72" i="5" a="1"/>
  <c r="AD678" i="5" a="1"/>
  <c r="U678" i="5" a="1"/>
  <c r="AC585" i="5" a="1"/>
  <c r="T585" i="5" a="1"/>
  <c r="AF332" i="5" a="1"/>
  <c r="W332" i="5" a="1"/>
  <c r="AC92" i="5" a="1"/>
  <c r="T92" i="5" a="1"/>
  <c r="AD700" i="5" a="1"/>
  <c r="U700" i="5" a="1"/>
  <c r="AC30" i="5" a="1"/>
  <c r="T30" i="5" a="1"/>
  <c r="AE545" i="5" a="1"/>
  <c r="V545" i="5" a="1"/>
  <c r="AC529" i="5" a="1"/>
  <c r="T529" i="5" a="1"/>
  <c r="AE500" i="5" a="1"/>
  <c r="V500" i="5" a="1"/>
  <c r="AC339" i="5" a="1"/>
  <c r="T339" i="5" a="1"/>
  <c r="AE405" i="5" a="1"/>
  <c r="V405" i="5" a="1"/>
  <c r="AF380" i="5" a="1"/>
  <c r="W380" i="5" a="1"/>
  <c r="AF605" i="5" a="1"/>
  <c r="W605" i="5" a="1"/>
  <c r="AC608" i="5" a="1"/>
  <c r="T608" i="5" a="1"/>
  <c r="AE418" i="5" a="1"/>
  <c r="V418" i="5" a="1"/>
  <c r="AE183" i="5" a="1"/>
  <c r="V183" i="5" a="1"/>
  <c r="AD400" i="5" a="1"/>
  <c r="U400" i="5" a="1"/>
  <c r="AD422" i="5" a="1"/>
  <c r="U422" i="5" a="1"/>
  <c r="AC200" i="5" a="1"/>
  <c r="T200" i="5" a="1"/>
  <c r="AE360" i="5" a="1"/>
  <c r="V360" i="5" a="1"/>
  <c r="AC80" i="5" a="1"/>
  <c r="T80" i="5" a="1"/>
  <c r="AF152" i="5" a="1"/>
  <c r="W152" i="5" a="1"/>
  <c r="AE426" i="5" a="1"/>
  <c r="V426" i="5" a="1"/>
  <c r="AE586" i="5" a="1"/>
  <c r="V586" i="5" a="1"/>
  <c r="AD555" i="5" a="1"/>
  <c r="U555" i="5" a="1"/>
  <c r="AD274" i="5" a="1"/>
  <c r="U274" i="5" a="1"/>
  <c r="AC683" i="5" a="1"/>
  <c r="T683" i="5" a="1"/>
  <c r="AE236" i="5" a="1"/>
  <c r="V236" i="5" a="1"/>
  <c r="AE65" i="5" a="1"/>
  <c r="V65" i="5" a="1"/>
  <c r="AC415" i="5" a="1"/>
  <c r="T415" i="5" a="1"/>
  <c r="AD98" i="5" a="1"/>
  <c r="U98" i="5" a="1"/>
  <c r="AE36" i="5" a="1"/>
  <c r="V36" i="5" a="1"/>
  <c r="AF528" i="5" a="1"/>
  <c r="W528" i="5" a="1"/>
  <c r="AE70" i="5" a="1"/>
  <c r="V70" i="5" a="1"/>
  <c r="AC607" i="5" a="1"/>
  <c r="T607" i="5" a="1"/>
  <c r="AC252" i="5" a="1"/>
  <c r="T252" i="5" a="1"/>
  <c r="AD477" i="5" a="1"/>
  <c r="U477" i="5" a="1"/>
  <c r="AE112" i="5" a="1"/>
  <c r="V112" i="5" a="1"/>
  <c r="AC753" i="5" a="1"/>
  <c r="T753" i="5" a="1"/>
  <c r="AF242" i="5" a="1"/>
  <c r="W242" i="5" a="1"/>
  <c r="AF474" i="5" a="1"/>
  <c r="W474" i="5" a="1"/>
  <c r="AE448" i="5" a="1"/>
  <c r="V448" i="5" a="1"/>
  <c r="AD723" i="5" a="1"/>
  <c r="U723" i="5" a="1"/>
  <c r="AC660" i="5" a="1"/>
  <c r="T660" i="5" a="1"/>
  <c r="AD212" i="5" a="1"/>
  <c r="U212" i="5" a="1"/>
  <c r="AC85" i="5" a="1"/>
  <c r="T85" i="5" a="1"/>
  <c r="AC405" i="5" a="1"/>
  <c r="T405" i="5" a="1"/>
  <c r="AC532" i="5" a="1"/>
  <c r="T532" i="5" a="1"/>
  <c r="AE179" i="5" a="1"/>
  <c r="V179" i="5" a="1"/>
  <c r="AC214" i="5" a="1"/>
  <c r="T214" i="5" a="1"/>
  <c r="AD317" i="5" a="1"/>
  <c r="U317" i="5" a="1"/>
  <c r="AF97" i="5" a="1"/>
  <c r="W97" i="5" a="1"/>
  <c r="AE610" i="5" a="1"/>
  <c r="V610" i="5" a="1"/>
  <c r="AE726" i="5" a="1"/>
  <c r="V726" i="5" a="1"/>
  <c r="AD675" i="5" a="1"/>
  <c r="U675" i="5" a="1"/>
  <c r="AE389" i="5" a="1"/>
  <c r="V389" i="5" a="1"/>
  <c r="AC549" i="5" a="1"/>
  <c r="T549" i="5" a="1"/>
  <c r="AC81" i="5" a="1"/>
  <c r="T81" i="5" a="1"/>
  <c r="AC242" i="5" a="1"/>
  <c r="T242" i="5" a="1"/>
  <c r="AF405" i="5" a="1"/>
  <c r="W405" i="5" a="1"/>
  <c r="AC412" i="5" a="1"/>
  <c r="T412" i="5" a="1"/>
  <c r="AF189" i="5" a="1"/>
  <c r="W189" i="5" a="1"/>
  <c r="AF151" i="5" a="1"/>
  <c r="W151" i="5" a="1"/>
  <c r="AE438" i="5" a="1"/>
  <c r="V438" i="5" a="1"/>
  <c r="AE319" i="5" a="1"/>
  <c r="V319" i="5" a="1"/>
  <c r="AF625" i="5" a="1"/>
  <c r="W625" i="5" a="1"/>
  <c r="AD391" i="5" a="1"/>
  <c r="U391" i="5" a="1"/>
  <c r="AF170" i="5" a="1"/>
  <c r="W170" i="5" a="1"/>
  <c r="AC241" i="5" a="1"/>
  <c r="T241" i="5" a="1"/>
  <c r="AD332" i="5" a="1"/>
  <c r="U332" i="5" a="1"/>
  <c r="AE397" i="5" a="1"/>
  <c r="V397" i="5" a="1"/>
  <c r="AE64" i="5" a="1"/>
  <c r="V64" i="5" a="1"/>
  <c r="AD676" i="5" a="1"/>
  <c r="U676" i="5" a="1"/>
  <c r="AF261" i="5" a="1"/>
  <c r="W261" i="5" a="1"/>
  <c r="AD551" i="5" a="1"/>
  <c r="U551" i="5" a="1"/>
  <c r="AE119" i="5" a="1"/>
  <c r="V119" i="5" a="1"/>
  <c r="AE563" i="5" a="1"/>
  <c r="V563" i="5" a="1"/>
  <c r="AD29" i="5" a="1"/>
  <c r="U29" i="5" a="1"/>
  <c r="AF349" i="5" a="1"/>
  <c r="W349" i="5" a="1"/>
  <c r="AF477" i="5" a="1"/>
  <c r="W477" i="5" a="1"/>
  <c r="AD623" i="5" a="1"/>
  <c r="U623" i="5" a="1"/>
  <c r="AD272" i="5" a="1"/>
  <c r="U272" i="5" a="1"/>
  <c r="AC244" i="5" a="1"/>
  <c r="T244" i="5" a="1"/>
  <c r="AC277" i="5" a="1"/>
  <c r="T277" i="5" a="1"/>
  <c r="AE187" i="5" a="1"/>
  <c r="V187" i="5" a="1"/>
  <c r="AC667" i="5" a="1"/>
  <c r="T667" i="5" a="1"/>
  <c r="AD151" i="5" a="1"/>
  <c r="U151" i="5" a="1"/>
  <c r="AD311" i="5" a="1"/>
  <c r="U311" i="5" a="1"/>
  <c r="AE227" i="5" a="1"/>
  <c r="V227" i="5" a="1"/>
  <c r="AF100" i="5" a="1"/>
  <c r="W100" i="5" a="1"/>
  <c r="AE709" i="5" a="1"/>
  <c r="V709" i="5" a="1"/>
  <c r="AC273" i="5" a="1"/>
  <c r="T273" i="5" a="1"/>
  <c r="AD719" i="5" a="1"/>
  <c r="U719" i="5" a="1"/>
  <c r="AD140" i="5" a="1"/>
  <c r="U140" i="5" a="1"/>
  <c r="AE141" i="5" a="1"/>
  <c r="V141" i="5" a="1"/>
  <c r="AE301" i="5" a="1"/>
  <c r="V301" i="5" a="1"/>
  <c r="AD607" i="5" a="1"/>
  <c r="U607" i="5" a="1"/>
  <c r="AC404" i="5" a="1"/>
  <c r="T404" i="5" a="1"/>
  <c r="AC597" i="5" a="1"/>
  <c r="T597" i="5" a="1"/>
  <c r="AE666" i="5" a="1"/>
  <c r="V666" i="5" a="1"/>
  <c r="AD592" i="5" a="1"/>
  <c r="U592" i="5" a="1"/>
  <c r="AF187" i="5" a="1"/>
  <c r="W187" i="5" a="1"/>
  <c r="AE347" i="5" a="1"/>
  <c r="V347" i="5" a="1"/>
  <c r="AC124" i="5" a="1"/>
  <c r="T124" i="5" a="1"/>
  <c r="AE349" i="5" a="1"/>
  <c r="V349" i="5" a="1"/>
  <c r="AC707" i="5" a="1"/>
  <c r="T707" i="5" a="1"/>
  <c r="AF101" i="5" a="1"/>
  <c r="W101" i="5" a="1"/>
  <c r="AD261" i="5" a="1"/>
  <c r="U261" i="5" a="1"/>
  <c r="AC741" i="5" a="1"/>
  <c r="T741" i="5" a="1"/>
  <c r="AD358" i="5" a="1"/>
  <c r="U358" i="5" a="1"/>
  <c r="AF391" i="5" a="1"/>
  <c r="W391" i="5" a="1"/>
  <c r="AE169" i="5" a="1"/>
  <c r="V169" i="5" a="1"/>
  <c r="AD329" i="5" a="1"/>
  <c r="U329" i="5" a="1"/>
  <c r="AD150" i="5" a="1"/>
  <c r="U150" i="5" a="1"/>
  <c r="AE140" i="5" a="1"/>
  <c r="V140" i="5" a="1"/>
  <c r="AC364" i="5" a="1"/>
  <c r="T364" i="5" a="1"/>
  <c r="AC556" i="5" a="1"/>
  <c r="T556" i="5" a="1"/>
  <c r="AE109" i="5" a="1"/>
  <c r="V109" i="5" a="1"/>
  <c r="AC579" i="5" a="1"/>
  <c r="T579" i="5" a="1"/>
  <c r="AC453" i="5" a="1"/>
  <c r="T453" i="5" a="1"/>
  <c r="AC362" i="5" a="1"/>
  <c r="T362" i="5" a="1"/>
  <c r="AE132" i="5" a="1"/>
  <c r="V132" i="5" a="1"/>
  <c r="AD271" i="5" a="1"/>
  <c r="U271" i="5" a="1"/>
  <c r="AE262" i="5" a="1"/>
  <c r="V262" i="5" a="1"/>
  <c r="AE618" i="5" a="1"/>
  <c r="V618" i="5" a="1"/>
  <c r="AE692" i="5" a="1"/>
  <c r="V692" i="5" a="1"/>
  <c r="AD404" i="5" a="1"/>
  <c r="U404" i="5" a="1"/>
  <c r="AF129" i="5" a="1"/>
  <c r="W129" i="5" a="1"/>
  <c r="AC289" i="5" a="1"/>
  <c r="T289" i="5" a="1"/>
  <c r="AC322" i="5" a="1"/>
  <c r="T322" i="5" a="1"/>
  <c r="AE642" i="5" a="1"/>
  <c r="V642" i="5" a="1"/>
  <c r="AF548" i="5" a="1"/>
  <c r="W548" i="5" a="1"/>
  <c r="AE261" i="5" a="1"/>
  <c r="V261" i="5" a="1"/>
  <c r="AD263" i="5" a="1"/>
  <c r="U263" i="5" a="1"/>
  <c r="AF494" i="5" a="1"/>
  <c r="W494" i="5" a="1"/>
  <c r="AD100" i="5" a="1"/>
  <c r="U100" i="5" a="1"/>
  <c r="AE421" i="5" a="1"/>
  <c r="V421" i="5" a="1"/>
  <c r="AD429" i="5" a="1"/>
  <c r="U429" i="5" a="1"/>
  <c r="AE42" i="5" a="1"/>
  <c r="V42" i="5" a="1"/>
  <c r="AF139" i="5" a="1"/>
  <c r="W139" i="5" a="1"/>
  <c r="AC203" i="5" a="1"/>
  <c r="T203" i="5" a="1"/>
  <c r="AF549" i="5" a="1"/>
  <c r="W549" i="5" a="1"/>
  <c r="AF126" i="5" a="1"/>
  <c r="W126" i="5" a="1"/>
  <c r="AC755" i="5" a="1"/>
  <c r="T755" i="5" a="1"/>
  <c r="AE597" i="5" a="1"/>
  <c r="V597" i="5" a="1"/>
  <c r="AC507" i="5" a="1"/>
  <c r="T507" i="5" a="1"/>
  <c r="AD129" i="5" a="1"/>
  <c r="U129" i="5" a="1"/>
  <c r="AE737" i="5" a="1"/>
  <c r="V737" i="5" a="1"/>
  <c r="AE162" i="5" a="1"/>
  <c r="V162" i="5" a="1"/>
  <c r="AE322" i="5" a="1"/>
  <c r="V322" i="5" a="1"/>
  <c r="AE419" i="5" a="1"/>
  <c r="V419" i="5" a="1"/>
  <c r="AE589" i="5" a="1"/>
  <c r="V589" i="5" a="1"/>
  <c r="AC609" i="5" a="1"/>
  <c r="T609" i="5" a="1"/>
  <c r="AE229" i="5" a="1"/>
  <c r="V229" i="5" a="1"/>
  <c r="AC724" i="5" a="1"/>
  <c r="T724" i="5" a="1"/>
  <c r="AF309" i="5" a="1"/>
  <c r="W309" i="5" a="1"/>
  <c r="AD284" i="5" a="1"/>
  <c r="U284" i="5" a="1"/>
  <c r="AE48" i="5" a="1"/>
  <c r="V48" i="5" a="1"/>
  <c r="AF557" i="5" a="1"/>
  <c r="W557" i="5" a="1"/>
  <c r="AD76" i="5" a="1"/>
  <c r="U76" i="5" a="1"/>
  <c r="AE307" i="5" a="1"/>
  <c r="V307" i="5" a="1"/>
  <c r="AE564" i="5" a="1"/>
  <c r="V564" i="5" a="1"/>
  <c r="AF211" i="5" a="1"/>
  <c r="W211" i="5" a="1"/>
  <c r="AC276" i="5" a="1"/>
  <c r="T276" i="5" a="1"/>
  <c r="AF26" i="5" a="1"/>
  <c r="W26" i="5" a="1"/>
  <c r="AE186" i="5" a="1"/>
  <c r="V186" i="5" a="1"/>
  <c r="AD219" i="5" a="1"/>
  <c r="U219" i="5" a="1"/>
  <c r="AE665" i="5" a="1"/>
  <c r="V665" i="5" a="1"/>
  <c r="AC604" i="5" a="1"/>
  <c r="T604" i="5" a="1"/>
  <c r="AF669" i="5" a="1"/>
  <c r="W669" i="5" a="1"/>
  <c r="AD88" i="5" a="1"/>
  <c r="U88" i="5" a="1"/>
  <c r="AD741" i="5" a="1"/>
  <c r="U741" i="5" a="1"/>
  <c r="AC489" i="5" a="1"/>
  <c r="T489" i="5" a="1"/>
  <c r="AC202" i="5" a="1"/>
  <c r="T202" i="5" a="1"/>
  <c r="AC363" i="5" a="1"/>
  <c r="T363" i="5" a="1"/>
  <c r="AF461" i="5" a="1"/>
  <c r="W461" i="5" a="1"/>
  <c r="AE78" i="5" a="1"/>
  <c r="V78" i="5" a="1"/>
  <c r="AF686" i="5" a="1"/>
  <c r="W686" i="5" a="1"/>
  <c r="AD136" i="5" a="1"/>
  <c r="U136" i="5" a="1"/>
  <c r="AF50" i="5" a="1"/>
  <c r="W50" i="5" a="1"/>
  <c r="AF234" i="5" a="1"/>
  <c r="W234" i="5" a="1"/>
  <c r="AE137" i="5" a="1"/>
  <c r="V137" i="5" a="1"/>
  <c r="AD126" i="5" a="1"/>
  <c r="U126" i="5" a="1"/>
  <c r="AF279" i="5" a="1"/>
  <c r="W279" i="5" a="1"/>
  <c r="AF307" i="5" a="1"/>
  <c r="W307" i="5" a="1"/>
  <c r="AE116" i="5" a="1"/>
  <c r="V116" i="5" a="1"/>
  <c r="AC436" i="5" a="1"/>
  <c r="T436" i="5" a="1"/>
  <c r="AF149" i="5" a="1"/>
  <c r="W149" i="5" a="1"/>
  <c r="AC26" i="5" a="1"/>
  <c r="T26" i="5" a="1"/>
  <c r="AF186" i="5" a="1"/>
  <c r="W186" i="5" a="1"/>
  <c r="AF379" i="5" a="1"/>
  <c r="W379" i="5" a="1"/>
  <c r="AD604" i="5" a="1"/>
  <c r="U604" i="5" a="1"/>
  <c r="AE381" i="5" a="1"/>
  <c r="V381" i="5" a="1"/>
  <c r="AE541" i="5" a="1"/>
  <c r="V541" i="5" a="1"/>
  <c r="AD407" i="5" a="1"/>
  <c r="U407" i="5" a="1"/>
  <c r="AE190" i="5" a="1"/>
  <c r="V190" i="5" a="1"/>
  <c r="AC224" i="5" a="1"/>
  <c r="T224" i="5" a="1"/>
  <c r="AE613" i="5" a="1"/>
  <c r="V613" i="5" a="1"/>
  <c r="AF79" i="5" a="1"/>
  <c r="W79" i="5" a="1"/>
  <c r="AC434" i="5" a="1"/>
  <c r="T434" i="5" a="1"/>
  <c r="AC268" i="5" a="1"/>
  <c r="T268" i="5" a="1"/>
  <c r="AC752" i="5" a="1"/>
  <c r="T752" i="5" a="1"/>
  <c r="AC156" i="5" a="1"/>
  <c r="T156" i="5" a="1"/>
  <c r="AF221" i="5" a="1"/>
  <c r="W221" i="5" a="1"/>
  <c r="AC446" i="5" a="1"/>
  <c r="T446" i="5" a="1"/>
  <c r="AD544" i="5" a="1"/>
  <c r="U544" i="5" a="1"/>
  <c r="AF433" i="5" a="1"/>
  <c r="W433" i="5" a="1"/>
  <c r="AD23" i="5" a="1"/>
  <c r="U23" i="5" a="1"/>
  <c r="AC201" i="5" a="1"/>
  <c r="T201" i="5" a="1"/>
  <c r="AE588" i="5" a="1"/>
  <c r="V588" i="5" a="1"/>
  <c r="AC141" i="5" a="1"/>
  <c r="T141" i="5" a="1"/>
  <c r="AC131" i="5" a="1"/>
  <c r="T131" i="5" a="1"/>
  <c r="AD511" i="5" a="1"/>
  <c r="U511" i="5" a="1"/>
  <c r="AF434" i="5" a="1"/>
  <c r="W434" i="5" a="1"/>
  <c r="AD435" i="5" a="1"/>
  <c r="U435" i="5" a="1"/>
  <c r="AC91" i="5" a="1"/>
  <c r="T91" i="5" a="1"/>
  <c r="AE253" i="5" a="1"/>
  <c r="V253" i="5" a="1"/>
  <c r="AF381" i="5" a="1"/>
  <c r="W381" i="5" a="1"/>
  <c r="AF354" i="5" a="1"/>
  <c r="W354" i="5" a="1"/>
  <c r="AC657" i="5" a="1"/>
  <c r="T657" i="5" a="1"/>
  <c r="AF452" i="5" a="1"/>
  <c r="W452" i="5" a="1"/>
  <c r="AC33" i="5" a="1"/>
  <c r="T33" i="5" a="1"/>
  <c r="AC79" i="5" a="1"/>
  <c r="T79" i="5" a="1"/>
  <c r="AD455" i="5" a="1"/>
  <c r="U455" i="5" a="1"/>
  <c r="AD74" i="5" a="1"/>
  <c r="U74" i="5" a="1"/>
  <c r="AC181" i="5" a="1"/>
  <c r="T181" i="5" a="1"/>
  <c r="AE501" i="5" a="1"/>
  <c r="V501" i="5" a="1"/>
  <c r="AC440" i="5" a="1"/>
  <c r="T440" i="5" a="1"/>
  <c r="AD599" i="5" a="1"/>
  <c r="U599" i="5" a="1"/>
  <c r="AE251" i="5" a="1"/>
  <c r="V251" i="5" a="1"/>
  <c r="AF697" i="5" a="1"/>
  <c r="W697" i="5" a="1"/>
  <c r="AE188" i="5" a="1"/>
  <c r="V188" i="5" a="1"/>
  <c r="AC316" i="5" a="1"/>
  <c r="T316" i="5" a="1"/>
  <c r="AC93" i="5" a="1"/>
  <c r="T93" i="5" a="1"/>
  <c r="AF160" i="5" a="1"/>
  <c r="W160" i="5" a="1"/>
  <c r="AD657" i="5" a="1"/>
  <c r="U657" i="5" a="1"/>
  <c r="AE740" i="5" a="1"/>
  <c r="V740" i="5" a="1"/>
  <c r="AC177" i="5" a="1"/>
  <c r="T177" i="5" a="1"/>
  <c r="AF501" i="5" a="1"/>
  <c r="W501" i="5" a="1"/>
  <c r="AF570" i="5" a="1"/>
  <c r="W570" i="5" a="1"/>
  <c r="AE348" i="5" a="1"/>
  <c r="V348" i="5" a="1"/>
  <c r="AF626" i="5" a="1"/>
  <c r="W626" i="5" a="1"/>
  <c r="AC658" i="5" a="1"/>
  <c r="T658" i="5" a="1"/>
  <c r="AD268" i="5" a="1"/>
  <c r="U268" i="5" a="1"/>
  <c r="AF523" i="5" a="1"/>
  <c r="W523" i="5" a="1"/>
  <c r="AD431" i="5" a="1"/>
  <c r="U431" i="5" a="1"/>
  <c r="AC152" i="5" a="1"/>
  <c r="T152" i="5" a="1"/>
  <c r="AF652" i="5" a="1"/>
  <c r="W652" i="5" a="1"/>
  <c r="AD237" i="5" a="1"/>
  <c r="U237" i="5" a="1"/>
  <c r="AD21" i="5" a="1"/>
  <c r="U21" i="5" a="1"/>
  <c r="AD441" i="5" a="1"/>
  <c r="U441" i="5" a="1"/>
  <c r="AE731" i="5" a="1"/>
  <c r="V731" i="5" a="1"/>
  <c r="AD573" i="5" a="1"/>
  <c r="U573" i="5" a="1"/>
  <c r="AD702" i="5" a="1"/>
  <c r="U702" i="5" a="1"/>
  <c r="AC193" i="5" a="1"/>
  <c r="T193" i="5" a="1"/>
  <c r="AF542" i="5" a="1"/>
  <c r="W542" i="5" a="1"/>
  <c r="AE226" i="5" a="1"/>
  <c r="V226" i="5" a="1"/>
  <c r="AF222" i="5" a="1"/>
  <c r="W222" i="5" a="1"/>
  <c r="AC612" i="5" a="1"/>
  <c r="T612" i="5" a="1"/>
  <c r="AD527" i="5" a="1"/>
  <c r="U527" i="5" a="1"/>
  <c r="AD239" i="5" a="1"/>
  <c r="U239" i="5" a="1"/>
  <c r="AF73" i="5" a="1"/>
  <c r="W73" i="5" a="1"/>
  <c r="AE394" i="5" a="1"/>
  <c r="V394" i="5" a="1"/>
  <c r="AC460" i="5" a="1"/>
  <c r="T460" i="5" a="1"/>
  <c r="AD620" i="5" a="1"/>
  <c r="U620" i="5" a="1"/>
  <c r="AC145" i="5" a="1"/>
  <c r="T145" i="5" a="1"/>
  <c r="AF398" i="5" a="1"/>
  <c r="W398" i="5" a="1"/>
  <c r="AF602" i="5" a="1"/>
  <c r="W602" i="5" a="1"/>
  <c r="AF341" i="5" a="1"/>
  <c r="W341" i="5" a="1"/>
  <c r="AD58" i="5" a="1"/>
  <c r="U58" i="5" a="1"/>
  <c r="AD188" i="5" a="1"/>
  <c r="U188" i="5" a="1"/>
  <c r="AE582" i="5" a="1"/>
  <c r="V582" i="5" a="1"/>
  <c r="AC681" i="5" a="1"/>
  <c r="T681" i="5" a="1"/>
  <c r="AF267" i="5" a="1"/>
  <c r="W267" i="5" a="1"/>
  <c r="AD172" i="5" a="1"/>
  <c r="U172" i="5" a="1"/>
  <c r="AD86" i="5" a="1"/>
  <c r="U86" i="5" a="1"/>
  <c r="AC63" i="5" a="1"/>
  <c r="T63" i="5" a="1"/>
  <c r="AD236" i="5" a="1"/>
  <c r="U236" i="5" a="1"/>
  <c r="AD736" i="5" a="1"/>
  <c r="U736" i="5" a="1"/>
  <c r="AC57" i="5" a="1"/>
  <c r="T57" i="5" a="1"/>
  <c r="AC134" i="5" a="1"/>
  <c r="T134" i="5" a="1"/>
  <c r="AD119" i="5" a="1"/>
  <c r="U119" i="5" a="1"/>
  <c r="AC628" i="5" a="1"/>
  <c r="T628" i="5" a="1"/>
  <c r="AF148" i="5" a="1"/>
  <c r="W148" i="5" a="1"/>
  <c r="AF308" i="5" a="1"/>
  <c r="W308" i="5" a="1"/>
  <c r="AF218" i="5" a="1"/>
  <c r="W218" i="5" a="1"/>
  <c r="AF573" i="5" a="1"/>
  <c r="W573" i="5" a="1"/>
  <c r="AD483" i="5" a="1"/>
  <c r="U483" i="5" a="1"/>
  <c r="AE643" i="5" a="1"/>
  <c r="V643" i="5" a="1"/>
  <c r="AD484" i="5" a="1"/>
  <c r="U484" i="5" a="1"/>
  <c r="AF612" i="5" a="1"/>
  <c r="W612" i="5" a="1"/>
  <c r="AD670" i="5" a="1"/>
  <c r="U670" i="5" a="1"/>
  <c r="AC488" i="5" a="1"/>
  <c r="T488" i="5" a="1"/>
  <c r="AC266" i="5" a="1"/>
  <c r="T266" i="5" a="1"/>
  <c r="AF554" i="5" a="1"/>
  <c r="W554" i="5" a="1"/>
  <c r="AF620" i="5" a="1"/>
  <c r="W620" i="5" a="1"/>
  <c r="AD653" i="5" a="1"/>
  <c r="U653" i="5" a="1"/>
  <c r="AF38" i="5" a="1"/>
  <c r="W38" i="5" a="1"/>
  <c r="AF90" i="5" a="1"/>
  <c r="W90" i="5" a="1"/>
  <c r="AD399" i="5" a="1"/>
  <c r="U399" i="5" a="1"/>
  <c r="AD750" i="5" a="1"/>
  <c r="U750" i="5" a="1"/>
  <c r="AE90" i="5" a="1"/>
  <c r="V90" i="5" a="1"/>
  <c r="AD357" i="5" a="1"/>
  <c r="U357" i="5" a="1"/>
  <c r="AE166" i="5" a="1"/>
  <c r="V166" i="5" a="1"/>
  <c r="AE209" i="5" a="1"/>
  <c r="V209" i="5" a="1"/>
  <c r="AC337" i="5" a="1"/>
  <c r="T337" i="5" a="1"/>
  <c r="AD176" i="5" a="1"/>
  <c r="U176" i="5" a="1"/>
  <c r="AD123" i="5" a="1"/>
  <c r="U123" i="5" a="1"/>
  <c r="AF76" i="5" a="1"/>
  <c r="W76" i="5" a="1"/>
  <c r="AC396" i="5" a="1"/>
  <c r="T396" i="5" a="1"/>
  <c r="AD628" i="5" a="1"/>
  <c r="U628" i="5" a="1"/>
  <c r="AD147" i="5" a="1"/>
  <c r="U147" i="5" a="1"/>
  <c r="AF213" i="5" a="1"/>
  <c r="W213" i="5" a="1"/>
  <c r="AE594" i="5" a="1"/>
  <c r="V594" i="5" a="1"/>
  <c r="AF603" i="5" a="1"/>
  <c r="W603" i="5" a="1"/>
  <c r="AE445" i="5" a="1"/>
  <c r="V445" i="5" a="1"/>
  <c r="AC128" i="5" a="1"/>
  <c r="T128" i="5" a="1"/>
  <c r="AE258" i="5" a="1"/>
  <c r="V258" i="5" a="1"/>
  <c r="AD197" i="5" a="1"/>
  <c r="U197" i="5" a="1"/>
  <c r="AE517" i="5" a="1"/>
  <c r="V517" i="5" a="1"/>
  <c r="AD502" i="5" a="1"/>
  <c r="U502" i="5" a="1"/>
  <c r="AD200" i="5" a="1"/>
  <c r="U200" i="5" a="1"/>
  <c r="AC746" i="5" a="1"/>
  <c r="T746" i="5" a="1"/>
  <c r="AF86" i="5" a="1"/>
  <c r="W86" i="5" a="1"/>
  <c r="AD747" i="5" a="1"/>
  <c r="U747" i="5" a="1"/>
  <c r="AD142" i="5" a="1"/>
  <c r="U142" i="5" a="1"/>
  <c r="AD209" i="5" a="1"/>
  <c r="U209" i="5" a="1"/>
  <c r="AD198" i="5" a="1"/>
  <c r="U198" i="5" a="1"/>
  <c r="AF691" i="5" a="1"/>
  <c r="W691" i="5" a="1"/>
  <c r="AC147" i="5" a="1"/>
  <c r="T147" i="5" a="1"/>
  <c r="AE473" i="5" a="1"/>
  <c r="V473" i="5" a="1"/>
  <c r="AF700" i="5" a="1"/>
  <c r="W700" i="5" a="1"/>
  <c r="AE431" i="5" a="1"/>
  <c r="V431" i="5" a="1"/>
  <c r="AD662" i="5" a="1"/>
  <c r="U662" i="5" a="1"/>
  <c r="AE66" i="5" a="1"/>
  <c r="V66" i="5" a="1"/>
  <c r="AF578" i="5" a="1"/>
  <c r="W578" i="5" a="1"/>
  <c r="AD574" i="5" a="1"/>
  <c r="U574" i="5" a="1"/>
  <c r="AC183" i="5" a="1"/>
  <c r="T183" i="5" a="1"/>
  <c r="AC34" i="5" a="1"/>
  <c r="T34" i="5" a="1"/>
  <c r="AF357" i="5" a="1"/>
  <c r="W357" i="5" a="1"/>
  <c r="AE199" i="5" a="1"/>
  <c r="V199" i="5" a="1"/>
  <c r="AD359" i="5" a="1"/>
  <c r="U359" i="5" a="1"/>
  <c r="AE534" i="5" a="1"/>
  <c r="V534" i="5" a="1"/>
  <c r="AC105" i="5" a="1"/>
  <c r="T105" i="5" a="1"/>
  <c r="AE425" i="5" a="1"/>
  <c r="V425" i="5" a="1"/>
  <c r="AD652" i="5" a="1"/>
  <c r="U652" i="5" a="1"/>
  <c r="AC205" i="5" a="1"/>
  <c r="T205" i="5" a="1"/>
  <c r="AE113" i="5" a="1"/>
  <c r="V113" i="5" a="1"/>
  <c r="AE660" i="5" a="1"/>
  <c r="V660" i="5" a="1"/>
  <c r="AF282" i="5" a="1"/>
  <c r="W282" i="5" a="1"/>
  <c r="AE474" i="5" a="1"/>
  <c r="V474" i="5" a="1"/>
  <c r="AC603" i="5" a="1"/>
  <c r="T603" i="5" a="1"/>
  <c r="AC28" i="5" a="1"/>
  <c r="T28" i="5" a="1"/>
  <c r="AD448" i="5" a="1"/>
  <c r="U448" i="5" a="1"/>
  <c r="AC516" i="5" a="1"/>
  <c r="T516" i="5" a="1"/>
  <c r="AD196" i="5" a="1"/>
  <c r="U196" i="5" a="1"/>
  <c r="AF69" i="5" a="1"/>
  <c r="W69" i="5" a="1"/>
  <c r="AE647" i="5" a="1"/>
  <c r="V647" i="5" a="1"/>
  <c r="AC680" i="5" a="1"/>
  <c r="T680" i="5" a="1"/>
  <c r="AE76" i="5" a="1"/>
  <c r="V76" i="5" a="1"/>
  <c r="AE652" i="5" a="1"/>
  <c r="V652" i="5" a="1"/>
  <c r="AF607" i="5" a="1"/>
  <c r="W607" i="5" a="1"/>
  <c r="AE126" i="5" a="1"/>
  <c r="V126" i="5" a="1"/>
  <c r="AE274" i="5" a="1"/>
  <c r="V274" i="5" a="1"/>
  <c r="AF147" i="5" a="1"/>
  <c r="W147" i="5" a="1"/>
  <c r="AD52" i="5" a="1"/>
  <c r="U52" i="5" a="1"/>
  <c r="AC633" i="5" a="1"/>
  <c r="T633" i="5" a="1"/>
  <c r="AC155" i="5" a="1"/>
  <c r="T155" i="5" a="1"/>
  <c r="AF24" i="5" a="1"/>
  <c r="W24" i="5" a="1"/>
  <c r="AF92" i="5" a="1"/>
  <c r="W92" i="5" a="1"/>
  <c r="AD28" i="5" a="1"/>
  <c r="U28" i="5" a="1"/>
  <c r="AC662" i="5" a="1"/>
  <c r="T662" i="5" a="1"/>
  <c r="AF385" i="5" a="1"/>
  <c r="W385" i="5" a="1"/>
  <c r="AC578" i="5" a="1"/>
  <c r="T578" i="5" a="1"/>
  <c r="AD598" i="5" a="1"/>
  <c r="U598" i="5" a="1"/>
  <c r="AE492" i="5" a="1"/>
  <c r="V492" i="5" a="1"/>
  <c r="AD179" i="5" a="1"/>
  <c r="U179" i="5" a="1"/>
  <c r="AF122" i="5" a="1"/>
  <c r="W122" i="5" a="1"/>
  <c r="AC409" i="5" a="1"/>
  <c r="T409" i="5" a="1"/>
  <c r="AE130" i="5" a="1"/>
  <c r="V130" i="5" a="1"/>
  <c r="AC675" i="5" a="1"/>
  <c r="T675" i="5" a="1"/>
  <c r="AC625" i="5" a="1"/>
  <c r="T625" i="5" a="1"/>
  <c r="AF36" i="5" a="1"/>
  <c r="W36" i="5" a="1"/>
  <c r="AF524" i="5" a="1"/>
  <c r="W524" i="5" a="1"/>
  <c r="AC334" i="5" a="1"/>
  <c r="T334" i="5" a="1"/>
  <c r="AF660" i="5" a="1"/>
  <c r="W660" i="5" a="1"/>
  <c r="AE303" i="5" a="1"/>
  <c r="V303" i="5" a="1"/>
  <c r="AE499" i="5" a="1"/>
  <c r="V499" i="5" a="1"/>
  <c r="AE117" i="5" a="1"/>
  <c r="V117" i="5" a="1"/>
  <c r="AD405" i="5" a="1"/>
  <c r="U405" i="5" a="1"/>
  <c r="AF27" i="5" a="1"/>
  <c r="W27" i="5" a="1"/>
  <c r="AF315" i="5" a="1"/>
  <c r="W315" i="5" a="1"/>
  <c r="AE475" i="5" a="1"/>
  <c r="V475" i="5" a="1"/>
  <c r="AE635" i="5" a="1"/>
  <c r="V635" i="5" a="1"/>
  <c r="AE700" i="5" a="1"/>
  <c r="V700" i="5" a="1"/>
  <c r="AE374" i="5" a="1"/>
  <c r="V374" i="5" a="1"/>
  <c r="AE157" i="5" a="1"/>
  <c r="V157" i="5" a="1"/>
  <c r="AE477" i="5" a="1"/>
  <c r="V477" i="5" a="1"/>
  <c r="AE30" i="5" a="1"/>
  <c r="V30" i="5" a="1"/>
  <c r="AD288" i="5" a="1"/>
  <c r="U288" i="5" a="1"/>
  <c r="AF415" i="5" a="1"/>
  <c r="W415" i="5" a="1"/>
  <c r="AC290" i="5" a="1"/>
  <c r="T290" i="5" a="1"/>
  <c r="AC227" i="5" a="1"/>
  <c r="T227" i="5" a="1"/>
  <c r="AF516" i="5" a="1"/>
  <c r="W516" i="5" a="1"/>
  <c r="AD529" i="5" a="1"/>
  <c r="U529" i="5" a="1"/>
  <c r="AC36" i="5" a="1"/>
  <c r="T36" i="5" a="1"/>
  <c r="AE71" i="5" a="1"/>
  <c r="V71" i="5" a="1"/>
  <c r="AF95" i="5" a="1"/>
  <c r="W95" i="5" a="1"/>
  <c r="AF392" i="5" a="1"/>
  <c r="W392" i="5" a="1"/>
  <c r="AD457" i="5" a="1"/>
  <c r="U457" i="5" a="1"/>
  <c r="AE134" i="5" a="1"/>
  <c r="V134" i="5" a="1"/>
  <c r="AC555" i="5" a="1"/>
  <c r="T555" i="5" a="1"/>
  <c r="AE332" i="5" a="1"/>
  <c r="V332" i="5" a="1"/>
  <c r="AE524" i="5" a="1"/>
  <c r="V524" i="5" a="1"/>
  <c r="AD557" i="5" a="1"/>
  <c r="U557" i="5" a="1"/>
  <c r="AC43" i="5" a="1"/>
  <c r="T43" i="5" a="1"/>
  <c r="AF21" i="5" a="1"/>
  <c r="W21" i="5" a="1"/>
  <c r="AD385" i="5" a="1"/>
  <c r="U385" i="5" a="1"/>
  <c r="AC179" i="5" a="1"/>
  <c r="T179" i="5" a="1"/>
  <c r="AF52" i="5" a="1"/>
  <c r="W52" i="5" a="1"/>
  <c r="AE212" i="5" a="1"/>
  <c r="V212" i="5" a="1"/>
  <c r="AE277" i="5" a="1"/>
  <c r="V277" i="5" a="1"/>
  <c r="AF214" i="5" a="1"/>
  <c r="W214" i="5" a="1"/>
  <c r="AC122" i="5" a="1"/>
  <c r="T122" i="5" a="1"/>
  <c r="AC187" i="5" a="1"/>
  <c r="T187" i="5" a="1"/>
  <c r="AF475" i="5" a="1"/>
  <c r="W475" i="5" a="1"/>
  <c r="AC29" i="5" a="1"/>
  <c r="T29" i="5" a="1"/>
  <c r="AE637" i="5" a="1"/>
  <c r="V637" i="5" a="1"/>
  <c r="AE288" i="5" a="1"/>
  <c r="V288" i="5" a="1"/>
  <c r="AE735" i="5" a="1"/>
  <c r="V735" i="5" a="1"/>
  <c r="AE547" i="5" a="1"/>
  <c r="V547" i="5" a="1"/>
  <c r="AF158" i="5" a="1"/>
  <c r="W158" i="5" a="1"/>
  <c r="AD64" i="5" a="1"/>
  <c r="U64" i="5" a="1"/>
  <c r="AE676" i="5" a="1"/>
  <c r="V676" i="5" a="1"/>
  <c r="AD671" i="5" a="1"/>
  <c r="U671" i="5" a="1"/>
  <c r="AD81" i="5" a="1"/>
  <c r="U81" i="5" a="1"/>
  <c r="AC262" i="5" a="1"/>
  <c r="T262" i="5" a="1"/>
  <c r="AE231" i="5" a="1"/>
  <c r="V231" i="5" a="1"/>
  <c r="AD679" i="5" a="1"/>
  <c r="U679" i="5" a="1"/>
  <c r="AD215" i="5" a="1"/>
  <c r="U215" i="5" a="1"/>
  <c r="AF422" i="5" a="1"/>
  <c r="W422" i="5" a="1"/>
  <c r="AC299" i="5" a="1"/>
  <c r="T299" i="5" a="1"/>
  <c r="AF619" i="5" a="1"/>
  <c r="W619" i="5" a="1"/>
  <c r="AC684" i="5" a="1"/>
  <c r="T684" i="5" a="1"/>
  <c r="AC237" i="5" a="1"/>
  <c r="T237" i="5" a="1"/>
  <c r="AD494" i="5" a="1"/>
  <c r="U494" i="5" a="1"/>
  <c r="AE494" i="5" a="1"/>
  <c r="V494" i="5" a="1"/>
  <c r="AD717" i="5" a="1"/>
  <c r="U717" i="5" a="1"/>
  <c r="AC44" i="5" a="1"/>
  <c r="T44" i="5" a="1"/>
  <c r="AE619" i="5" a="1"/>
  <c r="V619" i="5" a="1"/>
  <c r="AD206" i="5" a="1"/>
  <c r="U206" i="5" a="1"/>
  <c r="AF286" i="5" a="1"/>
  <c r="W286" i="5" a="1"/>
  <c r="AC269" i="5" a="1"/>
  <c r="T269" i="5" a="1"/>
  <c r="AC107" i="5" a="1"/>
  <c r="T107" i="5" a="1"/>
  <c r="AC588" i="5" a="1"/>
  <c r="T588" i="5" a="1"/>
  <c r="AE110" i="5" a="1"/>
  <c r="V110" i="5" a="1"/>
  <c r="AC653" i="5" a="1"/>
  <c r="T653" i="5" a="1"/>
  <c r="AE532" i="5" a="1"/>
  <c r="V532" i="5" a="1"/>
  <c r="AF212" i="5" a="1"/>
  <c r="W212" i="5" a="1"/>
  <c r="AD214" i="5" a="1"/>
  <c r="U214" i="5" a="1"/>
  <c r="AC347" i="5" a="1"/>
  <c r="T347" i="5" a="1"/>
  <c r="AE124" i="5" a="1"/>
  <c r="V124" i="5" a="1"/>
  <c r="AF572" i="5" a="1"/>
  <c r="W572" i="5" a="1"/>
  <c r="AE732" i="5" a="1"/>
  <c r="V732" i="5" a="1"/>
  <c r="AF374" i="5" a="1"/>
  <c r="W374" i="5" a="1"/>
  <c r="AD409" i="5" a="1"/>
  <c r="U409" i="5" a="1"/>
  <c r="AC189" i="5" a="1"/>
  <c r="T189" i="5" a="1"/>
  <c r="AD257" i="5" a="1"/>
  <c r="U257" i="5" a="1"/>
  <c r="AC25" i="5" a="1"/>
  <c r="T25" i="5" a="1"/>
  <c r="AF450" i="5" a="1"/>
  <c r="W450" i="5" a="1"/>
  <c r="AF319" i="5" a="1"/>
  <c r="W319" i="5" a="1"/>
  <c r="AC158" i="5" a="1"/>
  <c r="T158" i="5" a="1"/>
  <c r="AD548" i="5" a="1"/>
  <c r="U548" i="5" a="1"/>
  <c r="AC35" i="5" a="1"/>
  <c r="T35" i="5" a="1"/>
  <c r="AF382" i="5" a="1"/>
  <c r="W382" i="5" a="1"/>
  <c r="AD262" i="5" a="1"/>
  <c r="U262" i="5" a="1"/>
  <c r="AD383" i="5" a="1"/>
  <c r="U383" i="5" a="1"/>
  <c r="AD232" i="5" a="1"/>
  <c r="U232" i="5" a="1"/>
  <c r="AD552" i="5" a="1"/>
  <c r="U552" i="5" a="1"/>
  <c r="AD710" i="5" a="1"/>
  <c r="U710" i="5" a="1"/>
  <c r="AF207" i="5" a="1"/>
  <c r="W207" i="5" a="1"/>
  <c r="AC486" i="5" a="1"/>
  <c r="T486" i="5" a="1"/>
  <c r="AC395" i="5" a="1"/>
  <c r="T395" i="5" a="1"/>
  <c r="AC557" i="5" a="1"/>
  <c r="T557" i="5" a="1"/>
  <c r="AF334" i="5" a="1"/>
  <c r="W334" i="5" a="1"/>
  <c r="AE206" i="5" a="1"/>
  <c r="V206" i="5" a="1"/>
  <c r="AD716" i="5" a="1"/>
  <c r="U716" i="5" a="1"/>
  <c r="AD526" i="5" a="1"/>
  <c r="U526" i="5" a="1"/>
  <c r="AD141" i="5" a="1"/>
  <c r="U141" i="5" a="1"/>
  <c r="AE350" i="5" a="1"/>
  <c r="V350" i="5" a="1"/>
  <c r="AE621" i="5" a="1"/>
  <c r="V621" i="5" a="1"/>
  <c r="AD137" i="5" a="1"/>
  <c r="U137" i="5" a="1"/>
  <c r="AE371" i="5" a="1"/>
  <c r="V371" i="5" a="1"/>
  <c r="AD117" i="5" a="1"/>
  <c r="U117" i="5" a="1"/>
  <c r="AF597" i="5" a="1"/>
  <c r="W597" i="5" a="1"/>
  <c r="AC758" i="5" a="1"/>
  <c r="T758" i="5" a="1"/>
  <c r="AE367" i="5" a="1"/>
  <c r="V367" i="5" a="1"/>
  <c r="AE214" i="5" a="1"/>
  <c r="V214" i="5" a="1"/>
  <c r="AF124" i="5" a="1"/>
  <c r="W124" i="5" a="1"/>
  <c r="AE284" i="5" a="1"/>
  <c r="V284" i="5" a="1"/>
  <c r="AD631" i="5" a="1"/>
  <c r="U631" i="5" a="1"/>
  <c r="AE29" i="5" a="1"/>
  <c r="V29" i="5" a="1"/>
  <c r="AC509" i="5" a="1"/>
  <c r="T509" i="5" a="1"/>
  <c r="AD480" i="5" a="1"/>
  <c r="U480" i="5" a="1"/>
  <c r="AE623" i="5" a="1"/>
  <c r="V623" i="5" a="1"/>
  <c r="AF87" i="5" a="1"/>
  <c r="W87" i="5" a="1"/>
  <c r="AC358" i="5" a="1"/>
  <c r="T358" i="5" a="1"/>
  <c r="AD550" i="5" a="1"/>
  <c r="U550" i="5" a="1"/>
  <c r="AE510" i="5" a="1"/>
  <c r="V510" i="5" a="1"/>
  <c r="AC207" i="5" a="1"/>
  <c r="T207" i="5" a="1"/>
  <c r="AC150" i="5" a="1"/>
  <c r="T150" i="5" a="1"/>
  <c r="AD486" i="5" a="1"/>
  <c r="U486" i="5" a="1"/>
  <c r="AE490" i="5" a="1"/>
  <c r="V490" i="5" a="1"/>
  <c r="AD134" i="5" a="1"/>
  <c r="U134" i="5" a="1"/>
  <c r="AF429" i="5" a="1"/>
  <c r="W429" i="5" a="1"/>
  <c r="AD241" i="5" a="1"/>
  <c r="U241" i="5" a="1"/>
  <c r="AE395" i="5" a="1"/>
  <c r="V395" i="5" a="1"/>
  <c r="AD350" i="5" a="1"/>
  <c r="U350" i="5" a="1"/>
  <c r="AF459" i="5" a="1"/>
  <c r="W459" i="5" a="1"/>
  <c r="AE686" i="5" a="1"/>
  <c r="V686" i="5" a="1"/>
  <c r="AF238" i="5" a="1"/>
  <c r="W238" i="5" a="1"/>
  <c r="AE108" i="5" a="1"/>
  <c r="V108" i="5" a="1"/>
  <c r="AC428" i="5" a="1"/>
  <c r="T428" i="5" a="1"/>
  <c r="AC621" i="5" a="1"/>
  <c r="T621" i="5" a="1"/>
  <c r="AF248" i="5" a="1"/>
  <c r="W248" i="5" a="1"/>
  <c r="AE238" i="5" a="1"/>
  <c r="V238" i="5" a="1"/>
  <c r="AF199" i="5" a="1"/>
  <c r="W199" i="5" a="1"/>
  <c r="AF692" i="5" a="1"/>
  <c r="W692" i="5" a="1"/>
  <c r="AF690" i="5" a="1"/>
  <c r="W690" i="5" a="1"/>
  <c r="AF84" i="5" a="1"/>
  <c r="W84" i="5" a="1"/>
  <c r="AF117" i="5" a="1"/>
  <c r="W117" i="5" a="1"/>
  <c r="AC437" i="5" a="1"/>
  <c r="T437" i="5" a="1"/>
  <c r="AD314" i="5" a="1"/>
  <c r="U314" i="5" a="1"/>
  <c r="AF507" i="5" a="1"/>
  <c r="W507" i="5" a="1"/>
  <c r="AE667" i="5" a="1"/>
  <c r="V667" i="5" a="1"/>
  <c r="AC278" i="5" a="1"/>
  <c r="T278" i="5" a="1"/>
  <c r="AD216" i="5" a="1"/>
  <c r="U216" i="5" a="1"/>
  <c r="AD509" i="5" a="1"/>
  <c r="U509" i="5" a="1"/>
  <c r="AE151" i="5" a="1"/>
  <c r="V151" i="5" a="1"/>
  <c r="AC318" i="5" a="1"/>
  <c r="T318" i="5" a="1"/>
  <c r="AE471" i="5" a="1"/>
  <c r="V471" i="5" a="1"/>
  <c r="AF623" i="5" a="1"/>
  <c r="W623" i="5" a="1"/>
  <c r="AC547" i="5" a="1"/>
  <c r="T547" i="5" a="1"/>
  <c r="AE606" i="5" a="1"/>
  <c r="V606" i="5" a="1"/>
  <c r="AE567" i="5" a="1"/>
  <c r="V567" i="5" a="1"/>
  <c r="AF671" i="5" a="1"/>
  <c r="W671" i="5" a="1"/>
  <c r="AF581" i="5" a="1"/>
  <c r="W581" i="5" a="1"/>
  <c r="AF264" i="5" a="1"/>
  <c r="W264" i="5" a="1"/>
  <c r="AE710" i="5" a="1"/>
  <c r="V710" i="5" a="1"/>
  <c r="AD207" i="5" a="1"/>
  <c r="U207" i="5" a="1"/>
  <c r="AE94" i="5" a="1"/>
  <c r="V94" i="5" a="1"/>
  <c r="AD144" i="5" a="1"/>
  <c r="U144" i="5" a="1"/>
  <c r="AC75" i="5" a="1"/>
  <c r="T75" i="5" a="1"/>
  <c r="AC109" i="5" a="1"/>
  <c r="T109" i="5" a="1"/>
  <c r="AC429" i="5" a="1"/>
  <c r="T429" i="5" a="1"/>
  <c r="AF44" i="5" a="1"/>
  <c r="W44" i="5" a="1"/>
  <c r="AF363" i="5" a="1"/>
  <c r="W363" i="5" a="1"/>
  <c r="AC267" i="5" a="1"/>
  <c r="T267" i="5" a="1"/>
  <c r="AD45" i="5" a="1"/>
  <c r="U45" i="5" a="1"/>
  <c r="AD298" i="5" a="1"/>
  <c r="U298" i="5" a="1"/>
  <c r="AC211" i="5" a="1"/>
  <c r="T211" i="5" a="1"/>
  <c r="AE84" i="5" a="1"/>
  <c r="V84" i="5" a="1"/>
  <c r="AF244" i="5" a="1"/>
  <c r="W244" i="5" a="1"/>
  <c r="AF437" i="5" a="1"/>
  <c r="W437" i="5" a="1"/>
  <c r="AF666" i="5" a="1"/>
  <c r="W666" i="5" a="1"/>
  <c r="AE278" i="5" a="1"/>
  <c r="V278" i="5" a="1"/>
  <c r="AF444" i="5" a="1"/>
  <c r="W444" i="5" a="1"/>
  <c r="AE669" i="5" a="1"/>
  <c r="V669" i="5" a="1"/>
  <c r="AD208" i="5" a="1"/>
  <c r="U208" i="5" a="1"/>
  <c r="AC471" i="5" a="1"/>
  <c r="T471" i="5" a="1"/>
  <c r="AD577" i="5" a="1"/>
  <c r="U577" i="5" a="1"/>
  <c r="AF190" i="5" a="1"/>
  <c r="W190" i="5" a="1"/>
  <c r="AF311" i="5" a="1"/>
  <c r="W311" i="5" a="1"/>
  <c r="AF356" i="5" a="1"/>
  <c r="W356" i="5" a="1"/>
  <c r="AE35" i="5" a="1"/>
  <c r="V35" i="5" a="1"/>
  <c r="AC100" i="5" a="1"/>
  <c r="T100" i="5" a="1"/>
  <c r="AF292" i="5" a="1"/>
  <c r="W292" i="5" a="1"/>
  <c r="AC382" i="5" a="1"/>
  <c r="T382" i="5" a="1"/>
  <c r="AF383" i="5" a="1"/>
  <c r="W383" i="5" a="1"/>
  <c r="AF550" i="5" a="1"/>
  <c r="W550" i="5" a="1"/>
  <c r="AD104" i="5" a="1"/>
  <c r="U104" i="5" a="1"/>
  <c r="AD264" i="5" a="1"/>
  <c r="U264" i="5" a="1"/>
  <c r="AD273" i="5" a="1"/>
  <c r="U273" i="5" a="1"/>
  <c r="AD294" i="5" a="1"/>
  <c r="U294" i="5" a="1"/>
  <c r="AF94" i="5" a="1"/>
  <c r="W94" i="5" a="1"/>
  <c r="AC366" i="5" a="1"/>
  <c r="T366" i="5" a="1"/>
  <c r="AD184" i="5" a="1"/>
  <c r="U184" i="5" a="1"/>
  <c r="AD248" i="5" a="1"/>
  <c r="U248" i="5" a="1"/>
  <c r="AC50" i="5" a="1"/>
  <c r="T50" i="5" a="1"/>
  <c r="AE203" i="5" a="1"/>
  <c r="V203" i="5" a="1"/>
  <c r="AC235" i="5" a="1"/>
  <c r="T235" i="5" a="1"/>
  <c r="AC595" i="5" a="1"/>
  <c r="T595" i="5" a="1"/>
  <c r="AC149" i="5" a="1"/>
  <c r="T149" i="5" a="1"/>
  <c r="AE247" i="5" a="1"/>
  <c r="V247" i="5" a="1"/>
  <c r="AD406" i="5" a="1"/>
  <c r="U406" i="5" a="1"/>
  <c r="AC219" i="5" a="1"/>
  <c r="T219" i="5" a="1"/>
  <c r="AE631" i="5" a="1"/>
  <c r="V631" i="5" a="1"/>
  <c r="AC505" i="5" a="1"/>
  <c r="T505" i="5" a="1"/>
  <c r="AD672" i="5" a="1"/>
  <c r="U672" i="5" a="1"/>
  <c r="AE707" i="5" a="1"/>
  <c r="V707" i="5" a="1"/>
  <c r="AC370" i="5" a="1"/>
  <c r="T370" i="5" a="1"/>
  <c r="AD465" i="5" a="1"/>
  <c r="U465" i="5" a="1"/>
  <c r="AF103" i="5" a="1"/>
  <c r="W103" i="5" a="1"/>
  <c r="AE263" i="5" a="1"/>
  <c r="V263" i="5" a="1"/>
  <c r="AD423" i="5" a="1"/>
  <c r="U423" i="5" a="1"/>
  <c r="AF551" i="5" a="1"/>
  <c r="W551" i="5" a="1"/>
  <c r="AF31" i="5" a="1"/>
  <c r="W31" i="5" a="1"/>
  <c r="AC390" i="5" a="1"/>
  <c r="T390" i="5" a="1"/>
  <c r="AD202" i="5" a="1"/>
  <c r="U202" i="5" a="1"/>
  <c r="AC651" i="5" a="1"/>
  <c r="T651" i="5" a="1"/>
  <c r="AE556" i="5" a="1"/>
  <c r="V556" i="5" a="1"/>
  <c r="AC650" i="5" a="1"/>
  <c r="T650" i="5" a="1"/>
  <c r="AC749" i="5" a="1"/>
  <c r="T749" i="5" a="1"/>
  <c r="AC139" i="5" a="1"/>
  <c r="T139" i="5" a="1"/>
  <c r="AD398" i="5" a="1"/>
  <c r="U398" i="5" a="1"/>
  <c r="AD145" i="5" a="1"/>
  <c r="U145" i="5" a="1"/>
  <c r="AC470" i="5" a="1"/>
  <c r="T470" i="5" a="1"/>
  <c r="AC254" i="5" a="1"/>
  <c r="T254" i="5" a="1"/>
  <c r="AF235" i="5" a="1"/>
  <c r="W235" i="5" a="1"/>
  <c r="AF500" i="5" a="1"/>
  <c r="W500" i="5" a="1"/>
  <c r="AE422" i="5" a="1"/>
  <c r="V422" i="5" a="1"/>
  <c r="AC403" i="5" a="1"/>
  <c r="T403" i="5" a="1"/>
  <c r="AE469" i="5" a="1"/>
  <c r="V469" i="5" a="1"/>
  <c r="AE538" i="5" a="1"/>
  <c r="V538" i="5" a="1"/>
  <c r="AF406" i="5" a="1"/>
  <c r="W406" i="5" a="1"/>
  <c r="AD313" i="5" a="1"/>
  <c r="U313" i="5" a="1"/>
  <c r="AF667" i="5" a="1"/>
  <c r="W667" i="5" a="1"/>
  <c r="AD669" i="5" a="1"/>
  <c r="U669" i="5" a="1"/>
  <c r="AF407" i="5" a="1"/>
  <c r="W407" i="5" a="1"/>
  <c r="AE446" i="5" a="1"/>
  <c r="V446" i="5" a="1"/>
  <c r="AD433" i="5" a="1"/>
  <c r="U433" i="5" a="1"/>
  <c r="AD449" i="5" a="1"/>
  <c r="U449" i="5" a="1"/>
  <c r="AC190" i="5" a="1"/>
  <c r="T190" i="5" a="1"/>
  <c r="AD192" i="5" a="1"/>
  <c r="U192" i="5" a="1"/>
  <c r="AC580" i="5" a="1"/>
  <c r="T580" i="5" a="1"/>
  <c r="AC99" i="5" a="1"/>
  <c r="T99" i="5" a="1"/>
  <c r="AC292" i="5" a="1"/>
  <c r="T292" i="5" a="1"/>
  <c r="AC581" i="5" a="1"/>
  <c r="T581" i="5" a="1"/>
  <c r="AE423" i="5" a="1"/>
  <c r="V423" i="5" a="1"/>
  <c r="AF583" i="5" a="1"/>
  <c r="W583" i="5" a="1"/>
  <c r="AE711" i="5" a="1"/>
  <c r="V711" i="5" a="1"/>
  <c r="AD102" i="5" a="1"/>
  <c r="U102" i="5" a="1"/>
  <c r="AD646" i="5" a="1"/>
  <c r="U646" i="5" a="1"/>
  <c r="AD744" i="5" a="1"/>
  <c r="U744" i="5" a="1"/>
  <c r="AD503" i="5" a="1"/>
  <c r="U503" i="5" a="1"/>
  <c r="AD31" i="5" a="1"/>
  <c r="U31" i="5" a="1"/>
  <c r="AD390" i="5" a="1"/>
  <c r="U390" i="5" a="1"/>
  <c r="AD94" i="5" a="1"/>
  <c r="U94" i="5" a="1"/>
  <c r="AC490" i="5" a="1"/>
  <c r="T490" i="5" a="1"/>
  <c r="AC22" i="5" a="1"/>
  <c r="T22" i="5" a="1"/>
  <c r="AC638" i="5" a="1"/>
  <c r="T638" i="5" a="1"/>
  <c r="AC750" i="5" a="1"/>
  <c r="T750" i="5" a="1"/>
  <c r="AC726" i="5" a="1"/>
  <c r="T726" i="5" a="1"/>
  <c r="AD312" i="5" a="1"/>
  <c r="U312" i="5" a="1"/>
  <c r="AC629" i="5" a="1"/>
  <c r="T629" i="5" a="1"/>
  <c r="AE379" i="5" a="1"/>
  <c r="V379" i="5" a="1"/>
  <c r="AC539" i="5" a="1"/>
  <c r="T539" i="5" a="1"/>
  <c r="AE120" i="5" a="1"/>
  <c r="V120" i="5" a="1"/>
  <c r="AD381" i="5" a="1"/>
  <c r="U381" i="5" a="1"/>
  <c r="AC630" i="5" a="1"/>
  <c r="T630" i="5" a="1"/>
  <c r="AC606" i="5" a="1"/>
  <c r="T606" i="5" a="1"/>
  <c r="AE133" i="5" a="1"/>
  <c r="V133" i="5" a="1"/>
  <c r="AC293" i="5" a="1"/>
  <c r="T293" i="5" a="1"/>
  <c r="AC454" i="5" a="1"/>
  <c r="T454" i="5" a="1"/>
  <c r="AF263" i="5" a="1"/>
  <c r="W263" i="5" a="1"/>
  <c r="AC646" i="5" a="1"/>
  <c r="T646" i="5" a="1"/>
  <c r="AF136" i="5" a="1"/>
  <c r="W136" i="5" a="1"/>
  <c r="AC310" i="5" a="1"/>
  <c r="T310" i="5" a="1"/>
  <c r="AC461" i="5" a="1"/>
  <c r="T461" i="5" a="1"/>
  <c r="AF638" i="5" a="1"/>
  <c r="W638" i="5" a="1"/>
  <c r="AE414" i="5" a="1"/>
  <c r="V414" i="5" a="1"/>
  <c r="AD472" i="5" a="1"/>
  <c r="U472" i="5" a="1"/>
  <c r="AC718" i="5" a="1"/>
  <c r="T718" i="5" a="1"/>
  <c r="AC245" i="5" a="1"/>
  <c r="T245" i="5" a="1"/>
  <c r="AE403" i="5" a="1"/>
  <c r="V403" i="5" a="1"/>
  <c r="AF595" i="5" a="1"/>
  <c r="W595" i="5" a="1"/>
  <c r="AD629" i="5" a="1"/>
  <c r="U629" i="5" a="1"/>
  <c r="AE476" i="5" a="1"/>
  <c r="V476" i="5" a="1"/>
  <c r="AE61" i="5" a="1"/>
  <c r="V61" i="5" a="1"/>
  <c r="AC221" i="5" a="1"/>
  <c r="T221" i="5" a="1"/>
  <c r="AD701" i="5" a="1"/>
  <c r="U701" i="5" a="1"/>
  <c r="AE384" i="5" a="1"/>
  <c r="V384" i="5" a="1"/>
  <c r="AF579" i="5" a="1"/>
  <c r="W579" i="5" a="1"/>
  <c r="AE192" i="5" a="1"/>
  <c r="V192" i="5" a="1"/>
  <c r="AF420" i="5" a="1"/>
  <c r="W420" i="5" a="1"/>
  <c r="AF133" i="5" a="1"/>
  <c r="W133" i="5" a="1"/>
  <c r="AF293" i="5" a="1"/>
  <c r="W293" i="5" a="1"/>
  <c r="AF453" i="5" a="1"/>
  <c r="W453" i="5" a="1"/>
  <c r="AD743" i="5" a="1"/>
  <c r="U743" i="5" a="1"/>
  <c r="AF646" i="5" a="1"/>
  <c r="W646" i="5" a="1"/>
  <c r="AD424" i="5" a="1"/>
  <c r="U424" i="5" a="1"/>
  <c r="AD361" i="5" a="1"/>
  <c r="U361" i="5" a="1"/>
  <c r="AC682" i="5" a="1"/>
  <c r="T682" i="5" a="1"/>
  <c r="AC414" i="5" a="1"/>
  <c r="T414" i="5" a="1"/>
  <c r="AF651" i="5" a="1"/>
  <c r="W651" i="5" a="1"/>
  <c r="AF621" i="5" a="1"/>
  <c r="W621" i="5" a="1"/>
  <c r="AE22" i="5" a="1"/>
  <c r="V22" i="5" a="1"/>
  <c r="AD686" i="5" a="1"/>
  <c r="U686" i="5" a="1"/>
  <c r="AE204" i="5" a="1"/>
  <c r="V204" i="5" a="1"/>
  <c r="AF143" i="5" a="1"/>
  <c r="W143" i="5" a="1"/>
  <c r="AF173" i="5" a="1"/>
  <c r="W173" i="5" a="1"/>
  <c r="AC69" i="5" a="1"/>
  <c r="T69" i="5" a="1"/>
  <c r="AD745" i="5" a="1"/>
  <c r="U745" i="5" a="1"/>
  <c r="AD369" i="5" a="1"/>
  <c r="U369" i="5" a="1"/>
  <c r="AC313" i="5" a="1"/>
  <c r="T313" i="5" a="1"/>
  <c r="AF91" i="5" a="1"/>
  <c r="W91" i="5" a="1"/>
  <c r="AF476" i="5" a="1"/>
  <c r="W476" i="5" a="1"/>
  <c r="AC636" i="5" a="1"/>
  <c r="T636" i="5" a="1"/>
  <c r="AD601" i="5" a="1"/>
  <c r="U601" i="5" a="1"/>
  <c r="AD32" i="5" a="1"/>
  <c r="U32" i="5" a="1"/>
  <c r="AD542" i="5" a="1"/>
  <c r="U542" i="5" a="1"/>
  <c r="AC514" i="5" a="1"/>
  <c r="T514" i="5" a="1"/>
  <c r="AE304" i="5" a="1"/>
  <c r="V304" i="5" a="1"/>
  <c r="AD68" i="5" a="1"/>
  <c r="U68" i="5" a="1"/>
  <c r="AE580" i="5" a="1"/>
  <c r="V580" i="5" a="1"/>
  <c r="AD504" i="5" a="1"/>
  <c r="U504" i="5" a="1"/>
  <c r="AE439" i="5" a="1"/>
  <c r="V439" i="5" a="1"/>
  <c r="AE135" i="5" a="1"/>
  <c r="V135" i="5" a="1"/>
  <c r="AD295" i="5" a="1"/>
  <c r="U295" i="5" a="1"/>
  <c r="AD583" i="5" a="1"/>
  <c r="U583" i="5" a="1"/>
  <c r="AE447" i="5" a="1"/>
  <c r="V447" i="5" a="1"/>
  <c r="AD48" i="5" a="1"/>
  <c r="U48" i="5" a="1"/>
  <c r="AF310" i="5" a="1"/>
  <c r="W310" i="5" a="1"/>
  <c r="AF526" i="5" a="1"/>
  <c r="W526" i="5" a="1"/>
  <c r="AD143" i="5" a="1"/>
  <c r="U143" i="5" a="1"/>
  <c r="AF111" i="5" a="1"/>
  <c r="W111" i="5" a="1"/>
  <c r="AF355" i="5" a="1"/>
  <c r="W355" i="5" a="1"/>
  <c r="AE678" i="5" a="1"/>
  <c r="V678" i="5" a="1"/>
  <c r="AD174" i="5" a="1"/>
  <c r="U174" i="5" a="1"/>
  <c r="AC627" i="5" a="1"/>
  <c r="T627" i="5" a="1"/>
  <c r="AF629" i="5" a="1"/>
  <c r="W629" i="5" a="1"/>
  <c r="AE55" i="5" a="1"/>
  <c r="V55" i="5" a="1"/>
  <c r="AF93" i="5" a="1"/>
  <c r="W93" i="5" a="1"/>
  <c r="AC701" i="5" a="1"/>
  <c r="T701" i="5" a="1"/>
  <c r="AD384" i="5" a="1"/>
  <c r="U384" i="5" a="1"/>
  <c r="AD161" i="5" a="1"/>
  <c r="U161" i="5" a="1"/>
  <c r="AC481" i="5" a="1"/>
  <c r="T481" i="5" a="1"/>
  <c r="AE542" i="5" a="1"/>
  <c r="V542" i="5" a="1"/>
  <c r="AD224" i="5" a="1"/>
  <c r="U224" i="5" a="1"/>
  <c r="AF694" i="5" a="1"/>
  <c r="W694" i="5" a="1"/>
  <c r="AF223" i="5" a="1"/>
  <c r="W223" i="5" a="1"/>
  <c r="AD740" i="5" a="1"/>
  <c r="U740" i="5" a="1"/>
  <c r="AC132" i="5" a="1"/>
  <c r="T132" i="5" a="1"/>
  <c r="AE388" i="5" a="1"/>
  <c r="V388" i="5" a="1"/>
  <c r="AE165" i="5" a="1"/>
  <c r="V165" i="5" a="1"/>
  <c r="AF454" i="5" a="1"/>
  <c r="W454" i="5" a="1"/>
  <c r="AF135" i="5" a="1"/>
  <c r="W135" i="5" a="1"/>
  <c r="AE295" i="5" a="1"/>
  <c r="V295" i="5" a="1"/>
  <c r="AE583" i="5" a="1"/>
  <c r="V583" i="5" a="1"/>
  <c r="AE743" i="5" a="1"/>
  <c r="V743" i="5" a="1"/>
  <c r="AC715" i="5" a="1"/>
  <c r="T715" i="5" a="1"/>
  <c r="AE638" i="5" a="1"/>
  <c r="V638" i="5" a="1"/>
  <c r="AC76" i="5" a="1"/>
  <c r="T76" i="5" a="1"/>
  <c r="AC148" i="5" a="1"/>
  <c r="T148" i="5" a="1"/>
  <c r="AF436" i="5" a="1"/>
  <c r="W436" i="5" a="1"/>
  <c r="AE58" i="5" a="1"/>
  <c r="V58" i="5" a="1"/>
  <c r="AC571" i="5" a="1"/>
  <c r="T571" i="5" a="1"/>
  <c r="AE636" i="5" a="1"/>
  <c r="V636" i="5" a="1"/>
  <c r="AC562" i="5" a="1"/>
  <c r="T562" i="5" a="1"/>
  <c r="AD120" i="5" a="1"/>
  <c r="U120" i="5" a="1"/>
  <c r="AD413" i="5" a="1"/>
  <c r="U413" i="5" a="1"/>
  <c r="AF543" i="5" a="1"/>
  <c r="W543" i="5" a="1"/>
  <c r="AE612" i="5" a="1"/>
  <c r="V612" i="5" a="1"/>
  <c r="AF498" i="5" a="1"/>
  <c r="W498" i="5" a="1"/>
  <c r="AC388" i="5" a="1"/>
  <c r="T388" i="5" a="1"/>
  <c r="AE325" i="5" a="1"/>
  <c r="V325" i="5" a="1"/>
  <c r="AC135" i="5" a="1"/>
  <c r="T135" i="5" a="1"/>
  <c r="AE455" i="5" a="1"/>
  <c r="V455" i="5" a="1"/>
  <c r="AE615" i="5" a="1"/>
  <c r="V615" i="5" a="1"/>
  <c r="AD456" i="5" a="1"/>
  <c r="U456" i="5" a="1"/>
  <c r="AD616" i="5" a="1"/>
  <c r="U616" i="5" a="1"/>
  <c r="AD600" i="5" a="1"/>
  <c r="U600" i="5" a="1"/>
  <c r="AC447" i="5" a="1"/>
  <c r="T447" i="5" a="1"/>
  <c r="AD310" i="5" a="1"/>
  <c r="U310" i="5" a="1"/>
  <c r="AF333" i="5" a="1"/>
  <c r="W333" i="5" a="1"/>
  <c r="AC246" i="5" a="1"/>
  <c r="T246" i="5" a="1"/>
  <c r="AC172" i="5" a="1"/>
  <c r="T172" i="5" a="1"/>
  <c r="AF591" i="5" a="1"/>
  <c r="W591" i="5" a="1"/>
  <c r="AD633" i="5" a="1"/>
  <c r="U633" i="5" a="1"/>
  <c r="AC389" i="5" a="1"/>
  <c r="T389" i="5" a="1"/>
  <c r="AD360" i="5" a="1"/>
  <c r="U360" i="5" a="1"/>
  <c r="AE298" i="5" a="1"/>
  <c r="V298" i="5" a="1"/>
  <c r="AF435" i="5" a="1"/>
  <c r="W435" i="5" a="1"/>
  <c r="AF181" i="5" a="1"/>
  <c r="W181" i="5" a="1"/>
  <c r="AC341" i="5" a="1"/>
  <c r="T341" i="5" a="1"/>
  <c r="AC410" i="5" a="1"/>
  <c r="T410" i="5" a="1"/>
  <c r="AD476" i="5" a="1"/>
  <c r="U476" i="5" a="1"/>
  <c r="AF636" i="5" a="1"/>
  <c r="W636" i="5" a="1"/>
  <c r="AE413" i="5" a="1"/>
  <c r="V413" i="5" a="1"/>
  <c r="AD481" i="5" a="1"/>
  <c r="U481" i="5" a="1"/>
  <c r="AC674" i="5" a="1"/>
  <c r="T674" i="5" a="1"/>
  <c r="AE222" i="5" a="1"/>
  <c r="V222" i="5" a="1"/>
  <c r="AE343" i="5" a="1"/>
  <c r="V343" i="5" a="1"/>
  <c r="AF68" i="5" a="1"/>
  <c r="W68" i="5" a="1"/>
  <c r="AE164" i="5" a="1"/>
  <c r="V164" i="5" a="1"/>
  <c r="AF165" i="5" a="1"/>
  <c r="W165" i="5" a="1"/>
  <c r="AF645" i="5" a="1"/>
  <c r="W645" i="5" a="1"/>
  <c r="AC82" i="5" a="1"/>
  <c r="T82" i="5" a="1"/>
  <c r="AC582" i="5" a="1"/>
  <c r="T582" i="5" a="1"/>
  <c r="AE456" i="5" a="1"/>
  <c r="V456" i="5" a="1"/>
  <c r="AC394" i="5" a="1"/>
  <c r="T394" i="5" a="1"/>
  <c r="AE107" i="5" a="1"/>
  <c r="V107" i="5" a="1"/>
  <c r="AC748" i="5" a="1"/>
  <c r="T748" i="5" a="1"/>
  <c r="AF525" i="5" a="1"/>
  <c r="W525" i="5" a="1"/>
  <c r="AD534" i="5" a="1"/>
  <c r="U534" i="5" a="1"/>
  <c r="AD575" i="5" a="1"/>
  <c r="U575" i="5" a="1"/>
  <c r="AC722" i="5" a="1"/>
  <c r="T722" i="5" a="1"/>
  <c r="AE396" i="5" a="1"/>
  <c r="V396" i="5" a="1"/>
  <c r="AF596" i="5" a="1"/>
  <c r="W596" i="5" a="1"/>
  <c r="AF627" i="5" a="1"/>
  <c r="W627" i="5" a="1"/>
  <c r="AD308" i="5" a="1"/>
  <c r="U308" i="5" a="1"/>
  <c r="AE661" i="5" a="1"/>
  <c r="V661" i="5" a="1"/>
  <c r="AE240" i="5" a="1"/>
  <c r="V240" i="5" a="1"/>
  <c r="AC411" i="5" a="1"/>
  <c r="T411" i="5" a="1"/>
  <c r="AD47" i="5" a="1"/>
  <c r="U47" i="5" a="1"/>
  <c r="AC253" i="5" a="1"/>
  <c r="T253" i="5" a="1"/>
  <c r="AD641" i="5" a="1"/>
  <c r="U641" i="5" a="1"/>
  <c r="AD432" i="5" a="1"/>
  <c r="U432" i="5" a="1"/>
  <c r="AE375" i="5" a="1"/>
  <c r="V375" i="5" a="1"/>
  <c r="AF67" i="5" a="1"/>
  <c r="W67" i="5" a="1"/>
  <c r="AD343" i="5" a="1"/>
  <c r="U343" i="5" a="1"/>
  <c r="AD479" i="5" a="1"/>
  <c r="U479" i="5" a="1"/>
  <c r="AF566" i="5" a="1"/>
  <c r="W566" i="5" a="1"/>
  <c r="AF164" i="5" a="1"/>
  <c r="W164" i="5" a="1"/>
  <c r="AF325" i="5" a="1"/>
  <c r="W325" i="5" a="1"/>
  <c r="AF399" i="5" a="1"/>
  <c r="W399" i="5" a="1"/>
  <c r="AD167" i="5" a="1"/>
  <c r="U167" i="5" a="1"/>
  <c r="AD230" i="5" a="1"/>
  <c r="U230" i="5" a="1"/>
  <c r="AE333" i="5" a="1"/>
  <c r="V333" i="5" a="1"/>
  <c r="AE143" i="5" a="1"/>
  <c r="V143" i="5" a="1"/>
  <c r="AF191" i="5" a="1"/>
  <c r="W191" i="5" a="1"/>
  <c r="AD470" i="5" a="1"/>
  <c r="U470" i="5" a="1"/>
  <c r="AD335" i="5" a="1"/>
  <c r="U335" i="5" a="1"/>
  <c r="AE21" i="5" a="1"/>
  <c r="V21" i="5" a="1"/>
  <c r="AD250" i="5" a="1"/>
  <c r="U250" i="5" a="1"/>
  <c r="AC508" i="5" a="1"/>
  <c r="T508" i="5" a="1"/>
  <c r="AE47" i="5" a="1"/>
  <c r="V47" i="5" a="1"/>
  <c r="AF125" i="5" a="1"/>
  <c r="W125" i="5" a="1"/>
  <c r="AE573" i="5" a="1"/>
  <c r="V573" i="5" a="1"/>
  <c r="AE733" i="5" a="1"/>
  <c r="V733" i="5" a="1"/>
  <c r="AE432" i="5" a="1"/>
  <c r="V432" i="5" a="1"/>
  <c r="AC706" i="5" a="1"/>
  <c r="T706" i="5" a="1"/>
  <c r="AF260" i="5" a="1"/>
  <c r="W260" i="5" a="1"/>
  <c r="AE566" i="5" a="1"/>
  <c r="V566" i="5" a="1"/>
  <c r="AE131" i="5" a="1"/>
  <c r="V131" i="5" a="1"/>
  <c r="AC37" i="5" a="1"/>
  <c r="T37" i="5" a="1"/>
  <c r="AC197" i="5" a="1"/>
  <c r="T197" i="5" a="1"/>
  <c r="AC485" i="5" a="1"/>
  <c r="T485" i="5" a="1"/>
  <c r="AC399" i="5" a="1"/>
  <c r="T399" i="5" a="1"/>
  <c r="AD466" i="5" a="1"/>
  <c r="U466" i="5" a="1"/>
  <c r="AF527" i="5" a="1"/>
  <c r="W527" i="5" a="1"/>
  <c r="AE230" i="5" a="1"/>
  <c r="V230" i="5" a="1"/>
  <c r="AD742" i="5" a="1"/>
  <c r="U742" i="5" a="1"/>
  <c r="AE239" i="5" a="1"/>
  <c r="V239" i="5" a="1"/>
  <c r="AC530" i="5" a="1"/>
  <c r="T530" i="5" a="1"/>
  <c r="AC553" i="5" a="1"/>
  <c r="T553" i="5" a="1"/>
  <c r="AD688" i="5" a="1"/>
  <c r="U688" i="5" a="1"/>
  <c r="AF695" i="5" a="1"/>
  <c r="W695" i="5" a="1"/>
  <c r="AD394" i="5" a="1"/>
  <c r="U394" i="5" a="1"/>
  <c r="AF344" i="5" a="1"/>
  <c r="W344" i="5" a="1"/>
  <c r="AC491" i="5" a="1"/>
  <c r="T491" i="5" a="1"/>
  <c r="AE460" i="5" a="1"/>
  <c r="V460" i="5" a="1"/>
  <c r="AF45" i="5" a="1"/>
  <c r="W45" i="5" a="1"/>
  <c r="AE173" i="5" a="1"/>
  <c r="V173" i="5" a="1"/>
  <c r="AE493" i="5" a="1"/>
  <c r="V493" i="5" a="1"/>
  <c r="AE591" i="5" a="1"/>
  <c r="V591" i="5" a="1"/>
  <c r="AD191" i="5" a="1"/>
  <c r="U191" i="5" a="1"/>
  <c r="AC45" i="5" a="1"/>
  <c r="T45" i="5" a="1"/>
  <c r="AF359" i="5" a="1"/>
  <c r="W359" i="5" a="1"/>
  <c r="AF175" i="5" a="1"/>
  <c r="W175" i="5" a="1"/>
  <c r="AC53" i="5" a="1"/>
  <c r="T53" i="5" a="1"/>
  <c r="AE373" i="5" a="1"/>
  <c r="V373" i="5" a="1"/>
  <c r="AE730" i="5" a="1"/>
  <c r="V730" i="5" a="1"/>
  <c r="AC146" i="5" a="1"/>
  <c r="T146" i="5" a="1"/>
  <c r="AD377" i="5" a="1"/>
  <c r="U377" i="5" a="1"/>
  <c r="AE60" i="5" a="1"/>
  <c r="V60" i="5" a="1"/>
  <c r="AF348" i="5" a="1"/>
  <c r="W348" i="5" a="1"/>
  <c r="AF431" i="5" a="1"/>
  <c r="W431" i="5" a="1"/>
  <c r="AD375" i="5" a="1"/>
  <c r="U375" i="5" a="1"/>
  <c r="AC386" i="5" a="1"/>
  <c r="T386" i="5" a="1"/>
  <c r="AD222" i="5" a="1"/>
  <c r="U222" i="5" a="1"/>
  <c r="AD485" i="5" a="1"/>
  <c r="U485" i="5" a="1"/>
  <c r="AD645" i="5" a="1"/>
  <c r="U645" i="5" a="1"/>
  <c r="AE399" i="5" a="1"/>
  <c r="V399" i="5" a="1"/>
  <c r="AE466" i="5" a="1"/>
  <c r="V466" i="5" a="1"/>
  <c r="AD487" i="5" a="1"/>
  <c r="U487" i="5" a="1"/>
  <c r="AF54" i="5" a="1"/>
  <c r="W54" i="5" a="1"/>
  <c r="AE38" i="5" a="1"/>
  <c r="V38" i="5" a="1"/>
  <c r="AC73" i="5" a="1"/>
  <c r="T73" i="5" a="1"/>
  <c r="AF255" i="5" a="1"/>
  <c r="W255" i="5" a="1"/>
  <c r="AC86" i="5" a="1"/>
  <c r="T86" i="5" a="1"/>
  <c r="AD590" i="5" a="1"/>
  <c r="U590" i="5" a="1"/>
  <c r="AC531" i="5" a="1"/>
  <c r="T531" i="5" a="1"/>
  <c r="AD305" i="5" a="1"/>
  <c r="U305" i="5" a="1"/>
  <c r="AE275" i="5" a="1"/>
  <c r="V275" i="5" a="1"/>
  <c r="AC180" i="5" a="1"/>
  <c r="T180" i="5" a="1"/>
  <c r="AC213" i="5" a="1"/>
  <c r="T213" i="5" a="1"/>
  <c r="AC218" i="5" a="1"/>
  <c r="T218" i="5" a="1"/>
  <c r="AC250" i="5" a="1"/>
  <c r="T250" i="5" a="1"/>
  <c r="AC123" i="5" a="1"/>
  <c r="T123" i="5" a="1"/>
  <c r="AE663" i="5" a="1"/>
  <c r="V663" i="5" a="1"/>
  <c r="AE220" i="5" a="1"/>
  <c r="V220" i="5" a="1"/>
  <c r="AC348" i="5" a="1"/>
  <c r="T348" i="5" a="1"/>
  <c r="AC125" i="5" a="1"/>
  <c r="T125" i="5" a="1"/>
  <c r="AD285" i="5" a="1"/>
  <c r="U285" i="5" a="1"/>
  <c r="AF416" i="5" a="1"/>
  <c r="W416" i="5" a="1"/>
  <c r="AD353" i="5" a="1"/>
  <c r="U353" i="5" a="1"/>
  <c r="AF574" i="5" a="1"/>
  <c r="W574" i="5" a="1"/>
  <c r="AE67" i="5" a="1"/>
  <c r="V67" i="5" a="1"/>
  <c r="AD336" i="5" a="1"/>
  <c r="U336" i="5" a="1"/>
  <c r="AF484" i="5" a="1"/>
  <c r="W484" i="5" a="1"/>
  <c r="AD34" i="5" a="1"/>
  <c r="U34" i="5" a="1"/>
  <c r="AE37" i="5" a="1"/>
  <c r="V37" i="5" a="1"/>
  <c r="AE197" i="5" a="1"/>
  <c r="V197" i="5" a="1"/>
  <c r="AD153" i="5" a="1"/>
  <c r="U153" i="5" a="1"/>
  <c r="AF167" i="5" a="1"/>
  <c r="W167" i="5" a="1"/>
  <c r="AE614" i="5" a="1"/>
  <c r="V614" i="5" a="1"/>
  <c r="AD713" i="5" a="1"/>
  <c r="U713" i="5" a="1"/>
  <c r="AD695" i="5" a="1"/>
  <c r="U695" i="5" a="1"/>
  <c r="AF426" i="5" a="1"/>
  <c r="W426" i="5" a="1"/>
  <c r="AD720" i="5" a="1"/>
  <c r="U720" i="5" a="1"/>
  <c r="AE300" i="5" a="1"/>
  <c r="V300" i="5" a="1"/>
  <c r="AD342" i="5" a="1"/>
  <c r="U342" i="5" a="1"/>
  <c r="AC525" i="5" a="1"/>
  <c r="T525" i="5" a="1"/>
  <c r="AE302" i="5" a="1"/>
  <c r="V302" i="5" a="1"/>
  <c r="AE540" i="5" a="1"/>
  <c r="V540" i="5" a="1"/>
  <c r="AC691" i="5" a="1"/>
  <c r="T691" i="5" a="1"/>
  <c r="AE659" i="5" a="1"/>
  <c r="V659" i="5" a="1"/>
  <c r="AC340" i="5" a="1"/>
  <c r="T340" i="5" a="1"/>
  <c r="AD213" i="5" a="1"/>
  <c r="U213" i="5" a="1"/>
  <c r="AC693" i="5" a="1"/>
  <c r="T693" i="5" a="1"/>
  <c r="AD240" i="5" a="1"/>
  <c r="U240" i="5" a="1"/>
  <c r="AF663" i="5" a="1"/>
  <c r="W663" i="5" a="1"/>
  <c r="AC220" i="5" a="1"/>
  <c r="T220" i="5" a="1"/>
  <c r="AE380" i="5" a="1"/>
  <c r="V380" i="5" a="1"/>
  <c r="AD118" i="5" a="1"/>
  <c r="U118" i="5" a="1"/>
  <c r="AE285" i="5" a="1"/>
  <c r="V285" i="5" a="1"/>
  <c r="AC605" i="5" a="1"/>
  <c r="T605" i="5" a="1"/>
  <c r="AD576" i="5" a="1"/>
  <c r="U576" i="5" a="1"/>
  <c r="AE182" i="5" a="1"/>
  <c r="V182" i="5" a="1"/>
  <c r="AE127" i="5" a="1"/>
  <c r="V127" i="5" a="1"/>
  <c r="AD593" i="5" a="1"/>
  <c r="U593" i="5" a="1"/>
  <c r="AE706" i="5" a="1"/>
  <c r="V706" i="5" a="1"/>
  <c r="AF479" i="5" a="1"/>
  <c r="W479" i="5" a="1"/>
  <c r="AD566" i="5" a="1"/>
  <c r="U566" i="5" a="1"/>
  <c r="AE196" i="5" a="1"/>
  <c r="V196" i="5" a="1"/>
  <c r="AF153" i="5" a="1"/>
  <c r="W153" i="5" a="1"/>
  <c r="AD39" i="5" a="1"/>
  <c r="U39" i="5" a="1"/>
  <c r="AF327" i="5" a="1"/>
  <c r="W327" i="5" a="1"/>
  <c r="AD647" i="5" a="1"/>
  <c r="U647" i="5" a="1"/>
  <c r="AE54" i="5" a="1"/>
  <c r="V54" i="5" a="1"/>
  <c r="AE326" i="5" a="1"/>
  <c r="V326" i="5" a="1"/>
  <c r="AF200" i="5" a="1"/>
  <c r="W200" i="5" a="1"/>
  <c r="AC255" i="5" a="1"/>
  <c r="T255" i="5" a="1"/>
  <c r="AF492" i="5" a="1"/>
  <c r="W492" i="5" a="1"/>
  <c r="AC142" i="5" a="1"/>
  <c r="T142" i="5" a="1"/>
  <c r="AE176" i="5" a="1"/>
  <c r="V176" i="5" a="1"/>
  <c r="AE691" i="5" a="1"/>
  <c r="V691" i="5" a="1"/>
  <c r="AE175" i="5" a="1"/>
  <c r="V175" i="5" a="1"/>
  <c r="AE85" i="5" a="1"/>
  <c r="V85" i="5" a="1"/>
  <c r="AF373" i="5" a="1"/>
  <c r="W373" i="5" a="1"/>
  <c r="AC721" i="5" a="1"/>
  <c r="T721" i="5" a="1"/>
  <c r="AD442" i="5" a="1"/>
  <c r="U442" i="5" a="1"/>
  <c r="AD24" i="5" a="1"/>
  <c r="U24" i="5" a="1"/>
  <c r="AC380" i="5" a="1"/>
  <c r="T380" i="5" a="1"/>
  <c r="AD249" i="5" a="1"/>
  <c r="U249" i="5" a="1"/>
  <c r="AE28" i="5" a="1"/>
  <c r="V28" i="5" a="1"/>
  <c r="AF285" i="5" a="1"/>
  <c r="W285" i="5" a="1"/>
  <c r="AF159" i="5" a="1"/>
  <c r="W159" i="5" a="1"/>
  <c r="AC355" i="5" a="1"/>
  <c r="T355" i="5" a="1"/>
  <c r="AE484" i="5" a="1"/>
  <c r="V484" i="5" a="1"/>
  <c r="AE734" i="5" a="1"/>
  <c r="V734" i="5" a="1"/>
  <c r="AF195" i="5" a="1"/>
  <c r="W195" i="5" a="1"/>
  <c r="AC196" i="5" a="1"/>
  <c r="T196" i="5" a="1"/>
  <c r="AD677" i="5" a="1"/>
  <c r="U677" i="5" a="1"/>
  <c r="AF166" i="5" a="1"/>
  <c r="W166" i="5" a="1"/>
  <c r="AF670" i="5" a="1"/>
  <c r="W670" i="5" a="1"/>
  <c r="AD40" i="5" a="1"/>
  <c r="U40" i="5" a="1"/>
  <c r="AD38" i="5" a="1"/>
  <c r="U38" i="5" a="1"/>
  <c r="AF70" i="5" a="1"/>
  <c r="W70" i="5" a="1"/>
  <c r="AF575" i="5" a="1"/>
  <c r="W575" i="5" a="1"/>
  <c r="AF300" i="5" a="1"/>
  <c r="W300" i="5" a="1"/>
  <c r="AC652" i="5" a="1"/>
  <c r="T652" i="5" a="1"/>
  <c r="AE205" i="5" a="1"/>
  <c r="V205" i="5" a="1"/>
  <c r="AC365" i="5" a="1"/>
  <c r="T365" i="5" a="1"/>
  <c r="AE470" i="5" a="1"/>
  <c r="V470" i="5" a="1"/>
  <c r="AD57" i="5" a="1"/>
  <c r="U57" i="5" a="1"/>
  <c r="AF430" i="5" a="1"/>
  <c r="W430" i="5" a="1"/>
  <c r="AE590" i="5" a="1"/>
  <c r="V590" i="5" a="1"/>
  <c r="AF237" i="5" a="1"/>
  <c r="W237" i="5" a="1"/>
  <c r="AF142" i="5" a="1"/>
  <c r="W142" i="5" a="1"/>
  <c r="AC303" i="5" a="1"/>
  <c r="T303" i="5" a="1"/>
  <c r="AF340" i="5" a="1"/>
  <c r="W340" i="5" a="1"/>
  <c r="AF245" i="5" a="1"/>
  <c r="W245" i="5" a="1"/>
  <c r="AC634" i="5" a="1"/>
  <c r="T634" i="5" a="1"/>
  <c r="AE252" i="5" a="1"/>
  <c r="V252" i="5" a="1"/>
  <c r="AD625" i="5" a="1"/>
  <c r="U625" i="5" a="1"/>
  <c r="AC676" i="5" a="1"/>
  <c r="T676" i="5" a="1"/>
  <c r="AC677" i="5" a="1"/>
  <c r="T677" i="5" a="1"/>
  <c r="AF262" i="5" a="1"/>
  <c r="W262" i="5" a="1"/>
  <c r="AE519" i="5" a="1"/>
  <c r="V519" i="5" a="1"/>
  <c r="AD624" i="5" a="1"/>
  <c r="U624" i="5" a="1"/>
  <c r="AD753" i="5" a="1"/>
  <c r="U753" i="5" a="1"/>
  <c r="AD500" i="5" a="1"/>
  <c r="U500" i="5" a="1"/>
  <c r="AD175" i="5" a="1"/>
  <c r="U175" i="5" a="1"/>
  <c r="AE340" i="5" a="1"/>
  <c r="V340" i="5" a="1"/>
  <c r="AF533" i="5" a="1"/>
  <c r="W533" i="5" a="1"/>
  <c r="AD721" i="5" a="1"/>
  <c r="U721" i="5" a="1"/>
  <c r="AD185" i="5" a="1"/>
  <c r="U185" i="5" a="1"/>
  <c r="AF335" i="5" a="1"/>
  <c r="W335" i="5" a="1"/>
  <c r="AC418" i="5" a="1"/>
  <c r="T418" i="5" a="1"/>
  <c r="AE355" i="5" a="1"/>
  <c r="V355" i="5" a="1"/>
  <c r="AE515" i="5" a="1"/>
  <c r="V515" i="5" a="1"/>
  <c r="AC484" i="5" a="1"/>
  <c r="T484" i="5" a="1"/>
  <c r="AC229" i="5" a="1"/>
  <c r="T229" i="5" a="1"/>
  <c r="AF598" i="5" a="1"/>
  <c r="W598" i="5" a="1"/>
  <c r="AC166" i="5" a="1"/>
  <c r="T166" i="5" a="1"/>
  <c r="AD648" i="5" a="1"/>
  <c r="U648" i="5" a="1"/>
  <c r="AF80" i="5" a="1"/>
  <c r="W80" i="5" a="1"/>
  <c r="AE198" i="5" a="1"/>
  <c r="V198" i="5" a="1"/>
  <c r="AC70" i="5" a="1"/>
  <c r="T70" i="5" a="1"/>
  <c r="AC747" i="5" a="1"/>
  <c r="T747" i="5" a="1"/>
  <c r="AC492" i="5" a="1"/>
  <c r="T492" i="5" a="1"/>
  <c r="AF77" i="5" a="1"/>
  <c r="W77" i="5" a="1"/>
  <c r="AD365" i="5" a="1"/>
  <c r="U365" i="5" a="1"/>
  <c r="AD525" i="5" a="1"/>
  <c r="U525" i="5" a="1"/>
  <c r="AE685" i="5" a="1"/>
  <c r="V685" i="5" a="1"/>
  <c r="AF470" i="5" a="1"/>
  <c r="W470" i="5" a="1"/>
  <c r="AC462" i="5" a="1"/>
  <c r="T462" i="5" a="1"/>
  <c r="AE235" i="5" a="1"/>
  <c r="V235" i="5" a="1"/>
  <c r="AC300" i="5" a="1"/>
  <c r="T300" i="5" a="1"/>
  <c r="AE365" i="5" a="1"/>
  <c r="V365" i="5" a="1"/>
  <c r="AF331" i="5" a="1"/>
  <c r="W331" i="5" a="1"/>
  <c r="AE462" i="5" a="1"/>
  <c r="V462" i="5" a="1"/>
  <c r="AF339" i="5" a="1"/>
  <c r="W339" i="5" a="1"/>
  <c r="AC212" i="5" a="1"/>
  <c r="T212" i="5" a="1"/>
  <c r="AE565" i="5" a="1"/>
  <c r="V565" i="5" a="1"/>
  <c r="AC374" i="5" a="1"/>
  <c r="T374" i="5" a="1"/>
  <c r="AF157" i="5" a="1"/>
  <c r="W157" i="5" a="1"/>
  <c r="AF703" i="5" a="1"/>
  <c r="W703" i="5" a="1"/>
  <c r="AD389" i="5" a="1"/>
  <c r="U389" i="5" a="1"/>
  <c r="AC725" i="5" a="1"/>
  <c r="T725" i="5" a="1"/>
  <c r="AE516" i="5" a="1"/>
  <c r="V516" i="5" a="1"/>
  <c r="AD71" i="5" a="1"/>
  <c r="U71" i="5" a="1"/>
  <c r="AD520" i="5" a="1"/>
  <c r="U520" i="5" a="1"/>
  <c r="AF622" i="5" a="1"/>
  <c r="W622" i="5" a="1"/>
  <c r="AF303" i="5" a="1"/>
  <c r="W303" i="5" a="1"/>
  <c r="AC499" i="5" a="1"/>
  <c r="T499" i="5" a="1"/>
  <c r="AC52" i="5" a="1"/>
  <c r="T52" i="5" a="1"/>
  <c r="AD245" i="5" a="1"/>
  <c r="U245" i="5" a="1"/>
  <c r="AF693" i="5" a="1"/>
  <c r="W693" i="5" a="1"/>
  <c r="AC315" i="5" a="1"/>
  <c r="T315" i="5" a="1"/>
  <c r="AE24" i="5" a="1"/>
  <c r="V24" i="5" a="1"/>
  <c r="AE92" i="5" a="1"/>
  <c r="V92" i="5" a="1"/>
  <c r="AF540" i="5" a="1"/>
  <c r="W540" i="5" a="1"/>
  <c r="AC700" i="5" a="1"/>
  <c r="T700" i="5" a="1"/>
  <c r="AC317" i="5" a="1"/>
  <c r="T317" i="5" a="1"/>
  <c r="AE662" i="5" a="1"/>
  <c r="V662" i="5" a="1"/>
  <c r="AD30" i="5" a="1"/>
  <c r="U30" i="5" a="1"/>
  <c r="AC438" i="5" a="1"/>
  <c r="T438" i="5" a="1"/>
  <c r="AD127" i="5" a="1"/>
  <c r="U127" i="5" a="1"/>
  <c r="AD65" i="5" a="1"/>
  <c r="U65" i="5" a="1"/>
  <c r="AD673" i="5" a="1"/>
  <c r="U673" i="5" a="1"/>
  <c r="AD696" i="5" a="1"/>
  <c r="U696" i="5" a="1"/>
  <c r="AF258" i="5" a="1"/>
  <c r="W258" i="5" a="1"/>
  <c r="AE703" i="5" a="1"/>
  <c r="V703" i="5" a="1"/>
  <c r="AC598" i="5" a="1"/>
  <c r="T598" i="5" a="1"/>
  <c r="AC62" i="5" a="1"/>
  <c r="T62" i="5" a="1"/>
  <c r="AC39" i="5" a="1"/>
  <c r="T39" i="5" a="1"/>
  <c r="AE359" i="5" a="1"/>
  <c r="V359" i="5" a="1"/>
  <c r="AF502" i="5" a="1"/>
  <c r="W502" i="5" a="1"/>
  <c r="AD95" i="5" a="1"/>
  <c r="U95" i="5" a="1"/>
  <c r="AC534" i="5" a="1"/>
  <c r="T534" i="5" a="1"/>
  <c r="AE254" i="5" a="1"/>
  <c r="V254" i="5" a="1"/>
  <c r="AF198" i="5" a="1"/>
  <c r="W198" i="5" a="1"/>
  <c r="AC678" i="5" a="1"/>
  <c r="T678" i="5" a="1"/>
  <c r="AC745" i="5" a="1"/>
  <c r="T745" i="5" a="1"/>
  <c r="AD70" i="5" a="1"/>
  <c r="U70" i="5" a="1"/>
  <c r="AD622" i="5" a="1"/>
  <c r="U622" i="5" a="1"/>
  <c r="AC475" i="5" a="1"/>
  <c r="T475" i="5" a="1"/>
  <c r="AC477" i="5" a="1"/>
  <c r="T477" i="5" a="1"/>
  <c r="AE351" i="5" a="1"/>
  <c r="V351" i="5" a="1"/>
  <c r="AD130" i="5" a="1"/>
  <c r="U130" i="5" a="1"/>
  <c r="AC319" i="5" a="1"/>
  <c r="T319" i="5" a="1"/>
  <c r="AD287" i="5" a="1"/>
  <c r="U287" i="5" a="1"/>
  <c r="AD77" i="5" a="1"/>
  <c r="U77" i="5" a="1"/>
  <c r="AD372" i="5" a="1"/>
  <c r="U372" i="5" a="1"/>
  <c r="AC282" i="5" a="1"/>
  <c r="T282" i="5" a="1"/>
  <c r="AD92" i="5" a="1"/>
  <c r="U92" i="5" a="1"/>
  <c r="AC257" i="5" a="1"/>
  <c r="T257" i="5" a="1"/>
  <c r="AD515" i="5" a="1"/>
  <c r="U515" i="5" a="1"/>
  <c r="AE625" i="5" a="1"/>
  <c r="V625" i="5" a="1"/>
  <c r="AC215" i="5" a="1"/>
  <c r="T215" i="5" a="1"/>
  <c r="AD72" i="5" a="1"/>
  <c r="U72" i="5" a="1"/>
  <c r="AC232" i="5" a="1"/>
  <c r="T232" i="5" a="1"/>
  <c r="AF680" i="5" a="1"/>
  <c r="W680" i="5" a="1"/>
  <c r="AF510" i="5" a="1"/>
  <c r="W510" i="5" a="1"/>
  <c r="AF678" i="5" a="1"/>
  <c r="W678" i="5" a="1"/>
  <c r="AE722" i="5" a="1"/>
  <c r="V722" i="5" a="1"/>
  <c r="AF486" i="5" a="1"/>
  <c r="W486" i="5" a="1"/>
  <c r="AF298" i="5" a="1"/>
  <c r="W298" i="5" a="1"/>
  <c r="AF174" i="5" a="1"/>
  <c r="W174" i="5" a="1"/>
  <c r="AF46" i="5" a="1"/>
  <c r="W46" i="5" a="1"/>
  <c r="AF654" i="5" a="1"/>
  <c r="W654" i="5" a="1"/>
  <c r="AC161" i="5" a="1"/>
  <c r="T161" i="5" a="1"/>
  <c r="AE96" i="5" a="1"/>
  <c r="V96" i="5" a="1"/>
  <c r="AF107" i="5" a="1"/>
  <c r="W107" i="5" a="1"/>
  <c r="AD107" i="5" a="1"/>
  <c r="U107" i="5" a="1"/>
  <c r="AE718" i="5" a="1"/>
  <c r="V718" i="5" a="1"/>
  <c r="AE558" i="5" a="1"/>
  <c r="V558" i="5" a="1"/>
  <c r="AD563" i="5" a="1"/>
  <c r="U563" i="5" a="1"/>
  <c r="AE634" i="5" a="1"/>
  <c r="V634" i="5" a="1"/>
  <c r="AC111" i="5" a="1"/>
  <c r="T111" i="5" a="1"/>
  <c r="AD374" i="5" a="1"/>
  <c r="U374" i="5" a="1"/>
  <c r="AD560" i="5" a="1"/>
  <c r="U560" i="5" a="1"/>
  <c r="AE529" i="5" a="1"/>
  <c r="V529" i="5" a="1"/>
  <c r="AD36" i="5" a="1"/>
  <c r="U36" i="5" a="1"/>
  <c r="AC228" i="5" a="1"/>
  <c r="T228" i="5" a="1"/>
  <c r="AC101" i="5" a="1"/>
  <c r="T101" i="5" a="1"/>
  <c r="AC709" i="5" a="1"/>
  <c r="T709" i="5" a="1"/>
  <c r="AE62" i="5" a="1"/>
  <c r="V62" i="5" a="1"/>
  <c r="AE312" i="5" a="1"/>
  <c r="V312" i="5" a="1"/>
  <c r="AE719" i="5" a="1"/>
  <c r="V719" i="5" a="1"/>
  <c r="AD395" i="5" a="1"/>
  <c r="U395" i="5" a="1"/>
  <c r="AE279" i="5" a="1"/>
  <c r="V279" i="5" a="1"/>
  <c r="AE75" i="5" a="1"/>
  <c r="V75" i="5" a="1"/>
  <c r="AD539" i="5" a="1"/>
  <c r="U539" i="5" a="1"/>
  <c r="AC42" i="5" a="1"/>
  <c r="T42" i="5" a="1"/>
  <c r="AF239" i="5" a="1"/>
  <c r="W239" i="5" a="1"/>
  <c r="AF485" i="5" a="1"/>
  <c r="W485" i="5" a="1"/>
  <c r="AD536" i="5" a="1"/>
  <c r="U536" i="5" a="1"/>
  <c r="AF518" i="5" a="1"/>
  <c r="W518" i="5" a="1"/>
  <c r="AE172" i="5" a="1"/>
  <c r="V172" i="5" a="1"/>
  <c r="AD203" i="5" a="1"/>
  <c r="U203" i="5" a="1"/>
  <c r="AE242" i="5" a="1"/>
  <c r="V242" i="5" a="1"/>
  <c r="AF179" i="5" a="1"/>
  <c r="W179" i="5" a="1"/>
  <c r="AE506" i="5" a="1"/>
  <c r="V506" i="5" a="1"/>
  <c r="AC89" i="5" a="1"/>
  <c r="T89" i="5" a="1"/>
  <c r="AD729" i="5" a="1"/>
  <c r="U729" i="5" a="1"/>
  <c r="AE27" i="5" a="1"/>
  <c r="V27" i="5" a="1"/>
  <c r="AD111" i="5" a="1"/>
  <c r="U111" i="5" a="1"/>
  <c r="AD252" i="5" a="1"/>
  <c r="U252" i="5" a="1"/>
  <c r="AE97" i="5" a="1"/>
  <c r="V97" i="5" a="1"/>
  <c r="AC610" i="5" a="1"/>
  <c r="T610" i="5" a="1"/>
  <c r="AD227" i="5" a="1"/>
  <c r="U227" i="5" a="1"/>
  <c r="AE101" i="5" a="1"/>
  <c r="V101" i="5" a="1"/>
  <c r="W421" i="5" a="1"/>
  <c r="AE215" i="5" a="1"/>
  <c r="V215" i="5" a="1"/>
  <c r="AC712" i="5" a="1"/>
  <c r="T712" i="5" a="1"/>
  <c r="AC140" i="5" a="1"/>
  <c r="T140" i="5" a="1"/>
  <c r="AF395" i="5" a="1"/>
  <c r="W395" i="5" a="1"/>
  <c r="AC521" i="5" a="1"/>
  <c r="T521" i="5" a="1"/>
  <c r="AF172" i="5" a="1"/>
  <c r="W172" i="5" a="1"/>
  <c r="AD84" i="5" a="1"/>
  <c r="U84" i="5" a="1"/>
  <c r="AC27" i="5" a="1"/>
  <c r="T27" i="5" a="1"/>
  <c r="AC732" i="5" a="1"/>
  <c r="T732" i="5" a="1"/>
  <c r="AC450" i="5" a="1"/>
  <c r="T450" i="5" a="1"/>
  <c r="AF387" i="5" a="1"/>
  <c r="W387" i="5" a="1"/>
  <c r="AF35" i="5" a="1"/>
  <c r="W35" i="5" a="1"/>
  <c r="AE551" i="5" a="1"/>
  <c r="V551" i="5" a="1"/>
  <c r="AF215" i="5" a="1"/>
  <c r="W215" i="5" a="1"/>
  <c r="AC294" i="5" a="1"/>
  <c r="T294" i="5" a="1"/>
  <c r="AE457" i="5" a="1"/>
  <c r="V457" i="5" a="1"/>
  <c r="AC330" i="5" a="1"/>
  <c r="T330" i="5" a="1"/>
  <c r="AD204" i="5" a="1"/>
  <c r="U204" i="5" a="1"/>
  <c r="AD304" i="5" a="1"/>
  <c r="U304" i="5" a="1"/>
  <c r="AF202" i="5" a="1"/>
  <c r="W202" i="5" a="1"/>
  <c r="AC542" i="5" a="1"/>
  <c r="T542" i="5" a="1"/>
  <c r="AF455" i="5" a="1"/>
  <c r="W455" i="5" a="1"/>
  <c r="AE211" i="5" a="1"/>
  <c r="V211" i="5" a="1"/>
  <c r="AD277" i="5" a="1"/>
  <c r="U277" i="5" a="1"/>
  <c r="AC757" i="5" a="1"/>
  <c r="T757" i="5" a="1"/>
  <c r="AF154" i="5" a="1"/>
  <c r="W154" i="5" a="1"/>
  <c r="AD732" i="5" a="1"/>
  <c r="U732" i="5" a="1"/>
  <c r="AC401" i="5" a="1"/>
  <c r="T401" i="5" a="1"/>
  <c r="AC669" i="5" a="1"/>
  <c r="T669" i="5" a="1"/>
  <c r="AC640" i="5" a="1"/>
  <c r="T640" i="5" a="1"/>
  <c r="AE639" i="5" a="1"/>
  <c r="V639" i="5" a="1"/>
  <c r="AC737" i="5" a="1"/>
  <c r="T737" i="5" a="1"/>
  <c r="AC735" i="5" a="1"/>
  <c r="T735" i="5" a="1"/>
  <c r="AD322" i="5" a="1"/>
  <c r="U322" i="5" a="1"/>
  <c r="AC64" i="5" a="1"/>
  <c r="T64" i="5" a="1"/>
  <c r="AD708" i="5" a="1"/>
  <c r="U708" i="5" a="1"/>
  <c r="AF81" i="5" a="1"/>
  <c r="W81" i="5" a="1"/>
  <c r="AE550" i="5" a="1"/>
  <c r="V550" i="5" a="1"/>
  <c r="AF273" i="5" a="1"/>
  <c r="W273" i="5" a="1"/>
  <c r="AF503" i="5" a="1"/>
  <c r="W503" i="5" a="1"/>
  <c r="AC510" i="5" a="1"/>
  <c r="T510" i="5" a="1"/>
  <c r="AE294" i="5" a="1"/>
  <c r="V294" i="5" a="1"/>
  <c r="AF490" i="5" a="1"/>
  <c r="W490" i="5" a="1"/>
  <c r="AC589" i="5" a="1"/>
  <c r="T589" i="5" a="1"/>
  <c r="AE717" i="5" a="1"/>
  <c r="V717" i="5" a="1"/>
  <c r="AE654" i="5" a="1"/>
  <c r="V654" i="5" a="1"/>
  <c r="AD156" i="5" a="1"/>
  <c r="U156" i="5" a="1"/>
  <c r="AF394" i="5" a="1"/>
  <c r="W394" i="5" a="1"/>
  <c r="AE51" i="5" a="1"/>
  <c r="V51" i="5" a="1"/>
  <c r="AF272" i="5" a="1"/>
  <c r="W272" i="5" a="1"/>
  <c r="AD318" i="5" a="1"/>
  <c r="U318" i="5" a="1"/>
  <c r="AF417" i="5" a="1"/>
  <c r="W417" i="5" a="1"/>
  <c r="AC162" i="5" a="1"/>
  <c r="T162" i="5" a="1"/>
  <c r="AD707" i="5" a="1"/>
  <c r="U707" i="5" a="1"/>
  <c r="AF370" i="5" a="1"/>
  <c r="W370" i="5" a="1"/>
  <c r="AF210" i="5" a="1"/>
  <c r="W210" i="5" a="1"/>
  <c r="AD581" i="5" a="1"/>
  <c r="U581" i="5" a="1"/>
  <c r="AF465" i="5" a="1"/>
  <c r="W465" i="5" a="1"/>
  <c r="AD535" i="5" a="1"/>
  <c r="U535" i="5" a="1"/>
  <c r="AF489" i="5" a="1"/>
  <c r="W489" i="5" a="1"/>
  <c r="AC170" i="5" a="1"/>
  <c r="T170" i="5" a="1"/>
  <c r="AE363" i="5" a="1"/>
  <c r="V363" i="5" a="1"/>
  <c r="AC478" i="5" a="1"/>
  <c r="T478" i="5" a="1"/>
  <c r="AF681" i="5" a="1"/>
  <c r="W681" i="5" a="1"/>
  <c r="AC160" i="5" a="1"/>
  <c r="T160" i="5" a="1"/>
  <c r="AE576" i="5" a="1"/>
  <c r="V576" i="5" a="1"/>
  <c r="AD270" i="5" a="1"/>
  <c r="U270" i="5" a="1"/>
  <c r="AD437" i="5" a="1"/>
  <c r="U437" i="5" a="1"/>
  <c r="AC592" i="5" a="1"/>
  <c r="T592" i="5" a="1"/>
  <c r="AC280" i="5" a="1"/>
  <c r="T280" i="5" a="1"/>
  <c r="AD444" i="5" a="1"/>
  <c r="U444" i="5" a="1"/>
  <c r="AF61" i="5" a="1"/>
  <c r="W61" i="5" a="1"/>
  <c r="U471" i="5" a="1"/>
  <c r="AC449" i="5" a="1"/>
  <c r="T449" i="5" a="1"/>
  <c r="AE577" i="5" a="1"/>
  <c r="V577" i="5" a="1"/>
  <c r="AC210" i="5" a="1"/>
  <c r="T210" i="5" a="1"/>
  <c r="AD293" i="5" a="1"/>
  <c r="U293" i="5" a="1"/>
  <c r="AD584" i="5" a="1"/>
  <c r="U584" i="5" a="1"/>
  <c r="AC649" i="5" a="1"/>
  <c r="T649" i="5" a="1"/>
  <c r="AD727" i="5" a="1"/>
  <c r="U727" i="5" a="1"/>
  <c r="AE364" i="5" a="1"/>
  <c r="V364" i="5" a="1"/>
  <c r="AC654" i="5" a="1"/>
  <c r="T654" i="5" a="1"/>
  <c r="AD649" i="5" a="1"/>
  <c r="U649" i="5" a="1"/>
  <c r="AD135" i="5" a="1"/>
  <c r="U135" i="5" a="1"/>
  <c r="AE526" i="5" a="1"/>
  <c r="V526" i="5" a="1"/>
  <c r="V461" i="5" a="1"/>
  <c r="AC230" i="5" a="1"/>
  <c r="T230" i="5" a="1"/>
  <c r="AE530" i="5" a="1"/>
  <c r="V530" i="5" a="1"/>
  <c r="AD568" i="5" a="1"/>
  <c r="U568" i="5" a="1"/>
  <c r="AE481" i="5" a="1"/>
  <c r="V481" i="5" a="1"/>
  <c r="AC116" i="5" a="1"/>
  <c r="T116" i="5" a="1"/>
  <c r="AE26" i="5" a="1"/>
  <c r="V26" i="5" a="1"/>
  <c r="AD59" i="5" a="1"/>
  <c r="U59" i="5" a="1"/>
  <c r="AC379" i="5" a="1"/>
  <c r="T379" i="5" a="1"/>
  <c r="AF178" i="5" a="1"/>
  <c r="W178" i="5" a="1"/>
  <c r="AD505" i="5" a="1"/>
  <c r="U505" i="5" a="1"/>
  <c r="AD221" i="5" a="1"/>
  <c r="U221" i="5" a="1"/>
  <c r="AE672" i="5" a="1"/>
  <c r="V672" i="5" a="1"/>
  <c r="AD289" i="5" a="1"/>
  <c r="U289" i="5" a="1"/>
  <c r="AF322" i="5" a="1"/>
  <c r="W322" i="5" a="1"/>
  <c r="AD420" i="5" a="1"/>
  <c r="U420" i="5" a="1"/>
  <c r="AF478" i="5" a="1"/>
  <c r="W478" i="5" a="1"/>
  <c r="AD561" i="5" a="1"/>
  <c r="U561" i="5" a="1"/>
  <c r="AE595" i="5" a="1"/>
  <c r="V595" i="5" a="1"/>
  <c r="AC378" i="5" a="1"/>
  <c r="T378" i="5" a="1"/>
  <c r="AF538" i="5" a="1"/>
  <c r="W538" i="5" a="1"/>
  <c r="AE313" i="5" a="1"/>
  <c r="V313" i="5" a="1"/>
  <c r="AF156" i="5" a="1"/>
  <c r="W156" i="5" a="1"/>
  <c r="AE505" i="5" a="1"/>
  <c r="V505" i="5" a="1"/>
  <c r="AD61" i="5" a="1"/>
  <c r="U61" i="5" a="1"/>
  <c r="AC541" i="5" a="1"/>
  <c r="T541" i="5" a="1"/>
  <c r="AC208" i="5" a="1"/>
  <c r="T208" i="5" a="1"/>
  <c r="AE433" i="5" a="1"/>
  <c r="V433" i="5" a="1"/>
  <c r="AD664" i="5" a="1"/>
  <c r="U664" i="5" a="1"/>
  <c r="AD96" i="5" a="1"/>
  <c r="U96" i="5" a="1"/>
  <c r="AD210" i="5" a="1"/>
  <c r="U210" i="5" a="1"/>
  <c r="AF132" i="5" a="1"/>
  <c r="W132" i="5" a="1"/>
  <c r="AF42" i="5" a="1"/>
  <c r="W42" i="5" a="1"/>
  <c r="AF414" i="5" a="1"/>
  <c r="W414" i="5" a="1"/>
  <c r="AE716" i="5" a="1"/>
  <c r="V716" i="5" a="1"/>
  <c r="AD22" i="5" a="1"/>
  <c r="U22" i="5" a="1"/>
  <c r="AD514" i="5" a="1"/>
  <c r="U514" i="5" a="1"/>
  <c r="AF657" i="5" a="1"/>
  <c r="W657" i="5" a="1"/>
  <c r="AE74" i="5" a="1"/>
  <c r="V74" i="5" a="1"/>
  <c r="AC472" i="5" a="1"/>
  <c r="T472" i="5" a="1"/>
  <c r="AD165" i="5" a="1"/>
  <c r="U165" i="5" a="1"/>
  <c r="AF511" i="5" a="1"/>
  <c r="W511" i="5" a="1"/>
  <c r="AE255" i="5" a="1"/>
  <c r="V255" i="5" a="1"/>
  <c r="AD752" i="5" a="1"/>
  <c r="U752" i="5" a="1"/>
  <c r="AD276" i="5" a="1"/>
  <c r="U276" i="5" a="1"/>
  <c r="AC41" i="5" a="1"/>
  <c r="T41" i="5" a="1"/>
  <c r="AD588" i="5" a="1"/>
  <c r="U588" i="5" a="1"/>
  <c r="AC558" i="5" a="1"/>
  <c r="T558" i="5" a="1"/>
  <c r="AC309" i="5" a="1"/>
  <c r="T309" i="5" a="1"/>
  <c r="AC469" i="5" a="1"/>
  <c r="T469" i="5" a="1"/>
  <c r="AE687" i="5" a="1"/>
  <c r="V687" i="5" a="1"/>
  <c r="AE194" i="5" a="1"/>
  <c r="V194" i="5" a="1"/>
  <c r="AE694" i="5" a="1"/>
  <c r="V694" i="5" a="1"/>
  <c r="AE82" i="5" a="1"/>
  <c r="V82" i="5" a="1"/>
  <c r="AE454" i="5" a="1"/>
  <c r="V454" i="5" a="1"/>
  <c r="AF423" i="5" a="1"/>
  <c r="W423" i="5" a="1"/>
  <c r="AF536" i="5" a="1"/>
  <c r="W536" i="5" a="1"/>
  <c r="AD682" i="5" a="1"/>
  <c r="U682" i="5" a="1"/>
  <c r="AE427" i="5" a="1"/>
  <c r="V427" i="5" a="1"/>
  <c r="AF22" i="5" a="1"/>
  <c r="W22" i="5" a="1"/>
  <c r="AD348" i="5" a="1"/>
  <c r="U348" i="5" a="1"/>
  <c r="AE518" i="5" a="1"/>
  <c r="V518" i="5" a="1"/>
  <c r="AE410" i="5" a="1"/>
  <c r="V410" i="5" a="1"/>
  <c r="AD538" i="5" a="1"/>
  <c r="U538" i="5" a="1"/>
  <c r="AF599" i="5" a="1"/>
  <c r="W599" i="5" a="1"/>
  <c r="AE697" i="5" a="1"/>
  <c r="V697" i="5" a="1"/>
  <c r="AD704" i="5" a="1"/>
  <c r="U704" i="5" a="1"/>
  <c r="AE495" i="5" a="1"/>
  <c r="V495" i="5" a="1"/>
  <c r="AE434" i="5" a="1"/>
  <c r="V434" i="5" a="1"/>
  <c r="AC136" i="5" a="1"/>
  <c r="T136" i="5" a="1"/>
  <c r="AE362" i="5" a="1"/>
  <c r="V362" i="5" a="1"/>
  <c r="AF682" i="5" a="1"/>
  <c r="W682" i="5" a="1"/>
  <c r="AE504" i="5" a="1"/>
  <c r="V504" i="5" a="1"/>
  <c r="AE217" i="5" a="1"/>
  <c r="V217" i="5" a="1"/>
  <c r="AD177" i="5" a="1"/>
  <c r="U177" i="5" a="1"/>
  <c r="AE435" i="5" a="1"/>
  <c r="V435" i="5" a="1"/>
  <c r="AE698" i="5" a="1"/>
  <c r="V698" i="5" a="1"/>
  <c r="AF441" i="5" a="1"/>
  <c r="W441" i="5" a="1"/>
  <c r="AC186" i="5" a="1"/>
  <c r="T186" i="5" a="1"/>
  <c r="T476" i="5" a="1"/>
  <c r="AF161" i="5" a="1"/>
  <c r="W161" i="5" a="1"/>
  <c r="AD223" i="5" a="1"/>
  <c r="U223" i="5" a="1"/>
  <c r="AF632" i="5" a="1"/>
  <c r="W632" i="5" a="1"/>
  <c r="AC173" i="5" a="1"/>
  <c r="T173" i="5" a="1"/>
  <c r="AF531" i="5" a="1"/>
  <c r="W531" i="5" a="1"/>
  <c r="AF243" i="5" a="1"/>
  <c r="W243" i="5" a="1"/>
  <c r="AC687" i="5" a="1"/>
  <c r="T687" i="5" a="1"/>
  <c r="AE250" i="5" a="1"/>
  <c r="V250" i="5" a="1"/>
  <c r="AD731" i="5" a="1"/>
  <c r="U731" i="5" a="1"/>
  <c r="AD55" i="5" a="1"/>
  <c r="U55" i="5" a="1"/>
  <c r="AC573" i="5" a="1"/>
  <c r="T573" i="5" a="1"/>
  <c r="AE543" i="5" a="1"/>
  <c r="V543" i="5" a="1"/>
  <c r="AC544" i="5" a="1"/>
  <c r="T544" i="5" a="1"/>
  <c r="AC702" i="5" a="1"/>
  <c r="T702" i="5" a="1"/>
  <c r="AD131" i="5" a="1"/>
  <c r="U131" i="5" a="1"/>
  <c r="AD632" i="5" a="1"/>
  <c r="U632" i="5" a="1"/>
  <c r="AD275" i="5" a="1"/>
  <c r="U275" i="5" a="1"/>
  <c r="AE308" i="5" a="1"/>
  <c r="V308" i="5" a="1"/>
  <c r="AE213" i="5" a="1"/>
  <c r="V213" i="5" a="1"/>
  <c r="AE218" i="5" a="1"/>
  <c r="V218" i="5" a="1"/>
  <c r="AC377" i="5" a="1"/>
  <c r="T377" i="5" a="1"/>
  <c r="AD697" i="5" a="1"/>
  <c r="U697" i="5" a="1"/>
  <c r="AC568" i="5" a="1"/>
  <c r="T568" i="5" a="1"/>
  <c r="AC543" i="5" a="1"/>
  <c r="T543" i="5" a="1"/>
  <c r="AC736" i="5" a="1"/>
  <c r="T736" i="5" a="1"/>
  <c r="AC353" i="5" a="1"/>
  <c r="T353" i="5" a="1"/>
  <c r="AC226" i="5" a="1"/>
  <c r="T226" i="5" a="1"/>
  <c r="AD323" i="5" a="1"/>
  <c r="U323" i="5" a="1"/>
  <c r="AC734" i="5" a="1"/>
  <c r="T734" i="5" a="1"/>
  <c r="AD325" i="5" a="1"/>
  <c r="U325" i="5" a="1"/>
  <c r="AE167" i="5" a="1"/>
  <c r="V167" i="5" a="1"/>
  <c r="AF488" i="5" a="1"/>
  <c r="W488" i="5" a="1"/>
  <c r="AE121" i="5" a="1"/>
  <c r="V121" i="5" a="1"/>
  <c r="AC233" i="5" a="1"/>
  <c r="T233" i="5" a="1"/>
  <c r="AD106" i="5" a="1"/>
  <c r="U106" i="5" a="1"/>
  <c r="AE720" i="5" a="1"/>
  <c r="V720" i="5" a="1"/>
  <c r="AF658" i="5" a="1"/>
  <c r="W658" i="5" a="1"/>
  <c r="AF268" i="5" a="1"/>
  <c r="W268" i="5" a="1"/>
  <c r="AE145" i="5" a="1"/>
  <c r="V145" i="5" a="1"/>
  <c r="AC270" i="5" a="1"/>
  <c r="T270" i="5" a="1"/>
  <c r="AC323" i="5" a="1"/>
  <c r="T323" i="5" a="1"/>
  <c r="AE463" i="5" a="1"/>
  <c r="V463" i="5" a="1"/>
  <c r="AC327" i="5" a="1"/>
  <c r="T327" i="5" a="1"/>
  <c r="AE527" i="5" a="1"/>
  <c r="V527" i="5" a="1"/>
  <c r="AC275" i="5" a="1"/>
  <c r="T275" i="5" a="1"/>
  <c r="AD467" i="5" a="1"/>
  <c r="U467" i="5" a="1"/>
  <c r="AF56" i="5" a="1"/>
  <c r="W56" i="5" a="1"/>
  <c r="AF537" i="5" a="1"/>
  <c r="W537" i="5" a="1"/>
  <c r="AE571" i="5" a="1"/>
  <c r="V571" i="5" a="1"/>
  <c r="AC733" i="5" a="1"/>
  <c r="T733" i="5" a="1"/>
  <c r="AC182" i="5" a="1"/>
  <c r="T182" i="5" a="1"/>
  <c r="AF702" i="5" a="1"/>
  <c r="W702" i="5" a="1"/>
  <c r="AE193" i="5" a="1"/>
  <c r="V193" i="5" a="1"/>
  <c r="AF226" i="5" a="1"/>
  <c r="W226" i="5" a="1"/>
  <c r="AF582" i="5" a="1"/>
  <c r="W582" i="5" a="1"/>
  <c r="AE327" i="5" a="1"/>
  <c r="V327" i="5" a="1"/>
  <c r="AE742" i="5" a="1"/>
  <c r="V742" i="5" a="1"/>
  <c r="AC328" i="5" a="1"/>
  <c r="T328" i="5" a="1"/>
  <c r="AD491" i="5" a="1"/>
  <c r="U491" i="5" a="1"/>
  <c r="AD182" i="5" a="1"/>
  <c r="U182" i="5" a="1"/>
  <c r="AF513" i="5" a="1"/>
  <c r="W513" i="5" a="1"/>
  <c r="AE386" i="5" a="1"/>
  <c r="V386" i="5" a="1"/>
  <c r="AE338" i="5" a="1"/>
  <c r="V338" i="5" a="1"/>
  <c r="AC566" i="5" a="1"/>
  <c r="T566" i="5" a="1"/>
  <c r="AD168" i="5" a="1"/>
  <c r="U168" i="5" a="1"/>
  <c r="AE266" i="5" a="1"/>
  <c r="V266" i="5" a="1"/>
  <c r="AF115" i="5" a="1"/>
  <c r="W115" i="5" a="1"/>
  <c r="AD730" i="5" a="1"/>
  <c r="U730" i="5" a="1"/>
  <c r="AC731" i="5" a="1"/>
  <c r="T731" i="5" a="1"/>
  <c r="AF275" i="5" a="1"/>
  <c r="W275" i="5" a="1"/>
  <c r="AD373" i="5" a="1"/>
  <c r="U373" i="5" a="1"/>
  <c r="AC442" i="5" a="1"/>
  <c r="T442" i="5" a="1"/>
  <c r="AE146" i="5" a="1"/>
  <c r="V146" i="5" a="1"/>
  <c r="AD537" i="5" a="1"/>
  <c r="U537" i="5" a="1"/>
  <c r="AD443" i="5" a="1"/>
  <c r="U443" i="5" a="1"/>
  <c r="AD445" i="5" a="1"/>
  <c r="U445" i="5" a="1"/>
  <c r="AF323" i="5" a="1"/>
  <c r="W323" i="5" a="1"/>
  <c r="AD260" i="5" a="1"/>
  <c r="U260" i="5" a="1"/>
  <c r="AD37" i="5" a="1"/>
  <c r="U37" i="5" a="1"/>
  <c r="AF677" i="5" a="1"/>
  <c r="W677" i="5" a="1"/>
  <c r="AF487" i="5" a="1"/>
  <c r="W487" i="5" a="1"/>
  <c r="AC400" i="5" a="1"/>
  <c r="T400" i="5" a="1"/>
  <c r="AF534" i="5" a="1"/>
  <c r="W534" i="5" a="1"/>
  <c r="AF614" i="5" a="1"/>
  <c r="W614" i="5" a="1"/>
  <c r="AD265" i="5" a="1"/>
  <c r="U265" i="5" a="1"/>
  <c r="AF393" i="5" a="1"/>
  <c r="W393" i="5" a="1"/>
  <c r="AD553" i="5" a="1"/>
  <c r="U553" i="5" a="1"/>
  <c r="AC713" i="5" a="1"/>
  <c r="T713" i="5" a="1"/>
  <c r="AF106" i="5" a="1"/>
  <c r="W106" i="5" a="1"/>
  <c r="AE86" i="5" a="1"/>
  <c r="V86" i="5" a="1"/>
  <c r="AD205" i="5" a="1"/>
  <c r="U205" i="5" a="1"/>
  <c r="AD337" i="5" a="1"/>
  <c r="U337" i="5" a="1"/>
  <c r="AF346" i="5" a="1"/>
  <c r="W346" i="5" a="1"/>
  <c r="AE283" i="5" a="1"/>
  <c r="V283" i="5" a="1"/>
  <c r="AC60" i="5" a="1"/>
  <c r="T60" i="5" a="1"/>
  <c r="AC540" i="5" a="1"/>
  <c r="T540" i="5" a="1"/>
  <c r="AF118" i="5" a="1"/>
  <c r="W118" i="5" a="1"/>
  <c r="AE125" i="5" a="1"/>
  <c r="V125" i="5" a="1"/>
  <c r="AD605" i="5" a="1"/>
  <c r="U605" i="5" a="1"/>
  <c r="AC448" i="5" a="1"/>
  <c r="T448" i="5" a="1"/>
  <c r="AF127" i="5" a="1"/>
  <c r="W127" i="5" a="1"/>
  <c r="AC593" i="5" a="1"/>
  <c r="T593" i="5" a="1"/>
  <c r="AC66" i="5" a="1"/>
  <c r="T66" i="5" a="1"/>
  <c r="AE578" i="5" a="1"/>
  <c r="V578" i="5" a="1"/>
  <c r="AE260" i="5" a="1"/>
  <c r="V260" i="5" a="1"/>
  <c r="AD644" i="5" a="1"/>
  <c r="U644" i="5" a="1"/>
  <c r="AF464" i="5" a="1"/>
  <c r="W464" i="5" a="1"/>
  <c r="AF34" i="5" a="1"/>
  <c r="W34" i="5" a="1"/>
  <c r="AE528" i="5" a="1"/>
  <c r="V528" i="5" a="1"/>
  <c r="AF466" i="5" a="1"/>
  <c r="W466" i="5" a="1"/>
  <c r="AF647" i="5" a="1"/>
  <c r="W647" i="5" a="1"/>
  <c r="AF105" i="5" a="1"/>
  <c r="W105" i="5" a="1"/>
  <c r="AE553" i="5" a="1"/>
  <c r="V553" i="5" a="1"/>
  <c r="AC586" i="5" a="1"/>
  <c r="T586" i="5" a="1"/>
  <c r="AE45" i="5" a="1"/>
  <c r="V45" i="5" a="1"/>
  <c r="AC591" i="5" a="1"/>
  <c r="T591" i="5" a="1"/>
  <c r="AE267" i="5" a="1"/>
  <c r="V267" i="5" a="1"/>
  <c r="AD587" i="5" a="1"/>
  <c r="U587" i="5" a="1"/>
  <c r="AC112" i="5" a="1"/>
  <c r="T112" i="5" a="1"/>
  <c r="AF57" i="5" a="1"/>
  <c r="W57" i="5" a="1"/>
  <c r="AF176" i="5" a="1"/>
  <c r="W176" i="5" a="1"/>
  <c r="AD85" i="5" a="1"/>
  <c r="U85" i="5" a="1"/>
  <c r="AF155" i="5" a="1"/>
  <c r="W155" i="5" a="1"/>
  <c r="AD540" i="5" a="1"/>
  <c r="U540" i="5" a="1"/>
  <c r="AF225" i="5" a="1"/>
  <c r="W225" i="5" a="1"/>
  <c r="AD728" i="5" a="1"/>
  <c r="U728" i="5" a="1"/>
  <c r="AE200" i="5" a="1"/>
  <c r="V200" i="5" a="1"/>
  <c r="AC265" i="5" a="1"/>
  <c r="T265" i="5" a="1"/>
  <c r="AD586" i="5" a="1"/>
  <c r="U586" i="5" a="1"/>
  <c r="AF345" i="5" a="1"/>
  <c r="W345" i="5" a="1"/>
  <c r="AD396" i="5" a="1"/>
  <c r="U396" i="5" a="1"/>
  <c r="AE622" i="5" a="1"/>
  <c r="V622" i="5" a="1"/>
  <c r="AE147" i="5" a="1"/>
  <c r="V147" i="5" a="1"/>
  <c r="AF85" i="5" a="1"/>
  <c r="W85" i="5" a="1"/>
  <c r="AC533" i="5" a="1"/>
  <c r="T533" i="5" a="1"/>
  <c r="AF594" i="5" a="1"/>
  <c r="W594" i="5" a="1"/>
  <c r="AC90" i="5" a="1"/>
  <c r="T90" i="5" a="1"/>
  <c r="AE155" i="5" a="1"/>
  <c r="V155" i="5" a="1"/>
  <c r="AF220" i="5" a="1"/>
  <c r="W220" i="5" a="1"/>
  <c r="AD157" i="5" a="1"/>
  <c r="U157" i="5" a="1"/>
  <c r="AE385" i="5" a="1"/>
  <c r="V385" i="5" a="1"/>
  <c r="AC545" i="5" a="1"/>
  <c r="T545" i="5" a="1"/>
  <c r="AE574" i="5" a="1"/>
  <c r="V574" i="5" a="1"/>
  <c r="AF324" i="5" a="1"/>
  <c r="W324" i="5" a="1"/>
  <c r="AD464" i="5" a="1"/>
  <c r="U464" i="5" a="1"/>
  <c r="AE195" i="5" a="1"/>
  <c r="V195" i="5" a="1"/>
  <c r="AD528" i="5" a="1"/>
  <c r="U528" i="5" a="1"/>
  <c r="AE265" i="5" a="1"/>
  <c r="V265" i="5" a="1"/>
  <c r="AF585" i="5" a="1"/>
  <c r="W585" i="5" a="1"/>
  <c r="AC209" i="5" a="1"/>
  <c r="T209" i="5" a="1"/>
  <c r="AC298" i="5" a="1"/>
  <c r="T298" i="5" a="1"/>
  <c r="AC342" i="5" a="1"/>
  <c r="T342" i="5" a="1"/>
  <c r="AE525" i="5" a="1"/>
  <c r="V525" i="5" a="1"/>
  <c r="AC281" i="5" a="1"/>
  <c r="T281" i="5" a="1"/>
  <c r="AE721" i="5" a="1"/>
  <c r="V721" i="5" a="1"/>
  <c r="AD473" i="5" a="1"/>
  <c r="U473" i="5" a="1"/>
  <c r="AC496" i="5" a="1"/>
  <c r="T496" i="5" a="1"/>
  <c r="AD726" i="5" a="1"/>
  <c r="U726" i="5" a="1"/>
  <c r="AD516" i="5" a="1"/>
  <c r="U516" i="5" a="1"/>
  <c r="AF679" i="5" a="1"/>
  <c r="W679" i="5" a="1"/>
  <c r="AC520" i="5" a="1"/>
  <c r="T520" i="5" a="1"/>
  <c r="AC425" i="5" a="1"/>
  <c r="T425" i="5" a="1"/>
  <c r="AF555" i="5" a="1"/>
  <c r="W555" i="5" a="1"/>
  <c r="AC565" i="5" a="1"/>
  <c r="T565" i="5" a="1"/>
  <c r="AD155" i="5" a="1"/>
  <c r="U155" i="5" a="1"/>
  <c r="AE315" i="5" a="1"/>
  <c r="V315" i="5" a="1"/>
  <c r="AD635" i="5" a="1"/>
  <c r="U635" i="5" a="1"/>
  <c r="AC637" i="5" a="1"/>
  <c r="T637" i="5" a="1"/>
  <c r="AC97" i="5" a="1"/>
  <c r="T97" i="5" a="1"/>
  <c r="AD225" i="5" a="1"/>
  <c r="U225" i="5" a="1"/>
  <c r="AF227" i="5" a="1"/>
  <c r="W227" i="5" a="1"/>
  <c r="AE158" i="5" a="1"/>
  <c r="V158" i="5" a="1"/>
  <c r="AF676" i="5" a="1"/>
  <c r="W676" i="5" a="1"/>
  <c r="AF287" i="5" a="1"/>
  <c r="W287" i="5" a="1"/>
  <c r="AD228" i="5" a="1"/>
  <c r="U228" i="5" a="1"/>
  <c r="AC519" i="5" a="1"/>
  <c r="T519" i="5" a="1"/>
  <c r="AE49" i="5" a="1"/>
  <c r="V49" i="5" a="1"/>
  <c r="AF254" i="5" a="1"/>
  <c r="W254" i="5" a="1"/>
  <c r="AC77" i="5" a="1"/>
  <c r="T77" i="5" a="1"/>
  <c r="AE723" i="5" a="1"/>
  <c r="V723" i="5" a="1"/>
  <c r="AE52" i="5" a="1"/>
  <c r="V52" i="5" a="1"/>
  <c r="AE725" i="5" a="1"/>
  <c r="V725" i="5" a="1"/>
  <c r="AC359" i="5" a="1"/>
  <c r="T359" i="5" a="1"/>
  <c r="AF633" i="5" a="1"/>
  <c r="W633" i="5" a="1"/>
  <c r="AF635" i="5" a="1"/>
  <c r="W635" i="5" a="1"/>
  <c r="AC569" i="5" a="1"/>
  <c r="T569" i="5" a="1"/>
  <c r="AF640" i="5" a="1"/>
  <c r="W640" i="5" a="1"/>
  <c r="AE25" i="5" a="1"/>
  <c r="V25" i="5" a="1"/>
  <c r="AE290" i="5" a="1"/>
  <c r="V290" i="5" a="1"/>
  <c r="AC623" i="5" a="1"/>
  <c r="T623" i="5" a="1"/>
  <c r="AC71" i="5" a="1"/>
  <c r="T71" i="5" a="1"/>
  <c r="AC383" i="5" a="1"/>
  <c r="T383" i="5" a="1"/>
  <c r="AD618" i="5" a="1"/>
  <c r="U618" i="5" a="1"/>
  <c r="AF134" i="5" a="1"/>
  <c r="W134" i="5" a="1"/>
  <c r="AE557" i="5" a="1"/>
  <c r="V557" i="5" a="1"/>
  <c r="AE174" i="5" a="1"/>
  <c r="V174" i="5" a="1"/>
  <c r="AC350" i="5" a="1"/>
  <c r="T350" i="5" a="1"/>
  <c r="AE651" i="5" a="1"/>
  <c r="V651" i="5" a="1"/>
  <c r="AE656" i="5" a="1"/>
  <c r="V656" i="5" a="1"/>
  <c r="AD301" i="5" a="1"/>
  <c r="U301" i="5" a="1"/>
  <c r="AD591" i="5" a="1"/>
  <c r="U591" i="5" a="1"/>
  <c r="AD371" i="5" a="1"/>
  <c r="U371" i="5" a="1"/>
  <c r="AE437" i="5" a="1"/>
  <c r="V437" i="5" a="1"/>
  <c r="AF565" i="5" a="1"/>
  <c r="W565" i="5" a="1"/>
  <c r="AD634" i="5" a="1"/>
  <c r="U634" i="5" a="1"/>
  <c r="AD367" i="5" a="1"/>
  <c r="U367" i="5" a="1"/>
  <c r="AC635" i="5" a="1"/>
  <c r="T635" i="5" a="1"/>
  <c r="AF637" i="5" a="1"/>
  <c r="W637" i="5" a="1"/>
  <c r="AE560" i="5" a="1"/>
  <c r="V560" i="5" a="1"/>
  <c r="AE705" i="5" a="1"/>
  <c r="V705" i="5" a="1"/>
  <c r="AF707" i="5" a="1"/>
  <c r="W707" i="5" a="1"/>
  <c r="AC567" i="5" a="1"/>
  <c r="T567" i="5" a="1"/>
  <c r="AC671" i="5" a="1"/>
  <c r="T671" i="5" a="1"/>
  <c r="AF421" i="5" a="1"/>
  <c r="AE81" i="5" a="1"/>
  <c r="V81" i="5" a="1"/>
  <c r="AC550" i="5" a="1"/>
  <c r="T550" i="5" a="1"/>
  <c r="AC624" i="5" a="1"/>
  <c r="T624" i="5" a="1"/>
  <c r="AE241" i="5" a="1"/>
  <c r="V241" i="5" a="1"/>
  <c r="AD299" i="5" a="1"/>
  <c r="U299" i="5" a="1"/>
  <c r="AF269" i="5" a="1"/>
  <c r="W269" i="5" a="1"/>
  <c r="AD397" i="5" a="1"/>
  <c r="U397" i="5" a="1"/>
  <c r="AE368" i="5" a="1"/>
  <c r="V368" i="5" a="1"/>
  <c r="AD754" i="5" a="1"/>
  <c r="U754" i="5" a="1"/>
  <c r="AE44" i="5" a="1"/>
  <c r="V44" i="5" a="1"/>
  <c r="AE248" i="5" a="1"/>
  <c r="V248" i="5" a="1"/>
  <c r="AF587" i="5" a="1"/>
  <c r="W587" i="5" a="1"/>
  <c r="AF532" i="5" a="1"/>
  <c r="W532" i="5" a="1"/>
  <c r="AC692" i="5" a="1"/>
  <c r="T692" i="5" a="1"/>
  <c r="AC690" i="5" a="1"/>
  <c r="T690" i="5" a="1"/>
  <c r="AC216" i="5" a="1"/>
  <c r="T216" i="5" a="1"/>
  <c r="AF401" i="5" a="1"/>
  <c r="W401" i="5" a="1"/>
  <c r="AE409" i="5" a="1"/>
  <c r="V409" i="5" a="1"/>
  <c r="AF560" i="5" a="1"/>
  <c r="W560" i="5" a="1"/>
  <c r="AD639" i="5" a="1"/>
  <c r="U639" i="5" a="1"/>
  <c r="AD162" i="5" a="1"/>
  <c r="U162" i="5" a="1"/>
  <c r="AD567" i="5" a="1"/>
  <c r="U567" i="5" a="1"/>
  <c r="AE581" i="5" a="1"/>
  <c r="V581" i="5" a="1"/>
  <c r="AF104" i="5" a="1"/>
  <c r="W104" i="5" a="1"/>
  <c r="AE552" i="5" a="1"/>
  <c r="V552" i="5" a="1"/>
  <c r="AE727" i="5" a="1"/>
  <c r="V727" i="5" a="1"/>
  <c r="AC524" i="5" a="1"/>
  <c r="T524" i="5" a="1"/>
  <c r="AD109" i="5" a="1"/>
  <c r="U109" i="5" a="1"/>
  <c r="AC759" i="5" a="1"/>
  <c r="T759" i="5" a="1"/>
  <c r="AF617" i="5" a="1"/>
  <c r="W617" i="5" a="1"/>
  <c r="AE269" i="5" a="1"/>
  <c r="V269" i="5" a="1"/>
  <c r="AC754" i="5" a="1"/>
  <c r="T754" i="5" a="1"/>
  <c r="AF656" i="5" a="1"/>
  <c r="W656" i="5" a="1"/>
  <c r="AE144" i="5" a="1"/>
  <c r="V144" i="5" a="1"/>
  <c r="AC114" i="5" a="1"/>
  <c r="T114" i="5" a="1"/>
  <c r="AF110" i="5" a="1"/>
  <c r="W110" i="5" a="1"/>
  <c r="AE653" i="5" a="1"/>
  <c r="V653" i="5" a="1"/>
  <c r="AC590" i="5" a="1"/>
  <c r="T590" i="5" a="1"/>
  <c r="AF569" i="5" a="1"/>
  <c r="W569" i="5" a="1"/>
  <c r="AE572" i="5" a="1"/>
  <c r="V572" i="5" a="1"/>
  <c r="AF162" i="5" a="1"/>
  <c r="W162" i="5" a="1"/>
  <c r="AD610" i="5" a="1"/>
  <c r="U610" i="5" a="1"/>
  <c r="T552" i="5" a="1"/>
  <c r="AE170" i="5" a="1"/>
  <c r="V170" i="5" a="1"/>
  <c r="AC719" i="5" a="1"/>
  <c r="T719" i="5" a="1"/>
  <c r="AD619" i="5" a="1"/>
  <c r="U619" i="5" a="1"/>
  <c r="AF556" i="5" a="1"/>
  <c r="W556" i="5" a="1"/>
  <c r="AD749" i="5" a="1"/>
  <c r="U749" i="5" a="1"/>
  <c r="AD690" i="5" a="1"/>
  <c r="U690" i="5" a="1"/>
  <c r="AF247" i="5" a="1"/>
  <c r="W247" i="5" a="1"/>
  <c r="AF89" i="5" a="1"/>
  <c r="W89" i="5" a="1"/>
  <c r="AF59" i="5" a="1"/>
  <c r="W59" i="5" a="1"/>
  <c r="AF347" i="5" a="1"/>
  <c r="W347" i="5" a="1"/>
  <c r="AE507" i="5" a="1"/>
  <c r="V507" i="5" a="1"/>
  <c r="AD667" i="5" a="1"/>
  <c r="U667" i="5" a="1"/>
  <c r="AD569" i="5" a="1"/>
  <c r="U569" i="5" a="1"/>
  <c r="AE509" i="5" a="1"/>
  <c r="V509" i="5" a="1"/>
  <c r="AD352" i="5" a="1"/>
  <c r="U352" i="5" a="1"/>
  <c r="AF512" i="5" a="1"/>
  <c r="W512" i="5" a="1"/>
  <c r="AC672" i="5" a="1"/>
  <c r="T672" i="5" a="1"/>
  <c r="AD737" i="5" a="1"/>
  <c r="U737" i="5" a="1"/>
  <c r="AD735" i="5" a="1"/>
  <c r="U735" i="5" a="1"/>
  <c r="AD419" i="5" a="1"/>
  <c r="U419" i="5" a="1"/>
  <c r="U547" i="5" a="1"/>
  <c r="AC551" i="5" a="1"/>
  <c r="T551" i="5" a="1"/>
  <c r="AC711" i="5" a="1"/>
  <c r="T711" i="5" a="1"/>
  <c r="AF561" i="5" a="1"/>
  <c r="W561" i="5" a="1"/>
  <c r="AF424" i="5" a="1"/>
  <c r="W424" i="5" a="1"/>
  <c r="AD139" i="5" a="1"/>
  <c r="U139" i="5" a="1"/>
  <c r="AC716" i="5" a="1"/>
  <c r="T716" i="5" a="1"/>
  <c r="AE584" i="5" a="1"/>
  <c r="V584" i="5" a="1"/>
  <c r="AE150" i="5" a="1"/>
  <c r="V150" i="5" a="1"/>
  <c r="AD211" i="5" a="1"/>
  <c r="U211" i="5" a="1"/>
  <c r="AE309" i="5" a="1"/>
  <c r="V309" i="5" a="1"/>
  <c r="AC666" i="5" a="1"/>
  <c r="T666" i="5" a="1"/>
  <c r="AD154" i="5" a="1"/>
  <c r="U154" i="5" a="1"/>
  <c r="AC284" i="5" a="1"/>
  <c r="T284" i="5" a="1"/>
  <c r="AD471" i="5" a="1"/>
  <c r="AE482" i="5" a="1"/>
  <c r="V482" i="5" a="1"/>
  <c r="AF304" i="5" a="1"/>
  <c r="W304" i="5" a="1"/>
  <c r="AF88" i="5" a="1"/>
  <c r="W88" i="5" a="1"/>
  <c r="AD35" i="5" a="1"/>
  <c r="U35" i="5" a="1"/>
  <c r="AD711" i="5" a="1"/>
  <c r="U711" i="5" a="1"/>
  <c r="AE273" i="5" a="1"/>
  <c r="V273" i="5" a="1"/>
  <c r="AF51" i="5" a="1"/>
  <c r="W51" i="5" a="1"/>
  <c r="AD755" i="5" a="1"/>
  <c r="U755" i="5" a="1"/>
  <c r="AD564" i="5" a="1"/>
  <c r="U564" i="5" a="1"/>
  <c r="AD666" i="5" a="1"/>
  <c r="U666" i="5" a="1"/>
  <c r="AF208" i="5" a="1"/>
  <c r="W208" i="5" a="1"/>
  <c r="AC639" i="5" a="1"/>
  <c r="T639" i="5" a="1"/>
  <c r="AE129" i="5" a="1"/>
  <c r="V129" i="5" a="1"/>
  <c r="AD630" i="5" a="1"/>
  <c r="U630" i="5" a="1"/>
  <c r="AC96" i="5" a="1"/>
  <c r="T96" i="5" a="1"/>
  <c r="AD606" i="5" a="1"/>
  <c r="U606" i="5" a="1"/>
  <c r="AC88" i="5" a="1"/>
  <c r="T88" i="5" a="1"/>
  <c r="AD133" i="5" a="1"/>
  <c r="U133" i="5" a="1"/>
  <c r="AE293" i="5" a="1"/>
  <c r="V293" i="5" a="1"/>
  <c r="AC263" i="5" a="1"/>
  <c r="T263" i="5" a="1"/>
  <c r="AE535" i="5" a="1"/>
  <c r="V535" i="5" a="1"/>
  <c r="AD403" i="5" a="1"/>
  <c r="U403" i="5" a="1"/>
  <c r="AF469" i="5" a="1"/>
  <c r="W469" i="5" a="1"/>
  <c r="AD757" i="5" a="1"/>
  <c r="U757" i="5" a="1"/>
  <c r="AC698" i="5" a="1"/>
  <c r="T698" i="5" a="1"/>
  <c r="AC59" i="5" a="1"/>
  <c r="T59" i="5" a="1"/>
  <c r="AE316" i="5" a="1"/>
  <c r="V316" i="5" a="1"/>
  <c r="AD609" i="5" a="1"/>
  <c r="U609" i="5" a="1"/>
  <c r="AC642" i="5" a="1"/>
  <c r="T642" i="5" a="1"/>
  <c r="AC304" i="5" a="1"/>
  <c r="T304" i="5" a="1"/>
  <c r="AE292" i="5" a="1"/>
  <c r="V292" i="5" a="1"/>
  <c r="AF535" i="5" a="1"/>
  <c r="W535" i="5" a="1"/>
  <c r="AC424" i="5" a="1"/>
  <c r="T424" i="5" a="1"/>
  <c r="AF584" i="5" a="1"/>
  <c r="W584" i="5" a="1"/>
  <c r="AE50" i="5" a="1"/>
  <c r="V50" i="5" a="1"/>
  <c r="AC503" i="5" a="1"/>
  <c r="T503" i="5" a="1"/>
  <c r="AE649" i="5" a="1"/>
  <c r="V649" i="5" a="1"/>
  <c r="AF589" i="5" a="1"/>
  <c r="W589" i="5" a="1"/>
  <c r="AD83" i="5" a="1"/>
  <c r="U83" i="5" a="1"/>
  <c r="AD378" i="5" a="1"/>
  <c r="U378" i="5" a="1"/>
  <c r="AE219" i="5" a="1"/>
  <c r="V219" i="5" a="1"/>
  <c r="AF665" i="5" a="1"/>
  <c r="W665" i="5" a="1"/>
  <c r="AE289" i="5" a="1"/>
  <c r="V289" i="5" a="1"/>
  <c r="AE609" i="5" a="1"/>
  <c r="V609" i="5" a="1"/>
  <c r="AC23" i="5" a="1"/>
  <c r="T23" i="5" a="1"/>
  <c r="AD354" i="5" a="1"/>
  <c r="U354" i="5" a="1"/>
  <c r="AE201" i="5" a="1"/>
  <c r="V201" i="5" a="1"/>
  <c r="AC144" i="5" a="1"/>
  <c r="T144" i="5" a="1"/>
  <c r="AC184" i="5" a="1"/>
  <c r="T184" i="5" a="1"/>
  <c r="AC596" i="5" a="1"/>
  <c r="T596" i="5" a="1"/>
  <c r="AE629" i="5" a="1"/>
  <c r="V629" i="5" a="1"/>
  <c r="AF699" i="5" a="1"/>
  <c r="W699" i="5" a="1"/>
  <c r="AF55" i="5" a="1"/>
  <c r="W55" i="5" a="1"/>
  <c r="AC120" i="5" a="1"/>
  <c r="T120" i="5" a="1"/>
  <c r="AD541" i="5" a="1"/>
  <c r="U541" i="5" a="1"/>
  <c r="AE701" i="5" a="1"/>
  <c r="V701" i="5" a="1"/>
  <c r="AF664" i="5" a="1"/>
  <c r="W664" i="5" a="1"/>
  <c r="AF609" i="5" a="1"/>
  <c r="W609" i="5" a="1"/>
  <c r="AD495" i="5" a="1"/>
  <c r="U495" i="5" a="1"/>
  <c r="AE291" i="5" a="1"/>
  <c r="V291" i="5" a="1"/>
  <c r="AD451" i="5" a="1"/>
  <c r="U451" i="5" a="1"/>
  <c r="AC740" i="5" a="1"/>
  <c r="T740" i="5" a="1"/>
  <c r="AD498" i="5" a="1"/>
  <c r="U498" i="5" a="1"/>
  <c r="AE99" i="5" a="1"/>
  <c r="V99" i="5" a="1"/>
  <c r="AD132" i="5" a="1"/>
  <c r="U132" i="5" a="1"/>
  <c r="AF613" i="5" a="1"/>
  <c r="W613" i="5" a="1"/>
  <c r="AE744" i="5" a="1"/>
  <c r="V744" i="5" a="1"/>
  <c r="AF41" i="5" a="1"/>
  <c r="W41" i="5" a="1"/>
  <c r="AD638" i="5" a="1"/>
  <c r="U638" i="5" a="1"/>
  <c r="AC307" i="5" a="1"/>
  <c r="T307" i="5" a="1"/>
  <c r="AC497" i="5" a="1"/>
  <c r="T497" i="5" a="1"/>
  <c r="AF276" i="5" a="1"/>
  <c r="W276" i="5" a="1"/>
  <c r="AE436" i="5" a="1"/>
  <c r="V436" i="5" a="1"/>
  <c r="AF687" i="5" a="1"/>
  <c r="W687" i="5" a="1"/>
  <c r="AE441" i="5" a="1"/>
  <c r="V441" i="5" a="1"/>
  <c r="AD636" i="5" a="1"/>
  <c r="U636" i="5" a="1"/>
  <c r="AF541" i="5" a="1"/>
  <c r="W541" i="5" a="1"/>
  <c r="AD446" i="5" a="1"/>
  <c r="U446" i="5" a="1"/>
  <c r="AC664" i="5" a="1"/>
  <c r="T664" i="5" a="1"/>
  <c r="AC760" i="5" a="1"/>
  <c r="T760" i="5" a="1"/>
  <c r="AE739" i="5" a="1"/>
  <c r="V739" i="5" a="1"/>
  <c r="AF580" i="5" a="1"/>
  <c r="W580" i="5" a="1"/>
  <c r="AF82" i="5" a="1"/>
  <c r="W82" i="5" a="1"/>
  <c r="AF201" i="5" a="1"/>
  <c r="W201" i="5" a="1"/>
  <c r="AE361" i="5" a="1"/>
  <c r="V361" i="5" a="1"/>
  <c r="AF83" i="5" a="1"/>
  <c r="W83" i="5" a="1"/>
  <c r="AD687" i="5" a="1"/>
  <c r="U687" i="5" a="1"/>
  <c r="AF369" i="5" a="1"/>
  <c r="W369" i="5" a="1"/>
  <c r="AE91" i="5" a="1"/>
  <c r="V91" i="5" a="1"/>
  <c r="AC476" i="5" a="1"/>
  <c r="AE601" i="5" a="1"/>
  <c r="V601" i="5" a="1"/>
  <c r="AF253" i="5" a="1"/>
  <c r="W253" i="5" a="1"/>
  <c r="AF568" i="5" a="1"/>
  <c r="W568" i="5" a="1"/>
  <c r="AF544" i="5" a="1"/>
  <c r="W544" i="5" a="1"/>
  <c r="AE704" i="5" a="1"/>
  <c r="V704" i="5" a="1"/>
  <c r="AE626" i="5" a="1"/>
  <c r="V626" i="5" a="1"/>
  <c r="AF495" i="5" a="1"/>
  <c r="W495" i="5" a="1"/>
  <c r="AF514" i="5" a="1"/>
  <c r="W514" i="5" a="1"/>
  <c r="AC611" i="5" a="1"/>
  <c r="T611" i="5" a="1"/>
  <c r="AC165" i="5" a="1"/>
  <c r="T165" i="5" a="1"/>
  <c r="AE485" i="5" a="1"/>
  <c r="V485" i="5" a="1"/>
  <c r="AC522" i="5" a="1"/>
  <c r="T522" i="5" a="1"/>
  <c r="AF588" i="5" a="1"/>
  <c r="W588" i="5" a="1"/>
  <c r="AE461" i="5" a="1"/>
  <c r="AC143" i="5" a="1"/>
  <c r="T143" i="5" a="1"/>
  <c r="AD715" i="5" a="1"/>
  <c r="U715" i="5" a="1"/>
  <c r="AE171" i="5" a="1"/>
  <c r="V171" i="5" a="1"/>
  <c r="W497" i="5" a="1"/>
  <c r="AE596" i="5" a="1"/>
  <c r="V596" i="5" a="1"/>
  <c r="AE627" i="5" a="1"/>
  <c r="V627" i="5" a="1"/>
  <c r="AC308" i="5" a="1"/>
  <c r="T308" i="5" a="1"/>
  <c r="AF661" i="5" a="1"/>
  <c r="W661" i="5" a="1"/>
  <c r="AE599" i="5" a="1"/>
  <c r="V599" i="5" a="1"/>
  <c r="AD91" i="5" a="1"/>
  <c r="U91" i="5" a="1"/>
  <c r="AF251" i="5" a="1"/>
  <c r="W251" i="5" a="1"/>
  <c r="AF321" i="5" a="1"/>
  <c r="W321" i="5" a="1"/>
  <c r="AC641" i="5" a="1"/>
  <c r="T641" i="5" a="1"/>
  <c r="AC67" i="5" a="1"/>
  <c r="T67" i="5" a="1"/>
  <c r="AF611" i="5" a="1"/>
  <c r="W611" i="5" a="1"/>
  <c r="AC452" i="5" a="1"/>
  <c r="T452" i="5" a="1"/>
  <c r="AF33" i="5" a="1"/>
  <c r="W33" i="5" a="1"/>
  <c r="AF295" i="5" a="1"/>
  <c r="W295" i="5" a="1"/>
  <c r="AE600" i="5" a="1"/>
  <c r="V600" i="5" a="1"/>
  <c r="AD447" i="5" a="1"/>
  <c r="U447" i="5" a="1"/>
  <c r="AE73" i="5" a="1"/>
  <c r="V73" i="5" a="1"/>
  <c r="AC695" i="5" a="1"/>
  <c r="T695" i="5" a="1"/>
  <c r="AD115" i="5" a="1"/>
  <c r="U115" i="5" a="1"/>
  <c r="AD181" i="5" a="1"/>
  <c r="U181" i="5" a="1"/>
  <c r="AC599" i="5" a="1"/>
  <c r="T599" i="5" a="1"/>
  <c r="AF250" i="5" a="1"/>
  <c r="W250" i="5" a="1"/>
  <c r="AD251" i="5" a="1"/>
  <c r="U251" i="5" a="1"/>
  <c r="AC663" i="5" a="1"/>
  <c r="T663" i="5" a="1"/>
  <c r="AC188" i="5" a="1"/>
  <c r="T188" i="5" a="1"/>
  <c r="AD562" i="5" a="1"/>
  <c r="U562" i="5" a="1"/>
  <c r="AD733" i="5" a="1"/>
  <c r="U733" i="5" a="1"/>
  <c r="AF704" i="5" a="1"/>
  <c r="W704" i="5" a="1"/>
  <c r="AD160" i="5" a="1"/>
  <c r="U160" i="5" a="1"/>
  <c r="AD546" i="5" a="1"/>
  <c r="U546" i="5" a="1"/>
  <c r="AC451" i="5" a="1"/>
  <c r="T451" i="5" a="1"/>
  <c r="AD611" i="5" a="1"/>
  <c r="U611" i="5" a="1"/>
  <c r="AE559" i="5" a="1"/>
  <c r="V559" i="5" a="1"/>
  <c r="AD582" i="5" a="1"/>
  <c r="U582" i="5" a="1"/>
  <c r="AE536" i="5" a="1"/>
  <c r="V536" i="5" a="1"/>
  <c r="AC742" i="5" a="1"/>
  <c r="T742" i="5" a="1"/>
  <c r="AF328" i="5" a="1"/>
  <c r="W328" i="5" a="1"/>
  <c r="AC456" i="5" a="1"/>
  <c r="T456" i="5" a="1"/>
  <c r="AF616" i="5" a="1"/>
  <c r="W616" i="5" a="1"/>
  <c r="AC688" i="5" a="1"/>
  <c r="T688" i="5" a="1"/>
  <c r="AD658" i="5" a="1"/>
  <c r="U658" i="5" a="1"/>
  <c r="AE344" i="5" a="1"/>
  <c r="V344" i="5" a="1"/>
  <c r="AD468" i="5" a="1"/>
  <c r="U468" i="5" a="1"/>
  <c r="AE628" i="5" a="1"/>
  <c r="V628" i="5" a="1"/>
  <c r="AE123" i="5" a="1"/>
  <c r="V123" i="5" a="1"/>
  <c r="AD663" i="5" a="1"/>
  <c r="U663" i="5" a="1"/>
  <c r="AC408" i="5" a="1"/>
  <c r="T408" i="5" a="1"/>
  <c r="AE416" i="5" a="1"/>
  <c r="V416" i="5" a="1"/>
  <c r="AC159" i="5" a="1"/>
  <c r="T159" i="5" a="1"/>
  <c r="AC546" i="5" a="1"/>
  <c r="T546" i="5" a="1"/>
  <c r="AE657" i="5" a="1"/>
  <c r="V657" i="5" a="1"/>
  <c r="AF559" i="5" a="1"/>
  <c r="W559" i="5" a="1"/>
  <c r="AC615" i="5" a="1"/>
  <c r="T615" i="5" a="1"/>
  <c r="AD54" i="5" a="1"/>
  <c r="U54" i="5" a="1"/>
  <c r="AC616" i="5" a="1"/>
  <c r="T616" i="5" a="1"/>
  <c r="AC234" i="5" a="1"/>
  <c r="T234" i="5" a="1"/>
  <c r="AE554" i="5" a="1"/>
  <c r="V554" i="5" a="1"/>
  <c r="AD714" i="5" a="1"/>
  <c r="U714" i="5" a="1"/>
  <c r="AE620" i="5" a="1"/>
  <c r="V620" i="5" a="1"/>
  <c r="AC110" i="5" a="1"/>
  <c r="T110" i="5" a="1"/>
  <c r="AE747" i="5" a="1"/>
  <c r="V747" i="5" a="1"/>
  <c r="AE531" i="5" a="1"/>
  <c r="V531" i="5" a="1"/>
  <c r="AD659" i="5" a="1"/>
  <c r="U659" i="5" a="1"/>
  <c r="AD661" i="5" a="1"/>
  <c r="U661" i="5" a="1"/>
  <c r="AD570" i="5" a="1"/>
  <c r="U570" i="5" a="1"/>
  <c r="AC306" i="5" a="1"/>
  <c r="T306" i="5" a="1"/>
  <c r="AD706" i="5" a="1"/>
  <c r="U706" i="5" a="1"/>
  <c r="AD67" i="5" a="1"/>
  <c r="U67" i="5" a="1"/>
  <c r="AF131" i="5" a="1"/>
  <c r="W131" i="5" a="1"/>
  <c r="AC167" i="5" a="1"/>
  <c r="T167" i="5" a="1"/>
  <c r="AD615" i="5" a="1"/>
  <c r="U615" i="5" a="1"/>
  <c r="AC168" i="5" a="1"/>
  <c r="T168" i="5" a="1"/>
  <c r="AE648" i="5" a="1"/>
  <c r="V648" i="5" a="1"/>
  <c r="AF442" i="5" a="1"/>
  <c r="W442" i="5" a="1"/>
  <c r="AC668" i="5" a="1"/>
  <c r="T668" i="5" a="1"/>
  <c r="AC431" i="5" a="1"/>
  <c r="T431" i="5" a="1"/>
  <c r="AC256" i="5" a="1"/>
  <c r="T256" i="5" a="1"/>
  <c r="AE673" i="5" a="1"/>
  <c r="V673" i="5" a="1"/>
  <c r="AD66" i="5" a="1"/>
  <c r="U66" i="5" a="1"/>
  <c r="AF643" i="5" a="1"/>
  <c r="W643" i="5" a="1"/>
  <c r="AC479" i="5" a="1"/>
  <c r="T479" i="5" a="1"/>
  <c r="AC644" i="5" a="1"/>
  <c r="T644" i="5" a="1"/>
  <c r="AF517" i="5" a="1"/>
  <c r="W517" i="5" a="1"/>
  <c r="AD326" i="5" a="1"/>
  <c r="U326" i="5" a="1"/>
  <c r="AF40" i="5" a="1"/>
  <c r="W40" i="5" a="1"/>
  <c r="AD105" i="5" a="1"/>
  <c r="U105" i="5" a="1"/>
  <c r="AF233" i="5" a="1"/>
  <c r="W233" i="5" a="1"/>
  <c r="AE393" i="5" a="1"/>
  <c r="V393" i="5" a="1"/>
  <c r="AC106" i="5" a="1"/>
  <c r="T106" i="5" a="1"/>
  <c r="AC587" i="5" a="1"/>
  <c r="T587" i="5" a="1"/>
  <c r="AC305" i="5" a="1"/>
  <c r="T305" i="5" a="1"/>
  <c r="AF467" i="5" a="1"/>
  <c r="W467" i="5" a="1"/>
  <c r="AD180" i="5" a="1"/>
  <c r="U180" i="5" a="1"/>
  <c r="AD283" i="5" a="1"/>
  <c r="U283" i="5" a="1"/>
  <c r="AE128" i="5" a="1"/>
  <c r="V128" i="5" a="1"/>
  <c r="AC65" i="5" a="1"/>
  <c r="T65" i="5" a="1"/>
  <c r="AF353" i="5" a="1"/>
  <c r="W353" i="5" a="1"/>
  <c r="AD258" i="5" a="1"/>
  <c r="U258" i="5" a="1"/>
  <c r="AE464" i="5" a="1"/>
  <c r="V464" i="5" a="1"/>
  <c r="AE357" i="5" a="1"/>
  <c r="V357" i="5" a="1"/>
  <c r="AE105" i="5" a="1"/>
  <c r="V105" i="5" a="1"/>
  <c r="AF586" i="5" a="1"/>
  <c r="W586" i="5" a="1"/>
  <c r="AE575" i="5" a="1"/>
  <c r="V575" i="5" a="1"/>
  <c r="AF491" i="5" a="1"/>
  <c r="W491" i="5" a="1"/>
  <c r="AC620" i="5" a="1"/>
  <c r="T620" i="5" a="1"/>
  <c r="AC500" i="5" a="1"/>
  <c r="T500" i="5" a="1"/>
  <c r="AE56" i="5" a="1"/>
  <c r="V56" i="5" a="1"/>
  <c r="AC185" i="5" a="1"/>
  <c r="T185" i="5" a="1"/>
  <c r="AF608" i="5" a="1"/>
  <c r="W608" i="5" a="1"/>
  <c r="AF65" i="5" a="1"/>
  <c r="W65" i="5" a="1"/>
  <c r="AC574" i="5" a="1"/>
  <c r="T574" i="5" a="1"/>
  <c r="AC643" i="5" a="1"/>
  <c r="T643" i="5" a="1"/>
  <c r="AC357" i="5" a="1"/>
  <c r="T357" i="5" a="1"/>
  <c r="AE153" i="5" a="1"/>
  <c r="V153" i="5" a="1"/>
  <c r="AE488" i="5" a="1"/>
  <c r="V488" i="5" a="1"/>
  <c r="AC648" i="5" a="1"/>
  <c r="T648" i="5" a="1"/>
  <c r="AE80" i="5" a="1"/>
  <c r="V80" i="5" a="1"/>
  <c r="AC614" i="5" a="1"/>
  <c r="T614" i="5" a="1"/>
  <c r="AC720" i="5" a="1"/>
  <c r="T720" i="5" a="1"/>
  <c r="AD345" i="5" a="1"/>
  <c r="U345" i="5" a="1"/>
  <c r="AD685" i="5" a="1"/>
  <c r="U685" i="5" a="1"/>
  <c r="AD302" i="5" a="1"/>
  <c r="U302" i="5" a="1"/>
  <c r="AF180" i="5" a="1"/>
  <c r="W180" i="5" a="1"/>
  <c r="AD693" i="5" a="1"/>
  <c r="U693" i="5" a="1"/>
  <c r="AC762" i="5" a="1"/>
  <c r="T762" i="5" a="1"/>
  <c r="AD594" i="5" a="1"/>
  <c r="U594" i="5" a="1"/>
  <c r="V537" i="5" a="1"/>
  <c r="AD90" i="5" a="1"/>
  <c r="U90" i="5" a="1"/>
  <c r="AC24" i="5" a="1"/>
  <c r="T24" i="5" a="1"/>
  <c r="AD60" i="5" a="1"/>
  <c r="U60" i="5" a="1"/>
  <c r="AF445" i="5" a="1"/>
  <c r="W445" i="5" a="1"/>
  <c r="AE605" i="5" a="1"/>
  <c r="V605" i="5" a="1"/>
  <c r="AF448" i="5" a="1"/>
  <c r="W448" i="5" a="1"/>
  <c r="AD643" i="5" a="1"/>
  <c r="U643" i="5" a="1"/>
  <c r="AE287" i="5" a="1"/>
  <c r="V287" i="5" a="1"/>
  <c r="AF520" i="5" a="1"/>
  <c r="W520" i="5" a="1"/>
  <c r="AE152" i="5" a="1"/>
  <c r="V152" i="5" a="1"/>
  <c r="AD426" i="5" a="1"/>
  <c r="U426" i="5" a="1"/>
  <c r="AF113" i="5" a="1"/>
  <c r="W113" i="5" a="1"/>
  <c r="AD300" i="5" a="1"/>
  <c r="U300" i="5" a="1"/>
  <c r="AF112" i="5" a="1"/>
  <c r="W112" i="5" a="1"/>
  <c r="AF376" i="5" a="1"/>
  <c r="W376" i="5" a="1"/>
  <c r="AC473" i="5" a="1"/>
  <c r="T473" i="5" a="1"/>
  <c r="AF496" i="5" a="1"/>
  <c r="W496" i="5" a="1"/>
  <c r="AF249" i="5" a="1"/>
  <c r="W249" i="5" a="1"/>
  <c r="AF593" i="5" a="1"/>
  <c r="W593" i="5" a="1"/>
  <c r="AD163" i="5" a="1"/>
  <c r="U163" i="5" a="1"/>
  <c r="AE675" i="5" a="1"/>
  <c r="V675" i="5" a="1"/>
  <c r="AD229" i="5" a="1"/>
  <c r="U229" i="5" a="1"/>
  <c r="AD517" i="5" a="1"/>
  <c r="U517" i="5" a="1"/>
  <c r="AE677" i="5" a="1"/>
  <c r="V677" i="5" a="1"/>
  <c r="AD519" i="5" a="1"/>
  <c r="U519" i="5" a="1"/>
  <c r="AC40" i="5" a="1"/>
  <c r="T40" i="5" a="1"/>
  <c r="AC575" i="5" a="1"/>
  <c r="T575" i="5" a="1"/>
  <c r="AD492" i="5" a="1"/>
  <c r="U492" i="5" a="1"/>
  <c r="AF685" i="5" a="1"/>
  <c r="W685" i="5" a="1"/>
  <c r="AE57" i="5" a="1"/>
  <c r="V57" i="5" a="1"/>
  <c r="AC302" i="5" a="1"/>
  <c r="T302" i="5" a="1"/>
  <c r="AE342" i="5" a="1"/>
  <c r="V342" i="5" a="1"/>
  <c r="AE122" i="5" a="1"/>
  <c r="V122" i="5" a="1"/>
  <c r="AF317" i="5" a="1"/>
  <c r="W317" i="5" a="1"/>
  <c r="AD545" i="5" a="1"/>
  <c r="U545" i="5" a="1"/>
  <c r="AF705" i="5" a="1"/>
  <c r="W705" i="5" a="1"/>
  <c r="AE696" i="5" a="1"/>
  <c r="V696" i="5" a="1"/>
  <c r="AF418" i="5" a="1"/>
  <c r="W418" i="5" a="1"/>
  <c r="AF229" i="5" a="1"/>
  <c r="W229" i="5" a="1"/>
  <c r="AD62" i="5" a="1"/>
  <c r="U62" i="5" a="1"/>
  <c r="AE95" i="5" a="1"/>
  <c r="V95" i="5" a="1"/>
  <c r="AE745" i="5" a="1"/>
  <c r="V745" i="5" a="1"/>
  <c r="AC138" i="5" a="1"/>
  <c r="T138" i="5" a="1"/>
  <c r="AE458" i="5" a="1"/>
  <c r="V458" i="5" a="1"/>
  <c r="AF397" i="5" a="1"/>
  <c r="W397" i="5" a="1"/>
  <c r="AC331" i="5" a="1"/>
  <c r="T331" i="5" a="1"/>
  <c r="AD683" i="5" a="1"/>
  <c r="U683" i="5" a="1"/>
  <c r="AD474" i="5" a="1"/>
  <c r="U474" i="5" a="1"/>
  <c r="AE633" i="5" a="1"/>
  <c r="V633" i="5" a="1"/>
  <c r="AE387" i="5" a="1"/>
  <c r="V387" i="5" a="1"/>
  <c r="AD101" i="5" a="1"/>
  <c r="U101" i="5" a="1"/>
  <c r="AC137" i="5" a="1"/>
  <c r="T137" i="5" a="1"/>
  <c r="AF683" i="5" a="1"/>
  <c r="W683" i="5" a="1"/>
  <c r="AD303" i="5" a="1"/>
  <c r="U303" i="5" a="1"/>
  <c r="AC372" i="5" a="1"/>
  <c r="T372" i="5" a="1"/>
  <c r="AC376" i="5" a="1"/>
  <c r="T376" i="5" a="1"/>
  <c r="AC288" i="5" a="1"/>
  <c r="T288" i="5" a="1"/>
  <c r="AE608" i="5" a="1"/>
  <c r="V608" i="5" a="1"/>
  <c r="AC402" i="5" a="1"/>
  <c r="T402" i="5" a="1"/>
  <c r="AD319" i="5" a="1"/>
  <c r="U319" i="5" a="1"/>
  <c r="AD183" i="5" a="1"/>
  <c r="U183" i="5" a="1"/>
  <c r="AC95" i="5" a="1"/>
  <c r="T95" i="5" a="1"/>
  <c r="AC72" i="5" a="1"/>
  <c r="T72" i="5" a="1"/>
  <c r="AE680" i="5" a="1"/>
  <c r="V680" i="5" a="1"/>
  <c r="AD297" i="5" a="1"/>
  <c r="U297" i="5" a="1"/>
  <c r="AD585" i="5" a="1"/>
  <c r="U585" i="5" a="1"/>
  <c r="AD138" i="5" a="1"/>
  <c r="U138" i="5" a="1"/>
  <c r="AD279" i="5" a="1"/>
  <c r="U279" i="5" a="1"/>
  <c r="AE683" i="5" a="1"/>
  <c r="V683" i="5" a="1"/>
  <c r="AF302" i="5" a="1"/>
  <c r="W302" i="5" a="1"/>
  <c r="AF252" i="5" a="1"/>
  <c r="W252" i="5" a="1"/>
  <c r="AC572" i="5" a="1"/>
  <c r="T572" i="5" a="1"/>
  <c r="AD637" i="5" a="1"/>
  <c r="U637" i="5" a="1"/>
  <c r="AE335" i="5" a="1"/>
  <c r="V335" i="5" a="1"/>
  <c r="AF130" i="5" a="1"/>
  <c r="W130" i="5" a="1"/>
  <c r="AC738" i="5" a="1"/>
  <c r="T738" i="5" a="1"/>
  <c r="AC324" i="5" a="1"/>
  <c r="T324" i="5" a="1"/>
  <c r="AF519" i="5" a="1"/>
  <c r="W519" i="5" a="1"/>
  <c r="AE624" i="5" a="1"/>
  <c r="V624" i="5" a="1"/>
  <c r="AF396" i="5" a="1"/>
  <c r="W396" i="5" a="1"/>
  <c r="AD565" i="5" a="1"/>
  <c r="U565" i="5" a="1"/>
  <c r="AC480" i="5" a="1"/>
  <c r="T480" i="5" a="1"/>
  <c r="AF545" i="5" a="1"/>
  <c r="W545" i="5" a="1"/>
  <c r="AD450" i="5" a="1"/>
  <c r="U450" i="5" a="1"/>
  <c r="AE297" i="5" a="1"/>
  <c r="V297" i="5" a="1"/>
  <c r="AE585" i="5" a="1"/>
  <c r="V585" i="5" a="1"/>
  <c r="AC312" i="5" a="1"/>
  <c r="T312" i="5" a="1"/>
  <c r="AC458" i="5" a="1"/>
  <c r="T458" i="5" a="1"/>
  <c r="AD281" i="5" a="1"/>
  <c r="U281" i="5" a="1"/>
  <c r="AF281" i="5" a="1"/>
  <c r="W281" i="5" a="1"/>
  <c r="AD43" i="5" a="1"/>
  <c r="U43" i="5" a="1"/>
  <c r="AF710" i="5" a="1"/>
  <c r="W710" i="5" a="1"/>
  <c r="AE334" i="5" a="1"/>
  <c r="V334" i="5" a="1"/>
  <c r="AE98" i="5" a="1"/>
  <c r="V98" i="5" a="1"/>
  <c r="AE314" i="5" a="1"/>
  <c r="V314" i="5" a="1"/>
  <c r="AD402" i="5" a="1"/>
  <c r="U402" i="5" a="1"/>
  <c r="AF610" i="5" a="1"/>
  <c r="W610" i="5" a="1"/>
  <c r="AD549" i="5" a="1"/>
  <c r="U549" i="5" a="1"/>
  <c r="AF294" i="5" a="1"/>
  <c r="W294" i="5" a="1"/>
  <c r="AF297" i="5" a="1"/>
  <c r="W297" i="5" a="1"/>
  <c r="AD368" i="5" a="1"/>
  <c r="U368" i="5" a="1"/>
  <c r="AD282" i="5" a="1"/>
  <c r="U282" i="5" a="1"/>
  <c r="AC351" i="5" a="1"/>
  <c r="T351" i="5" a="1"/>
  <c r="AD187" i="5" a="1"/>
  <c r="U187" i="5" a="1"/>
  <c r="AE318" i="5" a="1"/>
  <c r="V318" i="5" a="1"/>
  <c r="AC311" i="5" a="1"/>
  <c r="T311" i="5" a="1"/>
  <c r="AF547" i="5" a="1"/>
  <c r="W547" i="5" a="1"/>
  <c r="AD709" i="5" a="1"/>
  <c r="U709" i="5" a="1"/>
  <c r="AE392" i="5" a="1"/>
  <c r="V392" i="5" a="1"/>
  <c r="AF137" i="5" a="1"/>
  <c r="W137" i="5" a="1"/>
  <c r="AC617" i="5" a="1"/>
  <c r="T617" i="5" a="1"/>
  <c r="AC619" i="5" a="1"/>
  <c r="T619" i="5" a="1"/>
  <c r="AF231" i="5" a="1"/>
  <c r="W231" i="5" a="1"/>
  <c r="AF711" i="5" a="1"/>
  <c r="W711" i="5" a="1"/>
  <c r="AC618" i="5" a="1"/>
  <c r="T618" i="5" a="1"/>
  <c r="AF299" i="5" a="1"/>
  <c r="W299" i="5" a="1"/>
  <c r="AF368" i="5" a="1"/>
  <c r="W368" i="5" a="1"/>
  <c r="AC685" i="5" a="1"/>
  <c r="T685" i="5" a="1"/>
  <c r="AD347" i="5" a="1"/>
  <c r="U347" i="5" a="1"/>
  <c r="AE655" i="5" a="1"/>
  <c r="V655" i="5" a="1"/>
  <c r="AF318" i="5" a="1"/>
  <c r="W318" i="5" a="1"/>
  <c r="AD640" i="5" a="1"/>
  <c r="U640" i="5" a="1"/>
  <c r="AF471" i="5" a="1"/>
  <c r="W471" i="5" a="1"/>
  <c r="AF257" i="5" a="1"/>
  <c r="W257" i="5" a="1"/>
  <c r="AD417" i="5" a="1"/>
  <c r="U417" i="5" a="1"/>
  <c r="AF64" i="5" a="1"/>
  <c r="W64" i="5" a="1"/>
  <c r="AC548" i="5" a="1"/>
  <c r="T548" i="5" a="1"/>
  <c r="AC708" i="5" a="1"/>
  <c r="T708" i="5" a="1"/>
  <c r="AE272" i="5" a="1"/>
  <c r="V272" i="5" a="1"/>
  <c r="AF371" i="5" a="1"/>
  <c r="W371" i="5" a="1"/>
  <c r="AD758" i="5" a="1"/>
  <c r="U758" i="5" a="1"/>
  <c r="AD89" i="5" a="1"/>
  <c r="U89" i="5" a="1"/>
  <c r="AC352" i="5" a="1"/>
  <c r="T352" i="5" a="1"/>
  <c r="AE417" i="5" a="1"/>
  <c r="V417" i="5" a="1"/>
  <c r="AF630" i="5" a="1"/>
  <c r="W630" i="5" a="1"/>
  <c r="AC421" i="5" a="1"/>
  <c r="T421" i="5" a="1"/>
  <c r="AD103" i="5" a="1"/>
  <c r="U103" i="5" a="1"/>
  <c r="AE561" i="5" a="1"/>
  <c r="V561" i="5" a="1"/>
  <c r="AC552" i="5" a="1"/>
  <c r="AE486" i="5" a="1"/>
  <c r="V486" i="5" a="1"/>
  <c r="AD330" i="5" a="1"/>
  <c r="U330" i="5" a="1"/>
  <c r="AE650" i="5" a="1"/>
  <c r="V650" i="5" a="1"/>
  <c r="AD684" i="5" a="1"/>
  <c r="U684" i="5" a="1"/>
  <c r="AD759" i="5" a="1"/>
  <c r="U759" i="5" a="1"/>
  <c r="AC494" i="5" a="1"/>
  <c r="T494" i="5" a="1"/>
  <c r="AC329" i="5" a="1"/>
  <c r="T329" i="5" a="1"/>
  <c r="AC517" i="5" a="1"/>
  <c r="T517" i="5" a="1"/>
  <c r="AE602" i="5" a="1"/>
  <c r="V602" i="5" a="1"/>
  <c r="AC445" i="5" a="1"/>
  <c r="T445" i="5" a="1"/>
  <c r="AF403" i="5" a="1"/>
  <c r="W403" i="5" a="1"/>
  <c r="AF563" i="5" a="1"/>
  <c r="W563" i="5" a="1"/>
  <c r="AD597" i="5" a="1"/>
  <c r="U597" i="5" a="1"/>
  <c r="AE729" i="5" a="1"/>
  <c r="V729" i="5" a="1"/>
  <c r="AC154" i="5" a="1"/>
  <c r="T154" i="5" a="1"/>
  <c r="AD280" i="5" a="1"/>
  <c r="U280" i="5" a="1"/>
  <c r="AC349" i="5" a="1"/>
  <c r="T349" i="5" a="1"/>
  <c r="AE630" i="5" a="1"/>
  <c r="V630" i="5" a="1"/>
  <c r="AD547" i="5" a="1"/>
  <c r="AF606" i="5" a="1"/>
  <c r="W606" i="5" a="1"/>
  <c r="AD421" i="5" a="1"/>
  <c r="U421" i="5" a="1"/>
  <c r="AF358" i="5" a="1"/>
  <c r="W358" i="5" a="1"/>
  <c r="AC286" i="5" a="1"/>
  <c r="T286" i="5" a="1"/>
  <c r="AE749" i="5" a="1"/>
  <c r="V749" i="5" a="1"/>
  <c r="AF203" i="5" a="1"/>
  <c r="W203" i="5" a="1"/>
  <c r="AF209" i="5" a="1"/>
  <c r="W209" i="5" a="1"/>
  <c r="AD680" i="5" a="1"/>
  <c r="U680" i="5" a="1"/>
  <c r="AE244" i="5" a="1"/>
  <c r="V244" i="5" a="1"/>
  <c r="AC665" i="5" a="1"/>
  <c r="T665" i="5" a="1"/>
  <c r="AD349" i="5" a="1"/>
  <c r="U349" i="5" a="1"/>
  <c r="AE407" i="5" a="1"/>
  <c r="V407" i="5" a="1"/>
  <c r="AC259" i="5" a="1"/>
  <c r="T259" i="5" a="1"/>
  <c r="AE579" i="5" a="1"/>
  <c r="V579" i="5" a="1"/>
  <c r="AC192" i="5" a="1"/>
  <c r="T192" i="5" a="1"/>
  <c r="AF708" i="5" a="1"/>
  <c r="W708" i="5" a="1"/>
  <c r="AC133" i="5" a="1"/>
  <c r="T133" i="5" a="1"/>
  <c r="AF439" i="5" a="1"/>
  <c r="W439" i="5" a="1"/>
  <c r="AE104" i="5" a="1"/>
  <c r="V104" i="5" a="1"/>
  <c r="AC264" i="5" a="1"/>
  <c r="T264" i="5" a="1"/>
  <c r="AC94" i="5" a="1"/>
  <c r="T94" i="5" a="1"/>
  <c r="AD42" i="5" a="1"/>
  <c r="U42" i="5" a="1"/>
  <c r="AD114" i="5" a="1"/>
  <c r="U114" i="5" a="1"/>
  <c r="AE139" i="5" a="1"/>
  <c r="V139" i="5" a="1"/>
  <c r="AE459" i="5" a="1"/>
  <c r="V459" i="5" a="1"/>
  <c r="AF366" i="5" a="1"/>
  <c r="W366" i="5" a="1"/>
  <c r="AD656" i="5" a="1"/>
  <c r="U656" i="5" a="1"/>
  <c r="AE430" i="5" a="1"/>
  <c r="V430" i="5" a="1"/>
  <c r="AE603" i="5" a="1"/>
  <c r="V603" i="5" a="1"/>
  <c r="AF590" i="5" a="1"/>
  <c r="W590" i="5" a="1"/>
  <c r="AD738" i="5" a="1"/>
  <c r="U738" i="5" a="1"/>
  <c r="AD355" i="5" a="1"/>
  <c r="U355" i="5" a="1"/>
  <c r="AC119" i="5" a="1"/>
  <c r="T119" i="5" a="1"/>
  <c r="AD595" i="5" a="1"/>
  <c r="U595" i="5" a="1"/>
  <c r="AE404" i="5" a="1"/>
  <c r="V404" i="5" a="1"/>
  <c r="AD149" i="5" a="1"/>
  <c r="U149" i="5" a="1"/>
  <c r="AE604" i="5" a="1"/>
  <c r="V604" i="5" a="1"/>
  <c r="AF352" i="5" a="1"/>
  <c r="W352" i="5" a="1"/>
  <c r="AD512" i="5" a="1"/>
  <c r="U512" i="5" a="1"/>
  <c r="AD259" i="5" a="1"/>
  <c r="U259" i="5" a="1"/>
  <c r="AF419" i="5" a="1"/>
  <c r="W419" i="5" a="1"/>
  <c r="AD320" i="5" a="1"/>
  <c r="U320" i="5" a="1"/>
  <c r="AE358" i="5" a="1"/>
  <c r="V358" i="5" a="1"/>
  <c r="AF329" i="5" a="1"/>
  <c r="W329" i="5" a="1"/>
  <c r="AE489" i="5" a="1"/>
  <c r="V489" i="5" a="1"/>
  <c r="AF184" i="5" a="1"/>
  <c r="W184" i="5" a="1"/>
  <c r="AF364" i="5" a="1"/>
  <c r="W364" i="5" a="1"/>
  <c r="AD589" i="5" a="1"/>
  <c r="U589" i="5" a="1"/>
  <c r="AD108" i="5" a="1"/>
  <c r="U108" i="5" a="1"/>
  <c r="AD522" i="5" a="1"/>
  <c r="U522" i="5" a="1"/>
  <c r="AF78" i="5" a="1"/>
  <c r="W78" i="5" a="1"/>
  <c r="AC336" i="5" a="1"/>
  <c r="T336" i="5" a="1"/>
  <c r="AF592" i="5" a="1"/>
  <c r="W592" i="5" a="1"/>
  <c r="AF278" i="5" a="1"/>
  <c r="W278" i="5" a="1"/>
  <c r="AC764" i="5" a="1"/>
  <c r="T764" i="5" a="1"/>
  <c r="AC407" i="5" a="1"/>
  <c r="T407" i="5" a="1"/>
  <c r="AF446" i="5" a="1"/>
  <c r="W446" i="5" a="1"/>
  <c r="AE512" i="5" a="1"/>
  <c r="V512" i="5" a="1"/>
  <c r="AD760" i="5" a="1"/>
  <c r="U760" i="5" a="1"/>
  <c r="AE320" i="5" a="1"/>
  <c r="V320" i="5" a="1"/>
  <c r="AE453" i="5" a="1"/>
  <c r="V453" i="5" a="1"/>
  <c r="AC613" i="5" a="1"/>
  <c r="T613" i="5" a="1"/>
  <c r="AE465" i="5" a="1"/>
  <c r="V465" i="5" a="1"/>
  <c r="AC743" i="5" a="1"/>
  <c r="T743" i="5" a="1"/>
  <c r="AC744" i="5" a="1"/>
  <c r="T744" i="5" a="1"/>
  <c r="AC108" i="5" a="1"/>
  <c r="T108" i="5" a="1"/>
  <c r="AC526" i="5" a="1"/>
  <c r="T526" i="5" a="1"/>
  <c r="AF515" i="5" a="1"/>
  <c r="W515" i="5" a="1"/>
  <c r="AD499" i="5" a="1"/>
  <c r="U499" i="5" a="1"/>
  <c r="AF564" i="5" a="1"/>
  <c r="W564" i="5" a="1"/>
  <c r="AE243" i="5" a="1"/>
  <c r="V243" i="5" a="1"/>
  <c r="AE406" i="5" a="1"/>
  <c r="V406" i="5" a="1"/>
  <c r="AE699" i="5" a="1"/>
  <c r="V699" i="5" a="1"/>
  <c r="AF280" i="5" a="1"/>
  <c r="W280" i="5" a="1"/>
  <c r="AF449" i="5" a="1"/>
  <c r="W449" i="5" a="1"/>
  <c r="AD642" i="5" a="1"/>
  <c r="U642" i="5" a="1"/>
  <c r="AC419" i="5" a="1"/>
  <c r="T419" i="5" a="1"/>
  <c r="AC498" i="5" a="1"/>
  <c r="T498" i="5" a="1"/>
  <c r="AC423" i="5" a="1"/>
  <c r="T423" i="5" a="1"/>
  <c r="AF296" i="5" a="1"/>
  <c r="W296" i="5" a="1"/>
  <c r="AC600" i="5" a="1"/>
  <c r="T600" i="5" a="1"/>
  <c r="AF390" i="5" a="1"/>
  <c r="W390" i="5" a="1"/>
  <c r="AD489" i="5" a="1"/>
  <c r="U489" i="5" a="1"/>
  <c r="AC48" i="5" a="1"/>
  <c r="T48" i="5" a="1"/>
  <c r="AC766" i="5" a="1"/>
  <c r="T766" i="5" a="1"/>
  <c r="AE345" i="5" a="1"/>
  <c r="V345" i="5" a="1"/>
  <c r="AD608" i="5" a="1"/>
  <c r="U608" i="5" a="1"/>
  <c r="AF473" i="5" a="1"/>
  <c r="W473" i="5" a="1"/>
  <c r="AD307" i="5" a="1"/>
  <c r="U307" i="5" a="1"/>
  <c r="AD186" i="5" a="1"/>
  <c r="U186" i="5" a="1"/>
  <c r="AD379" i="5" a="1"/>
  <c r="U379" i="5" a="1"/>
  <c r="AF539" i="5" a="1"/>
  <c r="W539" i="5" a="1"/>
  <c r="AD665" i="5" a="1"/>
  <c r="U665" i="5" a="1"/>
  <c r="AE178" i="5" a="1"/>
  <c r="V178" i="5" a="1"/>
  <c r="AC384" i="5" a="1"/>
  <c r="T384" i="5" a="1"/>
  <c r="AC354" i="5" a="1"/>
  <c r="T354" i="5" a="1"/>
  <c r="AD739" i="5" a="1"/>
  <c r="U739" i="5" a="1"/>
  <c r="AE646" i="5" a="1"/>
  <c r="V646" i="5" a="1"/>
  <c r="AE296" i="5" a="1"/>
  <c r="V296" i="5" a="1"/>
  <c r="AD414" i="5" a="1"/>
  <c r="U414" i="5" a="1"/>
  <c r="AE587" i="5" a="1"/>
  <c r="V587" i="5" a="1"/>
  <c r="AF425" i="5" a="1"/>
  <c r="W425" i="5" a="1"/>
  <c r="AC422" i="5" a="1"/>
  <c r="T422" i="5" a="1"/>
  <c r="AD756" i="5" a="1"/>
  <c r="U756" i="5" a="1"/>
  <c r="AD469" i="5" a="1"/>
  <c r="U469" i="5" a="1"/>
  <c r="AE369" i="5" a="1"/>
  <c r="V369" i="5" a="1"/>
  <c r="AE539" i="5" a="1"/>
  <c r="V539" i="5" a="1"/>
  <c r="AF689" i="5" a="1"/>
  <c r="W689" i="5" a="1"/>
  <c r="AE321" i="5" a="1"/>
  <c r="V321" i="5" a="1"/>
  <c r="AE674" i="5" a="1"/>
  <c r="V674" i="5" a="1"/>
  <c r="AE611" i="5" a="1"/>
  <c r="V611" i="5" a="1"/>
  <c r="AF99" i="5" a="1"/>
  <c r="W99" i="5" a="1"/>
  <c r="AC325" i="5" a="1"/>
  <c r="T325" i="5" a="1"/>
  <c r="AD453" i="5" a="1"/>
  <c r="U453" i="5" a="1"/>
  <c r="AE478" i="5" a="1"/>
  <c r="V478" i="5" a="1"/>
  <c r="AF230" i="5" a="1"/>
  <c r="W230" i="5" a="1"/>
  <c r="AF521" i="5" a="1"/>
  <c r="W521" i="5" a="1"/>
  <c r="AE681" i="5" a="1"/>
  <c r="V681" i="5" a="1"/>
  <c r="AE310" i="5" a="1"/>
  <c r="V310" i="5" a="1"/>
  <c r="AF204" i="5" a="1"/>
  <c r="W204" i="5" a="1"/>
  <c r="AD523" i="5" a="1"/>
  <c r="U523" i="5" a="1"/>
  <c r="AC765" i="5" a="1"/>
  <c r="T765" i="5" a="1"/>
  <c r="AC474" i="5" a="1"/>
  <c r="T474" i="5" a="1"/>
  <c r="AE411" i="5" a="1"/>
  <c r="V411" i="5" a="1"/>
  <c r="AE32" i="5" a="1"/>
  <c r="V32" i="5" a="1"/>
  <c r="AE224" i="5" a="1"/>
  <c r="V224" i="5" a="1"/>
  <c r="AF291" i="5" a="1"/>
  <c r="W291" i="5" a="1"/>
  <c r="AE33" i="5" a="1"/>
  <c r="V33" i="5" a="1"/>
  <c r="AD613" i="5" a="1"/>
  <c r="U613" i="5" a="1"/>
  <c r="AE79" i="5" a="1"/>
  <c r="V79" i="5" a="1"/>
  <c r="AD521" i="5" a="1"/>
  <c r="U521" i="5" a="1"/>
  <c r="AD621" i="5" a="1"/>
  <c r="U621" i="5" a="1"/>
  <c r="AE398" i="5" a="1"/>
  <c r="V398" i="5" a="1"/>
  <c r="AF558" i="5" a="1"/>
  <c r="W558" i="5" a="1"/>
  <c r="AD488" i="5" a="1"/>
  <c r="U488" i="5" a="1"/>
  <c r="AE670" i="5" a="1"/>
  <c r="V670" i="5" a="1"/>
  <c r="AD346" i="5" a="1"/>
  <c r="U346" i="5" a="1"/>
  <c r="AC360" i="5" a="1"/>
  <c r="T360" i="5" a="1"/>
  <c r="AF709" i="5" a="1"/>
  <c r="W709" i="5" a="1"/>
  <c r="AF497" i="5" a="1"/>
  <c r="AD440" i="5" a="1"/>
  <c r="U440" i="5" a="1"/>
  <c r="AF58" i="5" a="1"/>
  <c r="W58" i="5" a="1"/>
  <c r="AF571" i="5" a="1"/>
  <c r="W571" i="5" a="1"/>
  <c r="AC47" i="5" a="1"/>
  <c r="T47" i="5" a="1"/>
  <c r="AD253" i="5" a="1"/>
  <c r="U253" i="5" a="1"/>
  <c r="AC689" i="5" a="1"/>
  <c r="T689" i="5" a="1"/>
  <c r="AC432" i="5" a="1"/>
  <c r="T432" i="5" a="1"/>
  <c r="AD612" i="5" a="1"/>
  <c r="U612" i="5" a="1"/>
  <c r="AE511" i="5" a="1"/>
  <c r="V511" i="5" a="1"/>
  <c r="AF615" i="5" a="1"/>
  <c r="W615" i="5" a="1"/>
  <c r="AC527" i="5" a="1"/>
  <c r="T527" i="5" a="1"/>
  <c r="AC239" i="5" a="1"/>
  <c r="T239" i="5" a="1"/>
  <c r="AF688" i="5" a="1"/>
  <c r="W688" i="5" a="1"/>
  <c r="AD234" i="5" a="1"/>
  <c r="U234" i="5" a="1"/>
  <c r="AC554" i="5" a="1"/>
  <c r="T554" i="5" a="1"/>
  <c r="AD344" i="5" a="1"/>
  <c r="U344" i="5" a="1"/>
  <c r="AF493" i="5" a="1"/>
  <c r="W493" i="5" a="1"/>
  <c r="AE270" i="5" a="1"/>
  <c r="V270" i="5" a="1"/>
  <c r="AF270" i="5" a="1"/>
  <c r="W270" i="5" a="1"/>
  <c r="AE415" i="5" a="1"/>
  <c r="V415" i="5" a="1"/>
  <c r="AD475" i="5" a="1"/>
  <c r="U475" i="5" a="1"/>
  <c r="AE751" i="5" a="1"/>
  <c r="V751" i="5" a="1"/>
  <c r="AC468" i="5" a="1"/>
  <c r="T468" i="5" a="1"/>
  <c r="AE177" i="5" a="1"/>
  <c r="V177" i="5" a="1"/>
  <c r="AD341" i="5" a="1"/>
  <c r="U341" i="5" a="1"/>
  <c r="AE440" i="5" a="1"/>
  <c r="V440" i="5" a="1"/>
  <c r="AC761" i="5" a="1"/>
  <c r="T761" i="5" a="1"/>
  <c r="AE93" i="5" a="1"/>
  <c r="V93" i="5" a="1"/>
  <c r="AC413" i="5" a="1"/>
  <c r="T413" i="5" a="1"/>
  <c r="AD416" i="5" a="1"/>
  <c r="U416" i="5" a="1"/>
  <c r="AC626" i="5" a="1"/>
  <c r="T626" i="5" a="1"/>
  <c r="AF256" i="5" a="1"/>
  <c r="W256" i="5" a="1"/>
  <c r="AC504" i="5" a="1"/>
  <c r="T504" i="5" a="1"/>
  <c r="AC645" i="5" a="1"/>
  <c r="T645" i="5" a="1"/>
  <c r="AC714" i="5" a="1"/>
  <c r="T714" i="5" a="1"/>
  <c r="AE271" i="5" a="1"/>
  <c r="V271" i="5" a="1"/>
  <c r="AD427" i="5" a="1"/>
  <c r="U427" i="5" a="1"/>
  <c r="AE748" i="5" a="1"/>
  <c r="V748" i="5" a="1"/>
  <c r="AF653" i="5" a="1"/>
  <c r="W653" i="5" a="1"/>
  <c r="AF472" i="5" a="1"/>
  <c r="W472" i="5" a="1"/>
  <c r="AD493" i="5" a="1"/>
  <c r="U493" i="5" a="1"/>
  <c r="AC430" i="5" a="1"/>
  <c r="T430" i="5" a="1"/>
  <c r="AC113" i="5" a="1"/>
  <c r="T113" i="5" a="1"/>
  <c r="AF53" i="5" a="1"/>
  <c r="W53" i="5" a="1"/>
  <c r="AC501" i="5" a="1"/>
  <c r="T501" i="5" a="1"/>
  <c r="AC661" i="5" a="1"/>
  <c r="T661" i="5" a="1"/>
  <c r="AC240" i="5" a="1"/>
  <c r="T240" i="5" a="1"/>
  <c r="AC570" i="5" a="1"/>
  <c r="T570" i="5" a="1"/>
  <c r="AD571" i="5" a="1"/>
  <c r="U571" i="5" a="1"/>
  <c r="AF562" i="5" a="1"/>
  <c r="W562" i="5" a="1"/>
  <c r="AF413" i="5" a="1"/>
  <c r="W413" i="5" a="1"/>
  <c r="AE479" i="5" a="1"/>
  <c r="V479" i="5" a="1"/>
  <c r="AE632" i="5" a="1"/>
  <c r="V632" i="5" a="1"/>
  <c r="AC455" i="5" a="1"/>
  <c r="T455" i="5" a="1"/>
  <c r="AC670" i="5" a="1"/>
  <c r="T670" i="5" a="1"/>
  <c r="AC333" i="5" a="1"/>
  <c r="T333" i="5" a="1"/>
  <c r="AE337" i="5" a="1"/>
  <c r="V337" i="5" a="1"/>
  <c r="AC191" i="5" a="1"/>
  <c r="T191" i="5" a="1"/>
  <c r="AC647" i="5" a="1"/>
  <c r="T647" i="5" a="1"/>
  <c r="AE118" i="5" a="1"/>
  <c r="V118" i="5" a="1"/>
  <c r="AE225" i="5" a="1"/>
  <c r="V225" i="5" a="1"/>
  <c r="AE555" i="5" a="1"/>
  <c r="V555" i="5" a="1"/>
  <c r="AD408" i="5" a="1"/>
  <c r="U408" i="5" a="1"/>
  <c r="AD761" i="5" a="1"/>
  <c r="U761" i="5" a="1"/>
  <c r="AC285" i="5" a="1"/>
  <c r="T285" i="5" a="1"/>
  <c r="AF185" i="5" a="1"/>
  <c r="W185" i="5" a="1"/>
  <c r="AD543" i="5" a="1"/>
  <c r="U543" i="5" a="1"/>
  <c r="AF641" i="5" a="1"/>
  <c r="W641" i="5" a="1"/>
  <c r="AD463" i="5" a="1"/>
  <c r="U463" i="5" a="1"/>
  <c r="AC493" i="5" a="1"/>
  <c r="T493" i="5" a="1"/>
  <c r="AC763" i="5" a="1"/>
  <c r="T763" i="5" a="1"/>
  <c r="AD328" i="5" a="1"/>
  <c r="U328" i="5" a="1"/>
  <c r="AE331" i="5" a="1"/>
  <c r="V331" i="5" a="1"/>
  <c r="AF462" i="5" a="1"/>
  <c r="W462" i="5" a="1"/>
  <c r="AF634" i="5" a="1"/>
  <c r="W634" i="5" a="1"/>
  <c r="AF232" i="5" a="1"/>
  <c r="W232" i="5" a="1"/>
  <c r="AC373" i="5" a="1"/>
  <c r="T373" i="5" a="1"/>
  <c r="AE533" i="5" a="1"/>
  <c r="V533" i="5" a="1"/>
  <c r="AC602" i="5" a="1"/>
  <c r="T602" i="5" a="1"/>
  <c r="AF377" i="5" a="1"/>
  <c r="W377" i="5" a="1"/>
  <c r="AE408" i="5" a="1"/>
  <c r="V408" i="5" a="1"/>
  <c r="AD306" i="5" a="1"/>
  <c r="U306" i="5" a="1"/>
  <c r="AC576" i="5" a="1"/>
  <c r="T576" i="5" a="1"/>
  <c r="AF375" i="5" a="1"/>
  <c r="W375" i="5" a="1"/>
  <c r="AE483" i="5" a="1"/>
  <c r="V483" i="5" a="1"/>
  <c r="AD691" i="5" a="1"/>
  <c r="U691" i="5" a="1"/>
  <c r="AF367" i="5" a="1"/>
  <c r="W367" i="5" a="1"/>
  <c r="AF274" i="5" a="1"/>
  <c r="W274" i="5" a="1"/>
  <c r="AF305" i="5" a="1"/>
  <c r="W305" i="5" a="1"/>
  <c r="AF659" i="5" a="1"/>
  <c r="W659" i="5" a="1"/>
  <c r="AE693" i="5" a="1"/>
  <c r="V693" i="5" a="1"/>
  <c r="AF443" i="5" a="1"/>
  <c r="W443" i="5" a="1"/>
  <c r="AE513" i="5" a="1"/>
  <c r="V513" i="5" a="1"/>
  <c r="AC696" i="5" a="1"/>
  <c r="T696" i="5" a="1"/>
  <c r="AD418" i="5" a="1"/>
  <c r="U418" i="5" a="1"/>
  <c r="AF706" i="5" a="1"/>
  <c r="W706" i="5" a="1"/>
  <c r="AE336" i="5" a="1"/>
  <c r="V336" i="5" a="1"/>
  <c r="AE728" i="5" a="1"/>
  <c r="V728" i="5" a="1"/>
  <c r="AD425" i="5" a="1"/>
  <c r="U425" i="5" a="1"/>
  <c r="AC426" i="5" a="1"/>
  <c r="T426" i="5" a="1"/>
  <c r="AE750" i="5" a="1"/>
  <c r="V750" i="5" a="1"/>
  <c r="AC287" i="5" a="1"/>
  <c r="T287" i="5" a="1"/>
  <c r="AE746" i="5" a="1"/>
  <c r="V746" i="5" a="1"/>
  <c r="AE249" i="5" a="1"/>
  <c r="V249" i="5" a="1"/>
  <c r="AF438" i="5" a="1"/>
  <c r="W438" i="5" a="1"/>
  <c r="AD496" i="5" a="1"/>
  <c r="U496" i="5" a="1"/>
  <c r="AD331" i="5" a="1"/>
  <c r="U331" i="5" a="1"/>
  <c r="AD660" i="5" a="1"/>
  <c r="U660" i="5" a="1"/>
  <c r="AE339" i="5" a="1"/>
  <c r="V339" i="5" a="1"/>
  <c r="AF499" i="5" a="1"/>
  <c r="W499" i="5" a="1"/>
  <c r="AE537" i="5" a="1"/>
  <c r="AC346" i="5" a="1"/>
  <c r="T346" i="5" a="1"/>
  <c r="AE443" i="5" a="1"/>
  <c r="V443" i="5" a="1"/>
  <c r="AD128" i="5" a="1"/>
  <c r="U128" i="5" a="1"/>
  <c r="AC258" i="5" a="1"/>
  <c r="T258" i="5" a="1"/>
  <c r="AD703" i="5" a="1"/>
  <c r="U703" i="5" a="1"/>
  <c r="AD324" i="5" a="1"/>
  <c r="U324" i="5" a="1"/>
  <c r="AC528" i="5" a="1"/>
  <c r="T528" i="5" a="1"/>
  <c r="AF39" i="5" a="1"/>
  <c r="W39" i="5" a="1"/>
  <c r="AF400" i="5" a="1"/>
  <c r="W400" i="5" a="1"/>
  <c r="AE502" i="5" a="1"/>
  <c r="V502" i="5" a="1"/>
  <c r="AD254" i="5" a="1"/>
  <c r="U254" i="5" a="1"/>
  <c r="AD614" i="5" a="1"/>
  <c r="U614" i="5" a="1"/>
  <c r="AF138" i="5" a="1"/>
  <c r="W138" i="5" a="1"/>
  <c r="AD235" i="5" a="1"/>
  <c r="U235" i="5" a="1"/>
  <c r="AC335" i="5" a="1"/>
  <c r="T335" i="5" a="1"/>
  <c r="AC594" i="5" a="1"/>
  <c r="T594" i="5" a="1"/>
  <c r="AE598" i="5" a="1"/>
  <c r="V598" i="5" a="1"/>
  <c r="AC397" i="5" a="1"/>
  <c r="T397" i="5" a="1"/>
  <c r="AD392" i="5" a="1"/>
  <c r="U392" i="5" a="1"/>
  <c r="AE382" i="5" a="1"/>
  <c r="V382" i="5" a="1"/>
  <c r="AE286" i="5" a="1"/>
  <c r="V286" i="5" a="1"/>
  <c r="AC301" i="5" a="1"/>
  <c r="T301" i="5" a="1"/>
  <c r="AD296" i="5" a="1"/>
  <c r="U296" i="5" a="1"/>
  <c r="AF246" i="5" a="1"/>
  <c r="W246" i="5" a="1"/>
  <c r="AF342" i="5" a="1"/>
  <c r="W342" i="5" a="1"/>
  <c r="AC772" i="5"/>
  <c r="AD773" i="5"/>
  <c r="AD772" i="5"/>
  <c r="AE772" i="5"/>
  <c r="AE773" i="5"/>
  <c r="AF773" i="5"/>
  <c r="AF772" i="5"/>
  <c r="AC773" i="5"/>
  <c r="F24" i="5" l="1"/>
  <c r="F400" i="5"/>
  <c r="F288" i="5"/>
  <c r="F470" i="5"/>
  <c r="F765" i="5"/>
  <c r="F475" i="5"/>
  <c r="F633" i="5"/>
  <c r="F721" i="5"/>
  <c r="F340" i="5"/>
  <c r="F691" i="5"/>
  <c r="F176" i="5"/>
  <c r="F30" i="5"/>
  <c r="F555" i="5"/>
  <c r="F585" i="5"/>
  <c r="F360" i="5"/>
  <c r="F40" i="5"/>
  <c r="F326" i="5"/>
  <c r="F95" i="5"/>
  <c r="F647" i="5"/>
  <c r="F153" i="5"/>
  <c r="F677" i="5"/>
  <c r="F517" i="5"/>
  <c r="F69" i="5"/>
  <c r="F195" i="5"/>
  <c r="F163" i="5"/>
  <c r="F738" i="5"/>
  <c r="F696" i="5"/>
  <c r="F65" i="5"/>
  <c r="F608" i="5"/>
  <c r="F285" i="5"/>
  <c r="F249" i="5"/>
  <c r="F118" i="5"/>
  <c r="F220" i="5"/>
  <c r="F603" i="5"/>
  <c r="F315" i="5"/>
  <c r="F442" i="5"/>
  <c r="F373" i="5"/>
  <c r="F659" i="5"/>
  <c r="F305" i="5"/>
  <c r="F499" i="5"/>
  <c r="F575" i="5"/>
  <c r="F86" i="5"/>
  <c r="F236" i="5"/>
  <c r="F337" i="5"/>
  <c r="F525" i="5"/>
  <c r="F492" i="5"/>
  <c r="F491" i="5"/>
  <c r="F235" i="5"/>
  <c r="F106" i="5"/>
  <c r="F209" i="5"/>
  <c r="F713" i="5"/>
  <c r="F265" i="5"/>
  <c r="F254" i="5"/>
  <c r="F534" i="5"/>
  <c r="F487" i="5"/>
  <c r="F327" i="5"/>
  <c r="F483" i="5"/>
  <c r="F673" i="5"/>
  <c r="F353" i="5"/>
  <c r="F182" i="5"/>
  <c r="F306" i="5"/>
  <c r="F431" i="5"/>
  <c r="F155" i="5"/>
  <c r="F90" i="5"/>
  <c r="F602" i="5"/>
  <c r="F180" i="5"/>
  <c r="F467" i="5"/>
  <c r="F397" i="5"/>
  <c r="F624" i="5"/>
  <c r="F462" i="5"/>
  <c r="F662" i="5"/>
  <c r="F21" i="5"/>
  <c r="F198" i="5"/>
  <c r="F515" i="5"/>
  <c r="F346" i="5"/>
  <c r="F660" i="5"/>
  <c r="F77" i="5"/>
  <c r="F98" i="5"/>
  <c r="F648" i="5"/>
  <c r="F761" i="5"/>
  <c r="F628" i="5"/>
  <c r="F590" i="5"/>
  <c r="F472" i="5"/>
  <c r="F205" i="5"/>
  <c r="F620" i="5"/>
  <c r="F460" i="5"/>
  <c r="F345" i="5"/>
  <c r="F714" i="5"/>
  <c r="F554" i="5"/>
  <c r="F255" i="5"/>
  <c r="F553" i="5"/>
  <c r="F530" i="5"/>
  <c r="F80" i="5"/>
  <c r="F670" i="5"/>
  <c r="F54" i="5"/>
  <c r="F582" i="5"/>
  <c r="F466" i="5"/>
  <c r="F399" i="5"/>
  <c r="F645" i="5"/>
  <c r="F164" i="5"/>
  <c r="F343" i="5"/>
  <c r="F706" i="5"/>
  <c r="F258" i="5"/>
  <c r="F159" i="5"/>
  <c r="F432" i="5"/>
  <c r="F127" i="5"/>
  <c r="F736" i="5"/>
  <c r="F128" i="5"/>
  <c r="F185" i="5"/>
  <c r="F733" i="5"/>
  <c r="F573" i="5"/>
  <c r="F445" i="5"/>
  <c r="F537" i="5"/>
  <c r="F56" i="5"/>
  <c r="F240" i="5"/>
  <c r="F661" i="5"/>
  <c r="F308" i="5"/>
  <c r="F175" i="5"/>
  <c r="F768" i="5"/>
  <c r="F52" i="5"/>
  <c r="F237" i="5"/>
  <c r="F359" i="5"/>
  <c r="F763" i="5"/>
  <c r="F85" i="5"/>
  <c r="F130" i="5"/>
  <c r="F300" i="5"/>
  <c r="F643" i="5"/>
  <c r="F147" i="5"/>
  <c r="F268" i="5"/>
  <c r="F239" i="5"/>
  <c r="F260" i="5"/>
  <c r="F125" i="5"/>
  <c r="F562" i="5"/>
  <c r="F188" i="5"/>
  <c r="F663" i="5"/>
  <c r="F731" i="5"/>
  <c r="F443" i="5"/>
  <c r="F250" i="5"/>
  <c r="F58" i="5"/>
  <c r="F213" i="5"/>
  <c r="F177" i="5"/>
  <c r="F468" i="5"/>
  <c r="F528" i="5"/>
  <c r="F480" i="5"/>
  <c r="F339" i="5"/>
  <c r="F290" i="5"/>
  <c r="F380" i="5"/>
  <c r="F138" i="5"/>
  <c r="F718" i="5"/>
  <c r="F45" i="5"/>
  <c r="F695" i="5"/>
  <c r="F527" i="5"/>
  <c r="F734" i="5"/>
  <c r="F546" i="5"/>
  <c r="F270" i="5"/>
  <c r="F393" i="5"/>
  <c r="F73" i="5"/>
  <c r="F328" i="5"/>
  <c r="F168" i="5"/>
  <c r="F511" i="5"/>
  <c r="F463" i="5"/>
  <c r="F612" i="5"/>
  <c r="F611" i="5"/>
  <c r="F67" i="5"/>
  <c r="F481" i="5"/>
  <c r="F626" i="5"/>
  <c r="F576" i="5"/>
  <c r="F253" i="5"/>
  <c r="F668" i="5"/>
  <c r="F348" i="5"/>
  <c r="F283" i="5"/>
  <c r="F441" i="5"/>
  <c r="F146" i="5"/>
  <c r="F730" i="5"/>
  <c r="F410" i="5"/>
  <c r="F148" i="5"/>
  <c r="F627" i="5"/>
  <c r="F275" i="5"/>
  <c r="F115" i="5"/>
  <c r="F317" i="5"/>
  <c r="F586" i="5"/>
  <c r="F728" i="5"/>
  <c r="F607" i="5"/>
  <c r="F513" i="5"/>
  <c r="F63" i="5"/>
  <c r="F566" i="5"/>
  <c r="F715" i="5"/>
  <c r="F110" i="5"/>
  <c r="F493" i="5"/>
  <c r="F171" i="5"/>
  <c r="F234" i="5"/>
  <c r="F521" i="5"/>
  <c r="F233" i="5"/>
  <c r="F447" i="5"/>
  <c r="F615" i="5"/>
  <c r="F455" i="5"/>
  <c r="F295" i="5"/>
  <c r="F485" i="5"/>
  <c r="F33" i="5"/>
  <c r="F68" i="5"/>
  <c r="F323" i="5"/>
  <c r="F657" i="5"/>
  <c r="F321" i="5"/>
  <c r="F543" i="5"/>
  <c r="F636" i="5"/>
  <c r="F508" i="5"/>
  <c r="F571" i="5"/>
  <c r="F123" i="5"/>
  <c r="F570" i="5"/>
  <c r="F501" i="5"/>
  <c r="F435" i="5"/>
  <c r="F756" i="5"/>
  <c r="F531" i="5"/>
  <c r="F685" i="5"/>
  <c r="F705" i="5"/>
  <c r="F464" i="5"/>
  <c r="F605" i="5"/>
  <c r="F693" i="5"/>
  <c r="F142" i="5"/>
  <c r="F488" i="5"/>
  <c r="F484" i="5"/>
  <c r="F267" i="5"/>
  <c r="F34" i="5"/>
  <c r="F430" i="5"/>
  <c r="F398" i="5"/>
  <c r="F621" i="5"/>
  <c r="F333" i="5"/>
  <c r="F588" i="5"/>
  <c r="F271" i="5"/>
  <c r="F681" i="5"/>
  <c r="F361" i="5"/>
  <c r="F742" i="5"/>
  <c r="F434" i="5"/>
  <c r="F135" i="5"/>
  <c r="F325" i="5"/>
  <c r="F131" i="5"/>
  <c r="F504" i="5"/>
  <c r="F498" i="5"/>
  <c r="F559" i="5"/>
  <c r="F291" i="5"/>
  <c r="F514" i="5"/>
  <c r="F386" i="5"/>
  <c r="F23" i="5"/>
  <c r="F256" i="5"/>
  <c r="F416" i="5"/>
  <c r="F568" i="5"/>
  <c r="F701" i="5"/>
  <c r="F408" i="5"/>
  <c r="F697" i="5"/>
  <c r="F217" i="5"/>
  <c r="F369" i="5"/>
  <c r="F436" i="5"/>
  <c r="F679" i="5"/>
  <c r="F225" i="5"/>
  <c r="F389" i="5"/>
  <c r="F191" i="5"/>
  <c r="F338" i="5"/>
  <c r="F60" i="5"/>
  <c r="F533" i="5"/>
  <c r="F246" i="5"/>
  <c r="F688" i="5"/>
  <c r="F197" i="5"/>
  <c r="F427" i="5"/>
  <c r="F682" i="5"/>
  <c r="F74" i="5"/>
  <c r="F766" i="5"/>
  <c r="F201" i="5"/>
  <c r="F50" i="5"/>
  <c r="F230" i="5"/>
  <c r="F454" i="5"/>
  <c r="F82" i="5"/>
  <c r="F452" i="5"/>
  <c r="F222" i="5"/>
  <c r="F226" i="5"/>
  <c r="F542" i="5"/>
  <c r="F641" i="5"/>
  <c r="F702" i="5"/>
  <c r="F689" i="5"/>
  <c r="F541" i="5"/>
  <c r="F47" i="5"/>
  <c r="F629" i="5"/>
  <c r="F341" i="5"/>
  <c r="F276" i="5"/>
  <c r="F307" i="5"/>
  <c r="F751" i="5"/>
  <c r="F652" i="5"/>
  <c r="F635" i="5"/>
  <c r="F336" i="5"/>
  <c r="F426" i="5"/>
  <c r="F172" i="5"/>
  <c r="F614" i="5"/>
  <c r="F479" i="5"/>
  <c r="F145" i="5"/>
  <c r="F173" i="5"/>
  <c r="F658" i="5"/>
  <c r="F558" i="5"/>
  <c r="F108" i="5"/>
  <c r="F203" i="5"/>
  <c r="F22" i="5"/>
  <c r="F143" i="5"/>
  <c r="F184" i="5"/>
  <c r="F41" i="5"/>
  <c r="F518" i="5"/>
  <c r="F600" i="5"/>
  <c r="F744" i="5"/>
  <c r="F616" i="5"/>
  <c r="F456" i="5"/>
  <c r="F296" i="5"/>
  <c r="F646" i="5"/>
  <c r="F536" i="5"/>
  <c r="F632" i="5"/>
  <c r="F613" i="5"/>
  <c r="F451" i="5"/>
  <c r="F160" i="5"/>
  <c r="F609" i="5"/>
  <c r="F120" i="5"/>
  <c r="F476" i="5"/>
  <c r="F316" i="5"/>
  <c r="F156" i="5"/>
  <c r="F699" i="5"/>
  <c r="F411" i="5"/>
  <c r="F186" i="5"/>
  <c r="F26" i="5"/>
  <c r="F440" i="5"/>
  <c r="F181" i="5"/>
  <c r="F116" i="5"/>
  <c r="F243" i="5"/>
  <c r="F83" i="5"/>
  <c r="F752" i="5"/>
  <c r="F596" i="5"/>
  <c r="F415" i="5"/>
  <c r="F594" i="5"/>
  <c r="F152" i="5"/>
  <c r="F762" i="5"/>
  <c r="F720" i="5"/>
  <c r="F591" i="5"/>
  <c r="F37" i="5"/>
  <c r="F413" i="5"/>
  <c r="F414" i="5"/>
  <c r="F686" i="5"/>
  <c r="F238" i="5"/>
  <c r="F248" i="5"/>
  <c r="F748" i="5"/>
  <c r="F651" i="5"/>
  <c r="F107" i="5"/>
  <c r="F202" i="5"/>
  <c r="F649" i="5"/>
  <c r="F390" i="5"/>
  <c r="F136" i="5"/>
  <c r="F743" i="5"/>
  <c r="F79" i="5"/>
  <c r="F453" i="5"/>
  <c r="F293" i="5"/>
  <c r="F165" i="5"/>
  <c r="F388" i="5"/>
  <c r="F420" i="5"/>
  <c r="F579" i="5"/>
  <c r="F674" i="5"/>
  <c r="F449" i="5"/>
  <c r="F161" i="5"/>
  <c r="F704" i="5"/>
  <c r="F407" i="5"/>
  <c r="F381" i="5"/>
  <c r="F93" i="5"/>
  <c r="F251" i="5"/>
  <c r="F599" i="5"/>
  <c r="F698" i="5"/>
  <c r="F538" i="5"/>
  <c r="F378" i="5"/>
  <c r="F595" i="5"/>
  <c r="F497" i="5"/>
  <c r="F70" i="5"/>
  <c r="F374" i="5"/>
  <c r="F700" i="5"/>
  <c r="F105" i="5"/>
  <c r="F57" i="5"/>
  <c r="F218" i="5"/>
  <c r="F394" i="5"/>
  <c r="F523" i="5"/>
  <c r="F78" i="5"/>
  <c r="F139" i="5"/>
  <c r="F461" i="5"/>
  <c r="F522" i="5"/>
  <c r="F310" i="5"/>
  <c r="F584" i="5"/>
  <c r="F535" i="5"/>
  <c r="F263" i="5"/>
  <c r="F132" i="5"/>
  <c r="F99" i="5"/>
  <c r="F88" i="5"/>
  <c r="F740" i="5"/>
  <c r="F223" i="5"/>
  <c r="F495" i="5"/>
  <c r="F672" i="5"/>
  <c r="F544" i="5"/>
  <c r="F446" i="5"/>
  <c r="F208" i="5"/>
  <c r="F601" i="5"/>
  <c r="F55" i="5"/>
  <c r="F91" i="5"/>
  <c r="F687" i="5"/>
  <c r="F469" i="5"/>
  <c r="F53" i="5"/>
  <c r="F344" i="5"/>
  <c r="F357" i="5"/>
  <c r="F638" i="5"/>
  <c r="F204" i="5"/>
  <c r="F114" i="5"/>
  <c r="F366" i="5"/>
  <c r="F206" i="5"/>
  <c r="F301" i="5"/>
  <c r="F556" i="5"/>
  <c r="F362" i="5"/>
  <c r="F94" i="5"/>
  <c r="F48" i="5"/>
  <c r="F329" i="5"/>
  <c r="F31" i="5"/>
  <c r="F264" i="5"/>
  <c r="F561" i="5"/>
  <c r="F583" i="5"/>
  <c r="F423" i="5"/>
  <c r="F478" i="5"/>
  <c r="F580" i="5"/>
  <c r="F694" i="5"/>
  <c r="F739" i="5"/>
  <c r="F419" i="5"/>
  <c r="F224" i="5"/>
  <c r="F354" i="5"/>
  <c r="F129" i="5"/>
  <c r="F32" i="5"/>
  <c r="F384" i="5"/>
  <c r="F178" i="5"/>
  <c r="F280" i="5"/>
  <c r="F406" i="5"/>
  <c r="F309" i="5"/>
  <c r="F149" i="5"/>
  <c r="F771" i="5"/>
  <c r="F450" i="5"/>
  <c r="F196" i="5"/>
  <c r="F335" i="5"/>
  <c r="F587" i="5"/>
  <c r="F377" i="5"/>
  <c r="F66" i="5"/>
  <c r="F653" i="5"/>
  <c r="F459" i="5"/>
  <c r="F428" i="5"/>
  <c r="F759" i="5"/>
  <c r="F656" i="5"/>
  <c r="F749" i="5"/>
  <c r="F141" i="5"/>
  <c r="F363" i="5"/>
  <c r="F273" i="5"/>
  <c r="F424" i="5"/>
  <c r="F103" i="5"/>
  <c r="F439" i="5"/>
  <c r="F465" i="5"/>
  <c r="F741" i="5"/>
  <c r="F708" i="5"/>
  <c r="F760" i="5"/>
  <c r="F304" i="5"/>
  <c r="F642" i="5"/>
  <c r="F194" i="5"/>
  <c r="F737" i="5"/>
  <c r="F664" i="5"/>
  <c r="F509" i="5"/>
  <c r="F61" i="5"/>
  <c r="F764" i="5"/>
  <c r="F444" i="5"/>
  <c r="F665" i="5"/>
  <c r="F278" i="5"/>
  <c r="F539" i="5"/>
  <c r="F154" i="5"/>
  <c r="F247" i="5"/>
  <c r="F757" i="5"/>
  <c r="F597" i="5"/>
  <c r="F244" i="5"/>
  <c r="F211" i="5"/>
  <c r="F690" i="5"/>
  <c r="F703" i="5"/>
  <c r="F502" i="5"/>
  <c r="F282" i="5"/>
  <c r="F750" i="5"/>
  <c r="F193" i="5"/>
  <c r="F754" i="5"/>
  <c r="F140" i="5"/>
  <c r="F75" i="5"/>
  <c r="F144" i="5"/>
  <c r="F650" i="5"/>
  <c r="F490" i="5"/>
  <c r="F207" i="5"/>
  <c r="F489" i="5"/>
  <c r="F503" i="5"/>
  <c r="F550" i="5"/>
  <c r="F102" i="5"/>
  <c r="F358" i="5"/>
  <c r="F382" i="5"/>
  <c r="F581" i="5"/>
  <c r="F292" i="5"/>
  <c r="F320" i="5"/>
  <c r="F548" i="5"/>
  <c r="F606" i="5"/>
  <c r="F96" i="5"/>
  <c r="F190" i="5"/>
  <c r="F630" i="5"/>
  <c r="F289" i="5"/>
  <c r="F639" i="5"/>
  <c r="F433" i="5"/>
  <c r="F318" i="5"/>
  <c r="F669" i="5"/>
  <c r="F221" i="5"/>
  <c r="F604" i="5"/>
  <c r="F667" i="5"/>
  <c r="F379" i="5"/>
  <c r="F313" i="5"/>
  <c r="F404" i="5"/>
  <c r="F84" i="5"/>
  <c r="F403" i="5"/>
  <c r="F272" i="5"/>
  <c r="F724" i="5"/>
  <c r="F564" i="5"/>
  <c r="F425" i="5"/>
  <c r="F549" i="5"/>
  <c r="F593" i="5"/>
  <c r="F405" i="5"/>
  <c r="F520" i="5"/>
  <c r="F355" i="5"/>
  <c r="F747" i="5"/>
  <c r="F38" i="5"/>
  <c r="F350" i="5"/>
  <c r="F589" i="5"/>
  <c r="F716" i="5"/>
  <c r="F727" i="5"/>
  <c r="F42" i="5"/>
  <c r="F150" i="5"/>
  <c r="F169" i="5"/>
  <c r="F710" i="5"/>
  <c r="F712" i="5"/>
  <c r="F552" i="5"/>
  <c r="F391" i="5"/>
  <c r="F133" i="5"/>
  <c r="F192" i="5"/>
  <c r="F259" i="5"/>
  <c r="F623" i="5"/>
  <c r="F560" i="5"/>
  <c r="F151" i="5"/>
  <c r="F505" i="5"/>
  <c r="F631" i="5"/>
  <c r="F732" i="5"/>
  <c r="F284" i="5"/>
  <c r="F124" i="5"/>
  <c r="F219" i="5"/>
  <c r="F592" i="5"/>
  <c r="F506" i="5"/>
  <c r="F314" i="5"/>
  <c r="F277" i="5"/>
  <c r="F755" i="5"/>
  <c r="F438" i="5"/>
  <c r="F242" i="5"/>
  <c r="F183" i="5"/>
  <c r="F500" i="5"/>
  <c r="F166" i="5"/>
  <c r="F121" i="5"/>
  <c r="F644" i="5"/>
  <c r="F448" i="5"/>
  <c r="F46" i="5"/>
  <c r="F395" i="5"/>
  <c r="F368" i="5"/>
  <c r="F429" i="5"/>
  <c r="F299" i="5"/>
  <c r="F241" i="5"/>
  <c r="F392" i="5"/>
  <c r="F104" i="5"/>
  <c r="F383" i="5"/>
  <c r="F215" i="5"/>
  <c r="F711" i="5"/>
  <c r="F551" i="5"/>
  <c r="F231" i="5"/>
  <c r="F87" i="5"/>
  <c r="F100" i="5"/>
  <c r="F35" i="5"/>
  <c r="F210" i="5"/>
  <c r="F370" i="5"/>
  <c r="F387" i="5"/>
  <c r="F311" i="5"/>
  <c r="F482" i="5"/>
  <c r="F25" i="5"/>
  <c r="F257" i="5"/>
  <c r="F512" i="5"/>
  <c r="F29" i="5"/>
  <c r="F59" i="5"/>
  <c r="F729" i="5"/>
  <c r="F214" i="5"/>
  <c r="F563" i="5"/>
  <c r="F532" i="5"/>
  <c r="F332" i="5"/>
  <c r="F157" i="5"/>
  <c r="F540" i="5"/>
  <c r="F112" i="5"/>
  <c r="F199" i="5"/>
  <c r="F418" i="5"/>
  <c r="F526" i="5"/>
  <c r="F619" i="5"/>
  <c r="F286" i="5"/>
  <c r="F170" i="5"/>
  <c r="F312" i="5"/>
  <c r="F297" i="5"/>
  <c r="F119" i="5"/>
  <c r="F232" i="5"/>
  <c r="F49" i="5"/>
  <c r="F71" i="5"/>
  <c r="F81" i="5"/>
  <c r="F421" i="5"/>
  <c r="F101" i="5"/>
  <c r="F228" i="5"/>
  <c r="F671" i="5"/>
  <c r="F529" i="5"/>
  <c r="F158" i="5"/>
  <c r="F707" i="5"/>
  <c r="F547" i="5"/>
  <c r="F767" i="5"/>
  <c r="F610" i="5"/>
  <c r="F322" i="5"/>
  <c r="F735" i="5"/>
  <c r="F577" i="5"/>
  <c r="F97" i="5"/>
  <c r="F352" i="5"/>
  <c r="F637" i="5"/>
  <c r="F349" i="5"/>
  <c r="F189" i="5"/>
  <c r="F572" i="5"/>
  <c r="F666" i="5"/>
  <c r="F437" i="5"/>
  <c r="F372" i="5"/>
  <c r="F179" i="5"/>
  <c r="F51" i="5"/>
  <c r="F770" i="5"/>
  <c r="F746" i="5"/>
  <c r="F27" i="5"/>
  <c r="F39" i="5"/>
  <c r="F726" i="5"/>
  <c r="F302" i="5"/>
  <c r="F365" i="5"/>
  <c r="F167" i="5"/>
  <c r="F375" i="5"/>
  <c r="F44" i="5"/>
  <c r="F269" i="5"/>
  <c r="F364" i="5"/>
  <c r="F174" i="5"/>
  <c r="F43" i="5"/>
  <c r="F109" i="5"/>
  <c r="F134" i="5"/>
  <c r="F618" i="5"/>
  <c r="F330" i="5"/>
  <c r="F722" i="5"/>
  <c r="F457" i="5"/>
  <c r="F294" i="5"/>
  <c r="F510" i="5"/>
  <c r="F72" i="5"/>
  <c r="F36" i="5"/>
  <c r="F356" i="5"/>
  <c r="F625" i="5"/>
  <c r="F162" i="5"/>
  <c r="F417" i="5"/>
  <c r="F351" i="5"/>
  <c r="F471" i="5"/>
  <c r="F640" i="5"/>
  <c r="F401" i="5"/>
  <c r="F569" i="5"/>
  <c r="F507" i="5"/>
  <c r="F725" i="5"/>
  <c r="F753" i="5"/>
  <c r="F200" i="5"/>
  <c r="F324" i="5"/>
  <c r="F396" i="5"/>
  <c r="F683" i="5"/>
  <c r="F279" i="5"/>
  <c r="F717" i="5"/>
  <c r="F524" i="5"/>
  <c r="F76" i="5"/>
  <c r="F126" i="5"/>
  <c r="F342" i="5"/>
  <c r="F298" i="5"/>
  <c r="F486" i="5"/>
  <c r="F617" i="5"/>
  <c r="F137" i="5"/>
  <c r="F678" i="5"/>
  <c r="F680" i="5"/>
  <c r="F519" i="5"/>
  <c r="F261" i="5"/>
  <c r="F567" i="5"/>
  <c r="F516" i="5"/>
  <c r="F675" i="5"/>
  <c r="F227" i="5"/>
  <c r="F545" i="5"/>
  <c r="F655" i="5"/>
  <c r="F477" i="5"/>
  <c r="F409" i="5"/>
  <c r="F252" i="5"/>
  <c r="F92" i="5"/>
  <c r="F216" i="5"/>
  <c r="F347" i="5"/>
  <c r="F89" i="5"/>
  <c r="F367" i="5"/>
  <c r="F474" i="5"/>
  <c r="F565" i="5"/>
  <c r="F117" i="5"/>
  <c r="F371" i="5"/>
  <c r="F303" i="5"/>
  <c r="F692" i="5"/>
  <c r="F723" i="5"/>
  <c r="F28" i="5"/>
  <c r="F769" i="5"/>
  <c r="F376" i="5"/>
  <c r="F578" i="5"/>
  <c r="F266" i="5"/>
  <c r="F574" i="5"/>
  <c r="F654" i="5"/>
  <c r="F494" i="5"/>
  <c r="F334" i="5"/>
  <c r="F281" i="5"/>
  <c r="F557" i="5"/>
  <c r="F458" i="5"/>
  <c r="F622" i="5"/>
  <c r="F331" i="5"/>
  <c r="F274" i="5"/>
  <c r="F684" i="5"/>
  <c r="F113" i="5"/>
  <c r="F719" i="5"/>
  <c r="F745" i="5"/>
  <c r="F422" i="5"/>
  <c r="F262" i="5"/>
  <c r="F62" i="5"/>
  <c r="F598" i="5"/>
  <c r="F709" i="5"/>
  <c r="F229" i="5"/>
  <c r="F287" i="5"/>
  <c r="F676" i="5"/>
  <c r="F64" i="5"/>
  <c r="F319" i="5"/>
  <c r="F402" i="5"/>
  <c r="F385" i="5"/>
  <c r="F496" i="5"/>
  <c r="F412" i="5"/>
  <c r="F473" i="5"/>
  <c r="F111" i="5"/>
  <c r="F187" i="5"/>
  <c r="F122" i="5"/>
  <c r="F634" i="5"/>
  <c r="F758" i="5"/>
  <c r="F245" i="5"/>
  <c r="F212" i="5"/>
  <c r="W738" i="5"/>
  <c r="R738" i="5" s="1"/>
  <c r="AF738" i="5"/>
  <c r="AA738" i="5" s="1"/>
  <c r="U290" i="5"/>
  <c r="P290" i="5" s="1"/>
  <c r="AD290" i="5"/>
  <c r="Y290" i="5" s="1"/>
  <c r="W696" i="5"/>
  <c r="R696" i="5" s="1"/>
  <c r="AF696" i="5"/>
  <c r="AA696" i="5" s="1"/>
  <c r="W765" i="5"/>
  <c r="R765" i="5" s="1"/>
  <c r="AF765" i="5"/>
  <c r="AA765" i="5" s="1"/>
  <c r="W721" i="5"/>
  <c r="R721" i="5" s="1"/>
  <c r="AF721" i="5"/>
  <c r="U113" i="5"/>
  <c r="P113" i="5" s="1"/>
  <c r="AD113" i="5"/>
  <c r="Y113" i="5" s="1"/>
  <c r="W746" i="5"/>
  <c r="R746" i="5" s="1"/>
  <c r="AF746" i="5"/>
  <c r="AA746" i="5" s="1"/>
  <c r="W265" i="5"/>
  <c r="R265" i="5" s="1"/>
  <c r="AF265" i="5"/>
  <c r="AA265" i="5" s="1"/>
  <c r="V163" i="5"/>
  <c r="Q163" i="5" s="1"/>
  <c r="AE163" i="5"/>
  <c r="Z163" i="5" s="1"/>
  <c r="U315" i="5"/>
  <c r="P315" i="5" s="1"/>
  <c r="AD315" i="5"/>
  <c r="Y315" i="5" s="1"/>
  <c r="U769" i="5"/>
  <c r="AD769" i="5"/>
  <c r="W644" i="5"/>
  <c r="R644" i="5" s="1"/>
  <c r="AF644" i="5"/>
  <c r="AA644" i="5" s="1"/>
  <c r="W728" i="5"/>
  <c r="AF728" i="5"/>
  <c r="W128" i="5"/>
  <c r="R128" i="5" s="1"/>
  <c r="AF128" i="5"/>
  <c r="AA128" i="5" s="1"/>
  <c r="W763" i="5"/>
  <c r="R763" i="5" s="1"/>
  <c r="AF763" i="5"/>
  <c r="AA763" i="5" s="1"/>
  <c r="U762" i="5"/>
  <c r="P762" i="5" s="1"/>
  <c r="AD762" i="5"/>
  <c r="Y762" i="5" s="1"/>
  <c r="V180" i="5"/>
  <c r="Q180" i="5" s="1"/>
  <c r="AE180" i="5"/>
  <c r="Z180" i="5" s="1"/>
  <c r="V305" i="5"/>
  <c r="Q305" i="5" s="1"/>
  <c r="AE305" i="5"/>
  <c r="Z305" i="5" s="1"/>
  <c r="W769" i="5"/>
  <c r="R769" i="5" s="1"/>
  <c r="AF769" i="5"/>
  <c r="AA769" i="5" s="1"/>
  <c r="W618" i="5"/>
  <c r="R618" i="5" s="1"/>
  <c r="AF618" i="5"/>
  <c r="AA618" i="5" s="1"/>
  <c r="W567" i="5"/>
  <c r="R567" i="5" s="1"/>
  <c r="AF567" i="5"/>
  <c r="AA567" i="5" s="1"/>
  <c r="W750" i="5"/>
  <c r="R750" i="5" s="1"/>
  <c r="AF750" i="5"/>
  <c r="AA750" i="5" s="1"/>
  <c r="U746" i="5"/>
  <c r="AD746" i="5"/>
  <c r="Y746" i="5" s="1"/>
  <c r="W713" i="5"/>
  <c r="R713" i="5" s="1"/>
  <c r="AF713" i="5"/>
  <c r="AA713" i="5" s="1"/>
  <c r="T673" i="5"/>
  <c r="AC673" i="5"/>
  <c r="X673" i="5" s="1"/>
  <c r="V765" i="5"/>
  <c r="Q765" i="5" s="1"/>
  <c r="AE765" i="5"/>
  <c r="Z765" i="5" s="1"/>
  <c r="V763" i="5"/>
  <c r="Q763" i="5" s="1"/>
  <c r="AE763" i="5"/>
  <c r="Z763" i="5" s="1"/>
  <c r="T769" i="5"/>
  <c r="O769" i="5" s="1"/>
  <c r="AC769" i="5"/>
  <c r="X769" i="5" s="1"/>
  <c r="K769" i="5" s="1"/>
  <c r="V736" i="5"/>
  <c r="Q736" i="5" s="1"/>
  <c r="AE736" i="5"/>
  <c r="Z736" i="5" s="1"/>
  <c r="U765" i="5"/>
  <c r="P765" i="5" s="1"/>
  <c r="AD765" i="5"/>
  <c r="Y765" i="5" s="1"/>
  <c r="U763" i="5"/>
  <c r="P763" i="5" s="1"/>
  <c r="AD763" i="5"/>
  <c r="Y763" i="5" s="1"/>
  <c r="W762" i="5"/>
  <c r="R762" i="5" s="1"/>
  <c r="AF762" i="5"/>
  <c r="AA762" i="5" s="1"/>
  <c r="V769" i="5"/>
  <c r="Q769" i="5" s="1"/>
  <c r="AE769" i="5"/>
  <c r="Z769" i="5" s="1"/>
  <c r="W734" i="5"/>
  <c r="R734" i="5" s="1"/>
  <c r="AF734" i="5"/>
  <c r="AA734" i="5" s="1"/>
  <c r="W733" i="5"/>
  <c r="AF733" i="5"/>
  <c r="AA733" i="5" s="1"/>
  <c r="V762" i="5"/>
  <c r="Q762" i="5" s="1"/>
  <c r="AE762" i="5"/>
  <c r="Z762" i="5" s="1"/>
  <c r="U768" i="5"/>
  <c r="P768" i="5" s="1"/>
  <c r="AD768" i="5"/>
  <c r="Y768" i="5" s="1"/>
  <c r="U146" i="5"/>
  <c r="P146" i="5" s="1"/>
  <c r="AD146" i="5"/>
  <c r="Y146" i="5" s="1"/>
  <c r="W720" i="5"/>
  <c r="R720" i="5" s="1"/>
  <c r="AF720" i="5"/>
  <c r="AA720" i="5" s="1"/>
  <c r="W714" i="5"/>
  <c r="R714" i="5" s="1"/>
  <c r="AF714" i="5"/>
  <c r="AA714" i="5" s="1"/>
  <c r="T511" i="5"/>
  <c r="O511" i="5" s="1"/>
  <c r="AC511" i="5"/>
  <c r="X511" i="5" s="1"/>
  <c r="U159" i="5"/>
  <c r="P159" i="5" s="1"/>
  <c r="AD159" i="5"/>
  <c r="Y159" i="5" s="1"/>
  <c r="W736" i="5"/>
  <c r="R736" i="5" s="1"/>
  <c r="AF736" i="5"/>
  <c r="AA736" i="5" s="1"/>
  <c r="U668" i="5"/>
  <c r="P668" i="5" s="1"/>
  <c r="AD668" i="5"/>
  <c r="Y668" i="5" s="1"/>
  <c r="W123" i="5"/>
  <c r="R123" i="5" s="1"/>
  <c r="AF123" i="5"/>
  <c r="AA123" i="5" s="1"/>
  <c r="W240" i="5"/>
  <c r="R240" i="5" s="1"/>
  <c r="AF240" i="5"/>
  <c r="AA240" i="5" s="1"/>
  <c r="T751" i="5"/>
  <c r="AC751" i="5"/>
  <c r="W768" i="5"/>
  <c r="R768" i="5" s="1"/>
  <c r="AF768" i="5"/>
  <c r="AA768" i="5" s="1"/>
  <c r="W747" i="5"/>
  <c r="R747" i="5" s="1"/>
  <c r="AF747" i="5"/>
  <c r="T164" i="5"/>
  <c r="O164" i="5" s="1"/>
  <c r="AC164" i="5"/>
  <c r="X164" i="5" s="1"/>
  <c r="V761" i="5"/>
  <c r="Q761" i="5" s="1"/>
  <c r="AE761" i="5"/>
  <c r="Z761" i="5" s="1"/>
  <c r="W731" i="5"/>
  <c r="R731" i="5" s="1"/>
  <c r="AF731" i="5"/>
  <c r="AA731" i="5" s="1"/>
  <c r="W177" i="5"/>
  <c r="R177" i="5" s="1"/>
  <c r="AF177" i="5"/>
  <c r="AA177" i="5" s="1"/>
  <c r="W751" i="5"/>
  <c r="R751" i="5" s="1"/>
  <c r="AF751" i="5"/>
  <c r="AA751" i="5" s="1"/>
  <c r="V768" i="5"/>
  <c r="Q768" i="5" s="1"/>
  <c r="AE768" i="5"/>
  <c r="Z768" i="5" s="1"/>
  <c r="W717" i="5"/>
  <c r="R717" i="5" s="1"/>
  <c r="AF717" i="5"/>
  <c r="AA717" i="5" s="1"/>
  <c r="W715" i="5"/>
  <c r="R715" i="5" s="1"/>
  <c r="AF715" i="5"/>
  <c r="AA715" i="5" s="1"/>
  <c r="W63" i="5"/>
  <c r="R63" i="5" s="1"/>
  <c r="AF63" i="5"/>
  <c r="AA63" i="5" s="1"/>
  <c r="V168" i="5"/>
  <c r="AE168" i="5"/>
  <c r="Z168" i="5" s="1"/>
  <c r="W730" i="5"/>
  <c r="R730" i="5" s="1"/>
  <c r="AF730" i="5"/>
  <c r="AA730" i="5" s="1"/>
  <c r="T768" i="5"/>
  <c r="O768" i="5" s="1"/>
  <c r="AC768" i="5"/>
  <c r="X768" i="5" s="1"/>
  <c r="W761" i="5"/>
  <c r="R761" i="5" s="1"/>
  <c r="AF761" i="5"/>
  <c r="AA761" i="5" s="1"/>
  <c r="W718" i="5"/>
  <c r="R718" i="5" s="1"/>
  <c r="AF718" i="5"/>
  <c r="AA718" i="5" s="1"/>
  <c r="U173" i="5"/>
  <c r="P173" i="5" s="1"/>
  <c r="AD173" i="5"/>
  <c r="Y173" i="5" s="1"/>
  <c r="W766" i="5"/>
  <c r="R766" i="5" s="1"/>
  <c r="AF766" i="5"/>
  <c r="AA766" i="5" s="1"/>
  <c r="U226" i="5"/>
  <c r="AD226" i="5"/>
  <c r="Y226" i="5" s="1"/>
  <c r="W756" i="5"/>
  <c r="R756" i="5" s="1"/>
  <c r="AF756" i="5"/>
  <c r="AA756" i="5" s="1"/>
  <c r="W743" i="5"/>
  <c r="R743" i="5" s="1"/>
  <c r="AF743" i="5"/>
  <c r="AA743" i="5" s="1"/>
  <c r="T295" i="5"/>
  <c r="O295" i="5" s="1"/>
  <c r="AC295" i="5"/>
  <c r="X295" i="5" s="1"/>
  <c r="T699" i="5"/>
  <c r="O699" i="5" s="1"/>
  <c r="AC699" i="5"/>
  <c r="X699" i="5" s="1"/>
  <c r="V756" i="5"/>
  <c r="AE756" i="5"/>
  <c r="Z756" i="5" s="1"/>
  <c r="T118" i="5"/>
  <c r="AC118" i="5"/>
  <c r="X118" i="5" s="1"/>
  <c r="V136" i="5"/>
  <c r="Q136" i="5" s="1"/>
  <c r="AE136" i="5"/>
  <c r="Z136" i="5" s="1"/>
  <c r="W742" i="5"/>
  <c r="R742" i="5" s="1"/>
  <c r="AF742" i="5"/>
  <c r="W748" i="5"/>
  <c r="R748" i="5" s="1"/>
  <c r="AF748" i="5"/>
  <c r="AA748" i="5" s="1"/>
  <c r="V658" i="5"/>
  <c r="Q658" i="5" s="1"/>
  <c r="AE658" i="5"/>
  <c r="Z658" i="5" s="1"/>
  <c r="V766" i="5"/>
  <c r="Q766" i="5" s="1"/>
  <c r="AE766" i="5"/>
  <c r="Z766" i="5" s="1"/>
  <c r="T194" i="5"/>
  <c r="O194" i="5" s="1"/>
  <c r="AC194" i="5"/>
  <c r="X194" i="5" s="1"/>
  <c r="U178" i="5"/>
  <c r="P178" i="5" s="1"/>
  <c r="AD178" i="5"/>
  <c r="Y178" i="5" s="1"/>
  <c r="U766" i="5"/>
  <c r="P766" i="5" s="1"/>
  <c r="AD766" i="5"/>
  <c r="Y766" i="5" s="1"/>
  <c r="W456" i="5"/>
  <c r="R456" i="5" s="1"/>
  <c r="AF456" i="5"/>
  <c r="AA456" i="5" s="1"/>
  <c r="T320" i="5"/>
  <c r="O320" i="5" s="1"/>
  <c r="AC320" i="5"/>
  <c r="X320" i="5" s="1"/>
  <c r="W760" i="5"/>
  <c r="AF760" i="5"/>
  <c r="AA760" i="5" s="1"/>
  <c r="W96" i="5"/>
  <c r="R96" i="5" s="1"/>
  <c r="AF96" i="5"/>
  <c r="AA96" i="5" s="1"/>
  <c r="W764" i="5"/>
  <c r="R764" i="5" s="1"/>
  <c r="AF764" i="5"/>
  <c r="AA764" i="5" s="1"/>
  <c r="W744" i="5"/>
  <c r="R744" i="5" s="1"/>
  <c r="AF744" i="5"/>
  <c r="AA744" i="5" s="1"/>
  <c r="U694" i="5"/>
  <c r="P694" i="5" s="1"/>
  <c r="AD694" i="5"/>
  <c r="Y694" i="5" s="1"/>
  <c r="V760" i="5"/>
  <c r="Q760" i="5" s="1"/>
  <c r="AE760" i="5"/>
  <c r="Z760" i="5" s="1"/>
  <c r="T178" i="5"/>
  <c r="O178" i="5" s="1"/>
  <c r="AC178" i="5"/>
  <c r="U764" i="5"/>
  <c r="P764" i="5" s="1"/>
  <c r="AD764" i="5"/>
  <c r="Y764" i="5" s="1"/>
  <c r="V771" i="5"/>
  <c r="Q771" i="5" s="1"/>
  <c r="AE771" i="5"/>
  <c r="Z771" i="5" s="1"/>
  <c r="M771" i="5" s="1"/>
  <c r="W716" i="5"/>
  <c r="R716" i="5" s="1"/>
  <c r="AF716" i="5"/>
  <c r="AA716" i="5" s="1"/>
  <c r="W740" i="5"/>
  <c r="R740" i="5" s="1"/>
  <c r="AF740" i="5"/>
  <c r="AA740" i="5" s="1"/>
  <c r="W752" i="5"/>
  <c r="R752" i="5" s="1"/>
  <c r="AF752" i="5"/>
  <c r="AA752" i="5" s="1"/>
  <c r="W724" i="5"/>
  <c r="AF724" i="5"/>
  <c r="V755" i="5"/>
  <c r="Q755" i="5" s="1"/>
  <c r="AE755" i="5"/>
  <c r="Z755" i="5" s="1"/>
  <c r="W739" i="5"/>
  <c r="R739" i="5" s="1"/>
  <c r="AF739" i="5"/>
  <c r="AA739" i="5" s="1"/>
  <c r="U767" i="5"/>
  <c r="P767" i="5" s="1"/>
  <c r="AD767" i="5"/>
  <c r="Y767" i="5" s="1"/>
  <c r="V280" i="5"/>
  <c r="Q280" i="5" s="1"/>
  <c r="AE280" i="5"/>
  <c r="Z280" i="5" s="1"/>
  <c r="V752" i="5"/>
  <c r="Q752" i="5" s="1"/>
  <c r="AE752" i="5"/>
  <c r="Z752" i="5" s="1"/>
  <c r="U771" i="5"/>
  <c r="AD771" i="5"/>
  <c r="Y771" i="5" s="1"/>
  <c r="L771" i="5" s="1"/>
  <c r="T367" i="5"/>
  <c r="O367" i="5" s="1"/>
  <c r="AC367" i="5"/>
  <c r="X367" i="5" s="1"/>
  <c r="T771" i="5"/>
  <c r="O771" i="5" s="1"/>
  <c r="AC771" i="5"/>
  <c r="X771" i="5" s="1"/>
  <c r="W759" i="5"/>
  <c r="R759" i="5" s="1"/>
  <c r="AF759" i="5"/>
  <c r="AA759" i="5" s="1"/>
  <c r="V103" i="5"/>
  <c r="Q103" i="5" s="1"/>
  <c r="AE103" i="5"/>
  <c r="Z103" i="5" s="1"/>
  <c r="W767" i="5"/>
  <c r="R767" i="5" s="1"/>
  <c r="AF767" i="5"/>
  <c r="AA767" i="5" s="1"/>
  <c r="V757" i="5"/>
  <c r="AE757" i="5"/>
  <c r="V149" i="5"/>
  <c r="Q149" i="5" s="1"/>
  <c r="AE149" i="5"/>
  <c r="Z149" i="5" s="1"/>
  <c r="W771" i="5"/>
  <c r="R771" i="5" s="1"/>
  <c r="AF771" i="5"/>
  <c r="AA771" i="5" s="1"/>
  <c r="U362" i="5"/>
  <c r="P362" i="5" s="1"/>
  <c r="AD362" i="5"/>
  <c r="W741" i="5"/>
  <c r="R741" i="5" s="1"/>
  <c r="AF741" i="5"/>
  <c r="AA741" i="5" s="1"/>
  <c r="V759" i="5"/>
  <c r="Q759" i="5" s="1"/>
  <c r="AE759" i="5"/>
  <c r="Z759" i="5" s="1"/>
  <c r="W712" i="5"/>
  <c r="R712" i="5" s="1"/>
  <c r="AF712" i="5"/>
  <c r="AA712" i="5" s="1"/>
  <c r="V767" i="5"/>
  <c r="Q767" i="5" s="1"/>
  <c r="AE767" i="5"/>
  <c r="Z767" i="5" s="1"/>
  <c r="U189" i="5"/>
  <c r="P189" i="5" s="1"/>
  <c r="AD189" i="5"/>
  <c r="U506" i="5"/>
  <c r="P506" i="5" s="1"/>
  <c r="AD506" i="5"/>
  <c r="Y506" i="5" s="1"/>
  <c r="W755" i="5"/>
  <c r="R755" i="5" s="1"/>
  <c r="AF755" i="5"/>
  <c r="AA755" i="5" s="1"/>
  <c r="V770" i="5"/>
  <c r="Q770" i="5" s="1"/>
  <c r="AE770" i="5"/>
  <c r="Z770" i="5" s="1"/>
  <c r="W749" i="5"/>
  <c r="AF749" i="5"/>
  <c r="AA749" i="5" s="1"/>
  <c r="W757" i="5"/>
  <c r="R757" i="5" s="1"/>
  <c r="AF757" i="5"/>
  <c r="AA757" i="5" s="1"/>
  <c r="W140" i="5"/>
  <c r="R140" i="5" s="1"/>
  <c r="AF140" i="5"/>
  <c r="AA140" i="5" s="1"/>
  <c r="W727" i="5"/>
  <c r="R727" i="5" s="1"/>
  <c r="AF727" i="5"/>
  <c r="AA727" i="5" s="1"/>
  <c r="V754" i="5"/>
  <c r="Q754" i="5" s="1"/>
  <c r="AE754" i="5"/>
  <c r="Z754" i="5" s="1"/>
  <c r="W737" i="5"/>
  <c r="R737" i="5" s="1"/>
  <c r="AF737" i="5"/>
  <c r="AA737" i="5" s="1"/>
  <c r="W729" i="5"/>
  <c r="R729" i="5" s="1"/>
  <c r="AF729" i="5"/>
  <c r="W723" i="5"/>
  <c r="R723" i="5" s="1"/>
  <c r="AF723" i="5"/>
  <c r="AA723" i="5" s="1"/>
  <c r="V352" i="5"/>
  <c r="Q352" i="5" s="1"/>
  <c r="AE352" i="5"/>
  <c r="U617" i="5"/>
  <c r="P617" i="5" s="1"/>
  <c r="AD617" i="5"/>
  <c r="Y617" i="5" s="1"/>
  <c r="V684" i="5"/>
  <c r="Q684" i="5" s="1"/>
  <c r="AE684" i="5"/>
  <c r="Z684" i="5" s="1"/>
  <c r="W719" i="5"/>
  <c r="R719" i="5" s="1"/>
  <c r="AF719" i="5"/>
  <c r="AA719" i="5" s="1"/>
  <c r="W312" i="5"/>
  <c r="AF312" i="5"/>
  <c r="T231" i="5"/>
  <c r="O231" i="5" s="1"/>
  <c r="AC231" i="5"/>
  <c r="X231" i="5" s="1"/>
  <c r="W735" i="5"/>
  <c r="R735" i="5" s="1"/>
  <c r="AF735" i="5"/>
  <c r="AA735" i="5" s="1"/>
  <c r="T151" i="5"/>
  <c r="O151" i="5" s="1"/>
  <c r="AC151" i="5"/>
  <c r="X151" i="5" s="1"/>
  <c r="V216" i="5"/>
  <c r="Q216" i="5" s="1"/>
  <c r="AE216" i="5"/>
  <c r="Z216" i="5" s="1"/>
  <c r="W758" i="5"/>
  <c r="R758" i="5" s="1"/>
  <c r="AF758" i="5"/>
  <c r="AA758" i="5" s="1"/>
  <c r="U770" i="5"/>
  <c r="AD770" i="5"/>
  <c r="Y770" i="5" s="1"/>
  <c r="V607" i="5"/>
  <c r="AE607" i="5"/>
  <c r="Z607" i="5" s="1"/>
  <c r="T767" i="5"/>
  <c r="O767" i="5" s="1"/>
  <c r="AC767" i="5"/>
  <c r="V764" i="5"/>
  <c r="Q764" i="5" s="1"/>
  <c r="AE764" i="5"/>
  <c r="Z764" i="5" s="1"/>
  <c r="W754" i="5"/>
  <c r="R754" i="5" s="1"/>
  <c r="AF754" i="5"/>
  <c r="AA754" i="5" s="1"/>
  <c r="T622" i="5"/>
  <c r="O622" i="5" s="1"/>
  <c r="AC622" i="5"/>
  <c r="X622" i="5" s="1"/>
  <c r="W109" i="5"/>
  <c r="AF109" i="5"/>
  <c r="W722" i="5"/>
  <c r="R722" i="5" s="1"/>
  <c r="AF722" i="5"/>
  <c r="AA722" i="5" s="1"/>
  <c r="W745" i="5"/>
  <c r="R745" i="5" s="1"/>
  <c r="AF745" i="5"/>
  <c r="AA745" i="5" s="1"/>
  <c r="W726" i="5"/>
  <c r="R726" i="5" s="1"/>
  <c r="AF726" i="5"/>
  <c r="AA726" i="5" s="1"/>
  <c r="V496" i="5"/>
  <c r="Q496" i="5" s="1"/>
  <c r="AE496" i="5"/>
  <c r="Z496" i="5" s="1"/>
  <c r="W732" i="5"/>
  <c r="R732" i="5" s="1"/>
  <c r="AF732" i="5"/>
  <c r="AA732" i="5" s="1"/>
  <c r="V758" i="5"/>
  <c r="Q758" i="5" s="1"/>
  <c r="AE758" i="5"/>
  <c r="Z758" i="5" s="1"/>
  <c r="W725" i="5"/>
  <c r="R725" i="5" s="1"/>
  <c r="AF725" i="5"/>
  <c r="AA725" i="5" s="1"/>
  <c r="V753" i="5"/>
  <c r="Q753" i="5" s="1"/>
  <c r="AE753" i="5"/>
  <c r="Z753" i="5" s="1"/>
  <c r="W770" i="5"/>
  <c r="AF770" i="5"/>
  <c r="AA770" i="5" s="1"/>
  <c r="W753" i="5"/>
  <c r="R753" i="5" s="1"/>
  <c r="AF753" i="5"/>
  <c r="AA753" i="5" s="1"/>
  <c r="T770" i="5"/>
  <c r="O770" i="5" s="1"/>
  <c r="AC770" i="5"/>
  <c r="X770" i="5" s="1"/>
  <c r="T405" i="5"/>
  <c r="AC405" i="5"/>
  <c r="X405" i="5" s="1"/>
  <c r="T85" i="5"/>
  <c r="O85" i="5" s="1"/>
  <c r="AC85" i="5"/>
  <c r="X85" i="5" s="1"/>
  <c r="U212" i="5"/>
  <c r="P212" i="5" s="1"/>
  <c r="AD212" i="5"/>
  <c r="Y212" i="5" s="1"/>
  <c r="T660" i="5"/>
  <c r="O660" i="5" s="1"/>
  <c r="AC660" i="5"/>
  <c r="X660" i="5" s="1"/>
  <c r="U723" i="5"/>
  <c r="P723" i="5" s="1"/>
  <c r="AD723" i="5"/>
  <c r="Y723" i="5" s="1"/>
  <c r="V448" i="5"/>
  <c r="Q448" i="5" s="1"/>
  <c r="AE448" i="5"/>
  <c r="Z448" i="5" s="1"/>
  <c r="W474" i="5"/>
  <c r="R474" i="5" s="1"/>
  <c r="AF474" i="5"/>
  <c r="AA474" i="5" s="1"/>
  <c r="W242" i="5"/>
  <c r="R242" i="5" s="1"/>
  <c r="AF242" i="5"/>
  <c r="AA242" i="5" s="1"/>
  <c r="T753" i="5"/>
  <c r="O753" i="5" s="1"/>
  <c r="AC753" i="5"/>
  <c r="X753" i="5" s="1"/>
  <c r="V112" i="5"/>
  <c r="Q112" i="5" s="1"/>
  <c r="AE112" i="5"/>
  <c r="Z112" i="5" s="1"/>
  <c r="U477" i="5"/>
  <c r="P477" i="5" s="1"/>
  <c r="AD477" i="5"/>
  <c r="Y477" i="5" s="1"/>
  <c r="T252" i="5"/>
  <c r="O252" i="5" s="1"/>
  <c r="AC252" i="5"/>
  <c r="X252" i="5" s="1"/>
  <c r="T607" i="5"/>
  <c r="AC607" i="5"/>
  <c r="X607" i="5" s="1"/>
  <c r="V70" i="5"/>
  <c r="Q70" i="5" s="1"/>
  <c r="AE70" i="5"/>
  <c r="Z70" i="5" s="1"/>
  <c r="W528" i="5"/>
  <c r="R528" i="5" s="1"/>
  <c r="AF528" i="5"/>
  <c r="V36" i="5"/>
  <c r="Q36" i="5" s="1"/>
  <c r="AE36" i="5"/>
  <c r="Z36" i="5" s="1"/>
  <c r="U98" i="5"/>
  <c r="P98" i="5" s="1"/>
  <c r="AD98" i="5"/>
  <c r="Y98" i="5" s="1"/>
  <c r="T415" i="5"/>
  <c r="O415" i="5" s="1"/>
  <c r="AC415" i="5"/>
  <c r="X415" i="5" s="1"/>
  <c r="V65" i="5"/>
  <c r="Q65" i="5" s="1"/>
  <c r="AE65" i="5"/>
  <c r="Z65" i="5" s="1"/>
  <c r="V236" i="5"/>
  <c r="Q236" i="5" s="1"/>
  <c r="AE236" i="5"/>
  <c r="Z236" i="5" s="1"/>
  <c r="T683" i="5"/>
  <c r="O683" i="5" s="1"/>
  <c r="AC683" i="5"/>
  <c r="X683" i="5" s="1"/>
  <c r="U274" i="5"/>
  <c r="P274" i="5" s="1"/>
  <c r="AD274" i="5"/>
  <c r="Y274" i="5" s="1"/>
  <c r="U555" i="5"/>
  <c r="P555" i="5" s="1"/>
  <c r="AD555" i="5"/>
  <c r="Y555" i="5" s="1"/>
  <c r="V586" i="5"/>
  <c r="Q586" i="5" s="1"/>
  <c r="AE586" i="5"/>
  <c r="Z586" i="5" s="1"/>
  <c r="V426" i="5"/>
  <c r="AE426" i="5"/>
  <c r="W152" i="5"/>
  <c r="AF152" i="5"/>
  <c r="T80" i="5"/>
  <c r="O80" i="5" s="1"/>
  <c r="AC80" i="5"/>
  <c r="X80" i="5" s="1"/>
  <c r="V360" i="5"/>
  <c r="Q360" i="5" s="1"/>
  <c r="AE360" i="5"/>
  <c r="Z360" i="5" s="1"/>
  <c r="T200" i="5"/>
  <c r="O200" i="5" s="1"/>
  <c r="AC200" i="5"/>
  <c r="X200" i="5" s="1"/>
  <c r="U422" i="5"/>
  <c r="P422" i="5" s="1"/>
  <c r="AD422" i="5"/>
  <c r="Y422" i="5" s="1"/>
  <c r="U400" i="5"/>
  <c r="P400" i="5" s="1"/>
  <c r="AD400" i="5"/>
  <c r="V183" i="5"/>
  <c r="Q183" i="5" s="1"/>
  <c r="AE183" i="5"/>
  <c r="Z183" i="5" s="1"/>
  <c r="V418" i="5"/>
  <c r="Q418" i="5" s="1"/>
  <c r="AE418" i="5"/>
  <c r="Z418" i="5" s="1"/>
  <c r="T608" i="5"/>
  <c r="O608" i="5" s="1"/>
  <c r="AC608" i="5"/>
  <c r="X608" i="5" s="1"/>
  <c r="W605" i="5"/>
  <c r="R605" i="5" s="1"/>
  <c r="AF605" i="5"/>
  <c r="AA605" i="5" s="1"/>
  <c r="W380" i="5"/>
  <c r="R380" i="5" s="1"/>
  <c r="AF380" i="5"/>
  <c r="AA380" i="5" s="1"/>
  <c r="V405" i="5"/>
  <c r="AE405" i="5"/>
  <c r="T339" i="5"/>
  <c r="AC339" i="5"/>
  <c r="X339" i="5" s="1"/>
  <c r="V500" i="5"/>
  <c r="Q500" i="5" s="1"/>
  <c r="AE500" i="5"/>
  <c r="Z500" i="5" s="1"/>
  <c r="T529" i="5"/>
  <c r="O529" i="5" s="1"/>
  <c r="AC529" i="5"/>
  <c r="X529" i="5" s="1"/>
  <c r="V545" i="5"/>
  <c r="Q545" i="5" s="1"/>
  <c r="AE545" i="5"/>
  <c r="Z545" i="5" s="1"/>
  <c r="T30" i="5"/>
  <c r="O30" i="5" s="1"/>
  <c r="AC30" i="5"/>
  <c r="X30" i="5" s="1"/>
  <c r="U700" i="5"/>
  <c r="P700" i="5" s="1"/>
  <c r="AD700" i="5"/>
  <c r="Y700" i="5" s="1"/>
  <c r="T92" i="5"/>
  <c r="O92" i="5" s="1"/>
  <c r="AC92" i="5"/>
  <c r="X92" i="5" s="1"/>
  <c r="W332" i="5"/>
  <c r="R332" i="5" s="1"/>
  <c r="AF332" i="5"/>
  <c r="AA332" i="5" s="1"/>
  <c r="T585" i="5"/>
  <c r="O585" i="5" s="1"/>
  <c r="AC585" i="5"/>
  <c r="X585" i="5" s="1"/>
  <c r="U678" i="5"/>
  <c r="P678" i="5" s="1"/>
  <c r="AD678" i="5"/>
  <c r="Y678" i="5" s="1"/>
  <c r="W72" i="5"/>
  <c r="R72" i="5" s="1"/>
  <c r="AF72" i="5"/>
  <c r="AA72" i="5" s="1"/>
  <c r="V738" i="5"/>
  <c r="AE738" i="5"/>
  <c r="Z738" i="5" s="1"/>
  <c r="W337" i="5"/>
  <c r="R337" i="5" s="1"/>
  <c r="AF337" i="5"/>
  <c r="AA337" i="5" s="1"/>
  <c r="W266" i="5"/>
  <c r="R266" i="5" s="1"/>
  <c r="AF266" i="5"/>
  <c r="AA266" i="5" s="1"/>
  <c r="T487" i="5"/>
  <c r="O487" i="5" s="1"/>
  <c r="AC487" i="5"/>
  <c r="X487" i="5" s="1"/>
  <c r="W196" i="5"/>
  <c r="R196" i="5" s="1"/>
  <c r="AF196" i="5"/>
  <c r="AA196" i="5" s="1"/>
  <c r="T464" i="5"/>
  <c r="O464" i="5" s="1"/>
  <c r="AC464" i="5"/>
  <c r="X464" i="5" s="1"/>
  <c r="V644" i="5"/>
  <c r="Q644" i="5" s="1"/>
  <c r="AE644" i="5"/>
  <c r="W336" i="5"/>
  <c r="R336" i="5" s="1"/>
  <c r="AF336" i="5"/>
  <c r="AA336" i="5" s="1"/>
  <c r="U338" i="5"/>
  <c r="P338" i="5" s="1"/>
  <c r="AD338" i="5"/>
  <c r="Y338" i="5" s="1"/>
  <c r="U415" i="5"/>
  <c r="AD415" i="5"/>
  <c r="Y415" i="5" s="1"/>
  <c r="V593" i="5"/>
  <c r="Q593" i="5" s="1"/>
  <c r="AE593" i="5"/>
  <c r="Z593" i="5" s="1"/>
  <c r="U513" i="5"/>
  <c r="P513" i="5" s="1"/>
  <c r="AD513" i="5"/>
  <c r="Y513" i="5" s="1"/>
  <c r="T385" i="5"/>
  <c r="AC385" i="5"/>
  <c r="X385" i="5" s="1"/>
  <c r="T127" i="5"/>
  <c r="O127" i="5" s="1"/>
  <c r="AC127" i="5"/>
  <c r="W182" i="5"/>
  <c r="R182" i="5" s="1"/>
  <c r="AF182" i="5"/>
  <c r="T157" i="5"/>
  <c r="O157" i="5" s="1"/>
  <c r="AC157" i="5"/>
  <c r="X157" i="5" s="1"/>
  <c r="W28" i="5"/>
  <c r="R28" i="5" s="1"/>
  <c r="AF28" i="5"/>
  <c r="AA28" i="5" s="1"/>
  <c r="U380" i="5"/>
  <c r="P380" i="5" s="1"/>
  <c r="AD380" i="5"/>
  <c r="Y380" i="5" s="1"/>
  <c r="V376" i="5"/>
  <c r="Q376" i="5" s="1"/>
  <c r="AE376" i="5"/>
  <c r="U602" i="5"/>
  <c r="P602" i="5" s="1"/>
  <c r="AD602" i="5"/>
  <c r="Y602" i="5" s="1"/>
  <c r="V282" i="5"/>
  <c r="Q282" i="5" s="1"/>
  <c r="AE282" i="5"/>
  <c r="Z282" i="5" s="1"/>
  <c r="V245" i="5"/>
  <c r="Q245" i="5" s="1"/>
  <c r="AE245" i="5"/>
  <c r="Z245" i="5" s="1"/>
  <c r="U578" i="5"/>
  <c r="P578" i="5" s="1"/>
  <c r="AD578" i="5"/>
  <c r="V412" i="5"/>
  <c r="Q412" i="5" s="1"/>
  <c r="AE412" i="5"/>
  <c r="Z412" i="5" s="1"/>
  <c r="T279" i="5"/>
  <c r="AC279" i="5"/>
  <c r="U722" i="5"/>
  <c r="AD722" i="5"/>
  <c r="Y722" i="5" s="1"/>
  <c r="T199" i="5"/>
  <c r="O199" i="5" s="1"/>
  <c r="AC199" i="5"/>
  <c r="X199" i="5" s="1"/>
  <c r="U69" i="5"/>
  <c r="P69" i="5" s="1"/>
  <c r="AD69" i="5"/>
  <c r="Y69" i="5" s="1"/>
  <c r="W675" i="5"/>
  <c r="R675" i="5" s="1"/>
  <c r="AF675" i="5"/>
  <c r="AA675" i="5" s="1"/>
  <c r="V142" i="5"/>
  <c r="Q142" i="5" s="1"/>
  <c r="AE142" i="5"/>
  <c r="Z142" i="5" s="1"/>
  <c r="T236" i="5"/>
  <c r="O236" i="5" s="1"/>
  <c r="AC236" i="5"/>
  <c r="X236" i="5" s="1"/>
  <c r="U266" i="5"/>
  <c r="P266" i="5" s="1"/>
  <c r="AD266" i="5"/>
  <c r="Y266" i="5" s="1"/>
  <c r="U152" i="5"/>
  <c r="P152" i="5" s="1"/>
  <c r="AD152" i="5"/>
  <c r="Y152" i="5" s="1"/>
  <c r="W360" i="5"/>
  <c r="R360" i="5" s="1"/>
  <c r="AF360" i="5"/>
  <c r="AA360" i="5" s="1"/>
  <c r="W326" i="5"/>
  <c r="R326" i="5" s="1"/>
  <c r="AF326" i="5"/>
  <c r="AA326" i="5" s="1"/>
  <c r="V400" i="5"/>
  <c r="Q400" i="5" s="1"/>
  <c r="AE400" i="5"/>
  <c r="Z400" i="5" s="1"/>
  <c r="U199" i="5"/>
  <c r="AD199" i="5"/>
  <c r="Y199" i="5" s="1"/>
  <c r="V39" i="5"/>
  <c r="AE39" i="5"/>
  <c r="Z39" i="5" s="1"/>
  <c r="V69" i="5"/>
  <c r="Q69" i="5" s="1"/>
  <c r="AE69" i="5"/>
  <c r="Z69" i="5" s="1"/>
  <c r="W183" i="5"/>
  <c r="R183" i="5" s="1"/>
  <c r="AF183" i="5"/>
  <c r="AA183" i="5" s="1"/>
  <c r="T703" i="5"/>
  <c r="O703" i="5" s="1"/>
  <c r="AC703" i="5"/>
  <c r="X703" i="5" s="1"/>
  <c r="W163" i="5"/>
  <c r="R163" i="5" s="1"/>
  <c r="AF163" i="5"/>
  <c r="AA163" i="5" s="1"/>
  <c r="T338" i="5"/>
  <c r="AC338" i="5"/>
  <c r="X338" i="5" s="1"/>
  <c r="T225" i="5"/>
  <c r="O225" i="5" s="1"/>
  <c r="AC225" i="5"/>
  <c r="X225" i="5" s="1"/>
  <c r="V668" i="5"/>
  <c r="Q668" i="5" s="1"/>
  <c r="AE668" i="5"/>
  <c r="Z668" i="5" s="1"/>
  <c r="U220" i="5"/>
  <c r="P220" i="5" s="1"/>
  <c r="AD220" i="5"/>
  <c r="Y220" i="5" s="1"/>
  <c r="V377" i="5"/>
  <c r="Q377" i="5" s="1"/>
  <c r="AE377" i="5"/>
  <c r="Z377" i="5" s="1"/>
  <c r="T537" i="5"/>
  <c r="O537" i="5" s="1"/>
  <c r="AC537" i="5"/>
  <c r="X537" i="5" s="1"/>
  <c r="U218" i="5"/>
  <c r="AD218" i="5"/>
  <c r="Y218" i="5" s="1"/>
  <c r="U533" i="5"/>
  <c r="P533" i="5" s="1"/>
  <c r="AD533" i="5"/>
  <c r="Y533" i="5" s="1"/>
  <c r="U340" i="5"/>
  <c r="AD340" i="5"/>
  <c r="Y340" i="5" s="1"/>
  <c r="U339" i="5"/>
  <c r="P339" i="5" s="1"/>
  <c r="AD339" i="5"/>
  <c r="Y339" i="5" s="1"/>
  <c r="T345" i="5"/>
  <c r="O345" i="5" s="1"/>
  <c r="AC345" i="5"/>
  <c r="X345" i="5" s="1"/>
  <c r="T163" i="5"/>
  <c r="O163" i="5" s="1"/>
  <c r="AC163" i="5"/>
  <c r="X163" i="5" s="1"/>
  <c r="W673" i="5"/>
  <c r="R673" i="5" s="1"/>
  <c r="AF673" i="5"/>
  <c r="AA673" i="5" s="1"/>
  <c r="V185" i="5"/>
  <c r="Q185" i="5" s="1"/>
  <c r="AE185" i="5"/>
  <c r="Z185" i="5" s="1"/>
  <c r="T249" i="5"/>
  <c r="O249" i="5" s="1"/>
  <c r="AC249" i="5"/>
  <c r="X249" i="5" s="1"/>
  <c r="U508" i="5"/>
  <c r="P508" i="5" s="1"/>
  <c r="AD508" i="5"/>
  <c r="Y508" i="5" s="1"/>
  <c r="V191" i="5"/>
  <c r="Q191" i="5" s="1"/>
  <c r="AE191" i="5"/>
  <c r="Z191" i="5" s="1"/>
  <c r="T443" i="5"/>
  <c r="O443" i="5" s="1"/>
  <c r="AC443" i="5"/>
  <c r="X443" i="5" s="1"/>
  <c r="U53" i="5"/>
  <c r="AD53" i="5"/>
  <c r="Y53" i="5" s="1"/>
  <c r="T659" i="5"/>
  <c r="AC659" i="5"/>
  <c r="X659" i="5" s="1"/>
  <c r="W628" i="5"/>
  <c r="R628" i="5" s="1"/>
  <c r="AF628" i="5"/>
  <c r="AA628" i="5" s="1"/>
  <c r="V233" i="5"/>
  <c r="Q233" i="5" s="1"/>
  <c r="AE233" i="5"/>
  <c r="Z233" i="5" s="1"/>
  <c r="U530" i="5"/>
  <c r="P530" i="5" s="1"/>
  <c r="AD530" i="5"/>
  <c r="Y530" i="5" s="1"/>
  <c r="T326" i="5"/>
  <c r="O326" i="5" s="1"/>
  <c r="AC326" i="5"/>
  <c r="X326" i="5" s="1"/>
  <c r="W343" i="5"/>
  <c r="R343" i="5" s="1"/>
  <c r="AF343" i="5"/>
  <c r="AA343" i="5" s="1"/>
  <c r="V323" i="5"/>
  <c r="AE323" i="5"/>
  <c r="W338" i="5"/>
  <c r="R338" i="5" s="1"/>
  <c r="AF338" i="5"/>
  <c r="AA338" i="5" s="1"/>
  <c r="W432" i="5"/>
  <c r="R432" i="5" s="1"/>
  <c r="AF432" i="5"/>
  <c r="AA432" i="5" s="1"/>
  <c r="T513" i="5"/>
  <c r="O513" i="5" s="1"/>
  <c r="AC513" i="5"/>
  <c r="X513" i="5" s="1"/>
  <c r="V353" i="5"/>
  <c r="Q353" i="5" s="1"/>
  <c r="AE353" i="5"/>
  <c r="Z353" i="5" s="1"/>
  <c r="V256" i="5"/>
  <c r="AE256" i="5"/>
  <c r="Z256" i="5" s="1"/>
  <c r="W576" i="5"/>
  <c r="R576" i="5" s="1"/>
  <c r="AF576" i="5"/>
  <c r="AA576" i="5" s="1"/>
  <c r="T416" i="5"/>
  <c r="O416" i="5" s="1"/>
  <c r="AC416" i="5"/>
  <c r="X416" i="5" s="1"/>
  <c r="V508" i="5"/>
  <c r="Q508" i="5" s="1"/>
  <c r="AE508" i="5"/>
  <c r="Z508" i="5" s="1"/>
  <c r="W283" i="5"/>
  <c r="R283" i="5" s="1"/>
  <c r="AF283" i="5"/>
  <c r="AA283" i="5" s="1"/>
  <c r="V442" i="5"/>
  <c r="Q442" i="5" s="1"/>
  <c r="AE442" i="5"/>
  <c r="Z442" i="5" s="1"/>
  <c r="U501" i="5"/>
  <c r="P501" i="5" s="1"/>
  <c r="AD501" i="5"/>
  <c r="Y501" i="5" s="1"/>
  <c r="V115" i="5"/>
  <c r="Q115" i="5" s="1"/>
  <c r="AE115" i="5"/>
  <c r="Z115" i="5" s="1"/>
  <c r="W62" i="5"/>
  <c r="R62" i="5" s="1"/>
  <c r="AF62" i="5"/>
  <c r="AA62" i="5" s="1"/>
  <c r="T466" i="5"/>
  <c r="O466" i="5" s="1"/>
  <c r="AC466" i="5"/>
  <c r="X466" i="5" s="1"/>
  <c r="U195" i="5"/>
  <c r="P195" i="5" s="1"/>
  <c r="AD195" i="5"/>
  <c r="V546" i="5"/>
  <c r="Q546" i="5" s="1"/>
  <c r="AE546" i="5"/>
  <c r="Z546" i="5" s="1"/>
  <c r="W668" i="5"/>
  <c r="AF668" i="5"/>
  <c r="AA668" i="5" s="1"/>
  <c r="T175" i="5"/>
  <c r="AC175" i="5"/>
  <c r="V491" i="5"/>
  <c r="AE491" i="5"/>
  <c r="T283" i="5"/>
  <c r="O283" i="5" s="1"/>
  <c r="AC283" i="5"/>
  <c r="X283" i="5" s="1"/>
  <c r="V713" i="5"/>
  <c r="Q713" i="5" s="1"/>
  <c r="AE713" i="5"/>
  <c r="Z713" i="5" s="1"/>
  <c r="U718" i="5"/>
  <c r="P718" i="5" s="1"/>
  <c r="AD718" i="5"/>
  <c r="Y718" i="5" s="1"/>
  <c r="V472" i="5"/>
  <c r="Q472" i="5" s="1"/>
  <c r="AE472" i="5"/>
  <c r="Z472" i="5" s="1"/>
  <c r="U171" i="5"/>
  <c r="P171" i="5" s="1"/>
  <c r="AD171" i="5"/>
  <c r="Y171" i="5" s="1"/>
  <c r="V63" i="5"/>
  <c r="Q63" i="5" s="1"/>
  <c r="AE63" i="5"/>
  <c r="Z63" i="5" s="1"/>
  <c r="U255" i="5"/>
  <c r="P255" i="5" s="1"/>
  <c r="AD255" i="5"/>
  <c r="Y255" i="5" s="1"/>
  <c r="U518" i="5"/>
  <c r="P518" i="5" s="1"/>
  <c r="AD518" i="5"/>
  <c r="Y518" i="5" s="1"/>
  <c r="T38" i="5"/>
  <c r="O38" i="5" s="1"/>
  <c r="AC38" i="5"/>
  <c r="X38" i="5" s="1"/>
  <c r="U327" i="5"/>
  <c r="AD327" i="5"/>
  <c r="Y327" i="5" s="1"/>
  <c r="V645" i="5"/>
  <c r="AE645" i="5"/>
  <c r="Z645" i="5" s="1"/>
  <c r="U33" i="5"/>
  <c r="AD33" i="5"/>
  <c r="Y33" i="5" s="1"/>
  <c r="V452" i="5"/>
  <c r="Q452" i="5" s="1"/>
  <c r="AE452" i="5"/>
  <c r="Z452" i="5" s="1"/>
  <c r="T343" i="5"/>
  <c r="O343" i="5" s="1"/>
  <c r="AC343" i="5"/>
  <c r="X343" i="5" s="1"/>
  <c r="T483" i="5"/>
  <c r="O483" i="5" s="1"/>
  <c r="AC483" i="5"/>
  <c r="X483" i="5" s="1"/>
  <c r="T222" i="5"/>
  <c r="O222" i="5" s="1"/>
  <c r="AC222" i="5"/>
  <c r="X222" i="5" s="1"/>
  <c r="W386" i="5"/>
  <c r="R386" i="5" s="1"/>
  <c r="AF386" i="5"/>
  <c r="AA386" i="5" s="1"/>
  <c r="V160" i="5"/>
  <c r="Q160" i="5" s="1"/>
  <c r="AE160" i="5"/>
  <c r="Z160" i="5" s="1"/>
  <c r="T375" i="5"/>
  <c r="O375" i="5" s="1"/>
  <c r="AC375" i="5"/>
  <c r="X375" i="5" s="1"/>
  <c r="V641" i="5"/>
  <c r="Q641" i="5" s="1"/>
  <c r="AE641" i="5"/>
  <c r="Z641" i="5" s="1"/>
  <c r="U193" i="5"/>
  <c r="P193" i="5" s="1"/>
  <c r="AD193" i="5"/>
  <c r="Y193" i="5" s="1"/>
  <c r="U256" i="5"/>
  <c r="AD256" i="5"/>
  <c r="Y256" i="5" s="1"/>
  <c r="V702" i="5"/>
  <c r="AE702" i="5"/>
  <c r="Z702" i="5" s="1"/>
  <c r="W306" i="5"/>
  <c r="R306" i="5" s="1"/>
  <c r="AF306" i="5"/>
  <c r="AA306" i="5" s="1"/>
  <c r="U411" i="5"/>
  <c r="P411" i="5" s="1"/>
  <c r="AD411" i="5"/>
  <c r="Y411" i="5" s="1"/>
  <c r="T56" i="5"/>
  <c r="O56" i="5" s="1"/>
  <c r="AC56" i="5"/>
  <c r="V467" i="5"/>
  <c r="Q467" i="5" s="1"/>
  <c r="AE467" i="5"/>
  <c r="Z467" i="5" s="1"/>
  <c r="T756" i="5"/>
  <c r="O756" i="5" s="1"/>
  <c r="AC756" i="5"/>
  <c r="U531" i="5"/>
  <c r="P531" i="5" s="1"/>
  <c r="AD531" i="5"/>
  <c r="Y531" i="5" s="1"/>
  <c r="T502" i="5"/>
  <c r="O502" i="5" s="1"/>
  <c r="AC502" i="5"/>
  <c r="X502" i="5" s="1"/>
  <c r="T171" i="5"/>
  <c r="O171" i="5" s="1"/>
  <c r="AC171" i="5"/>
  <c r="X171" i="5" s="1"/>
  <c r="W193" i="5"/>
  <c r="R193" i="5" s="1"/>
  <c r="AF193" i="5"/>
  <c r="AA193" i="5" s="1"/>
  <c r="T523" i="5"/>
  <c r="O523" i="5" s="1"/>
  <c r="AC523" i="5"/>
  <c r="X523" i="5" s="1"/>
  <c r="V246" i="5"/>
  <c r="AE246" i="5"/>
  <c r="V268" i="5"/>
  <c r="Q268" i="5" s="1"/>
  <c r="AE268" i="5"/>
  <c r="Z268" i="5" s="1"/>
  <c r="U554" i="5"/>
  <c r="AD554" i="5"/>
  <c r="W74" i="5"/>
  <c r="R74" i="5" s="1"/>
  <c r="AF74" i="5"/>
  <c r="AA74" i="5" s="1"/>
  <c r="V695" i="5"/>
  <c r="Q695" i="5" s="1"/>
  <c r="AE695" i="5"/>
  <c r="Z695" i="5" s="1"/>
  <c r="U681" i="5"/>
  <c r="P681" i="5" s="1"/>
  <c r="AD681" i="5"/>
  <c r="Y681" i="5" s="1"/>
  <c r="U393" i="5"/>
  <c r="P393" i="5" s="1"/>
  <c r="AD393" i="5"/>
  <c r="Y393" i="5" s="1"/>
  <c r="T121" i="5"/>
  <c r="O121" i="5" s="1"/>
  <c r="AC121" i="5"/>
  <c r="X121" i="5" s="1"/>
  <c r="W530" i="5"/>
  <c r="R530" i="5" s="1"/>
  <c r="AF530" i="5"/>
  <c r="AA530" i="5" s="1"/>
  <c r="T54" i="5"/>
  <c r="O54" i="5" s="1"/>
  <c r="AC54" i="5"/>
  <c r="X54" i="5" s="1"/>
  <c r="U82" i="5"/>
  <c r="P82" i="5" s="1"/>
  <c r="AD82" i="5"/>
  <c r="Y82" i="5" s="1"/>
  <c r="W37" i="5"/>
  <c r="R37" i="5" s="1"/>
  <c r="AF37" i="5"/>
  <c r="AA37" i="5" s="1"/>
  <c r="T463" i="5"/>
  <c r="AC463" i="5"/>
  <c r="U452" i="5"/>
  <c r="AD452" i="5"/>
  <c r="Y452" i="5" s="1"/>
  <c r="U674" i="5"/>
  <c r="AD674" i="5"/>
  <c r="Y674" i="5" s="1"/>
  <c r="U386" i="5"/>
  <c r="AD386" i="5"/>
  <c r="Y386" i="5" s="1"/>
  <c r="U689" i="5"/>
  <c r="P689" i="5" s="1"/>
  <c r="AD689" i="5"/>
  <c r="Y689" i="5" s="1"/>
  <c r="W408" i="5"/>
  <c r="R408" i="5" s="1"/>
  <c r="AF408" i="5"/>
  <c r="AA408" i="5" s="1"/>
  <c r="T697" i="5"/>
  <c r="O697" i="5" s="1"/>
  <c r="AC697" i="5"/>
  <c r="X697" i="5" s="1"/>
  <c r="T58" i="5"/>
  <c r="O58" i="5" s="1"/>
  <c r="AC58" i="5"/>
  <c r="X58" i="5" s="1"/>
  <c r="W146" i="5"/>
  <c r="R146" i="5" s="1"/>
  <c r="AF146" i="5"/>
  <c r="AA146" i="5" s="1"/>
  <c r="U410" i="5"/>
  <c r="P410" i="5" s="1"/>
  <c r="AD410" i="5"/>
  <c r="Y410" i="5" s="1"/>
  <c r="V53" i="5"/>
  <c r="Q53" i="5" s="1"/>
  <c r="AE53" i="5"/>
  <c r="Z53" i="5" s="1"/>
  <c r="V148" i="5"/>
  <c r="Q148" i="5" s="1"/>
  <c r="AE148" i="5"/>
  <c r="Z148" i="5" s="1"/>
  <c r="T21" i="5"/>
  <c r="AC21" i="5"/>
  <c r="X21" i="5" s="1"/>
  <c r="W236" i="5"/>
  <c r="R236" i="5" s="1"/>
  <c r="AF236" i="5"/>
  <c r="AA236" i="5" s="1"/>
  <c r="V714" i="5"/>
  <c r="Q714" i="5" s="1"/>
  <c r="AE714" i="5"/>
  <c r="Z714" i="5" s="1"/>
  <c r="V346" i="5"/>
  <c r="Q346" i="5" s="1"/>
  <c r="AE346" i="5"/>
  <c r="Z346" i="5" s="1"/>
  <c r="W648" i="5"/>
  <c r="R648" i="5" s="1"/>
  <c r="AF648" i="5"/>
  <c r="AA648" i="5" s="1"/>
  <c r="U734" i="5"/>
  <c r="P734" i="5" s="1"/>
  <c r="AD734" i="5"/>
  <c r="Y734" i="5" s="1"/>
  <c r="T467" i="5"/>
  <c r="O467" i="5" s="1"/>
  <c r="AC467" i="5"/>
  <c r="X467" i="5" s="1"/>
  <c r="W468" i="5"/>
  <c r="R468" i="5" s="1"/>
  <c r="AF468" i="5"/>
  <c r="AA468" i="5" s="1"/>
  <c r="U430" i="5"/>
  <c r="P430" i="5" s="1"/>
  <c r="AD430" i="5"/>
  <c r="Y430" i="5" s="1"/>
  <c r="T393" i="5"/>
  <c r="O393" i="5" s="1"/>
  <c r="AC393" i="5"/>
  <c r="X393" i="5" s="1"/>
  <c r="T153" i="5"/>
  <c r="O153" i="5" s="1"/>
  <c r="AC153" i="5"/>
  <c r="X153" i="5" s="1"/>
  <c r="T238" i="5"/>
  <c r="O238" i="5" s="1"/>
  <c r="AC238" i="5"/>
  <c r="X238" i="5" s="1"/>
  <c r="U246" i="5"/>
  <c r="AD246" i="5"/>
  <c r="U460" i="5"/>
  <c r="AD460" i="5"/>
  <c r="T427" i="5"/>
  <c r="AC427" i="5"/>
  <c r="X427" i="5" s="1"/>
  <c r="U63" i="5"/>
  <c r="P63" i="5" s="1"/>
  <c r="AD63" i="5"/>
  <c r="Y63" i="5" s="1"/>
  <c r="V682" i="5"/>
  <c r="Q682" i="5" s="1"/>
  <c r="AE682" i="5"/>
  <c r="Z682" i="5" s="1"/>
  <c r="U233" i="5"/>
  <c r="P233" i="5" s="1"/>
  <c r="AD233" i="5"/>
  <c r="Y233" i="5" s="1"/>
  <c r="V616" i="5"/>
  <c r="Q616" i="5" s="1"/>
  <c r="AE616" i="5"/>
  <c r="Z616" i="5" s="1"/>
  <c r="W168" i="5"/>
  <c r="R168" i="5" s="1"/>
  <c r="AF168" i="5"/>
  <c r="AA168" i="5" s="1"/>
  <c r="T632" i="5"/>
  <c r="O632" i="5" s="1"/>
  <c r="AC632" i="5"/>
  <c r="X632" i="5" s="1"/>
  <c r="U79" i="5"/>
  <c r="P79" i="5" s="1"/>
  <c r="AD79" i="5"/>
  <c r="Y79" i="5" s="1"/>
  <c r="U388" i="5"/>
  <c r="P388" i="5" s="1"/>
  <c r="AD388" i="5"/>
  <c r="Y388" i="5" s="1"/>
  <c r="W463" i="5"/>
  <c r="R463" i="5" s="1"/>
  <c r="AF463" i="5"/>
  <c r="AA463" i="5" s="1"/>
  <c r="T223" i="5"/>
  <c r="AC223" i="5"/>
  <c r="W451" i="5"/>
  <c r="R451" i="5" s="1"/>
  <c r="AF451" i="5"/>
  <c r="AA451" i="5" s="1"/>
  <c r="V161" i="5"/>
  <c r="AE161" i="5"/>
  <c r="Z161" i="5" s="1"/>
  <c r="T704" i="5"/>
  <c r="O704" i="5" s="1"/>
  <c r="AC704" i="5"/>
  <c r="X704" i="5" s="1"/>
  <c r="U93" i="5"/>
  <c r="P93" i="5" s="1"/>
  <c r="AD93" i="5"/>
  <c r="Y93" i="5" s="1"/>
  <c r="W601" i="5"/>
  <c r="R601" i="5" s="1"/>
  <c r="AF601" i="5"/>
  <c r="AA601" i="5" s="1"/>
  <c r="V562" i="5"/>
  <c r="Q562" i="5" s="1"/>
  <c r="AE562" i="5"/>
  <c r="W188" i="5"/>
  <c r="R188" i="5" s="1"/>
  <c r="AF188" i="5"/>
  <c r="AA188" i="5" s="1"/>
  <c r="W411" i="5"/>
  <c r="R411" i="5" s="1"/>
  <c r="AF411" i="5"/>
  <c r="AA411" i="5" s="1"/>
  <c r="T441" i="5"/>
  <c r="O441" i="5" s="1"/>
  <c r="AC441" i="5"/>
  <c r="X441" i="5" s="1"/>
  <c r="T730" i="5"/>
  <c r="O730" i="5" s="1"/>
  <c r="AC730" i="5"/>
  <c r="U148" i="5"/>
  <c r="P148" i="5" s="1"/>
  <c r="AD148" i="5"/>
  <c r="Y148" i="5" s="1"/>
  <c r="T115" i="5"/>
  <c r="AC115" i="5"/>
  <c r="X115" i="5" s="1"/>
  <c r="U751" i="5"/>
  <c r="AD751" i="5"/>
  <c r="Y751" i="5" s="1"/>
  <c r="V40" i="5"/>
  <c r="Q40" i="5" s="1"/>
  <c r="AE40" i="5"/>
  <c r="U166" i="5"/>
  <c r="AD166" i="5"/>
  <c r="U56" i="5"/>
  <c r="P56" i="5" s="1"/>
  <c r="AD56" i="5"/>
  <c r="Y56" i="5" s="1"/>
  <c r="W365" i="5"/>
  <c r="R365" i="5" s="1"/>
  <c r="AF365" i="5"/>
  <c r="AA365" i="5" s="1"/>
  <c r="V328" i="5"/>
  <c r="Q328" i="5" s="1"/>
  <c r="AE328" i="5"/>
  <c r="Z328" i="5" s="1"/>
  <c r="W508" i="5"/>
  <c r="AF508" i="5"/>
  <c r="AA508" i="5" s="1"/>
  <c r="W205" i="5"/>
  <c r="R205" i="5" s="1"/>
  <c r="AF205" i="5"/>
  <c r="W553" i="5"/>
  <c r="R553" i="5" s="1"/>
  <c r="AF553" i="5"/>
  <c r="AA553" i="5" s="1"/>
  <c r="W121" i="5"/>
  <c r="R121" i="5" s="1"/>
  <c r="AF121" i="5"/>
  <c r="AA121" i="5" s="1"/>
  <c r="U164" i="5"/>
  <c r="P164" i="5" s="1"/>
  <c r="AD164" i="5"/>
  <c r="Y164" i="5" s="1"/>
  <c r="U559" i="5"/>
  <c r="AD559" i="5"/>
  <c r="U558" i="5"/>
  <c r="AD558" i="5"/>
  <c r="Y558" i="5" s="1"/>
  <c r="V523" i="5"/>
  <c r="Q523" i="5" s="1"/>
  <c r="AE523" i="5"/>
  <c r="Z523" i="5" s="1"/>
  <c r="T248" i="5"/>
  <c r="O248" i="5" s="1"/>
  <c r="AC248" i="5"/>
  <c r="X248" i="5" s="1"/>
  <c r="U748" i="5"/>
  <c r="P748" i="5" s="1"/>
  <c r="AD748" i="5"/>
  <c r="Y748" i="5" s="1"/>
  <c r="U428" i="5"/>
  <c r="P428" i="5" s="1"/>
  <c r="AD428" i="5"/>
  <c r="Y428" i="5" s="1"/>
  <c r="V715" i="5"/>
  <c r="Q715" i="5" s="1"/>
  <c r="AE715" i="5"/>
  <c r="Z715" i="5" s="1"/>
  <c r="T344" i="5"/>
  <c r="O344" i="5" s="1"/>
  <c r="AC344" i="5"/>
  <c r="X344" i="5" s="1"/>
  <c r="V688" i="5"/>
  <c r="Q688" i="5" s="1"/>
  <c r="AE688" i="5"/>
  <c r="Z688" i="5" s="1"/>
  <c r="W361" i="5"/>
  <c r="R361" i="5" s="1"/>
  <c r="AF361" i="5"/>
  <c r="AA361" i="5" s="1"/>
  <c r="U73" i="5"/>
  <c r="P73" i="5" s="1"/>
  <c r="AD73" i="5"/>
  <c r="T518" i="5"/>
  <c r="O518" i="5" s="1"/>
  <c r="AC518" i="5"/>
  <c r="X518" i="5" s="1"/>
  <c r="T296" i="5"/>
  <c r="AC296" i="5"/>
  <c r="X296" i="5" s="1"/>
  <c r="T536" i="5"/>
  <c r="O536" i="5" s="1"/>
  <c r="AC536" i="5"/>
  <c r="X536" i="5" s="1"/>
  <c r="V68" i="5"/>
  <c r="AE68" i="5"/>
  <c r="T694" i="5"/>
  <c r="O694" i="5" s="1"/>
  <c r="AC694" i="5"/>
  <c r="X694" i="5" s="1"/>
  <c r="T559" i="5"/>
  <c r="O559" i="5" s="1"/>
  <c r="AC559" i="5"/>
  <c r="X559" i="5" s="1"/>
  <c r="V451" i="5"/>
  <c r="Q451" i="5" s="1"/>
  <c r="AE451" i="5"/>
  <c r="Z451" i="5" s="1"/>
  <c r="W674" i="5"/>
  <c r="R674" i="5" s="1"/>
  <c r="AF674" i="5"/>
  <c r="AA674" i="5" s="1"/>
  <c r="V354" i="5"/>
  <c r="Q354" i="5" s="1"/>
  <c r="AE354" i="5"/>
  <c r="Z354" i="5" s="1"/>
  <c r="W23" i="5"/>
  <c r="R23" i="5" s="1"/>
  <c r="AF23" i="5"/>
  <c r="AA23" i="5" s="1"/>
  <c r="W481" i="5"/>
  <c r="R481" i="5" s="1"/>
  <c r="AF481" i="5"/>
  <c r="AA481" i="5" s="1"/>
  <c r="U321" i="5"/>
  <c r="P321" i="5" s="1"/>
  <c r="AD321" i="5"/>
  <c r="Y321" i="5" s="1"/>
  <c r="W384" i="5"/>
  <c r="R384" i="5" s="1"/>
  <c r="AF384" i="5"/>
  <c r="AA384" i="5" s="1"/>
  <c r="W701" i="5"/>
  <c r="AF701" i="5"/>
  <c r="AA701" i="5" s="1"/>
  <c r="W217" i="5"/>
  <c r="R217" i="5" s="1"/>
  <c r="AF217" i="5"/>
  <c r="T55" i="5"/>
  <c r="AC55" i="5"/>
  <c r="X55" i="5" s="1"/>
  <c r="V570" i="5"/>
  <c r="Q570" i="5" s="1"/>
  <c r="AE570" i="5"/>
  <c r="Z570" i="5" s="1"/>
  <c r="W410" i="5"/>
  <c r="R410" i="5" s="1"/>
  <c r="AF410" i="5"/>
  <c r="AA410" i="5" s="1"/>
  <c r="U627" i="5"/>
  <c r="P627" i="5" s="1"/>
  <c r="AD627" i="5"/>
  <c r="Y627" i="5" s="1"/>
  <c r="T243" i="5"/>
  <c r="AC243" i="5"/>
  <c r="U596" i="5"/>
  <c r="P596" i="5" s="1"/>
  <c r="AD596" i="5"/>
  <c r="Y596" i="5" s="1"/>
  <c r="U497" i="5"/>
  <c r="P497" i="5" s="1"/>
  <c r="AD497" i="5"/>
  <c r="T515" i="5"/>
  <c r="O515" i="5" s="1"/>
  <c r="AC515" i="5"/>
  <c r="X515" i="5" s="1"/>
  <c r="U267" i="5"/>
  <c r="P267" i="5" s="1"/>
  <c r="AD267" i="5"/>
  <c r="Y267" i="5" s="1"/>
  <c r="V159" i="5"/>
  <c r="Q159" i="5" s="1"/>
  <c r="AE159" i="5"/>
  <c r="Z159" i="5" s="1"/>
  <c r="V306" i="5"/>
  <c r="AE306" i="5"/>
  <c r="U125" i="5"/>
  <c r="P125" i="5" s="1"/>
  <c r="AD125" i="5"/>
  <c r="Y125" i="5" s="1"/>
  <c r="V487" i="5"/>
  <c r="Q487" i="5" s="1"/>
  <c r="AE487" i="5"/>
  <c r="Z487" i="5" s="1"/>
  <c r="W60" i="5"/>
  <c r="R60" i="5" s="1"/>
  <c r="AF60" i="5"/>
  <c r="AA60" i="5" s="1"/>
  <c r="U603" i="5"/>
  <c r="P603" i="5" s="1"/>
  <c r="AD603" i="5"/>
  <c r="Y603" i="5" s="1"/>
  <c r="T176" i="5"/>
  <c r="O176" i="5" s="1"/>
  <c r="AC176" i="5"/>
  <c r="X176" i="5" s="1"/>
  <c r="U110" i="5"/>
  <c r="P110" i="5" s="1"/>
  <c r="AD110" i="5"/>
  <c r="Y110" i="5" s="1"/>
  <c r="U333" i="5"/>
  <c r="P333" i="5" s="1"/>
  <c r="AD333" i="5"/>
  <c r="Y333" i="5" s="1"/>
  <c r="W460" i="5"/>
  <c r="R460" i="5" s="1"/>
  <c r="AF460" i="5"/>
  <c r="AA460" i="5" s="1"/>
  <c r="V106" i="5"/>
  <c r="Q106" i="5" s="1"/>
  <c r="AE106" i="5"/>
  <c r="Z106" i="5" s="1"/>
  <c r="T686" i="5"/>
  <c r="O686" i="5" s="1"/>
  <c r="AC686" i="5"/>
  <c r="X686" i="5" s="1"/>
  <c r="U238" i="5"/>
  <c r="P238" i="5" s="1"/>
  <c r="AD238" i="5"/>
  <c r="Y238" i="5" s="1"/>
  <c r="W145" i="5"/>
  <c r="AF145" i="5"/>
  <c r="AA145" i="5" s="1"/>
  <c r="U461" i="5"/>
  <c r="AD461" i="5"/>
  <c r="Y461" i="5" s="1"/>
  <c r="W427" i="5"/>
  <c r="R427" i="5" s="1"/>
  <c r="AF427" i="5"/>
  <c r="AA427" i="5" s="1"/>
  <c r="T271" i="5"/>
  <c r="O271" i="5" s="1"/>
  <c r="AC271" i="5"/>
  <c r="X271" i="5" s="1"/>
  <c r="V522" i="5"/>
  <c r="Q522" i="5" s="1"/>
  <c r="AE522" i="5"/>
  <c r="Z522" i="5" s="1"/>
  <c r="V234" i="5"/>
  <c r="Q234" i="5" s="1"/>
  <c r="AE234" i="5"/>
  <c r="Z234" i="5" s="1"/>
  <c r="W48" i="5"/>
  <c r="R48" i="5" s="1"/>
  <c r="AF48" i="5"/>
  <c r="AA48" i="5" s="1"/>
  <c r="W447" i="5"/>
  <c r="R447" i="5" s="1"/>
  <c r="AF447" i="5"/>
  <c r="AA447" i="5" s="1"/>
  <c r="W504" i="5"/>
  <c r="R504" i="5" s="1"/>
  <c r="AF504" i="5"/>
  <c r="AA504" i="5" s="1"/>
  <c r="V498" i="5"/>
  <c r="Q498" i="5" s="1"/>
  <c r="AE498" i="5"/>
  <c r="Z498" i="5" s="1"/>
  <c r="T68" i="5"/>
  <c r="O68" i="5" s="1"/>
  <c r="AC68" i="5"/>
  <c r="X68" i="5" s="1"/>
  <c r="T291" i="5"/>
  <c r="O291" i="5" s="1"/>
  <c r="AC291" i="5"/>
  <c r="X291" i="5" s="1"/>
  <c r="V514" i="5"/>
  <c r="AE514" i="5"/>
  <c r="V23" i="5"/>
  <c r="Q23" i="5" s="1"/>
  <c r="AE23" i="5"/>
  <c r="Z23" i="5" s="1"/>
  <c r="T32" i="5"/>
  <c r="O32" i="5" s="1"/>
  <c r="AC32" i="5"/>
  <c r="X32" i="5" s="1"/>
  <c r="U626" i="5"/>
  <c r="P626" i="5" s="1"/>
  <c r="AD626" i="5"/>
  <c r="Y626" i="5" s="1"/>
  <c r="V544" i="5"/>
  <c r="Q544" i="5" s="1"/>
  <c r="AE544" i="5"/>
  <c r="Z544" i="5" s="1"/>
  <c r="V568" i="5"/>
  <c r="Q568" i="5" s="1"/>
  <c r="AE568" i="5"/>
  <c r="Z568" i="5" s="1"/>
  <c r="T601" i="5"/>
  <c r="O601" i="5" s="1"/>
  <c r="AC601" i="5"/>
  <c r="W47" i="5"/>
  <c r="AF47" i="5"/>
  <c r="AA47" i="5" s="1"/>
  <c r="U217" i="5"/>
  <c r="P217" i="5" s="1"/>
  <c r="AD217" i="5"/>
  <c r="T251" i="5"/>
  <c r="AC251" i="5"/>
  <c r="X251" i="5" s="1"/>
  <c r="U698" i="5"/>
  <c r="P698" i="5" s="1"/>
  <c r="AD698" i="5"/>
  <c r="Y698" i="5" s="1"/>
  <c r="V341" i="5"/>
  <c r="Q341" i="5" s="1"/>
  <c r="AE341" i="5"/>
  <c r="Z341" i="5" s="1"/>
  <c r="T198" i="5"/>
  <c r="AC198" i="5"/>
  <c r="W171" i="5"/>
  <c r="R171" i="5" s="1"/>
  <c r="AF171" i="5"/>
  <c r="AA171" i="5" s="1"/>
  <c r="W483" i="5"/>
  <c r="R483" i="5" s="1"/>
  <c r="AF483" i="5"/>
  <c r="AA483" i="5" s="1"/>
  <c r="T260" i="5"/>
  <c r="O260" i="5" s="1"/>
  <c r="AC260" i="5"/>
  <c r="X260" i="5" s="1"/>
  <c r="T398" i="5"/>
  <c r="O398" i="5" s="1"/>
  <c r="AC398" i="5"/>
  <c r="X398" i="5" s="1"/>
  <c r="U78" i="5"/>
  <c r="P78" i="5" s="1"/>
  <c r="AD78" i="5"/>
  <c r="Y78" i="5" s="1"/>
  <c r="T459" i="5"/>
  <c r="O459" i="5" s="1"/>
  <c r="AC459" i="5"/>
  <c r="X459" i="5" s="1"/>
  <c r="W428" i="5"/>
  <c r="R428" i="5" s="1"/>
  <c r="AF428" i="5"/>
  <c r="AA428" i="5" s="1"/>
  <c r="W271" i="5"/>
  <c r="R271" i="5" s="1"/>
  <c r="AF271" i="5"/>
  <c r="AA271" i="5" s="1"/>
  <c r="W362" i="5"/>
  <c r="R362" i="5" s="1"/>
  <c r="AF362" i="5"/>
  <c r="AA362" i="5" s="1"/>
  <c r="T74" i="5"/>
  <c r="O74" i="5" s="1"/>
  <c r="AC74" i="5"/>
  <c r="X74" i="5" s="1"/>
  <c r="V521" i="5"/>
  <c r="Q521" i="5" s="1"/>
  <c r="AE521" i="5"/>
  <c r="Z521" i="5" s="1"/>
  <c r="T361" i="5"/>
  <c r="AC361" i="5"/>
  <c r="X361" i="5" s="1"/>
  <c r="W600" i="5"/>
  <c r="R600" i="5" s="1"/>
  <c r="AF600" i="5"/>
  <c r="AA600" i="5" s="1"/>
  <c r="U50" i="5"/>
  <c r="P50" i="5" s="1"/>
  <c r="AD50" i="5"/>
  <c r="Y50" i="5" s="1"/>
  <c r="T584" i="5"/>
  <c r="O584" i="5" s="1"/>
  <c r="AC584" i="5"/>
  <c r="X584" i="5" s="1"/>
  <c r="V102" i="5"/>
  <c r="Q102" i="5" s="1"/>
  <c r="AE102" i="5"/>
  <c r="Z102" i="5" s="1"/>
  <c r="U434" i="5"/>
  <c r="P434" i="5" s="1"/>
  <c r="AD434" i="5"/>
  <c r="Y434" i="5" s="1"/>
  <c r="U478" i="5"/>
  <c r="P478" i="5" s="1"/>
  <c r="AD478" i="5"/>
  <c r="Y478" i="5" s="1"/>
  <c r="V223" i="5"/>
  <c r="Q223" i="5" s="1"/>
  <c r="AE223" i="5"/>
  <c r="Z223" i="5" s="1"/>
  <c r="W224" i="5"/>
  <c r="R224" i="5" s="1"/>
  <c r="AF224" i="5"/>
  <c r="AA224" i="5" s="1"/>
  <c r="T321" i="5"/>
  <c r="O321" i="5" s="1"/>
  <c r="AC321" i="5"/>
  <c r="X321" i="5" s="1"/>
  <c r="V689" i="5"/>
  <c r="Q689" i="5" s="1"/>
  <c r="AE689" i="5"/>
  <c r="Z689" i="5" s="1"/>
  <c r="W316" i="5"/>
  <c r="R316" i="5" s="1"/>
  <c r="AF316" i="5"/>
  <c r="AA316" i="5" s="1"/>
  <c r="T217" i="5"/>
  <c r="AC217" i="5"/>
  <c r="U26" i="5"/>
  <c r="P26" i="5" s="1"/>
  <c r="AD26" i="5"/>
  <c r="Y26" i="5" s="1"/>
  <c r="W440" i="5"/>
  <c r="R440" i="5" s="1"/>
  <c r="AF440" i="5"/>
  <c r="V181" i="5"/>
  <c r="Q181" i="5" s="1"/>
  <c r="AE181" i="5"/>
  <c r="Z181" i="5" s="1"/>
  <c r="U436" i="5"/>
  <c r="P436" i="5" s="1"/>
  <c r="AD436" i="5"/>
  <c r="Y436" i="5" s="1"/>
  <c r="V276" i="5"/>
  <c r="Q276" i="5" s="1"/>
  <c r="AE276" i="5"/>
  <c r="Z276" i="5" s="1"/>
  <c r="W116" i="5"/>
  <c r="R116" i="5" s="1"/>
  <c r="AF116" i="5"/>
  <c r="AA116" i="5" s="1"/>
  <c r="T435" i="5"/>
  <c r="AC435" i="5"/>
  <c r="X435" i="5" s="1"/>
  <c r="U243" i="5"/>
  <c r="P243" i="5" s="1"/>
  <c r="AD243" i="5"/>
  <c r="Y243" i="5" s="1"/>
  <c r="V83" i="5"/>
  <c r="AE83" i="5"/>
  <c r="Z83" i="5" s="1"/>
  <c r="V724" i="5"/>
  <c r="Q724" i="5" s="1"/>
  <c r="AE724" i="5"/>
  <c r="Z724" i="5" s="1"/>
  <c r="U80" i="5"/>
  <c r="P80" i="5" s="1"/>
  <c r="AD80" i="5"/>
  <c r="Y80" i="5" s="1"/>
  <c r="T728" i="5"/>
  <c r="AC728" i="5"/>
  <c r="X728" i="5" s="1"/>
  <c r="W66" i="5"/>
  <c r="R66" i="5" s="1"/>
  <c r="AF66" i="5"/>
  <c r="AA66" i="5" s="1"/>
  <c r="V468" i="5"/>
  <c r="Q468" i="5" s="1"/>
  <c r="AE468" i="5"/>
  <c r="U121" i="5"/>
  <c r="P121" i="5" s="1"/>
  <c r="AD121" i="5"/>
  <c r="Y121" i="5" s="1"/>
  <c r="T195" i="5"/>
  <c r="O195" i="5" s="1"/>
  <c r="AC195" i="5"/>
  <c r="X195" i="5" s="1"/>
  <c r="W546" i="5"/>
  <c r="R546" i="5" s="1"/>
  <c r="AF546" i="5"/>
  <c r="AA546" i="5" s="1"/>
  <c r="U366" i="5"/>
  <c r="P366" i="5" s="1"/>
  <c r="AD366" i="5"/>
  <c r="Y366" i="5" s="1"/>
  <c r="T78" i="5"/>
  <c r="O78" i="5" s="1"/>
  <c r="AC78" i="5"/>
  <c r="X78" i="5" s="1"/>
  <c r="U363" i="5"/>
  <c r="P363" i="5" s="1"/>
  <c r="AD363" i="5"/>
  <c r="Y363" i="5" s="1"/>
  <c r="V184" i="5"/>
  <c r="Q184" i="5" s="1"/>
  <c r="AE184" i="5"/>
  <c r="Z184" i="5" s="1"/>
  <c r="W649" i="5"/>
  <c r="R649" i="5" s="1"/>
  <c r="AF649" i="5"/>
  <c r="AA649" i="5" s="1"/>
  <c r="T31" i="5"/>
  <c r="O31" i="5" s="1"/>
  <c r="AC31" i="5"/>
  <c r="X31" i="5" s="1"/>
  <c r="T102" i="5"/>
  <c r="AC102" i="5"/>
  <c r="X102" i="5" s="1"/>
  <c r="T583" i="5"/>
  <c r="O583" i="5" s="1"/>
  <c r="AC583" i="5"/>
  <c r="X583" i="5" s="1"/>
  <c r="U454" i="5"/>
  <c r="P454" i="5" s="1"/>
  <c r="AD454" i="5"/>
  <c r="Y454" i="5" s="1"/>
  <c r="T439" i="5"/>
  <c r="O439" i="5" s="1"/>
  <c r="AC439" i="5"/>
  <c r="X439" i="5" s="1"/>
  <c r="T465" i="5"/>
  <c r="O465" i="5" s="1"/>
  <c r="AC465" i="5"/>
  <c r="X465" i="5" s="1"/>
  <c r="W388" i="5"/>
  <c r="R388" i="5" s="1"/>
  <c r="AF388" i="5"/>
  <c r="AA388" i="5" s="1"/>
  <c r="W320" i="5"/>
  <c r="R320" i="5" s="1"/>
  <c r="AF320" i="5"/>
  <c r="AA320" i="5" s="1"/>
  <c r="U580" i="5"/>
  <c r="P580" i="5" s="1"/>
  <c r="AD580" i="5"/>
  <c r="Y580" i="5" s="1"/>
  <c r="T739" i="5"/>
  <c r="O739" i="5" s="1"/>
  <c r="AC739" i="5"/>
  <c r="X739" i="5" s="1"/>
  <c r="U291" i="5"/>
  <c r="P291" i="5" s="1"/>
  <c r="AD291" i="5"/>
  <c r="Y291" i="5" s="1"/>
  <c r="W194" i="5"/>
  <c r="R194" i="5" s="1"/>
  <c r="AF194" i="5"/>
  <c r="AA194" i="5" s="1"/>
  <c r="W32" i="5"/>
  <c r="R32" i="5" s="1"/>
  <c r="AF32" i="5"/>
  <c r="AA32" i="5" s="1"/>
  <c r="V664" i="5"/>
  <c r="AE664" i="5"/>
  <c r="Z664" i="5" s="1"/>
  <c r="T433" i="5"/>
  <c r="O433" i="5" s="1"/>
  <c r="AC433" i="5"/>
  <c r="X433" i="5" s="1"/>
  <c r="W120" i="5"/>
  <c r="R120" i="5" s="1"/>
  <c r="AF120" i="5"/>
  <c r="AA120" i="5" s="1"/>
  <c r="U316" i="5"/>
  <c r="P316" i="5" s="1"/>
  <c r="AD316" i="5"/>
  <c r="Y316" i="5" s="1"/>
  <c r="W313" i="5"/>
  <c r="R313" i="5" s="1"/>
  <c r="AF313" i="5"/>
  <c r="AA313" i="5" s="1"/>
  <c r="T369" i="5"/>
  <c r="O369" i="5" s="1"/>
  <c r="AC369" i="5"/>
  <c r="X369" i="5" s="1"/>
  <c r="W698" i="5"/>
  <c r="R698" i="5" s="1"/>
  <c r="AF698" i="5"/>
  <c r="AA698" i="5" s="1"/>
  <c r="T538" i="5"/>
  <c r="O538" i="5" s="1"/>
  <c r="AC538" i="5"/>
  <c r="X538" i="5" s="1"/>
  <c r="U247" i="5"/>
  <c r="P247" i="5" s="1"/>
  <c r="AD247" i="5"/>
  <c r="Y247" i="5" s="1"/>
  <c r="U309" i="5"/>
  <c r="P309" i="5" s="1"/>
  <c r="AD309" i="5"/>
  <c r="Y309" i="5" s="1"/>
  <c r="U724" i="5"/>
  <c r="P724" i="5" s="1"/>
  <c r="AD724" i="5"/>
  <c r="Y724" i="5" s="1"/>
  <c r="V497" i="5"/>
  <c r="Q497" i="5" s="1"/>
  <c r="AE497" i="5"/>
  <c r="Z497" i="5" s="1"/>
  <c r="W197" i="5"/>
  <c r="AF197" i="5"/>
  <c r="AA197" i="5" s="1"/>
  <c r="U99" i="5"/>
  <c r="P99" i="5" s="1"/>
  <c r="AD99" i="5"/>
  <c r="Y99" i="5" s="1"/>
  <c r="V420" i="5"/>
  <c r="AE420" i="5"/>
  <c r="Z420" i="5" s="1"/>
  <c r="W192" i="5"/>
  <c r="R192" i="5" s="1"/>
  <c r="AF192" i="5"/>
  <c r="AA192" i="5" s="1"/>
  <c r="U579" i="5"/>
  <c r="P579" i="5" s="1"/>
  <c r="AD579" i="5"/>
  <c r="Y579" i="5" s="1"/>
  <c r="V259" i="5"/>
  <c r="Q259" i="5" s="1"/>
  <c r="AE259" i="5"/>
  <c r="Z259" i="5" s="1"/>
  <c r="T482" i="5"/>
  <c r="O482" i="5" s="1"/>
  <c r="AC482" i="5"/>
  <c r="X482" i="5" s="1"/>
  <c r="U194" i="5"/>
  <c r="P194" i="5" s="1"/>
  <c r="AD194" i="5"/>
  <c r="Y194" i="5" s="1"/>
  <c r="U190" i="5"/>
  <c r="P190" i="5" s="1"/>
  <c r="AD190" i="5"/>
  <c r="Y190" i="5" s="1"/>
  <c r="T495" i="5"/>
  <c r="O495" i="5" s="1"/>
  <c r="AC495" i="5"/>
  <c r="X495" i="5" s="1"/>
  <c r="V449" i="5"/>
  <c r="Q449" i="5" s="1"/>
  <c r="AE449" i="5"/>
  <c r="Z449" i="5" s="1"/>
  <c r="W289" i="5"/>
  <c r="R289" i="5" s="1"/>
  <c r="AF289" i="5"/>
  <c r="AA289" i="5" s="1"/>
  <c r="W672" i="5"/>
  <c r="AF672" i="5"/>
  <c r="V221" i="5"/>
  <c r="AE221" i="5"/>
  <c r="Z221" i="5" s="1"/>
  <c r="T444" i="5"/>
  <c r="O444" i="5" s="1"/>
  <c r="AC444" i="5"/>
  <c r="X444" i="5" s="1"/>
  <c r="U699" i="5"/>
  <c r="P699" i="5" s="1"/>
  <c r="AD699" i="5"/>
  <c r="Y699" i="5" s="1"/>
  <c r="T247" i="5"/>
  <c r="O247" i="5" s="1"/>
  <c r="AC247" i="5"/>
  <c r="X247" i="5" s="1"/>
  <c r="W404" i="5"/>
  <c r="R404" i="5" s="1"/>
  <c r="AF404" i="5"/>
  <c r="AA404" i="5" s="1"/>
  <c r="U116" i="5"/>
  <c r="P116" i="5" s="1"/>
  <c r="AD116" i="5"/>
  <c r="T83" i="5"/>
  <c r="O83" i="5" s="1"/>
  <c r="AC83" i="5"/>
  <c r="X83" i="5" s="1"/>
  <c r="V324" i="5"/>
  <c r="Q324" i="5" s="1"/>
  <c r="AE324" i="5"/>
  <c r="Z324" i="5" s="1"/>
  <c r="V428" i="5"/>
  <c r="Q428" i="5" s="1"/>
  <c r="AE428" i="5"/>
  <c r="Z428" i="5" s="1"/>
  <c r="W108" i="5"/>
  <c r="R108" i="5" s="1"/>
  <c r="AF108" i="5"/>
  <c r="AA108" i="5" s="1"/>
  <c r="V429" i="5"/>
  <c r="Q429" i="5" s="1"/>
  <c r="AE429" i="5"/>
  <c r="Z429" i="5" s="1"/>
  <c r="U286" i="5"/>
  <c r="AD286" i="5"/>
  <c r="T169" i="5"/>
  <c r="AC169" i="5"/>
  <c r="X169" i="5" s="1"/>
  <c r="U370" i="5"/>
  <c r="P370" i="5" s="1"/>
  <c r="AD370" i="5"/>
  <c r="W482" i="5"/>
  <c r="AF482" i="5"/>
  <c r="T381" i="5"/>
  <c r="O381" i="5" s="1"/>
  <c r="AC381" i="5"/>
  <c r="X381" i="5" s="1"/>
  <c r="T631" i="5"/>
  <c r="O631" i="5" s="1"/>
  <c r="AC631" i="5"/>
  <c r="X631" i="5" s="1"/>
  <c r="V156" i="5"/>
  <c r="Q156" i="5" s="1"/>
  <c r="AE156" i="5"/>
  <c r="W219" i="5"/>
  <c r="R219" i="5" s="1"/>
  <c r="AF219" i="5"/>
  <c r="AA219" i="5" s="1"/>
  <c r="V592" i="5"/>
  <c r="Q592" i="5" s="1"/>
  <c r="AE592" i="5"/>
  <c r="Z592" i="5" s="1"/>
  <c r="W378" i="5"/>
  <c r="R378" i="5" s="1"/>
  <c r="AF378" i="5"/>
  <c r="AA378" i="5" s="1"/>
  <c r="U334" i="5"/>
  <c r="P334" i="5" s="1"/>
  <c r="AD334" i="5"/>
  <c r="Y334" i="5" s="1"/>
  <c r="T420" i="5"/>
  <c r="O420" i="5" s="1"/>
  <c r="AC420" i="5"/>
  <c r="X420" i="5" s="1"/>
  <c r="V311" i="5"/>
  <c r="AE311" i="5"/>
  <c r="Z311" i="5" s="1"/>
  <c r="W642" i="5"/>
  <c r="R642" i="5" s="1"/>
  <c r="AF642" i="5"/>
  <c r="AA642" i="5" s="1"/>
  <c r="T512" i="5"/>
  <c r="AC512" i="5"/>
  <c r="V208" i="5"/>
  <c r="AE208" i="5"/>
  <c r="Z208" i="5" s="1"/>
  <c r="W509" i="5"/>
  <c r="R509" i="5" s="1"/>
  <c r="AF509" i="5"/>
  <c r="V401" i="5"/>
  <c r="Q401" i="5" s="1"/>
  <c r="AE401" i="5"/>
  <c r="Z401" i="5" s="1"/>
  <c r="U124" i="5"/>
  <c r="P124" i="5" s="1"/>
  <c r="AD124" i="5"/>
  <c r="U278" i="5"/>
  <c r="AD278" i="5"/>
  <c r="Y278" i="5" s="1"/>
  <c r="V59" i="5"/>
  <c r="Q59" i="5" s="1"/>
  <c r="AE59" i="5"/>
  <c r="T729" i="5"/>
  <c r="O729" i="5" s="1"/>
  <c r="AC729" i="5"/>
  <c r="X729" i="5" s="1"/>
  <c r="T506" i="5"/>
  <c r="O506" i="5" s="1"/>
  <c r="AC506" i="5"/>
  <c r="X506" i="5" s="1"/>
  <c r="V378" i="5"/>
  <c r="Q378" i="5" s="1"/>
  <c r="AE378" i="5"/>
  <c r="Z378" i="5" s="1"/>
  <c r="V690" i="5"/>
  <c r="AE690" i="5"/>
  <c r="Z690" i="5" s="1"/>
  <c r="T51" i="5"/>
  <c r="AC51" i="5"/>
  <c r="X51" i="5" s="1"/>
  <c r="V34" i="5"/>
  <c r="Q34" i="5" s="1"/>
  <c r="AE34" i="5"/>
  <c r="Z34" i="5" s="1"/>
  <c r="U75" i="5"/>
  <c r="P75" i="5" s="1"/>
  <c r="AD75" i="5"/>
  <c r="Y75" i="5" s="1"/>
  <c r="V114" i="5"/>
  <c r="Q114" i="5" s="1"/>
  <c r="AE114" i="5"/>
  <c r="Z114" i="5" s="1"/>
  <c r="V424" i="5"/>
  <c r="Q424" i="5" s="1"/>
  <c r="AE424" i="5"/>
  <c r="Z424" i="5" s="1"/>
  <c r="T368" i="5"/>
  <c r="O368" i="5" s="1"/>
  <c r="AC368" i="5"/>
  <c r="W650" i="5"/>
  <c r="R650" i="5" s="1"/>
  <c r="AF650" i="5"/>
  <c r="AA650" i="5" s="1"/>
  <c r="V87" i="5"/>
  <c r="Q87" i="5" s="1"/>
  <c r="AE87" i="5"/>
  <c r="Z87" i="5" s="1"/>
  <c r="U401" i="5"/>
  <c r="P401" i="5" s="1"/>
  <c r="AD401" i="5"/>
  <c r="Y401" i="5" s="1"/>
  <c r="W604" i="5"/>
  <c r="R604" i="5" s="1"/>
  <c r="AF604" i="5"/>
  <c r="AA604" i="5" s="1"/>
  <c r="T406" i="5"/>
  <c r="O406" i="5" s="1"/>
  <c r="AC406" i="5"/>
  <c r="X406" i="5" s="1"/>
  <c r="T564" i="5"/>
  <c r="AC564" i="5"/>
  <c r="X564" i="5" s="1"/>
  <c r="W458" i="5"/>
  <c r="AF458" i="5"/>
  <c r="AA458" i="5" s="1"/>
  <c r="T204" i="5"/>
  <c r="O204" i="5" s="1"/>
  <c r="AC204" i="5"/>
  <c r="X204" i="5" s="1"/>
  <c r="W144" i="5"/>
  <c r="AF144" i="5"/>
  <c r="AA144" i="5" s="1"/>
  <c r="W522" i="5"/>
  <c r="R522" i="5" s="1"/>
  <c r="AF522" i="5"/>
  <c r="AA522" i="5" s="1"/>
  <c r="U201" i="5"/>
  <c r="P201" i="5" s="1"/>
  <c r="AD201" i="5"/>
  <c r="Y201" i="5" s="1"/>
  <c r="U439" i="5"/>
  <c r="P439" i="5" s="1"/>
  <c r="AD439" i="5"/>
  <c r="Y439" i="5" s="1"/>
  <c r="U46" i="5"/>
  <c r="P46" i="5" s="1"/>
  <c r="AD46" i="5"/>
  <c r="Y46" i="5" s="1"/>
  <c r="W301" i="5"/>
  <c r="R301" i="5" s="1"/>
  <c r="AF301" i="5"/>
  <c r="AA301" i="5" s="1"/>
  <c r="U650" i="5"/>
  <c r="P650" i="5" s="1"/>
  <c r="AD650" i="5"/>
  <c r="Y650" i="5" s="1"/>
  <c r="V264" i="5"/>
  <c r="Q264" i="5" s="1"/>
  <c r="AE264" i="5"/>
  <c r="Z264" i="5" s="1"/>
  <c r="T46" i="5"/>
  <c r="O46" i="5" s="1"/>
  <c r="AC46" i="5"/>
  <c r="X46" i="5" s="1"/>
  <c r="W141" i="5"/>
  <c r="AF141" i="5"/>
  <c r="AA141" i="5" s="1"/>
  <c r="V712" i="5"/>
  <c r="AE712" i="5"/>
  <c r="Z712" i="5" s="1"/>
  <c r="T561" i="5"/>
  <c r="O561" i="5" s="1"/>
  <c r="AC561" i="5"/>
  <c r="X561" i="5" s="1"/>
  <c r="V366" i="5"/>
  <c r="Q366" i="5" s="1"/>
  <c r="AE366" i="5"/>
  <c r="Z366" i="5" s="1"/>
  <c r="V46" i="5"/>
  <c r="Q46" i="5" s="1"/>
  <c r="AE46" i="5"/>
  <c r="Z46" i="5" s="1"/>
  <c r="U490" i="5"/>
  <c r="P490" i="5" s="1"/>
  <c r="AD490" i="5"/>
  <c r="Y490" i="5" s="1"/>
  <c r="V330" i="5"/>
  <c r="Q330" i="5" s="1"/>
  <c r="AE330" i="5"/>
  <c r="V207" i="5"/>
  <c r="Q207" i="5" s="1"/>
  <c r="AE207" i="5"/>
  <c r="Z207" i="5" s="1"/>
  <c r="V31" i="5"/>
  <c r="Q31" i="5" s="1"/>
  <c r="AE31" i="5"/>
  <c r="Z31" i="5" s="1"/>
  <c r="V741" i="5"/>
  <c r="Q741" i="5" s="1"/>
  <c r="AE741" i="5"/>
  <c r="Z741" i="5" s="1"/>
  <c r="V88" i="5"/>
  <c r="Q88" i="5" s="1"/>
  <c r="AE88" i="5"/>
  <c r="Z88" i="5" s="1"/>
  <c r="V708" i="5"/>
  <c r="Q708" i="5" s="1"/>
  <c r="AE708" i="5"/>
  <c r="Z708" i="5" s="1"/>
  <c r="U482" i="5"/>
  <c r="AD482" i="5"/>
  <c r="Y482" i="5" s="1"/>
  <c r="W639" i="5"/>
  <c r="R639" i="5" s="1"/>
  <c r="AF639" i="5"/>
  <c r="AA639" i="5" s="1"/>
  <c r="V189" i="5"/>
  <c r="Q189" i="5" s="1"/>
  <c r="AE189" i="5"/>
  <c r="Z189" i="5" s="1"/>
  <c r="T61" i="5"/>
  <c r="O61" i="5" s="1"/>
  <c r="AC61" i="5"/>
  <c r="X61" i="5" s="1"/>
  <c r="T206" i="5"/>
  <c r="O206" i="5" s="1"/>
  <c r="AC206" i="5"/>
  <c r="X206" i="5" s="1"/>
  <c r="U44" i="5"/>
  <c r="P44" i="5" s="1"/>
  <c r="AD44" i="5"/>
  <c r="Y44" i="5" s="1"/>
  <c r="W43" i="5"/>
  <c r="R43" i="5" s="1"/>
  <c r="AF43" i="5"/>
  <c r="AA43" i="5" s="1"/>
  <c r="W350" i="5"/>
  <c r="R350" i="5" s="1"/>
  <c r="AF350" i="5"/>
  <c r="AA350" i="5" s="1"/>
  <c r="U269" i="5"/>
  <c r="P269" i="5" s="1"/>
  <c r="AD269" i="5"/>
  <c r="Y269" i="5" s="1"/>
  <c r="W75" i="5"/>
  <c r="R75" i="5" s="1"/>
  <c r="AF75" i="5"/>
  <c r="AA75" i="5" s="1"/>
  <c r="V617" i="5"/>
  <c r="Q617" i="5" s="1"/>
  <c r="AE617" i="5"/>
  <c r="Z617" i="5" s="1"/>
  <c r="W457" i="5"/>
  <c r="R457" i="5" s="1"/>
  <c r="AF457" i="5"/>
  <c r="AA457" i="5" s="1"/>
  <c r="U292" i="5"/>
  <c r="AD292" i="5"/>
  <c r="Y292" i="5" s="1"/>
  <c r="V548" i="5"/>
  <c r="AE548" i="5"/>
  <c r="Z548" i="5" s="1"/>
  <c r="V356" i="5"/>
  <c r="Q356" i="5" s="1"/>
  <c r="AE356" i="5"/>
  <c r="Z356" i="5" s="1"/>
  <c r="W259" i="5"/>
  <c r="R259" i="5" s="1"/>
  <c r="AF259" i="5"/>
  <c r="AA259" i="5" s="1"/>
  <c r="W577" i="5"/>
  <c r="R577" i="5" s="1"/>
  <c r="AF577" i="5"/>
  <c r="AA577" i="5" s="1"/>
  <c r="T129" i="5"/>
  <c r="O129" i="5" s="1"/>
  <c r="AC129" i="5"/>
  <c r="X129" i="5" s="1"/>
  <c r="T560" i="5"/>
  <c r="O560" i="5" s="1"/>
  <c r="AC560" i="5"/>
  <c r="X560" i="5" s="1"/>
  <c r="U655" i="5"/>
  <c r="P655" i="5" s="1"/>
  <c r="AD655" i="5"/>
  <c r="Y655" i="5" s="1"/>
  <c r="W505" i="5"/>
  <c r="R505" i="5" s="1"/>
  <c r="AF505" i="5"/>
  <c r="W631" i="5"/>
  <c r="R631" i="5" s="1"/>
  <c r="AF631" i="5"/>
  <c r="AA631" i="5" s="1"/>
  <c r="V444" i="5"/>
  <c r="Q444" i="5" s="1"/>
  <c r="AE444" i="5"/>
  <c r="Z444" i="5" s="1"/>
  <c r="W284" i="5"/>
  <c r="R284" i="5" s="1"/>
  <c r="AF284" i="5"/>
  <c r="AA284" i="5" s="1"/>
  <c r="U244" i="5"/>
  <c r="AD244" i="5"/>
  <c r="U51" i="5"/>
  <c r="AD51" i="5"/>
  <c r="Y51" i="5" s="1"/>
  <c r="U459" i="5"/>
  <c r="P459" i="5" s="1"/>
  <c r="AD459" i="5"/>
  <c r="Y459" i="5" s="1"/>
  <c r="T656" i="5"/>
  <c r="O656" i="5" s="1"/>
  <c r="AC656" i="5"/>
  <c r="X656" i="5" s="1"/>
  <c r="W114" i="5"/>
  <c r="R114" i="5" s="1"/>
  <c r="AF114" i="5"/>
  <c r="AA114" i="5" s="1"/>
  <c r="V390" i="5"/>
  <c r="Q390" i="5" s="1"/>
  <c r="AE390" i="5"/>
  <c r="Z390" i="5" s="1"/>
  <c r="U651" i="5"/>
  <c r="P651" i="5" s="1"/>
  <c r="AD651" i="5"/>
  <c r="Y651" i="5" s="1"/>
  <c r="U41" i="5"/>
  <c r="P41" i="5" s="1"/>
  <c r="AD41" i="5"/>
  <c r="Y41" i="5" s="1"/>
  <c r="T104" i="5"/>
  <c r="O104" i="5" s="1"/>
  <c r="AC104" i="5"/>
  <c r="V100" i="5"/>
  <c r="Q100" i="5" s="1"/>
  <c r="AE100" i="5"/>
  <c r="Z100" i="5" s="1"/>
  <c r="V210" i="5"/>
  <c r="Q210" i="5" s="1"/>
  <c r="AE210" i="5"/>
  <c r="Z210" i="5" s="1"/>
  <c r="W150" i="5"/>
  <c r="AF150" i="5"/>
  <c r="AA150" i="5" s="1"/>
  <c r="W169" i="5"/>
  <c r="AF169" i="5"/>
  <c r="AA169" i="5" s="1"/>
  <c r="U556" i="5"/>
  <c r="P556" i="5" s="1"/>
  <c r="AD556" i="5"/>
  <c r="Y556" i="5" s="1"/>
  <c r="U364" i="5"/>
  <c r="P364" i="5" s="1"/>
  <c r="AD364" i="5"/>
  <c r="Y364" i="5" s="1"/>
  <c r="V503" i="5"/>
  <c r="Q503" i="5" s="1"/>
  <c r="AE503" i="5"/>
  <c r="Z503" i="5" s="1"/>
  <c r="V671" i="5"/>
  <c r="Q671" i="5" s="1"/>
  <c r="AE671" i="5"/>
  <c r="Z671" i="5" s="1"/>
  <c r="T174" i="5"/>
  <c r="O174" i="5" s="1"/>
  <c r="AC174" i="5"/>
  <c r="X174" i="5" s="1"/>
  <c r="V43" i="5"/>
  <c r="Q43" i="5" s="1"/>
  <c r="AE43" i="5"/>
  <c r="V281" i="5"/>
  <c r="Q281" i="5" s="1"/>
  <c r="AE281" i="5"/>
  <c r="Z281" i="5" s="1"/>
  <c r="W684" i="5"/>
  <c r="R684" i="5" s="1"/>
  <c r="AF684" i="5"/>
  <c r="AA684" i="5" s="1"/>
  <c r="W241" i="5"/>
  <c r="R241" i="5" s="1"/>
  <c r="AF241" i="5"/>
  <c r="AA241" i="5" s="1"/>
  <c r="U169" i="5"/>
  <c r="P169" i="5" s="1"/>
  <c r="AD169" i="5"/>
  <c r="Y169" i="5" s="1"/>
  <c r="U712" i="5"/>
  <c r="P712" i="5" s="1"/>
  <c r="AD712" i="5"/>
  <c r="Y712" i="5" s="1"/>
  <c r="T392" i="5"/>
  <c r="AC392" i="5"/>
  <c r="V383" i="5"/>
  <c r="Q383" i="5" s="1"/>
  <c r="AE383" i="5"/>
  <c r="Z383" i="5" s="1"/>
  <c r="T391" i="5"/>
  <c r="O391" i="5" s="1"/>
  <c r="AC391" i="5"/>
  <c r="X391" i="5" s="1"/>
  <c r="U382" i="5"/>
  <c r="AD382" i="5"/>
  <c r="Y382" i="5" s="1"/>
  <c r="T261" i="5"/>
  <c r="O261" i="5" s="1"/>
  <c r="AC261" i="5"/>
  <c r="X261" i="5" s="1"/>
  <c r="U356" i="5"/>
  <c r="P356" i="5" s="1"/>
  <c r="AD356" i="5"/>
  <c r="Y356" i="5" s="1"/>
  <c r="V370" i="5"/>
  <c r="Q370" i="5" s="1"/>
  <c r="AE370" i="5"/>
  <c r="Z370" i="5" s="1"/>
  <c r="W25" i="5"/>
  <c r="R25" i="5" s="1"/>
  <c r="AF25" i="5"/>
  <c r="AA25" i="5" s="1"/>
  <c r="W402" i="5"/>
  <c r="R402" i="5" s="1"/>
  <c r="AF402" i="5"/>
  <c r="AA402" i="5" s="1"/>
  <c r="W412" i="5"/>
  <c r="R412" i="5" s="1"/>
  <c r="AF412" i="5"/>
  <c r="AA412" i="5" s="1"/>
  <c r="V569" i="5"/>
  <c r="Q569" i="5" s="1"/>
  <c r="AE569" i="5"/>
  <c r="Z569" i="5" s="1"/>
  <c r="V111" i="5"/>
  <c r="Q111" i="5" s="1"/>
  <c r="AE111" i="5"/>
  <c r="Z111" i="5" s="1"/>
  <c r="U507" i="5"/>
  <c r="AD507" i="5"/>
  <c r="Y507" i="5" s="1"/>
  <c r="V154" i="5"/>
  <c r="AE154" i="5"/>
  <c r="Z154" i="5" s="1"/>
  <c r="V89" i="5"/>
  <c r="Q89" i="5" s="1"/>
  <c r="AE89" i="5"/>
  <c r="Z89" i="5" s="1"/>
  <c r="W506" i="5"/>
  <c r="R506" i="5" s="1"/>
  <c r="AF506" i="5"/>
  <c r="AA506" i="5" s="1"/>
  <c r="T314" i="5"/>
  <c r="O314" i="5" s="1"/>
  <c r="AC314" i="5"/>
  <c r="X314" i="5" s="1"/>
  <c r="U725" i="5"/>
  <c r="P725" i="5" s="1"/>
  <c r="AD725" i="5"/>
  <c r="Y725" i="5" s="1"/>
  <c r="T563" i="5"/>
  <c r="O563" i="5" s="1"/>
  <c r="AC563" i="5"/>
  <c r="X563" i="5" s="1"/>
  <c r="V41" i="5"/>
  <c r="Q41" i="5" s="1"/>
  <c r="AE41" i="5"/>
  <c r="Z41" i="5" s="1"/>
  <c r="W102" i="5"/>
  <c r="R102" i="5" s="1"/>
  <c r="AF102" i="5"/>
  <c r="AA102" i="5" s="1"/>
  <c r="T103" i="5"/>
  <c r="O103" i="5" s="1"/>
  <c r="AC103" i="5"/>
  <c r="X103" i="5" s="1"/>
  <c r="W206" i="5"/>
  <c r="R206" i="5" s="1"/>
  <c r="AF206" i="5"/>
  <c r="AA206" i="5" s="1"/>
  <c r="V202" i="5"/>
  <c r="Q202" i="5" s="1"/>
  <c r="AE202" i="5"/>
  <c r="Z202" i="5" s="1"/>
  <c r="W330" i="5"/>
  <c r="AF330" i="5"/>
  <c r="AA330" i="5" s="1"/>
  <c r="V329" i="5"/>
  <c r="AE329" i="5"/>
  <c r="Z329" i="5" s="1"/>
  <c r="T710" i="5"/>
  <c r="O710" i="5" s="1"/>
  <c r="AC710" i="5"/>
  <c r="X710" i="5" s="1"/>
  <c r="T535" i="5"/>
  <c r="O535" i="5" s="1"/>
  <c r="AC535" i="5"/>
  <c r="X535" i="5" s="1"/>
  <c r="U654" i="5"/>
  <c r="P654" i="5" s="1"/>
  <c r="AD654" i="5"/>
  <c r="Y654" i="5" s="1"/>
  <c r="T717" i="5"/>
  <c r="O717" i="5" s="1"/>
  <c r="AC717" i="5"/>
  <c r="X717" i="5" s="1"/>
  <c r="U524" i="5"/>
  <c r="P524" i="5" s="1"/>
  <c r="AD524" i="5"/>
  <c r="Y524" i="5" s="1"/>
  <c r="T332" i="5"/>
  <c r="O332" i="5" s="1"/>
  <c r="AC332" i="5"/>
  <c r="X332" i="5" s="1"/>
  <c r="T126" i="5"/>
  <c r="O126" i="5" s="1"/>
  <c r="AC126" i="5"/>
  <c r="X126" i="5" s="1"/>
  <c r="T727" i="5"/>
  <c r="O727" i="5" s="1"/>
  <c r="AC727" i="5"/>
  <c r="X727" i="5" s="1"/>
  <c r="U170" i="5"/>
  <c r="P170" i="5" s="1"/>
  <c r="AD170" i="5"/>
  <c r="Y170" i="5" s="1"/>
  <c r="T297" i="5"/>
  <c r="O297" i="5" s="1"/>
  <c r="AC297" i="5"/>
  <c r="X297" i="5" s="1"/>
  <c r="U49" i="5"/>
  <c r="AD49" i="5"/>
  <c r="Y49" i="5" s="1"/>
  <c r="V679" i="5"/>
  <c r="AE679" i="5"/>
  <c r="Z679" i="5" s="1"/>
  <c r="V391" i="5"/>
  <c r="Q391" i="5" s="1"/>
  <c r="AE391" i="5"/>
  <c r="Z391" i="5" s="1"/>
  <c r="W71" i="5"/>
  <c r="R71" i="5" s="1"/>
  <c r="AF71" i="5"/>
  <c r="AA71" i="5" s="1"/>
  <c r="U87" i="5"/>
  <c r="P87" i="5" s="1"/>
  <c r="AD87" i="5"/>
  <c r="Y87" i="5" s="1"/>
  <c r="V549" i="5"/>
  <c r="Q549" i="5" s="1"/>
  <c r="AE549" i="5"/>
  <c r="Z549" i="5" s="1"/>
  <c r="W228" i="5"/>
  <c r="R228" i="5" s="1"/>
  <c r="AF228" i="5"/>
  <c r="W529" i="5"/>
  <c r="R529" i="5" s="1"/>
  <c r="AF529" i="5"/>
  <c r="AA529" i="5" s="1"/>
  <c r="U387" i="5"/>
  <c r="P387" i="5" s="1"/>
  <c r="AD387" i="5"/>
  <c r="Y387" i="5" s="1"/>
  <c r="W290" i="5"/>
  <c r="R290" i="5" s="1"/>
  <c r="AF290" i="5"/>
  <c r="AA290" i="5" s="1"/>
  <c r="V402" i="5"/>
  <c r="Q402" i="5" s="1"/>
  <c r="AE402" i="5"/>
  <c r="Z402" i="5" s="1"/>
  <c r="T577" i="5"/>
  <c r="O577" i="5" s="1"/>
  <c r="AC577" i="5"/>
  <c r="X577" i="5" s="1"/>
  <c r="W480" i="5"/>
  <c r="AF480" i="5"/>
  <c r="AA480" i="5" s="1"/>
  <c r="W288" i="5"/>
  <c r="R288" i="5" s="1"/>
  <c r="AF288" i="5"/>
  <c r="AA288" i="5" s="1"/>
  <c r="T655" i="5"/>
  <c r="O655" i="5" s="1"/>
  <c r="AC655" i="5"/>
  <c r="X655" i="5" s="1"/>
  <c r="U412" i="5"/>
  <c r="P412" i="5" s="1"/>
  <c r="AD412" i="5"/>
  <c r="Y412" i="5" s="1"/>
  <c r="U122" i="5"/>
  <c r="P122" i="5" s="1"/>
  <c r="AD122" i="5"/>
  <c r="Y122" i="5" s="1"/>
  <c r="W314" i="5"/>
  <c r="R314" i="5" s="1"/>
  <c r="AF314" i="5"/>
  <c r="AA314" i="5" s="1"/>
  <c r="W277" i="5"/>
  <c r="R277" i="5" s="1"/>
  <c r="AF277" i="5"/>
  <c r="T117" i="5"/>
  <c r="O117" i="5" s="1"/>
  <c r="AC117" i="5"/>
  <c r="X117" i="5" s="1"/>
  <c r="V372" i="5"/>
  <c r="Q372" i="5" s="1"/>
  <c r="AE372" i="5"/>
  <c r="Z372" i="5" s="1"/>
  <c r="T84" i="5"/>
  <c r="O84" i="5" s="1"/>
  <c r="AC84" i="5"/>
  <c r="X84" i="5" s="1"/>
  <c r="T272" i="5"/>
  <c r="O272" i="5" s="1"/>
  <c r="AC272" i="5"/>
  <c r="X272" i="5" s="1"/>
  <c r="U692" i="5"/>
  <c r="P692" i="5" s="1"/>
  <c r="AD692" i="5"/>
  <c r="Y692" i="5" s="1"/>
  <c r="T723" i="5"/>
  <c r="AC723" i="5"/>
  <c r="T457" i="5"/>
  <c r="O457" i="5" s="1"/>
  <c r="AC457" i="5"/>
  <c r="X457" i="5" s="1"/>
  <c r="U532" i="5"/>
  <c r="P532" i="5" s="1"/>
  <c r="AD532" i="5"/>
  <c r="Y532" i="5" s="1"/>
  <c r="T274" i="5"/>
  <c r="O274" i="5" s="1"/>
  <c r="AC274" i="5"/>
  <c r="X274" i="5" s="1"/>
  <c r="U458" i="5"/>
  <c r="P458" i="5" s="1"/>
  <c r="AD458" i="5"/>
  <c r="Y458" i="5" s="1"/>
  <c r="U510" i="5"/>
  <c r="P510" i="5" s="1"/>
  <c r="AD510" i="5"/>
  <c r="Y510" i="5" s="1"/>
  <c r="W119" i="5"/>
  <c r="R119" i="5" s="1"/>
  <c r="AF119" i="5"/>
  <c r="AA119" i="5" s="1"/>
  <c r="W624" i="5"/>
  <c r="R624" i="5" s="1"/>
  <c r="AF624" i="5"/>
  <c r="AA624" i="5" s="1"/>
  <c r="W552" i="5"/>
  <c r="R552" i="5" s="1"/>
  <c r="AF552" i="5"/>
  <c r="AA552" i="5" s="1"/>
  <c r="V232" i="5"/>
  <c r="AE232" i="5"/>
  <c r="V72" i="5"/>
  <c r="Q72" i="5" s="1"/>
  <c r="AE72" i="5"/>
  <c r="Z72" i="5" s="1"/>
  <c r="T49" i="5"/>
  <c r="O49" i="5" s="1"/>
  <c r="AC49" i="5"/>
  <c r="X49" i="5" s="1"/>
  <c r="T87" i="5"/>
  <c r="AC87" i="5"/>
  <c r="X87" i="5" s="1"/>
  <c r="W389" i="5"/>
  <c r="R389" i="5" s="1"/>
  <c r="AF389" i="5"/>
  <c r="AA389" i="5" s="1"/>
  <c r="W98" i="5"/>
  <c r="R98" i="5" s="1"/>
  <c r="AF98" i="5"/>
  <c r="AA98" i="5" s="1"/>
  <c r="T356" i="5"/>
  <c r="O356" i="5" s="1"/>
  <c r="AC356" i="5"/>
  <c r="X356" i="5" s="1"/>
  <c r="T387" i="5"/>
  <c r="O387" i="5" s="1"/>
  <c r="AC387" i="5"/>
  <c r="X387" i="5" s="1"/>
  <c r="V450" i="5"/>
  <c r="Q450" i="5" s="1"/>
  <c r="AE450" i="5"/>
  <c r="Z450" i="5" s="1"/>
  <c r="T130" i="5"/>
  <c r="O130" i="5" s="1"/>
  <c r="AC130" i="5"/>
  <c r="X130" i="5" s="1"/>
  <c r="T705" i="5"/>
  <c r="O705" i="5" s="1"/>
  <c r="AC705" i="5"/>
  <c r="X705" i="5" s="1"/>
  <c r="T417" i="5"/>
  <c r="O417" i="5" s="1"/>
  <c r="AC417" i="5"/>
  <c r="X417" i="5" s="1"/>
  <c r="V257" i="5"/>
  <c r="Q257" i="5" s="1"/>
  <c r="AE257" i="5"/>
  <c r="Z257" i="5" s="1"/>
  <c r="U97" i="5"/>
  <c r="P97" i="5" s="1"/>
  <c r="AD97" i="5"/>
  <c r="Y97" i="5" s="1"/>
  <c r="W351" i="5"/>
  <c r="R351" i="5" s="1"/>
  <c r="AF351" i="5"/>
  <c r="AA351" i="5" s="1"/>
  <c r="V480" i="5"/>
  <c r="AE480" i="5"/>
  <c r="W30" i="5"/>
  <c r="AF30" i="5"/>
  <c r="AA30" i="5" s="1"/>
  <c r="V317" i="5"/>
  <c r="Q317" i="5" s="1"/>
  <c r="AE317" i="5"/>
  <c r="Z317" i="5" s="1"/>
  <c r="U572" i="5"/>
  <c r="P572" i="5" s="1"/>
  <c r="AD572" i="5"/>
  <c r="Y572" i="5" s="1"/>
  <c r="U27" i="5"/>
  <c r="P27" i="5" s="1"/>
  <c r="AD27" i="5"/>
  <c r="Y27" i="5" s="1"/>
  <c r="W372" i="5"/>
  <c r="R372" i="5" s="1"/>
  <c r="AF372" i="5"/>
  <c r="AA372" i="5" s="1"/>
  <c r="U462" i="5"/>
  <c r="P462" i="5" s="1"/>
  <c r="AD462" i="5"/>
  <c r="Y462" i="5" s="1"/>
  <c r="U112" i="5"/>
  <c r="P112" i="5" s="1"/>
  <c r="AD112" i="5"/>
  <c r="Y112" i="5" s="1"/>
  <c r="V237" i="5"/>
  <c r="Q237" i="5" s="1"/>
  <c r="AE237" i="5"/>
  <c r="Z237" i="5" s="1"/>
  <c r="V77" i="5"/>
  <c r="AE77" i="5"/>
  <c r="Z77" i="5" s="1"/>
  <c r="V299" i="5"/>
  <c r="Q299" i="5" s="1"/>
  <c r="AE299" i="5"/>
  <c r="Z299" i="5" s="1"/>
  <c r="V138" i="5"/>
  <c r="Q138" i="5" s="1"/>
  <c r="AE138" i="5"/>
  <c r="Z138" i="5" s="1"/>
  <c r="V520" i="5"/>
  <c r="AE520" i="5"/>
  <c r="Z520" i="5" s="1"/>
  <c r="W49" i="5"/>
  <c r="AF49" i="5"/>
  <c r="AA49" i="5" s="1"/>
  <c r="T679" i="5"/>
  <c r="O679" i="5" s="1"/>
  <c r="AC679" i="5"/>
  <c r="X679" i="5" s="1"/>
  <c r="U231" i="5"/>
  <c r="P231" i="5" s="1"/>
  <c r="AD231" i="5"/>
  <c r="Y231" i="5" s="1"/>
  <c r="V228" i="5"/>
  <c r="Q228" i="5" s="1"/>
  <c r="AE228" i="5"/>
  <c r="Z228" i="5" s="1"/>
  <c r="T98" i="5"/>
  <c r="O98" i="5" s="1"/>
  <c r="AC98" i="5"/>
  <c r="X98" i="5" s="1"/>
  <c r="U158" i="5"/>
  <c r="P158" i="5" s="1"/>
  <c r="AD158" i="5"/>
  <c r="Y158" i="5" s="1"/>
  <c r="U25" i="5"/>
  <c r="AD25" i="5"/>
  <c r="Y25" i="5" s="1"/>
  <c r="U705" i="5"/>
  <c r="P705" i="5" s="1"/>
  <c r="AD705" i="5"/>
  <c r="Y705" i="5" s="1"/>
  <c r="U351" i="5"/>
  <c r="P351" i="5" s="1"/>
  <c r="AD351" i="5"/>
  <c r="Y351" i="5" s="1"/>
  <c r="U438" i="5"/>
  <c r="P438" i="5" s="1"/>
  <c r="AD438" i="5"/>
  <c r="Y438" i="5" s="1"/>
  <c r="V640" i="5"/>
  <c r="Q640" i="5" s="1"/>
  <c r="AE640" i="5"/>
  <c r="Z640" i="5" s="1"/>
  <c r="W662" i="5"/>
  <c r="AF662" i="5"/>
  <c r="W655" i="5"/>
  <c r="R655" i="5" s="1"/>
  <c r="AF655" i="5"/>
  <c r="AA655" i="5" s="1"/>
  <c r="W29" i="5"/>
  <c r="AF29" i="5"/>
  <c r="W409" i="5"/>
  <c r="AF409" i="5"/>
  <c r="AA409" i="5" s="1"/>
  <c r="W216" i="5"/>
  <c r="R216" i="5" s="1"/>
  <c r="AF216" i="5"/>
  <c r="AA216" i="5" s="1"/>
  <c r="U376" i="5"/>
  <c r="P376" i="5" s="1"/>
  <c r="AD376" i="5"/>
  <c r="Y376" i="5" s="1"/>
  <c r="T371" i="5"/>
  <c r="O371" i="5" s="1"/>
  <c r="AC371" i="5"/>
  <c r="X371" i="5" s="1"/>
  <c r="U242" i="5"/>
  <c r="P242" i="5" s="1"/>
  <c r="AD242" i="5"/>
  <c r="Y242" i="5" s="1"/>
  <c r="T334" i="5"/>
  <c r="O334" i="5" s="1"/>
  <c r="AC334" i="5"/>
  <c r="W524" i="5"/>
  <c r="AF524" i="5"/>
  <c r="AA524" i="5" s="1"/>
  <c r="W36" i="5"/>
  <c r="R36" i="5" s="1"/>
  <c r="AF36" i="5"/>
  <c r="AA36" i="5" s="1"/>
  <c r="T625" i="5"/>
  <c r="O625" i="5" s="1"/>
  <c r="AC625" i="5"/>
  <c r="X625" i="5" s="1"/>
  <c r="T675" i="5"/>
  <c r="AC675" i="5"/>
  <c r="V130" i="5"/>
  <c r="Q130" i="5" s="1"/>
  <c r="AE130" i="5"/>
  <c r="Z130" i="5" s="1"/>
  <c r="T409" i="5"/>
  <c r="O409" i="5" s="1"/>
  <c r="AC409" i="5"/>
  <c r="X409" i="5" s="1"/>
  <c r="W122" i="5"/>
  <c r="R122" i="5" s="1"/>
  <c r="AF122" i="5"/>
  <c r="AA122" i="5" s="1"/>
  <c r="U179" i="5"/>
  <c r="P179" i="5" s="1"/>
  <c r="AD179" i="5"/>
  <c r="Y179" i="5" s="1"/>
  <c r="V492" i="5"/>
  <c r="Q492" i="5" s="1"/>
  <c r="AE492" i="5"/>
  <c r="Z492" i="5" s="1"/>
  <c r="U598" i="5"/>
  <c r="P598" i="5" s="1"/>
  <c r="AD598" i="5"/>
  <c r="Y598" i="5" s="1"/>
  <c r="T578" i="5"/>
  <c r="O578" i="5" s="1"/>
  <c r="AC578" i="5"/>
  <c r="X578" i="5" s="1"/>
  <c r="W385" i="5"/>
  <c r="R385" i="5" s="1"/>
  <c r="AF385" i="5"/>
  <c r="AA385" i="5" s="1"/>
  <c r="T662" i="5"/>
  <c r="O662" i="5" s="1"/>
  <c r="AC662" i="5"/>
  <c r="X662" i="5" s="1"/>
  <c r="U28" i="5"/>
  <c r="P28" i="5" s="1"/>
  <c r="AD28" i="5"/>
  <c r="Y28" i="5" s="1"/>
  <c r="W92" i="5"/>
  <c r="R92" i="5" s="1"/>
  <c r="AF92" i="5"/>
  <c r="AA92" i="5" s="1"/>
  <c r="W24" i="5"/>
  <c r="AF24" i="5"/>
  <c r="T155" i="5"/>
  <c r="O155" i="5" s="1"/>
  <c r="AC155" i="5"/>
  <c r="X155" i="5" s="1"/>
  <c r="T633" i="5"/>
  <c r="O633" i="5" s="1"/>
  <c r="AC633" i="5"/>
  <c r="X633" i="5" s="1"/>
  <c r="U52" i="5"/>
  <c r="P52" i="5" s="1"/>
  <c r="AD52" i="5"/>
  <c r="Y52" i="5" s="1"/>
  <c r="W147" i="5"/>
  <c r="R147" i="5" s="1"/>
  <c r="AF147" i="5"/>
  <c r="AA147" i="5" s="1"/>
  <c r="V274" i="5"/>
  <c r="Q274" i="5" s="1"/>
  <c r="AE274" i="5"/>
  <c r="Z274" i="5" s="1"/>
  <c r="V126" i="5"/>
  <c r="Q126" i="5" s="1"/>
  <c r="AE126" i="5"/>
  <c r="W607" i="5"/>
  <c r="R607" i="5" s="1"/>
  <c r="AF607" i="5"/>
  <c r="AA607" i="5" s="1"/>
  <c r="V652" i="5"/>
  <c r="Q652" i="5" s="1"/>
  <c r="AE652" i="5"/>
  <c r="Z652" i="5" s="1"/>
  <c r="V76" i="5"/>
  <c r="Q76" i="5" s="1"/>
  <c r="AE76" i="5"/>
  <c r="Z76" i="5" s="1"/>
  <c r="T680" i="5"/>
  <c r="O680" i="5" s="1"/>
  <c r="AC680" i="5"/>
  <c r="X680" i="5" s="1"/>
  <c r="V647" i="5"/>
  <c r="Q647" i="5" s="1"/>
  <c r="AE647" i="5"/>
  <c r="Z647" i="5" s="1"/>
  <c r="W69" i="5"/>
  <c r="AF69" i="5"/>
  <c r="AA69" i="5" s="1"/>
  <c r="U196" i="5"/>
  <c r="AD196" i="5"/>
  <c r="Y196" i="5" s="1"/>
  <c r="T516" i="5"/>
  <c r="O516" i="5" s="1"/>
  <c r="AC516" i="5"/>
  <c r="X516" i="5" s="1"/>
  <c r="U448" i="5"/>
  <c r="P448" i="5" s="1"/>
  <c r="AD448" i="5"/>
  <c r="Y448" i="5" s="1"/>
  <c r="T28" i="5"/>
  <c r="O28" i="5" s="1"/>
  <c r="AC28" i="5"/>
  <c r="X28" i="5" s="1"/>
  <c r="T603" i="5"/>
  <c r="O603" i="5" s="1"/>
  <c r="AC603" i="5"/>
  <c r="X603" i="5" s="1"/>
  <c r="V474" i="5"/>
  <c r="AE474" i="5"/>
  <c r="W282" i="5"/>
  <c r="R282" i="5" s="1"/>
  <c r="AF282" i="5"/>
  <c r="AA282" i="5" s="1"/>
  <c r="V660" i="5"/>
  <c r="Q660" i="5" s="1"/>
  <c r="AE660" i="5"/>
  <c r="Z660" i="5" s="1"/>
  <c r="V113" i="5"/>
  <c r="Q113" i="5" s="1"/>
  <c r="AE113" i="5"/>
  <c r="Z113" i="5" s="1"/>
  <c r="T205" i="5"/>
  <c r="O205" i="5" s="1"/>
  <c r="AC205" i="5"/>
  <c r="X205" i="5" s="1"/>
  <c r="U652" i="5"/>
  <c r="P652" i="5" s="1"/>
  <c r="AD652" i="5"/>
  <c r="Y652" i="5" s="1"/>
  <c r="V425" i="5"/>
  <c r="AE425" i="5"/>
  <c r="Z425" i="5" s="1"/>
  <c r="T105" i="5"/>
  <c r="O105" i="5" s="1"/>
  <c r="AC105" i="5"/>
  <c r="X105" i="5" s="1"/>
  <c r="V534" i="5"/>
  <c r="Q534" i="5" s="1"/>
  <c r="AE534" i="5"/>
  <c r="Z534" i="5" s="1"/>
  <c r="U359" i="5"/>
  <c r="P359" i="5" s="1"/>
  <c r="AD359" i="5"/>
  <c r="Y359" i="5" s="1"/>
  <c r="V199" i="5"/>
  <c r="Q199" i="5" s="1"/>
  <c r="AE199" i="5"/>
  <c r="Z199" i="5" s="1"/>
  <c r="W357" i="5"/>
  <c r="R357" i="5" s="1"/>
  <c r="AF357" i="5"/>
  <c r="AA357" i="5" s="1"/>
  <c r="T34" i="5"/>
  <c r="O34" i="5" s="1"/>
  <c r="AC34" i="5"/>
  <c r="T183" i="5"/>
  <c r="O183" i="5" s="1"/>
  <c r="AC183" i="5"/>
  <c r="X183" i="5" s="1"/>
  <c r="U574" i="5"/>
  <c r="P574" i="5" s="1"/>
  <c r="AD574" i="5"/>
  <c r="Y574" i="5" s="1"/>
  <c r="W578" i="5"/>
  <c r="R578" i="5" s="1"/>
  <c r="AF578" i="5"/>
  <c r="AA578" i="5" s="1"/>
  <c r="V66" i="5"/>
  <c r="Q66" i="5" s="1"/>
  <c r="AE66" i="5"/>
  <c r="Z66" i="5" s="1"/>
  <c r="U662" i="5"/>
  <c r="P662" i="5" s="1"/>
  <c r="AD662" i="5"/>
  <c r="Y662" i="5" s="1"/>
  <c r="V431" i="5"/>
  <c r="AE431" i="5"/>
  <c r="Z431" i="5" s="1"/>
  <c r="W700" i="5"/>
  <c r="AF700" i="5"/>
  <c r="AA700" i="5" s="1"/>
  <c r="V473" i="5"/>
  <c r="Q473" i="5" s="1"/>
  <c r="AE473" i="5"/>
  <c r="T147" i="5"/>
  <c r="AC147" i="5"/>
  <c r="X147" i="5" s="1"/>
  <c r="W691" i="5"/>
  <c r="R691" i="5" s="1"/>
  <c r="AF691" i="5"/>
  <c r="AA691" i="5" s="1"/>
  <c r="U198" i="5"/>
  <c r="P198" i="5" s="1"/>
  <c r="AD198" i="5"/>
  <c r="Y198" i="5" s="1"/>
  <c r="U209" i="5"/>
  <c r="P209" i="5" s="1"/>
  <c r="AD209" i="5"/>
  <c r="Y209" i="5" s="1"/>
  <c r="U142" i="5"/>
  <c r="P142" i="5" s="1"/>
  <c r="AD142" i="5"/>
  <c r="Y142" i="5" s="1"/>
  <c r="U747" i="5"/>
  <c r="P747" i="5" s="1"/>
  <c r="AD747" i="5"/>
  <c r="Y747" i="5" s="1"/>
  <c r="W86" i="5"/>
  <c r="R86" i="5" s="1"/>
  <c r="AF86" i="5"/>
  <c r="AA86" i="5" s="1"/>
  <c r="T746" i="5"/>
  <c r="O746" i="5" s="1"/>
  <c r="AC746" i="5"/>
  <c r="X746" i="5" s="1"/>
  <c r="U200" i="5"/>
  <c r="P200" i="5" s="1"/>
  <c r="AD200" i="5"/>
  <c r="Y200" i="5" s="1"/>
  <c r="U502" i="5"/>
  <c r="AD502" i="5"/>
  <c r="V517" i="5"/>
  <c r="Q517" i="5" s="1"/>
  <c r="AE517" i="5"/>
  <c r="Z517" i="5" s="1"/>
  <c r="U197" i="5"/>
  <c r="AD197" i="5"/>
  <c r="V258" i="5"/>
  <c r="Q258" i="5" s="1"/>
  <c r="AE258" i="5"/>
  <c r="Z258" i="5" s="1"/>
  <c r="T128" i="5"/>
  <c r="O128" i="5" s="1"/>
  <c r="AC128" i="5"/>
  <c r="X128" i="5" s="1"/>
  <c r="V445" i="5"/>
  <c r="Q445" i="5" s="1"/>
  <c r="AE445" i="5"/>
  <c r="Z445" i="5" s="1"/>
  <c r="W603" i="5"/>
  <c r="R603" i="5" s="1"/>
  <c r="AF603" i="5"/>
  <c r="AA603" i="5" s="1"/>
  <c r="V594" i="5"/>
  <c r="Q594" i="5" s="1"/>
  <c r="AE594" i="5"/>
  <c r="Z594" i="5" s="1"/>
  <c r="W213" i="5"/>
  <c r="R213" i="5" s="1"/>
  <c r="AF213" i="5"/>
  <c r="AA213" i="5" s="1"/>
  <c r="U147" i="5"/>
  <c r="P147" i="5" s="1"/>
  <c r="AD147" i="5"/>
  <c r="Y147" i="5" s="1"/>
  <c r="U628" i="5"/>
  <c r="P628" i="5" s="1"/>
  <c r="AD628" i="5"/>
  <c r="Y628" i="5" s="1"/>
  <c r="T396" i="5"/>
  <c r="O396" i="5" s="1"/>
  <c r="AC396" i="5"/>
  <c r="X396" i="5" s="1"/>
  <c r="W76" i="5"/>
  <c r="AF76" i="5"/>
  <c r="U123" i="5"/>
  <c r="P123" i="5" s="1"/>
  <c r="AD123" i="5"/>
  <c r="U176" i="5"/>
  <c r="P176" i="5" s="1"/>
  <c r="AD176" i="5"/>
  <c r="Y176" i="5" s="1"/>
  <c r="T337" i="5"/>
  <c r="O337" i="5" s="1"/>
  <c r="AC337" i="5"/>
  <c r="X337" i="5" s="1"/>
  <c r="V209" i="5"/>
  <c r="Q209" i="5" s="1"/>
  <c r="AE209" i="5"/>
  <c r="Z209" i="5" s="1"/>
  <c r="V166" i="5"/>
  <c r="Q166" i="5" s="1"/>
  <c r="AE166" i="5"/>
  <c r="Z166" i="5" s="1"/>
  <c r="U357" i="5"/>
  <c r="P357" i="5" s="1"/>
  <c r="AD357" i="5"/>
  <c r="Y357" i="5" s="1"/>
  <c r="V90" i="5"/>
  <c r="Q90" i="5" s="1"/>
  <c r="AE90" i="5"/>
  <c r="Z90" i="5" s="1"/>
  <c r="U750" i="5"/>
  <c r="P750" i="5" s="1"/>
  <c r="AD750" i="5"/>
  <c r="Y750" i="5" s="1"/>
  <c r="U399" i="5"/>
  <c r="P399" i="5" s="1"/>
  <c r="AD399" i="5"/>
  <c r="Y399" i="5" s="1"/>
  <c r="W90" i="5"/>
  <c r="R90" i="5" s="1"/>
  <c r="AF90" i="5"/>
  <c r="AA90" i="5" s="1"/>
  <c r="W38" i="5"/>
  <c r="R38" i="5" s="1"/>
  <c r="AF38" i="5"/>
  <c r="AA38" i="5" s="1"/>
  <c r="U653" i="5"/>
  <c r="AD653" i="5"/>
  <c r="Y653" i="5" s="1"/>
  <c r="W620" i="5"/>
  <c r="R620" i="5" s="1"/>
  <c r="AF620" i="5"/>
  <c r="AA620" i="5" s="1"/>
  <c r="W554" i="5"/>
  <c r="R554" i="5" s="1"/>
  <c r="AF554" i="5"/>
  <c r="AA554" i="5" s="1"/>
  <c r="T266" i="5"/>
  <c r="O266" i="5" s="1"/>
  <c r="AC266" i="5"/>
  <c r="X266" i="5" s="1"/>
  <c r="T488" i="5"/>
  <c r="O488" i="5" s="1"/>
  <c r="AC488" i="5"/>
  <c r="X488" i="5" s="1"/>
  <c r="U670" i="5"/>
  <c r="P670" i="5" s="1"/>
  <c r="AD670" i="5"/>
  <c r="Y670" i="5" s="1"/>
  <c r="W612" i="5"/>
  <c r="R612" i="5" s="1"/>
  <c r="AF612" i="5"/>
  <c r="AA612" i="5" s="1"/>
  <c r="U484" i="5"/>
  <c r="P484" i="5" s="1"/>
  <c r="AD484" i="5"/>
  <c r="Y484" i="5" s="1"/>
  <c r="V643" i="5"/>
  <c r="Q643" i="5" s="1"/>
  <c r="AE643" i="5"/>
  <c r="Z643" i="5" s="1"/>
  <c r="U483" i="5"/>
  <c r="P483" i="5" s="1"/>
  <c r="AD483" i="5"/>
  <c r="Y483" i="5" s="1"/>
  <c r="W573" i="5"/>
  <c r="R573" i="5" s="1"/>
  <c r="AF573" i="5"/>
  <c r="AA573" i="5" s="1"/>
  <c r="W218" i="5"/>
  <c r="R218" i="5" s="1"/>
  <c r="AF218" i="5"/>
  <c r="AA218" i="5" s="1"/>
  <c r="W308" i="5"/>
  <c r="AF308" i="5"/>
  <c r="AA308" i="5" s="1"/>
  <c r="W148" i="5"/>
  <c r="R148" i="5" s="1"/>
  <c r="AF148" i="5"/>
  <c r="AA148" i="5" s="1"/>
  <c r="T628" i="5"/>
  <c r="O628" i="5" s="1"/>
  <c r="AC628" i="5"/>
  <c r="X628" i="5" s="1"/>
  <c r="U119" i="5"/>
  <c r="P119" i="5" s="1"/>
  <c r="AD119" i="5"/>
  <c r="Y119" i="5" s="1"/>
  <c r="T134" i="5"/>
  <c r="O134" i="5" s="1"/>
  <c r="AC134" i="5"/>
  <c r="X134" i="5" s="1"/>
  <c r="T57" i="5"/>
  <c r="O57" i="5" s="1"/>
  <c r="AC57" i="5"/>
  <c r="X57" i="5" s="1"/>
  <c r="U736" i="5"/>
  <c r="P736" i="5" s="1"/>
  <c r="AD736" i="5"/>
  <c r="Y736" i="5" s="1"/>
  <c r="U236" i="5"/>
  <c r="P236" i="5" s="1"/>
  <c r="AD236" i="5"/>
  <c r="Y236" i="5" s="1"/>
  <c r="T63" i="5"/>
  <c r="O63" i="5" s="1"/>
  <c r="AC63" i="5"/>
  <c r="X63" i="5" s="1"/>
  <c r="U86" i="5"/>
  <c r="P86" i="5" s="1"/>
  <c r="AD86" i="5"/>
  <c r="Y86" i="5" s="1"/>
  <c r="U172" i="5"/>
  <c r="P172" i="5" s="1"/>
  <c r="AD172" i="5"/>
  <c r="Y172" i="5" s="1"/>
  <c r="W267" i="5"/>
  <c r="R267" i="5" s="1"/>
  <c r="AF267" i="5"/>
  <c r="AA267" i="5" s="1"/>
  <c r="T681" i="5"/>
  <c r="AC681" i="5"/>
  <c r="V582" i="5"/>
  <c r="Q582" i="5" s="1"/>
  <c r="AE582" i="5"/>
  <c r="Z582" i="5" s="1"/>
  <c r="U188" i="5"/>
  <c r="AD188" i="5"/>
  <c r="Y188" i="5" s="1"/>
  <c r="U58" i="5"/>
  <c r="P58" i="5" s="1"/>
  <c r="AD58" i="5"/>
  <c r="Y58" i="5" s="1"/>
  <c r="W341" i="5"/>
  <c r="R341" i="5" s="1"/>
  <c r="AF341" i="5"/>
  <c r="AA341" i="5" s="1"/>
  <c r="W602" i="5"/>
  <c r="R602" i="5" s="1"/>
  <c r="AF602" i="5"/>
  <c r="AA602" i="5" s="1"/>
  <c r="W398" i="5"/>
  <c r="R398" i="5" s="1"/>
  <c r="AF398" i="5"/>
  <c r="AA398" i="5" s="1"/>
  <c r="T145" i="5"/>
  <c r="O145" i="5" s="1"/>
  <c r="AC145" i="5"/>
  <c r="X145" i="5" s="1"/>
  <c r="U620" i="5"/>
  <c r="P620" i="5" s="1"/>
  <c r="AD620" i="5"/>
  <c r="Y620" i="5" s="1"/>
  <c r="T460" i="5"/>
  <c r="O460" i="5" s="1"/>
  <c r="AC460" i="5"/>
  <c r="X460" i="5" s="1"/>
  <c r="V394" i="5"/>
  <c r="Q394" i="5" s="1"/>
  <c r="AE394" i="5"/>
  <c r="Z394" i="5" s="1"/>
  <c r="W73" i="5"/>
  <c r="R73" i="5" s="1"/>
  <c r="AF73" i="5"/>
  <c r="AA73" i="5" s="1"/>
  <c r="U239" i="5"/>
  <c r="AD239" i="5"/>
  <c r="U527" i="5"/>
  <c r="P527" i="5" s="1"/>
  <c r="AD527" i="5"/>
  <c r="Y527" i="5" s="1"/>
  <c r="T612" i="5"/>
  <c r="O612" i="5" s="1"/>
  <c r="AC612" i="5"/>
  <c r="X612" i="5" s="1"/>
  <c r="W222" i="5"/>
  <c r="R222" i="5" s="1"/>
  <c r="AF222" i="5"/>
  <c r="AA222" i="5" s="1"/>
  <c r="V226" i="5"/>
  <c r="Q226" i="5" s="1"/>
  <c r="AE226" i="5"/>
  <c r="Z226" i="5" s="1"/>
  <c r="W542" i="5"/>
  <c r="R542" i="5" s="1"/>
  <c r="AF542" i="5"/>
  <c r="AA542" i="5" s="1"/>
  <c r="T193" i="5"/>
  <c r="O193" i="5" s="1"/>
  <c r="AC193" i="5"/>
  <c r="X193" i="5" s="1"/>
  <c r="U702" i="5"/>
  <c r="P702" i="5" s="1"/>
  <c r="AD702" i="5"/>
  <c r="Y702" i="5" s="1"/>
  <c r="U573" i="5"/>
  <c r="P573" i="5" s="1"/>
  <c r="AD573" i="5"/>
  <c r="Y573" i="5" s="1"/>
  <c r="V731" i="5"/>
  <c r="Q731" i="5" s="1"/>
  <c r="AE731" i="5"/>
  <c r="Z731" i="5" s="1"/>
  <c r="U441" i="5"/>
  <c r="P441" i="5" s="1"/>
  <c r="AD441" i="5"/>
  <c r="Y441" i="5" s="1"/>
  <c r="U21" i="5"/>
  <c r="P21" i="5" s="1"/>
  <c r="AD21" i="5"/>
  <c r="Y21" i="5" s="1"/>
  <c r="U237" i="5"/>
  <c r="AD237" i="5"/>
  <c r="W652" i="5"/>
  <c r="R652" i="5" s="1"/>
  <c r="AF652" i="5"/>
  <c r="AA652" i="5" s="1"/>
  <c r="T152" i="5"/>
  <c r="O152" i="5" s="1"/>
  <c r="AC152" i="5"/>
  <c r="X152" i="5" s="1"/>
  <c r="U431" i="5"/>
  <c r="AD431" i="5"/>
  <c r="W523" i="5"/>
  <c r="R523" i="5" s="1"/>
  <c r="AF523" i="5"/>
  <c r="AA523" i="5" s="1"/>
  <c r="U268" i="5"/>
  <c r="P268" i="5" s="1"/>
  <c r="AD268" i="5"/>
  <c r="Y268" i="5" s="1"/>
  <c r="T658" i="5"/>
  <c r="O658" i="5" s="1"/>
  <c r="AC658" i="5"/>
  <c r="X658" i="5" s="1"/>
  <c r="W626" i="5"/>
  <c r="R626" i="5" s="1"/>
  <c r="AF626" i="5"/>
  <c r="AA626" i="5" s="1"/>
  <c r="V348" i="5"/>
  <c r="Q348" i="5" s="1"/>
  <c r="AE348" i="5"/>
  <c r="Z348" i="5" s="1"/>
  <c r="W570" i="5"/>
  <c r="R570" i="5" s="1"/>
  <c r="AF570" i="5"/>
  <c r="AA570" i="5" s="1"/>
  <c r="W501" i="5"/>
  <c r="R501" i="5" s="1"/>
  <c r="AF501" i="5"/>
  <c r="AA501" i="5" s="1"/>
  <c r="T177" i="5"/>
  <c r="O177" i="5" s="1"/>
  <c r="AC177" i="5"/>
  <c r="X177" i="5" s="1"/>
  <c r="V740" i="5"/>
  <c r="AE740" i="5"/>
  <c r="Z740" i="5" s="1"/>
  <c r="U657" i="5"/>
  <c r="AD657" i="5"/>
  <c r="Y657" i="5" s="1"/>
  <c r="W160" i="5"/>
  <c r="R160" i="5" s="1"/>
  <c r="AF160" i="5"/>
  <c r="AA160" i="5" s="1"/>
  <c r="T93" i="5"/>
  <c r="O93" i="5" s="1"/>
  <c r="AC93" i="5"/>
  <c r="X93" i="5" s="1"/>
  <c r="T316" i="5"/>
  <c r="O316" i="5" s="1"/>
  <c r="AC316" i="5"/>
  <c r="X316" i="5" s="1"/>
  <c r="V188" i="5"/>
  <c r="Q188" i="5" s="1"/>
  <c r="AE188" i="5"/>
  <c r="Z188" i="5" s="1"/>
  <c r="W697" i="5"/>
  <c r="R697" i="5" s="1"/>
  <c r="AF697" i="5"/>
  <c r="V251" i="5"/>
  <c r="Q251" i="5" s="1"/>
  <c r="AE251" i="5"/>
  <c r="Z251" i="5" s="1"/>
  <c r="U599" i="5"/>
  <c r="P599" i="5" s="1"/>
  <c r="AD599" i="5"/>
  <c r="Y599" i="5" s="1"/>
  <c r="T440" i="5"/>
  <c r="O440" i="5" s="1"/>
  <c r="AC440" i="5"/>
  <c r="X440" i="5" s="1"/>
  <c r="V501" i="5"/>
  <c r="Q501" i="5" s="1"/>
  <c r="AE501" i="5"/>
  <c r="Z501" i="5" s="1"/>
  <c r="T181" i="5"/>
  <c r="O181" i="5" s="1"/>
  <c r="AC181" i="5"/>
  <c r="X181" i="5" s="1"/>
  <c r="U74" i="5"/>
  <c r="AD74" i="5"/>
  <c r="Y74" i="5" s="1"/>
  <c r="U455" i="5"/>
  <c r="P455" i="5" s="1"/>
  <c r="AD455" i="5"/>
  <c r="Y455" i="5" s="1"/>
  <c r="T79" i="5"/>
  <c r="O79" i="5" s="1"/>
  <c r="AC79" i="5"/>
  <c r="X79" i="5" s="1"/>
  <c r="T33" i="5"/>
  <c r="O33" i="5" s="1"/>
  <c r="AC33" i="5"/>
  <c r="X33" i="5" s="1"/>
  <c r="W452" i="5"/>
  <c r="R452" i="5" s="1"/>
  <c r="AF452" i="5"/>
  <c r="AA452" i="5" s="1"/>
  <c r="T657" i="5"/>
  <c r="O657" i="5" s="1"/>
  <c r="AC657" i="5"/>
  <c r="X657" i="5" s="1"/>
  <c r="W354" i="5"/>
  <c r="R354" i="5" s="1"/>
  <c r="AF354" i="5"/>
  <c r="AA354" i="5" s="1"/>
  <c r="W381" i="5"/>
  <c r="R381" i="5" s="1"/>
  <c r="AF381" i="5"/>
  <c r="AA381" i="5" s="1"/>
  <c r="V253" i="5"/>
  <c r="Q253" i="5" s="1"/>
  <c r="AE253" i="5"/>
  <c r="Z253" i="5" s="1"/>
  <c r="T91" i="5"/>
  <c r="O91" i="5" s="1"/>
  <c r="AC91" i="5"/>
  <c r="X91" i="5" s="1"/>
  <c r="U435" i="5"/>
  <c r="P435" i="5" s="1"/>
  <c r="AD435" i="5"/>
  <c r="Y435" i="5" s="1"/>
  <c r="W434" i="5"/>
  <c r="R434" i="5" s="1"/>
  <c r="AF434" i="5"/>
  <c r="AA434" i="5" s="1"/>
  <c r="U511" i="5"/>
  <c r="AD511" i="5"/>
  <c r="T131" i="5"/>
  <c r="O131" i="5" s="1"/>
  <c r="AC131" i="5"/>
  <c r="X131" i="5" s="1"/>
  <c r="T141" i="5"/>
  <c r="AC141" i="5"/>
  <c r="V588" i="5"/>
  <c r="Q588" i="5" s="1"/>
  <c r="AE588" i="5"/>
  <c r="Z588" i="5" s="1"/>
  <c r="T201" i="5"/>
  <c r="O201" i="5" s="1"/>
  <c r="AC201" i="5"/>
  <c r="X201" i="5" s="1"/>
  <c r="U23" i="5"/>
  <c r="P23" i="5" s="1"/>
  <c r="AD23" i="5"/>
  <c r="Y23" i="5" s="1"/>
  <c r="W433" i="5"/>
  <c r="R433" i="5" s="1"/>
  <c r="AF433" i="5"/>
  <c r="AA433" i="5" s="1"/>
  <c r="U544" i="5"/>
  <c r="P544" i="5" s="1"/>
  <c r="AD544" i="5"/>
  <c r="Y544" i="5" s="1"/>
  <c r="T446" i="5"/>
  <c r="O446" i="5" s="1"/>
  <c r="AC446" i="5"/>
  <c r="X446" i="5" s="1"/>
  <c r="W221" i="5"/>
  <c r="R221" i="5" s="1"/>
  <c r="AF221" i="5"/>
  <c r="AA221" i="5" s="1"/>
  <c r="T156" i="5"/>
  <c r="O156" i="5" s="1"/>
  <c r="AC156" i="5"/>
  <c r="X156" i="5" s="1"/>
  <c r="T752" i="5"/>
  <c r="O752" i="5" s="1"/>
  <c r="AC752" i="5"/>
  <c r="T268" i="5"/>
  <c r="AC268" i="5"/>
  <c r="T434" i="5"/>
  <c r="O434" i="5" s="1"/>
  <c r="AC434" i="5"/>
  <c r="X434" i="5" s="1"/>
  <c r="W79" i="5"/>
  <c r="R79" i="5" s="1"/>
  <c r="AF79" i="5"/>
  <c r="AA79" i="5" s="1"/>
  <c r="V613" i="5"/>
  <c r="Q613" i="5" s="1"/>
  <c r="AE613" i="5"/>
  <c r="Z613" i="5" s="1"/>
  <c r="T224" i="5"/>
  <c r="O224" i="5" s="1"/>
  <c r="AC224" i="5"/>
  <c r="X224" i="5" s="1"/>
  <c r="V190" i="5"/>
  <c r="Q190" i="5" s="1"/>
  <c r="AE190" i="5"/>
  <c r="Z190" i="5" s="1"/>
  <c r="U407" i="5"/>
  <c r="P407" i="5" s="1"/>
  <c r="AD407" i="5"/>
  <c r="Y407" i="5" s="1"/>
  <c r="V541" i="5"/>
  <c r="AE541" i="5"/>
  <c r="Z541" i="5" s="1"/>
  <c r="V381" i="5"/>
  <c r="Q381" i="5" s="1"/>
  <c r="AE381" i="5"/>
  <c r="Z381" i="5" s="1"/>
  <c r="U604" i="5"/>
  <c r="P604" i="5" s="1"/>
  <c r="AD604" i="5"/>
  <c r="Y604" i="5" s="1"/>
  <c r="W379" i="5"/>
  <c r="R379" i="5" s="1"/>
  <c r="AF379" i="5"/>
  <c r="AA379" i="5" s="1"/>
  <c r="W186" i="5"/>
  <c r="R186" i="5" s="1"/>
  <c r="AF186" i="5"/>
  <c r="AA186" i="5" s="1"/>
  <c r="T26" i="5"/>
  <c r="AC26" i="5"/>
  <c r="X26" i="5" s="1"/>
  <c r="W149" i="5"/>
  <c r="AF149" i="5"/>
  <c r="AA149" i="5" s="1"/>
  <c r="T436" i="5"/>
  <c r="AC436" i="5"/>
  <c r="X436" i="5" s="1"/>
  <c r="V116" i="5"/>
  <c r="Q116" i="5" s="1"/>
  <c r="AE116" i="5"/>
  <c r="Z116" i="5" s="1"/>
  <c r="W307" i="5"/>
  <c r="R307" i="5" s="1"/>
  <c r="AF307" i="5"/>
  <c r="AA307" i="5" s="1"/>
  <c r="W279" i="5"/>
  <c r="R279" i="5" s="1"/>
  <c r="AF279" i="5"/>
  <c r="AA279" i="5" s="1"/>
  <c r="U126" i="5"/>
  <c r="P126" i="5" s="1"/>
  <c r="AD126" i="5"/>
  <c r="Y126" i="5" s="1"/>
  <c r="V137" i="5"/>
  <c r="Q137" i="5" s="1"/>
  <c r="AE137" i="5"/>
  <c r="Z137" i="5" s="1"/>
  <c r="W234" i="5"/>
  <c r="R234" i="5" s="1"/>
  <c r="AF234" i="5"/>
  <c r="AA234" i="5" s="1"/>
  <c r="W50" i="5"/>
  <c r="R50" i="5" s="1"/>
  <c r="AF50" i="5"/>
  <c r="AA50" i="5" s="1"/>
  <c r="U136" i="5"/>
  <c r="P136" i="5" s="1"/>
  <c r="AD136" i="5"/>
  <c r="Y136" i="5" s="1"/>
  <c r="W686" i="5"/>
  <c r="R686" i="5" s="1"/>
  <c r="AF686" i="5"/>
  <c r="AA686" i="5" s="1"/>
  <c r="V78" i="5"/>
  <c r="AE78" i="5"/>
  <c r="Z78" i="5" s="1"/>
  <c r="W461" i="5"/>
  <c r="R461" i="5" s="1"/>
  <c r="AF461" i="5"/>
  <c r="AA461" i="5" s="1"/>
  <c r="T363" i="5"/>
  <c r="O363" i="5" s="1"/>
  <c r="AC363" i="5"/>
  <c r="X363" i="5" s="1"/>
  <c r="T202" i="5"/>
  <c r="O202" i="5" s="1"/>
  <c r="AC202" i="5"/>
  <c r="X202" i="5" s="1"/>
  <c r="T489" i="5"/>
  <c r="O489" i="5" s="1"/>
  <c r="AC489" i="5"/>
  <c r="X489" i="5" s="1"/>
  <c r="U741" i="5"/>
  <c r="P741" i="5" s="1"/>
  <c r="AD741" i="5"/>
  <c r="Y741" i="5" s="1"/>
  <c r="U88" i="5"/>
  <c r="P88" i="5" s="1"/>
  <c r="AD88" i="5"/>
  <c r="Y88" i="5" s="1"/>
  <c r="W669" i="5"/>
  <c r="R669" i="5" s="1"/>
  <c r="AF669" i="5"/>
  <c r="AA669" i="5" s="1"/>
  <c r="T604" i="5"/>
  <c r="O604" i="5" s="1"/>
  <c r="AC604" i="5"/>
  <c r="X604" i="5" s="1"/>
  <c r="V665" i="5"/>
  <c r="Q665" i="5" s="1"/>
  <c r="AE665" i="5"/>
  <c r="Z665" i="5" s="1"/>
  <c r="U219" i="5"/>
  <c r="P219" i="5" s="1"/>
  <c r="AD219" i="5"/>
  <c r="Y219" i="5" s="1"/>
  <c r="V186" i="5"/>
  <c r="Q186" i="5" s="1"/>
  <c r="AE186" i="5"/>
  <c r="Z186" i="5" s="1"/>
  <c r="W26" i="5"/>
  <c r="AF26" i="5"/>
  <c r="T276" i="5"/>
  <c r="O276" i="5" s="1"/>
  <c r="AC276" i="5"/>
  <c r="X276" i="5" s="1"/>
  <c r="W211" i="5"/>
  <c r="R211" i="5" s="1"/>
  <c r="AF211" i="5"/>
  <c r="AA211" i="5" s="1"/>
  <c r="V564" i="5"/>
  <c r="Q564" i="5" s="1"/>
  <c r="AE564" i="5"/>
  <c r="Z564" i="5" s="1"/>
  <c r="V307" i="5"/>
  <c r="Q307" i="5" s="1"/>
  <c r="AE307" i="5"/>
  <c r="Z307" i="5" s="1"/>
  <c r="U76" i="5"/>
  <c r="P76" i="5" s="1"/>
  <c r="AD76" i="5"/>
  <c r="Y76" i="5" s="1"/>
  <c r="W557" i="5"/>
  <c r="R557" i="5" s="1"/>
  <c r="AF557" i="5"/>
  <c r="AA557" i="5" s="1"/>
  <c r="V48" i="5"/>
  <c r="Q48" i="5" s="1"/>
  <c r="AE48" i="5"/>
  <c r="Z48" i="5" s="1"/>
  <c r="U284" i="5"/>
  <c r="P284" i="5" s="1"/>
  <c r="AD284" i="5"/>
  <c r="Y284" i="5" s="1"/>
  <c r="W309" i="5"/>
  <c r="R309" i="5" s="1"/>
  <c r="AF309" i="5"/>
  <c r="AA309" i="5" s="1"/>
  <c r="T724" i="5"/>
  <c r="O724" i="5" s="1"/>
  <c r="AC724" i="5"/>
  <c r="X724" i="5" s="1"/>
  <c r="V229" i="5"/>
  <c r="Q229" i="5" s="1"/>
  <c r="AE229" i="5"/>
  <c r="Z229" i="5" s="1"/>
  <c r="T609" i="5"/>
  <c r="AC609" i="5"/>
  <c r="V589" i="5"/>
  <c r="AE589" i="5"/>
  <c r="Z589" i="5" s="1"/>
  <c r="V419" i="5"/>
  <c r="Q419" i="5" s="1"/>
  <c r="AE419" i="5"/>
  <c r="V322" i="5"/>
  <c r="Q322" i="5" s="1"/>
  <c r="AE322" i="5"/>
  <c r="Z322" i="5" s="1"/>
  <c r="V162" i="5"/>
  <c r="Q162" i="5" s="1"/>
  <c r="AE162" i="5"/>
  <c r="Z162" i="5" s="1"/>
  <c r="V737" i="5"/>
  <c r="Q737" i="5" s="1"/>
  <c r="AE737" i="5"/>
  <c r="Z737" i="5" s="1"/>
  <c r="U129" i="5"/>
  <c r="P129" i="5" s="1"/>
  <c r="AD129" i="5"/>
  <c r="T507" i="5"/>
  <c r="O507" i="5" s="1"/>
  <c r="AC507" i="5"/>
  <c r="X507" i="5" s="1"/>
  <c r="V597" i="5"/>
  <c r="Q597" i="5" s="1"/>
  <c r="AE597" i="5"/>
  <c r="Z597" i="5" s="1"/>
  <c r="T755" i="5"/>
  <c r="O755" i="5" s="1"/>
  <c r="AC755" i="5"/>
  <c r="X755" i="5" s="1"/>
  <c r="W126" i="5"/>
  <c r="R126" i="5" s="1"/>
  <c r="AF126" i="5"/>
  <c r="AA126" i="5" s="1"/>
  <c r="W549" i="5"/>
  <c r="R549" i="5" s="1"/>
  <c r="AF549" i="5"/>
  <c r="AA549" i="5" s="1"/>
  <c r="T203" i="5"/>
  <c r="AC203" i="5"/>
  <c r="X203" i="5" s="1"/>
  <c r="W139" i="5"/>
  <c r="AF139" i="5"/>
  <c r="AA139" i="5" s="1"/>
  <c r="V42" i="5"/>
  <c r="Q42" i="5" s="1"/>
  <c r="AE42" i="5"/>
  <c r="Z42" i="5" s="1"/>
  <c r="U429" i="5"/>
  <c r="P429" i="5" s="1"/>
  <c r="AD429" i="5"/>
  <c r="Y429" i="5" s="1"/>
  <c r="V421" i="5"/>
  <c r="Q421" i="5" s="1"/>
  <c r="AE421" i="5"/>
  <c r="Z421" i="5" s="1"/>
  <c r="U100" i="5"/>
  <c r="P100" i="5" s="1"/>
  <c r="AD100" i="5"/>
  <c r="Y100" i="5" s="1"/>
  <c r="W494" i="5"/>
  <c r="R494" i="5" s="1"/>
  <c r="AF494" i="5"/>
  <c r="U263" i="5"/>
  <c r="P263" i="5" s="1"/>
  <c r="AD263" i="5"/>
  <c r="Y263" i="5" s="1"/>
  <c r="V261" i="5"/>
  <c r="Q261" i="5" s="1"/>
  <c r="AE261" i="5"/>
  <c r="Z261" i="5" s="1"/>
  <c r="W548" i="5"/>
  <c r="R548" i="5" s="1"/>
  <c r="AF548" i="5"/>
  <c r="AA548" i="5" s="1"/>
  <c r="V642" i="5"/>
  <c r="Q642" i="5" s="1"/>
  <c r="AE642" i="5"/>
  <c r="Z642" i="5" s="1"/>
  <c r="T322" i="5"/>
  <c r="O322" i="5" s="1"/>
  <c r="AC322" i="5"/>
  <c r="X322" i="5" s="1"/>
  <c r="T289" i="5"/>
  <c r="AC289" i="5"/>
  <c r="X289" i="5" s="1"/>
  <c r="W129" i="5"/>
  <c r="AF129" i="5"/>
  <c r="AA129" i="5" s="1"/>
  <c r="U404" i="5"/>
  <c r="P404" i="5" s="1"/>
  <c r="AD404" i="5"/>
  <c r="Y404" i="5" s="1"/>
  <c r="V692" i="5"/>
  <c r="Q692" i="5" s="1"/>
  <c r="AE692" i="5"/>
  <c r="Z692" i="5" s="1"/>
  <c r="V618" i="5"/>
  <c r="Q618" i="5" s="1"/>
  <c r="AE618" i="5"/>
  <c r="Z618" i="5" s="1"/>
  <c r="V262" i="5"/>
  <c r="Q262" i="5" s="1"/>
  <c r="AE262" i="5"/>
  <c r="Z262" i="5" s="1"/>
  <c r="U271" i="5"/>
  <c r="P271" i="5" s="1"/>
  <c r="AD271" i="5"/>
  <c r="Y271" i="5" s="1"/>
  <c r="V132" i="5"/>
  <c r="Q132" i="5" s="1"/>
  <c r="AE132" i="5"/>
  <c r="Z132" i="5" s="1"/>
  <c r="T362" i="5"/>
  <c r="O362" i="5" s="1"/>
  <c r="AC362" i="5"/>
  <c r="X362" i="5" s="1"/>
  <c r="T453" i="5"/>
  <c r="O453" i="5" s="1"/>
  <c r="AC453" i="5"/>
  <c r="X453" i="5" s="1"/>
  <c r="T579" i="5"/>
  <c r="O579" i="5" s="1"/>
  <c r="AC579" i="5"/>
  <c r="X579" i="5" s="1"/>
  <c r="V109" i="5"/>
  <c r="Q109" i="5" s="1"/>
  <c r="AE109" i="5"/>
  <c r="Z109" i="5" s="1"/>
  <c r="T556" i="5"/>
  <c r="AC556" i="5"/>
  <c r="X556" i="5" s="1"/>
  <c r="T364" i="5"/>
  <c r="AC364" i="5"/>
  <c r="X364" i="5" s="1"/>
  <c r="V140" i="5"/>
  <c r="AE140" i="5"/>
  <c r="U150" i="5"/>
  <c r="P150" i="5" s="1"/>
  <c r="AD150" i="5"/>
  <c r="Y150" i="5" s="1"/>
  <c r="U329" i="5"/>
  <c r="P329" i="5" s="1"/>
  <c r="AD329" i="5"/>
  <c r="Y329" i="5" s="1"/>
  <c r="V169" i="5"/>
  <c r="Q169" i="5" s="1"/>
  <c r="AE169" i="5"/>
  <c r="Z169" i="5" s="1"/>
  <c r="W391" i="5"/>
  <c r="R391" i="5" s="1"/>
  <c r="AF391" i="5"/>
  <c r="U358" i="5"/>
  <c r="P358" i="5" s="1"/>
  <c r="AD358" i="5"/>
  <c r="Y358" i="5" s="1"/>
  <c r="T741" i="5"/>
  <c r="O741" i="5" s="1"/>
  <c r="AC741" i="5"/>
  <c r="X741" i="5" s="1"/>
  <c r="U261" i="5"/>
  <c r="P261" i="5" s="1"/>
  <c r="AD261" i="5"/>
  <c r="Y261" i="5" s="1"/>
  <c r="W101" i="5"/>
  <c r="R101" i="5" s="1"/>
  <c r="AF101" i="5"/>
  <c r="AA101" i="5" s="1"/>
  <c r="T707" i="5"/>
  <c r="O707" i="5" s="1"/>
  <c r="AC707" i="5"/>
  <c r="X707" i="5" s="1"/>
  <c r="V349" i="5"/>
  <c r="AE349" i="5"/>
  <c r="Z349" i="5" s="1"/>
  <c r="T124" i="5"/>
  <c r="AC124" i="5"/>
  <c r="X124" i="5" s="1"/>
  <c r="V347" i="5"/>
  <c r="Q347" i="5" s="1"/>
  <c r="AE347" i="5"/>
  <c r="Z347" i="5" s="1"/>
  <c r="W187" i="5"/>
  <c r="R187" i="5" s="1"/>
  <c r="AF187" i="5"/>
  <c r="AA187" i="5" s="1"/>
  <c r="U592" i="5"/>
  <c r="P592" i="5" s="1"/>
  <c r="AD592" i="5"/>
  <c r="Y592" i="5" s="1"/>
  <c r="V666" i="5"/>
  <c r="Q666" i="5" s="1"/>
  <c r="AE666" i="5"/>
  <c r="Z666" i="5" s="1"/>
  <c r="T597" i="5"/>
  <c r="O597" i="5" s="1"/>
  <c r="AC597" i="5"/>
  <c r="X597" i="5" s="1"/>
  <c r="T404" i="5"/>
  <c r="O404" i="5" s="1"/>
  <c r="AC404" i="5"/>
  <c r="X404" i="5" s="1"/>
  <c r="U607" i="5"/>
  <c r="P607" i="5" s="1"/>
  <c r="AD607" i="5"/>
  <c r="Y607" i="5" s="1"/>
  <c r="V301" i="5"/>
  <c r="Q301" i="5" s="1"/>
  <c r="AE301" i="5"/>
  <c r="Z301" i="5" s="1"/>
  <c r="V141" i="5"/>
  <c r="Q141" i="5" s="1"/>
  <c r="AE141" i="5"/>
  <c r="Z141" i="5" s="1"/>
  <c r="U140" i="5"/>
  <c r="P140" i="5" s="1"/>
  <c r="AD140" i="5"/>
  <c r="Y140" i="5" s="1"/>
  <c r="U719" i="5"/>
  <c r="AD719" i="5"/>
  <c r="Y719" i="5" s="1"/>
  <c r="T273" i="5"/>
  <c r="O273" i="5" s="1"/>
  <c r="AC273" i="5"/>
  <c r="V709" i="5"/>
  <c r="Q709" i="5" s="1"/>
  <c r="AE709" i="5"/>
  <c r="Z709" i="5" s="1"/>
  <c r="W100" i="5"/>
  <c r="R100" i="5" s="1"/>
  <c r="AF100" i="5"/>
  <c r="AA100" i="5" s="1"/>
  <c r="V227" i="5"/>
  <c r="Q227" i="5" s="1"/>
  <c r="AE227" i="5"/>
  <c r="Z227" i="5" s="1"/>
  <c r="U311" i="5"/>
  <c r="P311" i="5" s="1"/>
  <c r="AD311" i="5"/>
  <c r="Y311" i="5" s="1"/>
  <c r="U151" i="5"/>
  <c r="P151" i="5" s="1"/>
  <c r="AD151" i="5"/>
  <c r="Y151" i="5" s="1"/>
  <c r="T667" i="5"/>
  <c r="O667" i="5" s="1"/>
  <c r="AC667" i="5"/>
  <c r="X667" i="5" s="1"/>
  <c r="V187" i="5"/>
  <c r="Q187" i="5" s="1"/>
  <c r="AE187" i="5"/>
  <c r="Z187" i="5" s="1"/>
  <c r="T277" i="5"/>
  <c r="O277" i="5" s="1"/>
  <c r="AC277" i="5"/>
  <c r="X277" i="5" s="1"/>
  <c r="T244" i="5"/>
  <c r="O244" i="5" s="1"/>
  <c r="AC244" i="5"/>
  <c r="X244" i="5" s="1"/>
  <c r="U272" i="5"/>
  <c r="P272" i="5" s="1"/>
  <c r="AD272" i="5"/>
  <c r="Y272" i="5" s="1"/>
  <c r="U623" i="5"/>
  <c r="AD623" i="5"/>
  <c r="W477" i="5"/>
  <c r="AF477" i="5"/>
  <c r="AA477" i="5" s="1"/>
  <c r="W349" i="5"/>
  <c r="AF349" i="5"/>
  <c r="U29" i="5"/>
  <c r="P29" i="5" s="1"/>
  <c r="AD29" i="5"/>
  <c r="Y29" i="5" s="1"/>
  <c r="V563" i="5"/>
  <c r="Q563" i="5" s="1"/>
  <c r="AE563" i="5"/>
  <c r="Z563" i="5" s="1"/>
  <c r="V119" i="5"/>
  <c r="Q119" i="5" s="1"/>
  <c r="AE119" i="5"/>
  <c r="Z119" i="5" s="1"/>
  <c r="U551" i="5"/>
  <c r="P551" i="5" s="1"/>
  <c r="AD551" i="5"/>
  <c r="Y551" i="5" s="1"/>
  <c r="W261" i="5"/>
  <c r="R261" i="5" s="1"/>
  <c r="AF261" i="5"/>
  <c r="AA261" i="5" s="1"/>
  <c r="U676" i="5"/>
  <c r="P676" i="5" s="1"/>
  <c r="AD676" i="5"/>
  <c r="Y676" i="5" s="1"/>
  <c r="V64" i="5"/>
  <c r="Q64" i="5" s="1"/>
  <c r="AE64" i="5"/>
  <c r="Z64" i="5" s="1"/>
  <c r="V397" i="5"/>
  <c r="Q397" i="5" s="1"/>
  <c r="AE397" i="5"/>
  <c r="Z397" i="5" s="1"/>
  <c r="U332" i="5"/>
  <c r="P332" i="5" s="1"/>
  <c r="AD332" i="5"/>
  <c r="Y332" i="5" s="1"/>
  <c r="T241" i="5"/>
  <c r="AC241" i="5"/>
  <c r="W170" i="5"/>
  <c r="R170" i="5" s="1"/>
  <c r="AF170" i="5"/>
  <c r="AA170" i="5" s="1"/>
  <c r="U391" i="5"/>
  <c r="P391" i="5" s="1"/>
  <c r="AD391" i="5"/>
  <c r="Y391" i="5" s="1"/>
  <c r="W625" i="5"/>
  <c r="R625" i="5" s="1"/>
  <c r="AF625" i="5"/>
  <c r="AA625" i="5" s="1"/>
  <c r="V319" i="5"/>
  <c r="Q319" i="5" s="1"/>
  <c r="AE319" i="5"/>
  <c r="Z319" i="5" s="1"/>
  <c r="V438" i="5"/>
  <c r="Q438" i="5" s="1"/>
  <c r="AE438" i="5"/>
  <c r="Z438" i="5" s="1"/>
  <c r="W151" i="5"/>
  <c r="R151" i="5" s="1"/>
  <c r="AF151" i="5"/>
  <c r="AA151" i="5" s="1"/>
  <c r="W189" i="5"/>
  <c r="R189" i="5" s="1"/>
  <c r="AF189" i="5"/>
  <c r="AA189" i="5" s="1"/>
  <c r="T412" i="5"/>
  <c r="O412" i="5" s="1"/>
  <c r="AC412" i="5"/>
  <c r="X412" i="5" s="1"/>
  <c r="W405" i="5"/>
  <c r="R405" i="5" s="1"/>
  <c r="AF405" i="5"/>
  <c r="AA405" i="5" s="1"/>
  <c r="T242" i="5"/>
  <c r="O242" i="5" s="1"/>
  <c r="AC242" i="5"/>
  <c r="X242" i="5" s="1"/>
  <c r="T81" i="5"/>
  <c r="O81" i="5" s="1"/>
  <c r="AC81" i="5"/>
  <c r="X81" i="5" s="1"/>
  <c r="T549" i="5"/>
  <c r="AC549" i="5"/>
  <c r="V389" i="5"/>
  <c r="Q389" i="5" s="1"/>
  <c r="AE389" i="5"/>
  <c r="Z389" i="5" s="1"/>
  <c r="U675" i="5"/>
  <c r="P675" i="5" s="1"/>
  <c r="AD675" i="5"/>
  <c r="Y675" i="5" s="1"/>
  <c r="V726" i="5"/>
  <c r="Q726" i="5" s="1"/>
  <c r="AE726" i="5"/>
  <c r="Z726" i="5" s="1"/>
  <c r="V610" i="5"/>
  <c r="Q610" i="5" s="1"/>
  <c r="AE610" i="5"/>
  <c r="Z610" i="5" s="1"/>
  <c r="W97" i="5"/>
  <c r="R97" i="5" s="1"/>
  <c r="AF97" i="5"/>
  <c r="AA97" i="5" s="1"/>
  <c r="U317" i="5"/>
  <c r="P317" i="5" s="1"/>
  <c r="AD317" i="5"/>
  <c r="Y317" i="5" s="1"/>
  <c r="T214" i="5"/>
  <c r="O214" i="5" s="1"/>
  <c r="AC214" i="5"/>
  <c r="X214" i="5" s="1"/>
  <c r="V179" i="5"/>
  <c r="Q179" i="5" s="1"/>
  <c r="AE179" i="5"/>
  <c r="Z179" i="5" s="1"/>
  <c r="T532" i="5"/>
  <c r="O532" i="5" s="1"/>
  <c r="AC532" i="5"/>
  <c r="X532" i="5" s="1"/>
  <c r="W396" i="5"/>
  <c r="R396" i="5" s="1"/>
  <c r="AF396" i="5"/>
  <c r="AA396" i="5" s="1"/>
  <c r="V624" i="5"/>
  <c r="Q624" i="5" s="1"/>
  <c r="AE624" i="5"/>
  <c r="Z624" i="5" s="1"/>
  <c r="W519" i="5"/>
  <c r="AF519" i="5"/>
  <c r="AA519" i="5" s="1"/>
  <c r="T324" i="5"/>
  <c r="O324" i="5" s="1"/>
  <c r="AC324" i="5"/>
  <c r="X324" i="5" s="1"/>
  <c r="T738" i="5"/>
  <c r="O738" i="5" s="1"/>
  <c r="AC738" i="5"/>
  <c r="W130" i="5"/>
  <c r="AF130" i="5"/>
  <c r="AA130" i="5" s="1"/>
  <c r="V335" i="5"/>
  <c r="AE335" i="5"/>
  <c r="Z335" i="5" s="1"/>
  <c r="U637" i="5"/>
  <c r="P637" i="5" s="1"/>
  <c r="AD637" i="5"/>
  <c r="Y637" i="5" s="1"/>
  <c r="T572" i="5"/>
  <c r="O572" i="5" s="1"/>
  <c r="AC572" i="5"/>
  <c r="X572" i="5" s="1"/>
  <c r="W252" i="5"/>
  <c r="R252" i="5" s="1"/>
  <c r="AF252" i="5"/>
  <c r="AA252" i="5" s="1"/>
  <c r="W302" i="5"/>
  <c r="R302" i="5" s="1"/>
  <c r="AF302" i="5"/>
  <c r="AA302" i="5" s="1"/>
  <c r="V683" i="5"/>
  <c r="Q683" i="5" s="1"/>
  <c r="AE683" i="5"/>
  <c r="Z683" i="5" s="1"/>
  <c r="U279" i="5"/>
  <c r="P279" i="5" s="1"/>
  <c r="AD279" i="5"/>
  <c r="Y279" i="5" s="1"/>
  <c r="U138" i="5"/>
  <c r="P138" i="5" s="1"/>
  <c r="AD138" i="5"/>
  <c r="Y138" i="5" s="1"/>
  <c r="U585" i="5"/>
  <c r="AD585" i="5"/>
  <c r="U297" i="5"/>
  <c r="P297" i="5" s="1"/>
  <c r="AD297" i="5"/>
  <c r="V680" i="5"/>
  <c r="AE680" i="5"/>
  <c r="Z680" i="5" s="1"/>
  <c r="T72" i="5"/>
  <c r="O72" i="5" s="1"/>
  <c r="AC72" i="5"/>
  <c r="X72" i="5" s="1"/>
  <c r="T95" i="5"/>
  <c r="O95" i="5" s="1"/>
  <c r="AC95" i="5"/>
  <c r="X95" i="5" s="1"/>
  <c r="U183" i="5"/>
  <c r="P183" i="5" s="1"/>
  <c r="AD183" i="5"/>
  <c r="Y183" i="5" s="1"/>
  <c r="U319" i="5"/>
  <c r="P319" i="5" s="1"/>
  <c r="AD319" i="5"/>
  <c r="Y319" i="5" s="1"/>
  <c r="T402" i="5"/>
  <c r="O402" i="5" s="1"/>
  <c r="AC402" i="5"/>
  <c r="X402" i="5" s="1"/>
  <c r="V608" i="5"/>
  <c r="Q608" i="5" s="1"/>
  <c r="AE608" i="5"/>
  <c r="Z608" i="5" s="1"/>
  <c r="T288" i="5"/>
  <c r="O288" i="5" s="1"/>
  <c r="AC288" i="5"/>
  <c r="X288" i="5" s="1"/>
  <c r="T376" i="5"/>
  <c r="O376" i="5" s="1"/>
  <c r="AC376" i="5"/>
  <c r="X376" i="5" s="1"/>
  <c r="T372" i="5"/>
  <c r="O372" i="5" s="1"/>
  <c r="AC372" i="5"/>
  <c r="X372" i="5" s="1"/>
  <c r="U303" i="5"/>
  <c r="AD303" i="5"/>
  <c r="Y303" i="5" s="1"/>
  <c r="W683" i="5"/>
  <c r="R683" i="5" s="1"/>
  <c r="AF683" i="5"/>
  <c r="AA683" i="5" s="1"/>
  <c r="T137" i="5"/>
  <c r="O137" i="5" s="1"/>
  <c r="AC137" i="5"/>
  <c r="X137" i="5" s="1"/>
  <c r="U101" i="5"/>
  <c r="P101" i="5" s="1"/>
  <c r="AD101" i="5"/>
  <c r="Y101" i="5" s="1"/>
  <c r="V387" i="5"/>
  <c r="Q387" i="5" s="1"/>
  <c r="AE387" i="5"/>
  <c r="Z387" i="5" s="1"/>
  <c r="V633" i="5"/>
  <c r="Q633" i="5" s="1"/>
  <c r="AE633" i="5"/>
  <c r="Z633" i="5" s="1"/>
  <c r="U474" i="5"/>
  <c r="P474" i="5" s="1"/>
  <c r="AD474" i="5"/>
  <c r="Y474" i="5" s="1"/>
  <c r="U683" i="5"/>
  <c r="P683" i="5" s="1"/>
  <c r="AD683" i="5"/>
  <c r="Y683" i="5" s="1"/>
  <c r="T331" i="5"/>
  <c r="O331" i="5" s="1"/>
  <c r="AC331" i="5"/>
  <c r="X331" i="5" s="1"/>
  <c r="W397" i="5"/>
  <c r="R397" i="5" s="1"/>
  <c r="U77" i="5"/>
  <c r="P77" i="5" s="1"/>
  <c r="AD77" i="5"/>
  <c r="Y77" i="5" s="1"/>
  <c r="U287" i="5"/>
  <c r="P287" i="5" s="1"/>
  <c r="AD287" i="5"/>
  <c r="Y287" i="5" s="1"/>
  <c r="T319" i="5"/>
  <c r="O319" i="5" s="1"/>
  <c r="AC319" i="5"/>
  <c r="U130" i="5"/>
  <c r="AD130" i="5"/>
  <c r="Y130" i="5" s="1"/>
  <c r="V351" i="5"/>
  <c r="Q351" i="5" s="1"/>
  <c r="AE351" i="5"/>
  <c r="Z351" i="5" s="1"/>
  <c r="T477" i="5"/>
  <c r="O477" i="5" s="1"/>
  <c r="AC477" i="5"/>
  <c r="X477" i="5" s="1"/>
  <c r="T475" i="5"/>
  <c r="O475" i="5" s="1"/>
  <c r="AC475" i="5"/>
  <c r="U622" i="5"/>
  <c r="P622" i="5" s="1"/>
  <c r="AD622" i="5"/>
  <c r="Y622" i="5" s="1"/>
  <c r="U70" i="5"/>
  <c r="P70" i="5" s="1"/>
  <c r="AD70" i="5"/>
  <c r="Y70" i="5" s="1"/>
  <c r="T745" i="5"/>
  <c r="AC745" i="5"/>
  <c r="X745" i="5" s="1"/>
  <c r="T678" i="5"/>
  <c r="O678" i="5" s="1"/>
  <c r="AC678" i="5"/>
  <c r="X678" i="5" s="1"/>
  <c r="W198" i="5"/>
  <c r="R198" i="5" s="1"/>
  <c r="AF198" i="5"/>
  <c r="AA198" i="5" s="1"/>
  <c r="V254" i="5"/>
  <c r="Q254" i="5" s="1"/>
  <c r="AE254" i="5"/>
  <c r="Z254" i="5" s="1"/>
  <c r="T534" i="5"/>
  <c r="O534" i="5" s="1"/>
  <c r="AC534" i="5"/>
  <c r="X534" i="5" s="1"/>
  <c r="U95" i="5"/>
  <c r="P95" i="5" s="1"/>
  <c r="AD95" i="5"/>
  <c r="W502" i="5"/>
  <c r="R502" i="5" s="1"/>
  <c r="AF502" i="5"/>
  <c r="V359" i="5"/>
  <c r="Q359" i="5" s="1"/>
  <c r="AE359" i="5"/>
  <c r="Z359" i="5" s="1"/>
  <c r="T39" i="5"/>
  <c r="O39" i="5" s="1"/>
  <c r="AC39" i="5"/>
  <c r="X39" i="5" s="1"/>
  <c r="T62" i="5"/>
  <c r="O62" i="5" s="1"/>
  <c r="AC62" i="5"/>
  <c r="X62" i="5" s="1"/>
  <c r="T598" i="5"/>
  <c r="O598" i="5" s="1"/>
  <c r="AC598" i="5"/>
  <c r="X598" i="5" s="1"/>
  <c r="V703" i="5"/>
  <c r="Q703" i="5" s="1"/>
  <c r="AE703" i="5"/>
  <c r="Z703" i="5" s="1"/>
  <c r="W258" i="5"/>
  <c r="R258" i="5" s="1"/>
  <c r="AF258" i="5"/>
  <c r="AA258" i="5" s="1"/>
  <c r="U696" i="5"/>
  <c r="P696" i="5" s="1"/>
  <c r="AD696" i="5"/>
  <c r="Y696" i="5" s="1"/>
  <c r="U673" i="5"/>
  <c r="P673" i="5" s="1"/>
  <c r="AD673" i="5"/>
  <c r="Y673" i="5" s="1"/>
  <c r="U65" i="5"/>
  <c r="P65" i="5" s="1"/>
  <c r="AD65" i="5"/>
  <c r="Y65" i="5" s="1"/>
  <c r="U127" i="5"/>
  <c r="P127" i="5" s="1"/>
  <c r="AD127" i="5"/>
  <c r="Y127" i="5" s="1"/>
  <c r="T438" i="5"/>
  <c r="O438" i="5" s="1"/>
  <c r="AC438" i="5"/>
  <c r="U30" i="5"/>
  <c r="P30" i="5" s="1"/>
  <c r="AD30" i="5"/>
  <c r="V662" i="5"/>
  <c r="Q662" i="5" s="1"/>
  <c r="AE662" i="5"/>
  <c r="Z662" i="5" s="1"/>
  <c r="T317" i="5"/>
  <c r="O317" i="5" s="1"/>
  <c r="AC317" i="5"/>
  <c r="X317" i="5" s="1"/>
  <c r="T700" i="5"/>
  <c r="O700" i="5" s="1"/>
  <c r="AC700" i="5"/>
  <c r="X700" i="5" s="1"/>
  <c r="W540" i="5"/>
  <c r="R540" i="5" s="1"/>
  <c r="AF540" i="5"/>
  <c r="AA540" i="5" s="1"/>
  <c r="V92" i="5"/>
  <c r="Q92" i="5" s="1"/>
  <c r="AE92" i="5"/>
  <c r="Z92" i="5" s="1"/>
  <c r="V24" i="5"/>
  <c r="Q24" i="5" s="1"/>
  <c r="AE24" i="5"/>
  <c r="Z24" i="5" s="1"/>
  <c r="T315" i="5"/>
  <c r="O315" i="5" s="1"/>
  <c r="AC315" i="5"/>
  <c r="X315" i="5" s="1"/>
  <c r="W693" i="5"/>
  <c r="R693" i="5" s="1"/>
  <c r="AF693" i="5"/>
  <c r="AA693" i="5" s="1"/>
  <c r="U245" i="5"/>
  <c r="P245" i="5" s="1"/>
  <c r="AD245" i="5"/>
  <c r="Y245" i="5" s="1"/>
  <c r="T52" i="5"/>
  <c r="O52" i="5" s="1"/>
  <c r="AC52" i="5"/>
  <c r="X52" i="5" s="1"/>
  <c r="T499" i="5"/>
  <c r="O499" i="5" s="1"/>
  <c r="AC499" i="5"/>
  <c r="W303" i="5"/>
  <c r="R303" i="5" s="1"/>
  <c r="AF303" i="5"/>
  <c r="AA303" i="5" s="1"/>
  <c r="W622" i="5"/>
  <c r="R622" i="5" s="1"/>
  <c r="AF622" i="5"/>
  <c r="AA622" i="5" s="1"/>
  <c r="U520" i="5"/>
  <c r="AD520" i="5"/>
  <c r="Y520" i="5" s="1"/>
  <c r="U71" i="5"/>
  <c r="P71" i="5" s="1"/>
  <c r="AD71" i="5"/>
  <c r="Y71" i="5" s="1"/>
  <c r="V516" i="5"/>
  <c r="Q516" i="5" s="1"/>
  <c r="AE516" i="5"/>
  <c r="Z516" i="5" s="1"/>
  <c r="T725" i="5"/>
  <c r="O725" i="5" s="1"/>
  <c r="AC725" i="5"/>
  <c r="X725" i="5" s="1"/>
  <c r="U389" i="5"/>
  <c r="P389" i="5" s="1"/>
  <c r="AD389" i="5"/>
  <c r="Y389" i="5" s="1"/>
  <c r="W703" i="5"/>
  <c r="R703" i="5" s="1"/>
  <c r="AF703" i="5"/>
  <c r="AA703" i="5" s="1"/>
  <c r="W157" i="5"/>
  <c r="R157" i="5" s="1"/>
  <c r="AF157" i="5"/>
  <c r="AA157" i="5" s="1"/>
  <c r="T374" i="5"/>
  <c r="O374" i="5" s="1"/>
  <c r="AC374" i="5"/>
  <c r="X374" i="5" s="1"/>
  <c r="V565" i="5"/>
  <c r="Q565" i="5" s="1"/>
  <c r="AE565" i="5"/>
  <c r="Z565" i="5" s="1"/>
  <c r="T212" i="5"/>
  <c r="O212" i="5" s="1"/>
  <c r="AC212" i="5"/>
  <c r="W339" i="5"/>
  <c r="R339" i="5" s="1"/>
  <c r="AF339" i="5"/>
  <c r="AA339" i="5" s="1"/>
  <c r="V462" i="5"/>
  <c r="Q462" i="5" s="1"/>
  <c r="AE462" i="5"/>
  <c r="Z462" i="5" s="1"/>
  <c r="W331" i="5"/>
  <c r="AF331" i="5"/>
  <c r="AA331" i="5" s="1"/>
  <c r="V365" i="5"/>
  <c r="Q365" i="5" s="1"/>
  <c r="AE365" i="5"/>
  <c r="Z365" i="5" s="1"/>
  <c r="T300" i="5"/>
  <c r="O300" i="5" s="1"/>
  <c r="AC300" i="5"/>
  <c r="X300" i="5" s="1"/>
  <c r="V235" i="5"/>
  <c r="Q235" i="5" s="1"/>
  <c r="AE235" i="5"/>
  <c r="Z235" i="5" s="1"/>
  <c r="T462" i="5"/>
  <c r="AC462" i="5"/>
  <c r="X462" i="5" s="1"/>
  <c r="W470" i="5"/>
  <c r="R470" i="5" s="1"/>
  <c r="AF470" i="5"/>
  <c r="AA470" i="5" s="1"/>
  <c r="V685" i="5"/>
  <c r="Q685" i="5" s="1"/>
  <c r="AE685" i="5"/>
  <c r="Z685" i="5" s="1"/>
  <c r="U525" i="5"/>
  <c r="P525" i="5" s="1"/>
  <c r="AD525" i="5"/>
  <c r="Y525" i="5" s="1"/>
  <c r="U365" i="5"/>
  <c r="P365" i="5" s="1"/>
  <c r="AD365" i="5"/>
  <c r="Y365" i="5" s="1"/>
  <c r="W77" i="5"/>
  <c r="R77" i="5" s="1"/>
  <c r="AF77" i="5"/>
  <c r="T492" i="5"/>
  <c r="O492" i="5" s="1"/>
  <c r="AC492" i="5"/>
  <c r="X492" i="5" s="1"/>
  <c r="T747" i="5"/>
  <c r="O747" i="5" s="1"/>
  <c r="AC747" i="5"/>
  <c r="X747" i="5" s="1"/>
  <c r="T70" i="5"/>
  <c r="O70" i="5" s="1"/>
  <c r="AC70" i="5"/>
  <c r="X70" i="5" s="1"/>
  <c r="V198" i="5"/>
  <c r="Q198" i="5" s="1"/>
  <c r="AE198" i="5"/>
  <c r="Z198" i="5" s="1"/>
  <c r="W80" i="5"/>
  <c r="R80" i="5" s="1"/>
  <c r="AF80" i="5"/>
  <c r="AA80" i="5" s="1"/>
  <c r="U648" i="5"/>
  <c r="P648" i="5" s="1"/>
  <c r="AD648" i="5"/>
  <c r="Y648" i="5" s="1"/>
  <c r="T166" i="5"/>
  <c r="AC166" i="5"/>
  <c r="X166" i="5" s="1"/>
  <c r="W598" i="5"/>
  <c r="R598" i="5" s="1"/>
  <c r="AF598" i="5"/>
  <c r="AA598" i="5" s="1"/>
  <c r="T229" i="5"/>
  <c r="AC229" i="5"/>
  <c r="X229" i="5" s="1"/>
  <c r="T484" i="5"/>
  <c r="O484" i="5" s="1"/>
  <c r="AC484" i="5"/>
  <c r="X484" i="5" s="1"/>
  <c r="V515" i="5"/>
  <c r="Q515" i="5" s="1"/>
  <c r="AE515" i="5"/>
  <c r="Z515" i="5" s="1"/>
  <c r="V355" i="5"/>
  <c r="Q355" i="5" s="1"/>
  <c r="AE355" i="5"/>
  <c r="T418" i="5"/>
  <c r="O418" i="5" s="1"/>
  <c r="AC418" i="5"/>
  <c r="X418" i="5" s="1"/>
  <c r="W335" i="5"/>
  <c r="R335" i="5" s="1"/>
  <c r="AF335" i="5"/>
  <c r="U185" i="5"/>
  <c r="P185" i="5" s="1"/>
  <c r="AD185" i="5"/>
  <c r="U721" i="5"/>
  <c r="P721" i="5" s="1"/>
  <c r="AD721" i="5"/>
  <c r="Y721" i="5" s="1"/>
  <c r="W533" i="5"/>
  <c r="R533" i="5" s="1"/>
  <c r="AF533" i="5"/>
  <c r="AA533" i="5" s="1"/>
  <c r="V340" i="5"/>
  <c r="Q340" i="5" s="1"/>
  <c r="AE340" i="5"/>
  <c r="Z340" i="5" s="1"/>
  <c r="U175" i="5"/>
  <c r="P175" i="5" s="1"/>
  <c r="AD175" i="5"/>
  <c r="Y175" i="5" s="1"/>
  <c r="U500" i="5"/>
  <c r="P500" i="5" s="1"/>
  <c r="AD500" i="5"/>
  <c r="Y500" i="5" s="1"/>
  <c r="U753" i="5"/>
  <c r="P753" i="5" s="1"/>
  <c r="AD753" i="5"/>
  <c r="Y753" i="5" s="1"/>
  <c r="U624" i="5"/>
  <c r="P624" i="5" s="1"/>
  <c r="AD624" i="5"/>
  <c r="Y624" i="5" s="1"/>
  <c r="V519" i="5"/>
  <c r="AE519" i="5"/>
  <c r="Z519" i="5" s="1"/>
  <c r="W262" i="5"/>
  <c r="R262" i="5" s="1"/>
  <c r="AF262" i="5"/>
  <c r="T677" i="5"/>
  <c r="O677" i="5" s="1"/>
  <c r="AC677" i="5"/>
  <c r="T676" i="5"/>
  <c r="O676" i="5" s="1"/>
  <c r="AC676" i="5"/>
  <c r="X676" i="5" s="1"/>
  <c r="U625" i="5"/>
  <c r="P625" i="5" s="1"/>
  <c r="AD625" i="5"/>
  <c r="Y625" i="5" s="1"/>
  <c r="V252" i="5"/>
  <c r="Q252" i="5" s="1"/>
  <c r="AE252" i="5"/>
  <c r="Z252" i="5" s="1"/>
  <c r="T634" i="5"/>
  <c r="O634" i="5" s="1"/>
  <c r="AC634" i="5"/>
  <c r="X634" i="5" s="1"/>
  <c r="W245" i="5"/>
  <c r="R245" i="5" s="1"/>
  <c r="AF245" i="5"/>
  <c r="AA245" i="5" s="1"/>
  <c r="W340" i="5"/>
  <c r="AF340" i="5"/>
  <c r="AA340" i="5" s="1"/>
  <c r="T303" i="5"/>
  <c r="O303" i="5" s="1"/>
  <c r="AC303" i="5"/>
  <c r="X303" i="5" s="1"/>
  <c r="W142" i="5"/>
  <c r="R142" i="5" s="1"/>
  <c r="AF142" i="5"/>
  <c r="AA142" i="5" s="1"/>
  <c r="W237" i="5"/>
  <c r="R237" i="5" s="1"/>
  <c r="AF237" i="5"/>
  <c r="AA237" i="5" s="1"/>
  <c r="V590" i="5"/>
  <c r="Q590" i="5" s="1"/>
  <c r="AE590" i="5"/>
  <c r="Z590" i="5" s="1"/>
  <c r="W430" i="5"/>
  <c r="R430" i="5" s="1"/>
  <c r="AF430" i="5"/>
  <c r="U57" i="5"/>
  <c r="AD57" i="5"/>
  <c r="V470" i="5"/>
  <c r="Q470" i="5" s="1"/>
  <c r="AE470" i="5"/>
  <c r="Z470" i="5" s="1"/>
  <c r="T365" i="5"/>
  <c r="AC365" i="5"/>
  <c r="X365" i="5" s="1"/>
  <c r="V205" i="5"/>
  <c r="Q205" i="5" s="1"/>
  <c r="AE205" i="5"/>
  <c r="Z205" i="5" s="1"/>
  <c r="T652" i="5"/>
  <c r="O652" i="5" s="1"/>
  <c r="AC652" i="5"/>
  <c r="X652" i="5" s="1"/>
  <c r="W300" i="5"/>
  <c r="R300" i="5" s="1"/>
  <c r="AF300" i="5"/>
  <c r="AA300" i="5" s="1"/>
  <c r="W575" i="5"/>
  <c r="AF575" i="5"/>
  <c r="AA575" i="5" s="1"/>
  <c r="W70" i="5"/>
  <c r="R70" i="5" s="1"/>
  <c r="AF70" i="5"/>
  <c r="AA70" i="5" s="1"/>
  <c r="U38" i="5"/>
  <c r="P38" i="5" s="1"/>
  <c r="AD38" i="5"/>
  <c r="Y38" i="5" s="1"/>
  <c r="U40" i="5"/>
  <c r="P40" i="5" s="1"/>
  <c r="AD40" i="5"/>
  <c r="Y40" i="5" s="1"/>
  <c r="W670" i="5"/>
  <c r="R670" i="5" s="1"/>
  <c r="AF670" i="5"/>
  <c r="AA670" i="5" s="1"/>
  <c r="W166" i="5"/>
  <c r="R166" i="5" s="1"/>
  <c r="AF166" i="5"/>
  <c r="U677" i="5"/>
  <c r="P677" i="5" s="1"/>
  <c r="AD677" i="5"/>
  <c r="Y677" i="5" s="1"/>
  <c r="T196" i="5"/>
  <c r="O196" i="5" s="1"/>
  <c r="AC196" i="5"/>
  <c r="X196" i="5" s="1"/>
  <c r="W195" i="5"/>
  <c r="R195" i="5" s="1"/>
  <c r="AF195" i="5"/>
  <c r="AA195" i="5" s="1"/>
  <c r="V734" i="5"/>
  <c r="Q734" i="5" s="1"/>
  <c r="AE734" i="5"/>
  <c r="Z734" i="5" s="1"/>
  <c r="V484" i="5"/>
  <c r="Q484" i="5" s="1"/>
  <c r="AE484" i="5"/>
  <c r="Z484" i="5" s="1"/>
  <c r="T355" i="5"/>
  <c r="O355" i="5" s="1"/>
  <c r="AC355" i="5"/>
  <c r="X355" i="5" s="1"/>
  <c r="W159" i="5"/>
  <c r="R159" i="5" s="1"/>
  <c r="AF159" i="5"/>
  <c r="AA159" i="5" s="1"/>
  <c r="W285" i="5"/>
  <c r="R285" i="5" s="1"/>
  <c r="AF285" i="5"/>
  <c r="AA285" i="5" s="1"/>
  <c r="V28" i="5"/>
  <c r="Q28" i="5" s="1"/>
  <c r="AE28" i="5"/>
  <c r="Z28" i="5" s="1"/>
  <c r="U249" i="5"/>
  <c r="P249" i="5" s="1"/>
  <c r="AD249" i="5"/>
  <c r="Y249" i="5" s="1"/>
  <c r="T380" i="5"/>
  <c r="O380" i="5" s="1"/>
  <c r="AC380" i="5"/>
  <c r="X380" i="5" s="1"/>
  <c r="U24" i="5"/>
  <c r="P24" i="5" s="1"/>
  <c r="AD24" i="5"/>
  <c r="U442" i="5"/>
  <c r="AD442" i="5"/>
  <c r="T721" i="5"/>
  <c r="O721" i="5" s="1"/>
  <c r="AC721" i="5"/>
  <c r="X721" i="5" s="1"/>
  <c r="W373" i="5"/>
  <c r="R373" i="5" s="1"/>
  <c r="AF373" i="5"/>
  <c r="AA373" i="5" s="1"/>
  <c r="V85" i="5"/>
  <c r="Q85" i="5" s="1"/>
  <c r="AE85" i="5"/>
  <c r="Z85" i="5" s="1"/>
  <c r="V175" i="5"/>
  <c r="Q175" i="5" s="1"/>
  <c r="AE175" i="5"/>
  <c r="Z175" i="5" s="1"/>
  <c r="V691" i="5"/>
  <c r="Q691" i="5" s="1"/>
  <c r="AE691" i="5"/>
  <c r="Z691" i="5" s="1"/>
  <c r="V176" i="5"/>
  <c r="Q176" i="5" s="1"/>
  <c r="AE176" i="5"/>
  <c r="Z176" i="5" s="1"/>
  <c r="T142" i="5"/>
  <c r="O142" i="5" s="1"/>
  <c r="AC142" i="5"/>
  <c r="X142" i="5" s="1"/>
  <c r="W492" i="5"/>
  <c r="R492" i="5" s="1"/>
  <c r="AF492" i="5"/>
  <c r="AA492" i="5" s="1"/>
  <c r="T255" i="5"/>
  <c r="O255" i="5" s="1"/>
  <c r="AC255" i="5"/>
  <c r="X255" i="5" s="1"/>
  <c r="W200" i="5"/>
  <c r="R200" i="5" s="1"/>
  <c r="AF200" i="5"/>
  <c r="AA200" i="5" s="1"/>
  <c r="V326" i="5"/>
  <c r="Q326" i="5" s="1"/>
  <c r="AE326" i="5"/>
  <c r="V54" i="5"/>
  <c r="Q54" i="5" s="1"/>
  <c r="AE54" i="5"/>
  <c r="U647" i="5"/>
  <c r="P647" i="5" s="1"/>
  <c r="AD647" i="5"/>
  <c r="Y647" i="5" s="1"/>
  <c r="W327" i="5"/>
  <c r="R327" i="5" s="1"/>
  <c r="AF327" i="5"/>
  <c r="AA327" i="5" s="1"/>
  <c r="U39" i="5"/>
  <c r="P39" i="5" s="1"/>
  <c r="AD39" i="5"/>
  <c r="Y39" i="5" s="1"/>
  <c r="W153" i="5"/>
  <c r="R153" i="5" s="1"/>
  <c r="AF153" i="5"/>
  <c r="AA153" i="5" s="1"/>
  <c r="V196" i="5"/>
  <c r="Q196" i="5" s="1"/>
  <c r="AE196" i="5"/>
  <c r="Z196" i="5" s="1"/>
  <c r="U566" i="5"/>
  <c r="P566" i="5" s="1"/>
  <c r="AD566" i="5"/>
  <c r="Y566" i="5" s="1"/>
  <c r="W479" i="5"/>
  <c r="R479" i="5" s="1"/>
  <c r="AF479" i="5"/>
  <c r="AA479" i="5" s="1"/>
  <c r="V706" i="5"/>
  <c r="AE706" i="5"/>
  <c r="Z706" i="5" s="1"/>
  <c r="U593" i="5"/>
  <c r="P593" i="5" s="1"/>
  <c r="AD593" i="5"/>
  <c r="Y593" i="5" s="1"/>
  <c r="V127" i="5"/>
  <c r="Q127" i="5" s="1"/>
  <c r="AE127" i="5"/>
  <c r="Z127" i="5" s="1"/>
  <c r="V182" i="5"/>
  <c r="Q182" i="5" s="1"/>
  <c r="AE182" i="5"/>
  <c r="U576" i="5"/>
  <c r="P576" i="5" s="1"/>
  <c r="AD576" i="5"/>
  <c r="Y576" i="5" s="1"/>
  <c r="T605" i="5"/>
  <c r="O605" i="5" s="1"/>
  <c r="AC605" i="5"/>
  <c r="X605" i="5" s="1"/>
  <c r="V285" i="5"/>
  <c r="Q285" i="5" s="1"/>
  <c r="AE285" i="5"/>
  <c r="Z285" i="5" s="1"/>
  <c r="U118" i="5"/>
  <c r="P118" i="5" s="1"/>
  <c r="AD118" i="5"/>
  <c r="Y118" i="5" s="1"/>
  <c r="V380" i="5"/>
  <c r="Q380" i="5" s="1"/>
  <c r="AE380" i="5"/>
  <c r="Z380" i="5" s="1"/>
  <c r="T220" i="5"/>
  <c r="O220" i="5" s="1"/>
  <c r="AC220" i="5"/>
  <c r="X220" i="5" s="1"/>
  <c r="W663" i="5"/>
  <c r="AF663" i="5"/>
  <c r="AA663" i="5" s="1"/>
  <c r="U240" i="5"/>
  <c r="P240" i="5" s="1"/>
  <c r="AD240" i="5"/>
  <c r="Y240" i="5" s="1"/>
  <c r="T693" i="5"/>
  <c r="O693" i="5" s="1"/>
  <c r="AC693" i="5"/>
  <c r="X693" i="5" s="1"/>
  <c r="U213" i="5"/>
  <c r="P213" i="5" s="1"/>
  <c r="AD213" i="5"/>
  <c r="Y213" i="5" s="1"/>
  <c r="T340" i="5"/>
  <c r="O340" i="5" s="1"/>
  <c r="AC340" i="5"/>
  <c r="X340" i="5" s="1"/>
  <c r="V659" i="5"/>
  <c r="Q659" i="5" s="1"/>
  <c r="AE659" i="5"/>
  <c r="T691" i="5"/>
  <c r="O691" i="5" s="1"/>
  <c r="AC691" i="5"/>
  <c r="X691" i="5" s="1"/>
  <c r="V540" i="5"/>
  <c r="Q540" i="5" s="1"/>
  <c r="AE540" i="5"/>
  <c r="Z540" i="5" s="1"/>
  <c r="V302" i="5"/>
  <c r="Q302" i="5" s="1"/>
  <c r="AE302" i="5"/>
  <c r="Z302" i="5" s="1"/>
  <c r="T525" i="5"/>
  <c r="O525" i="5" s="1"/>
  <c r="AC525" i="5"/>
  <c r="X525" i="5" s="1"/>
  <c r="U342" i="5"/>
  <c r="P342" i="5" s="1"/>
  <c r="AD342" i="5"/>
  <c r="Y342" i="5" s="1"/>
  <c r="V300" i="5"/>
  <c r="Q300" i="5" s="1"/>
  <c r="AE300" i="5"/>
  <c r="Z300" i="5" s="1"/>
  <c r="U720" i="5"/>
  <c r="P720" i="5" s="1"/>
  <c r="AD720" i="5"/>
  <c r="Y720" i="5" s="1"/>
  <c r="W426" i="5"/>
  <c r="R426" i="5" s="1"/>
  <c r="AF426" i="5"/>
  <c r="AA426" i="5" s="1"/>
  <c r="U695" i="5"/>
  <c r="P695" i="5" s="1"/>
  <c r="AD695" i="5"/>
  <c r="Y695" i="5" s="1"/>
  <c r="U713" i="5"/>
  <c r="P713" i="5" s="1"/>
  <c r="AD713" i="5"/>
  <c r="Y713" i="5" s="1"/>
  <c r="V614" i="5"/>
  <c r="AE614" i="5"/>
  <c r="Z614" i="5" s="1"/>
  <c r="W167" i="5"/>
  <c r="R167" i="5" s="1"/>
  <c r="AF167" i="5"/>
  <c r="U153" i="5"/>
  <c r="P153" i="5" s="1"/>
  <c r="AD153" i="5"/>
  <c r="V197" i="5"/>
  <c r="Q197" i="5" s="1"/>
  <c r="AE197" i="5"/>
  <c r="V37" i="5"/>
  <c r="Q37" i="5" s="1"/>
  <c r="AE37" i="5"/>
  <c r="Z37" i="5" s="1"/>
  <c r="U34" i="5"/>
  <c r="P34" i="5" s="1"/>
  <c r="AD34" i="5"/>
  <c r="Y34" i="5" s="1"/>
  <c r="W484" i="5"/>
  <c r="R484" i="5" s="1"/>
  <c r="AF484" i="5"/>
  <c r="AA484" i="5" s="1"/>
  <c r="U336" i="5"/>
  <c r="P336" i="5" s="1"/>
  <c r="AD336" i="5"/>
  <c r="Y336" i="5" s="1"/>
  <c r="V67" i="5"/>
  <c r="Q67" i="5" s="1"/>
  <c r="AE67" i="5"/>
  <c r="Z67" i="5" s="1"/>
  <c r="W574" i="5"/>
  <c r="R574" i="5" s="1"/>
  <c r="AF574" i="5"/>
  <c r="AA574" i="5" s="1"/>
  <c r="U353" i="5"/>
  <c r="P353" i="5" s="1"/>
  <c r="AD353" i="5"/>
  <c r="Y353" i="5" s="1"/>
  <c r="W416" i="5"/>
  <c r="R416" i="5" s="1"/>
  <c r="AF416" i="5"/>
  <c r="AA416" i="5" s="1"/>
  <c r="U285" i="5"/>
  <c r="P285" i="5" s="1"/>
  <c r="AD285" i="5"/>
  <c r="Y285" i="5" s="1"/>
  <c r="T125" i="5"/>
  <c r="O125" i="5" s="1"/>
  <c r="AC125" i="5"/>
  <c r="T348" i="5"/>
  <c r="O348" i="5" s="1"/>
  <c r="AC348" i="5"/>
  <c r="X348" i="5" s="1"/>
  <c r="V220" i="5"/>
  <c r="Q220" i="5" s="1"/>
  <c r="AE220" i="5"/>
  <c r="Z220" i="5" s="1"/>
  <c r="V663" i="5"/>
  <c r="Q663" i="5" s="1"/>
  <c r="AE663" i="5"/>
  <c r="Z663" i="5" s="1"/>
  <c r="T123" i="5"/>
  <c r="O123" i="5" s="1"/>
  <c r="AC123" i="5"/>
  <c r="X123" i="5" s="1"/>
  <c r="T250" i="5"/>
  <c r="O250" i="5" s="1"/>
  <c r="AC250" i="5"/>
  <c r="X250" i="5" s="1"/>
  <c r="T218" i="5"/>
  <c r="O218" i="5" s="1"/>
  <c r="AC218" i="5"/>
  <c r="X218" i="5" s="1"/>
  <c r="T213" i="5"/>
  <c r="O213" i="5" s="1"/>
  <c r="AC213" i="5"/>
  <c r="X213" i="5" s="1"/>
  <c r="T180" i="5"/>
  <c r="O180" i="5" s="1"/>
  <c r="AC180" i="5"/>
  <c r="X180" i="5" s="1"/>
  <c r="V275" i="5"/>
  <c r="Q275" i="5" s="1"/>
  <c r="AE275" i="5"/>
  <c r="Z275" i="5" s="1"/>
  <c r="U305" i="5"/>
  <c r="P305" i="5" s="1"/>
  <c r="AD305" i="5"/>
  <c r="Y305" i="5" s="1"/>
  <c r="T531" i="5"/>
  <c r="O531" i="5" s="1"/>
  <c r="AC531" i="5"/>
  <c r="X531" i="5" s="1"/>
  <c r="U590" i="5"/>
  <c r="P590" i="5" s="1"/>
  <c r="AD590" i="5"/>
  <c r="T86" i="5"/>
  <c r="O86" i="5" s="1"/>
  <c r="AC86" i="5"/>
  <c r="X86" i="5" s="1"/>
  <c r="W255" i="5"/>
  <c r="R255" i="5" s="1"/>
  <c r="AF255" i="5"/>
  <c r="T73" i="5"/>
  <c r="AC73" i="5"/>
  <c r="X73" i="5" s="1"/>
  <c r="V38" i="5"/>
  <c r="Q38" i="5" s="1"/>
  <c r="AE38" i="5"/>
  <c r="Z38" i="5" s="1"/>
  <c r="W54" i="5"/>
  <c r="R54" i="5" s="1"/>
  <c r="AF54" i="5"/>
  <c r="AA54" i="5" s="1"/>
  <c r="U487" i="5"/>
  <c r="P487" i="5" s="1"/>
  <c r="AD487" i="5"/>
  <c r="Y487" i="5" s="1"/>
  <c r="V466" i="5"/>
  <c r="Q466" i="5" s="1"/>
  <c r="AE466" i="5"/>
  <c r="Z466" i="5" s="1"/>
  <c r="V399" i="5"/>
  <c r="Q399" i="5" s="1"/>
  <c r="AE399" i="5"/>
  <c r="Z399" i="5" s="1"/>
  <c r="U645" i="5"/>
  <c r="P645" i="5" s="1"/>
  <c r="AD645" i="5"/>
  <c r="Y645" i="5" s="1"/>
  <c r="U485" i="5"/>
  <c r="P485" i="5" s="1"/>
  <c r="AD485" i="5"/>
  <c r="Y485" i="5" s="1"/>
  <c r="U222" i="5"/>
  <c r="P222" i="5" s="1"/>
  <c r="AD222" i="5"/>
  <c r="Y222" i="5" s="1"/>
  <c r="T386" i="5"/>
  <c r="O386" i="5" s="1"/>
  <c r="AC386" i="5"/>
  <c r="U375" i="5"/>
  <c r="P375" i="5" s="1"/>
  <c r="AD375" i="5"/>
  <c r="Y375" i="5" s="1"/>
  <c r="W431" i="5"/>
  <c r="R431" i="5" s="1"/>
  <c r="AF431" i="5"/>
  <c r="AA431" i="5" s="1"/>
  <c r="W348" i="5"/>
  <c r="R348" i="5" s="1"/>
  <c r="AF348" i="5"/>
  <c r="AA348" i="5" s="1"/>
  <c r="V60" i="5"/>
  <c r="Q60" i="5" s="1"/>
  <c r="AE60" i="5"/>
  <c r="Z60" i="5" s="1"/>
  <c r="U377" i="5"/>
  <c r="P377" i="5" s="1"/>
  <c r="AD377" i="5"/>
  <c r="Y377" i="5" s="1"/>
  <c r="T146" i="5"/>
  <c r="O146" i="5" s="1"/>
  <c r="AC146" i="5"/>
  <c r="X146" i="5" s="1"/>
  <c r="V730" i="5"/>
  <c r="Q730" i="5" s="1"/>
  <c r="AE730" i="5"/>
  <c r="Z730" i="5" s="1"/>
  <c r="V373" i="5"/>
  <c r="Q373" i="5" s="1"/>
  <c r="AE373" i="5"/>
  <c r="Z373" i="5" s="1"/>
  <c r="T53" i="5"/>
  <c r="O53" i="5" s="1"/>
  <c r="AC53" i="5"/>
  <c r="X53" i="5" s="1"/>
  <c r="W175" i="5"/>
  <c r="R175" i="5" s="1"/>
  <c r="AF175" i="5"/>
  <c r="AA175" i="5" s="1"/>
  <c r="W359" i="5"/>
  <c r="R359" i="5" s="1"/>
  <c r="AF359" i="5"/>
  <c r="AA359" i="5" s="1"/>
  <c r="T45" i="5"/>
  <c r="O45" i="5" s="1"/>
  <c r="AC45" i="5"/>
  <c r="U191" i="5"/>
  <c r="P191" i="5" s="1"/>
  <c r="AD191" i="5"/>
  <c r="Y191" i="5" s="1"/>
  <c r="V591" i="5"/>
  <c r="Q591" i="5" s="1"/>
  <c r="AE591" i="5"/>
  <c r="Z591" i="5" s="1"/>
  <c r="V493" i="5"/>
  <c r="Q493" i="5" s="1"/>
  <c r="AE493" i="5"/>
  <c r="Z493" i="5" s="1"/>
  <c r="V173" i="5"/>
  <c r="Q173" i="5" s="1"/>
  <c r="AE173" i="5"/>
  <c r="Z173" i="5" s="1"/>
  <c r="W45" i="5"/>
  <c r="R45" i="5" s="1"/>
  <c r="AF45" i="5"/>
  <c r="AA45" i="5" s="1"/>
  <c r="V460" i="5"/>
  <c r="Q460" i="5" s="1"/>
  <c r="AE460" i="5"/>
  <c r="Z460" i="5" s="1"/>
  <c r="T491" i="5"/>
  <c r="O491" i="5" s="1"/>
  <c r="AC491" i="5"/>
  <c r="X491" i="5" s="1"/>
  <c r="W344" i="5"/>
  <c r="R344" i="5" s="1"/>
  <c r="AF344" i="5"/>
  <c r="AA344" i="5" s="1"/>
  <c r="U394" i="5"/>
  <c r="P394" i="5" s="1"/>
  <c r="AD394" i="5"/>
  <c r="Y394" i="5" s="1"/>
  <c r="W695" i="5"/>
  <c r="R695" i="5" s="1"/>
  <c r="AF695" i="5"/>
  <c r="AA695" i="5" s="1"/>
  <c r="U688" i="5"/>
  <c r="P688" i="5" s="1"/>
  <c r="AD688" i="5"/>
  <c r="Y688" i="5" s="1"/>
  <c r="T553" i="5"/>
  <c r="O553" i="5" s="1"/>
  <c r="AC553" i="5"/>
  <c r="T530" i="5"/>
  <c r="AC530" i="5"/>
  <c r="V239" i="5"/>
  <c r="Q239" i="5" s="1"/>
  <c r="AE239" i="5"/>
  <c r="Z239" i="5" s="1"/>
  <c r="U742" i="5"/>
  <c r="AD742" i="5"/>
  <c r="Y742" i="5" s="1"/>
  <c r="V230" i="5"/>
  <c r="Q230" i="5" s="1"/>
  <c r="AE230" i="5"/>
  <c r="Z230" i="5" s="1"/>
  <c r="W527" i="5"/>
  <c r="R527" i="5" s="1"/>
  <c r="AF527" i="5"/>
  <c r="AA527" i="5" s="1"/>
  <c r="U466" i="5"/>
  <c r="P466" i="5" s="1"/>
  <c r="AD466" i="5"/>
  <c r="Y466" i="5" s="1"/>
  <c r="T399" i="5"/>
  <c r="O399" i="5" s="1"/>
  <c r="AC399" i="5"/>
  <c r="X399" i="5" s="1"/>
  <c r="T485" i="5"/>
  <c r="O485" i="5" s="1"/>
  <c r="AC485" i="5"/>
  <c r="X485" i="5" s="1"/>
  <c r="T197" i="5"/>
  <c r="O197" i="5" s="1"/>
  <c r="AC197" i="5"/>
  <c r="X197" i="5" s="1"/>
  <c r="T37" i="5"/>
  <c r="O37" i="5" s="1"/>
  <c r="AC37" i="5"/>
  <c r="X37" i="5" s="1"/>
  <c r="V131" i="5"/>
  <c r="Q131" i="5" s="1"/>
  <c r="AE131" i="5"/>
  <c r="Z131" i="5" s="1"/>
  <c r="V566" i="5"/>
  <c r="Q566" i="5" s="1"/>
  <c r="AE566" i="5"/>
  <c r="W260" i="5"/>
  <c r="R260" i="5" s="1"/>
  <c r="AF260" i="5"/>
  <c r="AA260" i="5" s="1"/>
  <c r="T706" i="5"/>
  <c r="O706" i="5" s="1"/>
  <c r="AC706" i="5"/>
  <c r="V432" i="5"/>
  <c r="Q432" i="5" s="1"/>
  <c r="AE432" i="5"/>
  <c r="Z432" i="5" s="1"/>
  <c r="V733" i="5"/>
  <c r="Q733" i="5" s="1"/>
  <c r="AE733" i="5"/>
  <c r="Z733" i="5" s="1"/>
  <c r="V573" i="5"/>
  <c r="Q573" i="5" s="1"/>
  <c r="AE573" i="5"/>
  <c r="Z573" i="5" s="1"/>
  <c r="W125" i="5"/>
  <c r="R125" i="5" s="1"/>
  <c r="AF125" i="5"/>
  <c r="AA125" i="5" s="1"/>
  <c r="V47" i="5"/>
  <c r="AE47" i="5"/>
  <c r="Z47" i="5" s="1"/>
  <c r="T508" i="5"/>
  <c r="O508" i="5" s="1"/>
  <c r="AC508" i="5"/>
  <c r="X508" i="5" s="1"/>
  <c r="U250" i="5"/>
  <c r="P250" i="5" s="1"/>
  <c r="AD250" i="5"/>
  <c r="Y250" i="5" s="1"/>
  <c r="V21" i="5"/>
  <c r="Q21" i="5" s="1"/>
  <c r="AE21" i="5"/>
  <c r="Z21" i="5" s="1"/>
  <c r="U335" i="5"/>
  <c r="P335" i="5" s="1"/>
  <c r="AD335" i="5"/>
  <c r="Y335" i="5" s="1"/>
  <c r="U470" i="5"/>
  <c r="P470" i="5" s="1"/>
  <c r="AD470" i="5"/>
  <c r="W191" i="5"/>
  <c r="AF191" i="5"/>
  <c r="AA191" i="5" s="1"/>
  <c r="V143" i="5"/>
  <c r="Q143" i="5" s="1"/>
  <c r="AE143" i="5"/>
  <c r="Z143" i="5" s="1"/>
  <c r="V333" i="5"/>
  <c r="Q333" i="5" s="1"/>
  <c r="AE333" i="5"/>
  <c r="Z333" i="5" s="1"/>
  <c r="U230" i="5"/>
  <c r="P230" i="5" s="1"/>
  <c r="AD230" i="5"/>
  <c r="Y230" i="5" s="1"/>
  <c r="U167" i="5"/>
  <c r="P167" i="5" s="1"/>
  <c r="AD167" i="5"/>
  <c r="Y167" i="5" s="1"/>
  <c r="W399" i="5"/>
  <c r="R399" i="5" s="1"/>
  <c r="AF399" i="5"/>
  <c r="AA399" i="5" s="1"/>
  <c r="W325" i="5"/>
  <c r="R325" i="5" s="1"/>
  <c r="AF325" i="5"/>
  <c r="AA325" i="5" s="1"/>
  <c r="W164" i="5"/>
  <c r="R164" i="5" s="1"/>
  <c r="AF164" i="5"/>
  <c r="AA164" i="5" s="1"/>
  <c r="W566" i="5"/>
  <c r="R566" i="5" s="1"/>
  <c r="AF566" i="5"/>
  <c r="AA566" i="5" s="1"/>
  <c r="U479" i="5"/>
  <c r="P479" i="5" s="1"/>
  <c r="AD479" i="5"/>
  <c r="Y479" i="5" s="1"/>
  <c r="U343" i="5"/>
  <c r="P343" i="5" s="1"/>
  <c r="AD343" i="5"/>
  <c r="Y343" i="5" s="1"/>
  <c r="W67" i="5"/>
  <c r="R67" i="5" s="1"/>
  <c r="AF67" i="5"/>
  <c r="V375" i="5"/>
  <c r="Q375" i="5" s="1"/>
  <c r="AE375" i="5"/>
  <c r="U432" i="5"/>
  <c r="P432" i="5" s="1"/>
  <c r="AD432" i="5"/>
  <c r="U641" i="5"/>
  <c r="P641" i="5" s="1"/>
  <c r="AD641" i="5"/>
  <c r="Y641" i="5" s="1"/>
  <c r="T253" i="5"/>
  <c r="O253" i="5" s="1"/>
  <c r="AC253" i="5"/>
  <c r="X253" i="5" s="1"/>
  <c r="U47" i="5"/>
  <c r="P47" i="5" s="1"/>
  <c r="AD47" i="5"/>
  <c r="Y47" i="5" s="1"/>
  <c r="T411" i="5"/>
  <c r="O411" i="5" s="1"/>
  <c r="AC411" i="5"/>
  <c r="X411" i="5" s="1"/>
  <c r="V240" i="5"/>
  <c r="Q240" i="5" s="1"/>
  <c r="AE240" i="5"/>
  <c r="Z240" i="5" s="1"/>
  <c r="V661" i="5"/>
  <c r="Q661" i="5" s="1"/>
  <c r="AE661" i="5"/>
  <c r="Z661" i="5" s="1"/>
  <c r="U308" i="5"/>
  <c r="P308" i="5" s="1"/>
  <c r="AD308" i="5"/>
  <c r="Y308" i="5" s="1"/>
  <c r="W627" i="5"/>
  <c r="R627" i="5" s="1"/>
  <c r="AF627" i="5"/>
  <c r="AA627" i="5" s="1"/>
  <c r="W596" i="5"/>
  <c r="R596" i="5" s="1"/>
  <c r="AF596" i="5"/>
  <c r="AA596" i="5" s="1"/>
  <c r="V396" i="5"/>
  <c r="Q396" i="5" s="1"/>
  <c r="AE396" i="5"/>
  <c r="T722" i="5"/>
  <c r="O722" i="5" s="1"/>
  <c r="AC722" i="5"/>
  <c r="X722" i="5" s="1"/>
  <c r="U575" i="5"/>
  <c r="P575" i="5" s="1"/>
  <c r="AD575" i="5"/>
  <c r="Y575" i="5" s="1"/>
  <c r="U534" i="5"/>
  <c r="P534" i="5" s="1"/>
  <c r="AD534" i="5"/>
  <c r="Y534" i="5" s="1"/>
  <c r="W525" i="5"/>
  <c r="R525" i="5" s="1"/>
  <c r="AF525" i="5"/>
  <c r="AA525" i="5" s="1"/>
  <c r="T748" i="5"/>
  <c r="O748" i="5" s="1"/>
  <c r="AC748" i="5"/>
  <c r="X748" i="5" s="1"/>
  <c r="V107" i="5"/>
  <c r="Q107" i="5" s="1"/>
  <c r="AE107" i="5"/>
  <c r="Z107" i="5" s="1"/>
  <c r="T394" i="5"/>
  <c r="O394" i="5" s="1"/>
  <c r="AC394" i="5"/>
  <c r="X394" i="5" s="1"/>
  <c r="V456" i="5"/>
  <c r="Q456" i="5" s="1"/>
  <c r="AE456" i="5"/>
  <c r="Z456" i="5" s="1"/>
  <c r="T582" i="5"/>
  <c r="O582" i="5" s="1"/>
  <c r="AC582" i="5"/>
  <c r="X582" i="5" s="1"/>
  <c r="T82" i="5"/>
  <c r="O82" i="5" s="1"/>
  <c r="AC82" i="5"/>
  <c r="X82" i="5" s="1"/>
  <c r="W645" i="5"/>
  <c r="R645" i="5" s="1"/>
  <c r="AF645" i="5"/>
  <c r="AA645" i="5" s="1"/>
  <c r="W165" i="5"/>
  <c r="R165" i="5" s="1"/>
  <c r="AF165" i="5"/>
  <c r="V164" i="5"/>
  <c r="AE164" i="5"/>
  <c r="W68" i="5"/>
  <c r="R68" i="5" s="1"/>
  <c r="AF68" i="5"/>
  <c r="AA68" i="5" s="1"/>
  <c r="V343" i="5"/>
  <c r="Q343" i="5" s="1"/>
  <c r="AE343" i="5"/>
  <c r="Z343" i="5" s="1"/>
  <c r="V222" i="5"/>
  <c r="Q222" i="5" s="1"/>
  <c r="AE222" i="5"/>
  <c r="Z222" i="5" s="1"/>
  <c r="T674" i="5"/>
  <c r="O674" i="5" s="1"/>
  <c r="AC674" i="5"/>
  <c r="X674" i="5" s="1"/>
  <c r="U481" i="5"/>
  <c r="P481" i="5" s="1"/>
  <c r="AD481" i="5"/>
  <c r="Y481" i="5" s="1"/>
  <c r="V413" i="5"/>
  <c r="Q413" i="5" s="1"/>
  <c r="AE413" i="5"/>
  <c r="Z413" i="5" s="1"/>
  <c r="W636" i="5"/>
  <c r="R636" i="5" s="1"/>
  <c r="AF636" i="5"/>
  <c r="AA636" i="5" s="1"/>
  <c r="U476" i="5"/>
  <c r="P476" i="5" s="1"/>
  <c r="AD476" i="5"/>
  <c r="Y476" i="5" s="1"/>
  <c r="T410" i="5"/>
  <c r="O410" i="5" s="1"/>
  <c r="AC410" i="5"/>
  <c r="X410" i="5" s="1"/>
  <c r="T341" i="5"/>
  <c r="O341" i="5" s="1"/>
  <c r="AC341" i="5"/>
  <c r="X341" i="5" s="1"/>
  <c r="W181" i="5"/>
  <c r="R181" i="5" s="1"/>
  <c r="AF181" i="5"/>
  <c r="W435" i="5"/>
  <c r="AF435" i="5"/>
  <c r="AA435" i="5" s="1"/>
  <c r="V298" i="5"/>
  <c r="Q298" i="5" s="1"/>
  <c r="AE298" i="5"/>
  <c r="U360" i="5"/>
  <c r="AD360" i="5"/>
  <c r="Y360" i="5" s="1"/>
  <c r="T389" i="5"/>
  <c r="O389" i="5" s="1"/>
  <c r="AC389" i="5"/>
  <c r="X389" i="5" s="1"/>
  <c r="U633" i="5"/>
  <c r="P633" i="5" s="1"/>
  <c r="AD633" i="5"/>
  <c r="Y633" i="5" s="1"/>
  <c r="W591" i="5"/>
  <c r="R591" i="5" s="1"/>
  <c r="AF591" i="5"/>
  <c r="AA591" i="5" s="1"/>
  <c r="T172" i="5"/>
  <c r="O172" i="5" s="1"/>
  <c r="AC172" i="5"/>
  <c r="X172" i="5" s="1"/>
  <c r="T246" i="5"/>
  <c r="O246" i="5" s="1"/>
  <c r="AC246" i="5"/>
  <c r="X246" i="5" s="1"/>
  <c r="W333" i="5"/>
  <c r="R333" i="5" s="1"/>
  <c r="AF333" i="5"/>
  <c r="AA333" i="5" s="1"/>
  <c r="U310" i="5"/>
  <c r="P310" i="5" s="1"/>
  <c r="AD310" i="5"/>
  <c r="Y310" i="5" s="1"/>
  <c r="T447" i="5"/>
  <c r="O447" i="5" s="1"/>
  <c r="AC447" i="5"/>
  <c r="X447" i="5" s="1"/>
  <c r="U600" i="5"/>
  <c r="P600" i="5" s="1"/>
  <c r="AD600" i="5"/>
  <c r="U616" i="5"/>
  <c r="P616" i="5" s="1"/>
  <c r="AD616" i="5"/>
  <c r="Y616" i="5" s="1"/>
  <c r="U456" i="5"/>
  <c r="P456" i="5" s="1"/>
  <c r="AD456" i="5"/>
  <c r="Y456" i="5" s="1"/>
  <c r="V615" i="5"/>
  <c r="Q615" i="5" s="1"/>
  <c r="AE615" i="5"/>
  <c r="Z615" i="5" s="1"/>
  <c r="V455" i="5"/>
  <c r="Q455" i="5" s="1"/>
  <c r="AE455" i="5"/>
  <c r="Z455" i="5" s="1"/>
  <c r="T135" i="5"/>
  <c r="O135" i="5" s="1"/>
  <c r="AC135" i="5"/>
  <c r="X135" i="5" s="1"/>
  <c r="V325" i="5"/>
  <c r="Q325" i="5" s="1"/>
  <c r="AE325" i="5"/>
  <c r="Z325" i="5" s="1"/>
  <c r="T388" i="5"/>
  <c r="O388" i="5" s="1"/>
  <c r="AC388" i="5"/>
  <c r="X388" i="5" s="1"/>
  <c r="W498" i="5"/>
  <c r="R498" i="5" s="1"/>
  <c r="AF498" i="5"/>
  <c r="AA498" i="5" s="1"/>
  <c r="V612" i="5"/>
  <c r="Q612" i="5" s="1"/>
  <c r="AE612" i="5"/>
  <c r="Z612" i="5" s="1"/>
  <c r="W543" i="5"/>
  <c r="R543" i="5" s="1"/>
  <c r="AF543" i="5"/>
  <c r="AA543" i="5" s="1"/>
  <c r="U413" i="5"/>
  <c r="P413" i="5" s="1"/>
  <c r="AD413" i="5"/>
  <c r="Y413" i="5" s="1"/>
  <c r="U120" i="5"/>
  <c r="P120" i="5" s="1"/>
  <c r="AD120" i="5"/>
  <c r="T562" i="5"/>
  <c r="O562" i="5" s="1"/>
  <c r="AC562" i="5"/>
  <c r="V636" i="5"/>
  <c r="Q636" i="5" s="1"/>
  <c r="AE636" i="5"/>
  <c r="Z636" i="5" s="1"/>
  <c r="T571" i="5"/>
  <c r="AC571" i="5"/>
  <c r="X571" i="5" s="1"/>
  <c r="V58" i="5"/>
  <c r="Q58" i="5" s="1"/>
  <c r="AE58" i="5"/>
  <c r="Z58" i="5" s="1"/>
  <c r="W436" i="5"/>
  <c r="R436" i="5" s="1"/>
  <c r="AF436" i="5"/>
  <c r="AA436" i="5" s="1"/>
  <c r="T148" i="5"/>
  <c r="O148" i="5" s="1"/>
  <c r="AC148" i="5"/>
  <c r="X148" i="5" s="1"/>
  <c r="T76" i="5"/>
  <c r="O76" i="5" s="1"/>
  <c r="AC76" i="5"/>
  <c r="X76" i="5" s="1"/>
  <c r="V638" i="5"/>
  <c r="Q638" i="5" s="1"/>
  <c r="AE638" i="5"/>
  <c r="Z638" i="5" s="1"/>
  <c r="T715" i="5"/>
  <c r="O715" i="5" s="1"/>
  <c r="AC715" i="5"/>
  <c r="X715" i="5" s="1"/>
  <c r="V743" i="5"/>
  <c r="Q743" i="5" s="1"/>
  <c r="AE743" i="5"/>
  <c r="Z743" i="5" s="1"/>
  <c r="V583" i="5"/>
  <c r="Q583" i="5" s="1"/>
  <c r="AE583" i="5"/>
  <c r="Z583" i="5" s="1"/>
  <c r="V295" i="5"/>
  <c r="Q295" i="5" s="1"/>
  <c r="AE295" i="5"/>
  <c r="W135" i="5"/>
  <c r="R135" i="5" s="1"/>
  <c r="AF135" i="5"/>
  <c r="AA135" i="5" s="1"/>
  <c r="W454" i="5"/>
  <c r="R454" i="5" s="1"/>
  <c r="AF454" i="5"/>
  <c r="AA454" i="5" s="1"/>
  <c r="V165" i="5"/>
  <c r="Q165" i="5" s="1"/>
  <c r="AE165" i="5"/>
  <c r="Z165" i="5" s="1"/>
  <c r="V388" i="5"/>
  <c r="Q388" i="5" s="1"/>
  <c r="AE388" i="5"/>
  <c r="Z388" i="5" s="1"/>
  <c r="T132" i="5"/>
  <c r="O132" i="5" s="1"/>
  <c r="AC132" i="5"/>
  <c r="X132" i="5" s="1"/>
  <c r="U740" i="5"/>
  <c r="P740" i="5" s="1"/>
  <c r="AD740" i="5"/>
  <c r="Y740" i="5" s="1"/>
  <c r="W223" i="5"/>
  <c r="R223" i="5" s="1"/>
  <c r="AF223" i="5"/>
  <c r="AA223" i="5" s="1"/>
  <c r="W694" i="5"/>
  <c r="R694" i="5" s="1"/>
  <c r="AF694" i="5"/>
  <c r="AA694" i="5" s="1"/>
  <c r="U224" i="5"/>
  <c r="P224" i="5" s="1"/>
  <c r="AD224" i="5"/>
  <c r="Y224" i="5" s="1"/>
  <c r="V542" i="5"/>
  <c r="Q542" i="5" s="1"/>
  <c r="AE542" i="5"/>
  <c r="Z542" i="5" s="1"/>
  <c r="T481" i="5"/>
  <c r="O481" i="5" s="1"/>
  <c r="AC481" i="5"/>
  <c r="X481" i="5" s="1"/>
  <c r="U161" i="5"/>
  <c r="P161" i="5" s="1"/>
  <c r="AD161" i="5"/>
  <c r="U384" i="5"/>
  <c r="P384" i="5" s="1"/>
  <c r="AD384" i="5"/>
  <c r="Y384" i="5" s="1"/>
  <c r="T701" i="5"/>
  <c r="O701" i="5" s="1"/>
  <c r="AC701" i="5"/>
  <c r="X701" i="5" s="1"/>
  <c r="W93" i="5"/>
  <c r="R93" i="5" s="1"/>
  <c r="AF93" i="5"/>
  <c r="AA93" i="5" s="1"/>
  <c r="V55" i="5"/>
  <c r="Q55" i="5" s="1"/>
  <c r="AE55" i="5"/>
  <c r="Z55" i="5" s="1"/>
  <c r="W629" i="5"/>
  <c r="R629" i="5" s="1"/>
  <c r="AF629" i="5"/>
  <c r="AA629" i="5" s="1"/>
  <c r="T627" i="5"/>
  <c r="O627" i="5" s="1"/>
  <c r="AC627" i="5"/>
  <c r="X627" i="5" s="1"/>
  <c r="U174" i="5"/>
  <c r="P174" i="5" s="1"/>
  <c r="AD174" i="5"/>
  <c r="Y174" i="5" s="1"/>
  <c r="V678" i="5"/>
  <c r="Q678" i="5" s="1"/>
  <c r="AE678" i="5"/>
  <c r="Z678" i="5" s="1"/>
  <c r="W355" i="5"/>
  <c r="R355" i="5" s="1"/>
  <c r="AF355" i="5"/>
  <c r="AA355" i="5" s="1"/>
  <c r="W111" i="5"/>
  <c r="R111" i="5" s="1"/>
  <c r="AF111" i="5"/>
  <c r="AA111" i="5" s="1"/>
  <c r="U143" i="5"/>
  <c r="P143" i="5" s="1"/>
  <c r="AD143" i="5"/>
  <c r="Y143" i="5" s="1"/>
  <c r="W526" i="5"/>
  <c r="R526" i="5" s="1"/>
  <c r="AF526" i="5"/>
  <c r="W310" i="5"/>
  <c r="R310" i="5" s="1"/>
  <c r="AF310" i="5"/>
  <c r="AA310" i="5" s="1"/>
  <c r="U48" i="5"/>
  <c r="P48" i="5" s="1"/>
  <c r="AD48" i="5"/>
  <c r="Y48" i="5" s="1"/>
  <c r="V447" i="5"/>
  <c r="Q447" i="5" s="1"/>
  <c r="AE447" i="5"/>
  <c r="Z447" i="5" s="1"/>
  <c r="U583" i="5"/>
  <c r="P583" i="5" s="1"/>
  <c r="AD583" i="5"/>
  <c r="Y583" i="5" s="1"/>
  <c r="U295" i="5"/>
  <c r="P295" i="5" s="1"/>
  <c r="AD295" i="5"/>
  <c r="Y295" i="5" s="1"/>
  <c r="V135" i="5"/>
  <c r="Q135" i="5" s="1"/>
  <c r="AE135" i="5"/>
  <c r="Z135" i="5" s="1"/>
  <c r="V439" i="5"/>
  <c r="Q439" i="5" s="1"/>
  <c r="AE439" i="5"/>
  <c r="Z439" i="5" s="1"/>
  <c r="U504" i="5"/>
  <c r="P504" i="5" s="1"/>
  <c r="AD504" i="5"/>
  <c r="Y504" i="5" s="1"/>
  <c r="V580" i="5"/>
  <c r="Q580" i="5" s="1"/>
  <c r="AE580" i="5"/>
  <c r="Z580" i="5" s="1"/>
  <c r="U68" i="5"/>
  <c r="P68" i="5" s="1"/>
  <c r="AD68" i="5"/>
  <c r="Y68" i="5" s="1"/>
  <c r="V304" i="5"/>
  <c r="Q304" i="5" s="1"/>
  <c r="AE304" i="5"/>
  <c r="T514" i="5"/>
  <c r="O514" i="5" s="1"/>
  <c r="AC514" i="5"/>
  <c r="U542" i="5"/>
  <c r="P542" i="5" s="1"/>
  <c r="AD542" i="5"/>
  <c r="Y542" i="5" s="1"/>
  <c r="U32" i="5"/>
  <c r="P32" i="5" s="1"/>
  <c r="AD32" i="5"/>
  <c r="Y32" i="5" s="1"/>
  <c r="U601" i="5"/>
  <c r="P601" i="5" s="1"/>
  <c r="AD601" i="5"/>
  <c r="Y601" i="5" s="1"/>
  <c r="T636" i="5"/>
  <c r="O636" i="5" s="1"/>
  <c r="AC636" i="5"/>
  <c r="X636" i="5" s="1"/>
  <c r="W476" i="5"/>
  <c r="R476" i="5" s="1"/>
  <c r="AF476" i="5"/>
  <c r="AA476" i="5" s="1"/>
  <c r="W91" i="5"/>
  <c r="R91" i="5" s="1"/>
  <c r="AF91" i="5"/>
  <c r="AA91" i="5" s="1"/>
  <c r="T313" i="5"/>
  <c r="O313" i="5" s="1"/>
  <c r="AC313" i="5"/>
  <c r="X313" i="5" s="1"/>
  <c r="U369" i="5"/>
  <c r="P369" i="5" s="1"/>
  <c r="AD369" i="5"/>
  <c r="Y369" i="5" s="1"/>
  <c r="U745" i="5"/>
  <c r="P745" i="5" s="1"/>
  <c r="AD745" i="5"/>
  <c r="Y745" i="5" s="1"/>
  <c r="T69" i="5"/>
  <c r="O69" i="5" s="1"/>
  <c r="AC69" i="5"/>
  <c r="X69" i="5" s="1"/>
  <c r="W173" i="5"/>
  <c r="R173" i="5" s="1"/>
  <c r="AF173" i="5"/>
  <c r="AA173" i="5" s="1"/>
  <c r="W143" i="5"/>
  <c r="R143" i="5" s="1"/>
  <c r="AF143" i="5"/>
  <c r="V204" i="5"/>
  <c r="Q204" i="5" s="1"/>
  <c r="AE204" i="5"/>
  <c r="U686" i="5"/>
  <c r="P686" i="5" s="1"/>
  <c r="AD686" i="5"/>
  <c r="Y686" i="5" s="1"/>
  <c r="V22" i="5"/>
  <c r="Q22" i="5" s="1"/>
  <c r="AE22" i="5"/>
  <c r="Z22" i="5" s="1"/>
  <c r="W621" i="5"/>
  <c r="R621" i="5" s="1"/>
  <c r="AF621" i="5"/>
  <c r="AA621" i="5" s="1"/>
  <c r="W651" i="5"/>
  <c r="R651" i="5" s="1"/>
  <c r="AF651" i="5"/>
  <c r="AA651" i="5" s="1"/>
  <c r="T414" i="5"/>
  <c r="O414" i="5" s="1"/>
  <c r="AC414" i="5"/>
  <c r="X414" i="5" s="1"/>
  <c r="T682" i="5"/>
  <c r="O682" i="5" s="1"/>
  <c r="AC682" i="5"/>
  <c r="X682" i="5" s="1"/>
  <c r="U361" i="5"/>
  <c r="P361" i="5" s="1"/>
  <c r="AD361" i="5"/>
  <c r="Y361" i="5" s="1"/>
  <c r="U424" i="5"/>
  <c r="P424" i="5" s="1"/>
  <c r="AD424" i="5"/>
  <c r="Y424" i="5" s="1"/>
  <c r="W646" i="5"/>
  <c r="R646" i="5" s="1"/>
  <c r="AF646" i="5"/>
  <c r="AA646" i="5" s="1"/>
  <c r="U743" i="5"/>
  <c r="P743" i="5" s="1"/>
  <c r="AD743" i="5"/>
  <c r="Y743" i="5" s="1"/>
  <c r="W453" i="5"/>
  <c r="R453" i="5" s="1"/>
  <c r="AF453" i="5"/>
  <c r="W293" i="5"/>
  <c r="R293" i="5" s="1"/>
  <c r="AF293" i="5"/>
  <c r="W133" i="5"/>
  <c r="R133" i="5" s="1"/>
  <c r="AF133" i="5"/>
  <c r="AA133" i="5" s="1"/>
  <c r="W420" i="5"/>
  <c r="AF420" i="5"/>
  <c r="AA420" i="5" s="1"/>
  <c r="V192" i="5"/>
  <c r="Q192" i="5" s="1"/>
  <c r="AE192" i="5"/>
  <c r="Z192" i="5" s="1"/>
  <c r="W579" i="5"/>
  <c r="R579" i="5" s="1"/>
  <c r="AF579" i="5"/>
  <c r="AA579" i="5" s="1"/>
  <c r="V384" i="5"/>
  <c r="Q384" i="5" s="1"/>
  <c r="AE384" i="5"/>
  <c r="Z384" i="5" s="1"/>
  <c r="U701" i="5"/>
  <c r="P701" i="5" s="1"/>
  <c r="AD701" i="5"/>
  <c r="Y701" i="5" s="1"/>
  <c r="T221" i="5"/>
  <c r="O221" i="5" s="1"/>
  <c r="AC221" i="5"/>
  <c r="X221" i="5" s="1"/>
  <c r="V61" i="5"/>
  <c r="Q61" i="5" s="1"/>
  <c r="AE61" i="5"/>
  <c r="Z61" i="5" s="1"/>
  <c r="V476" i="5"/>
  <c r="Q476" i="5" s="1"/>
  <c r="AE476" i="5"/>
  <c r="Z476" i="5" s="1"/>
  <c r="U629" i="5"/>
  <c r="P629" i="5" s="1"/>
  <c r="AD629" i="5"/>
  <c r="Y629" i="5" s="1"/>
  <c r="W595" i="5"/>
  <c r="R595" i="5" s="1"/>
  <c r="AF595" i="5"/>
  <c r="V403" i="5"/>
  <c r="Q403" i="5" s="1"/>
  <c r="AE403" i="5"/>
  <c r="T245" i="5"/>
  <c r="O245" i="5" s="1"/>
  <c r="AC245" i="5"/>
  <c r="X245" i="5" s="1"/>
  <c r="T718" i="5"/>
  <c r="O718" i="5" s="1"/>
  <c r="AC718" i="5"/>
  <c r="X718" i="5" s="1"/>
  <c r="U472" i="5"/>
  <c r="P472" i="5" s="1"/>
  <c r="AD472" i="5"/>
  <c r="Y472" i="5" s="1"/>
  <c r="V414" i="5"/>
  <c r="Q414" i="5" s="1"/>
  <c r="AE414" i="5"/>
  <c r="Z414" i="5" s="1"/>
  <c r="W638" i="5"/>
  <c r="R638" i="5" s="1"/>
  <c r="AF638" i="5"/>
  <c r="AA638" i="5" s="1"/>
  <c r="T461" i="5"/>
  <c r="O461" i="5" s="1"/>
  <c r="AC461" i="5"/>
  <c r="X461" i="5" s="1"/>
  <c r="T310" i="5"/>
  <c r="O310" i="5" s="1"/>
  <c r="AC310" i="5"/>
  <c r="X310" i="5" s="1"/>
  <c r="W136" i="5"/>
  <c r="R136" i="5" s="1"/>
  <c r="AF136" i="5"/>
  <c r="AA136" i="5" s="1"/>
  <c r="T646" i="5"/>
  <c r="O646" i="5" s="1"/>
  <c r="AC646" i="5"/>
  <c r="X646" i="5" s="1"/>
  <c r="W263" i="5"/>
  <c r="R263" i="5" s="1"/>
  <c r="AF263" i="5"/>
  <c r="AA263" i="5" s="1"/>
  <c r="T454" i="5"/>
  <c r="O454" i="5" s="1"/>
  <c r="AC454" i="5"/>
  <c r="T293" i="5"/>
  <c r="O293" i="5" s="1"/>
  <c r="AC293" i="5"/>
  <c r="X293" i="5" s="1"/>
  <c r="V133" i="5"/>
  <c r="Q133" i="5" s="1"/>
  <c r="AE133" i="5"/>
  <c r="Z133" i="5" s="1"/>
  <c r="T606" i="5"/>
  <c r="O606" i="5" s="1"/>
  <c r="AC606" i="5"/>
  <c r="X606" i="5" s="1"/>
  <c r="T630" i="5"/>
  <c r="O630" i="5" s="1"/>
  <c r="AC630" i="5"/>
  <c r="X630" i="5" s="1"/>
  <c r="U381" i="5"/>
  <c r="P381" i="5" s="1"/>
  <c r="AD381" i="5"/>
  <c r="Y381" i="5" s="1"/>
  <c r="V120" i="5"/>
  <c r="Q120" i="5" s="1"/>
  <c r="AE120" i="5"/>
  <c r="Z120" i="5" s="1"/>
  <c r="T539" i="5"/>
  <c r="O539" i="5" s="1"/>
  <c r="AC539" i="5"/>
  <c r="X539" i="5" s="1"/>
  <c r="V379" i="5"/>
  <c r="Q379" i="5" s="1"/>
  <c r="AE379" i="5"/>
  <c r="Z379" i="5" s="1"/>
  <c r="T629" i="5"/>
  <c r="O629" i="5" s="1"/>
  <c r="AC629" i="5"/>
  <c r="X629" i="5" s="1"/>
  <c r="U312" i="5"/>
  <c r="P312" i="5" s="1"/>
  <c r="AD312" i="5"/>
  <c r="Y312" i="5" s="1"/>
  <c r="T726" i="5"/>
  <c r="O726" i="5" s="1"/>
  <c r="AC726" i="5"/>
  <c r="X726" i="5" s="1"/>
  <c r="T750" i="5"/>
  <c r="O750" i="5" s="1"/>
  <c r="AC750" i="5"/>
  <c r="T638" i="5"/>
  <c r="O638" i="5" s="1"/>
  <c r="AC638" i="5"/>
  <c r="T22" i="5"/>
  <c r="O22" i="5" s="1"/>
  <c r="AC22" i="5"/>
  <c r="X22" i="5" s="1"/>
  <c r="T490" i="5"/>
  <c r="O490" i="5" s="1"/>
  <c r="AC490" i="5"/>
  <c r="X490" i="5" s="1"/>
  <c r="U94" i="5"/>
  <c r="P94" i="5" s="1"/>
  <c r="AD94" i="5"/>
  <c r="Y94" i="5" s="1"/>
  <c r="U390" i="5"/>
  <c r="P390" i="5" s="1"/>
  <c r="AD390" i="5"/>
  <c r="Y390" i="5" s="1"/>
  <c r="U31" i="5"/>
  <c r="P31" i="5" s="1"/>
  <c r="AD31" i="5"/>
  <c r="Y31" i="5" s="1"/>
  <c r="U503" i="5"/>
  <c r="P503" i="5" s="1"/>
  <c r="AD503" i="5"/>
  <c r="Y503" i="5" s="1"/>
  <c r="U744" i="5"/>
  <c r="P744" i="5" s="1"/>
  <c r="AD744" i="5"/>
  <c r="Y744" i="5" s="1"/>
  <c r="U646" i="5"/>
  <c r="P646" i="5" s="1"/>
  <c r="AD646" i="5"/>
  <c r="Y646" i="5" s="1"/>
  <c r="U102" i="5"/>
  <c r="P102" i="5" s="1"/>
  <c r="AD102" i="5"/>
  <c r="Y102" i="5" s="1"/>
  <c r="V711" i="5"/>
  <c r="Q711" i="5" s="1"/>
  <c r="AE711" i="5"/>
  <c r="Z711" i="5" s="1"/>
  <c r="W583" i="5"/>
  <c r="R583" i="5" s="1"/>
  <c r="AF583" i="5"/>
  <c r="V423" i="5"/>
  <c r="Q423" i="5" s="1"/>
  <c r="AE423" i="5"/>
  <c r="T581" i="5"/>
  <c r="O581" i="5" s="1"/>
  <c r="AC581" i="5"/>
  <c r="X581" i="5" s="1"/>
  <c r="T292" i="5"/>
  <c r="O292" i="5" s="1"/>
  <c r="AC292" i="5"/>
  <c r="X292" i="5" s="1"/>
  <c r="T99" i="5"/>
  <c r="O99" i="5" s="1"/>
  <c r="AC99" i="5"/>
  <c r="X99" i="5" s="1"/>
  <c r="T580" i="5"/>
  <c r="O580" i="5" s="1"/>
  <c r="AC580" i="5"/>
  <c r="X580" i="5" s="1"/>
  <c r="U192" i="5"/>
  <c r="P192" i="5" s="1"/>
  <c r="AD192" i="5"/>
  <c r="Y192" i="5" s="1"/>
  <c r="T190" i="5"/>
  <c r="O190" i="5" s="1"/>
  <c r="AC190" i="5"/>
  <c r="X190" i="5" s="1"/>
  <c r="U449" i="5"/>
  <c r="P449" i="5" s="1"/>
  <c r="AD449" i="5"/>
  <c r="Y449" i="5" s="1"/>
  <c r="U433" i="5"/>
  <c r="P433" i="5" s="1"/>
  <c r="AD433" i="5"/>
  <c r="Y433" i="5" s="1"/>
  <c r="V446" i="5"/>
  <c r="Q446" i="5" s="1"/>
  <c r="AE446" i="5"/>
  <c r="Z446" i="5" s="1"/>
  <c r="W407" i="5"/>
  <c r="R407" i="5" s="1"/>
  <c r="AF407" i="5"/>
  <c r="AA407" i="5" s="1"/>
  <c r="U669" i="5"/>
  <c r="P669" i="5" s="1"/>
  <c r="AD669" i="5"/>
  <c r="W667" i="5"/>
  <c r="R667" i="5" s="1"/>
  <c r="AF667" i="5"/>
  <c r="U313" i="5"/>
  <c r="P313" i="5" s="1"/>
  <c r="AD313" i="5"/>
  <c r="W406" i="5"/>
  <c r="R406" i="5" s="1"/>
  <c r="AF406" i="5"/>
  <c r="AA406" i="5" s="1"/>
  <c r="V538" i="5"/>
  <c r="Q538" i="5" s="1"/>
  <c r="AE538" i="5"/>
  <c r="Z538" i="5" s="1"/>
  <c r="V469" i="5"/>
  <c r="Q469" i="5" s="1"/>
  <c r="AE469" i="5"/>
  <c r="Z469" i="5" s="1"/>
  <c r="T403" i="5"/>
  <c r="O403" i="5" s="1"/>
  <c r="AC403" i="5"/>
  <c r="X403" i="5" s="1"/>
  <c r="V422" i="5"/>
  <c r="Q422" i="5" s="1"/>
  <c r="AE422" i="5"/>
  <c r="Z422" i="5" s="1"/>
  <c r="W500" i="5"/>
  <c r="R500" i="5" s="1"/>
  <c r="AF500" i="5"/>
  <c r="AA500" i="5" s="1"/>
  <c r="W235" i="5"/>
  <c r="R235" i="5" s="1"/>
  <c r="AF235" i="5"/>
  <c r="AA235" i="5" s="1"/>
  <c r="T254" i="5"/>
  <c r="O254" i="5" s="1"/>
  <c r="AC254" i="5"/>
  <c r="X254" i="5" s="1"/>
  <c r="T470" i="5"/>
  <c r="O470" i="5" s="1"/>
  <c r="AC470" i="5"/>
  <c r="X470" i="5" s="1"/>
  <c r="U145" i="5"/>
  <c r="P145" i="5" s="1"/>
  <c r="AD145" i="5"/>
  <c r="U398" i="5"/>
  <c r="P398" i="5" s="1"/>
  <c r="AD398" i="5"/>
  <c r="T139" i="5"/>
  <c r="O139" i="5" s="1"/>
  <c r="AC139" i="5"/>
  <c r="T749" i="5"/>
  <c r="AC749" i="5"/>
  <c r="X749" i="5" s="1"/>
  <c r="T650" i="5"/>
  <c r="O650" i="5" s="1"/>
  <c r="AC650" i="5"/>
  <c r="X650" i="5" s="1"/>
  <c r="V556" i="5"/>
  <c r="Q556" i="5" s="1"/>
  <c r="AE556" i="5"/>
  <c r="Z556" i="5" s="1"/>
  <c r="T651" i="5"/>
  <c r="O651" i="5" s="1"/>
  <c r="AC651" i="5"/>
  <c r="U202" i="5"/>
  <c r="P202" i="5" s="1"/>
  <c r="AD202" i="5"/>
  <c r="Y202" i="5" s="1"/>
  <c r="T390" i="5"/>
  <c r="O390" i="5" s="1"/>
  <c r="AC390" i="5"/>
  <c r="X390" i="5" s="1"/>
  <c r="W31" i="5"/>
  <c r="R31" i="5" s="1"/>
  <c r="AF31" i="5"/>
  <c r="AA31" i="5" s="1"/>
  <c r="W551" i="5"/>
  <c r="R551" i="5" s="1"/>
  <c r="AF551" i="5"/>
  <c r="AA551" i="5" s="1"/>
  <c r="U423" i="5"/>
  <c r="P423" i="5" s="1"/>
  <c r="AD423" i="5"/>
  <c r="Y423" i="5" s="1"/>
  <c r="V263" i="5"/>
  <c r="Q263" i="5" s="1"/>
  <c r="AE263" i="5"/>
  <c r="W103" i="5"/>
  <c r="R103" i="5" s="1"/>
  <c r="AF103" i="5"/>
  <c r="U465" i="5"/>
  <c r="P465" i="5" s="1"/>
  <c r="AD465" i="5"/>
  <c r="T370" i="5"/>
  <c r="AC370" i="5"/>
  <c r="X370" i="5" s="1"/>
  <c r="V707" i="5"/>
  <c r="Q707" i="5" s="1"/>
  <c r="AE707" i="5"/>
  <c r="Z707" i="5" s="1"/>
  <c r="U672" i="5"/>
  <c r="P672" i="5" s="1"/>
  <c r="AD672" i="5"/>
  <c r="Y672" i="5" s="1"/>
  <c r="T505" i="5"/>
  <c r="O505" i="5" s="1"/>
  <c r="AC505" i="5"/>
  <c r="X505" i="5" s="1"/>
  <c r="V631" i="5"/>
  <c r="Q631" i="5" s="1"/>
  <c r="AE631" i="5"/>
  <c r="Z631" i="5" s="1"/>
  <c r="T219" i="5"/>
  <c r="O219" i="5" s="1"/>
  <c r="AC219" i="5"/>
  <c r="X219" i="5" s="1"/>
  <c r="U406" i="5"/>
  <c r="P406" i="5" s="1"/>
  <c r="AD406" i="5"/>
  <c r="Y406" i="5" s="1"/>
  <c r="V247" i="5"/>
  <c r="Q247" i="5" s="1"/>
  <c r="AE247" i="5"/>
  <c r="Z247" i="5" s="1"/>
  <c r="T149" i="5"/>
  <c r="O149" i="5" s="1"/>
  <c r="AC149" i="5"/>
  <c r="X149" i="5" s="1"/>
  <c r="T595" i="5"/>
  <c r="O595" i="5" s="1"/>
  <c r="AC595" i="5"/>
  <c r="T235" i="5"/>
  <c r="O235" i="5" s="1"/>
  <c r="AC235" i="5"/>
  <c r="X235" i="5" s="1"/>
  <c r="V203" i="5"/>
  <c r="Q203" i="5" s="1"/>
  <c r="AE203" i="5"/>
  <c r="Z203" i="5" s="1"/>
  <c r="T50" i="5"/>
  <c r="O50" i="5" s="1"/>
  <c r="AC50" i="5"/>
  <c r="X50" i="5" s="1"/>
  <c r="U248" i="5"/>
  <c r="P248" i="5" s="1"/>
  <c r="AD248" i="5"/>
  <c r="Y248" i="5" s="1"/>
  <c r="U184" i="5"/>
  <c r="P184" i="5" s="1"/>
  <c r="AD184" i="5"/>
  <c r="Y184" i="5" s="1"/>
  <c r="T366" i="5"/>
  <c r="O366" i="5" s="1"/>
  <c r="AC366" i="5"/>
  <c r="X366" i="5" s="1"/>
  <c r="W94" i="5"/>
  <c r="R94" i="5" s="1"/>
  <c r="AF94" i="5"/>
  <c r="AA94" i="5" s="1"/>
  <c r="U294" i="5"/>
  <c r="P294" i="5" s="1"/>
  <c r="AD294" i="5"/>
  <c r="Y294" i="5" s="1"/>
  <c r="U273" i="5"/>
  <c r="P273" i="5" s="1"/>
  <c r="AD273" i="5"/>
  <c r="Y273" i="5" s="1"/>
  <c r="U264" i="5"/>
  <c r="P264" i="5" s="1"/>
  <c r="AD264" i="5"/>
  <c r="Y264" i="5" s="1"/>
  <c r="U104" i="5"/>
  <c r="P104" i="5" s="1"/>
  <c r="AD104" i="5"/>
  <c r="Y104" i="5" s="1"/>
  <c r="W550" i="5"/>
  <c r="R550" i="5" s="1"/>
  <c r="AF550" i="5"/>
  <c r="W383" i="5"/>
  <c r="R383" i="5" s="1"/>
  <c r="AF383" i="5"/>
  <c r="AA383" i="5" s="1"/>
  <c r="T382" i="5"/>
  <c r="O382" i="5" s="1"/>
  <c r="AC382" i="5"/>
  <c r="X382" i="5" s="1"/>
  <c r="W292" i="5"/>
  <c r="R292" i="5" s="1"/>
  <c r="AF292" i="5"/>
  <c r="AA292" i="5" s="1"/>
  <c r="T100" i="5"/>
  <c r="O100" i="5" s="1"/>
  <c r="AC100" i="5"/>
  <c r="X100" i="5" s="1"/>
  <c r="V35" i="5"/>
  <c r="Q35" i="5" s="1"/>
  <c r="AE35" i="5"/>
  <c r="Z35" i="5" s="1"/>
  <c r="W356" i="5"/>
  <c r="R356" i="5" s="1"/>
  <c r="AF356" i="5"/>
  <c r="AA356" i="5" s="1"/>
  <c r="W311" i="5"/>
  <c r="R311" i="5" s="1"/>
  <c r="AF311" i="5"/>
  <c r="AA311" i="5" s="1"/>
  <c r="W190" i="5"/>
  <c r="R190" i="5" s="1"/>
  <c r="AF190" i="5"/>
  <c r="AA190" i="5" s="1"/>
  <c r="U577" i="5"/>
  <c r="P577" i="5" s="1"/>
  <c r="AD577" i="5"/>
  <c r="Y577" i="5" s="1"/>
  <c r="T471" i="5"/>
  <c r="O471" i="5" s="1"/>
  <c r="AC471" i="5"/>
  <c r="X471" i="5" s="1"/>
  <c r="U208" i="5"/>
  <c r="P208" i="5" s="1"/>
  <c r="AD208" i="5"/>
  <c r="Y208" i="5" s="1"/>
  <c r="V669" i="5"/>
  <c r="Q669" i="5" s="1"/>
  <c r="AE669" i="5"/>
  <c r="W444" i="5"/>
  <c r="R444" i="5" s="1"/>
  <c r="AF444" i="5"/>
  <c r="V278" i="5"/>
  <c r="Q278" i="5" s="1"/>
  <c r="AE278" i="5"/>
  <c r="Z278" i="5" s="1"/>
  <c r="W666" i="5"/>
  <c r="R666" i="5" s="1"/>
  <c r="AF666" i="5"/>
  <c r="AA666" i="5" s="1"/>
  <c r="W437" i="5"/>
  <c r="R437" i="5" s="1"/>
  <c r="AF437" i="5"/>
  <c r="AA437" i="5" s="1"/>
  <c r="W244" i="5"/>
  <c r="R244" i="5" s="1"/>
  <c r="AF244" i="5"/>
  <c r="AA244" i="5" s="1"/>
  <c r="V84" i="5"/>
  <c r="Q84" i="5" s="1"/>
  <c r="AE84" i="5"/>
  <c r="Z84" i="5" s="1"/>
  <c r="T211" i="5"/>
  <c r="O211" i="5" s="1"/>
  <c r="AC211" i="5"/>
  <c r="X211" i="5" s="1"/>
  <c r="U298" i="5"/>
  <c r="P298" i="5" s="1"/>
  <c r="AD298" i="5"/>
  <c r="Y298" i="5" s="1"/>
  <c r="U45" i="5"/>
  <c r="P45" i="5" s="1"/>
  <c r="AD45" i="5"/>
  <c r="Y45" i="5" s="1"/>
  <c r="T267" i="5"/>
  <c r="O267" i="5" s="1"/>
  <c r="AC267" i="5"/>
  <c r="X267" i="5" s="1"/>
  <c r="W363" i="5"/>
  <c r="R363" i="5" s="1"/>
  <c r="AF363" i="5"/>
  <c r="AA363" i="5" s="1"/>
  <c r="W44" i="5"/>
  <c r="R44" i="5" s="1"/>
  <c r="AF44" i="5"/>
  <c r="T429" i="5"/>
  <c r="O429" i="5" s="1"/>
  <c r="AC429" i="5"/>
  <c r="T109" i="5"/>
  <c r="O109" i="5" s="1"/>
  <c r="AC109" i="5"/>
  <c r="X109" i="5" s="1"/>
  <c r="T75" i="5"/>
  <c r="AC75" i="5"/>
  <c r="X75" i="5" s="1"/>
  <c r="U144" i="5"/>
  <c r="P144" i="5" s="1"/>
  <c r="AD144" i="5"/>
  <c r="Y144" i="5" s="1"/>
  <c r="V94" i="5"/>
  <c r="Q94" i="5" s="1"/>
  <c r="AE94" i="5"/>
  <c r="Z94" i="5" s="1"/>
  <c r="U207" i="5"/>
  <c r="P207" i="5" s="1"/>
  <c r="AD207" i="5"/>
  <c r="Y207" i="5" s="1"/>
  <c r="V710" i="5"/>
  <c r="Q710" i="5" s="1"/>
  <c r="AE710" i="5"/>
  <c r="Z710" i="5" s="1"/>
  <c r="W264" i="5"/>
  <c r="R264" i="5" s="1"/>
  <c r="AF264" i="5"/>
  <c r="AA264" i="5" s="1"/>
  <c r="W581" i="5"/>
  <c r="R581" i="5" s="1"/>
  <c r="AF581" i="5"/>
  <c r="AA581" i="5" s="1"/>
  <c r="W671" i="5"/>
  <c r="R671" i="5" s="1"/>
  <c r="AF671" i="5"/>
  <c r="AA671" i="5" s="1"/>
  <c r="V567" i="5"/>
  <c r="Q567" i="5" s="1"/>
  <c r="AE567" i="5"/>
  <c r="Z567" i="5" s="1"/>
  <c r="V606" i="5"/>
  <c r="Q606" i="5" s="1"/>
  <c r="AE606" i="5"/>
  <c r="T547" i="5"/>
  <c r="O547" i="5" s="1"/>
  <c r="AC547" i="5"/>
  <c r="X547" i="5" s="1"/>
  <c r="W623" i="5"/>
  <c r="R623" i="5" s="1"/>
  <c r="AF623" i="5"/>
  <c r="V471" i="5"/>
  <c r="Q471" i="5" s="1"/>
  <c r="AE471" i="5"/>
  <c r="Z471" i="5" s="1"/>
  <c r="T318" i="5"/>
  <c r="O318" i="5" s="1"/>
  <c r="AC318" i="5"/>
  <c r="X318" i="5" s="1"/>
  <c r="V151" i="5"/>
  <c r="Q151" i="5" s="1"/>
  <c r="AE151" i="5"/>
  <c r="Z151" i="5" s="1"/>
  <c r="U509" i="5"/>
  <c r="P509" i="5" s="1"/>
  <c r="AD509" i="5"/>
  <c r="Y509" i="5" s="1"/>
  <c r="U216" i="5"/>
  <c r="P216" i="5" s="1"/>
  <c r="AD216" i="5"/>
  <c r="Y216" i="5" s="1"/>
  <c r="T278" i="5"/>
  <c r="O278" i="5" s="1"/>
  <c r="AC278" i="5"/>
  <c r="X278" i="5" s="1"/>
  <c r="V667" i="5"/>
  <c r="Q667" i="5" s="1"/>
  <c r="AE667" i="5"/>
  <c r="Z667" i="5" s="1"/>
  <c r="W507" i="5"/>
  <c r="R507" i="5" s="1"/>
  <c r="AF507" i="5"/>
  <c r="AA507" i="5" s="1"/>
  <c r="U314" i="5"/>
  <c r="P314" i="5" s="1"/>
  <c r="AD314" i="5"/>
  <c r="T437" i="5"/>
  <c r="O437" i="5" s="1"/>
  <c r="AC437" i="5"/>
  <c r="W117" i="5"/>
  <c r="R117" i="5" s="1"/>
  <c r="AF117" i="5"/>
  <c r="AA117" i="5" s="1"/>
  <c r="W84" i="5"/>
  <c r="R84" i="5" s="1"/>
  <c r="AF84" i="5"/>
  <c r="W690" i="5"/>
  <c r="R690" i="5" s="1"/>
  <c r="AF690" i="5"/>
  <c r="AA690" i="5" s="1"/>
  <c r="W692" i="5"/>
  <c r="R692" i="5" s="1"/>
  <c r="AF692" i="5"/>
  <c r="AA692" i="5" s="1"/>
  <c r="W199" i="5"/>
  <c r="R199" i="5" s="1"/>
  <c r="AF199" i="5"/>
  <c r="AA199" i="5" s="1"/>
  <c r="V238" i="5"/>
  <c r="Q238" i="5" s="1"/>
  <c r="AE238" i="5"/>
  <c r="Z238" i="5" s="1"/>
  <c r="W248" i="5"/>
  <c r="R248" i="5" s="1"/>
  <c r="AF248" i="5"/>
  <c r="AA248" i="5" s="1"/>
  <c r="T621" i="5"/>
  <c r="O621" i="5" s="1"/>
  <c r="AC621" i="5"/>
  <c r="X621" i="5" s="1"/>
  <c r="T428" i="5"/>
  <c r="O428" i="5" s="1"/>
  <c r="AC428" i="5"/>
  <c r="X428" i="5" s="1"/>
  <c r="V108" i="5"/>
  <c r="Q108" i="5" s="1"/>
  <c r="AE108" i="5"/>
  <c r="Z108" i="5" s="1"/>
  <c r="W238" i="5"/>
  <c r="R238" i="5" s="1"/>
  <c r="AF238" i="5"/>
  <c r="AA238" i="5" s="1"/>
  <c r="V686" i="5"/>
  <c r="Q686" i="5" s="1"/>
  <c r="AE686" i="5"/>
  <c r="W459" i="5"/>
  <c r="R459" i="5" s="1"/>
  <c r="AF459" i="5"/>
  <c r="AA459" i="5" s="1"/>
  <c r="U350" i="5"/>
  <c r="P350" i="5" s="1"/>
  <c r="AD350" i="5"/>
  <c r="Y350" i="5" s="1"/>
  <c r="V395" i="5"/>
  <c r="Q395" i="5" s="1"/>
  <c r="AE395" i="5"/>
  <c r="Z395" i="5" s="1"/>
  <c r="U241" i="5"/>
  <c r="P241" i="5" s="1"/>
  <c r="AD241" i="5"/>
  <c r="Y241" i="5" s="1"/>
  <c r="W429" i="5"/>
  <c r="R429" i="5" s="1"/>
  <c r="AF429" i="5"/>
  <c r="AA429" i="5" s="1"/>
  <c r="U134" i="5"/>
  <c r="P134" i="5" s="1"/>
  <c r="AD134" i="5"/>
  <c r="Y134" i="5" s="1"/>
  <c r="V490" i="5"/>
  <c r="Q490" i="5" s="1"/>
  <c r="AE490" i="5"/>
  <c r="Z490" i="5" s="1"/>
  <c r="U486" i="5"/>
  <c r="P486" i="5" s="1"/>
  <c r="AD486" i="5"/>
  <c r="Y486" i="5" s="1"/>
  <c r="T150" i="5"/>
  <c r="O150" i="5" s="1"/>
  <c r="AC150" i="5"/>
  <c r="X150" i="5" s="1"/>
  <c r="T207" i="5"/>
  <c r="O207" i="5" s="1"/>
  <c r="AC207" i="5"/>
  <c r="X207" i="5" s="1"/>
  <c r="V510" i="5"/>
  <c r="Q510" i="5" s="1"/>
  <c r="AE510" i="5"/>
  <c r="Z510" i="5" s="1"/>
  <c r="U550" i="5"/>
  <c r="P550" i="5" s="1"/>
  <c r="AD550" i="5"/>
  <c r="T358" i="5"/>
  <c r="AC358" i="5"/>
  <c r="W87" i="5"/>
  <c r="R87" i="5" s="1"/>
  <c r="AF87" i="5"/>
  <c r="AA87" i="5" s="1"/>
  <c r="V623" i="5"/>
  <c r="Q623" i="5" s="1"/>
  <c r="AE623" i="5"/>
  <c r="Z623" i="5" s="1"/>
  <c r="U480" i="5"/>
  <c r="P480" i="5" s="1"/>
  <c r="AD480" i="5"/>
  <c r="Y480" i="5" s="1"/>
  <c r="T509" i="5"/>
  <c r="O509" i="5" s="1"/>
  <c r="AC509" i="5"/>
  <c r="X509" i="5" s="1"/>
  <c r="V29" i="5"/>
  <c r="Q29" i="5" s="1"/>
  <c r="AE29" i="5"/>
  <c r="Z29" i="5" s="1"/>
  <c r="U631" i="5"/>
  <c r="P631" i="5" s="1"/>
  <c r="AD631" i="5"/>
  <c r="Y631" i="5" s="1"/>
  <c r="V284" i="5"/>
  <c r="Q284" i="5" s="1"/>
  <c r="AE284" i="5"/>
  <c r="Z284" i="5" s="1"/>
  <c r="W124" i="5"/>
  <c r="R124" i="5" s="1"/>
  <c r="AF124" i="5"/>
  <c r="AA124" i="5" s="1"/>
  <c r="V214" i="5"/>
  <c r="Q214" i="5" s="1"/>
  <c r="AE214" i="5"/>
  <c r="Z214" i="5" s="1"/>
  <c r="V367" i="5"/>
  <c r="Q367" i="5" s="1"/>
  <c r="AE367" i="5"/>
  <c r="Z367" i="5" s="1"/>
  <c r="T758" i="5"/>
  <c r="O758" i="5" s="1"/>
  <c r="AC758" i="5"/>
  <c r="W597" i="5"/>
  <c r="R597" i="5" s="1"/>
  <c r="AF597" i="5"/>
  <c r="AA597" i="5" s="1"/>
  <c r="U117" i="5"/>
  <c r="P117" i="5" s="1"/>
  <c r="AD117" i="5"/>
  <c r="Y117" i="5" s="1"/>
  <c r="V371" i="5"/>
  <c r="Q371" i="5" s="1"/>
  <c r="AE371" i="5"/>
  <c r="Z371" i="5" s="1"/>
  <c r="U137" i="5"/>
  <c r="P137" i="5" s="1"/>
  <c r="AD137" i="5"/>
  <c r="Y137" i="5" s="1"/>
  <c r="V621" i="5"/>
  <c r="Q621" i="5" s="1"/>
  <c r="AE621" i="5"/>
  <c r="Z621" i="5" s="1"/>
  <c r="V350" i="5"/>
  <c r="Q350" i="5" s="1"/>
  <c r="AE350" i="5"/>
  <c r="Z350" i="5" s="1"/>
  <c r="U141" i="5"/>
  <c r="P141" i="5" s="1"/>
  <c r="AD141" i="5"/>
  <c r="Y141" i="5" s="1"/>
  <c r="U526" i="5"/>
  <c r="P526" i="5" s="1"/>
  <c r="AD526" i="5"/>
  <c r="Y526" i="5" s="1"/>
  <c r="U716" i="5"/>
  <c r="P716" i="5" s="1"/>
  <c r="AD716" i="5"/>
  <c r="Y716" i="5" s="1"/>
  <c r="V206" i="5"/>
  <c r="Q206" i="5" s="1"/>
  <c r="AE206" i="5"/>
  <c r="Z206" i="5" s="1"/>
  <c r="W334" i="5"/>
  <c r="R334" i="5" s="1"/>
  <c r="AF334" i="5"/>
  <c r="AA334" i="5" s="1"/>
  <c r="T557" i="5"/>
  <c r="O557" i="5" s="1"/>
  <c r="AC557" i="5"/>
  <c r="T395" i="5"/>
  <c r="O395" i="5" s="1"/>
  <c r="AC395" i="5"/>
  <c r="X395" i="5" s="1"/>
  <c r="T486" i="5"/>
  <c r="O486" i="5" s="1"/>
  <c r="AC486" i="5"/>
  <c r="X486" i="5" s="1"/>
  <c r="W207" i="5"/>
  <c r="R207" i="5" s="1"/>
  <c r="AF207" i="5"/>
  <c r="U710" i="5"/>
  <c r="P710" i="5" s="1"/>
  <c r="AD710" i="5"/>
  <c r="Y710" i="5" s="1"/>
  <c r="U552" i="5"/>
  <c r="P552" i="5" s="1"/>
  <c r="AD552" i="5"/>
  <c r="Y552" i="5" s="1"/>
  <c r="U232" i="5"/>
  <c r="P232" i="5" s="1"/>
  <c r="AD232" i="5"/>
  <c r="Y232" i="5" s="1"/>
  <c r="U383" i="5"/>
  <c r="P383" i="5" s="1"/>
  <c r="AD383" i="5"/>
  <c r="Y383" i="5" s="1"/>
  <c r="U262" i="5"/>
  <c r="P262" i="5" s="1"/>
  <c r="AD262" i="5"/>
  <c r="Y262" i="5" s="1"/>
  <c r="W382" i="5"/>
  <c r="R382" i="5" s="1"/>
  <c r="AF382" i="5"/>
  <c r="AA382" i="5" s="1"/>
  <c r="T35" i="5"/>
  <c r="O35" i="5" s="1"/>
  <c r="AC35" i="5"/>
  <c r="X35" i="5" s="1"/>
  <c r="U548" i="5"/>
  <c r="P548" i="5" s="1"/>
  <c r="AD548" i="5"/>
  <c r="Y548" i="5" s="1"/>
  <c r="T158" i="5"/>
  <c r="O158" i="5" s="1"/>
  <c r="AC158" i="5"/>
  <c r="W319" i="5"/>
  <c r="R319" i="5" s="1"/>
  <c r="AF319" i="5"/>
  <c r="AA319" i="5" s="1"/>
  <c r="W450" i="5"/>
  <c r="R450" i="5" s="1"/>
  <c r="AF450" i="5"/>
  <c r="T25" i="5"/>
  <c r="O25" i="5" s="1"/>
  <c r="AC25" i="5"/>
  <c r="X25" i="5" s="1"/>
  <c r="U257" i="5"/>
  <c r="P257" i="5" s="1"/>
  <c r="AD257" i="5"/>
  <c r="Y257" i="5" s="1"/>
  <c r="T189" i="5"/>
  <c r="O189" i="5" s="1"/>
  <c r="AC189" i="5"/>
  <c r="X189" i="5" s="1"/>
  <c r="U409" i="5"/>
  <c r="P409" i="5" s="1"/>
  <c r="AD409" i="5"/>
  <c r="Y409" i="5" s="1"/>
  <c r="W374" i="5"/>
  <c r="R374" i="5" s="1"/>
  <c r="AF374" i="5"/>
  <c r="AA374" i="5" s="1"/>
  <c r="V732" i="5"/>
  <c r="Q732" i="5" s="1"/>
  <c r="AE732" i="5"/>
  <c r="Z732" i="5" s="1"/>
  <c r="W572" i="5"/>
  <c r="R572" i="5" s="1"/>
  <c r="AF572" i="5"/>
  <c r="AA572" i="5" s="1"/>
  <c r="V124" i="5"/>
  <c r="Q124" i="5" s="1"/>
  <c r="AE124" i="5"/>
  <c r="Z124" i="5" s="1"/>
  <c r="T347" i="5"/>
  <c r="O347" i="5" s="1"/>
  <c r="AC347" i="5"/>
  <c r="X347" i="5" s="1"/>
  <c r="U214" i="5"/>
  <c r="P214" i="5" s="1"/>
  <c r="AD214" i="5"/>
  <c r="W212" i="5"/>
  <c r="R212" i="5" s="1"/>
  <c r="AF212" i="5"/>
  <c r="AA212" i="5" s="1"/>
  <c r="V532" i="5"/>
  <c r="Q532" i="5" s="1"/>
  <c r="AE532" i="5"/>
  <c r="Z532" i="5" s="1"/>
  <c r="T653" i="5"/>
  <c r="O653" i="5" s="1"/>
  <c r="AC653" i="5"/>
  <c r="X653" i="5" s="1"/>
  <c r="V110" i="5"/>
  <c r="Q110" i="5" s="1"/>
  <c r="AE110" i="5"/>
  <c r="Z110" i="5" s="1"/>
  <c r="T588" i="5"/>
  <c r="O588" i="5" s="1"/>
  <c r="AC588" i="5"/>
  <c r="X588" i="5" s="1"/>
  <c r="T107" i="5"/>
  <c r="O107" i="5" s="1"/>
  <c r="AC107" i="5"/>
  <c r="X107" i="5" s="1"/>
  <c r="T269" i="5"/>
  <c r="O269" i="5" s="1"/>
  <c r="AC269" i="5"/>
  <c r="X269" i="5" s="1"/>
  <c r="W286" i="5"/>
  <c r="R286" i="5" s="1"/>
  <c r="AF286" i="5"/>
  <c r="AA286" i="5" s="1"/>
  <c r="U206" i="5"/>
  <c r="P206" i="5" s="1"/>
  <c r="AD206" i="5"/>
  <c r="Y206" i="5" s="1"/>
  <c r="V619" i="5"/>
  <c r="Q619" i="5" s="1"/>
  <c r="AE619" i="5"/>
  <c r="Z619" i="5" s="1"/>
  <c r="T44" i="5"/>
  <c r="O44" i="5" s="1"/>
  <c r="AC44" i="5"/>
  <c r="X44" i="5" s="1"/>
  <c r="U717" i="5"/>
  <c r="P717" i="5" s="1"/>
  <c r="AD717" i="5"/>
  <c r="V494" i="5"/>
  <c r="Q494" i="5" s="1"/>
  <c r="AE494" i="5"/>
  <c r="U494" i="5"/>
  <c r="P494" i="5" s="1"/>
  <c r="AD494" i="5"/>
  <c r="Y494" i="5" s="1"/>
  <c r="T237" i="5"/>
  <c r="AC237" i="5"/>
  <c r="X237" i="5" s="1"/>
  <c r="T684" i="5"/>
  <c r="O684" i="5" s="1"/>
  <c r="AC684" i="5"/>
  <c r="X684" i="5" s="1"/>
  <c r="W619" i="5"/>
  <c r="R619" i="5" s="1"/>
  <c r="AF619" i="5"/>
  <c r="AA619" i="5" s="1"/>
  <c r="T299" i="5"/>
  <c r="O299" i="5" s="1"/>
  <c r="AC299" i="5"/>
  <c r="X299" i="5" s="1"/>
  <c r="W422" i="5"/>
  <c r="R422" i="5" s="1"/>
  <c r="AF422" i="5"/>
  <c r="AA422" i="5" s="1"/>
  <c r="U215" i="5"/>
  <c r="P215" i="5" s="1"/>
  <c r="AD215" i="5"/>
  <c r="Y215" i="5" s="1"/>
  <c r="U679" i="5"/>
  <c r="P679" i="5" s="1"/>
  <c r="AD679" i="5"/>
  <c r="Y679" i="5" s="1"/>
  <c r="V231" i="5"/>
  <c r="Q231" i="5" s="1"/>
  <c r="AE231" i="5"/>
  <c r="Z231" i="5" s="1"/>
  <c r="T262" i="5"/>
  <c r="O262" i="5" s="1"/>
  <c r="AC262" i="5"/>
  <c r="X262" i="5" s="1"/>
  <c r="U81" i="5"/>
  <c r="P81" i="5" s="1"/>
  <c r="AD81" i="5"/>
  <c r="U671" i="5"/>
  <c r="P671" i="5" s="1"/>
  <c r="AD671" i="5"/>
  <c r="Y671" i="5" s="1"/>
  <c r="V676" i="5"/>
  <c r="Q676" i="5" s="1"/>
  <c r="AE676" i="5"/>
  <c r="Z676" i="5" s="1"/>
  <c r="U64" i="5"/>
  <c r="AD64" i="5"/>
  <c r="Y64" i="5" s="1"/>
  <c r="W158" i="5"/>
  <c r="R158" i="5" s="1"/>
  <c r="AF158" i="5"/>
  <c r="AA158" i="5" s="1"/>
  <c r="V547" i="5"/>
  <c r="Q547" i="5" s="1"/>
  <c r="AE547" i="5"/>
  <c r="Z547" i="5" s="1"/>
  <c r="V735" i="5"/>
  <c r="Q735" i="5" s="1"/>
  <c r="AE735" i="5"/>
  <c r="Z735" i="5" s="1"/>
  <c r="V288" i="5"/>
  <c r="Q288" i="5" s="1"/>
  <c r="AE288" i="5"/>
  <c r="Z288" i="5" s="1"/>
  <c r="V637" i="5"/>
  <c r="Q637" i="5" s="1"/>
  <c r="AE637" i="5"/>
  <c r="Z637" i="5" s="1"/>
  <c r="T29" i="5"/>
  <c r="O29" i="5" s="1"/>
  <c r="AC29" i="5"/>
  <c r="X29" i="5" s="1"/>
  <c r="W475" i="5"/>
  <c r="R475" i="5" s="1"/>
  <c r="AF475" i="5"/>
  <c r="AA475" i="5" s="1"/>
  <c r="T187" i="5"/>
  <c r="O187" i="5" s="1"/>
  <c r="AC187" i="5"/>
  <c r="T122" i="5"/>
  <c r="O122" i="5" s="1"/>
  <c r="AC122" i="5"/>
  <c r="W214" i="5"/>
  <c r="R214" i="5" s="1"/>
  <c r="AF214" i="5"/>
  <c r="AA214" i="5" s="1"/>
  <c r="V277" i="5"/>
  <c r="Q277" i="5" s="1"/>
  <c r="AE277" i="5"/>
  <c r="V212" i="5"/>
  <c r="Q212" i="5" s="1"/>
  <c r="AE212" i="5"/>
  <c r="W52" i="5"/>
  <c r="R52" i="5" s="1"/>
  <c r="AF52" i="5"/>
  <c r="AA52" i="5" s="1"/>
  <c r="T179" i="5"/>
  <c r="O179" i="5" s="1"/>
  <c r="AC179" i="5"/>
  <c r="X179" i="5" s="1"/>
  <c r="U385" i="5"/>
  <c r="P385" i="5" s="1"/>
  <c r="AD385" i="5"/>
  <c r="Y385" i="5" s="1"/>
  <c r="W21" i="5"/>
  <c r="R21" i="5" s="1"/>
  <c r="AF21" i="5"/>
  <c r="AA21" i="5" s="1"/>
  <c r="T43" i="5"/>
  <c r="O43" i="5" s="1"/>
  <c r="AC43" i="5"/>
  <c r="X43" i="5" s="1"/>
  <c r="U557" i="5"/>
  <c r="P557" i="5" s="1"/>
  <c r="AD557" i="5"/>
  <c r="Y557" i="5" s="1"/>
  <c r="V524" i="5"/>
  <c r="Q524" i="5" s="1"/>
  <c r="AE524" i="5"/>
  <c r="Z524" i="5" s="1"/>
  <c r="V332" i="5"/>
  <c r="Q332" i="5" s="1"/>
  <c r="AE332" i="5"/>
  <c r="Z332" i="5" s="1"/>
  <c r="T555" i="5"/>
  <c r="O555" i="5" s="1"/>
  <c r="AC555" i="5"/>
  <c r="V134" i="5"/>
  <c r="Q134" i="5" s="1"/>
  <c r="AE134" i="5"/>
  <c r="Z134" i="5" s="1"/>
  <c r="U457" i="5"/>
  <c r="AD457" i="5"/>
  <c r="Y457" i="5" s="1"/>
  <c r="W392" i="5"/>
  <c r="R392" i="5" s="1"/>
  <c r="AF392" i="5"/>
  <c r="AA392" i="5" s="1"/>
  <c r="W95" i="5"/>
  <c r="R95" i="5" s="1"/>
  <c r="AF95" i="5"/>
  <c r="AA95" i="5" s="1"/>
  <c r="V71" i="5"/>
  <c r="Q71" i="5" s="1"/>
  <c r="AE71" i="5"/>
  <c r="Z71" i="5" s="1"/>
  <c r="T36" i="5"/>
  <c r="O36" i="5" s="1"/>
  <c r="AC36" i="5"/>
  <c r="X36" i="5" s="1"/>
  <c r="U529" i="5"/>
  <c r="P529" i="5" s="1"/>
  <c r="AD529" i="5"/>
  <c r="Y529" i="5" s="1"/>
  <c r="W516" i="5"/>
  <c r="R516" i="5" s="1"/>
  <c r="AF516" i="5"/>
  <c r="AA516" i="5" s="1"/>
  <c r="T227" i="5"/>
  <c r="O227" i="5" s="1"/>
  <c r="AC227" i="5"/>
  <c r="X227" i="5" s="1"/>
  <c r="T290" i="5"/>
  <c r="O290" i="5" s="1"/>
  <c r="AC290" i="5"/>
  <c r="X290" i="5" s="1"/>
  <c r="W415" i="5"/>
  <c r="R415" i="5" s="1"/>
  <c r="AF415" i="5"/>
  <c r="AA415" i="5" s="1"/>
  <c r="U288" i="5"/>
  <c r="P288" i="5" s="1"/>
  <c r="AD288" i="5"/>
  <c r="V30" i="5"/>
  <c r="Q30" i="5" s="1"/>
  <c r="AE30" i="5"/>
  <c r="Z30" i="5" s="1"/>
  <c r="V477" i="5"/>
  <c r="Q477" i="5" s="1"/>
  <c r="AE477" i="5"/>
  <c r="Z477" i="5" s="1"/>
  <c r="V157" i="5"/>
  <c r="AE157" i="5"/>
  <c r="V374" i="5"/>
  <c r="Q374" i="5" s="1"/>
  <c r="AE374" i="5"/>
  <c r="Z374" i="5" s="1"/>
  <c r="V700" i="5"/>
  <c r="Q700" i="5" s="1"/>
  <c r="AE700" i="5"/>
  <c r="Z700" i="5" s="1"/>
  <c r="V635" i="5"/>
  <c r="Q635" i="5" s="1"/>
  <c r="AE635" i="5"/>
  <c r="Z635" i="5" s="1"/>
  <c r="V475" i="5"/>
  <c r="Q475" i="5" s="1"/>
  <c r="AE475" i="5"/>
  <c r="Z475" i="5" s="1"/>
  <c r="W315" i="5"/>
  <c r="R315" i="5" s="1"/>
  <c r="AF315" i="5"/>
  <c r="AA315" i="5" s="1"/>
  <c r="W27" i="5"/>
  <c r="R27" i="5" s="1"/>
  <c r="AF27" i="5"/>
  <c r="AA27" i="5" s="1"/>
  <c r="U405" i="5"/>
  <c r="P405" i="5" s="1"/>
  <c r="AD405" i="5"/>
  <c r="Y405" i="5" s="1"/>
  <c r="V117" i="5"/>
  <c r="Q117" i="5" s="1"/>
  <c r="AE117" i="5"/>
  <c r="Z117" i="5" s="1"/>
  <c r="V499" i="5"/>
  <c r="Q499" i="5" s="1"/>
  <c r="AE499" i="5"/>
  <c r="V303" i="5"/>
  <c r="Q303" i="5" s="1"/>
  <c r="AE303" i="5"/>
  <c r="Z303" i="5" s="1"/>
  <c r="W660" i="5"/>
  <c r="R660" i="5" s="1"/>
  <c r="AF660" i="5"/>
  <c r="AA660" i="5" s="1"/>
  <c r="AF397" i="5"/>
  <c r="AA397" i="5" s="1"/>
  <c r="V458" i="5"/>
  <c r="Q458" i="5" s="1"/>
  <c r="AE458" i="5"/>
  <c r="Z458" i="5" s="1"/>
  <c r="T138" i="5"/>
  <c r="O138" i="5" s="1"/>
  <c r="AC138" i="5"/>
  <c r="X138" i="5" s="1"/>
  <c r="V745" i="5"/>
  <c r="Q745" i="5" s="1"/>
  <c r="AE745" i="5"/>
  <c r="Z745" i="5" s="1"/>
  <c r="V95" i="5"/>
  <c r="Q95" i="5" s="1"/>
  <c r="AE95" i="5"/>
  <c r="Z95" i="5" s="1"/>
  <c r="U62" i="5"/>
  <c r="P62" i="5" s="1"/>
  <c r="AD62" i="5"/>
  <c r="Y62" i="5" s="1"/>
  <c r="W229" i="5"/>
  <c r="R229" i="5" s="1"/>
  <c r="AF229" i="5"/>
  <c r="AA229" i="5" s="1"/>
  <c r="W418" i="5"/>
  <c r="R418" i="5" s="1"/>
  <c r="AF418" i="5"/>
  <c r="AA418" i="5" s="1"/>
  <c r="V696" i="5"/>
  <c r="Q696" i="5" s="1"/>
  <c r="AE696" i="5"/>
  <c r="Z696" i="5" s="1"/>
  <c r="W705" i="5"/>
  <c r="R705" i="5" s="1"/>
  <c r="AF705" i="5"/>
  <c r="AA705" i="5" s="1"/>
  <c r="U545" i="5"/>
  <c r="AD545" i="5"/>
  <c r="Y545" i="5" s="1"/>
  <c r="W317" i="5"/>
  <c r="AF317" i="5"/>
  <c r="AA317" i="5" s="1"/>
  <c r="V122" i="5"/>
  <c r="Q122" i="5" s="1"/>
  <c r="AE122" i="5"/>
  <c r="Z122" i="5" s="1"/>
  <c r="V342" i="5"/>
  <c r="Q342" i="5" s="1"/>
  <c r="AE342" i="5"/>
  <c r="Z342" i="5" s="1"/>
  <c r="T302" i="5"/>
  <c r="O302" i="5" s="1"/>
  <c r="AC302" i="5"/>
  <c r="X302" i="5" s="1"/>
  <c r="V57" i="5"/>
  <c r="Q57" i="5" s="1"/>
  <c r="AE57" i="5"/>
  <c r="Z57" i="5" s="1"/>
  <c r="W685" i="5"/>
  <c r="R685" i="5" s="1"/>
  <c r="AF685" i="5"/>
  <c r="AA685" i="5" s="1"/>
  <c r="U492" i="5"/>
  <c r="P492" i="5" s="1"/>
  <c r="AD492" i="5"/>
  <c r="Y492" i="5" s="1"/>
  <c r="T575" i="5"/>
  <c r="O575" i="5" s="1"/>
  <c r="AC575" i="5"/>
  <c r="X575" i="5" s="1"/>
  <c r="T40" i="5"/>
  <c r="O40" i="5" s="1"/>
  <c r="AC40" i="5"/>
  <c r="X40" i="5" s="1"/>
  <c r="U519" i="5"/>
  <c r="P519" i="5" s="1"/>
  <c r="AD519" i="5"/>
  <c r="Y519" i="5" s="1"/>
  <c r="V677" i="5"/>
  <c r="Q677" i="5" s="1"/>
  <c r="AE677" i="5"/>
  <c r="Z677" i="5" s="1"/>
  <c r="U517" i="5"/>
  <c r="AD517" i="5"/>
  <c r="Y517" i="5" s="1"/>
  <c r="U229" i="5"/>
  <c r="P229" i="5" s="1"/>
  <c r="AD229" i="5"/>
  <c r="Y229" i="5" s="1"/>
  <c r="V675" i="5"/>
  <c r="Q675" i="5" s="1"/>
  <c r="AE675" i="5"/>
  <c r="Z675" i="5" s="1"/>
  <c r="U163" i="5"/>
  <c r="P163" i="5" s="1"/>
  <c r="AD163" i="5"/>
  <c r="Y163" i="5" s="1"/>
  <c r="W593" i="5"/>
  <c r="R593" i="5" s="1"/>
  <c r="AF593" i="5"/>
  <c r="AA593" i="5" s="1"/>
  <c r="W249" i="5"/>
  <c r="R249" i="5" s="1"/>
  <c r="AF249" i="5"/>
  <c r="AA249" i="5" s="1"/>
  <c r="W496" i="5"/>
  <c r="R496" i="5" s="1"/>
  <c r="AF496" i="5"/>
  <c r="AA496" i="5" s="1"/>
  <c r="T473" i="5"/>
  <c r="O473" i="5" s="1"/>
  <c r="AC473" i="5"/>
  <c r="X473" i="5" s="1"/>
  <c r="W376" i="5"/>
  <c r="R376" i="5" s="1"/>
  <c r="AF376" i="5"/>
  <c r="AA376" i="5" s="1"/>
  <c r="W112" i="5"/>
  <c r="R112" i="5" s="1"/>
  <c r="AF112" i="5"/>
  <c r="AA112" i="5" s="1"/>
  <c r="U300" i="5"/>
  <c r="P300" i="5" s="1"/>
  <c r="AD300" i="5"/>
  <c r="Y300" i="5" s="1"/>
  <c r="W113" i="5"/>
  <c r="R113" i="5" s="1"/>
  <c r="AF113" i="5"/>
  <c r="AA113" i="5" s="1"/>
  <c r="U426" i="5"/>
  <c r="AD426" i="5"/>
  <c r="Y426" i="5" s="1"/>
  <c r="V152" i="5"/>
  <c r="Q152" i="5" s="1"/>
  <c r="AE152" i="5"/>
  <c r="Z152" i="5" s="1"/>
  <c r="W520" i="5"/>
  <c r="R520" i="5" s="1"/>
  <c r="AF520" i="5"/>
  <c r="AA520" i="5" s="1"/>
  <c r="V287" i="5"/>
  <c r="Q287" i="5" s="1"/>
  <c r="AE287" i="5"/>
  <c r="Z287" i="5" s="1"/>
  <c r="U643" i="5"/>
  <c r="P643" i="5" s="1"/>
  <c r="AD643" i="5"/>
  <c r="Y643" i="5" s="1"/>
  <c r="W448" i="5"/>
  <c r="R448" i="5" s="1"/>
  <c r="AF448" i="5"/>
  <c r="AA448" i="5" s="1"/>
  <c r="V605" i="5"/>
  <c r="Q605" i="5" s="1"/>
  <c r="AE605" i="5"/>
  <c r="Z605" i="5" s="1"/>
  <c r="W445" i="5"/>
  <c r="R445" i="5" s="1"/>
  <c r="AF445" i="5"/>
  <c r="AA445" i="5" s="1"/>
  <c r="U60" i="5"/>
  <c r="P60" i="5" s="1"/>
  <c r="AD60" i="5"/>
  <c r="Y60" i="5" s="1"/>
  <c r="T24" i="5"/>
  <c r="O24" i="5" s="1"/>
  <c r="AC24" i="5"/>
  <c r="X24" i="5" s="1"/>
  <c r="U90" i="5"/>
  <c r="P90" i="5" s="1"/>
  <c r="AD90" i="5"/>
  <c r="Y90" i="5" s="1"/>
  <c r="V537" i="5"/>
  <c r="Q537" i="5" s="1"/>
  <c r="U594" i="5"/>
  <c r="P594" i="5" s="1"/>
  <c r="AD594" i="5"/>
  <c r="T762" i="5"/>
  <c r="O762" i="5" s="1"/>
  <c r="AC762" i="5"/>
  <c r="X762" i="5" s="1"/>
  <c r="U693" i="5"/>
  <c r="P693" i="5" s="1"/>
  <c r="AD693" i="5"/>
  <c r="Y693" i="5" s="1"/>
  <c r="W180" i="5"/>
  <c r="R180" i="5" s="1"/>
  <c r="AF180" i="5"/>
  <c r="AA180" i="5" s="1"/>
  <c r="U302" i="5"/>
  <c r="P302" i="5" s="1"/>
  <c r="AD302" i="5"/>
  <c r="Y302" i="5" s="1"/>
  <c r="U685" i="5"/>
  <c r="P685" i="5" s="1"/>
  <c r="AD685" i="5"/>
  <c r="Y685" i="5" s="1"/>
  <c r="U345" i="5"/>
  <c r="P345" i="5" s="1"/>
  <c r="AD345" i="5"/>
  <c r="Y345" i="5" s="1"/>
  <c r="T720" i="5"/>
  <c r="O720" i="5" s="1"/>
  <c r="AC720" i="5"/>
  <c r="X720" i="5" s="1"/>
  <c r="T614" i="5"/>
  <c r="O614" i="5" s="1"/>
  <c r="AC614" i="5"/>
  <c r="X614" i="5" s="1"/>
  <c r="V80" i="5"/>
  <c r="Q80" i="5" s="1"/>
  <c r="AE80" i="5"/>
  <c r="Z80" i="5" s="1"/>
  <c r="T648" i="5"/>
  <c r="O648" i="5" s="1"/>
  <c r="AC648" i="5"/>
  <c r="X648" i="5" s="1"/>
  <c r="V488" i="5"/>
  <c r="Q488" i="5" s="1"/>
  <c r="AE488" i="5"/>
  <c r="Z488" i="5" s="1"/>
  <c r="V153" i="5"/>
  <c r="Q153" i="5" s="1"/>
  <c r="AE153" i="5"/>
  <c r="T357" i="5"/>
  <c r="O357" i="5" s="1"/>
  <c r="AC357" i="5"/>
  <c r="X357" i="5" s="1"/>
  <c r="T643" i="5"/>
  <c r="O643" i="5" s="1"/>
  <c r="AC643" i="5"/>
  <c r="X643" i="5" s="1"/>
  <c r="T574" i="5"/>
  <c r="O574" i="5" s="1"/>
  <c r="AC574" i="5"/>
  <c r="X574" i="5" s="1"/>
  <c r="W65" i="5"/>
  <c r="R65" i="5" s="1"/>
  <c r="AF65" i="5"/>
  <c r="AA65" i="5" s="1"/>
  <c r="W608" i="5"/>
  <c r="R608" i="5" s="1"/>
  <c r="AF608" i="5"/>
  <c r="AA608" i="5" s="1"/>
  <c r="T185" i="5"/>
  <c r="O185" i="5" s="1"/>
  <c r="AC185" i="5"/>
  <c r="X185" i="5" s="1"/>
  <c r="V56" i="5"/>
  <c r="Q56" i="5" s="1"/>
  <c r="AE56" i="5"/>
  <c r="Z56" i="5" s="1"/>
  <c r="T500" i="5"/>
  <c r="O500" i="5" s="1"/>
  <c r="AC500" i="5"/>
  <c r="X500" i="5" s="1"/>
  <c r="T620" i="5"/>
  <c r="O620" i="5" s="1"/>
  <c r="AC620" i="5"/>
  <c r="X620" i="5" s="1"/>
  <c r="W491" i="5"/>
  <c r="R491" i="5" s="1"/>
  <c r="AF491" i="5"/>
  <c r="AA491" i="5" s="1"/>
  <c r="V575" i="5"/>
  <c r="Q575" i="5" s="1"/>
  <c r="AE575" i="5"/>
  <c r="Z575" i="5" s="1"/>
  <c r="W586" i="5"/>
  <c r="R586" i="5" s="1"/>
  <c r="AF586" i="5"/>
  <c r="V105" i="5"/>
  <c r="Q105" i="5" s="1"/>
  <c r="AE105" i="5"/>
  <c r="Z105" i="5" s="1"/>
  <c r="V357" i="5"/>
  <c r="Q357" i="5" s="1"/>
  <c r="AE357" i="5"/>
  <c r="Z357" i="5" s="1"/>
  <c r="V464" i="5"/>
  <c r="Q464" i="5" s="1"/>
  <c r="AE464" i="5"/>
  <c r="Z464" i="5" s="1"/>
  <c r="U258" i="5"/>
  <c r="P258" i="5" s="1"/>
  <c r="AD258" i="5"/>
  <c r="Y258" i="5" s="1"/>
  <c r="W353" i="5"/>
  <c r="R353" i="5" s="1"/>
  <c r="AF353" i="5"/>
  <c r="AA353" i="5" s="1"/>
  <c r="T65" i="5"/>
  <c r="O65" i="5" s="1"/>
  <c r="AC65" i="5"/>
  <c r="X65" i="5" s="1"/>
  <c r="V128" i="5"/>
  <c r="Q128" i="5" s="1"/>
  <c r="AE128" i="5"/>
  <c r="Z128" i="5" s="1"/>
  <c r="U283" i="5"/>
  <c r="P283" i="5" s="1"/>
  <c r="AD283" i="5"/>
  <c r="Y283" i="5" s="1"/>
  <c r="U180" i="5"/>
  <c r="P180" i="5" s="1"/>
  <c r="AD180" i="5"/>
  <c r="Y180" i="5" s="1"/>
  <c r="W467" i="5"/>
  <c r="R467" i="5" s="1"/>
  <c r="AF467" i="5"/>
  <c r="AA467" i="5" s="1"/>
  <c r="T305" i="5"/>
  <c r="O305" i="5" s="1"/>
  <c r="AC305" i="5"/>
  <c r="X305" i="5" s="1"/>
  <c r="T587" i="5"/>
  <c r="O587" i="5" s="1"/>
  <c r="AC587" i="5"/>
  <c r="T106" i="5"/>
  <c r="AC106" i="5"/>
  <c r="X106" i="5" s="1"/>
  <c r="V393" i="5"/>
  <c r="Q393" i="5" s="1"/>
  <c r="AE393" i="5"/>
  <c r="Z393" i="5" s="1"/>
  <c r="W233" i="5"/>
  <c r="R233" i="5" s="1"/>
  <c r="AF233" i="5"/>
  <c r="AA233" i="5" s="1"/>
  <c r="U105" i="5"/>
  <c r="P105" i="5" s="1"/>
  <c r="AD105" i="5"/>
  <c r="Y105" i="5" s="1"/>
  <c r="W40" i="5"/>
  <c r="R40" i="5" s="1"/>
  <c r="AF40" i="5"/>
  <c r="AA40" i="5" s="1"/>
  <c r="U326" i="5"/>
  <c r="P326" i="5" s="1"/>
  <c r="AD326" i="5"/>
  <c r="Y326" i="5" s="1"/>
  <c r="W517" i="5"/>
  <c r="R517" i="5" s="1"/>
  <c r="AF517" i="5"/>
  <c r="AA517" i="5" s="1"/>
  <c r="T644" i="5"/>
  <c r="O644" i="5" s="1"/>
  <c r="AC644" i="5"/>
  <c r="X644" i="5" s="1"/>
  <c r="T479" i="5"/>
  <c r="O479" i="5" s="1"/>
  <c r="AC479" i="5"/>
  <c r="X479" i="5" s="1"/>
  <c r="W643" i="5"/>
  <c r="R643" i="5" s="1"/>
  <c r="AF643" i="5"/>
  <c r="AA643" i="5" s="1"/>
  <c r="U66" i="5"/>
  <c r="P66" i="5" s="1"/>
  <c r="AD66" i="5"/>
  <c r="Y66" i="5" s="1"/>
  <c r="V673" i="5"/>
  <c r="Q673" i="5" s="1"/>
  <c r="AE673" i="5"/>
  <c r="T256" i="5"/>
  <c r="O256" i="5" s="1"/>
  <c r="AC256" i="5"/>
  <c r="T431" i="5"/>
  <c r="O431" i="5" s="1"/>
  <c r="AC431" i="5"/>
  <c r="X431" i="5" s="1"/>
  <c r="T668" i="5"/>
  <c r="O668" i="5" s="1"/>
  <c r="AC668" i="5"/>
  <c r="X668" i="5" s="1"/>
  <c r="W442" i="5"/>
  <c r="R442" i="5" s="1"/>
  <c r="AF442" i="5"/>
  <c r="AA442" i="5" s="1"/>
  <c r="V648" i="5"/>
  <c r="Q648" i="5" s="1"/>
  <c r="AE648" i="5"/>
  <c r="Z648" i="5" s="1"/>
  <c r="T168" i="5"/>
  <c r="O168" i="5" s="1"/>
  <c r="AC168" i="5"/>
  <c r="X168" i="5" s="1"/>
  <c r="U615" i="5"/>
  <c r="P615" i="5" s="1"/>
  <c r="AD615" i="5"/>
  <c r="Y615" i="5" s="1"/>
  <c r="T167" i="5"/>
  <c r="O167" i="5" s="1"/>
  <c r="AC167" i="5"/>
  <c r="X167" i="5" s="1"/>
  <c r="W131" i="5"/>
  <c r="R131" i="5" s="1"/>
  <c r="AF131" i="5"/>
  <c r="AA131" i="5" s="1"/>
  <c r="U67" i="5"/>
  <c r="P67" i="5" s="1"/>
  <c r="AD67" i="5"/>
  <c r="Y67" i="5" s="1"/>
  <c r="U706" i="5"/>
  <c r="P706" i="5" s="1"/>
  <c r="AD706" i="5"/>
  <c r="Y706" i="5" s="1"/>
  <c r="T306" i="5"/>
  <c r="O306" i="5" s="1"/>
  <c r="AC306" i="5"/>
  <c r="U570" i="5"/>
  <c r="P570" i="5" s="1"/>
  <c r="AD570" i="5"/>
  <c r="Y570" i="5" s="1"/>
  <c r="U661" i="5"/>
  <c r="P661" i="5" s="1"/>
  <c r="AD661" i="5"/>
  <c r="U659" i="5"/>
  <c r="AD659" i="5"/>
  <c r="Y659" i="5" s="1"/>
  <c r="V531" i="5"/>
  <c r="Q531" i="5" s="1"/>
  <c r="AE531" i="5"/>
  <c r="Z531" i="5" s="1"/>
  <c r="V747" i="5"/>
  <c r="Q747" i="5" s="1"/>
  <c r="AE747" i="5"/>
  <c r="Z747" i="5" s="1"/>
  <c r="T110" i="5"/>
  <c r="O110" i="5" s="1"/>
  <c r="AC110" i="5"/>
  <c r="X110" i="5" s="1"/>
  <c r="V620" i="5"/>
  <c r="Q620" i="5" s="1"/>
  <c r="AE620" i="5"/>
  <c r="Z620" i="5" s="1"/>
  <c r="U714" i="5"/>
  <c r="P714" i="5" s="1"/>
  <c r="AD714" i="5"/>
  <c r="Y714" i="5" s="1"/>
  <c r="V554" i="5"/>
  <c r="Q554" i="5" s="1"/>
  <c r="AE554" i="5"/>
  <c r="Z554" i="5" s="1"/>
  <c r="T234" i="5"/>
  <c r="O234" i="5" s="1"/>
  <c r="AC234" i="5"/>
  <c r="X234" i="5" s="1"/>
  <c r="T616" i="5"/>
  <c r="O616" i="5" s="1"/>
  <c r="AC616" i="5"/>
  <c r="X616" i="5" s="1"/>
  <c r="U54" i="5"/>
  <c r="P54" i="5" s="1"/>
  <c r="AD54" i="5"/>
  <c r="T615" i="5"/>
  <c r="O615" i="5" s="1"/>
  <c r="AC615" i="5"/>
  <c r="X615" i="5" s="1"/>
  <c r="W559" i="5"/>
  <c r="R559" i="5" s="1"/>
  <c r="AF559" i="5"/>
  <c r="AA559" i="5" s="1"/>
  <c r="V657" i="5"/>
  <c r="Q657" i="5" s="1"/>
  <c r="AE657" i="5"/>
  <c r="Z657" i="5" s="1"/>
  <c r="T546" i="5"/>
  <c r="O546" i="5" s="1"/>
  <c r="AC546" i="5"/>
  <c r="X546" i="5" s="1"/>
  <c r="T159" i="5"/>
  <c r="O159" i="5" s="1"/>
  <c r="AC159" i="5"/>
  <c r="X159" i="5" s="1"/>
  <c r="V416" i="5"/>
  <c r="Q416" i="5" s="1"/>
  <c r="AE416" i="5"/>
  <c r="Z416" i="5" s="1"/>
  <c r="T408" i="5"/>
  <c r="O408" i="5" s="1"/>
  <c r="AC408" i="5"/>
  <c r="X408" i="5" s="1"/>
  <c r="U663" i="5"/>
  <c r="P663" i="5" s="1"/>
  <c r="AD663" i="5"/>
  <c r="Y663" i="5" s="1"/>
  <c r="V123" i="5"/>
  <c r="Q123" i="5" s="1"/>
  <c r="AE123" i="5"/>
  <c r="Z123" i="5" s="1"/>
  <c r="V628" i="5"/>
  <c r="Q628" i="5" s="1"/>
  <c r="AE628" i="5"/>
  <c r="Z628" i="5" s="1"/>
  <c r="U468" i="5"/>
  <c r="P468" i="5" s="1"/>
  <c r="AD468" i="5"/>
  <c r="Y468" i="5" s="1"/>
  <c r="V344" i="5"/>
  <c r="Q344" i="5" s="1"/>
  <c r="AE344" i="5"/>
  <c r="U658" i="5"/>
  <c r="P658" i="5" s="1"/>
  <c r="AD658" i="5"/>
  <c r="Y658" i="5" s="1"/>
  <c r="T688" i="5"/>
  <c r="O688" i="5" s="1"/>
  <c r="AC688" i="5"/>
  <c r="W616" i="5"/>
  <c r="R616" i="5" s="1"/>
  <c r="AF616" i="5"/>
  <c r="AA616" i="5" s="1"/>
  <c r="T456" i="5"/>
  <c r="O456" i="5" s="1"/>
  <c r="AC456" i="5"/>
  <c r="X456" i="5" s="1"/>
  <c r="W328" i="5"/>
  <c r="R328" i="5" s="1"/>
  <c r="AF328" i="5"/>
  <c r="AA328" i="5" s="1"/>
  <c r="T742" i="5"/>
  <c r="O742" i="5" s="1"/>
  <c r="AC742" i="5"/>
  <c r="X742" i="5" s="1"/>
  <c r="V536" i="5"/>
  <c r="Q536" i="5" s="1"/>
  <c r="AE536" i="5"/>
  <c r="Z536" i="5" s="1"/>
  <c r="U582" i="5"/>
  <c r="P582" i="5" s="1"/>
  <c r="AD582" i="5"/>
  <c r="Y582" i="5" s="1"/>
  <c r="V559" i="5"/>
  <c r="Q559" i="5" s="1"/>
  <c r="AE559" i="5"/>
  <c r="Z559" i="5" s="1"/>
  <c r="U611" i="5"/>
  <c r="P611" i="5" s="1"/>
  <c r="AD611" i="5"/>
  <c r="Y611" i="5" s="1"/>
  <c r="T451" i="5"/>
  <c r="O451" i="5" s="1"/>
  <c r="AC451" i="5"/>
  <c r="X451" i="5" s="1"/>
  <c r="U546" i="5"/>
  <c r="P546" i="5" s="1"/>
  <c r="AD546" i="5"/>
  <c r="U160" i="5"/>
  <c r="AD160" i="5"/>
  <c r="Y160" i="5" s="1"/>
  <c r="W704" i="5"/>
  <c r="R704" i="5" s="1"/>
  <c r="AF704" i="5"/>
  <c r="AA704" i="5" s="1"/>
  <c r="U733" i="5"/>
  <c r="AD733" i="5"/>
  <c r="Y733" i="5" s="1"/>
  <c r="U562" i="5"/>
  <c r="P562" i="5" s="1"/>
  <c r="AD562" i="5"/>
  <c r="Y562" i="5" s="1"/>
  <c r="T188" i="5"/>
  <c r="O188" i="5" s="1"/>
  <c r="AC188" i="5"/>
  <c r="X188" i="5" s="1"/>
  <c r="T663" i="5"/>
  <c r="O663" i="5" s="1"/>
  <c r="AC663" i="5"/>
  <c r="X663" i="5" s="1"/>
  <c r="U251" i="5"/>
  <c r="P251" i="5" s="1"/>
  <c r="AD251" i="5"/>
  <c r="Y251" i="5" s="1"/>
  <c r="W250" i="5"/>
  <c r="R250" i="5" s="1"/>
  <c r="AF250" i="5"/>
  <c r="AA250" i="5" s="1"/>
  <c r="T599" i="5"/>
  <c r="O599" i="5" s="1"/>
  <c r="AC599" i="5"/>
  <c r="X599" i="5" s="1"/>
  <c r="U181" i="5"/>
  <c r="P181" i="5" s="1"/>
  <c r="AD181" i="5"/>
  <c r="Y181" i="5" s="1"/>
  <c r="U115" i="5"/>
  <c r="P115" i="5" s="1"/>
  <c r="AD115" i="5"/>
  <c r="Y115" i="5" s="1"/>
  <c r="T695" i="5"/>
  <c r="O695" i="5" s="1"/>
  <c r="AC695" i="5"/>
  <c r="V73" i="5"/>
  <c r="Q73" i="5" s="1"/>
  <c r="AE73" i="5"/>
  <c r="Z73" i="5" s="1"/>
  <c r="U447" i="5"/>
  <c r="P447" i="5" s="1"/>
  <c r="AD447" i="5"/>
  <c r="Y447" i="5" s="1"/>
  <c r="V600" i="5"/>
  <c r="AE600" i="5"/>
  <c r="Z600" i="5" s="1"/>
  <c r="T77" i="5"/>
  <c r="O77" i="5" s="1"/>
  <c r="AC77" i="5"/>
  <c r="X77" i="5" s="1"/>
  <c r="W254" i="5"/>
  <c r="R254" i="5" s="1"/>
  <c r="AF254" i="5"/>
  <c r="AA254" i="5" s="1"/>
  <c r="V49" i="5"/>
  <c r="Q49" i="5" s="1"/>
  <c r="AE49" i="5"/>
  <c r="Z49" i="5" s="1"/>
  <c r="T519" i="5"/>
  <c r="O519" i="5" s="1"/>
  <c r="AC519" i="5"/>
  <c r="X519" i="5" s="1"/>
  <c r="U228" i="5"/>
  <c r="P228" i="5" s="1"/>
  <c r="AD228" i="5"/>
  <c r="Y228" i="5" s="1"/>
  <c r="W287" i="5"/>
  <c r="R287" i="5" s="1"/>
  <c r="AF287" i="5"/>
  <c r="AA287" i="5" s="1"/>
  <c r="W676" i="5"/>
  <c r="R676" i="5" s="1"/>
  <c r="AF676" i="5"/>
  <c r="AA676" i="5" s="1"/>
  <c r="V158" i="5"/>
  <c r="Q158" i="5" s="1"/>
  <c r="AE158" i="5"/>
  <c r="Z158" i="5" s="1"/>
  <c r="W227" i="5"/>
  <c r="R227" i="5" s="1"/>
  <c r="AF227" i="5"/>
  <c r="U225" i="5"/>
  <c r="P225" i="5" s="1"/>
  <c r="AD225" i="5"/>
  <c r="Y225" i="5" s="1"/>
  <c r="T97" i="5"/>
  <c r="O97" i="5" s="1"/>
  <c r="AC97" i="5"/>
  <c r="X97" i="5" s="1"/>
  <c r="T637" i="5"/>
  <c r="O637" i="5" s="1"/>
  <c r="AC637" i="5"/>
  <c r="X637" i="5" s="1"/>
  <c r="U635" i="5"/>
  <c r="P635" i="5" s="1"/>
  <c r="AD635" i="5"/>
  <c r="Y635" i="5" s="1"/>
  <c r="V315" i="5"/>
  <c r="Q315" i="5" s="1"/>
  <c r="AE315" i="5"/>
  <c r="Z315" i="5" s="1"/>
  <c r="U155" i="5"/>
  <c r="P155" i="5" s="1"/>
  <c r="AD155" i="5"/>
  <c r="Y155" i="5" s="1"/>
  <c r="T565" i="5"/>
  <c r="O565" i="5" s="1"/>
  <c r="AC565" i="5"/>
  <c r="X565" i="5" s="1"/>
  <c r="W555" i="5"/>
  <c r="R555" i="5" s="1"/>
  <c r="AF555" i="5"/>
  <c r="AA555" i="5" s="1"/>
  <c r="T425" i="5"/>
  <c r="O425" i="5" s="1"/>
  <c r="AC425" i="5"/>
  <c r="X425" i="5" s="1"/>
  <c r="T520" i="5"/>
  <c r="O520" i="5" s="1"/>
  <c r="AC520" i="5"/>
  <c r="X520" i="5" s="1"/>
  <c r="W679" i="5"/>
  <c r="R679" i="5" s="1"/>
  <c r="AF679" i="5"/>
  <c r="AA679" i="5" s="1"/>
  <c r="U516" i="5"/>
  <c r="P516" i="5" s="1"/>
  <c r="AD516" i="5"/>
  <c r="U726" i="5"/>
  <c r="P726" i="5" s="1"/>
  <c r="AD726" i="5"/>
  <c r="Y726" i="5" s="1"/>
  <c r="T496" i="5"/>
  <c r="O496" i="5" s="1"/>
  <c r="AC496" i="5"/>
  <c r="X496" i="5" s="1"/>
  <c r="U473" i="5"/>
  <c r="AD473" i="5"/>
  <c r="V721" i="5"/>
  <c r="Q721" i="5" s="1"/>
  <c r="AE721" i="5"/>
  <c r="Z721" i="5" s="1"/>
  <c r="T281" i="5"/>
  <c r="O281" i="5" s="1"/>
  <c r="AC281" i="5"/>
  <c r="X281" i="5" s="1"/>
  <c r="V525" i="5"/>
  <c r="Q525" i="5" s="1"/>
  <c r="AE525" i="5"/>
  <c r="Z525" i="5" s="1"/>
  <c r="T342" i="5"/>
  <c r="O342" i="5" s="1"/>
  <c r="AC342" i="5"/>
  <c r="X342" i="5" s="1"/>
  <c r="T298" i="5"/>
  <c r="O298" i="5" s="1"/>
  <c r="AC298" i="5"/>
  <c r="X298" i="5" s="1"/>
  <c r="T209" i="5"/>
  <c r="O209" i="5" s="1"/>
  <c r="AC209" i="5"/>
  <c r="X209" i="5" s="1"/>
  <c r="W585" i="5"/>
  <c r="R585" i="5" s="1"/>
  <c r="AF585" i="5"/>
  <c r="AA585" i="5" s="1"/>
  <c r="V265" i="5"/>
  <c r="Q265" i="5" s="1"/>
  <c r="AE265" i="5"/>
  <c r="Z265" i="5" s="1"/>
  <c r="U528" i="5"/>
  <c r="P528" i="5" s="1"/>
  <c r="AD528" i="5"/>
  <c r="V195" i="5"/>
  <c r="Q195" i="5" s="1"/>
  <c r="AE195" i="5"/>
  <c r="Z195" i="5" s="1"/>
  <c r="U464" i="5"/>
  <c r="P464" i="5" s="1"/>
  <c r="AD464" i="5"/>
  <c r="Y464" i="5" s="1"/>
  <c r="W324" i="5"/>
  <c r="R324" i="5" s="1"/>
  <c r="AF324" i="5"/>
  <c r="AA324" i="5" s="1"/>
  <c r="V574" i="5"/>
  <c r="Q574" i="5" s="1"/>
  <c r="AE574" i="5"/>
  <c r="Z574" i="5" s="1"/>
  <c r="T545" i="5"/>
  <c r="O545" i="5" s="1"/>
  <c r="AC545" i="5"/>
  <c r="X545" i="5" s="1"/>
  <c r="V385" i="5"/>
  <c r="Q385" i="5" s="1"/>
  <c r="AE385" i="5"/>
  <c r="Z385" i="5" s="1"/>
  <c r="U157" i="5"/>
  <c r="P157" i="5" s="1"/>
  <c r="AD157" i="5"/>
  <c r="Y157" i="5" s="1"/>
  <c r="W220" i="5"/>
  <c r="R220" i="5" s="1"/>
  <c r="AF220" i="5"/>
  <c r="AA220" i="5" s="1"/>
  <c r="V155" i="5"/>
  <c r="Q155" i="5" s="1"/>
  <c r="AE155" i="5"/>
  <c r="Z155" i="5" s="1"/>
  <c r="T90" i="5"/>
  <c r="O90" i="5" s="1"/>
  <c r="AC90" i="5"/>
  <c r="X90" i="5" s="1"/>
  <c r="W594" i="5"/>
  <c r="R594" i="5" s="1"/>
  <c r="AF594" i="5"/>
  <c r="AA594" i="5" s="1"/>
  <c r="T533" i="5"/>
  <c r="O533" i="5" s="1"/>
  <c r="AC533" i="5"/>
  <c r="W85" i="5"/>
  <c r="R85" i="5" s="1"/>
  <c r="AF85" i="5"/>
  <c r="AA85" i="5" s="1"/>
  <c r="V147" i="5"/>
  <c r="Q147" i="5" s="1"/>
  <c r="AE147" i="5"/>
  <c r="V622" i="5"/>
  <c r="Q622" i="5" s="1"/>
  <c r="AE622" i="5"/>
  <c r="Z622" i="5" s="1"/>
  <c r="U396" i="5"/>
  <c r="P396" i="5" s="1"/>
  <c r="AD396" i="5"/>
  <c r="Y396" i="5" s="1"/>
  <c r="W345" i="5"/>
  <c r="R345" i="5" s="1"/>
  <c r="AF345" i="5"/>
  <c r="AA345" i="5" s="1"/>
  <c r="U586" i="5"/>
  <c r="P586" i="5" s="1"/>
  <c r="AD586" i="5"/>
  <c r="Y586" i="5" s="1"/>
  <c r="T265" i="5"/>
  <c r="AC265" i="5"/>
  <c r="X265" i="5" s="1"/>
  <c r="V200" i="5"/>
  <c r="Q200" i="5" s="1"/>
  <c r="AE200" i="5"/>
  <c r="Z200" i="5" s="1"/>
  <c r="U728" i="5"/>
  <c r="P728" i="5" s="1"/>
  <c r="AD728" i="5"/>
  <c r="Y728" i="5" s="1"/>
  <c r="W225" i="5"/>
  <c r="R225" i="5" s="1"/>
  <c r="AF225" i="5"/>
  <c r="AA225" i="5" s="1"/>
  <c r="U540" i="5"/>
  <c r="P540" i="5" s="1"/>
  <c r="AD540" i="5"/>
  <c r="Y540" i="5" s="1"/>
  <c r="W155" i="5"/>
  <c r="R155" i="5" s="1"/>
  <c r="AF155" i="5"/>
  <c r="U85" i="5"/>
  <c r="P85" i="5" s="1"/>
  <c r="AD85" i="5"/>
  <c r="Y85" i="5" s="1"/>
  <c r="W176" i="5"/>
  <c r="R176" i="5" s="1"/>
  <c r="AF176" i="5"/>
  <c r="AA176" i="5" s="1"/>
  <c r="W57" i="5"/>
  <c r="R57" i="5" s="1"/>
  <c r="AF57" i="5"/>
  <c r="AA57" i="5" s="1"/>
  <c r="T112" i="5"/>
  <c r="O112" i="5" s="1"/>
  <c r="AC112" i="5"/>
  <c r="X112" i="5" s="1"/>
  <c r="U587" i="5"/>
  <c r="P587" i="5" s="1"/>
  <c r="AD587" i="5"/>
  <c r="Y587" i="5" s="1"/>
  <c r="V267" i="5"/>
  <c r="Q267" i="5" s="1"/>
  <c r="AE267" i="5"/>
  <c r="Z267" i="5" s="1"/>
  <c r="T591" i="5"/>
  <c r="AC591" i="5"/>
  <c r="X591" i="5" s="1"/>
  <c r="V45" i="5"/>
  <c r="Q45" i="5" s="1"/>
  <c r="AE45" i="5"/>
  <c r="Z45" i="5" s="1"/>
  <c r="T586" i="5"/>
  <c r="O586" i="5" s="1"/>
  <c r="AC586" i="5"/>
  <c r="X586" i="5" s="1"/>
  <c r="V553" i="5"/>
  <c r="Q553" i="5" s="1"/>
  <c r="AE553" i="5"/>
  <c r="Z553" i="5" s="1"/>
  <c r="W105" i="5"/>
  <c r="R105" i="5" s="1"/>
  <c r="AF105" i="5"/>
  <c r="AA105" i="5" s="1"/>
  <c r="W647" i="5"/>
  <c r="R647" i="5" s="1"/>
  <c r="AF647" i="5"/>
  <c r="W466" i="5"/>
  <c r="AF466" i="5"/>
  <c r="AA466" i="5" s="1"/>
  <c r="V528" i="5"/>
  <c r="Q528" i="5" s="1"/>
  <c r="AE528" i="5"/>
  <c r="Z528" i="5" s="1"/>
  <c r="W34" i="5"/>
  <c r="R34" i="5" s="1"/>
  <c r="AF34" i="5"/>
  <c r="AA34" i="5" s="1"/>
  <c r="W464" i="5"/>
  <c r="R464" i="5" s="1"/>
  <c r="AF464" i="5"/>
  <c r="AA464" i="5" s="1"/>
  <c r="U644" i="5"/>
  <c r="P644" i="5" s="1"/>
  <c r="AD644" i="5"/>
  <c r="Y644" i="5" s="1"/>
  <c r="V260" i="5"/>
  <c r="Q260" i="5" s="1"/>
  <c r="AE260" i="5"/>
  <c r="Z260" i="5" s="1"/>
  <c r="V578" i="5"/>
  <c r="AE578" i="5"/>
  <c r="Z578" i="5" s="1"/>
  <c r="T66" i="5"/>
  <c r="O66" i="5" s="1"/>
  <c r="AC66" i="5"/>
  <c r="X66" i="5" s="1"/>
  <c r="T593" i="5"/>
  <c r="O593" i="5" s="1"/>
  <c r="AC593" i="5"/>
  <c r="X593" i="5" s="1"/>
  <c r="W127" i="5"/>
  <c r="R127" i="5" s="1"/>
  <c r="AF127" i="5"/>
  <c r="AA127" i="5" s="1"/>
  <c r="T448" i="5"/>
  <c r="O448" i="5" s="1"/>
  <c r="AC448" i="5"/>
  <c r="X448" i="5" s="1"/>
  <c r="U605" i="5"/>
  <c r="P605" i="5" s="1"/>
  <c r="AD605" i="5"/>
  <c r="V125" i="5"/>
  <c r="Q125" i="5" s="1"/>
  <c r="AE125" i="5"/>
  <c r="W118" i="5"/>
  <c r="R118" i="5" s="1"/>
  <c r="AF118" i="5"/>
  <c r="AA118" i="5" s="1"/>
  <c r="T540" i="5"/>
  <c r="O540" i="5" s="1"/>
  <c r="AC540" i="5"/>
  <c r="X540" i="5" s="1"/>
  <c r="T60" i="5"/>
  <c r="O60" i="5" s="1"/>
  <c r="AC60" i="5"/>
  <c r="X60" i="5" s="1"/>
  <c r="V283" i="5"/>
  <c r="Q283" i="5" s="1"/>
  <c r="AE283" i="5"/>
  <c r="Z283" i="5" s="1"/>
  <c r="W346" i="5"/>
  <c r="R346" i="5" s="1"/>
  <c r="AF346" i="5"/>
  <c r="AA346" i="5" s="1"/>
  <c r="U337" i="5"/>
  <c r="P337" i="5" s="1"/>
  <c r="AD337" i="5"/>
  <c r="Y337" i="5" s="1"/>
  <c r="U205" i="5"/>
  <c r="P205" i="5" s="1"/>
  <c r="AD205" i="5"/>
  <c r="Y205" i="5" s="1"/>
  <c r="V86" i="5"/>
  <c r="Q86" i="5" s="1"/>
  <c r="AE86" i="5"/>
  <c r="Z86" i="5" s="1"/>
  <c r="W106" i="5"/>
  <c r="R106" i="5" s="1"/>
  <c r="AF106" i="5"/>
  <c r="AA106" i="5" s="1"/>
  <c r="T713" i="5"/>
  <c r="O713" i="5" s="1"/>
  <c r="AC713" i="5"/>
  <c r="X713" i="5" s="1"/>
  <c r="U553" i="5"/>
  <c r="P553" i="5" s="1"/>
  <c r="AD553" i="5"/>
  <c r="W393" i="5"/>
  <c r="AF393" i="5"/>
  <c r="AA393" i="5" s="1"/>
  <c r="U265" i="5"/>
  <c r="P265" i="5" s="1"/>
  <c r="AD265" i="5"/>
  <c r="Y265" i="5" s="1"/>
  <c r="W614" i="5"/>
  <c r="R614" i="5" s="1"/>
  <c r="AF614" i="5"/>
  <c r="AA614" i="5" s="1"/>
  <c r="W534" i="5"/>
  <c r="R534" i="5" s="1"/>
  <c r="AF534" i="5"/>
  <c r="AA534" i="5" s="1"/>
  <c r="T400" i="5"/>
  <c r="O400" i="5" s="1"/>
  <c r="AC400" i="5"/>
  <c r="X400" i="5" s="1"/>
  <c r="W487" i="5"/>
  <c r="R487" i="5" s="1"/>
  <c r="AF487" i="5"/>
  <c r="AA487" i="5" s="1"/>
  <c r="W677" i="5"/>
  <c r="R677" i="5" s="1"/>
  <c r="AF677" i="5"/>
  <c r="AA677" i="5" s="1"/>
  <c r="U37" i="5"/>
  <c r="P37" i="5" s="1"/>
  <c r="AD37" i="5"/>
  <c r="Y37" i="5" s="1"/>
  <c r="U260" i="5"/>
  <c r="AD260" i="5"/>
  <c r="Y260" i="5" s="1"/>
  <c r="W323" i="5"/>
  <c r="R323" i="5" s="1"/>
  <c r="AF323" i="5"/>
  <c r="AA323" i="5" s="1"/>
  <c r="U445" i="5"/>
  <c r="P445" i="5" s="1"/>
  <c r="AD445" i="5"/>
  <c r="Y445" i="5" s="1"/>
  <c r="U443" i="5"/>
  <c r="P443" i="5" s="1"/>
  <c r="AD443" i="5"/>
  <c r="U537" i="5"/>
  <c r="P537" i="5" s="1"/>
  <c r="AD537" i="5"/>
  <c r="Y537" i="5" s="1"/>
  <c r="V146" i="5"/>
  <c r="Q146" i="5" s="1"/>
  <c r="AE146" i="5"/>
  <c r="Z146" i="5" s="1"/>
  <c r="T442" i="5"/>
  <c r="O442" i="5" s="1"/>
  <c r="AC442" i="5"/>
  <c r="X442" i="5" s="1"/>
  <c r="U373" i="5"/>
  <c r="P373" i="5" s="1"/>
  <c r="AD373" i="5"/>
  <c r="Y373" i="5" s="1"/>
  <c r="W275" i="5"/>
  <c r="R275" i="5" s="1"/>
  <c r="AF275" i="5"/>
  <c r="AA275" i="5" s="1"/>
  <c r="T731" i="5"/>
  <c r="O731" i="5" s="1"/>
  <c r="AC731" i="5"/>
  <c r="X731" i="5" s="1"/>
  <c r="U730" i="5"/>
  <c r="P730" i="5" s="1"/>
  <c r="AD730" i="5"/>
  <c r="Y730" i="5" s="1"/>
  <c r="W115" i="5"/>
  <c r="R115" i="5" s="1"/>
  <c r="AF115" i="5"/>
  <c r="AA115" i="5" s="1"/>
  <c r="V266" i="5"/>
  <c r="Q266" i="5" s="1"/>
  <c r="AE266" i="5"/>
  <c r="Z266" i="5" s="1"/>
  <c r="U168" i="5"/>
  <c r="P168" i="5" s="1"/>
  <c r="AD168" i="5"/>
  <c r="Y168" i="5" s="1"/>
  <c r="T566" i="5"/>
  <c r="O566" i="5" s="1"/>
  <c r="AC566" i="5"/>
  <c r="X566" i="5" s="1"/>
  <c r="V338" i="5"/>
  <c r="Q338" i="5" s="1"/>
  <c r="AE338" i="5"/>
  <c r="V386" i="5"/>
  <c r="Q386" i="5" s="1"/>
  <c r="AE386" i="5"/>
  <c r="Z386" i="5" s="1"/>
  <c r="W513" i="5"/>
  <c r="R513" i="5" s="1"/>
  <c r="AF513" i="5"/>
  <c r="AA513" i="5" s="1"/>
  <c r="U182" i="5"/>
  <c r="P182" i="5" s="1"/>
  <c r="AD182" i="5"/>
  <c r="Y182" i="5" s="1"/>
  <c r="U491" i="5"/>
  <c r="P491" i="5" s="1"/>
  <c r="AD491" i="5"/>
  <c r="Y491" i="5" s="1"/>
  <c r="T328" i="5"/>
  <c r="O328" i="5" s="1"/>
  <c r="AC328" i="5"/>
  <c r="X328" i="5" s="1"/>
  <c r="V742" i="5"/>
  <c r="Q742" i="5" s="1"/>
  <c r="AE742" i="5"/>
  <c r="Z742" i="5" s="1"/>
  <c r="V327" i="5"/>
  <c r="Q327" i="5" s="1"/>
  <c r="AE327" i="5"/>
  <c r="Z327" i="5" s="1"/>
  <c r="W582" i="5"/>
  <c r="R582" i="5" s="1"/>
  <c r="AF582" i="5"/>
  <c r="AA582" i="5" s="1"/>
  <c r="W226" i="5"/>
  <c r="R226" i="5" s="1"/>
  <c r="AF226" i="5"/>
  <c r="AA226" i="5" s="1"/>
  <c r="V193" i="5"/>
  <c r="Q193" i="5" s="1"/>
  <c r="AE193" i="5"/>
  <c r="Z193" i="5" s="1"/>
  <c r="W702" i="5"/>
  <c r="R702" i="5" s="1"/>
  <c r="AF702" i="5"/>
  <c r="AA702" i="5" s="1"/>
  <c r="T182" i="5"/>
  <c r="O182" i="5" s="1"/>
  <c r="AC182" i="5"/>
  <c r="T733" i="5"/>
  <c r="O733" i="5" s="1"/>
  <c r="AC733" i="5"/>
  <c r="X733" i="5" s="1"/>
  <c r="V571" i="5"/>
  <c r="Q571" i="5" s="1"/>
  <c r="AE571" i="5"/>
  <c r="Z571" i="5" s="1"/>
  <c r="W537" i="5"/>
  <c r="R537" i="5" s="1"/>
  <c r="AF537" i="5"/>
  <c r="AA537" i="5" s="1"/>
  <c r="W56" i="5"/>
  <c r="R56" i="5" s="1"/>
  <c r="AF56" i="5"/>
  <c r="AA56" i="5" s="1"/>
  <c r="U467" i="5"/>
  <c r="P467" i="5" s="1"/>
  <c r="AD467" i="5"/>
  <c r="Y467" i="5" s="1"/>
  <c r="T275" i="5"/>
  <c r="O275" i="5" s="1"/>
  <c r="AC275" i="5"/>
  <c r="X275" i="5" s="1"/>
  <c r="V527" i="5"/>
  <c r="Q527" i="5" s="1"/>
  <c r="AE527" i="5"/>
  <c r="Z527" i="5" s="1"/>
  <c r="T327" i="5"/>
  <c r="O327" i="5" s="1"/>
  <c r="AC327" i="5"/>
  <c r="X327" i="5" s="1"/>
  <c r="V463" i="5"/>
  <c r="Q463" i="5" s="1"/>
  <c r="AE463" i="5"/>
  <c r="Z463" i="5" s="1"/>
  <c r="T323" i="5"/>
  <c r="O323" i="5" s="1"/>
  <c r="AC323" i="5"/>
  <c r="X323" i="5" s="1"/>
  <c r="T270" i="5"/>
  <c r="O270" i="5" s="1"/>
  <c r="AC270" i="5"/>
  <c r="X270" i="5" s="1"/>
  <c r="V145" i="5"/>
  <c r="Q145" i="5" s="1"/>
  <c r="AE145" i="5"/>
  <c r="W268" i="5"/>
  <c r="AF268" i="5"/>
  <c r="AA268" i="5" s="1"/>
  <c r="W658" i="5"/>
  <c r="R658" i="5" s="1"/>
  <c r="AF658" i="5"/>
  <c r="AA658" i="5" s="1"/>
  <c r="V720" i="5"/>
  <c r="Q720" i="5" s="1"/>
  <c r="AE720" i="5"/>
  <c r="Z720" i="5" s="1"/>
  <c r="U106" i="5"/>
  <c r="P106" i="5" s="1"/>
  <c r="AD106" i="5"/>
  <c r="Y106" i="5" s="1"/>
  <c r="T233" i="5"/>
  <c r="O233" i="5" s="1"/>
  <c r="AC233" i="5"/>
  <c r="X233" i="5" s="1"/>
  <c r="V121" i="5"/>
  <c r="Q121" i="5" s="1"/>
  <c r="AE121" i="5"/>
  <c r="Z121" i="5" s="1"/>
  <c r="W488" i="5"/>
  <c r="R488" i="5" s="1"/>
  <c r="AF488" i="5"/>
  <c r="AA488" i="5" s="1"/>
  <c r="V167" i="5"/>
  <c r="Q167" i="5" s="1"/>
  <c r="AE167" i="5"/>
  <c r="Z167" i="5" s="1"/>
  <c r="U325" i="5"/>
  <c r="P325" i="5" s="1"/>
  <c r="AD325" i="5"/>
  <c r="Y325" i="5" s="1"/>
  <c r="T734" i="5"/>
  <c r="O734" i="5" s="1"/>
  <c r="AC734" i="5"/>
  <c r="X734" i="5" s="1"/>
  <c r="U323" i="5"/>
  <c r="P323" i="5" s="1"/>
  <c r="AD323" i="5"/>
  <c r="Y323" i="5" s="1"/>
  <c r="T226" i="5"/>
  <c r="O226" i="5" s="1"/>
  <c r="AC226" i="5"/>
  <c r="T353" i="5"/>
  <c r="O353" i="5" s="1"/>
  <c r="AC353" i="5"/>
  <c r="X353" i="5" s="1"/>
  <c r="T736" i="5"/>
  <c r="O736" i="5" s="1"/>
  <c r="AC736" i="5"/>
  <c r="X736" i="5" s="1"/>
  <c r="T543" i="5"/>
  <c r="O543" i="5" s="1"/>
  <c r="AC543" i="5"/>
  <c r="X543" i="5" s="1"/>
  <c r="T568" i="5"/>
  <c r="O568" i="5" s="1"/>
  <c r="AC568" i="5"/>
  <c r="X568" i="5" s="1"/>
  <c r="U697" i="5"/>
  <c r="P697" i="5" s="1"/>
  <c r="AD697" i="5"/>
  <c r="Y697" i="5" s="1"/>
  <c r="T377" i="5"/>
  <c r="O377" i="5" s="1"/>
  <c r="AC377" i="5"/>
  <c r="X377" i="5" s="1"/>
  <c r="V218" i="5"/>
  <c r="Q218" i="5" s="1"/>
  <c r="AE218" i="5"/>
  <c r="Z218" i="5" s="1"/>
  <c r="V213" i="5"/>
  <c r="Q213" i="5" s="1"/>
  <c r="AE213" i="5"/>
  <c r="Z213" i="5" s="1"/>
  <c r="V308" i="5"/>
  <c r="Q308" i="5" s="1"/>
  <c r="AE308" i="5"/>
  <c r="Z308" i="5" s="1"/>
  <c r="U275" i="5"/>
  <c r="P275" i="5" s="1"/>
  <c r="AD275" i="5"/>
  <c r="Y275" i="5" s="1"/>
  <c r="U632" i="5"/>
  <c r="P632" i="5" s="1"/>
  <c r="AD632" i="5"/>
  <c r="Y632" i="5" s="1"/>
  <c r="U131" i="5"/>
  <c r="P131" i="5" s="1"/>
  <c r="AD131" i="5"/>
  <c r="T702" i="5"/>
  <c r="O702" i="5" s="1"/>
  <c r="AC702" i="5"/>
  <c r="X702" i="5" s="1"/>
  <c r="T544" i="5"/>
  <c r="O544" i="5" s="1"/>
  <c r="AC544" i="5"/>
  <c r="X544" i="5" s="1"/>
  <c r="V543" i="5"/>
  <c r="Q543" i="5" s="1"/>
  <c r="AE543" i="5"/>
  <c r="Z543" i="5" s="1"/>
  <c r="T573" i="5"/>
  <c r="O573" i="5" s="1"/>
  <c r="AC573" i="5"/>
  <c r="X573" i="5" s="1"/>
  <c r="U55" i="5"/>
  <c r="P55" i="5" s="1"/>
  <c r="AD55" i="5"/>
  <c r="Y55" i="5" s="1"/>
  <c r="U731" i="5"/>
  <c r="P731" i="5" s="1"/>
  <c r="AD731" i="5"/>
  <c r="Y731" i="5" s="1"/>
  <c r="V250" i="5"/>
  <c r="AE250" i="5"/>
  <c r="Z250" i="5" s="1"/>
  <c r="T687" i="5"/>
  <c r="O687" i="5" s="1"/>
  <c r="AC687" i="5"/>
  <c r="X687" i="5" s="1"/>
  <c r="W243" i="5"/>
  <c r="R243" i="5" s="1"/>
  <c r="AF243" i="5"/>
  <c r="AA243" i="5" s="1"/>
  <c r="W531" i="5"/>
  <c r="R531" i="5" s="1"/>
  <c r="AF531" i="5"/>
  <c r="AA531" i="5" s="1"/>
  <c r="T173" i="5"/>
  <c r="O173" i="5" s="1"/>
  <c r="AC173" i="5"/>
  <c r="X173" i="5" s="1"/>
  <c r="W632" i="5"/>
  <c r="R632" i="5" s="1"/>
  <c r="AF632" i="5"/>
  <c r="U223" i="5"/>
  <c r="P223" i="5" s="1"/>
  <c r="AD223" i="5"/>
  <c r="W161" i="5"/>
  <c r="R161" i="5" s="1"/>
  <c r="AF161" i="5"/>
  <c r="AA161" i="5" s="1"/>
  <c r="T476" i="5"/>
  <c r="O476" i="5" s="1"/>
  <c r="T186" i="5"/>
  <c r="O186" i="5" s="1"/>
  <c r="AC186" i="5"/>
  <c r="X186" i="5" s="1"/>
  <c r="W441" i="5"/>
  <c r="R441" i="5" s="1"/>
  <c r="AF441" i="5"/>
  <c r="AA441" i="5" s="1"/>
  <c r="V698" i="5"/>
  <c r="Q698" i="5" s="1"/>
  <c r="AE698" i="5"/>
  <c r="Z698" i="5" s="1"/>
  <c r="V435" i="5"/>
  <c r="Q435" i="5" s="1"/>
  <c r="AE435" i="5"/>
  <c r="Z435" i="5" s="1"/>
  <c r="U177" i="5"/>
  <c r="P177" i="5" s="1"/>
  <c r="AD177" i="5"/>
  <c r="Y177" i="5" s="1"/>
  <c r="V217" i="5"/>
  <c r="Q217" i="5" s="1"/>
  <c r="AE217" i="5"/>
  <c r="V504" i="5"/>
  <c r="Q504" i="5" s="1"/>
  <c r="AE504" i="5"/>
  <c r="Z504" i="5" s="1"/>
  <c r="W682" i="5"/>
  <c r="R682" i="5" s="1"/>
  <c r="AF682" i="5"/>
  <c r="AA682" i="5" s="1"/>
  <c r="V362" i="5"/>
  <c r="Q362" i="5" s="1"/>
  <c r="AE362" i="5"/>
  <c r="Z362" i="5" s="1"/>
  <c r="T136" i="5"/>
  <c r="AC136" i="5"/>
  <c r="X136" i="5" s="1"/>
  <c r="V434" i="5"/>
  <c r="Q434" i="5" s="1"/>
  <c r="AE434" i="5"/>
  <c r="Z434" i="5" s="1"/>
  <c r="V495" i="5"/>
  <c r="Q495" i="5" s="1"/>
  <c r="AE495" i="5"/>
  <c r="Z495" i="5" s="1"/>
  <c r="U704" i="5"/>
  <c r="P704" i="5" s="1"/>
  <c r="AD704" i="5"/>
  <c r="Y704" i="5" s="1"/>
  <c r="V697" i="5"/>
  <c r="Q697" i="5" s="1"/>
  <c r="AE697" i="5"/>
  <c r="Z697" i="5" s="1"/>
  <c r="W599" i="5"/>
  <c r="R599" i="5" s="1"/>
  <c r="AF599" i="5"/>
  <c r="AA599" i="5" s="1"/>
  <c r="U538" i="5"/>
  <c r="P538" i="5" s="1"/>
  <c r="AD538" i="5"/>
  <c r="Y538" i="5" s="1"/>
  <c r="V410" i="5"/>
  <c r="Q410" i="5" s="1"/>
  <c r="AE410" i="5"/>
  <c r="Z410" i="5" s="1"/>
  <c r="V518" i="5"/>
  <c r="Q518" i="5" s="1"/>
  <c r="AE518" i="5"/>
  <c r="Z518" i="5" s="1"/>
  <c r="U348" i="5"/>
  <c r="P348" i="5" s="1"/>
  <c r="AD348" i="5"/>
  <c r="Y348" i="5" s="1"/>
  <c r="W22" i="5"/>
  <c r="R22" i="5" s="1"/>
  <c r="AF22" i="5"/>
  <c r="AA22" i="5" s="1"/>
  <c r="V427" i="5"/>
  <c r="Q427" i="5" s="1"/>
  <c r="AE427" i="5"/>
  <c r="Z427" i="5" s="1"/>
  <c r="U682" i="5"/>
  <c r="AD682" i="5"/>
  <c r="W536" i="5"/>
  <c r="R536" i="5" s="1"/>
  <c r="AF536" i="5"/>
  <c r="AA536" i="5" s="1"/>
  <c r="W423" i="5"/>
  <c r="R423" i="5" s="1"/>
  <c r="AF423" i="5"/>
  <c r="AA423" i="5" s="1"/>
  <c r="V454" i="5"/>
  <c r="Q454" i="5" s="1"/>
  <c r="AE454" i="5"/>
  <c r="Z454" i="5" s="1"/>
  <c r="V82" i="5"/>
  <c r="Q82" i="5" s="1"/>
  <c r="AE82" i="5"/>
  <c r="Z82" i="5" s="1"/>
  <c r="V694" i="5"/>
  <c r="Q694" i="5" s="1"/>
  <c r="AE694" i="5"/>
  <c r="Z694" i="5" s="1"/>
  <c r="V194" i="5"/>
  <c r="Q194" i="5" s="1"/>
  <c r="AE194" i="5"/>
  <c r="Z194" i="5" s="1"/>
  <c r="V687" i="5"/>
  <c r="Q687" i="5" s="1"/>
  <c r="AE687" i="5"/>
  <c r="Z687" i="5" s="1"/>
  <c r="T469" i="5"/>
  <c r="O469" i="5" s="1"/>
  <c r="AC469" i="5"/>
  <c r="X469" i="5" s="1"/>
  <c r="T309" i="5"/>
  <c r="O309" i="5" s="1"/>
  <c r="AC309" i="5"/>
  <c r="X309" i="5" s="1"/>
  <c r="T558" i="5"/>
  <c r="O558" i="5" s="1"/>
  <c r="AC558" i="5"/>
  <c r="X558" i="5" s="1"/>
  <c r="U588" i="5"/>
  <c r="P588" i="5" s="1"/>
  <c r="AD588" i="5"/>
  <c r="Y588" i="5" s="1"/>
  <c r="T41" i="5"/>
  <c r="AC41" i="5"/>
  <c r="U276" i="5"/>
  <c r="P276" i="5" s="1"/>
  <c r="AD276" i="5"/>
  <c r="Y276" i="5" s="1"/>
  <c r="U752" i="5"/>
  <c r="AD752" i="5"/>
  <c r="Y752" i="5" s="1"/>
  <c r="V255" i="5"/>
  <c r="Q255" i="5" s="1"/>
  <c r="AE255" i="5"/>
  <c r="Z255" i="5" s="1"/>
  <c r="W511" i="5"/>
  <c r="R511" i="5" s="1"/>
  <c r="AF511" i="5"/>
  <c r="AA511" i="5" s="1"/>
  <c r="U165" i="5"/>
  <c r="P165" i="5" s="1"/>
  <c r="AD165" i="5"/>
  <c r="Y165" i="5" s="1"/>
  <c r="T472" i="5"/>
  <c r="O472" i="5" s="1"/>
  <c r="AC472" i="5"/>
  <c r="X472" i="5" s="1"/>
  <c r="V74" i="5"/>
  <c r="Q74" i="5" s="1"/>
  <c r="AE74" i="5"/>
  <c r="Z74" i="5" s="1"/>
  <c r="W657" i="5"/>
  <c r="R657" i="5" s="1"/>
  <c r="AF657" i="5"/>
  <c r="AA657" i="5" s="1"/>
  <c r="U514" i="5"/>
  <c r="AD514" i="5"/>
  <c r="Y514" i="5" s="1"/>
  <c r="U22" i="5"/>
  <c r="P22" i="5" s="1"/>
  <c r="AD22" i="5"/>
  <c r="Y22" i="5" s="1"/>
  <c r="V716" i="5"/>
  <c r="Q716" i="5" s="1"/>
  <c r="AE716" i="5"/>
  <c r="Z716" i="5" s="1"/>
  <c r="W414" i="5"/>
  <c r="AF414" i="5"/>
  <c r="AA414" i="5" s="1"/>
  <c r="W42" i="5"/>
  <c r="R42" i="5" s="1"/>
  <c r="AF42" i="5"/>
  <c r="AA42" i="5" s="1"/>
  <c r="W132" i="5"/>
  <c r="R132" i="5" s="1"/>
  <c r="AF132" i="5"/>
  <c r="AA132" i="5" s="1"/>
  <c r="U210" i="5"/>
  <c r="P210" i="5" s="1"/>
  <c r="AD210" i="5"/>
  <c r="Y210" i="5" s="1"/>
  <c r="U96" i="5"/>
  <c r="P96" i="5" s="1"/>
  <c r="AD96" i="5"/>
  <c r="Y96" i="5" s="1"/>
  <c r="U664" i="5"/>
  <c r="P664" i="5" s="1"/>
  <c r="AD664" i="5"/>
  <c r="Y664" i="5" s="1"/>
  <c r="V433" i="5"/>
  <c r="Q433" i="5" s="1"/>
  <c r="AE433" i="5"/>
  <c r="T208" i="5"/>
  <c r="O208" i="5" s="1"/>
  <c r="AC208" i="5"/>
  <c r="X208" i="5" s="1"/>
  <c r="T541" i="5"/>
  <c r="O541" i="5" s="1"/>
  <c r="AC541" i="5"/>
  <c r="X541" i="5" s="1"/>
  <c r="U61" i="5"/>
  <c r="P61" i="5" s="1"/>
  <c r="AD61" i="5"/>
  <c r="Y61" i="5" s="1"/>
  <c r="V505" i="5"/>
  <c r="Q505" i="5" s="1"/>
  <c r="AE505" i="5"/>
  <c r="Z505" i="5" s="1"/>
  <c r="W156" i="5"/>
  <c r="R156" i="5" s="1"/>
  <c r="AF156" i="5"/>
  <c r="AA156" i="5" s="1"/>
  <c r="V313" i="5"/>
  <c r="AE313" i="5"/>
  <c r="Z313" i="5" s="1"/>
  <c r="W538" i="5"/>
  <c r="R538" i="5" s="1"/>
  <c r="AF538" i="5"/>
  <c r="AA538" i="5" s="1"/>
  <c r="T378" i="5"/>
  <c r="O378" i="5" s="1"/>
  <c r="AC378" i="5"/>
  <c r="X378" i="5" s="1"/>
  <c r="V595" i="5"/>
  <c r="Q595" i="5" s="1"/>
  <c r="AE595" i="5"/>
  <c r="Z595" i="5" s="1"/>
  <c r="U561" i="5"/>
  <c r="P561" i="5" s="1"/>
  <c r="AD561" i="5"/>
  <c r="W478" i="5"/>
  <c r="R478" i="5" s="1"/>
  <c r="AF478" i="5"/>
  <c r="AA478" i="5" s="1"/>
  <c r="U420" i="5"/>
  <c r="P420" i="5" s="1"/>
  <c r="AD420" i="5"/>
  <c r="Y420" i="5" s="1"/>
  <c r="W322" i="5"/>
  <c r="R322" i="5" s="1"/>
  <c r="AF322" i="5"/>
  <c r="AA322" i="5" s="1"/>
  <c r="U289" i="5"/>
  <c r="P289" i="5" s="1"/>
  <c r="AD289" i="5"/>
  <c r="Y289" i="5" s="1"/>
  <c r="V672" i="5"/>
  <c r="Q672" i="5" s="1"/>
  <c r="AE672" i="5"/>
  <c r="Z672" i="5" s="1"/>
  <c r="U221" i="5"/>
  <c r="P221" i="5" s="1"/>
  <c r="AD221" i="5"/>
  <c r="Y221" i="5" s="1"/>
  <c r="U505" i="5"/>
  <c r="P505" i="5" s="1"/>
  <c r="AD505" i="5"/>
  <c r="Y505" i="5" s="1"/>
  <c r="W178" i="5"/>
  <c r="AF178" i="5"/>
  <c r="AA178" i="5" s="1"/>
  <c r="T379" i="5"/>
  <c r="O379" i="5" s="1"/>
  <c r="AC379" i="5"/>
  <c r="X379" i="5" s="1"/>
  <c r="U59" i="5"/>
  <c r="P59" i="5" s="1"/>
  <c r="AD59" i="5"/>
  <c r="Y59" i="5" s="1"/>
  <c r="V26" i="5"/>
  <c r="Q26" i="5" s="1"/>
  <c r="AE26" i="5"/>
  <c r="Z26" i="5" s="1"/>
  <c r="T116" i="5"/>
  <c r="O116" i="5" s="1"/>
  <c r="AC116" i="5"/>
  <c r="X116" i="5" s="1"/>
  <c r="V481" i="5"/>
  <c r="Q481" i="5" s="1"/>
  <c r="AE481" i="5"/>
  <c r="Z481" i="5" s="1"/>
  <c r="U568" i="5"/>
  <c r="P568" i="5" s="1"/>
  <c r="AD568" i="5"/>
  <c r="Y568" i="5" s="1"/>
  <c r="V530" i="5"/>
  <c r="Q530" i="5" s="1"/>
  <c r="AE530" i="5"/>
  <c r="Z530" i="5" s="1"/>
  <c r="T230" i="5"/>
  <c r="O230" i="5" s="1"/>
  <c r="AC230" i="5"/>
  <c r="X230" i="5" s="1"/>
  <c r="V461" i="5"/>
  <c r="Q461" i="5" s="1"/>
  <c r="V526" i="5"/>
  <c r="Q526" i="5" s="1"/>
  <c r="AE526" i="5"/>
  <c r="Z526" i="5" s="1"/>
  <c r="U135" i="5"/>
  <c r="P135" i="5" s="1"/>
  <c r="AD135" i="5"/>
  <c r="Y135" i="5" s="1"/>
  <c r="U649" i="5"/>
  <c r="P649" i="5" s="1"/>
  <c r="AD649" i="5"/>
  <c r="T654" i="5"/>
  <c r="O654" i="5" s="1"/>
  <c r="AC654" i="5"/>
  <c r="V364" i="5"/>
  <c r="Q364" i="5" s="1"/>
  <c r="AE364" i="5"/>
  <c r="Z364" i="5" s="1"/>
  <c r="U727" i="5"/>
  <c r="P727" i="5" s="1"/>
  <c r="AD727" i="5"/>
  <c r="Y727" i="5" s="1"/>
  <c r="T649" i="5"/>
  <c r="O649" i="5" s="1"/>
  <c r="AC649" i="5"/>
  <c r="X649" i="5" s="1"/>
  <c r="U584" i="5"/>
  <c r="P584" i="5" s="1"/>
  <c r="AD584" i="5"/>
  <c r="Y584" i="5" s="1"/>
  <c r="U293" i="5"/>
  <c r="P293" i="5" s="1"/>
  <c r="AD293" i="5"/>
  <c r="Y293" i="5" s="1"/>
  <c r="T210" i="5"/>
  <c r="O210" i="5" s="1"/>
  <c r="AC210" i="5"/>
  <c r="X210" i="5" s="1"/>
  <c r="V577" i="5"/>
  <c r="Q577" i="5" s="1"/>
  <c r="AE577" i="5"/>
  <c r="Z577" i="5" s="1"/>
  <c r="T449" i="5"/>
  <c r="O449" i="5" s="1"/>
  <c r="AC449" i="5"/>
  <c r="X449" i="5" s="1"/>
  <c r="U471" i="5"/>
  <c r="P471" i="5" s="1"/>
  <c r="W61" i="5"/>
  <c r="R61" i="5" s="1"/>
  <c r="AF61" i="5"/>
  <c r="AA61" i="5" s="1"/>
  <c r="U444" i="5"/>
  <c r="P444" i="5" s="1"/>
  <c r="AD444" i="5"/>
  <c r="Y444" i="5" s="1"/>
  <c r="T280" i="5"/>
  <c r="AC280" i="5"/>
  <c r="X280" i="5" s="1"/>
  <c r="T592" i="5"/>
  <c r="O592" i="5" s="1"/>
  <c r="AC592" i="5"/>
  <c r="X592" i="5" s="1"/>
  <c r="U437" i="5"/>
  <c r="P437" i="5" s="1"/>
  <c r="AD437" i="5"/>
  <c r="Y437" i="5" s="1"/>
  <c r="U270" i="5"/>
  <c r="P270" i="5" s="1"/>
  <c r="AD270" i="5"/>
  <c r="Y270" i="5" s="1"/>
  <c r="V576" i="5"/>
  <c r="Q576" i="5" s="1"/>
  <c r="AE576" i="5"/>
  <c r="Z576" i="5" s="1"/>
  <c r="T160" i="5"/>
  <c r="O160" i="5" s="1"/>
  <c r="AC160" i="5"/>
  <c r="X160" i="5" s="1"/>
  <c r="W681" i="5"/>
  <c r="R681" i="5" s="1"/>
  <c r="AF681" i="5"/>
  <c r="AA681" i="5" s="1"/>
  <c r="T478" i="5"/>
  <c r="O478" i="5" s="1"/>
  <c r="AC478" i="5"/>
  <c r="X478" i="5" s="1"/>
  <c r="V363" i="5"/>
  <c r="Q363" i="5" s="1"/>
  <c r="AE363" i="5"/>
  <c r="Z363" i="5" s="1"/>
  <c r="T170" i="5"/>
  <c r="O170" i="5" s="1"/>
  <c r="AC170" i="5"/>
  <c r="X170" i="5" s="1"/>
  <c r="W489" i="5"/>
  <c r="R489" i="5" s="1"/>
  <c r="AF489" i="5"/>
  <c r="AA489" i="5" s="1"/>
  <c r="U535" i="5"/>
  <c r="P535" i="5" s="1"/>
  <c r="AD535" i="5"/>
  <c r="Y535" i="5" s="1"/>
  <c r="W465" i="5"/>
  <c r="AF465" i="5"/>
  <c r="AA465" i="5" s="1"/>
  <c r="U581" i="5"/>
  <c r="P581" i="5" s="1"/>
  <c r="AD581" i="5"/>
  <c r="Y581" i="5" s="1"/>
  <c r="W210" i="5"/>
  <c r="R210" i="5" s="1"/>
  <c r="AF210" i="5"/>
  <c r="AA210" i="5" s="1"/>
  <c r="W370" i="5"/>
  <c r="R370" i="5" s="1"/>
  <c r="AF370" i="5"/>
  <c r="AA370" i="5" s="1"/>
  <c r="U707" i="5"/>
  <c r="P707" i="5" s="1"/>
  <c r="AD707" i="5"/>
  <c r="Y707" i="5" s="1"/>
  <c r="T162" i="5"/>
  <c r="O162" i="5" s="1"/>
  <c r="AC162" i="5"/>
  <c r="X162" i="5" s="1"/>
  <c r="W417" i="5"/>
  <c r="R417" i="5" s="1"/>
  <c r="AF417" i="5"/>
  <c r="AA417" i="5" s="1"/>
  <c r="U318" i="5"/>
  <c r="P318" i="5" s="1"/>
  <c r="AD318" i="5"/>
  <c r="Y318" i="5" s="1"/>
  <c r="W272" i="5"/>
  <c r="R272" i="5" s="1"/>
  <c r="AF272" i="5"/>
  <c r="AA272" i="5" s="1"/>
  <c r="V51" i="5"/>
  <c r="Q51" i="5" s="1"/>
  <c r="AE51" i="5"/>
  <c r="Z51" i="5" s="1"/>
  <c r="W394" i="5"/>
  <c r="R394" i="5" s="1"/>
  <c r="AF394" i="5"/>
  <c r="AA394" i="5" s="1"/>
  <c r="U156" i="5"/>
  <c r="P156" i="5" s="1"/>
  <c r="AD156" i="5"/>
  <c r="Y156" i="5" s="1"/>
  <c r="V654" i="5"/>
  <c r="AE654" i="5"/>
  <c r="Z654" i="5" s="1"/>
  <c r="V717" i="5"/>
  <c r="Q717" i="5" s="1"/>
  <c r="AE717" i="5"/>
  <c r="Z717" i="5" s="1"/>
  <c r="T589" i="5"/>
  <c r="O589" i="5" s="1"/>
  <c r="AC589" i="5"/>
  <c r="X589" i="5" s="1"/>
  <c r="W490" i="5"/>
  <c r="R490" i="5" s="1"/>
  <c r="AF490" i="5"/>
  <c r="AA490" i="5" s="1"/>
  <c r="V294" i="5"/>
  <c r="Q294" i="5" s="1"/>
  <c r="AE294" i="5"/>
  <c r="Z294" i="5" s="1"/>
  <c r="T510" i="5"/>
  <c r="O510" i="5" s="1"/>
  <c r="AC510" i="5"/>
  <c r="X510" i="5" s="1"/>
  <c r="W503" i="5"/>
  <c r="R503" i="5" s="1"/>
  <c r="AF503" i="5"/>
  <c r="AA503" i="5" s="1"/>
  <c r="W273" i="5"/>
  <c r="R273" i="5" s="1"/>
  <c r="AF273" i="5"/>
  <c r="AA273" i="5" s="1"/>
  <c r="V550" i="5"/>
  <c r="Q550" i="5" s="1"/>
  <c r="AE550" i="5"/>
  <c r="Z550" i="5" s="1"/>
  <c r="W81" i="5"/>
  <c r="R81" i="5" s="1"/>
  <c r="AF81" i="5"/>
  <c r="AA81" i="5" s="1"/>
  <c r="U708" i="5"/>
  <c r="P708" i="5" s="1"/>
  <c r="AD708" i="5"/>
  <c r="Y708" i="5" s="1"/>
  <c r="T64" i="5"/>
  <c r="O64" i="5" s="1"/>
  <c r="AC64" i="5"/>
  <c r="X64" i="5" s="1"/>
  <c r="U322" i="5"/>
  <c r="AD322" i="5"/>
  <c r="Y322" i="5" s="1"/>
  <c r="T735" i="5"/>
  <c r="O735" i="5" s="1"/>
  <c r="AC735" i="5"/>
  <c r="X735" i="5" s="1"/>
  <c r="T737" i="5"/>
  <c r="O737" i="5" s="1"/>
  <c r="AC737" i="5"/>
  <c r="X737" i="5" s="1"/>
  <c r="V639" i="5"/>
  <c r="Q639" i="5" s="1"/>
  <c r="AE639" i="5"/>
  <c r="Z639" i="5" s="1"/>
  <c r="T640" i="5"/>
  <c r="O640" i="5" s="1"/>
  <c r="AC640" i="5"/>
  <c r="X640" i="5" s="1"/>
  <c r="T669" i="5"/>
  <c r="O669" i="5" s="1"/>
  <c r="AC669" i="5"/>
  <c r="X669" i="5" s="1"/>
  <c r="T401" i="5"/>
  <c r="O401" i="5" s="1"/>
  <c r="AC401" i="5"/>
  <c r="X401" i="5" s="1"/>
  <c r="U732" i="5"/>
  <c r="P732" i="5" s="1"/>
  <c r="AD732" i="5"/>
  <c r="Y732" i="5" s="1"/>
  <c r="W154" i="5"/>
  <c r="R154" i="5" s="1"/>
  <c r="AF154" i="5"/>
  <c r="AA154" i="5" s="1"/>
  <c r="T757" i="5"/>
  <c r="O757" i="5" s="1"/>
  <c r="AC757" i="5"/>
  <c r="X757" i="5" s="1"/>
  <c r="U277" i="5"/>
  <c r="P277" i="5" s="1"/>
  <c r="AD277" i="5"/>
  <c r="Y277" i="5" s="1"/>
  <c r="V211" i="5"/>
  <c r="Q211" i="5" s="1"/>
  <c r="AE211" i="5"/>
  <c r="Z211" i="5" s="1"/>
  <c r="W455" i="5"/>
  <c r="AF455" i="5"/>
  <c r="AA455" i="5" s="1"/>
  <c r="T542" i="5"/>
  <c r="AC542" i="5"/>
  <c r="X542" i="5" s="1"/>
  <c r="W202" i="5"/>
  <c r="R202" i="5" s="1"/>
  <c r="AF202" i="5"/>
  <c r="AA202" i="5" s="1"/>
  <c r="U304" i="5"/>
  <c r="P304" i="5" s="1"/>
  <c r="AD304" i="5"/>
  <c r="Y304" i="5" s="1"/>
  <c r="U204" i="5"/>
  <c r="P204" i="5" s="1"/>
  <c r="AD204" i="5"/>
  <c r="Y204" i="5" s="1"/>
  <c r="T330" i="5"/>
  <c r="O330" i="5" s="1"/>
  <c r="AC330" i="5"/>
  <c r="X330" i="5" s="1"/>
  <c r="V457" i="5"/>
  <c r="Q457" i="5" s="1"/>
  <c r="AE457" i="5"/>
  <c r="Z457" i="5" s="1"/>
  <c r="T294" i="5"/>
  <c r="O294" i="5" s="1"/>
  <c r="AC294" i="5"/>
  <c r="X294" i="5" s="1"/>
  <c r="W215" i="5"/>
  <c r="R215" i="5" s="1"/>
  <c r="AF215" i="5"/>
  <c r="AA215" i="5" s="1"/>
  <c r="V551" i="5"/>
  <c r="Q551" i="5" s="1"/>
  <c r="AE551" i="5"/>
  <c r="Z551" i="5" s="1"/>
  <c r="W35" i="5"/>
  <c r="R35" i="5" s="1"/>
  <c r="AF35" i="5"/>
  <c r="AA35" i="5" s="1"/>
  <c r="W387" i="5"/>
  <c r="R387" i="5" s="1"/>
  <c r="AF387" i="5"/>
  <c r="AA387" i="5" s="1"/>
  <c r="T450" i="5"/>
  <c r="AC450" i="5"/>
  <c r="X450" i="5" s="1"/>
  <c r="T732" i="5"/>
  <c r="AC732" i="5"/>
  <c r="X732" i="5" s="1"/>
  <c r="T27" i="5"/>
  <c r="O27" i="5" s="1"/>
  <c r="AC27" i="5"/>
  <c r="X27" i="5" s="1"/>
  <c r="U84" i="5"/>
  <c r="P84" i="5" s="1"/>
  <c r="AD84" i="5"/>
  <c r="Y84" i="5" s="1"/>
  <c r="W172" i="5"/>
  <c r="R172" i="5" s="1"/>
  <c r="AF172" i="5"/>
  <c r="AA172" i="5" s="1"/>
  <c r="T521" i="5"/>
  <c r="O521" i="5" s="1"/>
  <c r="AC521" i="5"/>
  <c r="X521" i="5" s="1"/>
  <c r="W395" i="5"/>
  <c r="R395" i="5" s="1"/>
  <c r="AF395" i="5"/>
  <c r="AA395" i="5" s="1"/>
  <c r="T140" i="5"/>
  <c r="O140" i="5" s="1"/>
  <c r="AC140" i="5"/>
  <c r="X140" i="5" s="1"/>
  <c r="T712" i="5"/>
  <c r="O712" i="5" s="1"/>
  <c r="AC712" i="5"/>
  <c r="X712" i="5" s="1"/>
  <c r="V215" i="5"/>
  <c r="Q215" i="5" s="1"/>
  <c r="AE215" i="5"/>
  <c r="Z215" i="5" s="1"/>
  <c r="W421" i="5"/>
  <c r="R421" i="5" s="1"/>
  <c r="V101" i="5"/>
  <c r="Q101" i="5" s="1"/>
  <c r="AE101" i="5"/>
  <c r="Z101" i="5" s="1"/>
  <c r="U227" i="5"/>
  <c r="P227" i="5" s="1"/>
  <c r="AD227" i="5"/>
  <c r="T610" i="5"/>
  <c r="O610" i="5" s="1"/>
  <c r="AC610" i="5"/>
  <c r="V97" i="5"/>
  <c r="Q97" i="5" s="1"/>
  <c r="AE97" i="5"/>
  <c r="Z97" i="5" s="1"/>
  <c r="U252" i="5"/>
  <c r="P252" i="5" s="1"/>
  <c r="AD252" i="5"/>
  <c r="Y252" i="5" s="1"/>
  <c r="U111" i="5"/>
  <c r="P111" i="5" s="1"/>
  <c r="AD111" i="5"/>
  <c r="Y111" i="5" s="1"/>
  <c r="V27" i="5"/>
  <c r="Q27" i="5" s="1"/>
  <c r="AE27" i="5"/>
  <c r="Z27" i="5" s="1"/>
  <c r="U729" i="5"/>
  <c r="P729" i="5" s="1"/>
  <c r="AD729" i="5"/>
  <c r="Y729" i="5" s="1"/>
  <c r="T89" i="5"/>
  <c r="O89" i="5" s="1"/>
  <c r="AC89" i="5"/>
  <c r="X89" i="5" s="1"/>
  <c r="V506" i="5"/>
  <c r="Q506" i="5" s="1"/>
  <c r="AE506" i="5"/>
  <c r="Z506" i="5" s="1"/>
  <c r="W179" i="5"/>
  <c r="R179" i="5" s="1"/>
  <c r="AF179" i="5"/>
  <c r="AA179" i="5" s="1"/>
  <c r="V242" i="5"/>
  <c r="Q242" i="5" s="1"/>
  <c r="AE242" i="5"/>
  <c r="Z242" i="5" s="1"/>
  <c r="U203" i="5"/>
  <c r="P203" i="5" s="1"/>
  <c r="AD203" i="5"/>
  <c r="Y203" i="5" s="1"/>
  <c r="V172" i="5"/>
  <c r="Q172" i="5" s="1"/>
  <c r="AE172" i="5"/>
  <c r="W518" i="5"/>
  <c r="AF518" i="5"/>
  <c r="AA518" i="5" s="1"/>
  <c r="U536" i="5"/>
  <c r="P536" i="5" s="1"/>
  <c r="AD536" i="5"/>
  <c r="Y536" i="5" s="1"/>
  <c r="W485" i="5"/>
  <c r="R485" i="5" s="1"/>
  <c r="AF485" i="5"/>
  <c r="AA485" i="5" s="1"/>
  <c r="W239" i="5"/>
  <c r="R239" i="5" s="1"/>
  <c r="AF239" i="5"/>
  <c r="AA239" i="5" s="1"/>
  <c r="T42" i="5"/>
  <c r="O42" i="5" s="1"/>
  <c r="AC42" i="5"/>
  <c r="X42" i="5" s="1"/>
  <c r="U539" i="5"/>
  <c r="P539" i="5" s="1"/>
  <c r="AD539" i="5"/>
  <c r="Y539" i="5" s="1"/>
  <c r="V75" i="5"/>
  <c r="AE75" i="5"/>
  <c r="Z75" i="5" s="1"/>
  <c r="V279" i="5"/>
  <c r="Q279" i="5" s="1"/>
  <c r="AE279" i="5"/>
  <c r="Z279" i="5" s="1"/>
  <c r="U395" i="5"/>
  <c r="P395" i="5" s="1"/>
  <c r="AD395" i="5"/>
  <c r="Y395" i="5" s="1"/>
  <c r="V719" i="5"/>
  <c r="Q719" i="5" s="1"/>
  <c r="AE719" i="5"/>
  <c r="Z719" i="5" s="1"/>
  <c r="V312" i="5"/>
  <c r="Q312" i="5" s="1"/>
  <c r="AE312" i="5"/>
  <c r="Z312" i="5" s="1"/>
  <c r="V62" i="5"/>
  <c r="Q62" i="5" s="1"/>
  <c r="AE62" i="5"/>
  <c r="T709" i="5"/>
  <c r="O709" i="5" s="1"/>
  <c r="AC709" i="5"/>
  <c r="X709" i="5" s="1"/>
  <c r="T101" i="5"/>
  <c r="O101" i="5" s="1"/>
  <c r="AC101" i="5"/>
  <c r="X101" i="5" s="1"/>
  <c r="T228" i="5"/>
  <c r="O228" i="5" s="1"/>
  <c r="AC228" i="5"/>
  <c r="X228" i="5" s="1"/>
  <c r="U36" i="5"/>
  <c r="P36" i="5" s="1"/>
  <c r="AD36" i="5"/>
  <c r="Y36" i="5" s="1"/>
  <c r="V529" i="5"/>
  <c r="Q529" i="5" s="1"/>
  <c r="AE529" i="5"/>
  <c r="Z529" i="5" s="1"/>
  <c r="U560" i="5"/>
  <c r="P560" i="5" s="1"/>
  <c r="AD560" i="5"/>
  <c r="Y560" i="5" s="1"/>
  <c r="U374" i="5"/>
  <c r="P374" i="5" s="1"/>
  <c r="AD374" i="5"/>
  <c r="Y374" i="5" s="1"/>
  <c r="T111" i="5"/>
  <c r="O111" i="5" s="1"/>
  <c r="AC111" i="5"/>
  <c r="X111" i="5" s="1"/>
  <c r="V634" i="5"/>
  <c r="Q634" i="5" s="1"/>
  <c r="AE634" i="5"/>
  <c r="Z634" i="5" s="1"/>
  <c r="U563" i="5"/>
  <c r="P563" i="5" s="1"/>
  <c r="AD563" i="5"/>
  <c r="Y563" i="5" s="1"/>
  <c r="V558" i="5"/>
  <c r="Q558" i="5" s="1"/>
  <c r="AE558" i="5"/>
  <c r="Z558" i="5" s="1"/>
  <c r="V718" i="5"/>
  <c r="Q718" i="5" s="1"/>
  <c r="AE718" i="5"/>
  <c r="U107" i="5"/>
  <c r="P107" i="5" s="1"/>
  <c r="AD107" i="5"/>
  <c r="W107" i="5"/>
  <c r="R107" i="5" s="1"/>
  <c r="AF107" i="5"/>
  <c r="AA107" i="5" s="1"/>
  <c r="V96" i="5"/>
  <c r="Q96" i="5" s="1"/>
  <c r="AE96" i="5"/>
  <c r="Z96" i="5" s="1"/>
  <c r="T161" i="5"/>
  <c r="O161" i="5" s="1"/>
  <c r="AC161" i="5"/>
  <c r="X161" i="5" s="1"/>
  <c r="W654" i="5"/>
  <c r="R654" i="5" s="1"/>
  <c r="AF654" i="5"/>
  <c r="AA654" i="5" s="1"/>
  <c r="W46" i="5"/>
  <c r="R46" i="5" s="1"/>
  <c r="AF46" i="5"/>
  <c r="AA46" i="5" s="1"/>
  <c r="W174" i="5"/>
  <c r="R174" i="5" s="1"/>
  <c r="AF174" i="5"/>
  <c r="AA174" i="5" s="1"/>
  <c r="W298" i="5"/>
  <c r="R298" i="5" s="1"/>
  <c r="AF298" i="5"/>
  <c r="AA298" i="5" s="1"/>
  <c r="W486" i="5"/>
  <c r="R486" i="5" s="1"/>
  <c r="AF486" i="5"/>
  <c r="AA486" i="5" s="1"/>
  <c r="V722" i="5"/>
  <c r="Q722" i="5" s="1"/>
  <c r="AE722" i="5"/>
  <c r="Z722" i="5" s="1"/>
  <c r="W678" i="5"/>
  <c r="R678" i="5" s="1"/>
  <c r="AF678" i="5"/>
  <c r="AA678" i="5" s="1"/>
  <c r="W510" i="5"/>
  <c r="R510" i="5" s="1"/>
  <c r="AF510" i="5"/>
  <c r="W680" i="5"/>
  <c r="R680" i="5" s="1"/>
  <c r="AF680" i="5"/>
  <c r="AA680" i="5" s="1"/>
  <c r="T232" i="5"/>
  <c r="O232" i="5" s="1"/>
  <c r="AC232" i="5"/>
  <c r="U72" i="5"/>
  <c r="P72" i="5" s="1"/>
  <c r="AD72" i="5"/>
  <c r="Y72" i="5" s="1"/>
  <c r="T215" i="5"/>
  <c r="O215" i="5" s="1"/>
  <c r="AC215" i="5"/>
  <c r="X215" i="5" s="1"/>
  <c r="V625" i="5"/>
  <c r="Q625" i="5" s="1"/>
  <c r="AE625" i="5"/>
  <c r="Z625" i="5" s="1"/>
  <c r="U515" i="5"/>
  <c r="P515" i="5" s="1"/>
  <c r="AD515" i="5"/>
  <c r="Y515" i="5" s="1"/>
  <c r="T257" i="5"/>
  <c r="O257" i="5" s="1"/>
  <c r="AC257" i="5"/>
  <c r="X257" i="5" s="1"/>
  <c r="U92" i="5"/>
  <c r="P92" i="5" s="1"/>
  <c r="AD92" i="5"/>
  <c r="Y92" i="5" s="1"/>
  <c r="T282" i="5"/>
  <c r="O282" i="5" s="1"/>
  <c r="AC282" i="5"/>
  <c r="X282" i="5" s="1"/>
  <c r="U372" i="5"/>
  <c r="P372" i="5" s="1"/>
  <c r="AD372" i="5"/>
  <c r="Y372" i="5" s="1"/>
  <c r="W295" i="5"/>
  <c r="R295" i="5" s="1"/>
  <c r="AF295" i="5"/>
  <c r="AA295" i="5" s="1"/>
  <c r="W33" i="5"/>
  <c r="R33" i="5" s="1"/>
  <c r="AF33" i="5"/>
  <c r="T452" i="5"/>
  <c r="O452" i="5" s="1"/>
  <c r="AC452" i="5"/>
  <c r="W611" i="5"/>
  <c r="R611" i="5" s="1"/>
  <c r="AF611" i="5"/>
  <c r="AA611" i="5" s="1"/>
  <c r="T67" i="5"/>
  <c r="O67" i="5" s="1"/>
  <c r="AC67" i="5"/>
  <c r="X67" i="5" s="1"/>
  <c r="T641" i="5"/>
  <c r="O641" i="5" s="1"/>
  <c r="AC641" i="5"/>
  <c r="X641" i="5" s="1"/>
  <c r="W321" i="5"/>
  <c r="R321" i="5" s="1"/>
  <c r="AF321" i="5"/>
  <c r="AA321" i="5" s="1"/>
  <c r="W251" i="5"/>
  <c r="R251" i="5" s="1"/>
  <c r="AF251" i="5"/>
  <c r="AA251" i="5" s="1"/>
  <c r="U91" i="5"/>
  <c r="P91" i="5" s="1"/>
  <c r="AD91" i="5"/>
  <c r="Y91" i="5" s="1"/>
  <c r="V599" i="5"/>
  <c r="Q599" i="5" s="1"/>
  <c r="AE599" i="5"/>
  <c r="Z599" i="5" s="1"/>
  <c r="W661" i="5"/>
  <c r="R661" i="5" s="1"/>
  <c r="AF661" i="5"/>
  <c r="AA661" i="5" s="1"/>
  <c r="T308" i="5"/>
  <c r="O308" i="5" s="1"/>
  <c r="AC308" i="5"/>
  <c r="X308" i="5" s="1"/>
  <c r="V627" i="5"/>
  <c r="Q627" i="5" s="1"/>
  <c r="AE627" i="5"/>
  <c r="Z627" i="5" s="1"/>
  <c r="V596" i="5"/>
  <c r="Q596" i="5" s="1"/>
  <c r="AE596" i="5"/>
  <c r="W497" i="5"/>
  <c r="R497" i="5" s="1"/>
  <c r="V171" i="5"/>
  <c r="Q171" i="5" s="1"/>
  <c r="AE171" i="5"/>
  <c r="Z171" i="5" s="1"/>
  <c r="U715" i="5"/>
  <c r="P715" i="5" s="1"/>
  <c r="AD715" i="5"/>
  <c r="Y715" i="5" s="1"/>
  <c r="T143" i="5"/>
  <c r="O143" i="5" s="1"/>
  <c r="AC143" i="5"/>
  <c r="X143" i="5" s="1"/>
  <c r="AE461" i="5"/>
  <c r="Z461" i="5" s="1"/>
  <c r="W588" i="5"/>
  <c r="R588" i="5" s="1"/>
  <c r="AF588" i="5"/>
  <c r="AA588" i="5" s="1"/>
  <c r="T522" i="5"/>
  <c r="O522" i="5" s="1"/>
  <c r="AC522" i="5"/>
  <c r="X522" i="5" s="1"/>
  <c r="V485" i="5"/>
  <c r="Q485" i="5" s="1"/>
  <c r="AE485" i="5"/>
  <c r="Z485" i="5" s="1"/>
  <c r="T165" i="5"/>
  <c r="O165" i="5" s="1"/>
  <c r="AC165" i="5"/>
  <c r="X165" i="5" s="1"/>
  <c r="T611" i="5"/>
  <c r="O611" i="5" s="1"/>
  <c r="AC611" i="5"/>
  <c r="X611" i="5" s="1"/>
  <c r="W514" i="5"/>
  <c r="R514" i="5" s="1"/>
  <c r="AF514" i="5"/>
  <c r="AA514" i="5" s="1"/>
  <c r="W495" i="5"/>
  <c r="R495" i="5" s="1"/>
  <c r="AF495" i="5"/>
  <c r="AA495" i="5" s="1"/>
  <c r="V626" i="5"/>
  <c r="Q626" i="5" s="1"/>
  <c r="AE626" i="5"/>
  <c r="V704" i="5"/>
  <c r="Q704" i="5" s="1"/>
  <c r="AE704" i="5"/>
  <c r="Z704" i="5" s="1"/>
  <c r="W544" i="5"/>
  <c r="R544" i="5" s="1"/>
  <c r="AF544" i="5"/>
  <c r="AA544" i="5" s="1"/>
  <c r="W568" i="5"/>
  <c r="R568" i="5" s="1"/>
  <c r="AF568" i="5"/>
  <c r="AA568" i="5" s="1"/>
  <c r="W253" i="5"/>
  <c r="R253" i="5" s="1"/>
  <c r="AF253" i="5"/>
  <c r="AA253" i="5" s="1"/>
  <c r="V601" i="5"/>
  <c r="Q601" i="5" s="1"/>
  <c r="AE601" i="5"/>
  <c r="Z601" i="5" s="1"/>
  <c r="AC476" i="5"/>
  <c r="X476" i="5" s="1"/>
  <c r="V91" i="5"/>
  <c r="Q91" i="5" s="1"/>
  <c r="AE91" i="5"/>
  <c r="Z91" i="5" s="1"/>
  <c r="W369" i="5"/>
  <c r="R369" i="5" s="1"/>
  <c r="AF369" i="5"/>
  <c r="AA369" i="5" s="1"/>
  <c r="U687" i="5"/>
  <c r="P687" i="5" s="1"/>
  <c r="AD687" i="5"/>
  <c r="Y687" i="5" s="1"/>
  <c r="W83" i="5"/>
  <c r="R83" i="5" s="1"/>
  <c r="AF83" i="5"/>
  <c r="AA83" i="5" s="1"/>
  <c r="V361" i="5"/>
  <c r="Q361" i="5" s="1"/>
  <c r="AE361" i="5"/>
  <c r="Z361" i="5" s="1"/>
  <c r="W201" i="5"/>
  <c r="R201" i="5" s="1"/>
  <c r="AF201" i="5"/>
  <c r="AA201" i="5" s="1"/>
  <c r="W82" i="5"/>
  <c r="AF82" i="5"/>
  <c r="AA82" i="5" s="1"/>
  <c r="W580" i="5"/>
  <c r="R580" i="5" s="1"/>
  <c r="AF580" i="5"/>
  <c r="AA580" i="5" s="1"/>
  <c r="V739" i="5"/>
  <c r="Q739" i="5" s="1"/>
  <c r="AE739" i="5"/>
  <c r="T760" i="5"/>
  <c r="O760" i="5" s="1"/>
  <c r="AC760" i="5"/>
  <c r="X760" i="5" s="1"/>
  <c r="T664" i="5"/>
  <c r="O664" i="5" s="1"/>
  <c r="AC664" i="5"/>
  <c r="X664" i="5" s="1"/>
  <c r="U446" i="5"/>
  <c r="P446" i="5" s="1"/>
  <c r="AD446" i="5"/>
  <c r="Y446" i="5" s="1"/>
  <c r="W541" i="5"/>
  <c r="R541" i="5" s="1"/>
  <c r="AF541" i="5"/>
  <c r="AA541" i="5" s="1"/>
  <c r="U636" i="5"/>
  <c r="P636" i="5" s="1"/>
  <c r="AD636" i="5"/>
  <c r="Y636" i="5" s="1"/>
  <c r="V441" i="5"/>
  <c r="Q441" i="5" s="1"/>
  <c r="AE441" i="5"/>
  <c r="Z441" i="5" s="1"/>
  <c r="W687" i="5"/>
  <c r="R687" i="5" s="1"/>
  <c r="AF687" i="5"/>
  <c r="AA687" i="5" s="1"/>
  <c r="V436" i="5"/>
  <c r="Q436" i="5" s="1"/>
  <c r="AE436" i="5"/>
  <c r="Z436" i="5" s="1"/>
  <c r="W276" i="5"/>
  <c r="R276" i="5" s="1"/>
  <c r="AF276" i="5"/>
  <c r="AA276" i="5" s="1"/>
  <c r="T497" i="5"/>
  <c r="AC497" i="5"/>
  <c r="X497" i="5" s="1"/>
  <c r="T307" i="5"/>
  <c r="O307" i="5" s="1"/>
  <c r="AC307" i="5"/>
  <c r="X307" i="5" s="1"/>
  <c r="U638" i="5"/>
  <c r="P638" i="5" s="1"/>
  <c r="AD638" i="5"/>
  <c r="Y638" i="5" s="1"/>
  <c r="W41" i="5"/>
  <c r="R41" i="5" s="1"/>
  <c r="AF41" i="5"/>
  <c r="AA41" i="5" s="1"/>
  <c r="V744" i="5"/>
  <c r="Q744" i="5" s="1"/>
  <c r="AE744" i="5"/>
  <c r="Z744" i="5" s="1"/>
  <c r="W613" i="5"/>
  <c r="R613" i="5" s="1"/>
  <c r="AF613" i="5"/>
  <c r="AA613" i="5" s="1"/>
  <c r="U132" i="5"/>
  <c r="P132" i="5" s="1"/>
  <c r="AD132" i="5"/>
  <c r="Y132" i="5" s="1"/>
  <c r="V99" i="5"/>
  <c r="Q99" i="5" s="1"/>
  <c r="AE99" i="5"/>
  <c r="Z99" i="5" s="1"/>
  <c r="U498" i="5"/>
  <c r="P498" i="5" s="1"/>
  <c r="AD498" i="5"/>
  <c r="Y498" i="5" s="1"/>
  <c r="T740" i="5"/>
  <c r="O740" i="5" s="1"/>
  <c r="AC740" i="5"/>
  <c r="X740" i="5" s="1"/>
  <c r="U451" i="5"/>
  <c r="P451" i="5" s="1"/>
  <c r="AD451" i="5"/>
  <c r="Y451" i="5" s="1"/>
  <c r="V291" i="5"/>
  <c r="Q291" i="5" s="1"/>
  <c r="AE291" i="5"/>
  <c r="Z291" i="5" s="1"/>
  <c r="U495" i="5"/>
  <c r="AD495" i="5"/>
  <c r="Y495" i="5" s="1"/>
  <c r="W609" i="5"/>
  <c r="AF609" i="5"/>
  <c r="AA609" i="5" s="1"/>
  <c r="W664" i="5"/>
  <c r="R664" i="5" s="1"/>
  <c r="AF664" i="5"/>
  <c r="AA664" i="5" s="1"/>
  <c r="V701" i="5"/>
  <c r="Q701" i="5" s="1"/>
  <c r="AE701" i="5"/>
  <c r="Z701" i="5" s="1"/>
  <c r="U541" i="5"/>
  <c r="P541" i="5" s="1"/>
  <c r="AD541" i="5"/>
  <c r="Y541" i="5" s="1"/>
  <c r="T120" i="5"/>
  <c r="O120" i="5" s="1"/>
  <c r="AC120" i="5"/>
  <c r="X120" i="5" s="1"/>
  <c r="W55" i="5"/>
  <c r="R55" i="5" s="1"/>
  <c r="AF55" i="5"/>
  <c r="AA55" i="5" s="1"/>
  <c r="W699" i="5"/>
  <c r="R699" i="5" s="1"/>
  <c r="AF699" i="5"/>
  <c r="AA699" i="5" s="1"/>
  <c r="V629" i="5"/>
  <c r="Q629" i="5" s="1"/>
  <c r="AE629" i="5"/>
  <c r="Z629" i="5" s="1"/>
  <c r="T596" i="5"/>
  <c r="O596" i="5" s="1"/>
  <c r="AC596" i="5"/>
  <c r="X596" i="5" s="1"/>
  <c r="T184" i="5"/>
  <c r="O184" i="5" s="1"/>
  <c r="AC184" i="5"/>
  <c r="X184" i="5" s="1"/>
  <c r="T144" i="5"/>
  <c r="O144" i="5" s="1"/>
  <c r="AC144" i="5"/>
  <c r="X144" i="5" s="1"/>
  <c r="V201" i="5"/>
  <c r="AE201" i="5"/>
  <c r="Z201" i="5" s="1"/>
  <c r="U354" i="5"/>
  <c r="P354" i="5" s="1"/>
  <c r="AD354" i="5"/>
  <c r="Y354" i="5" s="1"/>
  <c r="T23" i="5"/>
  <c r="O23" i="5" s="1"/>
  <c r="AC23" i="5"/>
  <c r="X23" i="5" s="1"/>
  <c r="V609" i="5"/>
  <c r="Q609" i="5" s="1"/>
  <c r="AE609" i="5"/>
  <c r="Z609" i="5" s="1"/>
  <c r="V289" i="5"/>
  <c r="Q289" i="5" s="1"/>
  <c r="AE289" i="5"/>
  <c r="Z289" i="5" s="1"/>
  <c r="W665" i="5"/>
  <c r="R665" i="5" s="1"/>
  <c r="AF665" i="5"/>
  <c r="AA665" i="5" s="1"/>
  <c r="V219" i="5"/>
  <c r="Q219" i="5" s="1"/>
  <c r="AE219" i="5"/>
  <c r="Z219" i="5" s="1"/>
  <c r="U378" i="5"/>
  <c r="P378" i="5" s="1"/>
  <c r="AD378" i="5"/>
  <c r="Y378" i="5" s="1"/>
  <c r="U83" i="5"/>
  <c r="P83" i="5" s="1"/>
  <c r="AD83" i="5"/>
  <c r="Y83" i="5" s="1"/>
  <c r="W589" i="5"/>
  <c r="R589" i="5" s="1"/>
  <c r="AF589" i="5"/>
  <c r="AA589" i="5" s="1"/>
  <c r="V649" i="5"/>
  <c r="Q649" i="5" s="1"/>
  <c r="AE649" i="5"/>
  <c r="Z649" i="5" s="1"/>
  <c r="T503" i="5"/>
  <c r="O503" i="5" s="1"/>
  <c r="AC503" i="5"/>
  <c r="X503" i="5" s="1"/>
  <c r="V50" i="5"/>
  <c r="AE50" i="5"/>
  <c r="Z50" i="5" s="1"/>
  <c r="W584" i="5"/>
  <c r="R584" i="5" s="1"/>
  <c r="AF584" i="5"/>
  <c r="AA584" i="5" s="1"/>
  <c r="T424" i="5"/>
  <c r="O424" i="5" s="1"/>
  <c r="AC424" i="5"/>
  <c r="X424" i="5" s="1"/>
  <c r="W535" i="5"/>
  <c r="R535" i="5" s="1"/>
  <c r="AF535" i="5"/>
  <c r="AA535" i="5" s="1"/>
  <c r="V292" i="5"/>
  <c r="Q292" i="5" s="1"/>
  <c r="AE292" i="5"/>
  <c r="Z292" i="5" s="1"/>
  <c r="T304" i="5"/>
  <c r="O304" i="5" s="1"/>
  <c r="AC304" i="5"/>
  <c r="X304" i="5" s="1"/>
  <c r="T642" i="5"/>
  <c r="O642" i="5" s="1"/>
  <c r="AC642" i="5"/>
  <c r="X642" i="5" s="1"/>
  <c r="U609" i="5"/>
  <c r="P609" i="5" s="1"/>
  <c r="AD609" i="5"/>
  <c r="Y609" i="5" s="1"/>
  <c r="V316" i="5"/>
  <c r="Q316" i="5" s="1"/>
  <c r="AE316" i="5"/>
  <c r="Z316" i="5" s="1"/>
  <c r="T59" i="5"/>
  <c r="O59" i="5" s="1"/>
  <c r="AC59" i="5"/>
  <c r="X59" i="5" s="1"/>
  <c r="T698" i="5"/>
  <c r="O698" i="5" s="1"/>
  <c r="AC698" i="5"/>
  <c r="X698" i="5" s="1"/>
  <c r="U757" i="5"/>
  <c r="P757" i="5" s="1"/>
  <c r="AD757" i="5"/>
  <c r="Y757" i="5" s="1"/>
  <c r="W469" i="5"/>
  <c r="AF469" i="5"/>
  <c r="U403" i="5"/>
  <c r="AD403" i="5"/>
  <c r="Y403" i="5" s="1"/>
  <c r="V535" i="5"/>
  <c r="AE535" i="5"/>
  <c r="T263" i="5"/>
  <c r="O263" i="5" s="1"/>
  <c r="AC263" i="5"/>
  <c r="X263" i="5" s="1"/>
  <c r="V293" i="5"/>
  <c r="Q293" i="5" s="1"/>
  <c r="AE293" i="5"/>
  <c r="Z293" i="5" s="1"/>
  <c r="U133" i="5"/>
  <c r="P133" i="5" s="1"/>
  <c r="AD133" i="5"/>
  <c r="Y133" i="5" s="1"/>
  <c r="T88" i="5"/>
  <c r="O88" i="5" s="1"/>
  <c r="AC88" i="5"/>
  <c r="X88" i="5" s="1"/>
  <c r="U606" i="5"/>
  <c r="P606" i="5" s="1"/>
  <c r="AD606" i="5"/>
  <c r="Y606" i="5" s="1"/>
  <c r="T96" i="5"/>
  <c r="O96" i="5" s="1"/>
  <c r="AC96" i="5"/>
  <c r="X96" i="5" s="1"/>
  <c r="U630" i="5"/>
  <c r="P630" i="5" s="1"/>
  <c r="AD630" i="5"/>
  <c r="Y630" i="5" s="1"/>
  <c r="V129" i="5"/>
  <c r="Q129" i="5" s="1"/>
  <c r="AE129" i="5"/>
  <c r="Z129" i="5" s="1"/>
  <c r="T639" i="5"/>
  <c r="O639" i="5" s="1"/>
  <c r="AC639" i="5"/>
  <c r="X639" i="5" s="1"/>
  <c r="W208" i="5"/>
  <c r="AF208" i="5"/>
  <c r="AA208" i="5" s="1"/>
  <c r="U666" i="5"/>
  <c r="P666" i="5" s="1"/>
  <c r="AD666" i="5"/>
  <c r="Y666" i="5" s="1"/>
  <c r="U564" i="5"/>
  <c r="P564" i="5" s="1"/>
  <c r="AD564" i="5"/>
  <c r="Y564" i="5" s="1"/>
  <c r="U755" i="5"/>
  <c r="P755" i="5" s="1"/>
  <c r="AD755" i="5"/>
  <c r="Y755" i="5" s="1"/>
  <c r="W51" i="5"/>
  <c r="R51" i="5" s="1"/>
  <c r="AF51" i="5"/>
  <c r="AA51" i="5" s="1"/>
  <c r="V273" i="5"/>
  <c r="Q273" i="5" s="1"/>
  <c r="AE273" i="5"/>
  <c r="Z273" i="5" s="1"/>
  <c r="U711" i="5"/>
  <c r="P711" i="5" s="1"/>
  <c r="AD711" i="5"/>
  <c r="Y711" i="5" s="1"/>
  <c r="U35" i="5"/>
  <c r="P35" i="5" s="1"/>
  <c r="AD35" i="5"/>
  <c r="Y35" i="5" s="1"/>
  <c r="W88" i="5"/>
  <c r="R88" i="5" s="1"/>
  <c r="AF88" i="5"/>
  <c r="AA88" i="5" s="1"/>
  <c r="W304" i="5"/>
  <c r="R304" i="5" s="1"/>
  <c r="AF304" i="5"/>
  <c r="AA304" i="5" s="1"/>
  <c r="V482" i="5"/>
  <c r="Q482" i="5" s="1"/>
  <c r="AE482" i="5"/>
  <c r="Z482" i="5" s="1"/>
  <c r="AD471" i="5"/>
  <c r="Y471" i="5" s="1"/>
  <c r="T284" i="5"/>
  <c r="O284" i="5" s="1"/>
  <c r="AC284" i="5"/>
  <c r="U154" i="5"/>
  <c r="P154" i="5" s="1"/>
  <c r="AD154" i="5"/>
  <c r="Y154" i="5" s="1"/>
  <c r="T666" i="5"/>
  <c r="O666" i="5" s="1"/>
  <c r="AC666" i="5"/>
  <c r="X666" i="5" s="1"/>
  <c r="V309" i="5"/>
  <c r="Q309" i="5" s="1"/>
  <c r="AE309" i="5"/>
  <c r="Z309" i="5" s="1"/>
  <c r="U211" i="5"/>
  <c r="P211" i="5" s="1"/>
  <c r="AD211" i="5"/>
  <c r="Y211" i="5" s="1"/>
  <c r="V150" i="5"/>
  <c r="Q150" i="5" s="1"/>
  <c r="AE150" i="5"/>
  <c r="Z150" i="5" s="1"/>
  <c r="V584" i="5"/>
  <c r="Q584" i="5" s="1"/>
  <c r="AE584" i="5"/>
  <c r="Z584" i="5" s="1"/>
  <c r="T716" i="5"/>
  <c r="O716" i="5" s="1"/>
  <c r="AC716" i="5"/>
  <c r="X716" i="5" s="1"/>
  <c r="U139" i="5"/>
  <c r="P139" i="5" s="1"/>
  <c r="AD139" i="5"/>
  <c r="Y139" i="5" s="1"/>
  <c r="W424" i="5"/>
  <c r="R424" i="5" s="1"/>
  <c r="AF424" i="5"/>
  <c r="AA424" i="5" s="1"/>
  <c r="W561" i="5"/>
  <c r="R561" i="5" s="1"/>
  <c r="AF561" i="5"/>
  <c r="AA561" i="5" s="1"/>
  <c r="T711" i="5"/>
  <c r="O711" i="5" s="1"/>
  <c r="AC711" i="5"/>
  <c r="X711" i="5" s="1"/>
  <c r="T551" i="5"/>
  <c r="O551" i="5" s="1"/>
  <c r="AC551" i="5"/>
  <c r="U547" i="5"/>
  <c r="P547" i="5" s="1"/>
  <c r="U419" i="5"/>
  <c r="AD419" i="5"/>
  <c r="Y419" i="5" s="1"/>
  <c r="U735" i="5"/>
  <c r="P735" i="5" s="1"/>
  <c r="AD735" i="5"/>
  <c r="Y735" i="5" s="1"/>
  <c r="U737" i="5"/>
  <c r="P737" i="5" s="1"/>
  <c r="AD737" i="5"/>
  <c r="Y737" i="5" s="1"/>
  <c r="T672" i="5"/>
  <c r="O672" i="5" s="1"/>
  <c r="AC672" i="5"/>
  <c r="X672" i="5" s="1"/>
  <c r="W512" i="5"/>
  <c r="R512" i="5" s="1"/>
  <c r="AF512" i="5"/>
  <c r="AA512" i="5" s="1"/>
  <c r="U352" i="5"/>
  <c r="P352" i="5" s="1"/>
  <c r="AD352" i="5"/>
  <c r="Y352" i="5" s="1"/>
  <c r="V509" i="5"/>
  <c r="Q509" i="5" s="1"/>
  <c r="AE509" i="5"/>
  <c r="Z509" i="5" s="1"/>
  <c r="U569" i="5"/>
  <c r="P569" i="5" s="1"/>
  <c r="AD569" i="5"/>
  <c r="Y569" i="5" s="1"/>
  <c r="U667" i="5"/>
  <c r="P667" i="5" s="1"/>
  <c r="AD667" i="5"/>
  <c r="Y667" i="5" s="1"/>
  <c r="V507" i="5"/>
  <c r="Q507" i="5" s="1"/>
  <c r="AE507" i="5"/>
  <c r="Z507" i="5" s="1"/>
  <c r="W347" i="5"/>
  <c r="R347" i="5" s="1"/>
  <c r="AF347" i="5"/>
  <c r="AA347" i="5" s="1"/>
  <c r="W59" i="5"/>
  <c r="AF59" i="5"/>
  <c r="AA59" i="5" s="1"/>
  <c r="W89" i="5"/>
  <c r="R89" i="5" s="1"/>
  <c r="AF89" i="5"/>
  <c r="AA89" i="5" s="1"/>
  <c r="W247" i="5"/>
  <c r="R247" i="5" s="1"/>
  <c r="AF247" i="5"/>
  <c r="AA247" i="5" s="1"/>
  <c r="U690" i="5"/>
  <c r="P690" i="5" s="1"/>
  <c r="AD690" i="5"/>
  <c r="Y690" i="5" s="1"/>
  <c r="U749" i="5"/>
  <c r="P749" i="5" s="1"/>
  <c r="AD749" i="5"/>
  <c r="Y749" i="5" s="1"/>
  <c r="W556" i="5"/>
  <c r="R556" i="5" s="1"/>
  <c r="AF556" i="5"/>
  <c r="AA556" i="5" s="1"/>
  <c r="U619" i="5"/>
  <c r="P619" i="5" s="1"/>
  <c r="AD619" i="5"/>
  <c r="Y619" i="5" s="1"/>
  <c r="T719" i="5"/>
  <c r="O719" i="5" s="1"/>
  <c r="AC719" i="5"/>
  <c r="X719" i="5" s="1"/>
  <c r="V170" i="5"/>
  <c r="Q170" i="5" s="1"/>
  <c r="AE170" i="5"/>
  <c r="Z170" i="5" s="1"/>
  <c r="T552" i="5"/>
  <c r="O552" i="5" s="1"/>
  <c r="U610" i="5"/>
  <c r="P610" i="5" s="1"/>
  <c r="AD610" i="5"/>
  <c r="Y610" i="5" s="1"/>
  <c r="W162" i="5"/>
  <c r="R162" i="5" s="1"/>
  <c r="AF162" i="5"/>
  <c r="AA162" i="5" s="1"/>
  <c r="V572" i="5"/>
  <c r="Q572" i="5" s="1"/>
  <c r="AE572" i="5"/>
  <c r="W569" i="5"/>
  <c r="R569" i="5" s="1"/>
  <c r="AF569" i="5"/>
  <c r="AA569" i="5" s="1"/>
  <c r="T590" i="5"/>
  <c r="O590" i="5" s="1"/>
  <c r="AC590" i="5"/>
  <c r="X590" i="5" s="1"/>
  <c r="V653" i="5"/>
  <c r="Q653" i="5" s="1"/>
  <c r="AE653" i="5"/>
  <c r="Z653" i="5" s="1"/>
  <c r="W110" i="5"/>
  <c r="R110" i="5" s="1"/>
  <c r="AF110" i="5"/>
  <c r="AA110" i="5" s="1"/>
  <c r="T114" i="5"/>
  <c r="O114" i="5" s="1"/>
  <c r="AC114" i="5"/>
  <c r="X114" i="5" s="1"/>
  <c r="V144" i="5"/>
  <c r="Q144" i="5" s="1"/>
  <c r="AE144" i="5"/>
  <c r="Z144" i="5" s="1"/>
  <c r="W656" i="5"/>
  <c r="R656" i="5" s="1"/>
  <c r="AF656" i="5"/>
  <c r="AA656" i="5" s="1"/>
  <c r="T754" i="5"/>
  <c r="O754" i="5" s="1"/>
  <c r="AC754" i="5"/>
  <c r="X754" i="5" s="1"/>
  <c r="V269" i="5"/>
  <c r="Q269" i="5" s="1"/>
  <c r="AE269" i="5"/>
  <c r="Z269" i="5" s="1"/>
  <c r="W617" i="5"/>
  <c r="R617" i="5" s="1"/>
  <c r="AF617" i="5"/>
  <c r="AA617" i="5" s="1"/>
  <c r="T759" i="5"/>
  <c r="O759" i="5" s="1"/>
  <c r="AC759" i="5"/>
  <c r="X759" i="5" s="1"/>
  <c r="U109" i="5"/>
  <c r="P109" i="5" s="1"/>
  <c r="AD109" i="5"/>
  <c r="T524" i="5"/>
  <c r="O524" i="5" s="1"/>
  <c r="AC524" i="5"/>
  <c r="V727" i="5"/>
  <c r="Q727" i="5" s="1"/>
  <c r="AE727" i="5"/>
  <c r="V552" i="5"/>
  <c r="Q552" i="5" s="1"/>
  <c r="AE552" i="5"/>
  <c r="Z552" i="5" s="1"/>
  <c r="W104" i="5"/>
  <c r="R104" i="5" s="1"/>
  <c r="AF104" i="5"/>
  <c r="AA104" i="5" s="1"/>
  <c r="V581" i="5"/>
  <c r="Q581" i="5" s="1"/>
  <c r="AE581" i="5"/>
  <c r="Z581" i="5" s="1"/>
  <c r="U567" i="5"/>
  <c r="P567" i="5" s="1"/>
  <c r="AD567" i="5"/>
  <c r="Y567" i="5" s="1"/>
  <c r="U162" i="5"/>
  <c r="P162" i="5" s="1"/>
  <c r="AD162" i="5"/>
  <c r="Y162" i="5" s="1"/>
  <c r="U639" i="5"/>
  <c r="P639" i="5" s="1"/>
  <c r="AD639" i="5"/>
  <c r="Y639" i="5" s="1"/>
  <c r="W560" i="5"/>
  <c r="R560" i="5" s="1"/>
  <c r="AF560" i="5"/>
  <c r="AA560" i="5" s="1"/>
  <c r="V409" i="5"/>
  <c r="Q409" i="5" s="1"/>
  <c r="AE409" i="5"/>
  <c r="Z409" i="5" s="1"/>
  <c r="W401" i="5"/>
  <c r="R401" i="5" s="1"/>
  <c r="AF401" i="5"/>
  <c r="AA401" i="5" s="1"/>
  <c r="T216" i="5"/>
  <c r="O216" i="5" s="1"/>
  <c r="AC216" i="5"/>
  <c r="T690" i="5"/>
  <c r="O690" i="5" s="1"/>
  <c r="AC690" i="5"/>
  <c r="X690" i="5" s="1"/>
  <c r="T692" i="5"/>
  <c r="O692" i="5" s="1"/>
  <c r="AC692" i="5"/>
  <c r="X692" i="5" s="1"/>
  <c r="W532" i="5"/>
  <c r="R532" i="5" s="1"/>
  <c r="AF532" i="5"/>
  <c r="AA532" i="5" s="1"/>
  <c r="W587" i="5"/>
  <c r="R587" i="5" s="1"/>
  <c r="AF587" i="5"/>
  <c r="AA587" i="5" s="1"/>
  <c r="V248" i="5"/>
  <c r="Q248" i="5" s="1"/>
  <c r="AE248" i="5"/>
  <c r="Z248" i="5" s="1"/>
  <c r="V44" i="5"/>
  <c r="Q44" i="5" s="1"/>
  <c r="AE44" i="5"/>
  <c r="Z44" i="5" s="1"/>
  <c r="U754" i="5"/>
  <c r="P754" i="5" s="1"/>
  <c r="AD754" i="5"/>
  <c r="Y754" i="5" s="1"/>
  <c r="V368" i="5"/>
  <c r="Q368" i="5" s="1"/>
  <c r="AE368" i="5"/>
  <c r="Z368" i="5" s="1"/>
  <c r="U397" i="5"/>
  <c r="P397" i="5" s="1"/>
  <c r="AD397" i="5"/>
  <c r="Y397" i="5" s="1"/>
  <c r="W269" i="5"/>
  <c r="R269" i="5" s="1"/>
  <c r="AF269" i="5"/>
  <c r="AA269" i="5" s="1"/>
  <c r="U299" i="5"/>
  <c r="P299" i="5" s="1"/>
  <c r="AD299" i="5"/>
  <c r="Y299" i="5" s="1"/>
  <c r="V241" i="5"/>
  <c r="Q241" i="5" s="1"/>
  <c r="AE241" i="5"/>
  <c r="T624" i="5"/>
  <c r="O624" i="5" s="1"/>
  <c r="AC624" i="5"/>
  <c r="X624" i="5" s="1"/>
  <c r="T550" i="5"/>
  <c r="O550" i="5" s="1"/>
  <c r="AC550" i="5"/>
  <c r="X550" i="5" s="1"/>
  <c r="V81" i="5"/>
  <c r="Q81" i="5" s="1"/>
  <c r="AE81" i="5"/>
  <c r="Z81" i="5" s="1"/>
  <c r="AF421" i="5"/>
  <c r="AA421" i="5" s="1"/>
  <c r="T671" i="5"/>
  <c r="O671" i="5" s="1"/>
  <c r="AC671" i="5"/>
  <c r="X671" i="5" s="1"/>
  <c r="T567" i="5"/>
  <c r="O567" i="5" s="1"/>
  <c r="AC567" i="5"/>
  <c r="X567" i="5" s="1"/>
  <c r="W707" i="5"/>
  <c r="R707" i="5" s="1"/>
  <c r="AF707" i="5"/>
  <c r="AA707" i="5" s="1"/>
  <c r="V705" i="5"/>
  <c r="Q705" i="5" s="1"/>
  <c r="AE705" i="5"/>
  <c r="Z705" i="5" s="1"/>
  <c r="V560" i="5"/>
  <c r="Q560" i="5" s="1"/>
  <c r="AE560" i="5"/>
  <c r="Z560" i="5" s="1"/>
  <c r="W637" i="5"/>
  <c r="R637" i="5" s="1"/>
  <c r="AF637" i="5"/>
  <c r="AA637" i="5" s="1"/>
  <c r="T635" i="5"/>
  <c r="O635" i="5" s="1"/>
  <c r="AC635" i="5"/>
  <c r="X635" i="5" s="1"/>
  <c r="U367" i="5"/>
  <c r="P367" i="5" s="1"/>
  <c r="AD367" i="5"/>
  <c r="Y367" i="5" s="1"/>
  <c r="U634" i="5"/>
  <c r="AD634" i="5"/>
  <c r="Y634" i="5" s="1"/>
  <c r="W565" i="5"/>
  <c r="R565" i="5" s="1"/>
  <c r="AF565" i="5"/>
  <c r="AA565" i="5" s="1"/>
  <c r="V437" i="5"/>
  <c r="Q437" i="5" s="1"/>
  <c r="AE437" i="5"/>
  <c r="Z437" i="5" s="1"/>
  <c r="U371" i="5"/>
  <c r="P371" i="5" s="1"/>
  <c r="AD371" i="5"/>
  <c r="Y371" i="5" s="1"/>
  <c r="U591" i="5"/>
  <c r="P591" i="5" s="1"/>
  <c r="AD591" i="5"/>
  <c r="Y591" i="5" s="1"/>
  <c r="U301" i="5"/>
  <c r="P301" i="5" s="1"/>
  <c r="AD301" i="5"/>
  <c r="Y301" i="5" s="1"/>
  <c r="V656" i="5"/>
  <c r="Q656" i="5" s="1"/>
  <c r="AE656" i="5"/>
  <c r="Z656" i="5" s="1"/>
  <c r="V651" i="5"/>
  <c r="Q651" i="5" s="1"/>
  <c r="AE651" i="5"/>
  <c r="Z651" i="5" s="1"/>
  <c r="T350" i="5"/>
  <c r="O350" i="5" s="1"/>
  <c r="AC350" i="5"/>
  <c r="X350" i="5" s="1"/>
  <c r="V174" i="5"/>
  <c r="Q174" i="5" s="1"/>
  <c r="AE174" i="5"/>
  <c r="Z174" i="5" s="1"/>
  <c r="V557" i="5"/>
  <c r="Q557" i="5" s="1"/>
  <c r="AE557" i="5"/>
  <c r="Z557" i="5" s="1"/>
  <c r="W134" i="5"/>
  <c r="R134" i="5" s="1"/>
  <c r="AF134" i="5"/>
  <c r="AA134" i="5" s="1"/>
  <c r="U618" i="5"/>
  <c r="AD618" i="5"/>
  <c r="Y618" i="5" s="1"/>
  <c r="T383" i="5"/>
  <c r="O383" i="5" s="1"/>
  <c r="AC383" i="5"/>
  <c r="X383" i="5" s="1"/>
  <c r="T71" i="5"/>
  <c r="O71" i="5" s="1"/>
  <c r="AC71" i="5"/>
  <c r="X71" i="5" s="1"/>
  <c r="T623" i="5"/>
  <c r="O623" i="5" s="1"/>
  <c r="AC623" i="5"/>
  <c r="X623" i="5" s="1"/>
  <c r="V290" i="5"/>
  <c r="Q290" i="5" s="1"/>
  <c r="AE290" i="5"/>
  <c r="Z290" i="5" s="1"/>
  <c r="V25" i="5"/>
  <c r="Q25" i="5" s="1"/>
  <c r="AE25" i="5"/>
  <c r="Z25" i="5" s="1"/>
  <c r="W640" i="5"/>
  <c r="R640" i="5" s="1"/>
  <c r="AF640" i="5"/>
  <c r="AA640" i="5" s="1"/>
  <c r="T569" i="5"/>
  <c r="O569" i="5" s="1"/>
  <c r="AC569" i="5"/>
  <c r="X569" i="5" s="1"/>
  <c r="W635" i="5"/>
  <c r="R635" i="5" s="1"/>
  <c r="AF635" i="5"/>
  <c r="AA635" i="5" s="1"/>
  <c r="W633" i="5"/>
  <c r="R633" i="5" s="1"/>
  <c r="AF633" i="5"/>
  <c r="AA633" i="5" s="1"/>
  <c r="T359" i="5"/>
  <c r="O359" i="5" s="1"/>
  <c r="AC359" i="5"/>
  <c r="X359" i="5" s="1"/>
  <c r="V725" i="5"/>
  <c r="Q725" i="5" s="1"/>
  <c r="AE725" i="5"/>
  <c r="Z725" i="5" s="1"/>
  <c r="V52" i="5"/>
  <c r="AE52" i="5"/>
  <c r="Z52" i="5" s="1"/>
  <c r="V723" i="5"/>
  <c r="AE723" i="5"/>
  <c r="Z723" i="5" s="1"/>
  <c r="V598" i="5"/>
  <c r="Q598" i="5" s="1"/>
  <c r="AE598" i="5"/>
  <c r="Z598" i="5" s="1"/>
  <c r="T594" i="5"/>
  <c r="O594" i="5" s="1"/>
  <c r="AC594" i="5"/>
  <c r="X594" i="5" s="1"/>
  <c r="T335" i="5"/>
  <c r="O335" i="5" s="1"/>
  <c r="AC335" i="5"/>
  <c r="X335" i="5" s="1"/>
  <c r="U235" i="5"/>
  <c r="P235" i="5" s="1"/>
  <c r="AD235" i="5"/>
  <c r="Y235" i="5" s="1"/>
  <c r="W138" i="5"/>
  <c r="R138" i="5" s="1"/>
  <c r="AF138" i="5"/>
  <c r="AA138" i="5" s="1"/>
  <c r="U614" i="5"/>
  <c r="P614" i="5" s="1"/>
  <c r="AD614" i="5"/>
  <c r="Y614" i="5" s="1"/>
  <c r="U254" i="5"/>
  <c r="P254" i="5" s="1"/>
  <c r="AD254" i="5"/>
  <c r="Y254" i="5" s="1"/>
  <c r="V502" i="5"/>
  <c r="Q502" i="5" s="1"/>
  <c r="AE502" i="5"/>
  <c r="Z502" i="5" s="1"/>
  <c r="W400" i="5"/>
  <c r="R400" i="5" s="1"/>
  <c r="AF400" i="5"/>
  <c r="AA400" i="5" s="1"/>
  <c r="W39" i="5"/>
  <c r="R39" i="5" s="1"/>
  <c r="AF39" i="5"/>
  <c r="AA39" i="5" s="1"/>
  <c r="T528" i="5"/>
  <c r="AC528" i="5"/>
  <c r="X528" i="5" s="1"/>
  <c r="U324" i="5"/>
  <c r="AD324" i="5"/>
  <c r="Y324" i="5" s="1"/>
  <c r="U703" i="5"/>
  <c r="P703" i="5" s="1"/>
  <c r="AD703" i="5"/>
  <c r="Y703" i="5" s="1"/>
  <c r="T258" i="5"/>
  <c r="O258" i="5" s="1"/>
  <c r="AC258" i="5"/>
  <c r="X258" i="5" s="1"/>
  <c r="U128" i="5"/>
  <c r="P128" i="5" s="1"/>
  <c r="AD128" i="5"/>
  <c r="Y128" i="5" s="1"/>
  <c r="V443" i="5"/>
  <c r="Q443" i="5" s="1"/>
  <c r="AE443" i="5"/>
  <c r="Z443" i="5" s="1"/>
  <c r="T346" i="5"/>
  <c r="O346" i="5" s="1"/>
  <c r="AC346" i="5"/>
  <c r="X346" i="5" s="1"/>
  <c r="AE537" i="5"/>
  <c r="Z537" i="5" s="1"/>
  <c r="W499" i="5"/>
  <c r="R499" i="5" s="1"/>
  <c r="AF499" i="5"/>
  <c r="AA499" i="5" s="1"/>
  <c r="V339" i="5"/>
  <c r="Q339" i="5" s="1"/>
  <c r="AE339" i="5"/>
  <c r="Z339" i="5" s="1"/>
  <c r="U660" i="5"/>
  <c r="P660" i="5" s="1"/>
  <c r="AD660" i="5"/>
  <c r="Y660" i="5" s="1"/>
  <c r="U331" i="5"/>
  <c r="P331" i="5" s="1"/>
  <c r="AD331" i="5"/>
  <c r="Y331" i="5" s="1"/>
  <c r="U496" i="5"/>
  <c r="P496" i="5" s="1"/>
  <c r="AD496" i="5"/>
  <c r="W438" i="5"/>
  <c r="AF438" i="5"/>
  <c r="AA438" i="5" s="1"/>
  <c r="V249" i="5"/>
  <c r="Q249" i="5" s="1"/>
  <c r="AE249" i="5"/>
  <c r="Z249" i="5" s="1"/>
  <c r="V746" i="5"/>
  <c r="Q746" i="5" s="1"/>
  <c r="AE746" i="5"/>
  <c r="Z746" i="5" s="1"/>
  <c r="T287" i="5"/>
  <c r="O287" i="5" s="1"/>
  <c r="AC287" i="5"/>
  <c r="X287" i="5" s="1"/>
  <c r="V750" i="5"/>
  <c r="Q750" i="5" s="1"/>
  <c r="AE750" i="5"/>
  <c r="Z750" i="5" s="1"/>
  <c r="T426" i="5"/>
  <c r="O426" i="5" s="1"/>
  <c r="AC426" i="5"/>
  <c r="X426" i="5" s="1"/>
  <c r="U425" i="5"/>
  <c r="AD425" i="5"/>
  <c r="Y425" i="5" s="1"/>
  <c r="V728" i="5"/>
  <c r="Q728" i="5" s="1"/>
  <c r="AE728" i="5"/>
  <c r="Z728" i="5" s="1"/>
  <c r="V336" i="5"/>
  <c r="Q336" i="5" s="1"/>
  <c r="AE336" i="5"/>
  <c r="Z336" i="5" s="1"/>
  <c r="W706" i="5"/>
  <c r="R706" i="5" s="1"/>
  <c r="AF706" i="5"/>
  <c r="AA706" i="5" s="1"/>
  <c r="U418" i="5"/>
  <c r="P418" i="5" s="1"/>
  <c r="AD418" i="5"/>
  <c r="Y418" i="5" s="1"/>
  <c r="T696" i="5"/>
  <c r="O696" i="5" s="1"/>
  <c r="AC696" i="5"/>
  <c r="V513" i="5"/>
  <c r="Q513" i="5" s="1"/>
  <c r="AE513" i="5"/>
  <c r="Z513" i="5" s="1"/>
  <c r="W443" i="5"/>
  <c r="R443" i="5" s="1"/>
  <c r="AF443" i="5"/>
  <c r="AA443" i="5" s="1"/>
  <c r="V693" i="5"/>
  <c r="Q693" i="5" s="1"/>
  <c r="AE693" i="5"/>
  <c r="Z693" i="5" s="1"/>
  <c r="W659" i="5"/>
  <c r="R659" i="5" s="1"/>
  <c r="AF659" i="5"/>
  <c r="AA659" i="5" s="1"/>
  <c r="W305" i="5"/>
  <c r="R305" i="5" s="1"/>
  <c r="AF305" i="5"/>
  <c r="AA305" i="5" s="1"/>
  <c r="W274" i="5"/>
  <c r="R274" i="5" s="1"/>
  <c r="AF274" i="5"/>
  <c r="AA274" i="5" s="1"/>
  <c r="W367" i="5"/>
  <c r="R367" i="5" s="1"/>
  <c r="AF367" i="5"/>
  <c r="AA367" i="5" s="1"/>
  <c r="U691" i="5"/>
  <c r="P691" i="5" s="1"/>
  <c r="AD691" i="5"/>
  <c r="Y691" i="5" s="1"/>
  <c r="V483" i="5"/>
  <c r="Q483" i="5" s="1"/>
  <c r="AE483" i="5"/>
  <c r="Z483" i="5" s="1"/>
  <c r="W375" i="5"/>
  <c r="R375" i="5" s="1"/>
  <c r="AF375" i="5"/>
  <c r="AA375" i="5" s="1"/>
  <c r="T576" i="5"/>
  <c r="O576" i="5" s="1"/>
  <c r="AC576" i="5"/>
  <c r="X576" i="5" s="1"/>
  <c r="U306" i="5"/>
  <c r="P306" i="5" s="1"/>
  <c r="AD306" i="5"/>
  <c r="V408" i="5"/>
  <c r="Q408" i="5" s="1"/>
  <c r="AE408" i="5"/>
  <c r="W377" i="5"/>
  <c r="R377" i="5" s="1"/>
  <c r="AF377" i="5"/>
  <c r="AA377" i="5" s="1"/>
  <c r="T602" i="5"/>
  <c r="O602" i="5" s="1"/>
  <c r="AC602" i="5"/>
  <c r="X602" i="5" s="1"/>
  <c r="V533" i="5"/>
  <c r="Q533" i="5" s="1"/>
  <c r="AE533" i="5"/>
  <c r="Z533" i="5" s="1"/>
  <c r="T373" i="5"/>
  <c r="O373" i="5" s="1"/>
  <c r="AC373" i="5"/>
  <c r="X373" i="5" s="1"/>
  <c r="W232" i="5"/>
  <c r="R232" i="5" s="1"/>
  <c r="AF232" i="5"/>
  <c r="AA232" i="5" s="1"/>
  <c r="W634" i="5"/>
  <c r="R634" i="5" s="1"/>
  <c r="AF634" i="5"/>
  <c r="AA634" i="5" s="1"/>
  <c r="W462" i="5"/>
  <c r="R462" i="5" s="1"/>
  <c r="AF462" i="5"/>
  <c r="AA462" i="5" s="1"/>
  <c r="V331" i="5"/>
  <c r="Q331" i="5" s="1"/>
  <c r="AE331" i="5"/>
  <c r="Z331" i="5" s="1"/>
  <c r="U328" i="5"/>
  <c r="P328" i="5" s="1"/>
  <c r="AD328" i="5"/>
  <c r="Y328" i="5" s="1"/>
  <c r="T763" i="5"/>
  <c r="O763" i="5" s="1"/>
  <c r="AC763" i="5"/>
  <c r="X763" i="5" s="1"/>
  <c r="T493" i="5"/>
  <c r="O493" i="5" s="1"/>
  <c r="AC493" i="5"/>
  <c r="U463" i="5"/>
  <c r="P463" i="5" s="1"/>
  <c r="AD463" i="5"/>
  <c r="Y463" i="5" s="1"/>
  <c r="W641" i="5"/>
  <c r="R641" i="5" s="1"/>
  <c r="AF641" i="5"/>
  <c r="AA641" i="5" s="1"/>
  <c r="U543" i="5"/>
  <c r="P543" i="5" s="1"/>
  <c r="AD543" i="5"/>
  <c r="Y543" i="5" s="1"/>
  <c r="W185" i="5"/>
  <c r="R185" i="5" s="1"/>
  <c r="AF185" i="5"/>
  <c r="AA185" i="5" s="1"/>
  <c r="T285" i="5"/>
  <c r="O285" i="5" s="1"/>
  <c r="AC285" i="5"/>
  <c r="X285" i="5" s="1"/>
  <c r="U761" i="5"/>
  <c r="P761" i="5" s="1"/>
  <c r="AD761" i="5"/>
  <c r="Y761" i="5" s="1"/>
  <c r="U408" i="5"/>
  <c r="P408" i="5" s="1"/>
  <c r="AD408" i="5"/>
  <c r="Y408" i="5" s="1"/>
  <c r="V555" i="5"/>
  <c r="Q555" i="5" s="1"/>
  <c r="AE555" i="5"/>
  <c r="Z555" i="5" s="1"/>
  <c r="V225" i="5"/>
  <c r="Q225" i="5" s="1"/>
  <c r="AE225" i="5"/>
  <c r="Z225" i="5" s="1"/>
  <c r="V118" i="5"/>
  <c r="Q118" i="5" s="1"/>
  <c r="AE118" i="5"/>
  <c r="Z118" i="5" s="1"/>
  <c r="T647" i="5"/>
  <c r="O647" i="5" s="1"/>
  <c r="AC647" i="5"/>
  <c r="X647" i="5" s="1"/>
  <c r="T191" i="5"/>
  <c r="O191" i="5" s="1"/>
  <c r="AC191" i="5"/>
  <c r="V337" i="5"/>
  <c r="Q337" i="5" s="1"/>
  <c r="AE337" i="5"/>
  <c r="Z337" i="5" s="1"/>
  <c r="T333" i="5"/>
  <c r="O333" i="5" s="1"/>
  <c r="AC333" i="5"/>
  <c r="X333" i="5" s="1"/>
  <c r="T670" i="5"/>
  <c r="O670" i="5" s="1"/>
  <c r="AC670" i="5"/>
  <c r="T455" i="5"/>
  <c r="O455" i="5" s="1"/>
  <c r="AC455" i="5"/>
  <c r="X455" i="5" s="1"/>
  <c r="V632" i="5"/>
  <c r="Q632" i="5" s="1"/>
  <c r="AE632" i="5"/>
  <c r="Z632" i="5" s="1"/>
  <c r="V479" i="5"/>
  <c r="Q479" i="5" s="1"/>
  <c r="AE479" i="5"/>
  <c r="Z479" i="5" s="1"/>
  <c r="W413" i="5"/>
  <c r="R413" i="5" s="1"/>
  <c r="AF413" i="5"/>
  <c r="AA413" i="5" s="1"/>
  <c r="W562" i="5"/>
  <c r="R562" i="5" s="1"/>
  <c r="AF562" i="5"/>
  <c r="AA562" i="5" s="1"/>
  <c r="U571" i="5"/>
  <c r="P571" i="5" s="1"/>
  <c r="AD571" i="5"/>
  <c r="Y571" i="5" s="1"/>
  <c r="T570" i="5"/>
  <c r="O570" i="5" s="1"/>
  <c r="AC570" i="5"/>
  <c r="X570" i="5" s="1"/>
  <c r="T240" i="5"/>
  <c r="O240" i="5" s="1"/>
  <c r="AC240" i="5"/>
  <c r="X240" i="5" s="1"/>
  <c r="T661" i="5"/>
  <c r="O661" i="5" s="1"/>
  <c r="AC661" i="5"/>
  <c r="T501" i="5"/>
  <c r="O501" i="5" s="1"/>
  <c r="AC501" i="5"/>
  <c r="X501" i="5" s="1"/>
  <c r="W53" i="5"/>
  <c r="R53" i="5" s="1"/>
  <c r="AF53" i="5"/>
  <c r="AA53" i="5" s="1"/>
  <c r="T113" i="5"/>
  <c r="O113" i="5" s="1"/>
  <c r="AC113" i="5"/>
  <c r="X113" i="5" s="1"/>
  <c r="T430" i="5"/>
  <c r="O430" i="5" s="1"/>
  <c r="AC430" i="5"/>
  <c r="X430" i="5" s="1"/>
  <c r="U493" i="5"/>
  <c r="P493" i="5" s="1"/>
  <c r="AD493" i="5"/>
  <c r="Y493" i="5" s="1"/>
  <c r="W472" i="5"/>
  <c r="R472" i="5" s="1"/>
  <c r="AF472" i="5"/>
  <c r="AA472" i="5" s="1"/>
  <c r="W653" i="5"/>
  <c r="R653" i="5" s="1"/>
  <c r="AF653" i="5"/>
  <c r="AA653" i="5" s="1"/>
  <c r="V748" i="5"/>
  <c r="Q748" i="5" s="1"/>
  <c r="AE748" i="5"/>
  <c r="Z748" i="5" s="1"/>
  <c r="U427" i="5"/>
  <c r="P427" i="5" s="1"/>
  <c r="AD427" i="5"/>
  <c r="Y427" i="5" s="1"/>
  <c r="V271" i="5"/>
  <c r="Q271" i="5" s="1"/>
  <c r="AE271" i="5"/>
  <c r="Z271" i="5" s="1"/>
  <c r="T714" i="5"/>
  <c r="O714" i="5" s="1"/>
  <c r="AC714" i="5"/>
  <c r="X714" i="5" s="1"/>
  <c r="T645" i="5"/>
  <c r="O645" i="5" s="1"/>
  <c r="AC645" i="5"/>
  <c r="T504" i="5"/>
  <c r="O504" i="5" s="1"/>
  <c r="AC504" i="5"/>
  <c r="X504" i="5" s="1"/>
  <c r="W256" i="5"/>
  <c r="R256" i="5" s="1"/>
  <c r="AF256" i="5"/>
  <c r="AA256" i="5" s="1"/>
  <c r="T626" i="5"/>
  <c r="O626" i="5" s="1"/>
  <c r="AC626" i="5"/>
  <c r="X626" i="5" s="1"/>
  <c r="U416" i="5"/>
  <c r="P416" i="5" s="1"/>
  <c r="AD416" i="5"/>
  <c r="Y416" i="5" s="1"/>
  <c r="T413" i="5"/>
  <c r="O413" i="5" s="1"/>
  <c r="AC413" i="5"/>
  <c r="X413" i="5" s="1"/>
  <c r="V93" i="5"/>
  <c r="Q93" i="5" s="1"/>
  <c r="AE93" i="5"/>
  <c r="Z93" i="5" s="1"/>
  <c r="T761" i="5"/>
  <c r="O761" i="5" s="1"/>
  <c r="AC761" i="5"/>
  <c r="X761" i="5" s="1"/>
  <c r="V440" i="5"/>
  <c r="Q440" i="5" s="1"/>
  <c r="AE440" i="5"/>
  <c r="Z440" i="5" s="1"/>
  <c r="U341" i="5"/>
  <c r="P341" i="5" s="1"/>
  <c r="AD341" i="5"/>
  <c r="Y341" i="5" s="1"/>
  <c r="V177" i="5"/>
  <c r="Q177" i="5" s="1"/>
  <c r="AE177" i="5"/>
  <c r="Z177" i="5" s="1"/>
  <c r="T468" i="5"/>
  <c r="O468" i="5" s="1"/>
  <c r="AC468" i="5"/>
  <c r="X468" i="5" s="1"/>
  <c r="V751" i="5"/>
  <c r="Q751" i="5" s="1"/>
  <c r="AE751" i="5"/>
  <c r="U475" i="5"/>
  <c r="P475" i="5" s="1"/>
  <c r="AD475" i="5"/>
  <c r="Y475" i="5" s="1"/>
  <c r="V415" i="5"/>
  <c r="Q415" i="5" s="1"/>
  <c r="AE415" i="5"/>
  <c r="W270" i="5"/>
  <c r="R270" i="5" s="1"/>
  <c r="AF270" i="5"/>
  <c r="AA270" i="5" s="1"/>
  <c r="V270" i="5"/>
  <c r="Q270" i="5" s="1"/>
  <c r="AE270" i="5"/>
  <c r="Z270" i="5" s="1"/>
  <c r="W493" i="5"/>
  <c r="R493" i="5" s="1"/>
  <c r="AF493" i="5"/>
  <c r="AA493" i="5" s="1"/>
  <c r="U344" i="5"/>
  <c r="P344" i="5" s="1"/>
  <c r="AD344" i="5"/>
  <c r="Y344" i="5" s="1"/>
  <c r="T554" i="5"/>
  <c r="O554" i="5" s="1"/>
  <c r="AC554" i="5"/>
  <c r="X554" i="5" s="1"/>
  <c r="U234" i="5"/>
  <c r="P234" i="5" s="1"/>
  <c r="AD234" i="5"/>
  <c r="Y234" i="5" s="1"/>
  <c r="W688" i="5"/>
  <c r="R688" i="5" s="1"/>
  <c r="AF688" i="5"/>
  <c r="AA688" i="5" s="1"/>
  <c r="T239" i="5"/>
  <c r="O239" i="5" s="1"/>
  <c r="AC239" i="5"/>
  <c r="X239" i="5" s="1"/>
  <c r="T527" i="5"/>
  <c r="O527" i="5" s="1"/>
  <c r="AC527" i="5"/>
  <c r="X527" i="5" s="1"/>
  <c r="W615" i="5"/>
  <c r="R615" i="5" s="1"/>
  <c r="AF615" i="5"/>
  <c r="V511" i="5"/>
  <c r="Q511" i="5" s="1"/>
  <c r="AE511" i="5"/>
  <c r="Z511" i="5" s="1"/>
  <c r="U612" i="5"/>
  <c r="P612" i="5" s="1"/>
  <c r="AD612" i="5"/>
  <c r="Y612" i="5" s="1"/>
  <c r="T432" i="5"/>
  <c r="O432" i="5" s="1"/>
  <c r="AC432" i="5"/>
  <c r="X432" i="5" s="1"/>
  <c r="T689" i="5"/>
  <c r="O689" i="5" s="1"/>
  <c r="AC689" i="5"/>
  <c r="X689" i="5" s="1"/>
  <c r="U253" i="5"/>
  <c r="P253" i="5" s="1"/>
  <c r="AD253" i="5"/>
  <c r="Y253" i="5" s="1"/>
  <c r="T47" i="5"/>
  <c r="O47" i="5" s="1"/>
  <c r="AC47" i="5"/>
  <c r="X47" i="5" s="1"/>
  <c r="W571" i="5"/>
  <c r="R571" i="5" s="1"/>
  <c r="AF571" i="5"/>
  <c r="AA571" i="5" s="1"/>
  <c r="W58" i="5"/>
  <c r="R58" i="5" s="1"/>
  <c r="AF58" i="5"/>
  <c r="AA58" i="5" s="1"/>
  <c r="U440" i="5"/>
  <c r="P440" i="5" s="1"/>
  <c r="AD440" i="5"/>
  <c r="Y440" i="5" s="1"/>
  <c r="AF497" i="5"/>
  <c r="AA497" i="5" s="1"/>
  <c r="W709" i="5"/>
  <c r="R709" i="5" s="1"/>
  <c r="AF709" i="5"/>
  <c r="AA709" i="5" s="1"/>
  <c r="T360" i="5"/>
  <c r="O360" i="5" s="1"/>
  <c r="AC360" i="5"/>
  <c r="X360" i="5" s="1"/>
  <c r="U346" i="5"/>
  <c r="AD346" i="5"/>
  <c r="Y346" i="5" s="1"/>
  <c r="V670" i="5"/>
  <c r="Q670" i="5" s="1"/>
  <c r="AE670" i="5"/>
  <c r="Z670" i="5" s="1"/>
  <c r="U488" i="5"/>
  <c r="P488" i="5" s="1"/>
  <c r="AD488" i="5"/>
  <c r="Y488" i="5" s="1"/>
  <c r="W558" i="5"/>
  <c r="R558" i="5" s="1"/>
  <c r="AF558" i="5"/>
  <c r="AA558" i="5" s="1"/>
  <c r="V398" i="5"/>
  <c r="Q398" i="5" s="1"/>
  <c r="AE398" i="5"/>
  <c r="Z398" i="5" s="1"/>
  <c r="U621" i="5"/>
  <c r="P621" i="5" s="1"/>
  <c r="AD621" i="5"/>
  <c r="Y621" i="5" s="1"/>
  <c r="U521" i="5"/>
  <c r="P521" i="5" s="1"/>
  <c r="AD521" i="5"/>
  <c r="Y521" i="5" s="1"/>
  <c r="V79" i="5"/>
  <c r="Q79" i="5" s="1"/>
  <c r="AE79" i="5"/>
  <c r="Z79" i="5" s="1"/>
  <c r="U613" i="5"/>
  <c r="P613" i="5" s="1"/>
  <c r="AD613" i="5"/>
  <c r="Y613" i="5" s="1"/>
  <c r="V33" i="5"/>
  <c r="Q33" i="5" s="1"/>
  <c r="AE33" i="5"/>
  <c r="Z33" i="5" s="1"/>
  <c r="W291" i="5"/>
  <c r="R291" i="5" s="1"/>
  <c r="AF291" i="5"/>
  <c r="AA291" i="5" s="1"/>
  <c r="V224" i="5"/>
  <c r="Q224" i="5" s="1"/>
  <c r="AE224" i="5"/>
  <c r="Z224" i="5" s="1"/>
  <c r="V32" i="5"/>
  <c r="AE32" i="5"/>
  <c r="Z32" i="5" s="1"/>
  <c r="V411" i="5"/>
  <c r="Q411" i="5" s="1"/>
  <c r="AE411" i="5"/>
  <c r="Z411" i="5" s="1"/>
  <c r="T474" i="5"/>
  <c r="O474" i="5" s="1"/>
  <c r="AC474" i="5"/>
  <c r="X474" i="5" s="1"/>
  <c r="T765" i="5"/>
  <c r="O765" i="5" s="1"/>
  <c r="AC765" i="5"/>
  <c r="X765" i="5" s="1"/>
  <c r="U523" i="5"/>
  <c r="P523" i="5" s="1"/>
  <c r="AD523" i="5"/>
  <c r="Y523" i="5" s="1"/>
  <c r="W204" i="5"/>
  <c r="R204" i="5" s="1"/>
  <c r="AF204" i="5"/>
  <c r="AA204" i="5" s="1"/>
  <c r="V310" i="5"/>
  <c r="Q310" i="5" s="1"/>
  <c r="AE310" i="5"/>
  <c r="Z310" i="5" s="1"/>
  <c r="V681" i="5"/>
  <c r="Q681" i="5" s="1"/>
  <c r="AE681" i="5"/>
  <c r="Z681" i="5" s="1"/>
  <c r="W521" i="5"/>
  <c r="R521" i="5" s="1"/>
  <c r="AF521" i="5"/>
  <c r="AA521" i="5" s="1"/>
  <c r="W230" i="5"/>
  <c r="R230" i="5" s="1"/>
  <c r="AF230" i="5"/>
  <c r="AA230" i="5" s="1"/>
  <c r="V478" i="5"/>
  <c r="Q478" i="5" s="1"/>
  <c r="AE478" i="5"/>
  <c r="Z478" i="5" s="1"/>
  <c r="U453" i="5"/>
  <c r="P453" i="5" s="1"/>
  <c r="AD453" i="5"/>
  <c r="Y453" i="5" s="1"/>
  <c r="T325" i="5"/>
  <c r="AC325" i="5"/>
  <c r="X325" i="5" s="1"/>
  <c r="W99" i="5"/>
  <c r="R99" i="5" s="1"/>
  <c r="AF99" i="5"/>
  <c r="AA99" i="5" s="1"/>
  <c r="V611" i="5"/>
  <c r="Q611" i="5" s="1"/>
  <c r="AE611" i="5"/>
  <c r="V674" i="5"/>
  <c r="Q674" i="5" s="1"/>
  <c r="AE674" i="5"/>
  <c r="Z674" i="5" s="1"/>
  <c r="V321" i="5"/>
  <c r="Q321" i="5" s="1"/>
  <c r="AE321" i="5"/>
  <c r="Z321" i="5" s="1"/>
  <c r="W689" i="5"/>
  <c r="R689" i="5" s="1"/>
  <c r="AF689" i="5"/>
  <c r="AA689" i="5" s="1"/>
  <c r="V539" i="5"/>
  <c r="Q539" i="5" s="1"/>
  <c r="AE539" i="5"/>
  <c r="V369" i="5"/>
  <c r="Q369" i="5" s="1"/>
  <c r="AE369" i="5"/>
  <c r="Z369" i="5" s="1"/>
  <c r="U469" i="5"/>
  <c r="P469" i="5" s="1"/>
  <c r="AD469" i="5"/>
  <c r="Y469" i="5" s="1"/>
  <c r="U756" i="5"/>
  <c r="P756" i="5" s="1"/>
  <c r="AD756" i="5"/>
  <c r="Y756" i="5" s="1"/>
  <c r="T422" i="5"/>
  <c r="O422" i="5" s="1"/>
  <c r="AC422" i="5"/>
  <c r="X422" i="5" s="1"/>
  <c r="W425" i="5"/>
  <c r="R425" i="5" s="1"/>
  <c r="AF425" i="5"/>
  <c r="AA425" i="5" s="1"/>
  <c r="V587" i="5"/>
  <c r="AE587" i="5"/>
  <c r="Z587" i="5" s="1"/>
  <c r="U414" i="5"/>
  <c r="P414" i="5" s="1"/>
  <c r="AD414" i="5"/>
  <c r="Y414" i="5" s="1"/>
  <c r="V296" i="5"/>
  <c r="Q296" i="5" s="1"/>
  <c r="AE296" i="5"/>
  <c r="Z296" i="5" s="1"/>
  <c r="V646" i="5"/>
  <c r="Q646" i="5" s="1"/>
  <c r="AE646" i="5"/>
  <c r="Z646" i="5" s="1"/>
  <c r="U739" i="5"/>
  <c r="P739" i="5" s="1"/>
  <c r="AD739" i="5"/>
  <c r="Y739" i="5" s="1"/>
  <c r="T354" i="5"/>
  <c r="O354" i="5" s="1"/>
  <c r="AC354" i="5"/>
  <c r="X354" i="5" s="1"/>
  <c r="T384" i="5"/>
  <c r="O384" i="5" s="1"/>
  <c r="AC384" i="5"/>
  <c r="X384" i="5" s="1"/>
  <c r="V178" i="5"/>
  <c r="Q178" i="5" s="1"/>
  <c r="AE178" i="5"/>
  <c r="Z178" i="5" s="1"/>
  <c r="U665" i="5"/>
  <c r="P665" i="5" s="1"/>
  <c r="AD665" i="5"/>
  <c r="Y665" i="5" s="1"/>
  <c r="W539" i="5"/>
  <c r="R539" i="5" s="1"/>
  <c r="AF539" i="5"/>
  <c r="AA539" i="5" s="1"/>
  <c r="U379" i="5"/>
  <c r="P379" i="5" s="1"/>
  <c r="AD379" i="5"/>
  <c r="Y379" i="5" s="1"/>
  <c r="U186" i="5"/>
  <c r="P186" i="5" s="1"/>
  <c r="AD186" i="5"/>
  <c r="Y186" i="5" s="1"/>
  <c r="U307" i="5"/>
  <c r="AD307" i="5"/>
  <c r="Y307" i="5" s="1"/>
  <c r="W473" i="5"/>
  <c r="R473" i="5" s="1"/>
  <c r="AF473" i="5"/>
  <c r="AA473" i="5" s="1"/>
  <c r="U608" i="5"/>
  <c r="P608" i="5" s="1"/>
  <c r="AD608" i="5"/>
  <c r="Y608" i="5" s="1"/>
  <c r="V345" i="5"/>
  <c r="Q345" i="5" s="1"/>
  <c r="AE345" i="5"/>
  <c r="Z345" i="5" s="1"/>
  <c r="T766" i="5"/>
  <c r="O766" i="5" s="1"/>
  <c r="AC766" i="5"/>
  <c r="X766" i="5" s="1"/>
  <c r="T48" i="5"/>
  <c r="O48" i="5" s="1"/>
  <c r="AC48" i="5"/>
  <c r="X48" i="5" s="1"/>
  <c r="U489" i="5"/>
  <c r="P489" i="5" s="1"/>
  <c r="AD489" i="5"/>
  <c r="Y489" i="5" s="1"/>
  <c r="W390" i="5"/>
  <c r="R390" i="5" s="1"/>
  <c r="AF390" i="5"/>
  <c r="AA390" i="5" s="1"/>
  <c r="T600" i="5"/>
  <c r="O600" i="5" s="1"/>
  <c r="AC600" i="5"/>
  <c r="X600" i="5" s="1"/>
  <c r="W296" i="5"/>
  <c r="R296" i="5" s="1"/>
  <c r="AF296" i="5"/>
  <c r="AA296" i="5" s="1"/>
  <c r="T423" i="5"/>
  <c r="O423" i="5" s="1"/>
  <c r="AC423" i="5"/>
  <c r="X423" i="5" s="1"/>
  <c r="T498" i="5"/>
  <c r="O498" i="5" s="1"/>
  <c r="AC498" i="5"/>
  <c r="X498" i="5" s="1"/>
  <c r="T419" i="5"/>
  <c r="AC419" i="5"/>
  <c r="U642" i="5"/>
  <c r="P642" i="5" s="1"/>
  <c r="AD642" i="5"/>
  <c r="Y642" i="5" s="1"/>
  <c r="W449" i="5"/>
  <c r="R449" i="5" s="1"/>
  <c r="AF449" i="5"/>
  <c r="AA449" i="5" s="1"/>
  <c r="W280" i="5"/>
  <c r="R280" i="5" s="1"/>
  <c r="AF280" i="5"/>
  <c r="AA280" i="5" s="1"/>
  <c r="V699" i="5"/>
  <c r="Q699" i="5" s="1"/>
  <c r="AE699" i="5"/>
  <c r="Z699" i="5" s="1"/>
  <c r="V406" i="5"/>
  <c r="Q406" i="5" s="1"/>
  <c r="AE406" i="5"/>
  <c r="Z406" i="5" s="1"/>
  <c r="V243" i="5"/>
  <c r="Q243" i="5" s="1"/>
  <c r="AE243" i="5"/>
  <c r="Z243" i="5" s="1"/>
  <c r="W564" i="5"/>
  <c r="R564" i="5" s="1"/>
  <c r="AF564" i="5"/>
  <c r="AA564" i="5" s="1"/>
  <c r="U499" i="5"/>
  <c r="P499" i="5" s="1"/>
  <c r="AD499" i="5"/>
  <c r="Y499" i="5" s="1"/>
  <c r="W515" i="5"/>
  <c r="R515" i="5" s="1"/>
  <c r="AF515" i="5"/>
  <c r="AA515" i="5" s="1"/>
  <c r="T526" i="5"/>
  <c r="O526" i="5" s="1"/>
  <c r="AC526" i="5"/>
  <c r="X526" i="5" s="1"/>
  <c r="T108" i="5"/>
  <c r="O108" i="5" s="1"/>
  <c r="AC108" i="5"/>
  <c r="X108" i="5" s="1"/>
  <c r="T744" i="5"/>
  <c r="AC744" i="5"/>
  <c r="X744" i="5" s="1"/>
  <c r="T743" i="5"/>
  <c r="O743" i="5" s="1"/>
  <c r="AC743" i="5"/>
  <c r="X743" i="5" s="1"/>
  <c r="V465" i="5"/>
  <c r="Q465" i="5" s="1"/>
  <c r="AE465" i="5"/>
  <c r="T613" i="5"/>
  <c r="O613" i="5" s="1"/>
  <c r="AC613" i="5"/>
  <c r="X613" i="5" s="1"/>
  <c r="V453" i="5"/>
  <c r="Q453" i="5" s="1"/>
  <c r="AE453" i="5"/>
  <c r="Z453" i="5" s="1"/>
  <c r="V320" i="5"/>
  <c r="Q320" i="5" s="1"/>
  <c r="AE320" i="5"/>
  <c r="Z320" i="5" s="1"/>
  <c r="U760" i="5"/>
  <c r="P760" i="5" s="1"/>
  <c r="AD760" i="5"/>
  <c r="V512" i="5"/>
  <c r="Q512" i="5" s="1"/>
  <c r="AE512" i="5"/>
  <c r="Z512" i="5" s="1"/>
  <c r="W446" i="5"/>
  <c r="R446" i="5" s="1"/>
  <c r="AF446" i="5"/>
  <c r="AA446" i="5" s="1"/>
  <c r="T407" i="5"/>
  <c r="O407" i="5" s="1"/>
  <c r="AC407" i="5"/>
  <c r="X407" i="5" s="1"/>
  <c r="T764" i="5"/>
  <c r="O764" i="5" s="1"/>
  <c r="AC764" i="5"/>
  <c r="X764" i="5" s="1"/>
  <c r="W278" i="5"/>
  <c r="R278" i="5" s="1"/>
  <c r="AF278" i="5"/>
  <c r="AA278" i="5" s="1"/>
  <c r="W592" i="5"/>
  <c r="AF592" i="5"/>
  <c r="AA592" i="5" s="1"/>
  <c r="T336" i="5"/>
  <c r="O336" i="5" s="1"/>
  <c r="AC336" i="5"/>
  <c r="X336" i="5" s="1"/>
  <c r="W78" i="5"/>
  <c r="R78" i="5" s="1"/>
  <c r="AF78" i="5"/>
  <c r="AA78" i="5" s="1"/>
  <c r="U522" i="5"/>
  <c r="P522" i="5" s="1"/>
  <c r="AD522" i="5"/>
  <c r="Y522" i="5" s="1"/>
  <c r="U108" i="5"/>
  <c r="P108" i="5" s="1"/>
  <c r="AD108" i="5"/>
  <c r="Y108" i="5" s="1"/>
  <c r="U589" i="5"/>
  <c r="P589" i="5" s="1"/>
  <c r="AD589" i="5"/>
  <c r="Y589" i="5" s="1"/>
  <c r="W364" i="5"/>
  <c r="R364" i="5" s="1"/>
  <c r="AF364" i="5"/>
  <c r="AA364" i="5" s="1"/>
  <c r="W184" i="5"/>
  <c r="R184" i="5" s="1"/>
  <c r="AF184" i="5"/>
  <c r="AA184" i="5" s="1"/>
  <c r="V489" i="5"/>
  <c r="Q489" i="5" s="1"/>
  <c r="AE489" i="5"/>
  <c r="Z489" i="5" s="1"/>
  <c r="W329" i="5"/>
  <c r="R329" i="5" s="1"/>
  <c r="AF329" i="5"/>
  <c r="AA329" i="5" s="1"/>
  <c r="V358" i="5"/>
  <c r="Q358" i="5" s="1"/>
  <c r="AE358" i="5"/>
  <c r="Z358" i="5" s="1"/>
  <c r="U320" i="5"/>
  <c r="P320" i="5" s="1"/>
  <c r="AD320" i="5"/>
  <c r="Y320" i="5" s="1"/>
  <c r="W419" i="5"/>
  <c r="AF419" i="5"/>
  <c r="AA419" i="5" s="1"/>
  <c r="U259" i="5"/>
  <c r="AD259" i="5"/>
  <c r="Y259" i="5" s="1"/>
  <c r="U512" i="5"/>
  <c r="P512" i="5" s="1"/>
  <c r="AD512" i="5"/>
  <c r="Y512" i="5" s="1"/>
  <c r="W352" i="5"/>
  <c r="R352" i="5" s="1"/>
  <c r="AF352" i="5"/>
  <c r="AA352" i="5" s="1"/>
  <c r="V604" i="5"/>
  <c r="Q604" i="5" s="1"/>
  <c r="AE604" i="5"/>
  <c r="Z604" i="5" s="1"/>
  <c r="U149" i="5"/>
  <c r="P149" i="5" s="1"/>
  <c r="AD149" i="5"/>
  <c r="Y149" i="5" s="1"/>
  <c r="V404" i="5"/>
  <c r="Q404" i="5" s="1"/>
  <c r="AE404" i="5"/>
  <c r="Z404" i="5" s="1"/>
  <c r="U595" i="5"/>
  <c r="P595" i="5" s="1"/>
  <c r="AD595" i="5"/>
  <c r="Y595" i="5" s="1"/>
  <c r="T119" i="5"/>
  <c r="O119" i="5" s="1"/>
  <c r="AC119" i="5"/>
  <c r="X119" i="5" s="1"/>
  <c r="U355" i="5"/>
  <c r="P355" i="5" s="1"/>
  <c r="AD355" i="5"/>
  <c r="Y355" i="5" s="1"/>
  <c r="U738" i="5"/>
  <c r="P738" i="5" s="1"/>
  <c r="AD738" i="5"/>
  <c r="Y738" i="5" s="1"/>
  <c r="W590" i="5"/>
  <c r="R590" i="5" s="1"/>
  <c r="AF590" i="5"/>
  <c r="AA590" i="5" s="1"/>
  <c r="V603" i="5"/>
  <c r="AE603" i="5"/>
  <c r="Z603" i="5" s="1"/>
  <c r="V430" i="5"/>
  <c r="Q430" i="5" s="1"/>
  <c r="AE430" i="5"/>
  <c r="Z430" i="5" s="1"/>
  <c r="U656" i="5"/>
  <c r="P656" i="5" s="1"/>
  <c r="AD656" i="5"/>
  <c r="Y656" i="5" s="1"/>
  <c r="W366" i="5"/>
  <c r="R366" i="5" s="1"/>
  <c r="AF366" i="5"/>
  <c r="AA366" i="5" s="1"/>
  <c r="V459" i="5"/>
  <c r="Q459" i="5" s="1"/>
  <c r="AE459" i="5"/>
  <c r="Z459" i="5" s="1"/>
  <c r="V139" i="5"/>
  <c r="Q139" i="5" s="1"/>
  <c r="AE139" i="5"/>
  <c r="Z139" i="5" s="1"/>
  <c r="U114" i="5"/>
  <c r="P114" i="5" s="1"/>
  <c r="AD114" i="5"/>
  <c r="U42" i="5"/>
  <c r="P42" i="5" s="1"/>
  <c r="AD42" i="5"/>
  <c r="Y42" i="5" s="1"/>
  <c r="T94" i="5"/>
  <c r="O94" i="5" s="1"/>
  <c r="AC94" i="5"/>
  <c r="X94" i="5" s="1"/>
  <c r="T264" i="5"/>
  <c r="O264" i="5" s="1"/>
  <c r="AC264" i="5"/>
  <c r="X264" i="5" s="1"/>
  <c r="V104" i="5"/>
  <c r="Q104" i="5" s="1"/>
  <c r="AE104" i="5"/>
  <c r="Z104" i="5" s="1"/>
  <c r="W439" i="5"/>
  <c r="R439" i="5" s="1"/>
  <c r="AF439" i="5"/>
  <c r="AA439" i="5" s="1"/>
  <c r="T133" i="5"/>
  <c r="AC133" i="5"/>
  <c r="X133" i="5" s="1"/>
  <c r="W708" i="5"/>
  <c r="R708" i="5" s="1"/>
  <c r="AF708" i="5"/>
  <c r="AA708" i="5" s="1"/>
  <c r="T192" i="5"/>
  <c r="O192" i="5" s="1"/>
  <c r="AC192" i="5"/>
  <c r="X192" i="5" s="1"/>
  <c r="V579" i="5"/>
  <c r="Q579" i="5" s="1"/>
  <c r="AE579" i="5"/>
  <c r="Z579" i="5" s="1"/>
  <c r="T259" i="5"/>
  <c r="O259" i="5" s="1"/>
  <c r="AC259" i="5"/>
  <c r="X259" i="5" s="1"/>
  <c r="V407" i="5"/>
  <c r="Q407" i="5" s="1"/>
  <c r="AE407" i="5"/>
  <c r="Z407" i="5" s="1"/>
  <c r="U349" i="5"/>
  <c r="P349" i="5" s="1"/>
  <c r="AD349" i="5"/>
  <c r="Y349" i="5" s="1"/>
  <c r="T665" i="5"/>
  <c r="O665" i="5" s="1"/>
  <c r="AC665" i="5"/>
  <c r="X665" i="5" s="1"/>
  <c r="V244" i="5"/>
  <c r="Q244" i="5" s="1"/>
  <c r="AE244" i="5"/>
  <c r="Z244" i="5" s="1"/>
  <c r="U680" i="5"/>
  <c r="P680" i="5" s="1"/>
  <c r="AD680" i="5"/>
  <c r="Y680" i="5" s="1"/>
  <c r="W209" i="5"/>
  <c r="R209" i="5" s="1"/>
  <c r="AF209" i="5"/>
  <c r="AA209" i="5" s="1"/>
  <c r="W203" i="5"/>
  <c r="R203" i="5" s="1"/>
  <c r="AF203" i="5"/>
  <c r="AA203" i="5" s="1"/>
  <c r="V749" i="5"/>
  <c r="AE749" i="5"/>
  <c r="Z749" i="5" s="1"/>
  <c r="T286" i="5"/>
  <c r="O286" i="5" s="1"/>
  <c r="AC286" i="5"/>
  <c r="X286" i="5" s="1"/>
  <c r="W358" i="5"/>
  <c r="R358" i="5" s="1"/>
  <c r="AF358" i="5"/>
  <c r="AA358" i="5" s="1"/>
  <c r="U421" i="5"/>
  <c r="P421" i="5" s="1"/>
  <c r="AD421" i="5"/>
  <c r="Y421" i="5" s="1"/>
  <c r="W606" i="5"/>
  <c r="R606" i="5" s="1"/>
  <c r="AF606" i="5"/>
  <c r="AA606" i="5" s="1"/>
  <c r="AD547" i="5"/>
  <c r="Y547" i="5" s="1"/>
  <c r="V630" i="5"/>
  <c r="Q630" i="5" s="1"/>
  <c r="AE630" i="5"/>
  <c r="Z630" i="5" s="1"/>
  <c r="T349" i="5"/>
  <c r="O349" i="5" s="1"/>
  <c r="AC349" i="5"/>
  <c r="X349" i="5" s="1"/>
  <c r="U280" i="5"/>
  <c r="P280" i="5" s="1"/>
  <c r="AD280" i="5"/>
  <c r="Y280" i="5" s="1"/>
  <c r="T154" i="5"/>
  <c r="O154" i="5" s="1"/>
  <c r="AC154" i="5"/>
  <c r="X154" i="5" s="1"/>
  <c r="V729" i="5"/>
  <c r="Q729" i="5" s="1"/>
  <c r="AE729" i="5"/>
  <c r="Z729" i="5" s="1"/>
  <c r="U597" i="5"/>
  <c r="P597" i="5" s="1"/>
  <c r="AD597" i="5"/>
  <c r="Y597" i="5" s="1"/>
  <c r="W563" i="5"/>
  <c r="R563" i="5" s="1"/>
  <c r="AF563" i="5"/>
  <c r="W403" i="5"/>
  <c r="R403" i="5" s="1"/>
  <c r="AF403" i="5"/>
  <c r="AA403" i="5" s="1"/>
  <c r="T445" i="5"/>
  <c r="O445" i="5" s="1"/>
  <c r="AC445" i="5"/>
  <c r="X445" i="5" s="1"/>
  <c r="V602" i="5"/>
  <c r="Q602" i="5" s="1"/>
  <c r="AE602" i="5"/>
  <c r="Z602" i="5" s="1"/>
  <c r="T517" i="5"/>
  <c r="O517" i="5" s="1"/>
  <c r="AC517" i="5"/>
  <c r="X517" i="5" s="1"/>
  <c r="T329" i="5"/>
  <c r="O329" i="5" s="1"/>
  <c r="AC329" i="5"/>
  <c r="X329" i="5" s="1"/>
  <c r="T494" i="5"/>
  <c r="O494" i="5" s="1"/>
  <c r="AC494" i="5"/>
  <c r="X494" i="5" s="1"/>
  <c r="U759" i="5"/>
  <c r="P759" i="5" s="1"/>
  <c r="AD759" i="5"/>
  <c r="Y759" i="5" s="1"/>
  <c r="U684" i="5"/>
  <c r="P684" i="5" s="1"/>
  <c r="AD684" i="5"/>
  <c r="Y684" i="5" s="1"/>
  <c r="V650" i="5"/>
  <c r="Q650" i="5" s="1"/>
  <c r="AE650" i="5"/>
  <c r="Z650" i="5" s="1"/>
  <c r="U330" i="5"/>
  <c r="P330" i="5" s="1"/>
  <c r="AD330" i="5"/>
  <c r="Y330" i="5" s="1"/>
  <c r="V486" i="5"/>
  <c r="Q486" i="5" s="1"/>
  <c r="AE486" i="5"/>
  <c r="Z486" i="5" s="1"/>
  <c r="AC552" i="5"/>
  <c r="X552" i="5" s="1"/>
  <c r="V561" i="5"/>
  <c r="AE561" i="5"/>
  <c r="Z561" i="5" s="1"/>
  <c r="U103" i="5"/>
  <c r="P103" i="5" s="1"/>
  <c r="AD103" i="5"/>
  <c r="Y103" i="5" s="1"/>
  <c r="T421" i="5"/>
  <c r="O421" i="5" s="1"/>
  <c r="AC421" i="5"/>
  <c r="X421" i="5" s="1"/>
  <c r="W630" i="5"/>
  <c r="R630" i="5" s="1"/>
  <c r="AF630" i="5"/>
  <c r="AA630" i="5" s="1"/>
  <c r="V417" i="5"/>
  <c r="Q417" i="5" s="1"/>
  <c r="AE417" i="5"/>
  <c r="Z417" i="5" s="1"/>
  <c r="T352" i="5"/>
  <c r="O352" i="5" s="1"/>
  <c r="AC352" i="5"/>
  <c r="X352" i="5" s="1"/>
  <c r="U89" i="5"/>
  <c r="P89" i="5" s="1"/>
  <c r="AD89" i="5"/>
  <c r="Y89" i="5" s="1"/>
  <c r="U758" i="5"/>
  <c r="P758" i="5" s="1"/>
  <c r="AD758" i="5"/>
  <c r="Y758" i="5" s="1"/>
  <c r="W371" i="5"/>
  <c r="R371" i="5" s="1"/>
  <c r="AF371" i="5"/>
  <c r="AA371" i="5" s="1"/>
  <c r="V272" i="5"/>
  <c r="Q272" i="5" s="1"/>
  <c r="AE272" i="5"/>
  <c r="Z272" i="5" s="1"/>
  <c r="T708" i="5"/>
  <c r="O708" i="5" s="1"/>
  <c r="AC708" i="5"/>
  <c r="X708" i="5" s="1"/>
  <c r="T548" i="5"/>
  <c r="O548" i="5" s="1"/>
  <c r="AC548" i="5"/>
  <c r="X548" i="5" s="1"/>
  <c r="W64" i="5"/>
  <c r="AF64" i="5"/>
  <c r="AA64" i="5" s="1"/>
  <c r="U417" i="5"/>
  <c r="P417" i="5" s="1"/>
  <c r="AD417" i="5"/>
  <c r="Y417" i="5" s="1"/>
  <c r="W257" i="5"/>
  <c r="R257" i="5" s="1"/>
  <c r="AF257" i="5"/>
  <c r="AA257" i="5" s="1"/>
  <c r="W471" i="5"/>
  <c r="R471" i="5" s="1"/>
  <c r="AF471" i="5"/>
  <c r="AA471" i="5" s="1"/>
  <c r="U640" i="5"/>
  <c r="P640" i="5" s="1"/>
  <c r="AD640" i="5"/>
  <c r="Y640" i="5" s="1"/>
  <c r="W318" i="5"/>
  <c r="R318" i="5" s="1"/>
  <c r="AF318" i="5"/>
  <c r="AA318" i="5" s="1"/>
  <c r="V655" i="5"/>
  <c r="Q655" i="5" s="1"/>
  <c r="AE655" i="5"/>
  <c r="Z655" i="5" s="1"/>
  <c r="U347" i="5"/>
  <c r="P347" i="5" s="1"/>
  <c r="AD347" i="5"/>
  <c r="Y347" i="5" s="1"/>
  <c r="T685" i="5"/>
  <c r="O685" i="5" s="1"/>
  <c r="AC685" i="5"/>
  <c r="X685" i="5" s="1"/>
  <c r="W368" i="5"/>
  <c r="R368" i="5" s="1"/>
  <c r="AF368" i="5"/>
  <c r="AA368" i="5" s="1"/>
  <c r="W299" i="5"/>
  <c r="R299" i="5" s="1"/>
  <c r="AF299" i="5"/>
  <c r="AA299" i="5" s="1"/>
  <c r="T618" i="5"/>
  <c r="O618" i="5" s="1"/>
  <c r="AC618" i="5"/>
  <c r="X618" i="5" s="1"/>
  <c r="W711" i="5"/>
  <c r="AF711" i="5"/>
  <c r="AA711" i="5" s="1"/>
  <c r="W231" i="5"/>
  <c r="R231" i="5" s="1"/>
  <c r="AF231" i="5"/>
  <c r="AA231" i="5" s="1"/>
  <c r="T619" i="5"/>
  <c r="O619" i="5" s="1"/>
  <c r="AC619" i="5"/>
  <c r="T617" i="5"/>
  <c r="O617" i="5" s="1"/>
  <c r="AC617" i="5"/>
  <c r="X617" i="5" s="1"/>
  <c r="W137" i="5"/>
  <c r="R137" i="5" s="1"/>
  <c r="AF137" i="5"/>
  <c r="AA137" i="5" s="1"/>
  <c r="V392" i="5"/>
  <c r="Q392" i="5" s="1"/>
  <c r="AE392" i="5"/>
  <c r="Z392" i="5" s="1"/>
  <c r="U709" i="5"/>
  <c r="P709" i="5" s="1"/>
  <c r="AD709" i="5"/>
  <c r="Y709" i="5" s="1"/>
  <c r="W547" i="5"/>
  <c r="R547" i="5" s="1"/>
  <c r="AF547" i="5"/>
  <c r="AA547" i="5" s="1"/>
  <c r="T311" i="5"/>
  <c r="O311" i="5" s="1"/>
  <c r="AC311" i="5"/>
  <c r="X311" i="5" s="1"/>
  <c r="V318" i="5"/>
  <c r="Q318" i="5" s="1"/>
  <c r="AE318" i="5"/>
  <c r="Z318" i="5" s="1"/>
  <c r="U187" i="5"/>
  <c r="P187" i="5" s="1"/>
  <c r="AD187" i="5"/>
  <c r="Y187" i="5" s="1"/>
  <c r="T351" i="5"/>
  <c r="O351" i="5" s="1"/>
  <c r="AC351" i="5"/>
  <c r="X351" i="5" s="1"/>
  <c r="U282" i="5"/>
  <c r="AD282" i="5"/>
  <c r="U368" i="5"/>
  <c r="AD368" i="5"/>
  <c r="Y368" i="5" s="1"/>
  <c r="W297" i="5"/>
  <c r="R297" i="5" s="1"/>
  <c r="AF297" i="5"/>
  <c r="AA297" i="5" s="1"/>
  <c r="W294" i="5"/>
  <c r="R294" i="5" s="1"/>
  <c r="AF294" i="5"/>
  <c r="AA294" i="5" s="1"/>
  <c r="U549" i="5"/>
  <c r="P549" i="5" s="1"/>
  <c r="AD549" i="5"/>
  <c r="Y549" i="5" s="1"/>
  <c r="W610" i="5"/>
  <c r="R610" i="5" s="1"/>
  <c r="AF610" i="5"/>
  <c r="AA610" i="5" s="1"/>
  <c r="U402" i="5"/>
  <c r="P402" i="5" s="1"/>
  <c r="AD402" i="5"/>
  <c r="Y402" i="5" s="1"/>
  <c r="V314" i="5"/>
  <c r="Q314" i="5" s="1"/>
  <c r="AE314" i="5"/>
  <c r="Z314" i="5" s="1"/>
  <c r="V98" i="5"/>
  <c r="Q98" i="5" s="1"/>
  <c r="AE98" i="5"/>
  <c r="Z98" i="5" s="1"/>
  <c r="V334" i="5"/>
  <c r="Q334" i="5" s="1"/>
  <c r="AE334" i="5"/>
  <c r="Z334" i="5" s="1"/>
  <c r="W710" i="5"/>
  <c r="R710" i="5" s="1"/>
  <c r="AF710" i="5"/>
  <c r="AA710" i="5" s="1"/>
  <c r="U43" i="5"/>
  <c r="P43" i="5" s="1"/>
  <c r="AD43" i="5"/>
  <c r="Y43" i="5" s="1"/>
  <c r="W281" i="5"/>
  <c r="AF281" i="5"/>
  <c r="AA281" i="5" s="1"/>
  <c r="U281" i="5"/>
  <c r="P281" i="5" s="1"/>
  <c r="AD281" i="5"/>
  <c r="Y281" i="5" s="1"/>
  <c r="T458" i="5"/>
  <c r="O458" i="5" s="1"/>
  <c r="AC458" i="5"/>
  <c r="X458" i="5" s="1"/>
  <c r="T312" i="5"/>
  <c r="O312" i="5" s="1"/>
  <c r="AC312" i="5"/>
  <c r="X312" i="5" s="1"/>
  <c r="V585" i="5"/>
  <c r="Q585" i="5" s="1"/>
  <c r="AE585" i="5"/>
  <c r="Z585" i="5" s="1"/>
  <c r="V297" i="5"/>
  <c r="Q297" i="5" s="1"/>
  <c r="AE297" i="5"/>
  <c r="Z297" i="5" s="1"/>
  <c r="U450" i="5"/>
  <c r="P450" i="5" s="1"/>
  <c r="AD450" i="5"/>
  <c r="Y450" i="5" s="1"/>
  <c r="W545" i="5"/>
  <c r="R545" i="5" s="1"/>
  <c r="AF545" i="5"/>
  <c r="AA545" i="5" s="1"/>
  <c r="T480" i="5"/>
  <c r="O480" i="5" s="1"/>
  <c r="AC480" i="5"/>
  <c r="X480" i="5" s="1"/>
  <c r="U565" i="5"/>
  <c r="P565" i="5" s="1"/>
  <c r="AD565" i="5"/>
  <c r="Y565" i="5" s="1"/>
  <c r="W342" i="5"/>
  <c r="R342" i="5" s="1"/>
  <c r="AF342" i="5"/>
  <c r="AA342" i="5" s="1"/>
  <c r="W246" i="5"/>
  <c r="R246" i="5" s="1"/>
  <c r="AF246" i="5"/>
  <c r="AA246" i="5" s="1"/>
  <c r="U296" i="5"/>
  <c r="AD296" i="5"/>
  <c r="Y296" i="5" s="1"/>
  <c r="T301" i="5"/>
  <c r="AC301" i="5"/>
  <c r="X301" i="5" s="1"/>
  <c r="V286" i="5"/>
  <c r="AE286" i="5"/>
  <c r="Z286" i="5" s="1"/>
  <c r="V382" i="5"/>
  <c r="Q382" i="5" s="1"/>
  <c r="AE382" i="5"/>
  <c r="Z382" i="5" s="1"/>
  <c r="U392" i="5"/>
  <c r="P392" i="5" s="1"/>
  <c r="AD392" i="5"/>
  <c r="Y392" i="5" s="1"/>
  <c r="T397" i="5"/>
  <c r="O397" i="5" s="1"/>
  <c r="AC397" i="5"/>
  <c r="X397" i="5" s="1"/>
  <c r="P771" i="5"/>
  <c r="P770" i="5"/>
  <c r="R770" i="5"/>
  <c r="P769" i="5"/>
  <c r="P324" i="5"/>
  <c r="R733" i="5"/>
  <c r="X493" i="5"/>
  <c r="X661" i="5"/>
  <c r="AA747" i="5"/>
  <c r="Z751" i="5"/>
  <c r="Q756" i="5"/>
  <c r="O325" i="5"/>
  <c r="R760" i="5"/>
  <c r="O419" i="5"/>
  <c r="X419" i="5"/>
  <c r="R724" i="5"/>
  <c r="R438" i="5"/>
  <c r="X767" i="5"/>
  <c r="Z757" i="5"/>
  <c r="R728" i="5"/>
  <c r="AA728" i="5"/>
  <c r="Q140" i="5"/>
  <c r="Z140" i="5"/>
  <c r="Q286" i="5"/>
  <c r="R749" i="5"/>
  <c r="R711" i="5"/>
  <c r="Q749" i="5"/>
  <c r="P368" i="5"/>
  <c r="P517" i="5"/>
  <c r="P426" i="5"/>
  <c r="O528" i="5"/>
  <c r="AA155" i="5"/>
  <c r="Y594" i="5"/>
  <c r="Q587" i="5"/>
  <c r="Z415" i="5"/>
  <c r="P346" i="5"/>
  <c r="Z147" i="5"/>
  <c r="O591" i="5"/>
  <c r="P425" i="5"/>
  <c r="R466" i="5"/>
  <c r="Q578" i="5"/>
  <c r="Y605" i="5"/>
  <c r="AA586" i="5"/>
  <c r="R393" i="5"/>
  <c r="Q603" i="5"/>
  <c r="Y443" i="5"/>
  <c r="X587" i="5"/>
  <c r="O106" i="5"/>
  <c r="Z338" i="5"/>
  <c r="Z673" i="5"/>
  <c r="X256" i="5"/>
  <c r="Y306" i="5"/>
  <c r="Z408" i="5"/>
  <c r="X306" i="5"/>
  <c r="Y661" i="5"/>
  <c r="P659" i="5"/>
  <c r="X670" i="5"/>
  <c r="X226" i="5"/>
  <c r="Y54" i="5"/>
  <c r="Z344" i="5"/>
  <c r="X688" i="5"/>
  <c r="X645" i="5"/>
  <c r="Y546" i="5"/>
  <c r="P160" i="5"/>
  <c r="P733" i="5"/>
  <c r="Z217" i="5"/>
  <c r="X452" i="5"/>
  <c r="Z596" i="5"/>
  <c r="AA615" i="5"/>
  <c r="Y107" i="5"/>
  <c r="AA632" i="5"/>
  <c r="Q32" i="5"/>
  <c r="O136" i="5"/>
  <c r="R82" i="5"/>
  <c r="Z739" i="5"/>
  <c r="Z611" i="5"/>
  <c r="Z539" i="5"/>
  <c r="O497" i="5"/>
  <c r="P495" i="5"/>
  <c r="R609" i="5"/>
  <c r="Q201" i="5"/>
  <c r="O41" i="5"/>
  <c r="X41" i="5"/>
  <c r="P514" i="5"/>
  <c r="R414" i="5"/>
  <c r="Q50" i="5"/>
  <c r="Q313" i="5"/>
  <c r="R592" i="5"/>
  <c r="R469" i="5"/>
  <c r="AA469" i="5"/>
  <c r="P403" i="5"/>
  <c r="Q535" i="5"/>
  <c r="Z535" i="5"/>
  <c r="Y561" i="5"/>
  <c r="R419" i="5"/>
  <c r="P259" i="5"/>
  <c r="R208" i="5"/>
  <c r="R178" i="5"/>
  <c r="X191" i="5"/>
  <c r="Z718" i="5"/>
  <c r="Q75" i="5"/>
  <c r="O133" i="5"/>
  <c r="X284" i="5"/>
  <c r="O280" i="5"/>
  <c r="R59" i="5"/>
  <c r="AA563" i="5"/>
  <c r="Q561" i="5"/>
  <c r="P322" i="5"/>
  <c r="Z572" i="5"/>
  <c r="O450" i="5"/>
  <c r="O732" i="5"/>
  <c r="X216" i="5"/>
  <c r="Q154" i="5"/>
  <c r="AA33" i="5"/>
  <c r="X524" i="5"/>
  <c r="Z727" i="5"/>
  <c r="R64" i="5"/>
  <c r="X619" i="5"/>
  <c r="Z241" i="5"/>
  <c r="Y227" i="5"/>
  <c r="X610" i="5"/>
  <c r="P634" i="5"/>
  <c r="X551" i="5"/>
  <c r="P419" i="5"/>
  <c r="R281" i="5"/>
  <c r="P618" i="5"/>
  <c r="X695" i="5"/>
  <c r="P682" i="5"/>
  <c r="R465" i="5"/>
  <c r="AA510" i="5"/>
  <c r="X232" i="5"/>
  <c r="R519" i="5"/>
  <c r="X738" i="5"/>
  <c r="R130" i="5"/>
  <c r="Q52" i="5"/>
  <c r="Q723" i="5"/>
  <c r="Y109" i="5"/>
  <c r="P585" i="5"/>
  <c r="Y585" i="5"/>
  <c r="Q680" i="5"/>
  <c r="AA227" i="5"/>
  <c r="Y496" i="5"/>
  <c r="P282" i="5"/>
  <c r="P303" i="5"/>
  <c r="Y516" i="5"/>
  <c r="P545" i="5"/>
  <c r="R435" i="5"/>
  <c r="R191" i="5"/>
  <c r="Y432" i="5"/>
  <c r="Z172" i="5"/>
  <c r="O268" i="5"/>
  <c r="X268" i="5"/>
  <c r="Y600" i="5"/>
  <c r="P511" i="5"/>
  <c r="Y511" i="5"/>
  <c r="Y223" i="5"/>
  <c r="Y120" i="5"/>
  <c r="X562" i="5"/>
  <c r="O571" i="5"/>
  <c r="Q740" i="5"/>
  <c r="P657" i="5"/>
  <c r="Y398" i="5"/>
  <c r="X638" i="5"/>
  <c r="Z295" i="5"/>
  <c r="Y161" i="5"/>
  <c r="Z304" i="5"/>
  <c r="X514" i="5"/>
  <c r="AA453" i="5"/>
  <c r="AA293" i="5"/>
  <c r="R420" i="5"/>
  <c r="Q541" i="5"/>
  <c r="X178" i="5"/>
  <c r="O26" i="5"/>
  <c r="O436" i="5"/>
  <c r="AA595" i="5"/>
  <c r="Z403" i="5"/>
  <c r="Z375" i="5"/>
  <c r="Y145" i="5"/>
  <c r="Q78" i="5"/>
  <c r="X454" i="5"/>
  <c r="Z686" i="5"/>
  <c r="R139" i="5"/>
  <c r="Y649" i="5"/>
  <c r="AA583" i="5"/>
  <c r="Z423" i="5"/>
  <c r="Y669" i="5"/>
  <c r="Z156" i="5"/>
  <c r="AA667" i="5"/>
  <c r="Y313" i="5"/>
  <c r="Z204" i="5"/>
  <c r="O749" i="5"/>
  <c r="X654" i="5"/>
  <c r="Q589" i="5"/>
  <c r="X651" i="5"/>
  <c r="Z263" i="5"/>
  <c r="Y465" i="5"/>
  <c r="O370" i="5"/>
  <c r="Z419" i="5"/>
  <c r="X429" i="5"/>
  <c r="AA550" i="5"/>
  <c r="O289" i="5"/>
  <c r="R129" i="5"/>
  <c r="Z669" i="5"/>
  <c r="AA444" i="5"/>
  <c r="O75" i="5"/>
  <c r="AA391" i="5"/>
  <c r="Z606" i="5"/>
  <c r="AA623" i="5"/>
  <c r="Q349" i="5"/>
  <c r="O124" i="5"/>
  <c r="Y314" i="5"/>
  <c r="X437" i="5"/>
  <c r="AA84" i="5"/>
  <c r="Y717" i="5"/>
  <c r="X557" i="5"/>
  <c r="P719" i="5"/>
  <c r="Y550" i="5"/>
  <c r="O358" i="5"/>
  <c r="X358" i="5"/>
  <c r="X758" i="5"/>
  <c r="Q168" i="5"/>
  <c r="AA165" i="5"/>
  <c r="P623" i="5"/>
  <c r="Y623" i="5"/>
  <c r="AA450" i="5"/>
  <c r="R477" i="5"/>
  <c r="R349" i="5"/>
  <c r="AA349" i="5"/>
  <c r="Y214" i="5"/>
  <c r="O237" i="5"/>
  <c r="Z62" i="5"/>
  <c r="Y81" i="5"/>
  <c r="X187" i="5"/>
  <c r="X122" i="5"/>
  <c r="Z277" i="5"/>
  <c r="Z212" i="5"/>
  <c r="Q164" i="5"/>
  <c r="Z164" i="5"/>
  <c r="AA44" i="5"/>
  <c r="Y288" i="5"/>
  <c r="Z499" i="5"/>
  <c r="Z396" i="5"/>
  <c r="Y237" i="5"/>
  <c r="Z298" i="5"/>
  <c r="P520" i="5"/>
  <c r="P360" i="5"/>
  <c r="AA67" i="5"/>
  <c r="Q250" i="5"/>
  <c r="X677" i="5"/>
  <c r="P473" i="5"/>
  <c r="Y473" i="5"/>
  <c r="X475" i="5"/>
  <c r="R340" i="5"/>
  <c r="X212" i="5"/>
  <c r="O364" i="5"/>
  <c r="Q519" i="5"/>
  <c r="X319" i="5"/>
  <c r="Y95" i="5"/>
  <c r="Y528" i="5"/>
  <c r="X438" i="5"/>
  <c r="Y30" i="5"/>
  <c r="X533" i="5"/>
  <c r="X499" i="5"/>
  <c r="AA526" i="5"/>
  <c r="Q654" i="5"/>
  <c r="X555" i="5"/>
  <c r="O745" i="5"/>
  <c r="O462" i="5"/>
  <c r="AA77" i="5"/>
  <c r="O265" i="5"/>
  <c r="O166" i="5"/>
  <c r="O229" i="5"/>
  <c r="X34" i="5"/>
  <c r="Z355" i="5"/>
  <c r="AA182" i="5"/>
  <c r="AA335" i="5"/>
  <c r="Y185" i="5"/>
  <c r="Q431" i="5"/>
  <c r="R700" i="5"/>
  <c r="O556" i="5"/>
  <c r="AA502" i="5"/>
  <c r="R69" i="5"/>
  <c r="AA430" i="5"/>
  <c r="P57" i="5"/>
  <c r="O365" i="5"/>
  <c r="R575" i="5"/>
  <c r="P502" i="5"/>
  <c r="Y502" i="5"/>
  <c r="AA647" i="5"/>
  <c r="AA166" i="5"/>
  <c r="P197" i="5"/>
  <c r="Y197" i="5"/>
  <c r="Z125" i="5"/>
  <c r="Y24" i="5"/>
  <c r="P442" i="5"/>
  <c r="Y442" i="5"/>
  <c r="AA262" i="5"/>
  <c r="Y470" i="5"/>
  <c r="Y553" i="5"/>
  <c r="Z326" i="5"/>
  <c r="Z54" i="5"/>
  <c r="P260" i="5"/>
  <c r="Q706" i="5"/>
  <c r="Z182" i="5"/>
  <c r="P431" i="5"/>
  <c r="Y431" i="5"/>
  <c r="R663" i="5"/>
  <c r="Z659" i="5"/>
  <c r="P239" i="5"/>
  <c r="Y239" i="5"/>
  <c r="P457" i="5"/>
  <c r="Q614" i="5"/>
  <c r="Z197" i="5"/>
  <c r="X125" i="5"/>
  <c r="R455" i="5"/>
  <c r="X750" i="5"/>
  <c r="X45" i="5"/>
  <c r="X386" i="5"/>
  <c r="R308" i="5"/>
  <c r="Y590" i="5"/>
  <c r="AA255" i="5"/>
  <c r="O73" i="5"/>
  <c r="X553" i="5"/>
  <c r="O530" i="5"/>
  <c r="X530" i="5"/>
  <c r="Z566" i="5"/>
  <c r="X706" i="5"/>
  <c r="Q47" i="5"/>
  <c r="P188" i="5"/>
  <c r="AA440" i="5"/>
  <c r="O435" i="5"/>
  <c r="Q83" i="5"/>
  <c r="X752" i="5"/>
  <c r="Y362" i="5"/>
  <c r="O102" i="5"/>
  <c r="R149" i="5"/>
  <c r="R144" i="5"/>
  <c r="Q420" i="5"/>
  <c r="R672" i="5"/>
  <c r="AA672" i="5"/>
  <c r="Q221" i="5"/>
  <c r="R26" i="5"/>
  <c r="AA26" i="5"/>
  <c r="Y116" i="5"/>
  <c r="X104" i="5"/>
  <c r="Y370" i="5"/>
  <c r="R482" i="5"/>
  <c r="AA482" i="5"/>
  <c r="O609" i="5"/>
  <c r="X609" i="5"/>
  <c r="R330" i="5"/>
  <c r="R150" i="5"/>
  <c r="Q329" i="5"/>
  <c r="R169" i="5"/>
  <c r="Q712" i="5"/>
  <c r="AA103" i="5"/>
  <c r="Q311" i="5"/>
  <c r="O512" i="5"/>
  <c r="X512" i="5"/>
  <c r="Z352" i="5"/>
  <c r="Q208" i="5"/>
  <c r="AA509" i="5"/>
  <c r="Y124" i="5"/>
  <c r="P278" i="5"/>
  <c r="Z59" i="5"/>
  <c r="Q690" i="5"/>
  <c r="O51" i="5"/>
  <c r="AA494" i="5"/>
  <c r="X368" i="5"/>
  <c r="Z330" i="5"/>
  <c r="P482" i="5"/>
  <c r="O564" i="5"/>
  <c r="P292" i="5"/>
  <c r="Q548" i="5"/>
  <c r="Y189" i="5"/>
  <c r="AA505" i="5"/>
  <c r="P244" i="5"/>
  <c r="Y244" i="5"/>
  <c r="P51" i="5"/>
  <c r="P286" i="5"/>
  <c r="Y286" i="5"/>
  <c r="O169" i="5"/>
  <c r="Z43" i="5"/>
  <c r="X273" i="5"/>
  <c r="O392" i="5"/>
  <c r="X392" i="5"/>
  <c r="P382" i="5"/>
  <c r="P507" i="5"/>
  <c r="R141" i="5"/>
  <c r="R312" i="5"/>
  <c r="AA312" i="5"/>
  <c r="P49" i="5"/>
  <c r="Q679" i="5"/>
  <c r="AA228" i="5"/>
  <c r="X158" i="5"/>
  <c r="R480" i="5"/>
  <c r="AA277" i="5"/>
  <c r="O723" i="5"/>
  <c r="X723" i="5"/>
  <c r="Q232" i="5"/>
  <c r="Z232" i="5"/>
  <c r="O87" i="5"/>
  <c r="Q480" i="5"/>
  <c r="Z480" i="5"/>
  <c r="R30" i="5"/>
  <c r="O241" i="5"/>
  <c r="X241" i="5"/>
  <c r="X334" i="5"/>
  <c r="Q77" i="5"/>
  <c r="Q520" i="5"/>
  <c r="R49" i="5"/>
  <c r="O549" i="5"/>
  <c r="X549" i="5"/>
  <c r="P25" i="5"/>
  <c r="R662" i="5"/>
  <c r="AA662" i="5"/>
  <c r="Q157" i="5"/>
  <c r="Z157" i="5"/>
  <c r="AA29" i="5"/>
  <c r="R409" i="5"/>
  <c r="R458" i="5"/>
  <c r="O198" i="5"/>
  <c r="X198" i="5"/>
  <c r="O675" i="5"/>
  <c r="X675" i="5"/>
  <c r="Y578" i="5"/>
  <c r="O405" i="5"/>
  <c r="Q738" i="5"/>
  <c r="R24" i="5"/>
  <c r="AA24" i="5"/>
  <c r="O279" i="5"/>
  <c r="X279" i="5"/>
  <c r="R76" i="5"/>
  <c r="AA76" i="5"/>
  <c r="AA528" i="5"/>
  <c r="Q426" i="5"/>
  <c r="Z426" i="5"/>
  <c r="R152" i="5"/>
  <c r="AA152" i="5"/>
  <c r="Y400" i="5"/>
  <c r="Q474" i="5"/>
  <c r="Z474" i="5"/>
  <c r="Q405" i="5"/>
  <c r="Z405" i="5"/>
  <c r="O339" i="5"/>
  <c r="P746" i="5"/>
  <c r="Q425" i="5"/>
  <c r="Z644" i="5"/>
  <c r="P415" i="5"/>
  <c r="O673" i="5"/>
  <c r="X127" i="5"/>
  <c r="Z473" i="5"/>
  <c r="Z376" i="5"/>
  <c r="O147" i="5"/>
  <c r="O141" i="5"/>
  <c r="X141" i="5"/>
  <c r="O361" i="5"/>
  <c r="Q607" i="5"/>
  <c r="P199" i="5"/>
  <c r="Q39" i="5"/>
  <c r="O338" i="5"/>
  <c r="P218" i="5"/>
  <c r="P340" i="5"/>
  <c r="Y195" i="5"/>
  <c r="Q306" i="5"/>
  <c r="Z306" i="5"/>
  <c r="R668" i="5"/>
  <c r="Y123" i="5"/>
  <c r="O175" i="5"/>
  <c r="X175" i="5"/>
  <c r="Z468" i="5"/>
  <c r="Z126" i="5"/>
  <c r="P166" i="5"/>
  <c r="Y166" i="5"/>
  <c r="O118" i="5"/>
  <c r="R508" i="5"/>
  <c r="P53" i="5"/>
  <c r="O659" i="5"/>
  <c r="O607" i="5"/>
  <c r="P722" i="5"/>
  <c r="Z40" i="5"/>
  <c r="P559" i="5"/>
  <c r="Y559" i="5"/>
  <c r="Q323" i="5"/>
  <c r="Z323" i="5"/>
  <c r="Q256" i="5"/>
  <c r="X182" i="5"/>
  <c r="O751" i="5"/>
  <c r="X751" i="5"/>
  <c r="Q491" i="5"/>
  <c r="Z491" i="5"/>
  <c r="O681" i="5"/>
  <c r="X681" i="5"/>
  <c r="P327" i="5"/>
  <c r="Q645" i="5"/>
  <c r="P33" i="5"/>
  <c r="P256" i="5"/>
  <c r="Q702" i="5"/>
  <c r="X56" i="5"/>
  <c r="X756" i="5"/>
  <c r="R197" i="5"/>
  <c r="O728" i="5"/>
  <c r="Q246" i="5"/>
  <c r="Z246" i="5"/>
  <c r="P554" i="5"/>
  <c r="Y554" i="5"/>
  <c r="O463" i="5"/>
  <c r="X463" i="5"/>
  <c r="P452" i="5"/>
  <c r="P674" i="5"/>
  <c r="P386" i="5"/>
  <c r="AA167" i="5"/>
  <c r="Y153" i="5"/>
  <c r="P653" i="5"/>
  <c r="AA205" i="5"/>
  <c r="P558" i="5"/>
  <c r="P246" i="5"/>
  <c r="Y246" i="5"/>
  <c r="P460" i="5"/>
  <c r="Y460" i="5"/>
  <c r="O427" i="5"/>
  <c r="O223" i="5"/>
  <c r="X223" i="5"/>
  <c r="P226" i="5"/>
  <c r="Q161" i="5"/>
  <c r="Z562" i="5"/>
  <c r="X730" i="5"/>
  <c r="AA181" i="5"/>
  <c r="O115" i="5"/>
  <c r="P751" i="5"/>
  <c r="O21" i="5"/>
  <c r="O203" i="5"/>
  <c r="Y73" i="5"/>
  <c r="O296" i="5"/>
  <c r="Q68" i="5"/>
  <c r="Z68" i="5"/>
  <c r="R701" i="5"/>
  <c r="AA697" i="5"/>
  <c r="AA217" i="5"/>
  <c r="O55" i="5"/>
  <c r="O243" i="5"/>
  <c r="X243" i="5"/>
  <c r="Y497" i="5"/>
  <c r="O217" i="5"/>
  <c r="X217" i="5"/>
  <c r="R109" i="5"/>
  <c r="AA109" i="5"/>
  <c r="R145" i="5"/>
  <c r="P461" i="5"/>
  <c r="P74" i="5"/>
  <c r="Q514" i="5"/>
  <c r="Z514" i="5"/>
  <c r="X601" i="5"/>
  <c r="R47" i="5"/>
  <c r="Y217" i="5"/>
  <c r="O251" i="5"/>
  <c r="AA742" i="5"/>
  <c r="Q757" i="5"/>
  <c r="Y760" i="5"/>
  <c r="AA721" i="5"/>
  <c r="Y114" i="5"/>
  <c r="AA724" i="5"/>
  <c r="AA729" i="5"/>
  <c r="R317" i="5"/>
  <c r="P307" i="5"/>
  <c r="R518" i="5"/>
  <c r="Z494" i="5"/>
  <c r="X696" i="5"/>
  <c r="Z626" i="5"/>
  <c r="O301" i="5"/>
  <c r="Z465" i="5"/>
  <c r="Q335" i="5"/>
  <c r="Z433" i="5"/>
  <c r="P296" i="5"/>
  <c r="P237" i="5"/>
  <c r="Y682" i="5"/>
  <c r="Z145" i="5"/>
  <c r="X139" i="5"/>
  <c r="Y297" i="5"/>
  <c r="R331" i="5"/>
  <c r="Y282" i="5"/>
  <c r="O385" i="5"/>
  <c r="P742" i="5"/>
  <c r="R524" i="5"/>
  <c r="AA143" i="5"/>
  <c r="R268" i="5"/>
  <c r="AA207" i="5"/>
  <c r="O744" i="5"/>
  <c r="R29" i="5"/>
  <c r="P64" i="5"/>
  <c r="Y131" i="5"/>
  <c r="Y57" i="5"/>
  <c r="P130" i="5"/>
  <c r="P752" i="5"/>
  <c r="Q600" i="5"/>
  <c r="X595" i="5"/>
  <c r="Q664" i="5"/>
  <c r="Z153" i="5"/>
  <c r="Y129" i="5"/>
  <c r="P196" i="5"/>
  <c r="Y773" i="5"/>
  <c r="L773" i="5" s="1"/>
  <c r="H773" i="5" s="1"/>
  <c r="X772" i="5"/>
  <c r="K772" i="5" s="1"/>
  <c r="G772" i="5" s="1"/>
  <c r="X773" i="5"/>
  <c r="K773" i="5" s="1"/>
  <c r="G773" i="5" s="1"/>
  <c r="Z773" i="5"/>
  <c r="M773" i="5" s="1"/>
  <c r="I773" i="5" s="1"/>
  <c r="Y769" i="5"/>
  <c r="Z772" i="5"/>
  <c r="M772" i="5" s="1"/>
  <c r="I772" i="5" s="1"/>
  <c r="Y772" i="5"/>
  <c r="L772" i="5" s="1"/>
  <c r="H772" i="5" s="1"/>
  <c r="AA773" i="5"/>
  <c r="N773" i="5" s="1"/>
  <c r="J773" i="5" s="1"/>
  <c r="AA772" i="5"/>
  <c r="N772" i="5" s="1"/>
  <c r="J772" i="5" s="1"/>
  <c r="O542" i="5"/>
  <c r="M769" i="5" l="1"/>
  <c r="I769" i="5" s="1"/>
  <c r="M768" i="5"/>
  <c r="I768" i="5" s="1"/>
  <c r="K770" i="5"/>
  <c r="G770" i="5" s="1"/>
  <c r="N770" i="5"/>
  <c r="J770" i="5" s="1"/>
  <c r="N769" i="5"/>
  <c r="J769" i="5" s="1"/>
  <c r="L769" i="5"/>
  <c r="H769" i="5" s="1"/>
  <c r="L768" i="5"/>
  <c r="K768" i="5"/>
  <c r="L770" i="5"/>
  <c r="H770" i="5" s="1"/>
  <c r="H768" i="5"/>
  <c r="N771" i="5"/>
  <c r="J771" i="5" s="1"/>
  <c r="G769" i="5"/>
  <c r="K771" i="5"/>
  <c r="G771" i="5" s="1"/>
  <c r="G768" i="5"/>
  <c r="I771" i="5"/>
  <c r="M770" i="5"/>
  <c r="I770" i="5" s="1"/>
  <c r="H771" i="5"/>
  <c r="N768" i="5"/>
  <c r="J768" i="5" s="1"/>
  <c r="K465" i="5"/>
  <c r="G465" i="5" s="1"/>
  <c r="L483" i="5"/>
  <c r="H483" i="5" s="1"/>
  <c r="M335" i="5"/>
  <c r="I335" i="5" s="1"/>
  <c r="M610" i="5"/>
  <c r="I610" i="5" s="1"/>
  <c r="M518" i="5"/>
  <c r="I518" i="5" s="1"/>
  <c r="M102" i="5"/>
  <c r="I102" i="5" s="1"/>
  <c r="K705" i="5"/>
  <c r="G705" i="5" s="1"/>
  <c r="K102" i="5"/>
  <c r="G102" i="5" s="1"/>
  <c r="K262" i="5"/>
  <c r="G262" i="5" s="1"/>
  <c r="M188" i="5"/>
  <c r="I188" i="5" s="1"/>
  <c r="N731" i="5"/>
  <c r="J731" i="5" s="1"/>
  <c r="K49" i="5"/>
  <c r="G49" i="5" s="1"/>
  <c r="K731" i="5"/>
  <c r="G731" i="5" s="1"/>
  <c r="M638" i="5"/>
  <c r="I638" i="5" s="1"/>
  <c r="M123" i="5"/>
  <c r="I123" i="5" s="1"/>
  <c r="L46" i="5"/>
  <c r="H46" i="5" s="1"/>
  <c r="K40" i="5"/>
  <c r="G40" i="5" s="1"/>
  <c r="N557" i="5"/>
  <c r="J557" i="5" s="1"/>
  <c r="L139" i="5"/>
  <c r="H139" i="5" s="1"/>
  <c r="N108" i="5"/>
  <c r="J108" i="5" s="1"/>
  <c r="N354" i="5"/>
  <c r="J354" i="5" s="1"/>
  <c r="N597" i="5"/>
  <c r="J597" i="5" s="1"/>
  <c r="L471" i="5"/>
  <c r="H471" i="5" s="1"/>
  <c r="M192" i="5"/>
  <c r="I192" i="5" s="1"/>
  <c r="K246" i="5"/>
  <c r="G246" i="5" s="1"/>
  <c r="L52" i="5"/>
  <c r="H52" i="5" s="1"/>
  <c r="N727" i="5"/>
  <c r="J727" i="5" s="1"/>
  <c r="K428" i="5"/>
  <c r="G428" i="5" s="1"/>
  <c r="N194" i="5"/>
  <c r="J194" i="5" s="1"/>
  <c r="N705" i="5"/>
  <c r="J705" i="5" s="1"/>
  <c r="N411" i="5"/>
  <c r="J411" i="5" s="1"/>
  <c r="M143" i="5"/>
  <c r="I143" i="5" s="1"/>
  <c r="N289" i="5"/>
  <c r="J289" i="5" s="1"/>
  <c r="N708" i="5"/>
  <c r="J708" i="5" s="1"/>
  <c r="N446" i="5"/>
  <c r="J446" i="5" s="1"/>
  <c r="L637" i="5"/>
  <c r="H637" i="5" s="1"/>
  <c r="K610" i="5"/>
  <c r="G610" i="5" s="1"/>
  <c r="N639" i="5"/>
  <c r="J639" i="5" s="1"/>
  <c r="L551" i="5"/>
  <c r="H551" i="5" s="1"/>
  <c r="K639" i="5"/>
  <c r="G639" i="5" s="1"/>
  <c r="M707" i="5"/>
  <c r="I707" i="5" s="1"/>
  <c r="N233" i="5"/>
  <c r="J233" i="5" s="1"/>
  <c r="M46" i="5"/>
  <c r="I46" i="5" s="1"/>
  <c r="K546" i="5"/>
  <c r="G546" i="5" s="1"/>
  <c r="K510" i="5"/>
  <c r="G510" i="5" s="1"/>
  <c r="N102" i="5"/>
  <c r="J102" i="5" s="1"/>
  <c r="K603" i="5"/>
  <c r="G603" i="5" s="1"/>
  <c r="M34" i="5"/>
  <c r="I34" i="5" s="1"/>
  <c r="M737" i="5"/>
  <c r="I737" i="5" s="1"/>
  <c r="K211" i="5"/>
  <c r="G211" i="5" s="1"/>
  <c r="L460" i="5"/>
  <c r="H460" i="5" s="1"/>
  <c r="M161" i="5"/>
  <c r="I161" i="5" s="1"/>
  <c r="K46" i="5"/>
  <c r="G46" i="5" s="1"/>
  <c r="N192" i="5"/>
  <c r="J192" i="5" s="1"/>
  <c r="L38" i="5"/>
  <c r="H38" i="5" s="1"/>
  <c r="L161" i="5"/>
  <c r="H161" i="5" s="1"/>
  <c r="M699" i="5"/>
  <c r="I699" i="5" s="1"/>
  <c r="M639" i="5"/>
  <c r="I639" i="5" s="1"/>
  <c r="N46" i="5"/>
  <c r="J46" i="5" s="1"/>
  <c r="K460" i="5"/>
  <c r="G460" i="5" s="1"/>
  <c r="M312" i="5"/>
  <c r="I312" i="5" s="1"/>
  <c r="L283" i="5"/>
  <c r="H283" i="5" s="1"/>
  <c r="M131" i="5"/>
  <c r="I131" i="5" s="1"/>
  <c r="K735" i="5"/>
  <c r="G735" i="5" s="1"/>
  <c r="M496" i="5"/>
  <c r="I496" i="5" s="1"/>
  <c r="K755" i="5"/>
  <c r="G755" i="5" s="1"/>
  <c r="K95" i="5"/>
  <c r="G95" i="5" s="1"/>
  <c r="N131" i="5"/>
  <c r="J131" i="5" s="1"/>
  <c r="N755" i="5"/>
  <c r="J755" i="5" s="1"/>
  <c r="N387" i="5"/>
  <c r="J387" i="5" s="1"/>
  <c r="K568" i="5"/>
  <c r="G568" i="5" s="1"/>
  <c r="N517" i="5"/>
  <c r="J517" i="5" s="1"/>
  <c r="K597" i="5"/>
  <c r="G597" i="5" s="1"/>
  <c r="L595" i="5"/>
  <c r="H595" i="5" s="1"/>
  <c r="L166" i="5"/>
  <c r="H166" i="5" s="1"/>
  <c r="M483" i="5"/>
  <c r="I483" i="5" s="1"/>
  <c r="L131" i="5"/>
  <c r="H131" i="5" s="1"/>
  <c r="M687" i="5"/>
  <c r="I687" i="5" s="1"/>
  <c r="K289" i="5"/>
  <c r="G289" i="5" s="1"/>
  <c r="M447" i="5"/>
  <c r="I447" i="5" s="1"/>
  <c r="N190" i="5"/>
  <c r="J190" i="5" s="1"/>
  <c r="K662" i="5"/>
  <c r="G662" i="5" s="1"/>
  <c r="M583" i="5"/>
  <c r="I583" i="5" s="1"/>
  <c r="K534" i="5"/>
  <c r="G534" i="5" s="1"/>
  <c r="N302" i="5"/>
  <c r="J302" i="5" s="1"/>
  <c r="K161" i="5"/>
  <c r="G161" i="5" s="1"/>
  <c r="N215" i="5"/>
  <c r="J215" i="5" s="1"/>
  <c r="K529" i="5"/>
  <c r="G529" i="5" s="1"/>
  <c r="N311" i="5"/>
  <c r="J311" i="5" s="1"/>
  <c r="L95" i="5"/>
  <c r="H95" i="5" s="1"/>
  <c r="N475" i="5"/>
  <c r="J475" i="5" s="1"/>
  <c r="K702" i="5"/>
  <c r="G702" i="5" s="1"/>
  <c r="N287" i="5"/>
  <c r="J287" i="5" s="1"/>
  <c r="M712" i="5"/>
  <c r="I712" i="5" s="1"/>
  <c r="N519" i="5"/>
  <c r="J519" i="5" s="1"/>
  <c r="L606" i="5"/>
  <c r="H606" i="5" s="1"/>
  <c r="L358" i="5"/>
  <c r="H358" i="5" s="1"/>
  <c r="N396" i="5"/>
  <c r="J396" i="5" s="1"/>
  <c r="L342" i="5"/>
  <c r="H342" i="5" s="1"/>
  <c r="N326" i="5"/>
  <c r="J326" i="5" s="1"/>
  <c r="K727" i="5"/>
  <c r="G727" i="5" s="1"/>
  <c r="N702" i="5"/>
  <c r="J702" i="5" s="1"/>
  <c r="K131" i="5"/>
  <c r="G131" i="5" s="1"/>
  <c r="M465" i="5"/>
  <c r="I465" i="5" s="1"/>
  <c r="K143" i="5"/>
  <c r="G143" i="5" s="1"/>
  <c r="M685" i="5"/>
  <c r="I685" i="5" s="1"/>
  <c r="N356" i="5"/>
  <c r="J356" i="5" s="1"/>
  <c r="K343" i="5"/>
  <c r="G343" i="5" s="1"/>
  <c r="K450" i="5"/>
  <c r="G450" i="5" s="1"/>
  <c r="M622" i="5"/>
  <c r="I622" i="5" s="1"/>
  <c r="K342" i="5"/>
  <c r="G342" i="5" s="1"/>
  <c r="N343" i="5"/>
  <c r="J343" i="5" s="1"/>
  <c r="K595" i="5"/>
  <c r="G595" i="5" s="1"/>
  <c r="M534" i="5"/>
  <c r="I534" i="5" s="1"/>
  <c r="K721" i="5"/>
  <c r="G721" i="5" s="1"/>
  <c r="K501" i="5"/>
  <c r="G501" i="5" s="1"/>
  <c r="M606" i="5"/>
  <c r="I606" i="5" s="1"/>
  <c r="M268" i="5"/>
  <c r="I268" i="5" s="1"/>
  <c r="N595" i="5"/>
  <c r="J595" i="5" s="1"/>
  <c r="L332" i="5"/>
  <c r="H332" i="5" s="1"/>
  <c r="L262" i="5"/>
  <c r="H262" i="5" s="1"/>
  <c r="K748" i="5"/>
  <c r="G748" i="5" s="1"/>
  <c r="N445" i="5"/>
  <c r="J445" i="5" s="1"/>
  <c r="K58" i="5"/>
  <c r="G58" i="5" s="1"/>
  <c r="N258" i="5"/>
  <c r="J258" i="5" s="1"/>
  <c r="L396" i="5"/>
  <c r="H396" i="5" s="1"/>
  <c r="L453" i="5"/>
  <c r="H453" i="5" s="1"/>
  <c r="M352" i="5"/>
  <c r="I352" i="5" s="1"/>
  <c r="N450" i="5"/>
  <c r="J450" i="5" s="1"/>
  <c r="L755" i="5"/>
  <c r="H755" i="5" s="1"/>
  <c r="K746" i="5"/>
  <c r="G746" i="5" s="1"/>
  <c r="K167" i="5"/>
  <c r="G167" i="5" s="1"/>
  <c r="N460" i="5"/>
  <c r="J460" i="5" s="1"/>
  <c r="L58" i="5"/>
  <c r="H58" i="5" s="1"/>
  <c r="N732" i="5"/>
  <c r="J732" i="5" s="1"/>
  <c r="M511" i="5"/>
  <c r="I511" i="5" s="1"/>
  <c r="M729" i="5"/>
  <c r="I729" i="5" s="1"/>
  <c r="L705" i="5"/>
  <c r="H705" i="5" s="1"/>
  <c r="K416" i="5"/>
  <c r="G416" i="5" s="1"/>
  <c r="N488" i="5"/>
  <c r="J488" i="5" s="1"/>
  <c r="M531" i="5"/>
  <c r="I531" i="5" s="1"/>
  <c r="L378" i="5"/>
  <c r="H378" i="5" s="1"/>
  <c r="M401" i="5"/>
  <c r="I401" i="5" s="1"/>
  <c r="M709" i="5"/>
  <c r="I709" i="5" s="1"/>
  <c r="L694" i="5"/>
  <c r="H694" i="5" s="1"/>
  <c r="L568" i="5"/>
  <c r="H568" i="5" s="1"/>
  <c r="K399" i="5"/>
  <c r="G399" i="5" s="1"/>
  <c r="K435" i="5"/>
  <c r="G435" i="5" s="1"/>
  <c r="L69" i="5"/>
  <c r="H69" i="5" s="1"/>
  <c r="M157" i="5"/>
  <c r="I157" i="5" s="1"/>
  <c r="K130" i="5"/>
  <c r="G130" i="5" s="1"/>
  <c r="L194" i="5"/>
  <c r="H194" i="5" s="1"/>
  <c r="L102" i="5"/>
  <c r="H102" i="5" s="1"/>
  <c r="M468" i="5"/>
  <c r="I468" i="5" s="1"/>
  <c r="N684" i="5"/>
  <c r="J684" i="5" s="1"/>
  <c r="L80" i="5"/>
  <c r="H80" i="5" s="1"/>
  <c r="K36" i="5"/>
  <c r="G36" i="5" s="1"/>
  <c r="N332" i="5"/>
  <c r="J332" i="5" s="1"/>
  <c r="K715" i="5"/>
  <c r="G715" i="5" s="1"/>
  <c r="K332" i="5"/>
  <c r="G332" i="5" s="1"/>
  <c r="M204" i="5"/>
  <c r="I204" i="5" s="1"/>
  <c r="K352" i="5"/>
  <c r="G352" i="5" s="1"/>
  <c r="M460" i="5"/>
  <c r="I460" i="5" s="1"/>
  <c r="M294" i="5"/>
  <c r="I294" i="5" s="1"/>
  <c r="L597" i="5"/>
  <c r="H597" i="5" s="1"/>
  <c r="K587" i="5"/>
  <c r="G587" i="5" s="1"/>
  <c r="M416" i="5"/>
  <c r="I416" i="5" s="1"/>
  <c r="L727" i="5"/>
  <c r="H727" i="5" s="1"/>
  <c r="N118" i="5"/>
  <c r="J118" i="5" s="1"/>
  <c r="N139" i="5"/>
  <c r="J139" i="5" s="1"/>
  <c r="L189" i="5"/>
  <c r="H189" i="5" s="1"/>
  <c r="N406" i="5"/>
  <c r="J406" i="5" s="1"/>
  <c r="M83" i="5"/>
  <c r="I83" i="5" s="1"/>
  <c r="M48" i="5"/>
  <c r="I48" i="5" s="1"/>
  <c r="M728" i="5"/>
  <c r="I728" i="5" s="1"/>
  <c r="M530" i="5"/>
  <c r="I530" i="5" s="1"/>
  <c r="M727" i="5"/>
  <c r="I727" i="5" s="1"/>
  <c r="L315" i="5"/>
  <c r="H315" i="5" s="1"/>
  <c r="K378" i="5"/>
  <c r="G378" i="5" s="1"/>
  <c r="K530" i="5"/>
  <c r="G530" i="5" s="1"/>
  <c r="L423" i="5"/>
  <c r="H423" i="5" s="1"/>
  <c r="K509" i="5"/>
  <c r="G509" i="5" s="1"/>
  <c r="M315" i="5"/>
  <c r="I315" i="5" s="1"/>
  <c r="L151" i="5"/>
  <c r="H151" i="5" s="1"/>
  <c r="L308" i="5"/>
  <c r="H308" i="5" s="1"/>
  <c r="N423" i="5"/>
  <c r="J423" i="5" s="1"/>
  <c r="N331" i="5"/>
  <c r="J331" i="5" s="1"/>
  <c r="K108" i="5"/>
  <c r="G108" i="5" s="1"/>
  <c r="L406" i="5"/>
  <c r="H406" i="5" s="1"/>
  <c r="K593" i="5"/>
  <c r="G593" i="5" s="1"/>
  <c r="L312" i="5"/>
  <c r="H312" i="5" s="1"/>
  <c r="K630" i="5"/>
  <c r="G630" i="5" s="1"/>
  <c r="N734" i="5"/>
  <c r="J734" i="5" s="1"/>
  <c r="K138" i="5"/>
  <c r="G138" i="5" s="1"/>
  <c r="L317" i="5"/>
  <c r="H317" i="5" s="1"/>
  <c r="M164" i="5"/>
  <c r="I164" i="5" s="1"/>
  <c r="L352" i="5"/>
  <c r="H352" i="5" s="1"/>
  <c r="M298" i="5"/>
  <c r="I298" i="5" s="1"/>
  <c r="K28" i="5"/>
  <c r="G28" i="5" s="1"/>
  <c r="N388" i="5"/>
  <c r="J388" i="5" s="1"/>
  <c r="M420" i="5"/>
  <c r="I420" i="5" s="1"/>
  <c r="N161" i="5"/>
  <c r="J161" i="5" s="1"/>
  <c r="N127" i="5"/>
  <c r="J127" i="5" s="1"/>
  <c r="M472" i="5"/>
  <c r="I472" i="5" s="1"/>
  <c r="M342" i="5"/>
  <c r="I342" i="5" s="1"/>
  <c r="K80" i="5"/>
  <c r="G80" i="5" s="1"/>
  <c r="L390" i="5"/>
  <c r="H390" i="5" s="1"/>
  <c r="L400" i="5"/>
  <c r="H400" i="5" s="1"/>
  <c r="K622" i="5"/>
  <c r="G622" i="5" s="1"/>
  <c r="M704" i="5"/>
  <c r="I704" i="5" s="1"/>
  <c r="M359" i="5"/>
  <c r="I359" i="5" s="1"/>
  <c r="L324" i="5"/>
  <c r="H324" i="5" s="1"/>
  <c r="K649" i="5"/>
  <c r="G649" i="5" s="1"/>
  <c r="L739" i="5"/>
  <c r="H739" i="5" s="1"/>
  <c r="N81" i="5"/>
  <c r="J81" i="5" s="1"/>
  <c r="M629" i="5"/>
  <c r="I629" i="5" s="1"/>
  <c r="N199" i="5"/>
  <c r="J199" i="5" s="1"/>
  <c r="M378" i="5"/>
  <c r="I378" i="5" s="1"/>
  <c r="M43" i="5"/>
  <c r="I43" i="5" s="1"/>
  <c r="L127" i="5"/>
  <c r="H127" i="5" s="1"/>
  <c r="L192" i="5"/>
  <c r="H192" i="5" s="1"/>
  <c r="L346" i="5"/>
  <c r="H346" i="5" s="1"/>
  <c r="K198" i="5"/>
  <c r="G198" i="5" s="1"/>
  <c r="M369" i="5"/>
  <c r="I369" i="5" s="1"/>
  <c r="K607" i="5"/>
  <c r="G607" i="5" s="1"/>
  <c r="L450" i="5"/>
  <c r="H450" i="5" s="1"/>
  <c r="K366" i="5"/>
  <c r="G366" i="5" s="1"/>
  <c r="M343" i="5"/>
  <c r="I343" i="5" s="1"/>
  <c r="L609" i="5"/>
  <c r="H609" i="5" s="1"/>
  <c r="K489" i="5"/>
  <c r="G489" i="5" s="1"/>
  <c r="M536" i="5"/>
  <c r="I536" i="5" s="1"/>
  <c r="L607" i="5"/>
  <c r="H607" i="5" s="1"/>
  <c r="M153" i="5"/>
  <c r="I153" i="5" s="1"/>
  <c r="N283" i="5"/>
  <c r="J283" i="5" s="1"/>
  <c r="N570" i="5"/>
  <c r="J570" i="5" s="1"/>
  <c r="L205" i="5"/>
  <c r="H205" i="5" s="1"/>
  <c r="M332" i="5"/>
  <c r="I332" i="5" s="1"/>
  <c r="M190" i="5"/>
  <c r="I190" i="5" s="1"/>
  <c r="K258" i="5"/>
  <c r="G258" i="5" s="1"/>
  <c r="N753" i="5"/>
  <c r="J753" i="5" s="1"/>
  <c r="K508" i="5"/>
  <c r="G508" i="5" s="1"/>
  <c r="K312" i="5"/>
  <c r="G312" i="5" s="1"/>
  <c r="M148" i="5"/>
  <c r="I148" i="5" s="1"/>
  <c r="M694" i="5"/>
  <c r="I694" i="5" s="1"/>
  <c r="N477" i="5"/>
  <c r="J477" i="5" s="1"/>
  <c r="K226" i="5"/>
  <c r="G226" i="5" s="1"/>
  <c r="K283" i="5"/>
  <c r="G283" i="5" s="1"/>
  <c r="N312" i="5"/>
  <c r="J312" i="5" s="1"/>
  <c r="M677" i="5"/>
  <c r="I677" i="5" s="1"/>
  <c r="M238" i="5"/>
  <c r="I238" i="5" s="1"/>
  <c r="N746" i="5"/>
  <c r="J746" i="5" s="1"/>
  <c r="M645" i="5"/>
  <c r="I645" i="5" s="1"/>
  <c r="L337" i="5"/>
  <c r="H337" i="5" s="1"/>
  <c r="M450" i="5"/>
  <c r="I450" i="5" s="1"/>
  <c r="N473" i="5"/>
  <c r="J473" i="5" s="1"/>
  <c r="M124" i="5"/>
  <c r="I124" i="5" s="1"/>
  <c r="M244" i="5"/>
  <c r="I244" i="5" s="1"/>
  <c r="K186" i="5"/>
  <c r="G186" i="5" s="1"/>
  <c r="N84" i="5"/>
  <c r="J84" i="5" s="1"/>
  <c r="L522" i="5"/>
  <c r="H522" i="5" s="1"/>
  <c r="N545" i="5"/>
  <c r="J545" i="5" s="1"/>
  <c r="N632" i="5"/>
  <c r="J632" i="5" s="1"/>
  <c r="K104" i="5"/>
  <c r="G104" i="5" s="1"/>
  <c r="K149" i="5"/>
  <c r="G149" i="5" s="1"/>
  <c r="N244" i="5"/>
  <c r="J244" i="5" s="1"/>
  <c r="L554" i="5"/>
  <c r="H554" i="5" s="1"/>
  <c r="L244" i="5"/>
  <c r="H244" i="5" s="1"/>
  <c r="L411" i="5"/>
  <c r="H411" i="5" s="1"/>
  <c r="L100" i="5"/>
  <c r="H100" i="5" s="1"/>
  <c r="N76" i="5"/>
  <c r="J76" i="5" s="1"/>
  <c r="N432" i="5"/>
  <c r="J432" i="5" s="1"/>
  <c r="M473" i="5"/>
  <c r="I473" i="5" s="1"/>
  <c r="N206" i="5"/>
  <c r="J206" i="5" s="1"/>
  <c r="K76" i="5"/>
  <c r="G76" i="5" s="1"/>
  <c r="N293" i="5"/>
  <c r="J293" i="5" s="1"/>
  <c r="L629" i="5"/>
  <c r="H629" i="5" s="1"/>
  <c r="M435" i="5"/>
  <c r="I435" i="5" s="1"/>
  <c r="K473" i="5"/>
  <c r="G473" i="5" s="1"/>
  <c r="L473" i="5"/>
  <c r="H473" i="5" s="1"/>
  <c r="N644" i="5"/>
  <c r="J644" i="5" s="1"/>
  <c r="L731" i="5"/>
  <c r="H731" i="5" s="1"/>
  <c r="N357" i="5"/>
  <c r="J357" i="5" s="1"/>
  <c r="K38" i="5"/>
  <c r="G38" i="5" s="1"/>
  <c r="K134" i="5"/>
  <c r="G134" i="5" s="1"/>
  <c r="N594" i="5"/>
  <c r="J594" i="5" s="1"/>
  <c r="L98" i="5"/>
  <c r="H98" i="5" s="1"/>
  <c r="L492" i="5"/>
  <c r="H492" i="5" s="1"/>
  <c r="N285" i="5"/>
  <c r="J285" i="5" s="1"/>
  <c r="K124" i="5"/>
  <c r="G124" i="5" s="1"/>
  <c r="L368" i="5"/>
  <c r="H368" i="5" s="1"/>
  <c r="N51" i="5"/>
  <c r="J51" i="5" s="1"/>
  <c r="L734" i="5"/>
  <c r="H734" i="5" s="1"/>
  <c r="K356" i="5"/>
  <c r="G356" i="5" s="1"/>
  <c r="L481" i="5"/>
  <c r="H481" i="5" s="1"/>
  <c r="L335" i="5"/>
  <c r="H335" i="5" s="1"/>
  <c r="M236" i="5"/>
  <c r="I236" i="5" s="1"/>
  <c r="L357" i="5"/>
  <c r="H357" i="5" s="1"/>
  <c r="N429" i="5"/>
  <c r="J429" i="5" s="1"/>
  <c r="M652" i="5"/>
  <c r="I652" i="5" s="1"/>
  <c r="N119" i="5"/>
  <c r="J119" i="5" s="1"/>
  <c r="M262" i="5"/>
  <c r="I262" i="5" s="1"/>
  <c r="L639" i="5"/>
  <c r="H639" i="5" s="1"/>
  <c r="N42" i="5"/>
  <c r="J42" i="5" s="1"/>
  <c r="N378" i="5"/>
  <c r="J378" i="5" s="1"/>
  <c r="K335" i="5"/>
  <c r="G335" i="5" s="1"/>
  <c r="N383" i="5"/>
  <c r="J383" i="5" s="1"/>
  <c r="K340" i="5"/>
  <c r="G340" i="5" s="1"/>
  <c r="N466" i="5"/>
  <c r="J466" i="5" s="1"/>
  <c r="K557" i="5"/>
  <c r="G557" i="5" s="1"/>
  <c r="L76" i="5"/>
  <c r="H76" i="5" s="1"/>
  <c r="M415" i="5"/>
  <c r="I415" i="5" s="1"/>
  <c r="K739" i="5"/>
  <c r="G739" i="5" s="1"/>
  <c r="N143" i="5"/>
  <c r="J143" i="5" s="1"/>
  <c r="L478" i="5"/>
  <c r="H478" i="5" s="1"/>
  <c r="K402" i="5"/>
  <c r="G402" i="5" s="1"/>
  <c r="K224" i="5"/>
  <c r="G224" i="5" s="1"/>
  <c r="N207" i="5"/>
  <c r="J207" i="5" s="1"/>
  <c r="N32" i="5"/>
  <c r="J32" i="5" s="1"/>
  <c r="L356" i="5"/>
  <c r="H356" i="5" s="1"/>
  <c r="M411" i="5"/>
  <c r="I411" i="5" s="1"/>
  <c r="K187" i="5"/>
  <c r="G187" i="5" s="1"/>
  <c r="L227" i="5"/>
  <c r="H227" i="5" s="1"/>
  <c r="N262" i="5"/>
  <c r="J262" i="5" s="1"/>
  <c r="M110" i="5"/>
  <c r="I110" i="5" s="1"/>
  <c r="L119" i="5"/>
  <c r="H119" i="5" s="1"/>
  <c r="N240" i="5"/>
  <c r="J240" i="5" s="1"/>
  <c r="N152" i="5"/>
  <c r="J152" i="5" s="1"/>
  <c r="L529" i="5"/>
  <c r="H529" i="5" s="1"/>
  <c r="L721" i="5"/>
  <c r="H721" i="5" s="1"/>
  <c r="K32" i="5"/>
  <c r="G32" i="5" s="1"/>
  <c r="L416" i="5"/>
  <c r="H416" i="5" s="1"/>
  <c r="N253" i="5"/>
  <c r="J253" i="5" s="1"/>
  <c r="K21" i="5"/>
  <c r="G21" i="5" s="1"/>
  <c r="L687" i="5"/>
  <c r="H687" i="5" s="1"/>
  <c r="N38" i="5"/>
  <c r="J38" i="5" s="1"/>
  <c r="L319" i="5"/>
  <c r="H319" i="5" s="1"/>
  <c r="L594" i="5"/>
  <c r="H594" i="5" s="1"/>
  <c r="N715" i="5"/>
  <c r="J715" i="5" s="1"/>
  <c r="N476" i="5"/>
  <c r="J476" i="5" s="1"/>
  <c r="M715" i="5"/>
  <c r="I715" i="5" s="1"/>
  <c r="K471" i="5"/>
  <c r="G471" i="5" s="1"/>
  <c r="L435" i="5"/>
  <c r="H435" i="5" s="1"/>
  <c r="N63" i="5"/>
  <c r="J63" i="5" s="1"/>
  <c r="L51" i="5"/>
  <c r="H51" i="5" s="1"/>
  <c r="N373" i="5"/>
  <c r="J373" i="5" s="1"/>
  <c r="L479" i="5"/>
  <c r="H479" i="5" s="1"/>
  <c r="K717" i="5"/>
  <c r="G717" i="5" s="1"/>
  <c r="N453" i="5"/>
  <c r="J453" i="5" s="1"/>
  <c r="N186" i="5"/>
  <c r="J186" i="5" s="1"/>
  <c r="M51" i="5"/>
  <c r="I51" i="5" s="1"/>
  <c r="L143" i="5"/>
  <c r="H143" i="5" s="1"/>
  <c r="L117" i="5"/>
  <c r="H117" i="5" s="1"/>
  <c r="K696" i="5"/>
  <c r="G696" i="5" s="1"/>
  <c r="L557" i="5"/>
  <c r="H557" i="5" s="1"/>
  <c r="M293" i="5"/>
  <c r="I293" i="5" s="1"/>
  <c r="K481" i="5"/>
  <c r="G481" i="5" s="1"/>
  <c r="M208" i="5"/>
  <c r="I208" i="5" s="1"/>
  <c r="L610" i="5"/>
  <c r="H610" i="5" s="1"/>
  <c r="N330" i="5"/>
  <c r="J330" i="5" s="1"/>
  <c r="M209" i="5"/>
  <c r="I209" i="5" s="1"/>
  <c r="L124" i="5"/>
  <c r="H124" i="5" s="1"/>
  <c r="M545" i="5"/>
  <c r="I545" i="5" s="1"/>
  <c r="N539" i="5"/>
  <c r="J539" i="5" s="1"/>
  <c r="K392" i="5"/>
  <c r="G392" i="5" s="1"/>
  <c r="N435" i="5"/>
  <c r="J435" i="5" s="1"/>
  <c r="K569" i="5"/>
  <c r="G569" i="5" s="1"/>
  <c r="M522" i="5"/>
  <c r="I522" i="5" s="1"/>
  <c r="K533" i="5"/>
  <c r="G533" i="5" s="1"/>
  <c r="M226" i="5"/>
  <c r="I226" i="5" s="1"/>
  <c r="L343" i="5"/>
  <c r="H343" i="5" s="1"/>
  <c r="K315" i="5"/>
  <c r="G315" i="5" s="1"/>
  <c r="L36" i="5"/>
  <c r="H36" i="5" s="1"/>
  <c r="K371" i="5"/>
  <c r="G371" i="5" s="1"/>
  <c r="L715" i="5"/>
  <c r="H715" i="5" s="1"/>
  <c r="N317" i="5"/>
  <c r="J317" i="5" s="1"/>
  <c r="K701" i="5"/>
  <c r="G701" i="5" s="1"/>
  <c r="N571" i="5"/>
  <c r="J571" i="5" s="1"/>
  <c r="M356" i="5"/>
  <c r="I356" i="5" s="1"/>
  <c r="N335" i="5"/>
  <c r="J335" i="5" s="1"/>
  <c r="M470" i="5"/>
  <c r="I470" i="5" s="1"/>
  <c r="N275" i="5"/>
  <c r="J275" i="5" s="1"/>
  <c r="K524" i="5"/>
  <c r="G524" i="5" s="1"/>
  <c r="K620" i="5"/>
  <c r="G620" i="5" s="1"/>
  <c r="N409" i="5"/>
  <c r="J409" i="5" s="1"/>
  <c r="K110" i="5"/>
  <c r="G110" i="5" s="1"/>
  <c r="K681" i="5"/>
  <c r="G681" i="5" s="1"/>
  <c r="N173" i="5"/>
  <c r="J173" i="5" s="1"/>
  <c r="L77" i="5"/>
  <c r="H77" i="5" s="1"/>
  <c r="N759" i="5"/>
  <c r="J759" i="5" s="1"/>
  <c r="M399" i="5"/>
  <c r="I399" i="5" s="1"/>
  <c r="M674" i="5"/>
  <c r="I674" i="5" s="1"/>
  <c r="N399" i="5"/>
  <c r="J399" i="5" s="1"/>
  <c r="N481" i="5"/>
  <c r="J481" i="5" s="1"/>
  <c r="K650" i="5"/>
  <c r="G650" i="5" s="1"/>
  <c r="N650" i="5"/>
  <c r="J650" i="5" s="1"/>
  <c r="K146" i="5"/>
  <c r="G146" i="5" s="1"/>
  <c r="N301" i="5"/>
  <c r="J301" i="5" s="1"/>
  <c r="K537" i="5"/>
  <c r="G537" i="5" s="1"/>
  <c r="N400" i="5"/>
  <c r="J400" i="5" s="1"/>
  <c r="L196" i="5"/>
  <c r="H196" i="5" s="1"/>
  <c r="M90" i="5"/>
  <c r="I90" i="5" s="1"/>
  <c r="M121" i="5"/>
  <c r="I121" i="5" s="1"/>
  <c r="K200" i="5"/>
  <c r="G200" i="5" s="1"/>
  <c r="K616" i="5"/>
  <c r="G616" i="5" s="1"/>
  <c r="K24" i="5"/>
  <c r="G24" i="5" s="1"/>
  <c r="K111" i="5"/>
  <c r="G111" i="5" s="1"/>
  <c r="L258" i="5"/>
  <c r="H258" i="5" s="1"/>
  <c r="K674" i="5"/>
  <c r="G674" i="5" s="1"/>
  <c r="K676" i="5"/>
  <c r="G676" i="5" s="1"/>
  <c r="L451" i="5"/>
  <c r="H451" i="5" s="1"/>
  <c r="N180" i="5"/>
  <c r="J180" i="5" s="1"/>
  <c r="K426" i="5"/>
  <c r="G426" i="5" s="1"/>
  <c r="L96" i="5"/>
  <c r="H96" i="5" s="1"/>
  <c r="L650" i="5"/>
  <c r="H650" i="5" s="1"/>
  <c r="K230" i="5"/>
  <c r="G230" i="5" s="1"/>
  <c r="N674" i="5"/>
  <c r="J674" i="5" s="1"/>
  <c r="N536" i="5"/>
  <c r="J536" i="5" s="1"/>
  <c r="L162" i="5"/>
  <c r="H162" i="5" s="1"/>
  <c r="M80" i="5"/>
  <c r="I80" i="5" s="1"/>
  <c r="K436" i="5"/>
  <c r="G436" i="5" s="1"/>
  <c r="L681" i="5"/>
  <c r="H681" i="5" s="1"/>
  <c r="M146" i="5"/>
  <c r="I146" i="5" s="1"/>
  <c r="K584" i="5"/>
  <c r="G584" i="5" s="1"/>
  <c r="K494" i="5"/>
  <c r="G494" i="5" s="1"/>
  <c r="K457" i="5"/>
  <c r="G457" i="5" s="1"/>
  <c r="K536" i="5"/>
  <c r="G536" i="5" s="1"/>
  <c r="N591" i="5"/>
  <c r="J591" i="5" s="1"/>
  <c r="M78" i="5"/>
  <c r="I78" i="5" s="1"/>
  <c r="L110" i="5"/>
  <c r="H110" i="5" s="1"/>
  <c r="N724" i="5"/>
  <c r="J724" i="5" s="1"/>
  <c r="L372" i="5"/>
  <c r="H372" i="5" s="1"/>
  <c r="N682" i="5"/>
  <c r="J682" i="5" s="1"/>
  <c r="N198" i="5"/>
  <c r="J198" i="5" s="1"/>
  <c r="K613" i="5"/>
  <c r="G613" i="5" s="1"/>
  <c r="N494" i="5"/>
  <c r="J494" i="5" s="1"/>
  <c r="K302" i="5"/>
  <c r="G302" i="5" s="1"/>
  <c r="M443" i="5"/>
  <c r="I443" i="5" s="1"/>
  <c r="N688" i="5"/>
  <c r="J688" i="5" s="1"/>
  <c r="K503" i="5"/>
  <c r="G503" i="5" s="1"/>
  <c r="M98" i="5"/>
  <c r="I98" i="5" s="1"/>
  <c r="L758" i="5"/>
  <c r="H758" i="5" s="1"/>
  <c r="M537" i="5"/>
  <c r="I537" i="5" s="1"/>
  <c r="L222" i="5"/>
  <c r="H222" i="5" s="1"/>
  <c r="M308" i="5"/>
  <c r="I308" i="5" s="1"/>
  <c r="K301" i="5"/>
  <c r="G301" i="5" s="1"/>
  <c r="L288" i="5"/>
  <c r="H288" i="5" s="1"/>
  <c r="L214" i="5"/>
  <c r="H214" i="5" s="1"/>
  <c r="N162" i="5"/>
  <c r="J162" i="5" s="1"/>
  <c r="M669" i="5"/>
  <c r="I669" i="5" s="1"/>
  <c r="K183" i="5"/>
  <c r="G183" i="5" s="1"/>
  <c r="K386" i="5"/>
  <c r="G386" i="5" s="1"/>
  <c r="L252" i="5"/>
  <c r="H252" i="5" s="1"/>
  <c r="K759" i="5"/>
  <c r="G759" i="5" s="1"/>
  <c r="M572" i="5"/>
  <c r="I572" i="5" s="1"/>
  <c r="L173" i="5"/>
  <c r="H173" i="5" s="1"/>
  <c r="M302" i="5"/>
  <c r="I302" i="5" s="1"/>
  <c r="L743" i="5"/>
  <c r="H743" i="5" s="1"/>
  <c r="N442" i="5"/>
  <c r="J442" i="5" s="1"/>
  <c r="M516" i="5"/>
  <c r="I516" i="5" s="1"/>
  <c r="M733" i="5"/>
  <c r="I733" i="5" s="1"/>
  <c r="K173" i="5"/>
  <c r="G173" i="5" s="1"/>
  <c r="L682" i="5"/>
  <c r="H682" i="5" s="1"/>
  <c r="M582" i="5"/>
  <c r="I582" i="5" s="1"/>
  <c r="M40" i="5"/>
  <c r="I40" i="5" s="1"/>
  <c r="N110" i="5"/>
  <c r="J110" i="5" s="1"/>
  <c r="K372" i="5"/>
  <c r="G372" i="5" s="1"/>
  <c r="M108" i="5"/>
  <c r="I108" i="5" s="1"/>
  <c r="M457" i="5"/>
  <c r="I457" i="5" s="1"/>
  <c r="L108" i="5"/>
  <c r="H108" i="5" s="1"/>
  <c r="K449" i="5"/>
  <c r="G449" i="5" s="1"/>
  <c r="K35" i="5"/>
  <c r="G35" i="5" s="1"/>
  <c r="M283" i="5"/>
  <c r="I283" i="5" s="1"/>
  <c r="K310" i="5"/>
  <c r="G310" i="5" s="1"/>
  <c r="K92" i="5"/>
  <c r="G92" i="5" s="1"/>
  <c r="K385" i="5"/>
  <c r="G385" i="5" s="1"/>
  <c r="L385" i="5"/>
  <c r="H385" i="5" s="1"/>
  <c r="M576" i="5"/>
  <c r="I576" i="5" s="1"/>
  <c r="L198" i="5"/>
  <c r="H198" i="5" s="1"/>
  <c r="K625" i="5"/>
  <c r="G625" i="5" s="1"/>
  <c r="M139" i="5"/>
  <c r="I139" i="5" s="1"/>
  <c r="K654" i="5"/>
  <c r="G654" i="5" s="1"/>
  <c r="M115" i="5"/>
  <c r="I115" i="5" s="1"/>
  <c r="N189" i="5"/>
  <c r="J189" i="5" s="1"/>
  <c r="M481" i="5"/>
  <c r="I481" i="5" s="1"/>
  <c r="L301" i="5"/>
  <c r="H301" i="5" s="1"/>
  <c r="N323" i="5"/>
  <c r="J323" i="5" s="1"/>
  <c r="N352" i="5"/>
  <c r="J352" i="5" s="1"/>
  <c r="L503" i="5"/>
  <c r="H503" i="5" s="1"/>
  <c r="M173" i="5"/>
  <c r="I173" i="5" s="1"/>
  <c r="K551" i="5"/>
  <c r="G551" i="5" s="1"/>
  <c r="M375" i="5"/>
  <c r="I375" i="5" s="1"/>
  <c r="N699" i="5"/>
  <c r="J699" i="5" s="1"/>
  <c r="M413" i="5"/>
  <c r="I413" i="5" s="1"/>
  <c r="K413" i="5"/>
  <c r="G413" i="5" s="1"/>
  <c r="L536" i="5"/>
  <c r="H536" i="5" s="1"/>
  <c r="K682" i="5"/>
  <c r="G682" i="5" s="1"/>
  <c r="L480" i="5"/>
  <c r="H480" i="5" s="1"/>
  <c r="M765" i="5"/>
  <c r="I765" i="5" s="1"/>
  <c r="L426" i="5"/>
  <c r="H426" i="5" s="1"/>
  <c r="M198" i="5"/>
  <c r="I198" i="5" s="1"/>
  <c r="L516" i="5"/>
  <c r="H516" i="5" s="1"/>
  <c r="L679" i="5"/>
  <c r="H679" i="5" s="1"/>
  <c r="N503" i="5"/>
  <c r="J503" i="5" s="1"/>
  <c r="M442" i="5"/>
  <c r="I442" i="5" s="1"/>
  <c r="N147" i="5"/>
  <c r="J147" i="5" s="1"/>
  <c r="L674" i="5"/>
  <c r="H674" i="5" s="1"/>
  <c r="N443" i="5"/>
  <c r="J443" i="5" s="1"/>
  <c r="N695" i="5"/>
  <c r="J695" i="5" s="1"/>
  <c r="N551" i="5"/>
  <c r="J551" i="5" s="1"/>
  <c r="M35" i="5"/>
  <c r="I35" i="5" s="1"/>
  <c r="M647" i="5"/>
  <c r="I647" i="5" s="1"/>
  <c r="M400" i="5"/>
  <c r="I400" i="5" s="1"/>
  <c r="N413" i="5"/>
  <c r="J413" i="5" s="1"/>
  <c r="L582" i="5"/>
  <c r="H582" i="5" s="1"/>
  <c r="M759" i="5"/>
  <c r="I759" i="5" s="1"/>
  <c r="N733" i="5"/>
  <c r="J733" i="5" s="1"/>
  <c r="M491" i="5"/>
  <c r="I491" i="5" s="1"/>
  <c r="N153" i="5"/>
  <c r="J153" i="5" s="1"/>
  <c r="L302" i="5"/>
  <c r="H302" i="5" s="1"/>
  <c r="K516" i="5"/>
  <c r="G516" i="5" s="1"/>
  <c r="M324" i="5"/>
  <c r="I324" i="5" s="1"/>
  <c r="K311" i="5"/>
  <c r="G311" i="5" s="1"/>
  <c r="M744" i="5"/>
  <c r="I744" i="5" s="1"/>
  <c r="L78" i="5"/>
  <c r="H78" i="5" s="1"/>
  <c r="N202" i="5"/>
  <c r="J202" i="5" s="1"/>
  <c r="N504" i="5"/>
  <c r="J504" i="5" s="1"/>
  <c r="K699" i="5"/>
  <c r="G699" i="5" s="1"/>
  <c r="K44" i="5"/>
  <c r="G44" i="5" s="1"/>
  <c r="L759" i="5"/>
  <c r="H759" i="5" s="1"/>
  <c r="K77" i="5"/>
  <c r="G77" i="5" s="1"/>
  <c r="K443" i="5"/>
  <c r="G443" i="5" s="1"/>
  <c r="K442" i="5"/>
  <c r="G442" i="5" s="1"/>
  <c r="K576" i="5"/>
  <c r="G576" i="5" s="1"/>
  <c r="K259" i="5"/>
  <c r="G259" i="5" s="1"/>
  <c r="L724" i="5"/>
  <c r="H724" i="5" s="1"/>
  <c r="M220" i="5"/>
  <c r="I220" i="5" s="1"/>
  <c r="K397" i="5"/>
  <c r="G397" i="5" s="1"/>
  <c r="L134" i="5"/>
  <c r="H134" i="5" s="1"/>
  <c r="L765" i="5"/>
  <c r="H765" i="5" s="1"/>
  <c r="N756" i="5"/>
  <c r="J756" i="5" s="1"/>
  <c r="M423" i="5"/>
  <c r="I423" i="5" s="1"/>
  <c r="M540" i="5"/>
  <c r="I540" i="5" s="1"/>
  <c r="K454" i="5"/>
  <c r="G454" i="5" s="1"/>
  <c r="N281" i="5"/>
  <c r="J281" i="5" s="1"/>
  <c r="L245" i="5"/>
  <c r="H245" i="5" s="1"/>
  <c r="M625" i="5"/>
  <c r="I625" i="5" s="1"/>
  <c r="M182" i="5"/>
  <c r="I182" i="5" s="1"/>
  <c r="L414" i="5"/>
  <c r="H414" i="5" s="1"/>
  <c r="L176" i="5"/>
  <c r="H176" i="5" s="1"/>
  <c r="M414" i="5"/>
  <c r="I414" i="5" s="1"/>
  <c r="N345" i="5"/>
  <c r="J345" i="5" s="1"/>
  <c r="N403" i="5"/>
  <c r="J403" i="5" s="1"/>
  <c r="N279" i="5"/>
  <c r="J279" i="5" s="1"/>
  <c r="M76" i="5"/>
  <c r="I76" i="5" s="1"/>
  <c r="L182" i="5"/>
  <c r="H182" i="5" s="1"/>
  <c r="K358" i="5"/>
  <c r="G358" i="5" s="1"/>
  <c r="N585" i="5"/>
  <c r="J585" i="5" s="1"/>
  <c r="L616" i="5"/>
  <c r="H616" i="5" s="1"/>
  <c r="K439" i="5"/>
  <c r="G439" i="5" s="1"/>
  <c r="N68" i="5"/>
  <c r="J68" i="5" s="1"/>
  <c r="K135" i="5"/>
  <c r="G135" i="5" s="1"/>
  <c r="L146" i="5"/>
  <c r="H146" i="5" s="1"/>
  <c r="L310" i="5"/>
  <c r="H310" i="5" s="1"/>
  <c r="M562" i="5"/>
  <c r="I562" i="5" s="1"/>
  <c r="M127" i="5"/>
  <c r="I127" i="5" s="1"/>
  <c r="L281" i="5"/>
  <c r="H281" i="5" s="1"/>
  <c r="N710" i="5"/>
  <c r="J710" i="5" s="1"/>
  <c r="N98" i="5"/>
  <c r="J98" i="5" s="1"/>
  <c r="N338" i="5"/>
  <c r="J338" i="5" s="1"/>
  <c r="K562" i="5"/>
  <c r="G562" i="5" s="1"/>
  <c r="M386" i="5"/>
  <c r="I386" i="5" s="1"/>
  <c r="M310" i="5"/>
  <c r="I310" i="5" s="1"/>
  <c r="N542" i="5"/>
  <c r="J542" i="5" s="1"/>
  <c r="N575" i="5"/>
  <c r="J575" i="5" s="1"/>
  <c r="K308" i="5"/>
  <c r="G308" i="5" s="1"/>
  <c r="N420" i="5"/>
  <c r="J420" i="5" s="1"/>
  <c r="N470" i="5"/>
  <c r="J470" i="5" s="1"/>
  <c r="N580" i="5"/>
  <c r="J580" i="5" s="1"/>
  <c r="K155" i="5"/>
  <c r="G155" i="5" s="1"/>
  <c r="N310" i="5"/>
  <c r="J310" i="5" s="1"/>
  <c r="M755" i="5"/>
  <c r="I755" i="5" s="1"/>
  <c r="K166" i="5"/>
  <c r="G166" i="5" s="1"/>
  <c r="K403" i="5"/>
  <c r="G403" i="5" s="1"/>
  <c r="N176" i="5"/>
  <c r="J176" i="5" s="1"/>
  <c r="K316" i="5"/>
  <c r="G316" i="5" s="1"/>
  <c r="L628" i="5"/>
  <c r="H628" i="5" s="1"/>
  <c r="L179" i="5"/>
  <c r="H179" i="5" s="1"/>
  <c r="M738" i="5"/>
  <c r="I738" i="5" s="1"/>
  <c r="L202" i="5"/>
  <c r="H202" i="5" s="1"/>
  <c r="M281" i="5"/>
  <c r="I281" i="5" s="1"/>
  <c r="L215" i="5"/>
  <c r="H215" i="5" s="1"/>
  <c r="M120" i="5"/>
  <c r="I120" i="5" s="1"/>
  <c r="K148" i="5"/>
  <c r="G148" i="5" s="1"/>
  <c r="L40" i="5"/>
  <c r="H40" i="5" s="1"/>
  <c r="N40" i="5"/>
  <c r="J40" i="5" s="1"/>
  <c r="N218" i="5"/>
  <c r="J218" i="5" s="1"/>
  <c r="N633" i="5"/>
  <c r="J633" i="5" s="1"/>
  <c r="M229" i="5"/>
  <c r="I229" i="5" s="1"/>
  <c r="K98" i="5"/>
  <c r="G98" i="5" s="1"/>
  <c r="N74" i="5"/>
  <c r="J74" i="5" s="1"/>
  <c r="N111" i="5"/>
  <c r="J111" i="5" s="1"/>
  <c r="M218" i="5"/>
  <c r="I218" i="5" s="1"/>
  <c r="K41" i="5"/>
  <c r="G41" i="5" s="1"/>
  <c r="K414" i="5"/>
  <c r="G414" i="5" s="1"/>
  <c r="K475" i="5"/>
  <c r="G475" i="5" s="1"/>
  <c r="L304" i="5"/>
  <c r="H304" i="5" s="1"/>
  <c r="L717" i="5"/>
  <c r="H717" i="5" s="1"/>
  <c r="K206" i="5"/>
  <c r="G206" i="5" s="1"/>
  <c r="N374" i="5"/>
  <c r="J374" i="5" s="1"/>
  <c r="L574" i="5"/>
  <c r="H574" i="5" s="1"/>
  <c r="M107" i="5"/>
  <c r="I107" i="5" s="1"/>
  <c r="M38" i="5"/>
  <c r="I38" i="5" s="1"/>
  <c r="L309" i="5"/>
  <c r="H309" i="5" s="1"/>
  <c r="M672" i="5"/>
  <c r="I672" i="5" s="1"/>
  <c r="L401" i="5"/>
  <c r="H401" i="5" s="1"/>
  <c r="K215" i="5"/>
  <c r="G215" i="5" s="1"/>
  <c r="N236" i="5"/>
  <c r="J236" i="5" s="1"/>
  <c r="N245" i="5"/>
  <c r="J245" i="5" s="1"/>
  <c r="M304" i="5"/>
  <c r="I304" i="5" s="1"/>
  <c r="L738" i="5"/>
  <c r="H738" i="5" s="1"/>
  <c r="K357" i="5"/>
  <c r="G357" i="5" s="1"/>
  <c r="L366" i="5"/>
  <c r="H366" i="5" s="1"/>
  <c r="N439" i="5"/>
  <c r="J439" i="5" s="1"/>
  <c r="N401" i="5"/>
  <c r="J401" i="5" s="1"/>
  <c r="K483" i="5"/>
  <c r="G483" i="5" s="1"/>
  <c r="M358" i="5"/>
  <c r="I358" i="5" s="1"/>
  <c r="N178" i="5"/>
  <c r="J178" i="5" s="1"/>
  <c r="L403" i="5"/>
  <c r="H403" i="5" s="1"/>
  <c r="K514" i="5"/>
  <c r="G514" i="5" s="1"/>
  <c r="L469" i="5"/>
  <c r="H469" i="5" s="1"/>
  <c r="K628" i="5"/>
  <c r="G628" i="5" s="1"/>
  <c r="M408" i="5"/>
  <c r="I408" i="5" s="1"/>
  <c r="L562" i="5"/>
  <c r="H562" i="5" s="1"/>
  <c r="L580" i="5"/>
  <c r="H580" i="5" s="1"/>
  <c r="N562" i="5"/>
  <c r="J562" i="5" s="1"/>
  <c r="M150" i="5"/>
  <c r="I150" i="5" s="1"/>
  <c r="N80" i="5"/>
  <c r="J80" i="5" s="1"/>
  <c r="L155" i="5"/>
  <c r="H155" i="5" s="1"/>
  <c r="M554" i="5"/>
  <c r="I554" i="5" s="1"/>
  <c r="K407" i="5"/>
  <c r="G407" i="5" s="1"/>
  <c r="N175" i="5"/>
  <c r="J175" i="5" s="1"/>
  <c r="N135" i="5"/>
  <c r="J135" i="5" s="1"/>
  <c r="M206" i="5"/>
  <c r="I206" i="5" s="1"/>
  <c r="N264" i="5"/>
  <c r="J264" i="5" s="1"/>
  <c r="M176" i="5"/>
  <c r="I176" i="5" s="1"/>
  <c r="N676" i="5"/>
  <c r="J676" i="5" s="1"/>
  <c r="L135" i="5"/>
  <c r="H135" i="5" s="1"/>
  <c r="M698" i="5"/>
  <c r="I698" i="5" s="1"/>
  <c r="L168" i="5"/>
  <c r="H168" i="5" s="1"/>
  <c r="K719" i="5"/>
  <c r="G719" i="5" s="1"/>
  <c r="N407" i="5"/>
  <c r="J407" i="5" s="1"/>
  <c r="N379" i="5"/>
  <c r="J379" i="5" s="1"/>
  <c r="K401" i="5"/>
  <c r="G401" i="5" s="1"/>
  <c r="L232" i="5"/>
  <c r="H232" i="5" s="1"/>
  <c r="N64" i="5"/>
  <c r="J64" i="5" s="1"/>
  <c r="K236" i="5"/>
  <c r="G236" i="5" s="1"/>
  <c r="L432" i="5"/>
  <c r="H432" i="5" s="1"/>
  <c r="N386" i="5"/>
  <c r="J386" i="5" s="1"/>
  <c r="M282" i="5"/>
  <c r="I282" i="5" s="1"/>
  <c r="N116" i="5"/>
  <c r="J116" i="5" s="1"/>
  <c r="M314" i="5"/>
  <c r="I314" i="5" s="1"/>
  <c r="N694" i="5"/>
  <c r="J694" i="5" s="1"/>
  <c r="L585" i="5"/>
  <c r="H585" i="5" s="1"/>
  <c r="L575" i="5"/>
  <c r="H575" i="5" s="1"/>
  <c r="K572" i="5"/>
  <c r="G572" i="5" s="1"/>
  <c r="N246" i="5"/>
  <c r="J246" i="5" s="1"/>
  <c r="M439" i="5"/>
  <c r="I439" i="5" s="1"/>
  <c r="M215" i="5"/>
  <c r="I215" i="5" s="1"/>
  <c r="N408" i="5"/>
  <c r="J408" i="5" s="1"/>
  <c r="L501" i="5"/>
  <c r="H501" i="5" s="1"/>
  <c r="K445" i="5"/>
  <c r="G445" i="5" s="1"/>
  <c r="K127" i="5"/>
  <c r="G127" i="5" s="1"/>
  <c r="N451" i="5"/>
  <c r="J451" i="5" s="1"/>
  <c r="N616" i="5"/>
  <c r="J616" i="5" s="1"/>
  <c r="N272" i="5"/>
  <c r="J272" i="5" s="1"/>
  <c r="N242" i="5"/>
  <c r="J242" i="5" s="1"/>
  <c r="N274" i="5"/>
  <c r="J274" i="5" s="1"/>
  <c r="L228" i="5"/>
  <c r="H228" i="5" s="1"/>
  <c r="K169" i="5"/>
  <c r="G169" i="5" s="1"/>
  <c r="K374" i="5"/>
  <c r="G374" i="5" s="1"/>
  <c r="L397" i="5"/>
  <c r="H397" i="5" s="1"/>
  <c r="M466" i="5"/>
  <c r="I466" i="5" s="1"/>
  <c r="M510" i="5"/>
  <c r="I510" i="5" s="1"/>
  <c r="K466" i="5"/>
  <c r="G466" i="5" s="1"/>
  <c r="N228" i="5"/>
  <c r="J228" i="5" s="1"/>
  <c r="M717" i="5"/>
  <c r="I717" i="5" s="1"/>
  <c r="L470" i="5"/>
  <c r="H470" i="5" s="1"/>
  <c r="L246" i="5"/>
  <c r="H246" i="5" s="1"/>
  <c r="K182" i="5"/>
  <c r="G182" i="5" s="1"/>
  <c r="N719" i="5"/>
  <c r="J719" i="5" s="1"/>
  <c r="N698" i="5"/>
  <c r="J698" i="5" s="1"/>
  <c r="L443" i="5"/>
  <c r="H443" i="5" s="1"/>
  <c r="N717" i="5"/>
  <c r="J717" i="5" s="1"/>
  <c r="M68" i="5"/>
  <c r="I68" i="5" s="1"/>
  <c r="M761" i="5"/>
  <c r="I761" i="5" s="1"/>
  <c r="K184" i="5"/>
  <c r="G184" i="5" s="1"/>
  <c r="K34" i="5"/>
  <c r="G34" i="5" s="1"/>
  <c r="K406" i="5"/>
  <c r="G406" i="5" s="1"/>
  <c r="K585" i="5"/>
  <c r="G585" i="5" s="1"/>
  <c r="L708" i="5"/>
  <c r="H708" i="5" s="1"/>
  <c r="N518" i="5"/>
  <c r="J518" i="5" s="1"/>
  <c r="K708" i="5"/>
  <c r="G708" i="5" s="1"/>
  <c r="L524" i="5"/>
  <c r="H524" i="5" s="1"/>
  <c r="L722" i="5"/>
  <c r="H722" i="5" s="1"/>
  <c r="K756" i="5"/>
  <c r="G756" i="5" s="1"/>
  <c r="N729" i="5"/>
  <c r="J729" i="5" s="1"/>
  <c r="L710" i="5"/>
  <c r="H710" i="5" s="1"/>
  <c r="M70" i="5"/>
  <c r="I70" i="5" s="1"/>
  <c r="N107" i="5"/>
  <c r="J107" i="5" s="1"/>
  <c r="L714" i="5"/>
  <c r="H714" i="5" s="1"/>
  <c r="K408" i="5"/>
  <c r="G408" i="5" s="1"/>
  <c r="N148" i="5"/>
  <c r="J148" i="5" s="1"/>
  <c r="K176" i="5"/>
  <c r="G176" i="5" s="1"/>
  <c r="N625" i="5"/>
  <c r="J625" i="5" s="1"/>
  <c r="M357" i="5"/>
  <c r="I357" i="5" s="1"/>
  <c r="K459" i="5"/>
  <c r="G459" i="5" s="1"/>
  <c r="L184" i="5"/>
  <c r="H184" i="5" s="1"/>
  <c r="N181" i="5"/>
  <c r="J181" i="5" s="1"/>
  <c r="K765" i="5"/>
  <c r="G765" i="5" s="1"/>
  <c r="M64" i="5"/>
  <c r="I64" i="5" s="1"/>
  <c r="K451" i="5"/>
  <c r="G451" i="5" s="1"/>
  <c r="L236" i="5"/>
  <c r="H236" i="5" s="1"/>
  <c r="K761" i="5"/>
  <c r="G761" i="5" s="1"/>
  <c r="N414" i="5"/>
  <c r="J414" i="5" s="1"/>
  <c r="K354" i="5"/>
  <c r="G354" i="5" s="1"/>
  <c r="L231" i="5"/>
  <c r="H231" i="5" s="1"/>
  <c r="N83" i="5"/>
  <c r="J83" i="5" s="1"/>
  <c r="M570" i="5"/>
  <c r="I570" i="5" s="1"/>
  <c r="M366" i="5"/>
  <c r="I366" i="5" s="1"/>
  <c r="K710" i="5"/>
  <c r="G710" i="5" s="1"/>
  <c r="L439" i="5"/>
  <c r="H439" i="5" s="1"/>
  <c r="M111" i="5"/>
  <c r="I111" i="5" s="1"/>
  <c r="M26" i="5"/>
  <c r="I26" i="5" s="1"/>
  <c r="N765" i="5"/>
  <c r="J765" i="5" s="1"/>
  <c r="M616" i="5"/>
  <c r="I616" i="5" s="1"/>
  <c r="L305" i="5"/>
  <c r="H305" i="5" s="1"/>
  <c r="N711" i="5"/>
  <c r="J711" i="5" s="1"/>
  <c r="L408" i="5"/>
  <c r="H408" i="5" s="1"/>
  <c r="K614" i="5"/>
  <c r="G614" i="5" s="1"/>
  <c r="M469" i="5"/>
  <c r="I469" i="5" s="1"/>
  <c r="L316" i="5"/>
  <c r="H316" i="5" s="1"/>
  <c r="N397" i="5"/>
  <c r="J397" i="5" s="1"/>
  <c r="M316" i="5"/>
  <c r="I316" i="5" s="1"/>
  <c r="K738" i="5"/>
  <c r="G738" i="5" s="1"/>
  <c r="K617" i="5"/>
  <c r="G617" i="5" s="1"/>
  <c r="K729" i="5"/>
  <c r="G729" i="5" s="1"/>
  <c r="N628" i="5"/>
  <c r="J628" i="5" s="1"/>
  <c r="N146" i="5"/>
  <c r="J146" i="5" s="1"/>
  <c r="K304" i="5"/>
  <c r="G304" i="5" s="1"/>
  <c r="K580" i="5"/>
  <c r="G580" i="5" s="1"/>
  <c r="M232" i="5"/>
  <c r="I232" i="5" s="1"/>
  <c r="N714" i="5"/>
  <c r="J714" i="5" s="1"/>
  <c r="M585" i="5"/>
  <c r="I585" i="5" s="1"/>
  <c r="L339" i="5"/>
  <c r="H339" i="5" s="1"/>
  <c r="L181" i="5"/>
  <c r="H181" i="5" s="1"/>
  <c r="N34" i="5"/>
  <c r="J34" i="5" s="1"/>
  <c r="K706" i="5"/>
  <c r="G706" i="5" s="1"/>
  <c r="N66" i="5"/>
  <c r="J66" i="5" s="1"/>
  <c r="M202" i="5"/>
  <c r="I202" i="5" s="1"/>
  <c r="M542" i="5"/>
  <c r="I542" i="5" s="1"/>
  <c r="L32" i="5"/>
  <c r="H32" i="5" s="1"/>
  <c r="L338" i="5"/>
  <c r="H338" i="5" s="1"/>
  <c r="K574" i="5"/>
  <c r="G574" i="5" s="1"/>
  <c r="M37" i="5"/>
  <c r="I37" i="5" s="1"/>
  <c r="N738" i="5"/>
  <c r="J738" i="5" s="1"/>
  <c r="L676" i="5"/>
  <c r="H676" i="5" s="1"/>
  <c r="M451" i="5"/>
  <c r="I451" i="5" s="1"/>
  <c r="N134" i="5"/>
  <c r="J134" i="5" s="1"/>
  <c r="K733" i="5"/>
  <c r="G733" i="5" s="1"/>
  <c r="K192" i="5"/>
  <c r="G192" i="5" s="1"/>
  <c r="K218" i="5"/>
  <c r="G218" i="5" s="1"/>
  <c r="N459" i="5"/>
  <c r="J459" i="5" s="1"/>
  <c r="N610" i="5"/>
  <c r="J610" i="5" s="1"/>
  <c r="M501" i="5"/>
  <c r="I501" i="5" s="1"/>
  <c r="K202" i="5"/>
  <c r="G202" i="5" s="1"/>
  <c r="L190" i="5"/>
  <c r="H190" i="5" s="1"/>
  <c r="L697" i="5"/>
  <c r="H697" i="5" s="1"/>
  <c r="M264" i="5"/>
  <c r="I264" i="5" s="1"/>
  <c r="N220" i="5"/>
  <c r="J220" i="5" s="1"/>
  <c r="M136" i="5"/>
  <c r="I136" i="5" s="1"/>
  <c r="K506" i="5"/>
  <c r="G506" i="5" s="1"/>
  <c r="N598" i="5"/>
  <c r="J598" i="5" s="1"/>
  <c r="L624" i="5"/>
  <c r="H624" i="5" s="1"/>
  <c r="M611" i="5"/>
  <c r="I611" i="5" s="1"/>
  <c r="M30" i="5"/>
  <c r="I30" i="5" s="1"/>
  <c r="M676" i="5"/>
  <c r="I676" i="5" s="1"/>
  <c r="M184" i="5"/>
  <c r="I184" i="5" s="1"/>
  <c r="L171" i="5"/>
  <c r="H171" i="5" s="1"/>
  <c r="M403" i="5"/>
  <c r="I403" i="5" s="1"/>
  <c r="N316" i="5"/>
  <c r="J316" i="5" s="1"/>
  <c r="M649" i="5"/>
  <c r="I649" i="5" s="1"/>
  <c r="K714" i="5"/>
  <c r="G714" i="5" s="1"/>
  <c r="L413" i="5"/>
  <c r="H413" i="5" s="1"/>
  <c r="N543" i="5"/>
  <c r="J543" i="5" s="1"/>
  <c r="M475" i="5"/>
  <c r="I475" i="5" s="1"/>
  <c r="L719" i="5"/>
  <c r="H719" i="5" s="1"/>
  <c r="M285" i="5"/>
  <c r="I285" i="5" s="1"/>
  <c r="K279" i="5"/>
  <c r="G279" i="5" s="1"/>
  <c r="L285" i="5"/>
  <c r="H285" i="5" s="1"/>
  <c r="L756" i="5"/>
  <c r="H756" i="5" s="1"/>
  <c r="M243" i="5"/>
  <c r="I243" i="5" s="1"/>
  <c r="L363" i="5"/>
  <c r="H363" i="5" s="1"/>
  <c r="L745" i="5"/>
  <c r="H745" i="5" s="1"/>
  <c r="K324" i="5"/>
  <c r="G324" i="5" s="1"/>
  <c r="N182" i="5"/>
  <c r="J182" i="5" s="1"/>
  <c r="K281" i="5"/>
  <c r="G281" i="5" s="1"/>
  <c r="L206" i="5"/>
  <c r="H206" i="5" s="1"/>
  <c r="M379" i="5"/>
  <c r="I379" i="5" s="1"/>
  <c r="N324" i="5"/>
  <c r="J324" i="5" s="1"/>
  <c r="N524" i="5"/>
  <c r="J524" i="5" s="1"/>
  <c r="M135" i="5"/>
  <c r="I135" i="5" s="1"/>
  <c r="K517" i="5"/>
  <c r="G517" i="5" s="1"/>
  <c r="K291" i="5"/>
  <c r="G291" i="5" s="1"/>
  <c r="K107" i="5"/>
  <c r="G107" i="5" s="1"/>
  <c r="L634" i="5"/>
  <c r="H634" i="5" s="1"/>
  <c r="K199" i="5"/>
  <c r="G199" i="5" s="1"/>
  <c r="M329" i="5"/>
  <c r="I329" i="5" s="1"/>
  <c r="N722" i="5"/>
  <c r="J722" i="5" s="1"/>
  <c r="N501" i="5"/>
  <c r="J501" i="5" s="1"/>
  <c r="M199" i="5"/>
  <c r="I199" i="5" s="1"/>
  <c r="K698" i="5"/>
  <c r="G698" i="5" s="1"/>
  <c r="N516" i="5"/>
  <c r="J516" i="5" s="1"/>
  <c r="K665" i="5"/>
  <c r="G665" i="5" s="1"/>
  <c r="N55" i="5"/>
  <c r="J55" i="5" s="1"/>
  <c r="K264" i="5"/>
  <c r="G264" i="5" s="1"/>
  <c r="N30" i="5"/>
  <c r="J30" i="5" s="1"/>
  <c r="K232" i="5"/>
  <c r="G232" i="5" s="1"/>
  <c r="N538" i="5"/>
  <c r="J538" i="5" s="1"/>
  <c r="N456" i="5"/>
  <c r="J456" i="5" s="1"/>
  <c r="K272" i="5"/>
  <c r="G272" i="5" s="1"/>
  <c r="N506" i="5"/>
  <c r="J506" i="5" s="1"/>
  <c r="K542" i="5"/>
  <c r="G542" i="5" s="1"/>
  <c r="K575" i="5"/>
  <c r="G575" i="5" s="1"/>
  <c r="M628" i="5"/>
  <c r="I628" i="5" s="1"/>
  <c r="L571" i="5"/>
  <c r="H571" i="5" s="1"/>
  <c r="N665" i="5"/>
  <c r="J665" i="5" s="1"/>
  <c r="M272" i="5"/>
  <c r="I272" i="5" s="1"/>
  <c r="L649" i="5"/>
  <c r="H649" i="5" s="1"/>
  <c r="N726" i="5"/>
  <c r="J726" i="5" s="1"/>
  <c r="M396" i="5"/>
  <c r="I396" i="5" s="1"/>
  <c r="K694" i="5"/>
  <c r="G694" i="5" s="1"/>
  <c r="L272" i="5"/>
  <c r="H272" i="5" s="1"/>
  <c r="K363" i="5"/>
  <c r="G363" i="5" s="1"/>
  <c r="M134" i="5"/>
  <c r="I134" i="5" s="1"/>
  <c r="K423" i="5"/>
  <c r="G423" i="5" s="1"/>
  <c r="K190" i="5"/>
  <c r="G190" i="5" s="1"/>
  <c r="L386" i="5"/>
  <c r="H386" i="5" s="1"/>
  <c r="M575" i="5"/>
  <c r="I575" i="5" s="1"/>
  <c r="K432" i="5"/>
  <c r="G432" i="5" s="1"/>
  <c r="L269" i="5"/>
  <c r="H269" i="5" s="1"/>
  <c r="M340" i="5"/>
  <c r="I340" i="5" s="1"/>
  <c r="K136" i="5"/>
  <c r="G136" i="5" s="1"/>
  <c r="K122" i="5"/>
  <c r="G122" i="5" s="1"/>
  <c r="L698" i="5"/>
  <c r="H698" i="5" s="1"/>
  <c r="K395" i="5"/>
  <c r="G395" i="5" s="1"/>
  <c r="L625" i="5"/>
  <c r="H625" i="5" s="1"/>
  <c r="N294" i="5"/>
  <c r="J294" i="5" s="1"/>
  <c r="K571" i="5"/>
  <c r="G571" i="5" s="1"/>
  <c r="N184" i="5"/>
  <c r="J184" i="5" s="1"/>
  <c r="L34" i="5"/>
  <c r="H34" i="5" s="1"/>
  <c r="N617" i="5"/>
  <c r="J617" i="5" s="1"/>
  <c r="M697" i="5"/>
  <c r="I697" i="5" s="1"/>
  <c r="L475" i="5"/>
  <c r="H475" i="5" s="1"/>
  <c r="K518" i="5"/>
  <c r="G518" i="5" s="1"/>
  <c r="N304" i="5"/>
  <c r="J304" i="5" s="1"/>
  <c r="M449" i="5"/>
  <c r="I449" i="5" s="1"/>
  <c r="M710" i="5"/>
  <c r="I710" i="5" s="1"/>
  <c r="K499" i="5"/>
  <c r="G499" i="5" s="1"/>
  <c r="L199" i="5"/>
  <c r="H199" i="5" s="1"/>
  <c r="N672" i="5"/>
  <c r="J672" i="5" s="1"/>
  <c r="L68" i="5"/>
  <c r="H68" i="5" s="1"/>
  <c r="M505" i="5"/>
  <c r="I505" i="5" s="1"/>
  <c r="K290" i="5"/>
  <c r="G290" i="5" s="1"/>
  <c r="M763" i="5"/>
  <c r="I763" i="5" s="1"/>
  <c r="L144" i="5"/>
  <c r="H144" i="5" s="1"/>
  <c r="N389" i="5"/>
  <c r="J389" i="5" s="1"/>
  <c r="M424" i="5"/>
  <c r="I424" i="5" s="1"/>
  <c r="K347" i="5"/>
  <c r="G347" i="5" s="1"/>
  <c r="M601" i="5"/>
  <c r="I601" i="5" s="1"/>
  <c r="N412" i="5"/>
  <c r="J412" i="5" s="1"/>
  <c r="L434" i="5"/>
  <c r="H434" i="5" s="1"/>
  <c r="K63" i="5"/>
  <c r="G63" i="5" s="1"/>
  <c r="L99" i="5"/>
  <c r="H99" i="5" s="1"/>
  <c r="K321" i="5"/>
  <c r="G321" i="5" s="1"/>
  <c r="K125" i="5"/>
  <c r="G125" i="5" s="1"/>
  <c r="N601" i="5"/>
  <c r="J601" i="5" s="1"/>
  <c r="N485" i="5"/>
  <c r="J485" i="5" s="1"/>
  <c r="N643" i="5"/>
  <c r="J643" i="5" s="1"/>
  <c r="L261" i="5"/>
  <c r="H261" i="5" s="1"/>
  <c r="M89" i="5"/>
  <c r="I89" i="5" s="1"/>
  <c r="K147" i="5"/>
  <c r="G147" i="5" s="1"/>
  <c r="K222" i="5"/>
  <c r="G222" i="5" s="1"/>
  <c r="N683" i="5"/>
  <c r="J683" i="5" s="1"/>
  <c r="K671" i="5"/>
  <c r="G671" i="5" s="1"/>
  <c r="K174" i="5"/>
  <c r="G174" i="5" s="1"/>
  <c r="M261" i="5"/>
  <c r="I261" i="5" s="1"/>
  <c r="L50" i="5"/>
  <c r="H50" i="5" s="1"/>
  <c r="M169" i="5"/>
  <c r="I169" i="5" s="1"/>
  <c r="N320" i="5"/>
  <c r="J320" i="5" s="1"/>
  <c r="N334" i="5"/>
  <c r="J334" i="5" s="1"/>
  <c r="K600" i="5"/>
  <c r="G600" i="5" s="1"/>
  <c r="M485" i="5"/>
  <c r="I485" i="5" s="1"/>
  <c r="L109" i="5"/>
  <c r="H109" i="5" s="1"/>
  <c r="L234" i="5"/>
  <c r="H234" i="5" s="1"/>
  <c r="M746" i="5"/>
  <c r="I746" i="5" s="1"/>
  <c r="K618" i="5"/>
  <c r="G618" i="5" s="1"/>
  <c r="K225" i="5"/>
  <c r="G225" i="5" s="1"/>
  <c r="N567" i="5"/>
  <c r="J567" i="5" s="1"/>
  <c r="K713" i="5"/>
  <c r="G713" i="5" s="1"/>
  <c r="K492" i="5"/>
  <c r="G492" i="5" s="1"/>
  <c r="M750" i="5"/>
  <c r="I750" i="5" s="1"/>
  <c r="L760" i="5"/>
  <c r="H760" i="5" s="1"/>
  <c r="N268" i="5"/>
  <c r="J268" i="5" s="1"/>
  <c r="K195" i="5"/>
  <c r="G195" i="5" s="1"/>
  <c r="N742" i="5"/>
  <c r="J742" i="5" s="1"/>
  <c r="L476" i="5"/>
  <c r="H476" i="5" s="1"/>
  <c r="N750" i="5"/>
  <c r="J750" i="5" s="1"/>
  <c r="L209" i="5"/>
  <c r="H209" i="5" s="1"/>
  <c r="L526" i="5"/>
  <c r="H526" i="5" s="1"/>
  <c r="K66" i="5"/>
  <c r="G66" i="5" s="1"/>
  <c r="M147" i="5"/>
  <c r="I147" i="5" s="1"/>
  <c r="L656" i="5"/>
  <c r="H656" i="5" s="1"/>
  <c r="N638" i="5"/>
  <c r="J638" i="5" s="1"/>
  <c r="N141" i="5"/>
  <c r="J141" i="5" s="1"/>
  <c r="N385" i="5"/>
  <c r="J385" i="5" s="1"/>
  <c r="K689" i="5"/>
  <c r="G689" i="5" s="1"/>
  <c r="K117" i="5"/>
  <c r="G117" i="5" s="1"/>
  <c r="L647" i="5"/>
  <c r="H647" i="5" s="1"/>
  <c r="M732" i="5"/>
  <c r="I732" i="5" s="1"/>
  <c r="K732" i="5"/>
  <c r="G732" i="5" s="1"/>
  <c r="K476" i="5"/>
  <c r="G476" i="5" s="1"/>
  <c r="L355" i="5"/>
  <c r="H355" i="5" s="1"/>
  <c r="L104" i="5"/>
  <c r="H104" i="5" s="1"/>
  <c r="L180" i="5"/>
  <c r="H180" i="5" s="1"/>
  <c r="M385" i="5"/>
  <c r="I385" i="5" s="1"/>
  <c r="K373" i="5"/>
  <c r="G373" i="5" s="1"/>
  <c r="M389" i="5"/>
  <c r="I389" i="5" s="1"/>
  <c r="L662" i="5"/>
  <c r="H662" i="5" s="1"/>
  <c r="N174" i="5"/>
  <c r="J174" i="5" s="1"/>
  <c r="L488" i="5"/>
  <c r="H488" i="5" s="1"/>
  <c r="M753" i="5"/>
  <c r="I753" i="5" s="1"/>
  <c r="M167" i="5"/>
  <c r="I167" i="5" s="1"/>
  <c r="K271" i="5"/>
  <c r="G271" i="5" s="1"/>
  <c r="K409" i="5"/>
  <c r="G409" i="5" s="1"/>
  <c r="N398" i="5"/>
  <c r="J398" i="5" s="1"/>
  <c r="N195" i="5"/>
  <c r="J195" i="5" s="1"/>
  <c r="K673" i="5"/>
  <c r="G673" i="5" s="1"/>
  <c r="L125" i="5"/>
  <c r="H125" i="5" s="1"/>
  <c r="L186" i="5"/>
  <c r="H186" i="5" s="1"/>
  <c r="K645" i="5"/>
  <c r="G645" i="5" s="1"/>
  <c r="M82" i="5"/>
  <c r="I82" i="5" s="1"/>
  <c r="M492" i="5"/>
  <c r="I492" i="5" s="1"/>
  <c r="M137" i="5"/>
  <c r="I137" i="5" s="1"/>
  <c r="M71" i="5"/>
  <c r="I71" i="5" s="1"/>
  <c r="L163" i="5"/>
  <c r="H163" i="5" s="1"/>
  <c r="N247" i="5"/>
  <c r="J247" i="5" s="1"/>
  <c r="L142" i="5"/>
  <c r="H142" i="5" s="1"/>
  <c r="N696" i="5"/>
  <c r="J696" i="5" s="1"/>
  <c r="M355" i="5"/>
  <c r="I355" i="5" s="1"/>
  <c r="K194" i="5"/>
  <c r="G194" i="5" s="1"/>
  <c r="N365" i="5"/>
  <c r="J365" i="5" s="1"/>
  <c r="L545" i="5"/>
  <c r="H545" i="5" s="1"/>
  <c r="N741" i="5"/>
  <c r="J741" i="5" s="1"/>
  <c r="L66" i="5"/>
  <c r="H66" i="5" s="1"/>
  <c r="N718" i="5"/>
  <c r="J718" i="5" s="1"/>
  <c r="M479" i="5"/>
  <c r="I479" i="5" s="1"/>
  <c r="M684" i="5"/>
  <c r="I684" i="5" s="1"/>
  <c r="L33" i="5"/>
  <c r="H33" i="5" s="1"/>
  <c r="L87" i="5"/>
  <c r="H87" i="5" s="1"/>
  <c r="N137" i="5"/>
  <c r="J137" i="5" s="1"/>
  <c r="K235" i="5"/>
  <c r="G235" i="5" s="1"/>
  <c r="M675" i="5"/>
  <c r="I675" i="5" s="1"/>
  <c r="K52" i="5"/>
  <c r="G52" i="5" s="1"/>
  <c r="M141" i="5"/>
  <c r="I141" i="5" s="1"/>
  <c r="K43" i="5"/>
  <c r="G43" i="5" s="1"/>
  <c r="K724" i="5"/>
  <c r="G724" i="5" s="1"/>
  <c r="N89" i="5"/>
  <c r="J89" i="5" s="1"/>
  <c r="M441" i="5"/>
  <c r="I441" i="5" s="1"/>
  <c r="N160" i="5"/>
  <c r="J160" i="5" s="1"/>
  <c r="N269" i="5"/>
  <c r="J269" i="5" s="1"/>
  <c r="L141" i="5"/>
  <c r="H141" i="5" s="1"/>
  <c r="K158" i="5"/>
  <c r="G158" i="5" s="1"/>
  <c r="L763" i="5"/>
  <c r="H763" i="5" s="1"/>
  <c r="K505" i="5"/>
  <c r="G505" i="5" s="1"/>
  <c r="K333" i="5"/>
  <c r="G333" i="5" s="1"/>
  <c r="L602" i="5"/>
  <c r="H602" i="5" s="1"/>
  <c r="N521" i="5"/>
  <c r="J521" i="5" s="1"/>
  <c r="L290" i="5"/>
  <c r="H290" i="5" s="1"/>
  <c r="N235" i="5"/>
  <c r="J235" i="5" s="1"/>
  <c r="K274" i="5"/>
  <c r="G274" i="5" s="1"/>
  <c r="N754" i="5"/>
  <c r="J754" i="5" s="1"/>
  <c r="M119" i="5"/>
  <c r="I119" i="5" s="1"/>
  <c r="K725" i="5"/>
  <c r="G725" i="5" s="1"/>
  <c r="N48" i="5"/>
  <c r="J48" i="5" s="1"/>
  <c r="M242" i="5"/>
  <c r="I242" i="5" s="1"/>
  <c r="M95" i="5"/>
  <c r="I95" i="5" s="1"/>
  <c r="L380" i="5"/>
  <c r="H380" i="5" s="1"/>
  <c r="M409" i="5"/>
  <c r="I409" i="5" s="1"/>
  <c r="K383" i="5"/>
  <c r="G383" i="5" s="1"/>
  <c r="L615" i="5"/>
  <c r="H615" i="5" s="1"/>
  <c r="L668" i="5"/>
  <c r="H668" i="5" s="1"/>
  <c r="M569" i="5"/>
  <c r="I569" i="5" s="1"/>
  <c r="K100" i="5"/>
  <c r="G100" i="5" s="1"/>
  <c r="L164" i="5"/>
  <c r="H164" i="5" s="1"/>
  <c r="L588" i="5"/>
  <c r="H588" i="5" s="1"/>
  <c r="K205" i="5"/>
  <c r="G205" i="5" s="1"/>
  <c r="K250" i="5"/>
  <c r="G250" i="5" s="1"/>
  <c r="M393" i="5"/>
  <c r="I393" i="5" s="1"/>
  <c r="K526" i="5"/>
  <c r="G526" i="5" s="1"/>
  <c r="N478" i="5"/>
  <c r="J478" i="5" s="1"/>
  <c r="N65" i="5"/>
  <c r="J65" i="5" s="1"/>
  <c r="M654" i="5"/>
  <c r="I654" i="5" s="1"/>
  <c r="L387" i="5"/>
  <c r="H387" i="5" s="1"/>
  <c r="L424" i="5"/>
  <c r="H424" i="5" s="1"/>
  <c r="N367" i="5"/>
  <c r="J367" i="5" s="1"/>
  <c r="M593" i="5"/>
  <c r="I593" i="5" s="1"/>
  <c r="M458" i="5"/>
  <c r="I458" i="5" s="1"/>
  <c r="M116" i="5"/>
  <c r="I116" i="5" s="1"/>
  <c r="K743" i="5"/>
  <c r="G743" i="5" s="1"/>
  <c r="M434" i="5"/>
  <c r="I434" i="5" s="1"/>
  <c r="M370" i="5"/>
  <c r="I370" i="5" s="1"/>
  <c r="K227" i="5"/>
  <c r="G227" i="5" s="1"/>
  <c r="N392" i="5"/>
  <c r="J392" i="5" s="1"/>
  <c r="L749" i="5"/>
  <c r="H749" i="5" s="1"/>
  <c r="M478" i="5"/>
  <c r="I478" i="5" s="1"/>
  <c r="L723" i="5"/>
  <c r="H723" i="5" s="1"/>
  <c r="M599" i="5"/>
  <c r="I599" i="5" s="1"/>
  <c r="N393" i="5"/>
  <c r="J393" i="5" s="1"/>
  <c r="L197" i="5"/>
  <c r="H197" i="5" s="1"/>
  <c r="L709" i="5"/>
  <c r="H709" i="5" s="1"/>
  <c r="L35" i="5"/>
  <c r="H35" i="5" s="1"/>
  <c r="N673" i="5"/>
  <c r="J673" i="5" s="1"/>
  <c r="L643" i="5"/>
  <c r="H643" i="5" s="1"/>
  <c r="M602" i="5"/>
  <c r="I602" i="5" s="1"/>
  <c r="L71" i="5"/>
  <c r="H71" i="5" s="1"/>
  <c r="N560" i="5"/>
  <c r="J560" i="5" s="1"/>
  <c r="M205" i="5"/>
  <c r="I205" i="5" s="1"/>
  <c r="L271" i="5"/>
  <c r="H271" i="5" s="1"/>
  <c r="M557" i="5"/>
  <c r="I557" i="5" s="1"/>
  <c r="K754" i="5"/>
  <c r="G754" i="5" s="1"/>
  <c r="K543" i="5"/>
  <c r="G543" i="5" s="1"/>
  <c r="L267" i="5"/>
  <c r="H267" i="5" s="1"/>
  <c r="L130" i="5"/>
  <c r="H130" i="5" s="1"/>
  <c r="K299" i="5"/>
  <c r="G299" i="5" s="1"/>
  <c r="K668" i="5"/>
  <c r="G668" i="5" s="1"/>
  <c r="N626" i="5"/>
  <c r="J626" i="5" s="1"/>
  <c r="L253" i="5"/>
  <c r="H253" i="5" s="1"/>
  <c r="L458" i="5"/>
  <c r="H458" i="5" s="1"/>
  <c r="K129" i="5"/>
  <c r="G129" i="5" s="1"/>
  <c r="M186" i="5"/>
  <c r="I186" i="5" s="1"/>
  <c r="L569" i="5"/>
  <c r="H569" i="5" s="1"/>
  <c r="K431" i="5"/>
  <c r="G431" i="5" s="1"/>
  <c r="K684" i="5"/>
  <c r="G684" i="5" s="1"/>
  <c r="N464" i="5"/>
  <c r="J464" i="5" s="1"/>
  <c r="N404" i="5"/>
  <c r="J404" i="5" s="1"/>
  <c r="M368" i="5"/>
  <c r="I368" i="5" s="1"/>
  <c r="M52" i="5"/>
  <c r="I52" i="5" s="1"/>
  <c r="L90" i="5"/>
  <c r="H90" i="5" s="1"/>
  <c r="M548" i="5"/>
  <c r="I548" i="5" s="1"/>
  <c r="M438" i="5"/>
  <c r="I438" i="5" s="1"/>
  <c r="L748" i="5"/>
  <c r="H748" i="5" s="1"/>
  <c r="K261" i="5"/>
  <c r="G261" i="5" s="1"/>
  <c r="N540" i="5"/>
  <c r="J540" i="5" s="1"/>
  <c r="N502" i="5"/>
  <c r="J502" i="5" s="1"/>
  <c r="L158" i="5"/>
  <c r="H158" i="5" s="1"/>
  <c r="K367" i="5"/>
  <c r="G367" i="5" s="1"/>
  <c r="L297" i="5"/>
  <c r="H297" i="5" s="1"/>
  <c r="M506" i="5"/>
  <c r="I506" i="5" s="1"/>
  <c r="K453" i="5"/>
  <c r="G453" i="5" s="1"/>
  <c r="M45" i="5"/>
  <c r="I45" i="5" s="1"/>
  <c r="N424" i="5"/>
  <c r="J424" i="5" s="1"/>
  <c r="L220" i="5"/>
  <c r="H220" i="5" s="1"/>
  <c r="K394" i="5"/>
  <c r="G394" i="5" s="1"/>
  <c r="N41" i="5"/>
  <c r="J41" i="5" s="1"/>
  <c r="K723" i="5"/>
  <c r="G723" i="5" s="1"/>
  <c r="L412" i="5"/>
  <c r="H412" i="5" s="1"/>
  <c r="L742" i="5"/>
  <c r="H742" i="5" s="1"/>
  <c r="M296" i="5"/>
  <c r="I296" i="5" s="1"/>
  <c r="M529" i="5"/>
  <c r="I529" i="5" s="1"/>
  <c r="K602" i="5"/>
  <c r="G602" i="5" s="1"/>
  <c r="M499" i="5"/>
  <c r="I499" i="5" s="1"/>
  <c r="K564" i="5"/>
  <c r="G564" i="5" s="1"/>
  <c r="N381" i="5"/>
  <c r="J381" i="5" s="1"/>
  <c r="M122" i="5"/>
  <c r="I122" i="5" s="1"/>
  <c r="K48" i="5"/>
  <c r="G48" i="5" s="1"/>
  <c r="M365" i="5"/>
  <c r="I365" i="5" s="1"/>
  <c r="K647" i="5"/>
  <c r="G647" i="5" s="1"/>
  <c r="L622" i="5"/>
  <c r="H622" i="5" s="1"/>
  <c r="L422" i="5"/>
  <c r="H422" i="5" s="1"/>
  <c r="M525" i="5"/>
  <c r="I525" i="5" s="1"/>
  <c r="N239" i="5"/>
  <c r="J239" i="5" s="1"/>
  <c r="M644" i="5"/>
  <c r="I644" i="5" s="1"/>
  <c r="L672" i="5"/>
  <c r="H672" i="5" s="1"/>
  <c r="N359" i="5"/>
  <c r="J359" i="5" s="1"/>
  <c r="L520" i="5"/>
  <c r="H520" i="5" s="1"/>
  <c r="L456" i="5"/>
  <c r="H456" i="5" s="1"/>
  <c r="M591" i="5"/>
  <c r="I591" i="5" s="1"/>
  <c r="M617" i="5"/>
  <c r="I617" i="5" s="1"/>
  <c r="L636" i="5"/>
  <c r="H636" i="5" s="1"/>
  <c r="N109" i="5"/>
  <c r="J109" i="5" s="1"/>
  <c r="N584" i="5"/>
  <c r="J584" i="5" s="1"/>
  <c r="L560" i="5"/>
  <c r="H560" i="5" s="1"/>
  <c r="L762" i="5"/>
  <c r="H762" i="5" s="1"/>
  <c r="N713" i="5"/>
  <c r="J713" i="5" s="1"/>
  <c r="M464" i="5"/>
  <c r="I464" i="5" s="1"/>
  <c r="L463" i="5"/>
  <c r="H463" i="5" s="1"/>
  <c r="K348" i="5"/>
  <c r="G348" i="5" s="1"/>
  <c r="L174" i="5"/>
  <c r="H174" i="5" s="1"/>
  <c r="K162" i="5"/>
  <c r="G162" i="5" s="1"/>
  <c r="L591" i="5"/>
  <c r="H591" i="5" s="1"/>
  <c r="L404" i="5"/>
  <c r="H404" i="5" s="1"/>
  <c r="K29" i="5"/>
  <c r="G29" i="5" s="1"/>
  <c r="N73" i="5"/>
  <c r="J73" i="5" s="1"/>
  <c r="M668" i="5"/>
  <c r="I668" i="5" s="1"/>
  <c r="M207" i="5"/>
  <c r="I207" i="5" s="1"/>
  <c r="M560" i="5"/>
  <c r="I560" i="5" s="1"/>
  <c r="M284" i="5"/>
  <c r="I284" i="5" s="1"/>
  <c r="N599" i="5"/>
  <c r="J599" i="5" s="1"/>
  <c r="K267" i="5"/>
  <c r="G267" i="5" s="1"/>
  <c r="K220" i="5"/>
  <c r="G220" i="5" s="1"/>
  <c r="L365" i="5"/>
  <c r="H365" i="5" s="1"/>
  <c r="K252" i="5"/>
  <c r="G252" i="5" s="1"/>
  <c r="M754" i="5"/>
  <c r="I754" i="5" s="1"/>
  <c r="M28" i="5"/>
  <c r="I28" i="5" s="1"/>
  <c r="K65" i="5"/>
  <c r="G65" i="5" s="1"/>
  <c r="N479" i="5"/>
  <c r="J479" i="5" s="1"/>
  <c r="M27" i="5"/>
  <c r="I27" i="5" s="1"/>
  <c r="N431" i="5"/>
  <c r="J431" i="5" s="1"/>
  <c r="M180" i="5"/>
  <c r="I180" i="5" s="1"/>
  <c r="N561" i="5"/>
  <c r="J561" i="5" s="1"/>
  <c r="N121" i="5"/>
  <c r="J121" i="5" s="1"/>
  <c r="M718" i="5"/>
  <c r="I718" i="5" s="1"/>
  <c r="K368" i="5"/>
  <c r="G368" i="5" s="1"/>
  <c r="N140" i="5"/>
  <c r="J140" i="5" s="1"/>
  <c r="N44" i="5"/>
  <c r="J44" i="5" s="1"/>
  <c r="L584" i="5"/>
  <c r="H584" i="5" s="1"/>
  <c r="L187" i="5"/>
  <c r="H187" i="5" s="1"/>
  <c r="K25" i="5"/>
  <c r="G25" i="5" s="1"/>
  <c r="K749" i="5"/>
  <c r="G749" i="5" s="1"/>
  <c r="K458" i="5"/>
  <c r="G458" i="5" s="1"/>
  <c r="N426" i="5"/>
  <c r="J426" i="5" s="1"/>
  <c r="M61" i="5"/>
  <c r="I61" i="5" s="1"/>
  <c r="M394" i="5"/>
  <c r="I394" i="5" s="1"/>
  <c r="K750" i="5"/>
  <c r="G750" i="5" s="1"/>
  <c r="L746" i="5"/>
  <c r="H746" i="5" s="1"/>
  <c r="K109" i="5"/>
  <c r="G109" i="5" s="1"/>
  <c r="N505" i="5"/>
  <c r="J505" i="5" s="1"/>
  <c r="M162" i="5"/>
  <c r="I162" i="5" s="1"/>
  <c r="N224" i="5"/>
  <c r="J224" i="5" s="1"/>
  <c r="L612" i="5"/>
  <c r="H612" i="5" s="1"/>
  <c r="L73" i="5"/>
  <c r="H73" i="5" s="1"/>
  <c r="N252" i="5"/>
  <c r="J252" i="5" s="1"/>
  <c r="K422" i="5"/>
  <c r="G422" i="5" s="1"/>
  <c r="L599" i="5"/>
  <c r="H599" i="5" s="1"/>
  <c r="N205" i="5"/>
  <c r="J205" i="5" s="1"/>
  <c r="K268" i="5"/>
  <c r="G268" i="5" s="1"/>
  <c r="M405" i="5"/>
  <c r="I405" i="5" s="1"/>
  <c r="K365" i="5"/>
  <c r="G365" i="5" s="1"/>
  <c r="L249" i="5"/>
  <c r="H249" i="5" s="1"/>
  <c r="L713" i="5"/>
  <c r="H713" i="5" s="1"/>
  <c r="L128" i="5"/>
  <c r="H128" i="5" s="1"/>
  <c r="L140" i="5"/>
  <c r="H140" i="5" s="1"/>
  <c r="K72" i="5"/>
  <c r="G72" i="5" s="1"/>
  <c r="K404" i="5"/>
  <c r="G404" i="5" s="1"/>
  <c r="K695" i="5"/>
  <c r="G695" i="5" s="1"/>
  <c r="M426" i="5"/>
  <c r="I426" i="5" s="1"/>
  <c r="L508" i="5"/>
  <c r="H508" i="5" s="1"/>
  <c r="K560" i="5"/>
  <c r="G560" i="5" s="1"/>
  <c r="M637" i="5"/>
  <c r="I637" i="5" s="1"/>
  <c r="L395" i="5"/>
  <c r="H395" i="5" s="1"/>
  <c r="N691" i="5"/>
  <c r="J691" i="5" s="1"/>
  <c r="K545" i="5"/>
  <c r="G545" i="5" s="1"/>
  <c r="M249" i="5"/>
  <c r="I249" i="5" s="1"/>
  <c r="M73" i="5"/>
  <c r="I73" i="5" s="1"/>
  <c r="N709" i="5"/>
  <c r="J709" i="5" s="1"/>
  <c r="L122" i="5"/>
  <c r="H122" i="5" s="1"/>
  <c r="M87" i="5"/>
  <c r="I87" i="5" s="1"/>
  <c r="M404" i="5"/>
  <c r="I404" i="5" s="1"/>
  <c r="K718" i="5"/>
  <c r="G718" i="5" s="1"/>
  <c r="M626" i="5"/>
  <c r="I626" i="5" s="1"/>
  <c r="K642" i="5"/>
  <c r="G642" i="5" s="1"/>
  <c r="N43" i="5"/>
  <c r="J43" i="5" s="1"/>
  <c r="K461" i="5"/>
  <c r="G461" i="5" s="1"/>
  <c r="K361" i="5"/>
  <c r="G361" i="5" s="1"/>
  <c r="M67" i="5"/>
  <c r="I67" i="5" s="1"/>
  <c r="K675" i="5"/>
  <c r="G675" i="5" s="1"/>
  <c r="L465" i="5"/>
  <c r="H465" i="5" s="1"/>
  <c r="L25" i="5"/>
  <c r="H25" i="5" s="1"/>
  <c r="L750" i="5"/>
  <c r="H750" i="5" s="1"/>
  <c r="K157" i="5"/>
  <c r="G157" i="5" s="1"/>
  <c r="N465" i="5"/>
  <c r="J465" i="5" s="1"/>
  <c r="M422" i="5"/>
  <c r="I422" i="5" s="1"/>
  <c r="M301" i="5"/>
  <c r="I301" i="5" s="1"/>
  <c r="K89" i="5"/>
  <c r="G89" i="5" s="1"/>
  <c r="M618" i="5"/>
  <c r="I618" i="5" s="1"/>
  <c r="N164" i="5"/>
  <c r="J164" i="5" s="1"/>
  <c r="L677" i="5"/>
  <c r="H677" i="5" s="1"/>
  <c r="K67" i="5"/>
  <c r="G67" i="5" s="1"/>
  <c r="K94" i="5"/>
  <c r="G94" i="5" s="1"/>
  <c r="K591" i="5"/>
  <c r="G591" i="5" s="1"/>
  <c r="M187" i="5"/>
  <c r="I187" i="5" s="1"/>
  <c r="N77" i="5"/>
  <c r="J77" i="5" s="1"/>
  <c r="L348" i="5"/>
  <c r="H348" i="5" s="1"/>
  <c r="K479" i="5"/>
  <c r="G479" i="5" s="1"/>
  <c r="K164" i="5"/>
  <c r="G164" i="5" s="1"/>
  <c r="K163" i="5"/>
  <c r="G163" i="5" s="1"/>
  <c r="N67" i="5"/>
  <c r="J67" i="5" s="1"/>
  <c r="M395" i="5"/>
  <c r="I395" i="5" s="1"/>
  <c r="N548" i="5"/>
  <c r="J548" i="5" s="1"/>
  <c r="N390" i="5"/>
  <c r="J390" i="5" s="1"/>
  <c r="M117" i="5"/>
  <c r="I117" i="5" s="1"/>
  <c r="M488" i="5"/>
  <c r="I488" i="5" s="1"/>
  <c r="M383" i="5"/>
  <c r="I383" i="5" s="1"/>
  <c r="K753" i="5"/>
  <c r="G753" i="5" s="1"/>
  <c r="L195" i="5"/>
  <c r="H195" i="5" s="1"/>
  <c r="N492" i="5"/>
  <c r="J492" i="5" s="1"/>
  <c r="N87" i="5"/>
  <c r="J87" i="5" s="1"/>
  <c r="L169" i="5"/>
  <c r="H169" i="5" s="1"/>
  <c r="L318" i="5"/>
  <c r="H318" i="5" s="1"/>
  <c r="N49" i="5"/>
  <c r="J49" i="5" s="1"/>
  <c r="K434" i="5"/>
  <c r="G434" i="5" s="1"/>
  <c r="K472" i="5"/>
  <c r="G472" i="5" s="1"/>
  <c r="N532" i="5"/>
  <c r="J532" i="5" s="1"/>
  <c r="M158" i="5"/>
  <c r="I158" i="5" s="1"/>
  <c r="M453" i="5"/>
  <c r="I453" i="5" s="1"/>
  <c r="K629" i="5"/>
  <c r="G629" i="5" s="1"/>
  <c r="N95" i="5"/>
  <c r="J95" i="5" s="1"/>
  <c r="M671" i="5"/>
  <c r="I671" i="5" s="1"/>
  <c r="N529" i="5"/>
  <c r="J529" i="5" s="1"/>
  <c r="K730" i="5"/>
  <c r="G730" i="5" s="1"/>
  <c r="M222" i="5"/>
  <c r="I222" i="5" s="1"/>
  <c r="K464" i="5"/>
  <c r="G464" i="5" s="1"/>
  <c r="M741" i="5"/>
  <c r="I741" i="5" s="1"/>
  <c r="N27" i="5"/>
  <c r="J27" i="5" s="1"/>
  <c r="L150" i="5"/>
  <c r="H150" i="5" s="1"/>
  <c r="L167" i="5"/>
  <c r="H167" i="5" s="1"/>
  <c r="K116" i="5"/>
  <c r="G116" i="5" s="1"/>
  <c r="L431" i="5"/>
  <c r="H431" i="5" s="1"/>
  <c r="K429" i="5"/>
  <c r="G429" i="5" s="1"/>
  <c r="N395" i="5"/>
  <c r="J395" i="5" s="1"/>
  <c r="M318" i="5"/>
  <c r="I318" i="5" s="1"/>
  <c r="N318" i="5"/>
  <c r="J318" i="5" s="1"/>
  <c r="N760" i="5"/>
  <c r="J760" i="5" s="1"/>
  <c r="K204" i="5"/>
  <c r="G204" i="5" s="1"/>
  <c r="K693" i="5"/>
  <c r="G693" i="5" s="1"/>
  <c r="L555" i="5"/>
  <c r="H555" i="5" s="1"/>
  <c r="L409" i="5"/>
  <c r="H409" i="5" s="1"/>
  <c r="M713" i="5"/>
  <c r="I713" i="5" s="1"/>
  <c r="M549" i="5"/>
  <c r="I549" i="5" s="1"/>
  <c r="N157" i="5"/>
  <c r="J157" i="5" s="1"/>
  <c r="N647" i="5"/>
  <c r="J647" i="5" s="1"/>
  <c r="N169" i="5"/>
  <c r="J169" i="5" s="1"/>
  <c r="N384" i="5"/>
  <c r="J384" i="5" s="1"/>
  <c r="N677" i="5"/>
  <c r="J677" i="5" s="1"/>
  <c r="M749" i="5"/>
  <c r="I749" i="5" s="1"/>
  <c r="L284" i="5"/>
  <c r="H284" i="5" s="1"/>
  <c r="N263" i="5"/>
  <c r="J263" i="5" s="1"/>
  <c r="N693" i="5"/>
  <c r="J693" i="5" s="1"/>
  <c r="K96" i="5"/>
  <c r="G96" i="5" s="1"/>
  <c r="N668" i="5"/>
  <c r="J668" i="5" s="1"/>
  <c r="K145" i="5"/>
  <c r="G145" i="5" s="1"/>
  <c r="K424" i="5"/>
  <c r="G424" i="5" s="1"/>
  <c r="N28" i="5"/>
  <c r="J28" i="5" s="1"/>
  <c r="N380" i="5"/>
  <c r="J380" i="5" s="1"/>
  <c r="K381" i="5"/>
  <c r="G381" i="5" s="1"/>
  <c r="K549" i="5"/>
  <c r="G549" i="5" s="1"/>
  <c r="M155" i="5"/>
  <c r="I155" i="5" s="1"/>
  <c r="N649" i="5"/>
  <c r="J649" i="5" s="1"/>
  <c r="L116" i="5"/>
  <c r="H116" i="5" s="1"/>
  <c r="L671" i="5"/>
  <c r="H671" i="5" s="1"/>
  <c r="L137" i="5"/>
  <c r="H137" i="5" s="1"/>
  <c r="M609" i="5"/>
  <c r="I609" i="5" s="1"/>
  <c r="L223" i="5"/>
  <c r="H223" i="5" s="1"/>
  <c r="M65" i="5"/>
  <c r="I65" i="5" s="1"/>
  <c r="M230" i="5"/>
  <c r="I230" i="5" s="1"/>
  <c r="K39" i="5"/>
  <c r="G39" i="5" s="1"/>
  <c r="M431" i="5"/>
  <c r="I431" i="5" s="1"/>
  <c r="N394" i="5"/>
  <c r="J394" i="5" s="1"/>
  <c r="K253" i="5"/>
  <c r="G253" i="5" s="1"/>
  <c r="L145" i="5"/>
  <c r="H145" i="5" s="1"/>
  <c r="M587" i="5"/>
  <c r="I587" i="5" s="1"/>
  <c r="L754" i="5"/>
  <c r="H754" i="5" s="1"/>
  <c r="M49" i="5"/>
  <c r="I49" i="5" s="1"/>
  <c r="N125" i="5"/>
  <c r="J125" i="5" s="1"/>
  <c r="N749" i="5"/>
  <c r="J749" i="5" s="1"/>
  <c r="N587" i="5"/>
  <c r="J587" i="5" s="1"/>
  <c r="L381" i="5"/>
  <c r="H381" i="5" s="1"/>
  <c r="L359" i="5"/>
  <c r="H359" i="5" s="1"/>
  <c r="L485" i="5"/>
  <c r="H485" i="5" s="1"/>
  <c r="M380" i="5"/>
  <c r="I380" i="5" s="1"/>
  <c r="N612" i="5"/>
  <c r="J612" i="5" s="1"/>
  <c r="K393" i="5"/>
  <c r="G393" i="5" s="1"/>
  <c r="M418" i="5"/>
  <c r="I418" i="5" s="1"/>
  <c r="N35" i="5"/>
  <c r="J35" i="5" s="1"/>
  <c r="M367" i="5"/>
  <c r="I367" i="5" s="1"/>
  <c r="N117" i="5"/>
  <c r="J117" i="5" s="1"/>
  <c r="M96" i="5"/>
  <c r="I96" i="5" s="1"/>
  <c r="K672" i="5"/>
  <c r="G672" i="5" s="1"/>
  <c r="M145" i="5"/>
  <c r="I145" i="5" s="1"/>
  <c r="K119" i="5"/>
  <c r="G119" i="5" s="1"/>
  <c r="M567" i="5"/>
  <c r="I567" i="5" s="1"/>
  <c r="N675" i="5"/>
  <c r="J675" i="5" s="1"/>
  <c r="K498" i="5"/>
  <c r="G498" i="5" s="1"/>
  <c r="L505" i="5"/>
  <c r="H505" i="5" s="1"/>
  <c r="L247" i="5"/>
  <c r="H247" i="5" s="1"/>
  <c r="K709" i="5"/>
  <c r="G709" i="5" s="1"/>
  <c r="N549" i="5"/>
  <c r="J549" i="5" s="1"/>
  <c r="L44" i="5"/>
  <c r="H44" i="5" s="1"/>
  <c r="L28" i="5"/>
  <c r="H28" i="5" s="1"/>
  <c r="N657" i="5"/>
  <c r="J657" i="5" s="1"/>
  <c r="L567" i="5"/>
  <c r="H567" i="5" s="1"/>
  <c r="N158" i="5"/>
  <c r="J158" i="5" s="1"/>
  <c r="K61" i="5"/>
  <c r="G61" i="5" s="1"/>
  <c r="L88" i="5"/>
  <c r="H88" i="5" s="1"/>
  <c r="K223" i="5"/>
  <c r="G223" i="5" s="1"/>
  <c r="M633" i="5"/>
  <c r="I633" i="5" s="1"/>
  <c r="K389" i="5"/>
  <c r="G389" i="5" s="1"/>
  <c r="K73" i="5"/>
  <c r="G73" i="5" s="1"/>
  <c r="M390" i="5"/>
  <c r="I390" i="5" s="1"/>
  <c r="L147" i="5"/>
  <c r="H147" i="5" s="1"/>
  <c r="L657" i="5"/>
  <c r="H657" i="5" s="1"/>
  <c r="L242" i="5"/>
  <c r="H242" i="5" s="1"/>
  <c r="L718" i="5"/>
  <c r="H718" i="5" s="1"/>
  <c r="L67" i="5"/>
  <c r="H67" i="5" s="1"/>
  <c r="M723" i="5"/>
  <c r="I723" i="5" s="1"/>
  <c r="K384" i="5"/>
  <c r="G384" i="5" s="1"/>
  <c r="L41" i="5"/>
  <c r="H41" i="5" s="1"/>
  <c r="L592" i="5"/>
  <c r="H592" i="5" s="1"/>
  <c r="K520" i="5"/>
  <c r="G520" i="5" s="1"/>
  <c r="N273" i="5"/>
  <c r="J273" i="5" s="1"/>
  <c r="L367" i="5"/>
  <c r="H367" i="5" s="1"/>
  <c r="L274" i="5"/>
  <c r="H274" i="5" s="1"/>
  <c r="L364" i="5"/>
  <c r="H364" i="5" s="1"/>
  <c r="M140" i="5"/>
  <c r="I140" i="5" s="1"/>
  <c r="M334" i="5"/>
  <c r="I334" i="5" s="1"/>
  <c r="K82" i="5"/>
  <c r="G82" i="5" s="1"/>
  <c r="K390" i="5"/>
  <c r="G390" i="5" s="1"/>
  <c r="N62" i="5"/>
  <c r="J62" i="5" s="1"/>
  <c r="M274" i="5"/>
  <c r="I274" i="5" s="1"/>
  <c r="K762" i="5"/>
  <c r="G762" i="5" s="1"/>
  <c r="K99" i="5"/>
  <c r="G99" i="5" s="1"/>
  <c r="L506" i="5"/>
  <c r="H506" i="5" s="1"/>
  <c r="L732" i="5"/>
  <c r="H732" i="5" s="1"/>
  <c r="L744" i="5"/>
  <c r="H744" i="5" s="1"/>
  <c r="M255" i="5"/>
  <c r="I255" i="5" s="1"/>
  <c r="L737" i="5"/>
  <c r="H737" i="5" s="1"/>
  <c r="N573" i="5"/>
  <c r="J573" i="5" s="1"/>
  <c r="N364" i="5"/>
  <c r="J364" i="5" s="1"/>
  <c r="M758" i="5"/>
  <c r="I758" i="5" s="1"/>
  <c r="N238" i="5"/>
  <c r="J238" i="5" s="1"/>
  <c r="M50" i="5"/>
  <c r="I50" i="5" s="1"/>
  <c r="L45" i="5"/>
  <c r="H45" i="5" s="1"/>
  <c r="M29" i="5"/>
  <c r="I29" i="5" s="1"/>
  <c r="K652" i="5"/>
  <c r="G652" i="5" s="1"/>
  <c r="L27" i="5"/>
  <c r="H27" i="5" s="1"/>
  <c r="L600" i="5"/>
  <c r="H600" i="5" s="1"/>
  <c r="L389" i="5"/>
  <c r="H389" i="5" s="1"/>
  <c r="N593" i="5"/>
  <c r="J593" i="5" s="1"/>
  <c r="M461" i="5"/>
  <c r="I461" i="5" s="1"/>
  <c r="N78" i="5"/>
  <c r="J78" i="5" s="1"/>
  <c r="L61" i="5"/>
  <c r="H61" i="5" s="1"/>
  <c r="M588" i="5"/>
  <c r="I588" i="5" s="1"/>
  <c r="M372" i="5"/>
  <c r="I372" i="5" s="1"/>
  <c r="M762" i="5"/>
  <c r="I762" i="5" s="1"/>
  <c r="N737" i="5"/>
  <c r="J737" i="5" s="1"/>
  <c r="N762" i="5"/>
  <c r="J762" i="5" s="1"/>
  <c r="M247" i="5"/>
  <c r="I247" i="5" s="1"/>
  <c r="L472" i="5"/>
  <c r="H472" i="5" s="1"/>
  <c r="M325" i="5"/>
  <c r="I325" i="5" s="1"/>
  <c r="L72" i="5"/>
  <c r="H72" i="5" s="1"/>
  <c r="K626" i="5"/>
  <c r="G626" i="5" s="1"/>
  <c r="N212" i="5"/>
  <c r="J212" i="5" s="1"/>
  <c r="N94" i="5"/>
  <c r="J94" i="5" s="1"/>
  <c r="N71" i="5"/>
  <c r="J71" i="5" s="1"/>
  <c r="M212" i="5"/>
  <c r="I212" i="5" s="1"/>
  <c r="K558" i="5"/>
  <c r="G558" i="5" s="1"/>
  <c r="N458" i="5"/>
  <c r="J458" i="5" s="1"/>
  <c r="M224" i="5"/>
  <c r="I224" i="5" s="1"/>
  <c r="K78" i="5"/>
  <c r="G78" i="5" s="1"/>
  <c r="N290" i="5"/>
  <c r="J290" i="5" s="1"/>
  <c r="K50" i="5"/>
  <c r="G50" i="5" s="1"/>
  <c r="M361" i="5"/>
  <c r="I361" i="5" s="1"/>
  <c r="K121" i="5"/>
  <c r="G121" i="5" s="1"/>
  <c r="M273" i="5"/>
  <c r="I273" i="5" s="1"/>
  <c r="K359" i="5"/>
  <c r="G359" i="5" s="1"/>
  <c r="L464" i="5"/>
  <c r="H464" i="5" s="1"/>
  <c r="N204" i="5"/>
  <c r="J204" i="5" s="1"/>
  <c r="N730" i="5"/>
  <c r="J730" i="5" s="1"/>
  <c r="N39" i="5"/>
  <c r="J39" i="5" s="1"/>
  <c r="L373" i="5"/>
  <c r="H373" i="5" s="1"/>
  <c r="L532" i="5"/>
  <c r="H532" i="5" s="1"/>
  <c r="K201" i="5"/>
  <c r="G201" i="5" s="1"/>
  <c r="M109" i="5"/>
  <c r="I109" i="5" s="1"/>
  <c r="K263" i="5"/>
  <c r="G263" i="5" s="1"/>
  <c r="N96" i="5"/>
  <c r="J96" i="5" s="1"/>
  <c r="M201" i="5"/>
  <c r="I201" i="5" s="1"/>
  <c r="M129" i="5"/>
  <c r="I129" i="5" s="1"/>
  <c r="M42" i="5"/>
  <c r="I42" i="5" s="1"/>
  <c r="L235" i="5"/>
  <c r="H235" i="5" s="1"/>
  <c r="L725" i="5"/>
  <c r="H725" i="5" s="1"/>
  <c r="M100" i="5"/>
  <c r="I100" i="5" s="1"/>
  <c r="K144" i="5"/>
  <c r="G144" i="5" s="1"/>
  <c r="K42" i="5"/>
  <c r="G42" i="5" s="1"/>
  <c r="L618" i="5"/>
  <c r="H618" i="5" s="1"/>
  <c r="M94" i="5"/>
  <c r="I94" i="5" s="1"/>
  <c r="M695" i="5"/>
  <c r="I695" i="5" s="1"/>
  <c r="M88" i="5"/>
  <c r="I88" i="5" s="1"/>
  <c r="K330" i="5"/>
  <c r="G330" i="5" s="1"/>
  <c r="N130" i="5"/>
  <c r="J130" i="5" s="1"/>
  <c r="L498" i="5"/>
  <c r="H498" i="5" s="1"/>
  <c r="M600" i="5"/>
  <c r="I600" i="5" s="1"/>
  <c r="L441" i="5"/>
  <c r="H441" i="5" s="1"/>
  <c r="K296" i="5"/>
  <c r="G296" i="5" s="1"/>
  <c r="L157" i="5"/>
  <c r="H157" i="5" s="1"/>
  <c r="K555" i="5"/>
  <c r="G555" i="5" s="1"/>
  <c r="N145" i="5"/>
  <c r="J145" i="5" s="1"/>
  <c r="M555" i="5"/>
  <c r="I555" i="5" s="1"/>
  <c r="M387" i="5"/>
  <c r="I387" i="5" s="1"/>
  <c r="L684" i="5"/>
  <c r="H684" i="5" s="1"/>
  <c r="N701" i="5"/>
  <c r="J701" i="5" s="1"/>
  <c r="K90" i="5"/>
  <c r="G90" i="5" s="1"/>
  <c r="M174" i="5"/>
  <c r="I174" i="5" s="1"/>
  <c r="M44" i="5"/>
  <c r="I44" i="5" s="1"/>
  <c r="L293" i="5"/>
  <c r="H293" i="5" s="1"/>
  <c r="L626" i="5"/>
  <c r="H626" i="5" s="1"/>
  <c r="N723" i="5"/>
  <c r="J723" i="5" s="1"/>
  <c r="K320" i="5"/>
  <c r="G320" i="5" s="1"/>
  <c r="L65" i="5"/>
  <c r="H65" i="5" s="1"/>
  <c r="K563" i="5"/>
  <c r="G563" i="5" s="1"/>
  <c r="M252" i="5"/>
  <c r="I252" i="5" s="1"/>
  <c r="N654" i="5"/>
  <c r="J654" i="5" s="1"/>
  <c r="N82" i="5"/>
  <c r="J82" i="5" s="1"/>
  <c r="M106" i="5"/>
  <c r="I106" i="5" s="1"/>
  <c r="N685" i="5"/>
  <c r="J685" i="5" s="1"/>
  <c r="N641" i="5"/>
  <c r="J641" i="5" s="1"/>
  <c r="K430" i="5"/>
  <c r="G430" i="5" s="1"/>
  <c r="N541" i="5"/>
  <c r="J541" i="5" s="1"/>
  <c r="N603" i="5"/>
  <c r="J603" i="5" s="1"/>
  <c r="N620" i="5"/>
  <c r="J620" i="5" s="1"/>
  <c r="K106" i="5"/>
  <c r="G106" i="5" s="1"/>
  <c r="K468" i="5"/>
  <c r="G468" i="5" s="1"/>
  <c r="L596" i="5"/>
  <c r="H596" i="5" s="1"/>
  <c r="M630" i="5"/>
  <c r="I630" i="5" s="1"/>
  <c r="M681" i="5"/>
  <c r="I681" i="5" s="1"/>
  <c r="L538" i="5"/>
  <c r="H538" i="5" s="1"/>
  <c r="M84" i="5"/>
  <c r="I84" i="5" s="1"/>
  <c r="M507" i="5"/>
  <c r="I507" i="5" s="1"/>
  <c r="N669" i="5"/>
  <c r="J669" i="5" s="1"/>
  <c r="M287" i="5"/>
  <c r="I287" i="5" s="1"/>
  <c r="L462" i="5"/>
  <c r="H462" i="5" s="1"/>
  <c r="N31" i="5"/>
  <c r="J31" i="5" s="1"/>
  <c r="M185" i="5"/>
  <c r="I185" i="5" s="1"/>
  <c r="L454" i="5"/>
  <c r="H454" i="5" s="1"/>
  <c r="L101" i="5"/>
  <c r="H101" i="5" s="1"/>
  <c r="N185" i="5"/>
  <c r="J185" i="5" s="1"/>
  <c r="K171" i="5"/>
  <c r="G171" i="5" s="1"/>
  <c r="N745" i="5"/>
  <c r="J745" i="5" s="1"/>
  <c r="L103" i="5"/>
  <c r="H103" i="5" s="1"/>
  <c r="K653" i="5"/>
  <c r="G653" i="5" s="1"/>
  <c r="M309" i="5"/>
  <c r="I309" i="5" s="1"/>
  <c r="M544" i="5"/>
  <c r="I544" i="5" s="1"/>
  <c r="L322" i="5"/>
  <c r="H322" i="5" s="1"/>
  <c r="K86" i="5"/>
  <c r="G86" i="5" s="1"/>
  <c r="N26" i="5"/>
  <c r="J26" i="5" s="1"/>
  <c r="K323" i="5"/>
  <c r="G323" i="5" s="1"/>
  <c r="K527" i="5"/>
  <c r="G527" i="5" s="1"/>
  <c r="M454" i="5"/>
  <c r="I454" i="5" s="1"/>
  <c r="K463" i="5"/>
  <c r="G463" i="5" s="1"/>
  <c r="L566" i="5"/>
  <c r="H566" i="5" s="1"/>
  <c r="K317" i="5"/>
  <c r="G317" i="5" s="1"/>
  <c r="K118" i="5"/>
  <c r="G118" i="5" s="1"/>
  <c r="N92" i="5"/>
  <c r="J92" i="5" s="1"/>
  <c r="M706" i="5"/>
  <c r="I706" i="5" s="1"/>
  <c r="N346" i="5"/>
  <c r="J346" i="5" s="1"/>
  <c r="M31" i="5"/>
  <c r="I31" i="5" s="1"/>
  <c r="K648" i="5"/>
  <c r="G648" i="5" s="1"/>
  <c r="K646" i="5"/>
  <c r="G646" i="5" s="1"/>
  <c r="L630" i="5"/>
  <c r="H630" i="5" s="1"/>
  <c r="N70" i="5"/>
  <c r="J70" i="5" s="1"/>
  <c r="M686" i="5"/>
  <c r="I686" i="5" s="1"/>
  <c r="M213" i="5"/>
  <c r="I213" i="5" s="1"/>
  <c r="K511" i="5"/>
  <c r="G511" i="5" s="1"/>
  <c r="N208" i="5"/>
  <c r="J208" i="5" s="1"/>
  <c r="L86" i="5"/>
  <c r="H86" i="5" s="1"/>
  <c r="K679" i="5"/>
  <c r="G679" i="5" s="1"/>
  <c r="L541" i="5"/>
  <c r="H541" i="5" s="1"/>
  <c r="L457" i="5"/>
  <c r="H457" i="5" s="1"/>
  <c r="K346" i="5"/>
  <c r="G346" i="5" s="1"/>
  <c r="M462" i="5"/>
  <c r="I462" i="5" s="1"/>
  <c r="N523" i="5"/>
  <c r="J523" i="5" s="1"/>
  <c r="K27" i="5"/>
  <c r="G27" i="5" s="1"/>
  <c r="N278" i="5"/>
  <c r="J278" i="5" s="1"/>
  <c r="L549" i="5"/>
  <c r="H549" i="5" s="1"/>
  <c r="K180" i="5"/>
  <c r="G180" i="5" s="1"/>
  <c r="K541" i="5"/>
  <c r="G541" i="5" s="1"/>
  <c r="K112" i="5"/>
  <c r="G112" i="5" s="1"/>
  <c r="L183" i="5"/>
  <c r="H183" i="5" s="1"/>
  <c r="K376" i="5"/>
  <c r="G376" i="5" s="1"/>
  <c r="N735" i="5"/>
  <c r="J735" i="5" s="1"/>
  <c r="M295" i="5"/>
  <c r="I295" i="5" s="1"/>
  <c r="K420" i="5"/>
  <c r="G420" i="5" s="1"/>
  <c r="M278" i="5"/>
  <c r="I278" i="5" s="1"/>
  <c r="N376" i="5"/>
  <c r="J376" i="5" s="1"/>
  <c r="K55" i="5"/>
  <c r="G55" i="5" s="1"/>
  <c r="L468" i="5"/>
  <c r="H468" i="5" s="1"/>
  <c r="L761" i="5"/>
  <c r="H761" i="5" s="1"/>
  <c r="N298" i="5"/>
  <c r="J298" i="5" s="1"/>
  <c r="N678" i="5"/>
  <c r="J678" i="5" s="1"/>
  <c r="K469" i="5"/>
  <c r="G469" i="5" s="1"/>
  <c r="L666" i="5"/>
  <c r="H666" i="5" s="1"/>
  <c r="M69" i="5"/>
  <c r="I69" i="5" s="1"/>
  <c r="L651" i="5"/>
  <c r="H651" i="5" s="1"/>
  <c r="K641" i="5"/>
  <c r="G641" i="5" s="1"/>
  <c r="M484" i="5"/>
  <c r="I484" i="5" s="1"/>
  <c r="N22" i="5"/>
  <c r="J22" i="5" s="1"/>
  <c r="L519" i="5"/>
  <c r="H519" i="5" s="1"/>
  <c r="L49" i="5"/>
  <c r="H49" i="5" s="1"/>
  <c r="N546" i="5"/>
  <c r="J546" i="5" s="1"/>
  <c r="K538" i="5"/>
  <c r="G538" i="5" s="1"/>
  <c r="M240" i="5"/>
  <c r="I240" i="5" s="1"/>
  <c r="M679" i="5"/>
  <c r="I679" i="5" s="1"/>
  <c r="L31" i="5"/>
  <c r="H31" i="5" s="1"/>
  <c r="N188" i="5"/>
  <c r="J188" i="5" s="1"/>
  <c r="N171" i="5"/>
  <c r="J171" i="5" s="1"/>
  <c r="K70" i="5"/>
  <c r="G70" i="5" s="1"/>
  <c r="M353" i="5"/>
  <c r="I353" i="5" s="1"/>
  <c r="N123" i="5"/>
  <c r="J123" i="5" s="1"/>
  <c r="N535" i="5"/>
  <c r="J535" i="5" s="1"/>
  <c r="K621" i="5"/>
  <c r="G621" i="5" s="1"/>
  <c r="M171" i="5"/>
  <c r="I171" i="5" s="1"/>
  <c r="L497" i="5"/>
  <c r="H497" i="5" s="1"/>
  <c r="L504" i="5"/>
  <c r="H504" i="5" s="1"/>
  <c r="K747" i="5"/>
  <c r="G747" i="5" s="1"/>
  <c r="L669" i="5"/>
  <c r="H669" i="5" s="1"/>
  <c r="M731" i="5"/>
  <c r="I731" i="5" s="1"/>
  <c r="L706" i="5"/>
  <c r="H706" i="5" s="1"/>
  <c r="M648" i="5"/>
  <c r="I648" i="5" s="1"/>
  <c r="N353" i="5"/>
  <c r="J353" i="5" s="1"/>
  <c r="K353" i="5"/>
  <c r="G353" i="5" s="1"/>
  <c r="K559" i="5"/>
  <c r="G559" i="5" s="1"/>
  <c r="M745" i="5"/>
  <c r="I745" i="5" s="1"/>
  <c r="L415" i="5"/>
  <c r="H415" i="5" s="1"/>
  <c r="K448" i="5"/>
  <c r="G448" i="5" s="1"/>
  <c r="L55" i="5"/>
  <c r="H55" i="5" s="1"/>
  <c r="N454" i="5"/>
  <c r="J454" i="5" s="1"/>
  <c r="K669" i="5"/>
  <c r="G669" i="5" s="1"/>
  <c r="L85" i="5"/>
  <c r="H85" i="5" s="1"/>
  <c r="K581" i="5"/>
  <c r="G581" i="5" s="1"/>
  <c r="L248" i="5"/>
  <c r="H248" i="5" s="1"/>
  <c r="L640" i="5"/>
  <c r="H640" i="5" s="1"/>
  <c r="K369" i="5"/>
  <c r="G369" i="5" s="1"/>
  <c r="N462" i="5"/>
  <c r="J462" i="5" s="1"/>
  <c r="M541" i="5"/>
  <c r="I541" i="5" s="1"/>
  <c r="M118" i="5"/>
  <c r="I118" i="5" s="1"/>
  <c r="N664" i="5"/>
  <c r="J664" i="5" s="1"/>
  <c r="M246" i="5"/>
  <c r="I246" i="5" s="1"/>
  <c r="N229" i="5"/>
  <c r="J229" i="5" s="1"/>
  <c r="K307" i="5"/>
  <c r="G307" i="5" s="1"/>
  <c r="L449" i="5"/>
  <c r="H449" i="5" s="1"/>
  <c r="L641" i="5"/>
  <c r="H641" i="5" s="1"/>
  <c r="M517" i="5"/>
  <c r="I517" i="5" s="1"/>
  <c r="N260" i="5"/>
  <c r="J260" i="5" s="1"/>
  <c r="K30" i="5"/>
  <c r="G30" i="5" s="1"/>
  <c r="L686" i="5"/>
  <c r="H686" i="5" s="1"/>
  <c r="N69" i="5"/>
  <c r="J69" i="5" s="1"/>
  <c r="M79" i="5"/>
  <c r="I79" i="5" s="1"/>
  <c r="M670" i="5"/>
  <c r="I670" i="5" s="1"/>
  <c r="L690" i="5"/>
  <c r="H690" i="5" s="1"/>
  <c r="L307" i="5"/>
  <c r="H307" i="5" s="1"/>
  <c r="L535" i="5"/>
  <c r="H535" i="5" s="1"/>
  <c r="L530" i="5"/>
  <c r="H530" i="5" s="1"/>
  <c r="K79" i="5"/>
  <c r="G79" i="5" s="1"/>
  <c r="M664" i="5"/>
  <c r="I664" i="5" s="1"/>
  <c r="L229" i="5"/>
  <c r="H229" i="5" s="1"/>
  <c r="N761" i="5"/>
  <c r="J761" i="5" s="1"/>
  <c r="L118" i="5"/>
  <c r="H118" i="5" s="1"/>
  <c r="M480" i="5"/>
  <c r="I480" i="5" s="1"/>
  <c r="L507" i="5"/>
  <c r="H507" i="5" s="1"/>
  <c r="L511" i="5"/>
  <c r="H511" i="5" s="1"/>
  <c r="K523" i="5"/>
  <c r="G523" i="5" s="1"/>
  <c r="M402" i="5"/>
  <c r="I402" i="5" s="1"/>
  <c r="M535" i="5"/>
  <c r="I535" i="5" s="1"/>
  <c r="K411" i="5"/>
  <c r="G411" i="5" s="1"/>
  <c r="L376" i="5"/>
  <c r="H376" i="5" s="1"/>
  <c r="M735" i="5"/>
  <c r="I735" i="5" s="1"/>
  <c r="L111" i="5"/>
  <c r="H111" i="5" s="1"/>
  <c r="M181" i="5"/>
  <c r="I181" i="5" s="1"/>
  <c r="N559" i="5"/>
  <c r="J559" i="5" s="1"/>
  <c r="N106" i="5"/>
  <c r="J106" i="5" s="1"/>
  <c r="K670" i="5"/>
  <c r="G670" i="5" s="1"/>
  <c r="N337" i="5"/>
  <c r="J337" i="5" s="1"/>
  <c r="K181" i="5"/>
  <c r="G181" i="5" s="1"/>
  <c r="M36" i="5"/>
  <c r="I36" i="5" s="1"/>
  <c r="L92" i="5"/>
  <c r="H92" i="5" s="1"/>
  <c r="K507" i="5"/>
  <c r="G507" i="5" s="1"/>
  <c r="L559" i="5"/>
  <c r="H559" i="5" s="1"/>
  <c r="M620" i="5"/>
  <c r="I620" i="5" s="1"/>
  <c r="L620" i="5"/>
  <c r="H620" i="5" s="1"/>
  <c r="N433" i="5"/>
  <c r="J433" i="5" s="1"/>
  <c r="M613" i="5"/>
  <c r="I613" i="5" s="1"/>
  <c r="L446" i="5"/>
  <c r="H446" i="5" s="1"/>
  <c r="N544" i="5"/>
  <c r="J544" i="5" s="1"/>
  <c r="K185" i="5"/>
  <c r="G185" i="5" s="1"/>
  <c r="M526" i="5"/>
  <c r="I526" i="5" s="1"/>
  <c r="K535" i="5"/>
  <c r="G535" i="5" s="1"/>
  <c r="N457" i="5"/>
  <c r="J457" i="5" s="1"/>
  <c r="N469" i="5"/>
  <c r="J469" i="5" s="1"/>
  <c r="M228" i="5"/>
  <c r="I228" i="5" s="1"/>
  <c r="N706" i="5"/>
  <c r="J706" i="5" s="1"/>
  <c r="L382" i="5"/>
  <c r="H382" i="5" s="1"/>
  <c r="L106" i="5"/>
  <c r="H106" i="5" s="1"/>
  <c r="K93" i="5"/>
  <c r="G93" i="5" s="1"/>
  <c r="K229" i="5"/>
  <c r="G229" i="5" s="1"/>
  <c r="K139" i="5"/>
  <c r="G139" i="5" s="1"/>
  <c r="K382" i="5"/>
  <c r="G382" i="5" s="1"/>
  <c r="L402" i="5"/>
  <c r="H402" i="5" s="1"/>
  <c r="M764" i="5"/>
  <c r="I764" i="5" s="1"/>
  <c r="L361" i="5"/>
  <c r="H361" i="5" s="1"/>
  <c r="M538" i="5"/>
  <c r="I538" i="5" s="1"/>
  <c r="K400" i="5"/>
  <c r="G400" i="5" s="1"/>
  <c r="M519" i="5"/>
  <c r="I519" i="5" s="1"/>
  <c r="N369" i="5"/>
  <c r="J369" i="5" s="1"/>
  <c r="L448" i="5"/>
  <c r="H448" i="5" s="1"/>
  <c r="N747" i="5"/>
  <c r="J747" i="5" s="1"/>
  <c r="K686" i="5"/>
  <c r="G686" i="5" s="1"/>
  <c r="M597" i="5"/>
  <c r="I597" i="5" s="1"/>
  <c r="L83" i="5"/>
  <c r="H83" i="5" s="1"/>
  <c r="L517" i="5"/>
  <c r="H517" i="5" s="1"/>
  <c r="K278" i="5"/>
  <c r="G278" i="5" s="1"/>
  <c r="L112" i="5"/>
  <c r="H112" i="5" s="1"/>
  <c r="M448" i="5"/>
  <c r="I448" i="5" s="1"/>
  <c r="L30" i="5"/>
  <c r="H30" i="5" s="1"/>
  <c r="L648" i="5"/>
  <c r="H648" i="5" s="1"/>
  <c r="L188" i="5"/>
  <c r="H188" i="5" s="1"/>
  <c r="N681" i="5"/>
  <c r="J681" i="5" s="1"/>
  <c r="L544" i="5"/>
  <c r="H544" i="5" s="1"/>
  <c r="N313" i="5"/>
  <c r="J313" i="5" s="1"/>
  <c r="L523" i="5"/>
  <c r="H523" i="5" s="1"/>
  <c r="M93" i="5"/>
  <c r="I93" i="5" s="1"/>
  <c r="K544" i="5"/>
  <c r="G544" i="5" s="1"/>
  <c r="L433" i="5"/>
  <c r="H433" i="5" s="1"/>
  <c r="M430" i="5"/>
  <c r="I430" i="5" s="1"/>
  <c r="K177" i="5"/>
  <c r="G177" i="5" s="1"/>
  <c r="K101" i="5"/>
  <c r="G101" i="5" s="1"/>
  <c r="L323" i="5"/>
  <c r="H323" i="5" s="1"/>
  <c r="L185" i="5"/>
  <c r="H185" i="5" s="1"/>
  <c r="M559" i="5"/>
  <c r="I559" i="5" s="1"/>
  <c r="N480" i="5"/>
  <c r="J480" i="5" s="1"/>
  <c r="K26" i="5"/>
  <c r="G26" i="5" s="1"/>
  <c r="N452" i="5"/>
  <c r="J452" i="5" s="1"/>
  <c r="L452" i="5"/>
  <c r="H452" i="5" s="1"/>
  <c r="L22" i="5"/>
  <c r="H22" i="5" s="1"/>
  <c r="L430" i="5"/>
  <c r="H430" i="5" s="1"/>
  <c r="K83" i="5"/>
  <c r="G83" i="5" s="1"/>
  <c r="L510" i="5"/>
  <c r="H510" i="5" s="1"/>
  <c r="N196" i="5"/>
  <c r="J196" i="5" s="1"/>
  <c r="L489" i="5"/>
  <c r="H489" i="5" s="1"/>
  <c r="N507" i="5"/>
  <c r="J507" i="5" s="1"/>
  <c r="N670" i="5"/>
  <c r="J670" i="5" s="1"/>
  <c r="L114" i="5"/>
  <c r="H114" i="5" s="1"/>
  <c r="L678" i="5"/>
  <c r="H678" i="5" s="1"/>
  <c r="N530" i="5"/>
  <c r="J530" i="5" s="1"/>
  <c r="L123" i="5"/>
  <c r="H123" i="5" s="1"/>
  <c r="L685" i="5"/>
  <c r="H685" i="5" s="1"/>
  <c r="N430" i="5"/>
  <c r="J430" i="5" s="1"/>
  <c r="M705" i="5"/>
  <c r="I705" i="5" s="1"/>
  <c r="L702" i="5"/>
  <c r="H702" i="5" s="1"/>
  <c r="M596" i="5"/>
  <c r="I596" i="5" s="1"/>
  <c r="N115" i="5"/>
  <c r="J115" i="5" s="1"/>
  <c r="L126" i="5"/>
  <c r="H126" i="5" s="1"/>
  <c r="K123" i="5"/>
  <c r="G123" i="5" s="1"/>
  <c r="N566" i="5"/>
  <c r="J566" i="5" s="1"/>
  <c r="L388" i="5"/>
  <c r="H388" i="5" s="1"/>
  <c r="M114" i="5"/>
  <c r="I114" i="5" s="1"/>
  <c r="N211" i="5"/>
  <c r="J211" i="5" s="1"/>
  <c r="N449" i="5"/>
  <c r="J449" i="5" s="1"/>
  <c r="L287" i="5"/>
  <c r="H287" i="5" s="1"/>
  <c r="N391" i="5"/>
  <c r="J391" i="5" s="1"/>
  <c r="M152" i="5"/>
  <c r="I152" i="5" s="1"/>
  <c r="K313" i="5"/>
  <c r="G313" i="5" s="1"/>
  <c r="L670" i="5"/>
  <c r="H670" i="5" s="1"/>
  <c r="M581" i="5"/>
  <c r="I581" i="5" s="1"/>
  <c r="K115" i="5"/>
  <c r="G115" i="5" s="1"/>
  <c r="M260" i="5"/>
  <c r="I260" i="5" s="1"/>
  <c r="L664" i="5"/>
  <c r="H664" i="5" s="1"/>
  <c r="N577" i="5"/>
  <c r="J577" i="5" s="1"/>
  <c r="N648" i="5"/>
  <c r="J648" i="5" s="1"/>
  <c r="N307" i="5"/>
  <c r="J307" i="5" s="1"/>
  <c r="M126" i="5"/>
  <c r="I126" i="5" s="1"/>
  <c r="K678" i="5"/>
  <c r="G678" i="5" s="1"/>
  <c r="K685" i="5"/>
  <c r="G685" i="5" s="1"/>
  <c r="K260" i="5"/>
  <c r="G260" i="5" s="1"/>
  <c r="L79" i="5"/>
  <c r="H79" i="5" s="1"/>
  <c r="L313" i="5"/>
  <c r="H313" i="5" s="1"/>
  <c r="K519" i="5"/>
  <c r="G519" i="5" s="1"/>
  <c r="N448" i="5"/>
  <c r="J448" i="5" s="1"/>
  <c r="N101" i="5"/>
  <c r="J101" i="5" s="1"/>
  <c r="K433" i="5"/>
  <c r="G433" i="5" s="1"/>
  <c r="K22" i="5"/>
  <c r="G22" i="5" s="1"/>
  <c r="K114" i="5"/>
  <c r="G114" i="5" s="1"/>
  <c r="N704" i="5"/>
  <c r="J704" i="5" s="1"/>
  <c r="M452" i="5"/>
  <c r="I452" i="5" s="1"/>
  <c r="M239" i="5"/>
  <c r="I239" i="5" s="1"/>
  <c r="M166" i="5"/>
  <c r="I166" i="5" s="1"/>
  <c r="L260" i="5"/>
  <c r="H260" i="5" s="1"/>
  <c r="N166" i="5"/>
  <c r="J166" i="5" s="1"/>
  <c r="L278" i="5"/>
  <c r="H278" i="5" s="1"/>
  <c r="M307" i="5"/>
  <c r="I307" i="5" s="1"/>
  <c r="N126" i="5"/>
  <c r="J126" i="5" s="1"/>
  <c r="L369" i="5"/>
  <c r="H369" i="5" s="1"/>
  <c r="M317" i="5"/>
  <c r="I317" i="5" s="1"/>
  <c r="K31" i="5"/>
  <c r="G31" i="5" s="1"/>
  <c r="N36" i="5"/>
  <c r="J36" i="5" s="1"/>
  <c r="K480" i="5"/>
  <c r="G480" i="5" s="1"/>
  <c r="M313" i="5"/>
  <c r="I313" i="5" s="1"/>
  <c r="M376" i="5"/>
  <c r="I376" i="5" s="1"/>
  <c r="L26" i="5"/>
  <c r="H26" i="5" s="1"/>
  <c r="L603" i="5"/>
  <c r="H603" i="5" s="1"/>
  <c r="K228" i="5"/>
  <c r="G228" i="5" s="1"/>
  <c r="M641" i="5"/>
  <c r="I641" i="5" s="1"/>
  <c r="M346" i="5"/>
  <c r="I346" i="5" s="1"/>
  <c r="N79" i="5"/>
  <c r="J79" i="5" s="1"/>
  <c r="N254" i="5"/>
  <c r="J254" i="5" s="1"/>
  <c r="M22" i="5"/>
  <c r="I22" i="5" s="1"/>
  <c r="K462" i="5"/>
  <c r="G462" i="5" s="1"/>
  <c r="M323" i="5"/>
  <c r="I323" i="5" s="1"/>
  <c r="L353" i="5"/>
  <c r="H353" i="5" s="1"/>
  <c r="K690" i="5"/>
  <c r="G690" i="5" s="1"/>
  <c r="M92" i="5"/>
  <c r="I92" i="5" s="1"/>
  <c r="K596" i="5"/>
  <c r="G596" i="5" s="1"/>
  <c r="L208" i="5"/>
  <c r="H208" i="5" s="1"/>
  <c r="M603" i="5"/>
  <c r="I603" i="5" s="1"/>
  <c r="N510" i="5"/>
  <c r="J510" i="5" s="1"/>
  <c r="K239" i="5"/>
  <c r="G239" i="5" s="1"/>
  <c r="M433" i="5"/>
  <c r="I433" i="5" s="1"/>
  <c r="M678" i="5"/>
  <c r="I678" i="5" s="1"/>
  <c r="L704" i="5"/>
  <c r="H704" i="5" s="1"/>
  <c r="N596" i="5"/>
  <c r="J596" i="5" s="1"/>
  <c r="L115" i="5"/>
  <c r="H115" i="5" s="1"/>
  <c r="N500" i="5"/>
  <c r="J500" i="5" s="1"/>
  <c r="K605" i="5"/>
  <c r="G605" i="5" s="1"/>
  <c r="K203" i="5"/>
  <c r="G203" i="5" s="1"/>
  <c r="K132" i="5"/>
  <c r="G132" i="5" s="1"/>
  <c r="N766" i="5"/>
  <c r="J766" i="5" s="1"/>
  <c r="M63" i="5"/>
  <c r="I63" i="5" s="1"/>
  <c r="M689" i="5"/>
  <c r="I689" i="5" s="1"/>
  <c r="N490" i="5"/>
  <c r="J490" i="5" s="1"/>
  <c r="N213" i="5"/>
  <c r="J213" i="5" s="1"/>
  <c r="K249" i="5"/>
  <c r="G249" i="5" s="1"/>
  <c r="K210" i="5"/>
  <c r="G210" i="5" s="1"/>
  <c r="N321" i="5"/>
  <c r="J321" i="5" s="1"/>
  <c r="N142" i="5"/>
  <c r="J142" i="5" s="1"/>
  <c r="L226" i="5"/>
  <c r="H226" i="5" s="1"/>
  <c r="N296" i="5"/>
  <c r="J296" i="5" s="1"/>
  <c r="L539" i="5"/>
  <c r="H539" i="5" s="1"/>
  <c r="K54" i="5"/>
  <c r="G54" i="5" s="1"/>
  <c r="M563" i="5"/>
  <c r="I563" i="5" s="1"/>
  <c r="M720" i="5"/>
  <c r="I720" i="5" s="1"/>
  <c r="M725" i="5"/>
  <c r="I725" i="5" s="1"/>
  <c r="L484" i="5"/>
  <c r="H484" i="5" s="1"/>
  <c r="K577" i="5"/>
  <c r="G577" i="5" s="1"/>
  <c r="K396" i="5"/>
  <c r="G396" i="5" s="1"/>
  <c r="N370" i="5"/>
  <c r="J370" i="5" s="1"/>
  <c r="K256" i="5"/>
  <c r="G256" i="5" s="1"/>
  <c r="K722" i="5"/>
  <c r="G722" i="5" s="1"/>
  <c r="N340" i="5"/>
  <c r="J340" i="5" s="1"/>
  <c r="N255" i="5"/>
  <c r="J255" i="5" s="1"/>
  <c r="N133" i="5"/>
  <c r="J133" i="5" s="1"/>
  <c r="N447" i="5"/>
  <c r="J447" i="5" s="1"/>
  <c r="M589" i="5"/>
  <c r="I589" i="5" s="1"/>
  <c r="M446" i="5"/>
  <c r="I446" i="5" s="1"/>
  <c r="M532" i="5"/>
  <c r="I532" i="5" s="1"/>
  <c r="L652" i="5"/>
  <c r="H652" i="5" s="1"/>
  <c r="N629" i="5"/>
  <c r="J629" i="5" s="1"/>
  <c r="K375" i="5"/>
  <c r="G375" i="5" s="1"/>
  <c r="L659" i="5"/>
  <c r="H659" i="5" s="1"/>
  <c r="K637" i="5"/>
  <c r="G637" i="5" s="1"/>
  <c r="N163" i="5"/>
  <c r="J163" i="5" s="1"/>
  <c r="M558" i="5"/>
  <c r="I558" i="5" s="1"/>
  <c r="M289" i="5"/>
  <c r="I289" i="5" s="1"/>
  <c r="M497" i="5"/>
  <c r="I497" i="5" s="1"/>
  <c r="K512" i="5"/>
  <c r="G512" i="5" s="1"/>
  <c r="N483" i="5"/>
  <c r="J483" i="5" s="1"/>
  <c r="K477" i="5"/>
  <c r="G477" i="5" s="1"/>
  <c r="K592" i="5"/>
  <c r="G592" i="5" s="1"/>
  <c r="K133" i="5"/>
  <c r="G133" i="5" s="1"/>
  <c r="M734" i="5"/>
  <c r="I734" i="5" s="1"/>
  <c r="K213" i="5"/>
  <c r="G213" i="5" s="1"/>
  <c r="M133" i="5"/>
  <c r="I133" i="5" s="1"/>
  <c r="N177" i="5"/>
  <c r="J177" i="5" s="1"/>
  <c r="L621" i="5"/>
  <c r="H621" i="5" s="1"/>
  <c r="M683" i="5"/>
  <c r="I683" i="5" s="1"/>
  <c r="N50" i="5"/>
  <c r="J50" i="5" s="1"/>
  <c r="L273" i="5"/>
  <c r="H273" i="5" s="1"/>
  <c r="M552" i="5"/>
  <c r="I552" i="5" s="1"/>
  <c r="M160" i="5"/>
  <c r="I160" i="5" s="1"/>
  <c r="L577" i="5"/>
  <c r="H577" i="5" s="1"/>
  <c r="L370" i="5"/>
  <c r="H370" i="5" s="1"/>
  <c r="K532" i="5"/>
  <c r="G532" i="5" s="1"/>
  <c r="L218" i="5"/>
  <c r="H218" i="5" s="1"/>
  <c r="K437" i="5"/>
  <c r="G437" i="5" s="1"/>
  <c r="L546" i="5"/>
  <c r="H546" i="5" s="1"/>
  <c r="M595" i="5"/>
  <c r="I595" i="5" s="1"/>
  <c r="K553" i="5"/>
  <c r="G553" i="5" s="1"/>
  <c r="M321" i="5"/>
  <c r="I321" i="5" s="1"/>
  <c r="K704" i="5"/>
  <c r="G704" i="5" s="1"/>
  <c r="M354" i="5"/>
  <c r="I354" i="5" s="1"/>
  <c r="M598" i="5"/>
  <c r="I598" i="5" s="1"/>
  <c r="N652" i="5"/>
  <c r="J652" i="5" s="1"/>
  <c r="K306" i="5"/>
  <c r="G306" i="5" s="1"/>
  <c r="M183" i="5"/>
  <c r="I183" i="5" s="1"/>
  <c r="K152" i="5"/>
  <c r="G152" i="5" s="1"/>
  <c r="L581" i="5"/>
  <c r="H581" i="5" s="1"/>
  <c r="M75" i="5"/>
  <c r="I75" i="5" s="1"/>
  <c r="K188" i="5"/>
  <c r="G188" i="5" s="1"/>
  <c r="K322" i="5"/>
  <c r="G322" i="5" s="1"/>
  <c r="L477" i="5"/>
  <c r="H477" i="5" s="1"/>
  <c r="K643" i="5"/>
  <c r="G643" i="5" s="1"/>
  <c r="K75" i="5"/>
  <c r="G75" i="5" s="1"/>
  <c r="K265" i="5"/>
  <c r="G265" i="5" s="1"/>
  <c r="L210" i="5"/>
  <c r="H210" i="5" s="1"/>
  <c r="L461" i="5"/>
  <c r="H461" i="5" s="1"/>
  <c r="N511" i="5"/>
  <c r="J511" i="5" s="1"/>
  <c r="K615" i="5"/>
  <c r="G615" i="5" s="1"/>
  <c r="K570" i="5"/>
  <c r="G570" i="5" s="1"/>
  <c r="M539" i="5"/>
  <c r="I539" i="5" s="1"/>
  <c r="L212" i="5"/>
  <c r="H212" i="5" s="1"/>
  <c r="L82" i="5"/>
  <c r="H82" i="5" s="1"/>
  <c r="N568" i="5"/>
  <c r="J568" i="5" s="1"/>
  <c r="K623" i="5"/>
  <c r="G623" i="5" s="1"/>
  <c r="K664" i="5"/>
  <c r="G664" i="5" s="1"/>
  <c r="L587" i="5"/>
  <c r="H587" i="5" s="1"/>
  <c r="L583" i="5"/>
  <c r="H583" i="5" s="1"/>
  <c r="M371" i="5"/>
  <c r="I371" i="5" s="1"/>
  <c r="N159" i="5"/>
  <c r="J159" i="5" s="1"/>
  <c r="M338" i="5"/>
  <c r="I338" i="5" s="1"/>
  <c r="L515" i="5"/>
  <c r="H515" i="5" s="1"/>
  <c r="M621" i="5"/>
  <c r="I621" i="5" s="1"/>
  <c r="N763" i="5"/>
  <c r="J763" i="5" s="1"/>
  <c r="M747" i="5"/>
  <c r="I747" i="5" s="1"/>
  <c r="N707" i="5"/>
  <c r="J707" i="5" s="1"/>
  <c r="L645" i="5"/>
  <c r="H645" i="5" s="1"/>
  <c r="N636" i="5"/>
  <c r="J636" i="5" s="1"/>
  <c r="K103" i="5"/>
  <c r="G103" i="5" s="1"/>
  <c r="L540" i="5"/>
  <c r="H540" i="5" s="1"/>
  <c r="K355" i="5"/>
  <c r="G355" i="5" s="1"/>
  <c r="L230" i="5"/>
  <c r="H230" i="5" s="1"/>
  <c r="K531" i="5"/>
  <c r="G531" i="5" s="1"/>
  <c r="L420" i="5"/>
  <c r="H420" i="5" s="1"/>
  <c r="L427" i="5"/>
  <c r="H427" i="5" s="1"/>
  <c r="L726" i="5"/>
  <c r="H726" i="5" s="1"/>
  <c r="L680" i="5"/>
  <c r="H680" i="5" s="1"/>
  <c r="K412" i="5"/>
  <c r="G412" i="5" s="1"/>
  <c r="L393" i="5"/>
  <c r="H393" i="5" s="1"/>
  <c r="L241" i="5"/>
  <c r="H241" i="5" s="1"/>
  <c r="M125" i="5"/>
  <c r="I125" i="5" s="1"/>
  <c r="N136" i="5"/>
  <c r="J136" i="5" s="1"/>
  <c r="L311" i="5"/>
  <c r="H311" i="5" s="1"/>
  <c r="K566" i="5"/>
  <c r="G566" i="5" s="1"/>
  <c r="M607" i="5"/>
  <c r="I607" i="5" s="1"/>
  <c r="M200" i="5"/>
  <c r="I200" i="5" s="1"/>
  <c r="M104" i="5"/>
  <c r="I104" i="5" s="1"/>
  <c r="M580" i="5"/>
  <c r="I580" i="5" s="1"/>
  <c r="L459" i="5"/>
  <c r="H459" i="5" s="1"/>
  <c r="K298" i="5"/>
  <c r="G298" i="5" s="1"/>
  <c r="K440" i="5"/>
  <c r="G440" i="5" s="1"/>
  <c r="K241" i="5"/>
  <c r="G241" i="5" s="1"/>
  <c r="M714" i="5"/>
  <c r="I714" i="5" s="1"/>
  <c r="L238" i="5"/>
  <c r="H238" i="5" s="1"/>
  <c r="K391" i="5"/>
  <c r="G391" i="5" s="1"/>
  <c r="M59" i="5"/>
  <c r="I59" i="5" s="1"/>
  <c r="L747" i="5"/>
  <c r="H747" i="5" s="1"/>
  <c r="M196" i="5"/>
  <c r="I196" i="5" s="1"/>
  <c r="K245" i="5"/>
  <c r="G245" i="5" s="1"/>
  <c r="K478" i="5"/>
  <c r="G478" i="5" s="1"/>
  <c r="K280" i="5"/>
  <c r="G280" i="5" s="1"/>
  <c r="K254" i="5"/>
  <c r="G254" i="5" s="1"/>
  <c r="M666" i="5"/>
  <c r="I666" i="5" s="1"/>
  <c r="N103" i="5"/>
  <c r="J103" i="5" s="1"/>
  <c r="M250" i="5"/>
  <c r="I250" i="5" s="1"/>
  <c r="L675" i="5"/>
  <c r="H675" i="5" s="1"/>
  <c r="L572" i="5"/>
  <c r="H572" i="5" s="1"/>
  <c r="M508" i="5"/>
  <c r="I508" i="5" s="1"/>
  <c r="N671" i="5"/>
  <c r="J671" i="5" s="1"/>
  <c r="M241" i="5"/>
  <c r="I241" i="5" s="1"/>
  <c r="L764" i="5"/>
  <c r="H764" i="5" s="1"/>
  <c r="N325" i="5"/>
  <c r="J325" i="5" s="1"/>
  <c r="K364" i="5"/>
  <c r="G364" i="5" s="1"/>
  <c r="K640" i="5"/>
  <c r="G640" i="5" s="1"/>
  <c r="N582" i="5"/>
  <c r="J582" i="5" s="1"/>
  <c r="N402" i="5"/>
  <c r="J402" i="5" s="1"/>
  <c r="K337" i="5"/>
  <c r="G337" i="5" s="1"/>
  <c r="K726" i="5"/>
  <c r="G726" i="5" s="1"/>
  <c r="N554" i="5"/>
  <c r="J554" i="5" s="1"/>
  <c r="L440" i="5"/>
  <c r="H440" i="5" s="1"/>
  <c r="L298" i="5"/>
  <c r="H298" i="5" s="1"/>
  <c r="M407" i="5"/>
  <c r="I407" i="5" s="1"/>
  <c r="L531" i="5"/>
  <c r="H531" i="5" s="1"/>
  <c r="L701" i="5"/>
  <c r="H701" i="5" s="1"/>
  <c r="K728" i="5"/>
  <c r="G728" i="5" s="1"/>
  <c r="N241" i="5"/>
  <c r="J241" i="5" s="1"/>
  <c r="K377" i="5"/>
  <c r="G377" i="5" s="1"/>
  <c r="N322" i="5"/>
  <c r="J322" i="5" s="1"/>
  <c r="M337" i="5"/>
  <c r="I337" i="5" s="1"/>
  <c r="K606" i="5"/>
  <c r="G606" i="5" s="1"/>
  <c r="L693" i="5"/>
  <c r="H693" i="5" s="1"/>
  <c r="M719" i="5"/>
  <c r="I719" i="5" s="1"/>
  <c r="L377" i="5"/>
  <c r="H377" i="5" s="1"/>
  <c r="L74" i="5"/>
  <c r="H74" i="5" s="1"/>
  <c r="N104" i="5"/>
  <c r="J104" i="5" s="1"/>
  <c r="K295" i="5"/>
  <c r="G295" i="5" s="1"/>
  <c r="K237" i="5"/>
  <c r="G237" i="5" s="1"/>
  <c r="N509" i="5"/>
  <c r="J509" i="5" s="1"/>
  <c r="M256" i="5"/>
  <c r="I256" i="5" s="1"/>
  <c r="M189" i="5"/>
  <c r="I189" i="5" s="1"/>
  <c r="K344" i="5"/>
  <c r="G344" i="5" s="1"/>
  <c r="L405" i="5"/>
  <c r="H405" i="5" s="1"/>
  <c r="K338" i="5"/>
  <c r="G338" i="5" s="1"/>
  <c r="N197" i="5"/>
  <c r="J197" i="5" s="1"/>
  <c r="N418" i="5"/>
  <c r="J418" i="5" s="1"/>
  <c r="N728" i="5"/>
  <c r="J728" i="5" s="1"/>
  <c r="L344" i="5"/>
  <c r="H344" i="5" s="1"/>
  <c r="K683" i="5"/>
  <c r="G683" i="5" s="1"/>
  <c r="M112" i="5"/>
  <c r="I112" i="5" s="1"/>
  <c r="N422" i="5"/>
  <c r="J422" i="5" s="1"/>
  <c r="M364" i="5"/>
  <c r="I364" i="5" s="1"/>
  <c r="N563" i="5"/>
  <c r="J563" i="5" s="1"/>
  <c r="K160" i="5"/>
  <c r="G160" i="5" s="1"/>
  <c r="M406" i="5"/>
  <c r="I406" i="5" s="1"/>
  <c r="L534" i="5"/>
  <c r="H534" i="5" s="1"/>
  <c r="L466" i="5"/>
  <c r="H466" i="5" s="1"/>
  <c r="N183" i="5"/>
  <c r="J183" i="5" s="1"/>
  <c r="M258" i="5"/>
  <c r="I258" i="5" s="1"/>
  <c r="K452" i="5"/>
  <c r="G452" i="5" s="1"/>
  <c r="N581" i="5"/>
  <c r="J581" i="5" s="1"/>
  <c r="N739" i="5"/>
  <c r="J739" i="5" s="1"/>
  <c r="L254" i="5"/>
  <c r="H254" i="5" s="1"/>
  <c r="L442" i="5"/>
  <c r="H442" i="5" s="1"/>
  <c r="M254" i="5"/>
  <c r="I254" i="5" s="1"/>
  <c r="L159" i="5"/>
  <c r="H159" i="5" s="1"/>
  <c r="N764" i="5"/>
  <c r="J764" i="5" s="1"/>
  <c r="L294" i="5"/>
  <c r="H294" i="5" s="1"/>
  <c r="K233" i="5"/>
  <c r="G233" i="5" s="1"/>
  <c r="N607" i="5"/>
  <c r="J607" i="5" s="1"/>
  <c r="M175" i="5"/>
  <c r="I175" i="5" s="1"/>
  <c r="K388" i="5"/>
  <c r="G388" i="5" s="1"/>
  <c r="N93" i="5"/>
  <c r="J93" i="5" s="1"/>
  <c r="N297" i="5"/>
  <c r="J297" i="5" s="1"/>
  <c r="K764" i="5"/>
  <c r="G764" i="5" s="1"/>
  <c r="M245" i="5"/>
  <c r="I245" i="5" s="1"/>
  <c r="L663" i="5"/>
  <c r="H663" i="5" s="1"/>
  <c r="N520" i="5"/>
  <c r="J520" i="5" s="1"/>
  <c r="K196" i="5"/>
  <c r="G196" i="5" s="1"/>
  <c r="M159" i="5"/>
  <c r="I159" i="5" s="1"/>
  <c r="N552" i="5"/>
  <c r="J552" i="5" s="1"/>
  <c r="M377" i="5"/>
  <c r="I377" i="5" s="1"/>
  <c r="L707" i="5"/>
  <c r="H707" i="5" s="1"/>
  <c r="L728" i="5"/>
  <c r="H728" i="5" s="1"/>
  <c r="M701" i="5"/>
  <c r="I701" i="5" s="1"/>
  <c r="L499" i="5"/>
  <c r="H499" i="5" s="1"/>
  <c r="M55" i="5"/>
  <c r="I55" i="5" s="1"/>
  <c r="N721" i="5"/>
  <c r="J721" i="5" s="1"/>
  <c r="M721" i="5"/>
  <c r="I721" i="5" s="1"/>
  <c r="M693" i="5"/>
  <c r="I693" i="5" s="1"/>
  <c r="M440" i="5"/>
  <c r="I440" i="5" s="1"/>
  <c r="K293" i="5"/>
  <c r="G293" i="5" s="1"/>
  <c r="K189" i="5"/>
  <c r="G189" i="5" s="1"/>
  <c r="N491" i="5"/>
  <c r="J491" i="5" s="1"/>
  <c r="N179" i="5"/>
  <c r="J179" i="5" s="1"/>
  <c r="N24" i="5"/>
  <c r="J24" i="5" s="1"/>
  <c r="N437" i="5"/>
  <c r="J437" i="5" s="1"/>
  <c r="K521" i="5"/>
  <c r="G521" i="5" s="1"/>
  <c r="N553" i="5"/>
  <c r="J553" i="5" s="1"/>
  <c r="L632" i="5"/>
  <c r="H632" i="5" s="1"/>
  <c r="N355" i="5"/>
  <c r="J355" i="5" s="1"/>
  <c r="M592" i="5"/>
  <c r="I592" i="5" s="1"/>
  <c r="M463" i="5"/>
  <c r="I463" i="5" s="1"/>
  <c r="L733" i="5"/>
  <c r="H733" i="5" s="1"/>
  <c r="L250" i="5"/>
  <c r="H250" i="5" s="1"/>
  <c r="N138" i="5"/>
  <c r="J138" i="5" s="1"/>
  <c r="L673" i="5"/>
  <c r="H673" i="5" s="1"/>
  <c r="K737" i="5"/>
  <c r="G737" i="5" s="1"/>
  <c r="M203" i="5"/>
  <c r="I203" i="5" s="1"/>
  <c r="L570" i="5"/>
  <c r="H570" i="5" s="1"/>
  <c r="L527" i="5"/>
  <c r="H527" i="5" s="1"/>
  <c r="M24" i="5"/>
  <c r="I24" i="5" s="1"/>
  <c r="N757" i="5"/>
  <c r="J757" i="5" s="1"/>
  <c r="K91" i="5"/>
  <c r="G91" i="5" s="1"/>
  <c r="N151" i="5"/>
  <c r="J151" i="5" s="1"/>
  <c r="N201" i="5"/>
  <c r="J201" i="5" s="1"/>
  <c r="N165" i="5"/>
  <c r="J165" i="5" s="1"/>
  <c r="K309" i="5"/>
  <c r="G309" i="5" s="1"/>
  <c r="K444" i="5"/>
  <c r="G444" i="5" s="1"/>
  <c r="L425" i="5"/>
  <c r="H425" i="5" s="1"/>
  <c r="L295" i="5"/>
  <c r="H295" i="5" s="1"/>
  <c r="N85" i="5"/>
  <c r="J85" i="5" s="1"/>
  <c r="L255" i="5"/>
  <c r="H255" i="5" s="1"/>
  <c r="K548" i="5"/>
  <c r="G548" i="5" s="1"/>
  <c r="M624" i="5"/>
  <c r="I624" i="5" s="1"/>
  <c r="M350" i="5"/>
  <c r="I350" i="5" s="1"/>
  <c r="N667" i="5"/>
  <c r="J667" i="5" s="1"/>
  <c r="N619" i="5"/>
  <c r="J619" i="5" s="1"/>
  <c r="L467" i="5"/>
  <c r="H467" i="5" s="1"/>
  <c r="K760" i="5"/>
  <c r="G760" i="5" s="1"/>
  <c r="M179" i="5"/>
  <c r="I179" i="5" s="1"/>
  <c r="K692" i="5"/>
  <c r="G692" i="5" s="1"/>
  <c r="N100" i="5"/>
  <c r="J100" i="5" s="1"/>
  <c r="K288" i="5"/>
  <c r="G288" i="5" s="1"/>
  <c r="N344" i="5"/>
  <c r="J344" i="5" s="1"/>
  <c r="N743" i="5"/>
  <c r="J743" i="5" s="1"/>
  <c r="N170" i="5"/>
  <c r="J170" i="5" s="1"/>
  <c r="L177" i="5"/>
  <c r="H177" i="5" s="1"/>
  <c r="N558" i="5"/>
  <c r="J558" i="5" s="1"/>
  <c r="M673" i="5"/>
  <c r="I673" i="5" s="1"/>
  <c r="N434" i="5"/>
  <c r="J434" i="5" s="1"/>
  <c r="N508" i="5"/>
  <c r="J508" i="5" s="1"/>
  <c r="N528" i="5"/>
  <c r="J528" i="5" s="1"/>
  <c r="M85" i="5"/>
  <c r="I85" i="5" s="1"/>
  <c r="N60" i="5"/>
  <c r="J60" i="5" s="1"/>
  <c r="K105" i="5"/>
  <c r="G105" i="5" s="1"/>
  <c r="L57" i="5"/>
  <c r="H57" i="5" s="1"/>
  <c r="N589" i="5"/>
  <c r="J589" i="5" s="1"/>
  <c r="K573" i="5"/>
  <c r="G573" i="5" s="1"/>
  <c r="M425" i="5"/>
  <c r="I425" i="5" s="1"/>
  <c r="K763" i="5"/>
  <c r="G763" i="5" s="1"/>
  <c r="L695" i="5"/>
  <c r="H695" i="5" s="1"/>
  <c r="K687" i="5"/>
  <c r="G687" i="5" s="1"/>
  <c r="K247" i="5"/>
  <c r="G247" i="5" s="1"/>
  <c r="L303" i="5"/>
  <c r="H303" i="5" s="1"/>
  <c r="L593" i="5"/>
  <c r="H593" i="5" s="1"/>
  <c r="K325" i="5"/>
  <c r="G325" i="5" s="1"/>
  <c r="L552" i="5"/>
  <c r="H552" i="5" s="1"/>
  <c r="L494" i="5"/>
  <c r="H494" i="5" s="1"/>
  <c r="N299" i="5"/>
  <c r="J299" i="5" s="1"/>
  <c r="M619" i="5"/>
  <c r="I619" i="5" s="1"/>
  <c r="L170" i="5"/>
  <c r="H170" i="5" s="1"/>
  <c r="L700" i="5"/>
  <c r="H700" i="5" s="1"/>
  <c r="M487" i="5"/>
  <c r="I487" i="5" s="1"/>
  <c r="M653" i="5"/>
  <c r="I653" i="5" s="1"/>
  <c r="N47" i="5"/>
  <c r="J47" i="5" s="1"/>
  <c r="N692" i="5"/>
  <c r="J692" i="5" s="1"/>
  <c r="M667" i="5"/>
  <c r="I667" i="5" s="1"/>
  <c r="K767" i="5"/>
  <c r="G767" i="5" s="1"/>
  <c r="M444" i="5"/>
  <c r="I444" i="5" s="1"/>
  <c r="M300" i="5"/>
  <c r="I300" i="5" s="1"/>
  <c r="K734" i="5"/>
  <c r="G734" i="5" s="1"/>
  <c r="M632" i="5"/>
  <c r="I632" i="5" s="1"/>
  <c r="M336" i="5"/>
  <c r="I336" i="5" s="1"/>
  <c r="L655" i="5"/>
  <c r="H655" i="5" s="1"/>
  <c r="M351" i="5"/>
  <c r="I351" i="5" s="1"/>
  <c r="M97" i="5"/>
  <c r="I97" i="5" s="1"/>
  <c r="N436" i="5"/>
  <c r="J436" i="5" s="1"/>
  <c r="L216" i="5"/>
  <c r="H216" i="5" s="1"/>
  <c r="M280" i="5"/>
  <c r="I280" i="5" s="1"/>
  <c r="K493" i="5"/>
  <c r="G493" i="5" s="1"/>
  <c r="N614" i="5"/>
  <c r="J614" i="5" s="1"/>
  <c r="M328" i="5"/>
  <c r="I328" i="5" s="1"/>
  <c r="K243" i="5"/>
  <c r="G243" i="5" s="1"/>
  <c r="M57" i="5"/>
  <c r="I57" i="5" s="1"/>
  <c r="K60" i="5"/>
  <c r="G60" i="5" s="1"/>
  <c r="L81" i="5"/>
  <c r="H81" i="5" s="1"/>
  <c r="L437" i="5"/>
  <c r="H437" i="5" s="1"/>
  <c r="M86" i="5"/>
  <c r="I86" i="5" s="1"/>
  <c r="L354" i="5"/>
  <c r="H354" i="5" s="1"/>
  <c r="K497" i="5"/>
  <c r="G497" i="5" s="1"/>
  <c r="N658" i="5"/>
  <c r="J658" i="5" s="1"/>
  <c r="L23" i="5"/>
  <c r="H23" i="5" s="1"/>
  <c r="L394" i="5"/>
  <c r="H394" i="5" s="1"/>
  <c r="M417" i="5"/>
  <c r="I417" i="5" s="1"/>
  <c r="M730" i="5"/>
  <c r="I730" i="5" s="1"/>
  <c r="K663" i="5"/>
  <c r="G663" i="5" s="1"/>
  <c r="N347" i="5"/>
  <c r="J347" i="5" s="1"/>
  <c r="K487" i="5"/>
  <c r="G487" i="5" s="1"/>
  <c r="K175" i="5"/>
  <c r="G175" i="5" s="1"/>
  <c r="N416" i="5"/>
  <c r="J416" i="5" s="1"/>
  <c r="N366" i="5"/>
  <c r="J366" i="5" s="1"/>
  <c r="L375" i="5"/>
  <c r="H375" i="5" s="1"/>
  <c r="L279" i="5"/>
  <c r="H279" i="5" s="1"/>
  <c r="L730" i="5"/>
  <c r="H730" i="5" s="1"/>
  <c r="M711" i="5"/>
  <c r="I711" i="5" s="1"/>
  <c r="N572" i="5"/>
  <c r="J572" i="5" s="1"/>
  <c r="L500" i="5"/>
  <c r="H500" i="5" s="1"/>
  <c r="M515" i="5"/>
  <c r="I515" i="5" s="1"/>
  <c r="N266" i="5"/>
  <c r="J266" i="5" s="1"/>
  <c r="L667" i="5"/>
  <c r="H667" i="5" s="1"/>
  <c r="N515" i="5"/>
  <c r="J515" i="5" s="1"/>
  <c r="L276" i="5"/>
  <c r="H276" i="5" s="1"/>
  <c r="K37" i="5"/>
  <c r="G37" i="5" s="1"/>
  <c r="K248" i="5"/>
  <c r="G248" i="5" s="1"/>
  <c r="M56" i="5"/>
  <c r="I56" i="5" s="1"/>
  <c r="N621" i="5"/>
  <c r="J621" i="5" s="1"/>
  <c r="M132" i="5"/>
  <c r="I132" i="5" s="1"/>
  <c r="M520" i="5"/>
  <c r="I520" i="5" s="1"/>
  <c r="L203" i="5"/>
  <c r="H203" i="5" s="1"/>
  <c r="M322" i="5"/>
  <c r="I322" i="5" s="1"/>
  <c r="N216" i="5"/>
  <c r="J216" i="5" s="1"/>
  <c r="N305" i="5"/>
  <c r="J305" i="5" s="1"/>
  <c r="L37" i="5"/>
  <c r="H37" i="5" s="1"/>
  <c r="K751" i="5"/>
  <c r="G751" i="5" s="1"/>
  <c r="L611" i="5"/>
  <c r="H611" i="5" s="1"/>
  <c r="M680" i="5"/>
  <c r="I680" i="5" s="1"/>
  <c r="M512" i="5"/>
  <c r="I512" i="5" s="1"/>
  <c r="K583" i="5"/>
  <c r="G583" i="5" s="1"/>
  <c r="N463" i="5"/>
  <c r="J463" i="5" s="1"/>
  <c r="M527" i="5"/>
  <c r="I527" i="5" s="1"/>
  <c r="M691" i="5"/>
  <c r="I691" i="5" s="1"/>
  <c r="N342" i="5"/>
  <c r="J342" i="5" s="1"/>
  <c r="N680" i="5"/>
  <c r="J680" i="5" s="1"/>
  <c r="K350" i="5"/>
  <c r="G350" i="5" s="1"/>
  <c r="N512" i="5"/>
  <c r="J512" i="5" s="1"/>
  <c r="K680" i="5"/>
  <c r="G680" i="5" s="1"/>
  <c r="N493" i="5"/>
  <c r="J493" i="5" s="1"/>
  <c r="L495" i="5"/>
  <c r="H495" i="5" s="1"/>
  <c r="M53" i="5"/>
  <c r="I53" i="5" s="1"/>
  <c r="L757" i="5"/>
  <c r="H757" i="5" s="1"/>
  <c r="M103" i="5"/>
  <c r="I103" i="5" s="1"/>
  <c r="N300" i="5"/>
  <c r="J300" i="5" s="1"/>
  <c r="M221" i="5"/>
  <c r="I221" i="5" s="1"/>
  <c r="L165" i="5"/>
  <c r="H165" i="5" s="1"/>
  <c r="M23" i="5"/>
  <c r="I23" i="5" s="1"/>
  <c r="K151" i="5"/>
  <c r="G151" i="5" s="1"/>
  <c r="L105" i="5"/>
  <c r="H105" i="5" s="1"/>
  <c r="N308" i="5"/>
  <c r="J308" i="5" s="1"/>
  <c r="M528" i="5"/>
  <c r="I528" i="5" s="1"/>
  <c r="K635" i="5"/>
  <c r="G635" i="5" s="1"/>
  <c r="M489" i="5"/>
  <c r="I489" i="5" s="1"/>
  <c r="M437" i="5"/>
  <c r="I437" i="5" s="1"/>
  <c r="L299" i="5"/>
  <c r="H299" i="5" s="1"/>
  <c r="N223" i="5"/>
  <c r="J223" i="5" s="1"/>
  <c r="L614" i="5"/>
  <c r="H614" i="5" s="1"/>
  <c r="K273" i="5"/>
  <c r="G273" i="5" s="1"/>
  <c r="L419" i="5"/>
  <c r="H419" i="5" s="1"/>
  <c r="K64" i="5"/>
  <c r="G64" i="5" s="1"/>
  <c r="M345" i="5"/>
  <c r="I345" i="5" s="1"/>
  <c r="N53" i="5"/>
  <c r="J53" i="5" s="1"/>
  <c r="M751" i="5"/>
  <c r="I751" i="5" s="1"/>
  <c r="N303" i="5"/>
  <c r="J303" i="5" s="1"/>
  <c r="L201" i="5"/>
  <c r="H201" i="5" s="1"/>
  <c r="M225" i="5"/>
  <c r="I225" i="5" s="1"/>
  <c r="N295" i="5"/>
  <c r="J295" i="5" s="1"/>
  <c r="L243" i="5"/>
  <c r="H243" i="5" s="1"/>
  <c r="N565" i="5"/>
  <c r="J565" i="5" s="1"/>
  <c r="M493" i="5"/>
  <c r="I493" i="5" s="1"/>
  <c r="K711" i="5"/>
  <c r="G711" i="5" s="1"/>
  <c r="N230" i="5"/>
  <c r="J230" i="5" s="1"/>
  <c r="N640" i="5"/>
  <c r="J640" i="5" s="1"/>
  <c r="M643" i="5"/>
  <c r="I643" i="5" s="1"/>
  <c r="M467" i="5"/>
  <c r="I467" i="5" s="1"/>
  <c r="N270" i="5"/>
  <c r="J270" i="5" s="1"/>
  <c r="L138" i="5"/>
  <c r="H138" i="5" s="1"/>
  <c r="K179" i="5"/>
  <c r="G179" i="5" s="1"/>
  <c r="L692" i="5"/>
  <c r="H692" i="5" s="1"/>
  <c r="L213" i="5"/>
  <c r="H213" i="5" s="1"/>
  <c r="M154" i="5"/>
  <c r="I154" i="5" s="1"/>
  <c r="N609" i="5"/>
  <c r="J609" i="5" s="1"/>
  <c r="N602" i="5"/>
  <c r="J602" i="5" s="1"/>
  <c r="K255" i="5"/>
  <c r="G255" i="5" s="1"/>
  <c r="M113" i="5"/>
  <c r="I113" i="5" s="1"/>
  <c r="L327" i="5"/>
  <c r="H327" i="5" s="1"/>
  <c r="N425" i="5"/>
  <c r="J425" i="5" s="1"/>
  <c r="K540" i="5"/>
  <c r="G540" i="5" s="1"/>
  <c r="L553" i="5"/>
  <c r="H553" i="5" s="1"/>
  <c r="K53" i="5"/>
  <c r="G53" i="5" s="1"/>
  <c r="N624" i="5"/>
  <c r="J624" i="5" s="1"/>
  <c r="K345" i="5"/>
  <c r="G345" i="5" s="1"/>
  <c r="K470" i="5"/>
  <c r="G470" i="5" s="1"/>
  <c r="M635" i="5"/>
  <c r="I635" i="5" s="1"/>
  <c r="N495" i="5"/>
  <c r="J495" i="5" s="1"/>
  <c r="L47" i="5"/>
  <c r="H47" i="5" s="1"/>
  <c r="N417" i="5"/>
  <c r="J417" i="5" s="1"/>
  <c r="N630" i="5"/>
  <c r="J630" i="5" s="1"/>
  <c r="K57" i="5"/>
  <c r="G57" i="5" s="1"/>
  <c r="L751" i="5"/>
  <c r="H751" i="5" s="1"/>
  <c r="K319" i="5"/>
  <c r="G319" i="5" s="1"/>
  <c r="L133" i="5"/>
  <c r="H133" i="5" s="1"/>
  <c r="N646" i="5"/>
  <c r="J646" i="5" s="1"/>
  <c r="M514" i="5"/>
  <c r="I514" i="5" s="1"/>
  <c r="L493" i="5"/>
  <c r="H493" i="5" s="1"/>
  <c r="L21" i="5"/>
  <c r="H21" i="5" s="1"/>
  <c r="K172" i="5"/>
  <c r="G172" i="5" s="1"/>
  <c r="M156" i="5"/>
  <c r="I156" i="5" s="1"/>
  <c r="L444" i="5"/>
  <c r="H444" i="5" s="1"/>
  <c r="M565" i="5"/>
  <c r="I565" i="5" s="1"/>
  <c r="K589" i="5"/>
  <c r="G589" i="5" s="1"/>
  <c r="M223" i="5"/>
  <c r="I223" i="5" s="1"/>
  <c r="K219" i="5"/>
  <c r="G219" i="5" s="1"/>
  <c r="M456" i="5"/>
  <c r="I456" i="5" s="1"/>
  <c r="K688" i="5"/>
  <c r="G688" i="5" s="1"/>
  <c r="M663" i="5"/>
  <c r="I663" i="5" s="1"/>
  <c r="M692" i="5"/>
  <c r="I692" i="5" s="1"/>
  <c r="N498" i="5"/>
  <c r="J498" i="5" s="1"/>
  <c r="L383" i="5"/>
  <c r="H383" i="5" s="1"/>
  <c r="L340" i="5"/>
  <c r="H340" i="5" s="1"/>
  <c r="N583" i="5"/>
  <c r="J583" i="5" s="1"/>
  <c r="N645" i="5"/>
  <c r="J645" i="5" s="1"/>
  <c r="N250" i="5"/>
  <c r="J250" i="5" s="1"/>
  <c r="L121" i="5"/>
  <c r="H121" i="5" s="1"/>
  <c r="M432" i="5"/>
  <c r="I432" i="5" s="1"/>
  <c r="N105" i="5"/>
  <c r="J105" i="5" s="1"/>
  <c r="L148" i="5"/>
  <c r="H148" i="5" s="1"/>
  <c r="N292" i="5"/>
  <c r="J292" i="5" s="1"/>
  <c r="M659" i="5"/>
  <c r="I659" i="5" s="1"/>
  <c r="N666" i="5"/>
  <c r="J666" i="5" s="1"/>
  <c r="N751" i="5"/>
  <c r="J751" i="5" s="1"/>
  <c r="N280" i="5"/>
  <c r="J280" i="5" s="1"/>
  <c r="N659" i="5"/>
  <c r="J659" i="5" s="1"/>
  <c r="N767" i="5"/>
  <c r="J767" i="5" s="1"/>
  <c r="M291" i="5"/>
  <c r="I291" i="5" s="1"/>
  <c r="K742" i="5"/>
  <c r="G742" i="5" s="1"/>
  <c r="M757" i="5"/>
  <c r="I757" i="5" s="1"/>
  <c r="K415" i="5"/>
  <c r="G415" i="5" s="1"/>
  <c r="N590" i="5"/>
  <c r="J590" i="5" s="1"/>
  <c r="K552" i="5"/>
  <c r="G552" i="5" s="1"/>
  <c r="K691" i="5"/>
  <c r="G691" i="5" s="1"/>
  <c r="M277" i="5"/>
  <c r="I277" i="5" s="1"/>
  <c r="K216" i="5"/>
  <c r="G216" i="5" s="1"/>
  <c r="L211" i="5"/>
  <c r="H211" i="5" s="1"/>
  <c r="L392" i="5"/>
  <c r="H392" i="5" s="1"/>
  <c r="L300" i="5"/>
  <c r="H300" i="5" s="1"/>
  <c r="L320" i="5"/>
  <c r="H320" i="5" s="1"/>
  <c r="M72" i="5"/>
  <c r="I72" i="5" s="1"/>
  <c r="L29" i="5"/>
  <c r="H29" i="5" s="1"/>
  <c r="N368" i="5"/>
  <c r="J368" i="5" s="1"/>
  <c r="N653" i="5"/>
  <c r="J653" i="5" s="1"/>
  <c r="L525" i="5"/>
  <c r="H525" i="5" s="1"/>
  <c r="N248" i="5"/>
  <c r="J248" i="5" s="1"/>
  <c r="N663" i="5"/>
  <c r="J663" i="5" s="1"/>
  <c r="K666" i="5"/>
  <c r="G666" i="5" s="1"/>
  <c r="M216" i="5"/>
  <c r="I216" i="5" s="1"/>
  <c r="K515" i="5"/>
  <c r="G515" i="5" s="1"/>
  <c r="N23" i="5"/>
  <c r="J23" i="5" s="1"/>
  <c r="N700" i="5"/>
  <c r="J700" i="5" s="1"/>
  <c r="K156" i="5"/>
  <c r="G156" i="5" s="1"/>
  <c r="N288" i="5"/>
  <c r="J288" i="5" s="1"/>
  <c r="K85" i="5"/>
  <c r="G85" i="5" s="1"/>
  <c r="M502" i="5"/>
  <c r="I502" i="5" s="1"/>
  <c r="M688" i="5"/>
  <c r="I688" i="5" s="1"/>
  <c r="M344" i="5"/>
  <c r="I344" i="5" s="1"/>
  <c r="L688" i="5"/>
  <c r="H688" i="5" s="1"/>
  <c r="M41" i="5"/>
  <c r="I41" i="5" s="1"/>
  <c r="N222" i="5"/>
  <c r="J222" i="5" s="1"/>
  <c r="M640" i="5"/>
  <c r="I640" i="5" s="1"/>
  <c r="L691" i="5"/>
  <c r="H691" i="5" s="1"/>
  <c r="K539" i="5"/>
  <c r="G539" i="5" s="1"/>
  <c r="M77" i="5"/>
  <c r="I77" i="5" s="1"/>
  <c r="L91" i="5"/>
  <c r="H91" i="5" s="1"/>
  <c r="K153" i="5"/>
  <c r="G153" i="5" s="1"/>
  <c r="N497" i="5"/>
  <c r="J497" i="5" s="1"/>
  <c r="N129" i="5"/>
  <c r="J129" i="5" s="1"/>
  <c r="N382" i="5"/>
  <c r="J382" i="5" s="1"/>
  <c r="N468" i="5"/>
  <c r="J468" i="5" s="1"/>
  <c r="M736" i="5"/>
  <c r="I736" i="5" s="1"/>
  <c r="L24" i="5"/>
  <c r="H24" i="5" s="1"/>
  <c r="M341" i="5"/>
  <c r="I341" i="5" s="1"/>
  <c r="K624" i="5"/>
  <c r="G624" i="5" s="1"/>
  <c r="N243" i="5"/>
  <c r="J243" i="5" s="1"/>
  <c r="M767" i="5"/>
  <c r="I767" i="5" s="1"/>
  <c r="M47" i="5"/>
  <c r="I47" i="5" s="1"/>
  <c r="L286" i="5"/>
  <c r="H286" i="5" s="1"/>
  <c r="N635" i="5"/>
  <c r="J635" i="5" s="1"/>
  <c r="N444" i="5"/>
  <c r="J444" i="5" s="1"/>
  <c r="N360" i="5"/>
  <c r="J360" i="5" s="1"/>
  <c r="L225" i="5"/>
  <c r="H225" i="5" s="1"/>
  <c r="N132" i="5"/>
  <c r="J132" i="5" s="1"/>
  <c r="K644" i="5"/>
  <c r="G644" i="5" s="1"/>
  <c r="M248" i="5"/>
  <c r="I248" i="5" s="1"/>
  <c r="K528" i="5"/>
  <c r="G528" i="5" s="1"/>
  <c r="L384" i="5"/>
  <c r="H384" i="5" s="1"/>
  <c r="M21" i="5"/>
  <c r="I21" i="5" s="1"/>
  <c r="L644" i="5"/>
  <c r="H644" i="5" s="1"/>
  <c r="K467" i="5"/>
  <c r="G467" i="5" s="1"/>
  <c r="L589" i="5"/>
  <c r="H589" i="5" s="1"/>
  <c r="K380" i="5"/>
  <c r="G380" i="5" s="1"/>
  <c r="M170" i="5"/>
  <c r="I170" i="5" s="1"/>
  <c r="L558" i="5"/>
  <c r="H558" i="5" s="1"/>
  <c r="K565" i="5"/>
  <c r="G565" i="5" s="1"/>
  <c r="L563" i="5"/>
  <c r="H563" i="5" s="1"/>
  <c r="L391" i="5"/>
  <c r="H391" i="5" s="1"/>
  <c r="L321" i="5"/>
  <c r="H321" i="5" s="1"/>
  <c r="K425" i="5"/>
  <c r="G425" i="5" s="1"/>
  <c r="N91" i="5"/>
  <c r="J91" i="5" s="1"/>
  <c r="L60" i="5"/>
  <c r="H60" i="5" s="1"/>
  <c r="N203" i="5"/>
  <c r="J203" i="5" s="1"/>
  <c r="M614" i="5"/>
  <c r="I614" i="5" s="1"/>
  <c r="K504" i="5"/>
  <c r="G504" i="5" s="1"/>
  <c r="K47" i="5"/>
  <c r="G47" i="5" s="1"/>
  <c r="M105" i="5"/>
  <c r="I105" i="5" s="1"/>
  <c r="K700" i="5"/>
  <c r="G700" i="5" s="1"/>
  <c r="N57" i="5"/>
  <c r="J57" i="5" s="1"/>
  <c r="L696" i="5"/>
  <c r="H696" i="5" s="1"/>
  <c r="M428" i="5"/>
  <c r="I428" i="5" s="1"/>
  <c r="M477" i="5"/>
  <c r="I477" i="5" s="1"/>
  <c r="M211" i="5"/>
  <c r="I211" i="5" s="1"/>
  <c r="M177" i="5"/>
  <c r="I177" i="5" s="1"/>
  <c r="K659" i="5"/>
  <c r="G659" i="5" s="1"/>
  <c r="L654" i="5"/>
  <c r="H654" i="5" s="1"/>
  <c r="L275" i="5"/>
  <c r="H275" i="5" s="1"/>
  <c r="M275" i="5"/>
  <c r="I275" i="5" s="1"/>
  <c r="K667" i="5"/>
  <c r="G667" i="5" s="1"/>
  <c r="M305" i="5"/>
  <c r="I305" i="5" s="1"/>
  <c r="K221" i="5"/>
  <c r="G221" i="5" s="1"/>
  <c r="L417" i="5"/>
  <c r="H417" i="5" s="1"/>
  <c r="K757" i="5"/>
  <c r="G757" i="5" s="1"/>
  <c r="K632" i="5"/>
  <c r="G632" i="5" s="1"/>
  <c r="K417" i="5"/>
  <c r="G417" i="5" s="1"/>
  <c r="N21" i="5"/>
  <c r="J21" i="5" s="1"/>
  <c r="L428" i="5"/>
  <c r="H428" i="5" s="1"/>
  <c r="K140" i="5"/>
  <c r="G140" i="5" s="1"/>
  <c r="N660" i="5"/>
  <c r="J660" i="5" s="1"/>
  <c r="M752" i="5"/>
  <c r="I752" i="5" s="1"/>
  <c r="K766" i="5"/>
  <c r="G766" i="5" s="1"/>
  <c r="M504" i="5"/>
  <c r="I504" i="5" s="1"/>
  <c r="M303" i="5"/>
  <c r="I303" i="5" s="1"/>
  <c r="K170" i="5"/>
  <c r="G170" i="5" s="1"/>
  <c r="N428" i="5"/>
  <c r="J428" i="5" s="1"/>
  <c r="N415" i="5"/>
  <c r="J415" i="5" s="1"/>
  <c r="L487" i="5"/>
  <c r="H487" i="5" s="1"/>
  <c r="L528" i="5"/>
  <c r="H528" i="5" s="1"/>
  <c r="L42" i="5"/>
  <c r="H42" i="5" s="1"/>
  <c r="K300" i="5"/>
  <c r="G300" i="5" s="1"/>
  <c r="L325" i="5"/>
  <c r="H325" i="5" s="1"/>
  <c r="L153" i="5"/>
  <c r="H153" i="5" s="1"/>
  <c r="L565" i="5"/>
  <c r="H565" i="5" s="1"/>
  <c r="L43" i="5"/>
  <c r="H43" i="5" s="1"/>
  <c r="L399" i="5"/>
  <c r="H399" i="5" s="1"/>
  <c r="M702" i="5"/>
  <c r="I702" i="5" s="1"/>
  <c r="M311" i="5"/>
  <c r="I311" i="5" s="1"/>
  <c r="L548" i="5"/>
  <c r="H548" i="5" s="1"/>
  <c r="M214" i="5"/>
  <c r="I214" i="5" s="1"/>
  <c r="L120" i="5"/>
  <c r="H120" i="5" s="1"/>
  <c r="K582" i="5"/>
  <c r="G582" i="5" s="1"/>
  <c r="K419" i="5"/>
  <c r="G419" i="5" s="1"/>
  <c r="K193" i="5"/>
  <c r="G193" i="5" s="1"/>
  <c r="K251" i="5"/>
  <c r="G251" i="5" s="1"/>
  <c r="L741" i="5"/>
  <c r="H741" i="5" s="1"/>
  <c r="K84" i="5"/>
  <c r="G84" i="5" s="1"/>
  <c r="N605" i="5"/>
  <c r="J605" i="5" s="1"/>
  <c r="M561" i="5"/>
  <c r="I561" i="5" s="1"/>
  <c r="N574" i="5"/>
  <c r="J574" i="5" s="1"/>
  <c r="L623" i="5"/>
  <c r="H623" i="5" s="1"/>
  <c r="M550" i="5"/>
  <c r="I550" i="5" s="1"/>
  <c r="L429" i="5"/>
  <c r="H429" i="5" s="1"/>
  <c r="K485" i="5"/>
  <c r="G485" i="5" s="1"/>
  <c r="L94" i="5"/>
  <c r="H94" i="5" s="1"/>
  <c r="L240" i="5"/>
  <c r="H240" i="5" s="1"/>
  <c r="N112" i="5"/>
  <c r="J112" i="5" s="1"/>
  <c r="M636" i="5"/>
  <c r="I636" i="5" s="1"/>
  <c r="K23" i="5"/>
  <c r="G23" i="5" s="1"/>
  <c r="M742" i="5"/>
  <c r="I742" i="5" s="1"/>
  <c r="M178" i="5"/>
  <c r="I178" i="5" s="1"/>
  <c r="M690" i="5"/>
  <c r="I690" i="5" s="1"/>
  <c r="K567" i="5"/>
  <c r="G567" i="5" s="1"/>
  <c r="L633" i="5"/>
  <c r="H633" i="5" s="1"/>
  <c r="K154" i="5"/>
  <c r="G154" i="5" s="1"/>
  <c r="M412" i="5"/>
  <c r="I412" i="5" s="1"/>
  <c r="M743" i="5"/>
  <c r="I743" i="5" s="1"/>
  <c r="K159" i="5"/>
  <c r="G159" i="5" s="1"/>
  <c r="K269" i="5"/>
  <c r="G269" i="5" s="1"/>
  <c r="N533" i="5"/>
  <c r="J533" i="5" s="1"/>
  <c r="M568" i="5"/>
  <c r="I568" i="5" s="1"/>
  <c r="M546" i="5"/>
  <c r="I546" i="5" s="1"/>
  <c r="K287" i="5"/>
  <c r="G287" i="5" s="1"/>
  <c r="L280" i="5"/>
  <c r="H280" i="5" s="1"/>
  <c r="M233" i="5"/>
  <c r="I233" i="5" s="1"/>
  <c r="K88" i="5"/>
  <c r="G88" i="5" s="1"/>
  <c r="M306" i="5"/>
  <c r="I306" i="5" s="1"/>
  <c r="M392" i="5"/>
  <c r="I392" i="5" s="1"/>
  <c r="N758" i="5"/>
  <c r="J758" i="5" s="1"/>
  <c r="M658" i="5"/>
  <c r="I658" i="5" s="1"/>
  <c r="K484" i="5"/>
  <c r="G484" i="5" s="1"/>
  <c r="K217" i="5"/>
  <c r="G217" i="5" s="1"/>
  <c r="L113" i="5"/>
  <c r="H113" i="5" s="1"/>
  <c r="L263" i="5"/>
  <c r="H263" i="5" s="1"/>
  <c r="M348" i="5"/>
  <c r="I348" i="5" s="1"/>
  <c r="K120" i="5"/>
  <c r="G120" i="5" s="1"/>
  <c r="N122" i="5"/>
  <c r="J122" i="5" s="1"/>
  <c r="K328" i="5"/>
  <c r="G328" i="5" s="1"/>
  <c r="M495" i="5"/>
  <c r="I495" i="5" s="1"/>
  <c r="K242" i="5"/>
  <c r="G242" i="5" s="1"/>
  <c r="K240" i="5"/>
  <c r="G240" i="5" s="1"/>
  <c r="K71" i="5"/>
  <c r="G71" i="5" s="1"/>
  <c r="M427" i="5"/>
  <c r="I427" i="5" s="1"/>
  <c r="L207" i="5"/>
  <c r="H207" i="5" s="1"/>
  <c r="N534" i="5"/>
  <c r="J534" i="5" s="1"/>
  <c r="L178" i="5"/>
  <c r="H178" i="5" s="1"/>
  <c r="M657" i="5"/>
  <c r="I657" i="5" s="1"/>
  <c r="K611" i="5"/>
  <c r="G611" i="5" s="1"/>
  <c r="N358" i="5"/>
  <c r="J358" i="5" s="1"/>
  <c r="M253" i="5"/>
  <c r="I253" i="5" s="1"/>
  <c r="N604" i="5"/>
  <c r="J604" i="5" s="1"/>
  <c r="N606" i="5"/>
  <c r="J606" i="5" s="1"/>
  <c r="N622" i="5"/>
  <c r="J622" i="5" s="1"/>
  <c r="K339" i="5"/>
  <c r="G339" i="5" s="1"/>
  <c r="K238" i="5"/>
  <c r="G238" i="5" s="1"/>
  <c r="L191" i="5"/>
  <c r="H191" i="5" s="1"/>
  <c r="K126" i="5"/>
  <c r="G126" i="5" s="1"/>
  <c r="K677" i="5"/>
  <c r="G677" i="5" s="1"/>
  <c r="M288" i="5"/>
  <c r="I288" i="5" s="1"/>
  <c r="M397" i="5"/>
  <c r="I397" i="5" s="1"/>
  <c r="M586" i="5"/>
  <c r="I586" i="5" s="1"/>
  <c r="M193" i="5"/>
  <c r="I193" i="5" s="1"/>
  <c r="N328" i="5"/>
  <c r="J328" i="5" s="1"/>
  <c r="L64" i="5"/>
  <c r="H64" i="5" s="1"/>
  <c r="K550" i="5"/>
  <c r="G550" i="5" s="1"/>
  <c r="K490" i="5"/>
  <c r="G490" i="5" s="1"/>
  <c r="N54" i="5"/>
  <c r="J54" i="5" s="1"/>
  <c r="K379" i="5"/>
  <c r="G379" i="5" s="1"/>
  <c r="M543" i="5"/>
  <c r="I543" i="5" s="1"/>
  <c r="N642" i="5"/>
  <c r="J642" i="5" s="1"/>
  <c r="K421" i="5"/>
  <c r="G421" i="5" s="1"/>
  <c r="K303" i="5"/>
  <c r="G303" i="5" s="1"/>
  <c r="L59" i="5"/>
  <c r="H59" i="5" s="1"/>
  <c r="L766" i="5"/>
  <c r="H766" i="5" s="1"/>
  <c r="L54" i="5"/>
  <c r="H54" i="5" s="1"/>
  <c r="K327" i="5"/>
  <c r="G327" i="5" s="1"/>
  <c r="M556" i="5"/>
  <c r="I556" i="5" s="1"/>
  <c r="M360" i="5"/>
  <c r="I360" i="5" s="1"/>
  <c r="N314" i="5"/>
  <c r="J314" i="5" s="1"/>
  <c r="L306" i="5"/>
  <c r="H306" i="5" s="1"/>
  <c r="K68" i="5"/>
  <c r="G68" i="5" s="1"/>
  <c r="M384" i="5"/>
  <c r="I384" i="5" s="1"/>
  <c r="M398" i="5"/>
  <c r="I398" i="5" s="1"/>
  <c r="K651" i="5"/>
  <c r="G651" i="5" s="1"/>
  <c r="M333" i="5"/>
  <c r="I333" i="5" s="1"/>
  <c r="K277" i="5"/>
  <c r="G277" i="5" s="1"/>
  <c r="N271" i="5"/>
  <c r="J271" i="5" s="1"/>
  <c r="N99" i="5"/>
  <c r="J99" i="5" s="1"/>
  <c r="L70" i="5"/>
  <c r="H70" i="5" s="1"/>
  <c r="L740" i="5"/>
  <c r="H740" i="5" s="1"/>
  <c r="K547" i="5"/>
  <c r="G547" i="5" s="1"/>
  <c r="N588" i="5"/>
  <c r="J588" i="5" s="1"/>
  <c r="N277" i="5"/>
  <c r="J277" i="5" s="1"/>
  <c r="K608" i="5"/>
  <c r="G608" i="5" s="1"/>
  <c r="N697" i="5"/>
  <c r="J697" i="5" s="1"/>
  <c r="K556" i="5"/>
  <c r="G556" i="5" s="1"/>
  <c r="L635" i="5"/>
  <c r="H635" i="5" s="1"/>
  <c r="K634" i="5"/>
  <c r="G634" i="5" s="1"/>
  <c r="L39" i="5"/>
  <c r="H39" i="5" s="1"/>
  <c r="N259" i="5"/>
  <c r="J259" i="5" s="1"/>
  <c r="M551" i="5"/>
  <c r="I551" i="5" s="1"/>
  <c r="M227" i="5"/>
  <c r="I227" i="5" s="1"/>
  <c r="M74" i="5"/>
  <c r="I74" i="5" s="1"/>
  <c r="M237" i="5"/>
  <c r="I237" i="5" s="1"/>
  <c r="M263" i="5"/>
  <c r="I263" i="5" s="1"/>
  <c r="K418" i="5"/>
  <c r="G418" i="5" s="1"/>
  <c r="N97" i="5"/>
  <c r="J97" i="5" s="1"/>
  <c r="L537" i="5"/>
  <c r="H537" i="5" s="1"/>
  <c r="L576" i="5"/>
  <c r="H576" i="5" s="1"/>
  <c r="K370" i="5"/>
  <c r="G370" i="5" s="1"/>
  <c r="L518" i="5"/>
  <c r="H518" i="5" s="1"/>
  <c r="M662" i="5"/>
  <c r="I662" i="5" s="1"/>
  <c r="M651" i="5"/>
  <c r="I651" i="5" s="1"/>
  <c r="K208" i="5"/>
  <c r="G208" i="5" s="1"/>
  <c r="L542" i="5"/>
  <c r="H542" i="5" s="1"/>
  <c r="N333" i="5"/>
  <c r="J333" i="5" s="1"/>
  <c r="L729" i="5"/>
  <c r="H729" i="5" s="1"/>
  <c r="M388" i="5"/>
  <c r="I388" i="5" s="1"/>
  <c r="K495" i="5"/>
  <c r="G495" i="5" s="1"/>
  <c r="K627" i="5"/>
  <c r="G627" i="5" s="1"/>
  <c r="K191" i="5"/>
  <c r="G191" i="5" s="1"/>
  <c r="L613" i="5"/>
  <c r="H613" i="5" s="1"/>
  <c r="M266" i="5"/>
  <c r="I266" i="5" s="1"/>
  <c r="K661" i="5"/>
  <c r="G661" i="5" s="1"/>
  <c r="L75" i="5"/>
  <c r="H75" i="5" s="1"/>
  <c r="N613" i="5"/>
  <c r="J613" i="5" s="1"/>
  <c r="L564" i="5"/>
  <c r="H564" i="5" s="1"/>
  <c r="N361" i="5"/>
  <c r="J361" i="5" s="1"/>
  <c r="N75" i="5"/>
  <c r="J75" i="5" s="1"/>
  <c r="L172" i="5"/>
  <c r="H172" i="5" s="1"/>
  <c r="L266" i="5"/>
  <c r="H266" i="5" s="1"/>
  <c r="N37" i="5"/>
  <c r="J37" i="5" s="1"/>
  <c r="L619" i="5"/>
  <c r="H619" i="5" s="1"/>
  <c r="L438" i="5"/>
  <c r="H438" i="5" s="1"/>
  <c r="N716" i="5"/>
  <c r="J716" i="5" s="1"/>
  <c r="L521" i="5"/>
  <c r="H521" i="5" s="1"/>
  <c r="N471" i="5"/>
  <c r="J471" i="5" s="1"/>
  <c r="K697" i="5"/>
  <c r="G697" i="5" s="1"/>
  <c r="N319" i="5"/>
  <c r="J319" i="5" s="1"/>
  <c r="N231" i="5"/>
  <c r="J231" i="5" s="1"/>
  <c r="N226" i="5"/>
  <c r="J226" i="5" s="1"/>
  <c r="K427" i="5"/>
  <c r="G427" i="5" s="1"/>
  <c r="M476" i="5"/>
  <c r="I476" i="5" s="1"/>
  <c r="M271" i="5"/>
  <c r="I271" i="5" s="1"/>
  <c r="K441" i="5"/>
  <c r="G441" i="5" s="1"/>
  <c r="M503" i="5"/>
  <c r="I503" i="5" s="1"/>
  <c r="K314" i="5"/>
  <c r="G314" i="5" s="1"/>
  <c r="N527" i="5"/>
  <c r="J527" i="5" s="1"/>
  <c r="L711" i="5"/>
  <c r="H711" i="5" s="1"/>
  <c r="N499" i="5"/>
  <c r="J499" i="5" s="1"/>
  <c r="M320" i="5"/>
  <c r="I320" i="5" s="1"/>
  <c r="M60" i="5"/>
  <c r="I60" i="5" s="1"/>
  <c r="L653" i="5"/>
  <c r="H653" i="5" s="1"/>
  <c r="K633" i="5"/>
  <c r="G633" i="5" s="1"/>
  <c r="M165" i="5"/>
  <c r="I165" i="5" s="1"/>
  <c r="L735" i="5"/>
  <c r="H735" i="5" s="1"/>
  <c r="N341" i="5"/>
  <c r="J341" i="5" s="1"/>
  <c r="L379" i="5"/>
  <c r="H379" i="5" s="1"/>
  <c r="M523" i="5"/>
  <c r="I523" i="5" s="1"/>
  <c r="M566" i="5"/>
  <c r="I566" i="5" s="1"/>
  <c r="M579" i="5"/>
  <c r="I579" i="5" s="1"/>
  <c r="L627" i="5"/>
  <c r="H627" i="5" s="1"/>
  <c r="L62" i="5"/>
  <c r="H62" i="5" s="1"/>
  <c r="L421" i="5"/>
  <c r="H421" i="5" s="1"/>
  <c r="L351" i="5"/>
  <c r="H351" i="5" s="1"/>
  <c r="N474" i="5"/>
  <c r="J474" i="5" s="1"/>
  <c r="K331" i="5"/>
  <c r="G331" i="5" s="1"/>
  <c r="K257" i="5"/>
  <c r="G257" i="5" s="1"/>
  <c r="N128" i="5"/>
  <c r="J128" i="5" s="1"/>
  <c r="L502" i="5"/>
  <c r="H502" i="5" s="1"/>
  <c r="K329" i="5"/>
  <c r="G329" i="5" s="1"/>
  <c r="K207" i="5"/>
  <c r="G207" i="5" s="1"/>
  <c r="L97" i="5"/>
  <c r="H97" i="5" s="1"/>
  <c r="L48" i="5"/>
  <c r="H48" i="5" s="1"/>
  <c r="K45" i="5"/>
  <c r="G45" i="5" s="1"/>
  <c r="K168" i="5"/>
  <c r="G168" i="5" s="1"/>
  <c r="N219" i="5"/>
  <c r="J219" i="5" s="1"/>
  <c r="N748" i="5"/>
  <c r="J748" i="5" s="1"/>
  <c r="M235" i="5"/>
  <c r="I235" i="5" s="1"/>
  <c r="L330" i="5"/>
  <c r="H330" i="5" s="1"/>
  <c r="M62" i="5"/>
  <c r="I62" i="5" s="1"/>
  <c r="K360" i="5"/>
  <c r="G360" i="5" s="1"/>
  <c r="K578" i="5"/>
  <c r="G578" i="5" s="1"/>
  <c r="N267" i="5"/>
  <c r="J267" i="5" s="1"/>
  <c r="L175" i="5"/>
  <c r="H175" i="5" s="1"/>
  <c r="M590" i="5"/>
  <c r="I590" i="5" s="1"/>
  <c r="M436" i="5"/>
  <c r="I436" i="5" s="1"/>
  <c r="M553" i="5"/>
  <c r="I553" i="5" s="1"/>
  <c r="L543" i="5"/>
  <c r="H543" i="5" s="1"/>
  <c r="K336" i="5"/>
  <c r="G336" i="5" s="1"/>
  <c r="L445" i="5"/>
  <c r="H445" i="5" s="1"/>
  <c r="N282" i="5"/>
  <c r="J282" i="5" s="1"/>
  <c r="L482" i="5"/>
  <c r="H482" i="5" s="1"/>
  <c r="N227" i="5"/>
  <c r="J227" i="5" s="1"/>
  <c r="K244" i="5"/>
  <c r="G244" i="5" s="1"/>
  <c r="N61" i="5"/>
  <c r="J61" i="5" s="1"/>
  <c r="K341" i="5"/>
  <c r="G341" i="5" s="1"/>
  <c r="K285" i="5"/>
  <c r="G285" i="5" s="1"/>
  <c r="K305" i="5"/>
  <c r="G305" i="5" s="1"/>
  <c r="L136" i="5"/>
  <c r="H136" i="5" s="1"/>
  <c r="M25" i="5"/>
  <c r="I25" i="5" s="1"/>
  <c r="M138" i="5"/>
  <c r="I138" i="5" s="1"/>
  <c r="M623" i="5"/>
  <c r="I623" i="5" s="1"/>
  <c r="N155" i="5"/>
  <c r="J155" i="5" s="1"/>
  <c r="N193" i="5"/>
  <c r="J193" i="5" s="1"/>
  <c r="N306" i="5"/>
  <c r="J306" i="5" s="1"/>
  <c r="K128" i="5"/>
  <c r="G128" i="5" s="1"/>
  <c r="L328" i="5"/>
  <c r="H328" i="5" s="1"/>
  <c r="K410" i="5"/>
  <c r="G410" i="5" s="1"/>
  <c r="N29" i="5"/>
  <c r="J29" i="5" s="1"/>
  <c r="K631" i="5"/>
  <c r="G631" i="5" s="1"/>
  <c r="L360" i="5"/>
  <c r="H360" i="5" s="1"/>
  <c r="M547" i="5"/>
  <c r="I547" i="5" s="1"/>
  <c r="K446" i="5"/>
  <c r="G446" i="5" s="1"/>
  <c r="M656" i="5"/>
  <c r="I656" i="5" s="1"/>
  <c r="M650" i="5"/>
  <c r="I650" i="5" s="1"/>
  <c r="M766" i="5"/>
  <c r="I766" i="5" s="1"/>
  <c r="N221" i="5"/>
  <c r="J221" i="5" s="1"/>
  <c r="M498" i="5"/>
  <c r="I498" i="5" s="1"/>
  <c r="L333" i="5"/>
  <c r="H333" i="5" s="1"/>
  <c r="L350" i="5"/>
  <c r="H350" i="5" s="1"/>
  <c r="N744" i="5"/>
  <c r="J744" i="5" s="1"/>
  <c r="N547" i="5"/>
  <c r="J547" i="5" s="1"/>
  <c r="N363" i="5"/>
  <c r="J363" i="5" s="1"/>
  <c r="N90" i="5"/>
  <c r="J90" i="5" s="1"/>
  <c r="K744" i="5"/>
  <c r="G744" i="5" s="1"/>
  <c r="N257" i="5"/>
  <c r="J257" i="5" s="1"/>
  <c r="K482" i="5"/>
  <c r="G482" i="5" s="1"/>
  <c r="M269" i="5"/>
  <c r="I269" i="5" s="1"/>
  <c r="K658" i="5"/>
  <c r="G658" i="5" s="1"/>
  <c r="K362" i="5"/>
  <c r="G362" i="5" s="1"/>
  <c r="N525" i="5"/>
  <c r="J525" i="5" s="1"/>
  <c r="N472" i="5"/>
  <c r="J472" i="5" s="1"/>
  <c r="N217" i="5"/>
  <c r="J217" i="5" s="1"/>
  <c r="L374" i="5"/>
  <c r="H374" i="5" s="1"/>
  <c r="N309" i="5"/>
  <c r="J309" i="5" s="1"/>
  <c r="M219" i="5"/>
  <c r="I219" i="5" s="1"/>
  <c r="M130" i="5"/>
  <c r="I130" i="5" s="1"/>
  <c r="L152" i="5"/>
  <c r="H152" i="5" s="1"/>
  <c r="K282" i="5"/>
  <c r="G282" i="5" s="1"/>
  <c r="N623" i="5"/>
  <c r="J623" i="5" s="1"/>
  <c r="N440" i="5"/>
  <c r="J440" i="5" s="1"/>
  <c r="L107" i="5"/>
  <c r="H107" i="5" s="1"/>
  <c r="N284" i="5"/>
  <c r="J284" i="5" s="1"/>
  <c r="L436" i="5"/>
  <c r="H436" i="5" s="1"/>
  <c r="N555" i="5"/>
  <c r="J555" i="5" s="1"/>
  <c r="L132" i="5"/>
  <c r="H132" i="5" s="1"/>
  <c r="L491" i="5"/>
  <c r="H491" i="5" s="1"/>
  <c r="K165" i="5"/>
  <c r="G165" i="5" s="1"/>
  <c r="M373" i="5"/>
  <c r="I373" i="5" s="1"/>
  <c r="M101" i="5"/>
  <c r="I101" i="5" s="1"/>
  <c r="M286" i="5"/>
  <c r="I286" i="5" s="1"/>
  <c r="L513" i="5"/>
  <c r="H513" i="5" s="1"/>
  <c r="N550" i="5"/>
  <c r="J550" i="5" s="1"/>
  <c r="K56" i="5"/>
  <c r="G56" i="5" s="1"/>
  <c r="K275" i="5"/>
  <c r="G275" i="5" s="1"/>
  <c r="N740" i="5"/>
  <c r="J740" i="5" s="1"/>
  <c r="K522" i="5"/>
  <c r="G522" i="5" s="1"/>
  <c r="N25" i="5"/>
  <c r="J25" i="5" s="1"/>
  <c r="L514" i="5"/>
  <c r="H514" i="5" s="1"/>
  <c r="N615" i="5"/>
  <c r="J615" i="5" s="1"/>
  <c r="K590" i="5"/>
  <c r="G590" i="5" s="1"/>
  <c r="K150" i="5"/>
  <c r="G150" i="5" s="1"/>
  <c r="N725" i="5"/>
  <c r="J725" i="5" s="1"/>
  <c r="M194" i="5"/>
  <c r="I194" i="5" s="1"/>
  <c r="K525" i="5"/>
  <c r="G525" i="5" s="1"/>
  <c r="L334" i="5"/>
  <c r="H334" i="5" s="1"/>
  <c r="N482" i="5"/>
  <c r="J482" i="5" s="1"/>
  <c r="K113" i="5"/>
  <c r="G113" i="5" s="1"/>
  <c r="N618" i="5"/>
  <c r="J618" i="5" s="1"/>
  <c r="K588" i="5"/>
  <c r="G588" i="5" s="1"/>
  <c r="N214" i="5"/>
  <c r="J214" i="5" s="1"/>
  <c r="M91" i="5"/>
  <c r="I91" i="5" s="1"/>
  <c r="K334" i="5"/>
  <c r="G334" i="5" s="1"/>
  <c r="M195" i="5"/>
  <c r="I195" i="5" s="1"/>
  <c r="N689" i="5"/>
  <c r="J689" i="5" s="1"/>
  <c r="N249" i="5"/>
  <c r="J249" i="5" s="1"/>
  <c r="M646" i="5"/>
  <c r="I646" i="5" s="1"/>
  <c r="N489" i="5"/>
  <c r="J489" i="5" s="1"/>
  <c r="M708" i="5"/>
  <c r="I708" i="5" s="1"/>
  <c r="K62" i="5"/>
  <c r="G62" i="5" s="1"/>
  <c r="L93" i="5"/>
  <c r="H93" i="5" s="1"/>
  <c r="M381" i="5"/>
  <c r="I381" i="5" s="1"/>
  <c r="M299" i="5"/>
  <c r="I299" i="5" s="1"/>
  <c r="M391" i="5"/>
  <c r="I391" i="5" s="1"/>
  <c r="K405" i="5"/>
  <c r="G405" i="5" s="1"/>
  <c r="L699" i="5"/>
  <c r="H699" i="5" s="1"/>
  <c r="N752" i="5"/>
  <c r="J752" i="5" s="1"/>
  <c r="N251" i="5"/>
  <c r="J251" i="5" s="1"/>
  <c r="M578" i="5"/>
  <c r="I578" i="5" s="1"/>
  <c r="N265" i="5"/>
  <c r="J265" i="5" s="1"/>
  <c r="K349" i="5"/>
  <c r="G349" i="5" s="1"/>
  <c r="L598" i="5"/>
  <c r="H598" i="5" s="1"/>
  <c r="M33" i="5"/>
  <c r="I33" i="5" s="1"/>
  <c r="N438" i="5"/>
  <c r="J438" i="5" s="1"/>
  <c r="K51" i="5"/>
  <c r="G51" i="5" s="1"/>
  <c r="K292" i="5"/>
  <c r="G292" i="5" s="1"/>
  <c r="N59" i="5"/>
  <c r="J59" i="5" s="1"/>
  <c r="N720" i="5"/>
  <c r="J720" i="5" s="1"/>
  <c r="N600" i="5"/>
  <c r="J600" i="5" s="1"/>
  <c r="M748" i="5"/>
  <c r="I748" i="5" s="1"/>
  <c r="K488" i="5"/>
  <c r="G488" i="5" s="1"/>
  <c r="M500" i="5"/>
  <c r="I500" i="5" s="1"/>
  <c r="N569" i="5"/>
  <c r="J569" i="5" s="1"/>
  <c r="L292" i="5"/>
  <c r="H292" i="5" s="1"/>
  <c r="L665" i="5"/>
  <c r="H665" i="5" s="1"/>
  <c r="N45" i="5"/>
  <c r="J45" i="5" s="1"/>
  <c r="L224" i="5"/>
  <c r="H224" i="5" s="1"/>
  <c r="N631" i="5"/>
  <c r="J631" i="5" s="1"/>
  <c r="L289" i="5"/>
  <c r="H289" i="5" s="1"/>
  <c r="M574" i="5"/>
  <c r="I574" i="5" s="1"/>
  <c r="N154" i="5"/>
  <c r="J154" i="5" s="1"/>
  <c r="M577" i="5"/>
  <c r="I577" i="5" s="1"/>
  <c r="L410" i="5"/>
  <c r="H410" i="5" s="1"/>
  <c r="M197" i="5"/>
  <c r="I197" i="5" s="1"/>
  <c r="M144" i="5"/>
  <c r="I144" i="5" s="1"/>
  <c r="N315" i="5"/>
  <c r="J315" i="5" s="1"/>
  <c r="L533" i="5"/>
  <c r="H533" i="5" s="1"/>
  <c r="M722" i="5"/>
  <c r="I722" i="5" s="1"/>
  <c r="N372" i="5"/>
  <c r="J372" i="5" s="1"/>
  <c r="K398" i="5"/>
  <c r="G398" i="5" s="1"/>
  <c r="M349" i="5"/>
  <c r="I349" i="5" s="1"/>
  <c r="L53" i="5"/>
  <c r="H53" i="5" s="1"/>
  <c r="N329" i="5"/>
  <c r="J329" i="5" s="1"/>
  <c r="K758" i="5"/>
  <c r="G758" i="5" s="1"/>
  <c r="N679" i="5"/>
  <c r="J679" i="5" s="1"/>
  <c r="M509" i="5"/>
  <c r="I509" i="5" s="1"/>
  <c r="K741" i="5"/>
  <c r="G741" i="5" s="1"/>
  <c r="M594" i="5"/>
  <c r="I594" i="5" s="1"/>
  <c r="L642" i="5"/>
  <c r="H642" i="5" s="1"/>
  <c r="L631" i="5"/>
  <c r="H631" i="5" s="1"/>
  <c r="K636" i="5"/>
  <c r="G636" i="5" s="1"/>
  <c r="K294" i="5"/>
  <c r="G294" i="5" s="1"/>
  <c r="K513" i="5"/>
  <c r="G513" i="5" s="1"/>
  <c r="K500" i="5"/>
  <c r="G500" i="5" s="1"/>
  <c r="M270" i="5"/>
  <c r="I270" i="5" s="1"/>
  <c r="L752" i="5"/>
  <c r="H752" i="5" s="1"/>
  <c r="L590" i="5"/>
  <c r="H590" i="5" s="1"/>
  <c r="M276" i="5"/>
  <c r="I276" i="5" s="1"/>
  <c r="L490" i="5"/>
  <c r="H490" i="5" s="1"/>
  <c r="L341" i="5"/>
  <c r="H341" i="5" s="1"/>
  <c r="M362" i="5"/>
  <c r="I362" i="5" s="1"/>
  <c r="L660" i="5"/>
  <c r="H660" i="5" s="1"/>
  <c r="N484" i="5"/>
  <c r="J484" i="5" s="1"/>
  <c r="M168" i="5"/>
  <c r="I168" i="5" s="1"/>
  <c r="N537" i="5"/>
  <c r="J537" i="5" s="1"/>
  <c r="K712" i="5"/>
  <c r="G712" i="5" s="1"/>
  <c r="K660" i="5"/>
  <c r="G660" i="5" s="1"/>
  <c r="M421" i="5"/>
  <c r="I421" i="5" s="1"/>
  <c r="N149" i="5"/>
  <c r="J149" i="5" s="1"/>
  <c r="L200" i="5"/>
  <c r="H200" i="5" s="1"/>
  <c r="M326" i="5"/>
  <c r="I326" i="5" s="1"/>
  <c r="M474" i="5"/>
  <c r="I474" i="5" s="1"/>
  <c r="K496" i="5"/>
  <c r="G496" i="5" s="1"/>
  <c r="N58" i="5"/>
  <c r="J58" i="5" s="1"/>
  <c r="M605" i="5"/>
  <c r="I605" i="5" s="1"/>
  <c r="N564" i="5"/>
  <c r="J564" i="5" s="1"/>
  <c r="M429" i="5"/>
  <c r="I429" i="5" s="1"/>
  <c r="L605" i="5"/>
  <c r="H605" i="5" s="1"/>
  <c r="M151" i="5"/>
  <c r="I151" i="5" s="1"/>
  <c r="L345" i="5"/>
  <c r="H345" i="5" s="1"/>
  <c r="K601" i="5"/>
  <c r="G601" i="5" s="1"/>
  <c r="N496" i="5"/>
  <c r="J496" i="5" s="1"/>
  <c r="L703" i="5"/>
  <c r="H703" i="5" s="1"/>
  <c r="L767" i="5"/>
  <c r="H767" i="5" s="1"/>
  <c r="M490" i="5"/>
  <c r="I490" i="5" s="1"/>
  <c r="K97" i="5"/>
  <c r="G97" i="5" s="1"/>
  <c r="K297" i="5"/>
  <c r="G297" i="5" s="1"/>
  <c r="M661" i="5"/>
  <c r="I661" i="5" s="1"/>
  <c r="L233" i="5"/>
  <c r="H233" i="5" s="1"/>
  <c r="M634" i="5"/>
  <c r="I634" i="5" s="1"/>
  <c r="N210" i="5"/>
  <c r="J210" i="5" s="1"/>
  <c r="M54" i="5"/>
  <c r="I54" i="5" s="1"/>
  <c r="L277" i="5"/>
  <c r="H277" i="5" s="1"/>
  <c r="M217" i="5"/>
  <c r="I217" i="5" s="1"/>
  <c r="N690" i="5"/>
  <c r="J690" i="5" s="1"/>
  <c r="M682" i="5"/>
  <c r="I682" i="5" s="1"/>
  <c r="N687" i="5"/>
  <c r="J687" i="5" s="1"/>
  <c r="L347" i="5"/>
  <c r="H347" i="5" s="1"/>
  <c r="M99" i="5"/>
  <c r="I99" i="5" s="1"/>
  <c r="N487" i="5"/>
  <c r="J487" i="5" s="1"/>
  <c r="K656" i="5"/>
  <c r="G656" i="5" s="1"/>
  <c r="L264" i="5"/>
  <c r="H264" i="5" s="1"/>
  <c r="L683" i="5"/>
  <c r="H683" i="5" s="1"/>
  <c r="L204" i="5"/>
  <c r="H204" i="5" s="1"/>
  <c r="N427" i="5"/>
  <c r="J427" i="5" s="1"/>
  <c r="M382" i="5"/>
  <c r="I382" i="5" s="1"/>
  <c r="L578" i="5"/>
  <c r="H578" i="5" s="1"/>
  <c r="L638" i="5"/>
  <c r="H638" i="5" s="1"/>
  <c r="L604" i="5"/>
  <c r="H604" i="5" s="1"/>
  <c r="N441" i="5"/>
  <c r="J441" i="5" s="1"/>
  <c r="L712" i="5"/>
  <c r="H712" i="5" s="1"/>
  <c r="M524" i="5"/>
  <c r="I524" i="5" s="1"/>
  <c r="L658" i="5"/>
  <c r="H658" i="5" s="1"/>
  <c r="L362" i="5"/>
  <c r="H362" i="5" s="1"/>
  <c r="L720" i="5"/>
  <c r="H720" i="5" s="1"/>
  <c r="L270" i="5"/>
  <c r="H270" i="5" s="1"/>
  <c r="K351" i="5"/>
  <c r="G351" i="5" s="1"/>
  <c r="L63" i="5"/>
  <c r="H63" i="5" s="1"/>
  <c r="K74" i="5"/>
  <c r="G74" i="5" s="1"/>
  <c r="M292" i="5"/>
  <c r="I292" i="5" s="1"/>
  <c r="N736" i="5"/>
  <c r="J736" i="5" s="1"/>
  <c r="N627" i="5"/>
  <c r="J627" i="5" s="1"/>
  <c r="M191" i="5"/>
  <c r="I191" i="5" s="1"/>
  <c r="N661" i="5"/>
  <c r="J661" i="5" s="1"/>
  <c r="M251" i="5"/>
  <c r="I251" i="5" s="1"/>
  <c r="L326" i="5"/>
  <c r="H326" i="5" s="1"/>
  <c r="L221" i="5"/>
  <c r="H221" i="5" s="1"/>
  <c r="M486" i="5"/>
  <c r="I486" i="5" s="1"/>
  <c r="L336" i="5"/>
  <c r="H336" i="5" s="1"/>
  <c r="M172" i="5"/>
  <c r="I172" i="5" s="1"/>
  <c r="K141" i="5"/>
  <c r="G141" i="5" s="1"/>
  <c r="L154" i="5"/>
  <c r="H154" i="5" s="1"/>
  <c r="M665" i="5"/>
  <c r="I665" i="5" s="1"/>
  <c r="L160" i="5"/>
  <c r="H160" i="5" s="1"/>
  <c r="K619" i="5"/>
  <c r="G619" i="5" s="1"/>
  <c r="K586" i="5"/>
  <c r="G586" i="5" s="1"/>
  <c r="L193" i="5"/>
  <c r="H193" i="5" s="1"/>
  <c r="K209" i="5"/>
  <c r="G209" i="5" s="1"/>
  <c r="L579" i="5"/>
  <c r="H579" i="5" s="1"/>
  <c r="M655" i="5"/>
  <c r="I655" i="5" s="1"/>
  <c r="K655" i="5"/>
  <c r="G655" i="5" s="1"/>
  <c r="K486" i="5"/>
  <c r="G486" i="5" s="1"/>
  <c r="M513" i="5"/>
  <c r="I513" i="5" s="1"/>
  <c r="N410" i="5"/>
  <c r="J410" i="5" s="1"/>
  <c r="L256" i="5"/>
  <c r="H256" i="5" s="1"/>
  <c r="L149" i="5"/>
  <c r="H149" i="5" s="1"/>
  <c r="M374" i="5"/>
  <c r="I374" i="5" s="1"/>
  <c r="K456" i="5"/>
  <c r="G456" i="5" s="1"/>
  <c r="N168" i="5"/>
  <c r="J168" i="5" s="1"/>
  <c r="N556" i="5"/>
  <c r="J556" i="5" s="1"/>
  <c r="M700" i="5"/>
  <c r="I700" i="5" s="1"/>
  <c r="N514" i="5"/>
  <c r="J514" i="5" s="1"/>
  <c r="N150" i="5"/>
  <c r="J150" i="5" s="1"/>
  <c r="M756" i="5"/>
  <c r="I756" i="5" s="1"/>
  <c r="K142" i="5"/>
  <c r="G142" i="5" s="1"/>
  <c r="M760" i="5"/>
  <c r="I760" i="5" s="1"/>
  <c r="K612" i="5"/>
  <c r="G612" i="5" s="1"/>
  <c r="L89" i="5"/>
  <c r="H89" i="5" s="1"/>
  <c r="M724" i="5"/>
  <c r="I724" i="5" s="1"/>
  <c r="N88" i="5"/>
  <c r="J88" i="5" s="1"/>
  <c r="K438" i="5"/>
  <c r="G438" i="5" s="1"/>
  <c r="K740" i="5"/>
  <c r="G740" i="5" s="1"/>
  <c r="L661" i="5"/>
  <c r="H661" i="5" s="1"/>
  <c r="M210" i="5"/>
  <c r="I210" i="5" s="1"/>
  <c r="K178" i="5"/>
  <c r="G178" i="5" s="1"/>
  <c r="K594" i="5"/>
  <c r="G594" i="5" s="1"/>
  <c r="K609" i="5"/>
  <c r="G609" i="5" s="1"/>
  <c r="K318" i="5"/>
  <c r="G318" i="5" s="1"/>
  <c r="K638" i="5"/>
  <c r="G638" i="5" s="1"/>
  <c r="M339" i="5"/>
  <c r="I339" i="5" s="1"/>
  <c r="M533" i="5"/>
  <c r="I533" i="5" s="1"/>
  <c r="N124" i="5"/>
  <c r="J124" i="5" s="1"/>
  <c r="K599" i="5"/>
  <c r="G599" i="5" s="1"/>
  <c r="K137" i="5"/>
  <c r="G137" i="5" s="1"/>
  <c r="M279" i="5"/>
  <c r="I279" i="5" s="1"/>
  <c r="L586" i="5"/>
  <c r="H586" i="5" s="1"/>
  <c r="M319" i="5"/>
  <c r="I319" i="5" s="1"/>
  <c r="N656" i="5"/>
  <c r="J656" i="5" s="1"/>
  <c r="L268" i="5"/>
  <c r="H268" i="5" s="1"/>
  <c r="N522" i="5"/>
  <c r="J522" i="5" s="1"/>
  <c r="M297" i="5"/>
  <c r="I297" i="5" s="1"/>
  <c r="M573" i="5"/>
  <c r="I573" i="5" s="1"/>
  <c r="L418" i="5"/>
  <c r="H418" i="5" s="1"/>
  <c r="N531" i="5"/>
  <c r="J531" i="5" s="1"/>
  <c r="N578" i="5"/>
  <c r="J578" i="5" s="1"/>
  <c r="K736" i="5"/>
  <c r="G736" i="5" s="1"/>
  <c r="M331" i="5"/>
  <c r="I331" i="5" s="1"/>
  <c r="N419" i="5"/>
  <c r="J419" i="5" s="1"/>
  <c r="K266" i="5"/>
  <c r="G266" i="5" s="1"/>
  <c r="M716" i="5"/>
  <c r="I716" i="5" s="1"/>
  <c r="L736" i="5"/>
  <c r="H736" i="5" s="1"/>
  <c r="N513" i="5"/>
  <c r="J513" i="5" s="1"/>
  <c r="N461" i="5"/>
  <c r="J461" i="5" s="1"/>
  <c r="M410" i="5"/>
  <c r="I410" i="5" s="1"/>
  <c r="K561" i="5"/>
  <c r="G561" i="5" s="1"/>
  <c r="N256" i="5"/>
  <c r="J256" i="5" s="1"/>
  <c r="N348" i="5"/>
  <c r="J348" i="5" s="1"/>
  <c r="N191" i="5"/>
  <c r="J191" i="5" s="1"/>
  <c r="L329" i="5"/>
  <c r="H329" i="5" s="1"/>
  <c r="M642" i="5"/>
  <c r="I642" i="5" s="1"/>
  <c r="M39" i="5"/>
  <c r="I39" i="5" s="1"/>
  <c r="N586" i="5"/>
  <c r="J586" i="5" s="1"/>
  <c r="L474" i="5"/>
  <c r="H474" i="5" s="1"/>
  <c r="L282" i="5"/>
  <c r="H282" i="5" s="1"/>
  <c r="L447" i="5"/>
  <c r="H447" i="5" s="1"/>
  <c r="N56" i="5"/>
  <c r="J56" i="5" s="1"/>
  <c r="N662" i="5"/>
  <c r="J662" i="5" s="1"/>
  <c r="N350" i="5"/>
  <c r="J350" i="5" s="1"/>
  <c r="N120" i="5"/>
  <c r="J120" i="5" s="1"/>
  <c r="L407" i="5"/>
  <c r="H407" i="5" s="1"/>
  <c r="K326" i="5"/>
  <c r="G326" i="5" s="1"/>
  <c r="M604" i="5"/>
  <c r="I604" i="5" s="1"/>
  <c r="M234" i="5"/>
  <c r="I234" i="5" s="1"/>
  <c r="N655" i="5"/>
  <c r="J655" i="5" s="1"/>
  <c r="L646" i="5"/>
  <c r="H646" i="5" s="1"/>
  <c r="N237" i="5"/>
  <c r="J237" i="5" s="1"/>
  <c r="M615" i="5"/>
  <c r="I615" i="5" s="1"/>
  <c r="N576" i="5"/>
  <c r="J576" i="5" s="1"/>
  <c r="N261" i="5"/>
  <c r="J261" i="5" s="1"/>
  <c r="L556" i="5"/>
  <c r="H556" i="5" s="1"/>
  <c r="M584" i="5"/>
  <c r="I584" i="5" s="1"/>
  <c r="L349" i="5"/>
  <c r="H349" i="5" s="1"/>
  <c r="K81" i="5"/>
  <c r="G81" i="5" s="1"/>
  <c r="M327" i="5"/>
  <c r="I327" i="5" s="1"/>
  <c r="M660" i="5"/>
  <c r="I660" i="5" s="1"/>
  <c r="K214" i="5"/>
  <c r="G214" i="5" s="1"/>
  <c r="N634" i="5"/>
  <c r="J634" i="5" s="1"/>
  <c r="L291" i="5"/>
  <c r="H291" i="5" s="1"/>
  <c r="K455" i="5"/>
  <c r="G455" i="5" s="1"/>
  <c r="L601" i="5"/>
  <c r="H601" i="5" s="1"/>
  <c r="L716" i="5"/>
  <c r="H716" i="5" s="1"/>
  <c r="N167" i="5"/>
  <c r="J167" i="5" s="1"/>
  <c r="N651" i="5"/>
  <c r="J651" i="5" s="1"/>
  <c r="K474" i="5"/>
  <c r="G474" i="5" s="1"/>
  <c r="K231" i="5"/>
  <c r="G231" i="5" s="1"/>
  <c r="N144" i="5"/>
  <c r="J144" i="5" s="1"/>
  <c r="L219" i="5"/>
  <c r="H219" i="5" s="1"/>
  <c r="L237" i="5"/>
  <c r="H237" i="5" s="1"/>
  <c r="L257" i="5"/>
  <c r="H257" i="5" s="1"/>
  <c r="L573" i="5"/>
  <c r="H573" i="5" s="1"/>
  <c r="M459" i="5"/>
  <c r="I459" i="5" s="1"/>
  <c r="M726" i="5"/>
  <c r="I726" i="5" s="1"/>
  <c r="M612" i="5"/>
  <c r="I612" i="5" s="1"/>
  <c r="N187" i="5"/>
  <c r="J187" i="5" s="1"/>
  <c r="L331" i="5"/>
  <c r="H331" i="5" s="1"/>
  <c r="N200" i="5"/>
  <c r="J200" i="5" s="1"/>
  <c r="L84" i="5"/>
  <c r="H84" i="5" s="1"/>
  <c r="N608" i="5"/>
  <c r="J608" i="5" s="1"/>
  <c r="N421" i="5"/>
  <c r="J421" i="5" s="1"/>
  <c r="N327" i="5"/>
  <c r="J327" i="5" s="1"/>
  <c r="K703" i="5"/>
  <c r="G703" i="5" s="1"/>
  <c r="N362" i="5"/>
  <c r="J362" i="5" s="1"/>
  <c r="M455" i="5"/>
  <c r="I455" i="5" s="1"/>
  <c r="L550" i="5"/>
  <c r="H550" i="5" s="1"/>
  <c r="M142" i="5"/>
  <c r="I142" i="5" s="1"/>
  <c r="N371" i="5"/>
  <c r="J371" i="5" s="1"/>
  <c r="M482" i="5"/>
  <c r="I482" i="5" s="1"/>
  <c r="K604" i="5"/>
  <c r="G604" i="5" s="1"/>
  <c r="N579" i="5"/>
  <c r="J579" i="5" s="1"/>
  <c r="N225" i="5"/>
  <c r="J225" i="5" s="1"/>
  <c r="K286" i="5"/>
  <c r="G286" i="5" s="1"/>
  <c r="L689" i="5"/>
  <c r="H689" i="5" s="1"/>
  <c r="K87" i="5"/>
  <c r="G87" i="5" s="1"/>
  <c r="N455" i="5"/>
  <c r="J455" i="5" s="1"/>
  <c r="M471" i="5"/>
  <c r="I471" i="5" s="1"/>
  <c r="K33" i="5"/>
  <c r="G33" i="5" s="1"/>
  <c r="N172" i="5"/>
  <c r="J172" i="5" s="1"/>
  <c r="N592" i="5"/>
  <c r="J592" i="5" s="1"/>
  <c r="M740" i="5"/>
  <c r="I740" i="5" s="1"/>
  <c r="N114" i="5"/>
  <c r="J114" i="5" s="1"/>
  <c r="L561" i="5"/>
  <c r="H561" i="5" s="1"/>
  <c r="M58" i="5"/>
  <c r="I58" i="5" s="1"/>
  <c r="K447" i="5"/>
  <c r="G447" i="5" s="1"/>
  <c r="L509" i="5"/>
  <c r="H509" i="5" s="1"/>
  <c r="K657" i="5"/>
  <c r="G657" i="5" s="1"/>
  <c r="L129" i="5"/>
  <c r="H129" i="5" s="1"/>
  <c r="N86" i="5"/>
  <c r="J86" i="5" s="1"/>
  <c r="K707" i="5"/>
  <c r="G707" i="5" s="1"/>
  <c r="N156" i="5"/>
  <c r="J156" i="5" s="1"/>
  <c r="M571" i="5"/>
  <c r="I571" i="5" s="1"/>
  <c r="M631" i="5"/>
  <c r="I631" i="5" s="1"/>
  <c r="N234" i="5"/>
  <c r="J234" i="5" s="1"/>
  <c r="K716" i="5"/>
  <c r="G716" i="5" s="1"/>
  <c r="N712" i="5"/>
  <c r="J712" i="5" s="1"/>
  <c r="M627" i="5"/>
  <c r="I627" i="5" s="1"/>
  <c r="K720" i="5"/>
  <c r="G720" i="5" s="1"/>
  <c r="K234" i="5"/>
  <c r="G234" i="5" s="1"/>
  <c r="L371" i="5"/>
  <c r="H371" i="5" s="1"/>
  <c r="M66" i="5"/>
  <c r="I66" i="5" s="1"/>
  <c r="N637" i="5"/>
  <c r="J637" i="5" s="1"/>
  <c r="N336" i="5"/>
  <c r="J336" i="5" s="1"/>
  <c r="K276" i="5"/>
  <c r="G276" i="5" s="1"/>
  <c r="L608" i="5"/>
  <c r="H608" i="5" s="1"/>
  <c r="K491" i="5"/>
  <c r="G491" i="5" s="1"/>
  <c r="N33" i="5"/>
  <c r="J33" i="5" s="1"/>
  <c r="N339" i="5"/>
  <c r="J339" i="5" s="1"/>
  <c r="K752" i="5"/>
  <c r="G752" i="5" s="1"/>
  <c r="K387" i="5"/>
  <c r="G387" i="5" s="1"/>
  <c r="M32" i="5"/>
  <c r="I32" i="5" s="1"/>
  <c r="K502" i="5"/>
  <c r="G502" i="5" s="1"/>
  <c r="M347" i="5"/>
  <c r="I347" i="5" s="1"/>
  <c r="L156" i="5"/>
  <c r="H156" i="5" s="1"/>
  <c r="K197" i="5"/>
  <c r="G197" i="5" s="1"/>
  <c r="M81" i="5"/>
  <c r="I81" i="5" s="1"/>
  <c r="L296" i="5"/>
  <c r="H296" i="5" s="1"/>
  <c r="M128" i="5"/>
  <c r="I128" i="5" s="1"/>
  <c r="L239" i="5"/>
  <c r="H239" i="5" s="1"/>
  <c r="N349" i="5"/>
  <c r="J349" i="5" s="1"/>
  <c r="K284" i="5"/>
  <c r="G284" i="5" s="1"/>
  <c r="L512" i="5"/>
  <c r="H512" i="5" s="1"/>
  <c r="M494" i="5"/>
  <c r="I494" i="5" s="1"/>
  <c r="M163" i="5"/>
  <c r="I163" i="5" s="1"/>
  <c r="N232" i="5"/>
  <c r="J232" i="5" s="1"/>
  <c r="L398" i="5"/>
  <c r="H398" i="5" s="1"/>
  <c r="M290" i="5"/>
  <c r="I290" i="5" s="1"/>
  <c r="N611" i="5"/>
  <c r="J611" i="5" s="1"/>
  <c r="K69" i="5"/>
  <c r="G69" i="5" s="1"/>
  <c r="N286" i="5"/>
  <c r="J286" i="5" s="1"/>
  <c r="L753" i="5"/>
  <c r="H753" i="5" s="1"/>
  <c r="N686" i="5"/>
  <c r="J686" i="5" s="1"/>
  <c r="N526" i="5"/>
  <c r="J526" i="5" s="1"/>
  <c r="L547" i="5"/>
  <c r="H547" i="5" s="1"/>
  <c r="L486" i="5"/>
  <c r="H486" i="5" s="1"/>
  <c r="M330" i="5"/>
  <c r="I330" i="5" s="1"/>
  <c r="K59" i="5"/>
  <c r="G59" i="5" s="1"/>
  <c r="L265" i="5"/>
  <c r="H265" i="5" s="1"/>
  <c r="M419" i="5"/>
  <c r="I419" i="5" s="1"/>
  <c r="L617" i="5"/>
  <c r="H617" i="5" s="1"/>
  <c r="L56" i="5"/>
  <c r="H56" i="5" s="1"/>
  <c r="K598" i="5"/>
  <c r="G598" i="5" s="1"/>
  <c r="N276" i="5"/>
  <c r="J276" i="5" s="1"/>
  <c r="M703" i="5"/>
  <c r="I703" i="5" s="1"/>
  <c r="M739" i="5"/>
  <c r="I739" i="5" s="1"/>
  <c r="K270" i="5"/>
  <c r="G270" i="5" s="1"/>
  <c r="L259" i="5"/>
  <c r="H259" i="5" s="1"/>
  <c r="M363" i="5"/>
  <c r="I363" i="5" s="1"/>
  <c r="M564" i="5"/>
  <c r="I564" i="5" s="1"/>
  <c r="N113" i="5"/>
  <c r="J113" i="5" s="1"/>
  <c r="K579" i="5"/>
  <c r="G579" i="5" s="1"/>
  <c r="M265" i="5"/>
  <c r="I265" i="5" s="1"/>
  <c r="M259" i="5"/>
  <c r="I259" i="5" s="1"/>
  <c r="M149" i="5"/>
  <c r="I149" i="5" s="1"/>
  <c r="L251" i="5"/>
  <c r="H251" i="5" s="1"/>
  <c r="L314" i="5"/>
  <c r="H314" i="5" s="1"/>
  <c r="M257" i="5"/>
  <c r="I257" i="5" s="1"/>
  <c r="N486" i="5"/>
  <c r="J486" i="5" s="1"/>
  <c r="L496" i="5"/>
  <c r="H496" i="5" s="1"/>
  <c r="K554" i="5"/>
  <c r="G554" i="5" s="1"/>
  <c r="N209" i="5"/>
  <c r="J209" i="5" s="1"/>
  <c r="M445" i="5"/>
  <c r="I445" i="5" s="1"/>
  <c r="N703" i="5"/>
  <c r="J703" i="5" s="1"/>
  <c r="N467" i="5"/>
  <c r="J467" i="5" s="1"/>
  <c r="N291" i="5"/>
  <c r="J291" i="5" s="1"/>
  <c r="N375" i="5"/>
  <c r="J375" i="5" s="1"/>
  <c r="M608" i="5"/>
  <c r="I608" i="5" s="1"/>
  <c r="N351" i="5"/>
  <c r="J351" i="5" s="1"/>
  <c r="N377" i="5"/>
  <c r="J377" i="5" s="1"/>
  <c r="N72" i="5"/>
  <c r="J72" i="5" s="1"/>
  <c r="M231" i="5"/>
  <c r="I231" i="5" s="1"/>
  <c r="L217" i="5"/>
  <c r="H217" i="5" s="1"/>
  <c r="N405" i="5"/>
  <c r="J405" i="5" s="1"/>
  <c r="N52" i="5"/>
  <c r="J52" i="5" s="1"/>
  <c r="M267" i="5"/>
  <c r="I267" i="5" s="1"/>
  <c r="K212" i="5"/>
  <c r="G212" i="5" s="1"/>
  <c r="L455" i="5"/>
  <c r="H455" i="5" s="1"/>
  <c r="M696" i="5"/>
  <c r="I696" i="5" s="1"/>
  <c r="M521" i="5"/>
  <c r="I521" i="5" s="1"/>
  <c r="K745" i="5"/>
  <c r="G74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Branman</author>
  </authors>
  <commentList>
    <comment ref="A1" authorId="0" shapeId="0" xr:uid="{3410E0F2-677A-4B35-B857-E1A760DC7D0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Timestamp="1772046185"&gt;&lt;FQL&gt;&lt;Q&gt;CRS-US^P_BETA_LOCIDX(45485,45310,,"SPX")&lt;/Q&gt;&lt;R&gt;1&lt;/R&gt;&lt;C&gt;1&lt;/C&gt;&lt;D xsi:type="xsd:double"&gt;0.88270247&lt;/D&gt;&lt;/FQL&gt;&lt;FQL&gt;&lt;Q&gt;CRS-US^P_BETA_LOCIDX(45419,45243,,"SPX")&lt;/Q&gt;&lt;R&gt;1&lt;/R&gt;&lt;C&gt;1&lt;/C&gt;&lt;D xsi:type="xsd:double"&gt;0.91173804&lt;/D&gt;&lt;/FQL&gt;&lt;FQL&gt;&lt;Q&gt;CRS-US^P_BETA_LOCIDX(45387,45211,,"SPX")&lt;/Q&gt;&lt;R&gt;1&lt;/R&gt;&lt;C&gt;1&lt;/C&gt;&lt;D xsi:type="xsd:double"&gt;1.1094607&lt;/D&gt;&lt;/FQL&gt;&lt;FQL&gt;&lt;Q&gt;CRS-US^P_BETA_LOCIDX(45327,45152,,"SPX")&lt;/Q&gt;&lt;R&gt;1&lt;/R&gt;&lt;C&gt;1&lt;/C&gt;&lt;D xsi:type="xsd:double"&gt;1.2340397&lt;/D&gt;&lt;/FQL&gt;&lt;FQL&gt;&lt;Q&gt;CRS-US^P_BETA_LOCIDX(45267,45093,,"SPX")&lt;/Q&gt;&lt;R&gt;1&lt;/R&gt;&lt;C&gt;1&lt;/C&gt;&lt;D xsi:type="xsd:double"&gt;1.2211705&lt;/D&gt;&lt;/FQL&gt;&lt;FQL&gt;&lt;Q&gt;CRS-US^P_BETA_LOCIDX(45211,45037,,"SPX")&lt;/Q&gt;&lt;R&gt;1&lt;/R&gt;&lt;C&gt;1&lt;/C&gt;&lt;D xsi:type="xsd:double"&gt;1.6485926&lt;/D&gt;&lt;/FQL&gt;&lt;FQL&gt;&lt;Q&gt;CRS-US^P_BETA_LOCIDX(45156,44984,,"SPX")&lt;/Q&gt;&lt;R&gt;1&lt;/R&gt;&lt;C&gt;1&lt;/C&gt;&lt;D xsi:type="xsd:double"&gt;1.8497506&lt;/D&gt;&lt;/FQL&gt;&lt;FQL&gt;&lt;Q&gt;CRS-US^P_BETA_LOCIDX(45072,44897,,"SPX")&lt;/Q&gt;&lt;R&gt;1&lt;/R&gt;&lt;C&gt;1&lt;/C&gt;&lt;D xsi:type="xsd:double"&gt;1.7965279&lt;/D&gt;&lt;/FQL&gt;&lt;FQL&gt;&lt;Q&gt;CRS-US^P_BETA_LOCIDX(45019,44844,,"SPX")&lt;/Q&gt;&lt;R&gt;1&lt;/R&gt;&lt;C&gt;1&lt;/C&gt;&lt;D xsi:type="xsd:double"&gt;1.3420951&lt;/D&gt;&lt;/FQL&gt;&lt;FQL&gt;&lt;Q&gt;CRS-US^P_BETA_LOCIDX(44964,44789,,"SPX")&lt;/Q&gt;&lt;R&gt;1&lt;/R&gt;&lt;C&gt;1&lt;/C&gt;&lt;D xsi:type="xsd:double"&gt;1.4463162&lt;/D&gt;&lt;/FQL&gt;&lt;FQL&gt;&lt;Q&gt;CRS-US^P_BETA_LOCIDX(45449,45273,,"SPX")&lt;/Q&gt;&lt;R&gt;1&lt;/R&gt;&lt;C&gt;1&lt;/C&gt;&lt;D xsi:type="xsd:double"&gt;1.0712123&lt;/D&gt;&lt;/FQL&gt;&lt;FQL&gt;&lt;Q&gt;CRS-US^P_BETA_LOCIDX(45237,45063,,"SPX")&lt;/Q&gt;&lt;R&gt;1&lt;/R&gt;&lt;C&gt;1&lt;/C&gt;&lt;D xsi:type="xsd:double"&gt;1.3985825&lt;/D&gt;&lt;/FQL&gt;&lt;FQL&gt;&lt;Q&gt;CRS-US^P_BETA_LOCIDX(45210,45036,,"SPX")&lt;/Q&gt;&lt;R&gt;1&lt;/R&gt;&lt;C&gt;1&lt;/C&gt;&lt;D xsi:type="xsd:double"&gt;1.6045811&lt;/D&gt;&lt;/FQL&gt;&lt;FQL&gt;&lt;Q&gt;CRS-US^P_BETA_LOCIDX(45131,44956,,"SPX")&lt;/Q&gt;&lt;R&gt;1&lt;/R&gt;&lt;C&gt;1&lt;/C&gt;&lt;D xsi:type="xsd:double"&gt;1.7988378&lt;/D&gt;&lt;/FQL&gt;&lt;FQL&gt;&lt;Q&gt;CRS-US^P_BETA_LOCIDX(44992,44817,,"SPX")&lt;/Q&gt;&lt;R&gt;1&lt;/R&gt;&lt;C&gt;1&lt;/C&gt;&lt;D xsi:type="xsd:double"&gt;1.3559314&lt;/D&gt;&lt;/FQL&gt;&lt;FQL&gt;&lt;Q&gt;CRS-US^P_BETA_LOCIDX(45917,45742,,"SPX")&lt;/Q&gt;&lt;R&gt;1&lt;/R&gt;&lt;C&gt;1&lt;/C&gt;&lt;D xsi:type="xsd:double"&gt;1.4948987&lt;/D&gt;&lt;/FQL&gt;&lt;FQL&gt;&lt;Q&gt;CRS-US^P_BETA_LOCIDX(45814,45637,,"SPX")&lt;/Q&gt;&lt;R&gt;1&lt;/R&gt;&lt;C&gt;1&lt;/C&gt;&lt;D xsi:type="xsd:double"&gt;1.6225122&lt;/D&gt;&lt;/FQL&gt;&lt;FQL&gt;&lt;Q&gt;CRS-US^P_BETA_LOCIDX(45747,45569,,"SPX")&lt;/Q&gt;&lt;R&gt;1&lt;/R&gt;&lt;C&gt;1&lt;/C&gt;&lt;D xsi:type="xsd:double"&gt;1.8142716&lt;/D&gt;&lt;/FQL&gt;&lt;FQL&gt;&lt;Q&gt;CRS-US^P_BETA_LOCIDX(45643,45470,,"SPX")&lt;/Q&gt;&lt;R&gt;1&lt;/R&gt;&lt;C&gt;1&lt;/C&gt;&lt;D xsi:type="xsd:double"&gt;1.7329247&lt;/D&gt;&lt;/FQL&gt;&lt;FQL&gt;&lt;Q&gt;CRS-US^P_BETA_LOCIDX(45580,45406,,"SPX")&lt;/Q&gt;&lt;R&gt;1&lt;/R&gt;&lt;C&gt;1&lt;/C&gt;&lt;D xsi:type="xsd:double"&gt;1.305869&lt;/D&gt;&lt;/FQL&gt;&lt;FQL&gt;&lt;Q&gt;CRS-US^P_BETA_LOCIDX(45548,45373,,"SPX")&lt;/Q&gt;&lt;R&gt;1&lt;/R&gt;&lt;C&gt;1&lt;/C&gt;&lt;D xsi:type="xsd:double"&gt;1.296745&lt;/D&gt;&lt;/FQL&gt;&lt;FQL&gt;&lt;Q&gt;CRS-US^P_BETA_LOCIDX(45484,45309,,"SPX")&lt;/Q&gt;&lt;R&gt;1&lt;/R&gt;&lt;C&gt;1&lt;/C&gt;&lt;D xsi:type="xsd:double"&gt;0.90704924&lt;/D&gt;&lt;/FQL&gt;&lt;FQL&gt;&lt;Q&gt;CRS-US^P_BETA_LOCIDX(45296,45124,,"SPX")&lt;/Q&gt;&lt;R&gt;1&lt;/R&gt;&lt;C&gt;1&lt;/C&gt;&lt;D xsi:type="xsd:double"&gt;1.2657089&lt;/D&gt;&lt;/FQL&gt;&lt;FQL&gt;&lt;Q&gt;CRS-US^P_BETA_LOCIDX(45183,45008,,"SPX")&lt;/Q&gt;&lt;R&gt;1&lt;/R&gt;&lt;C&gt;1&lt;/C&gt;&lt;D xsi:type="xsd:double"&gt;1.7160647&lt;/D&gt;&lt;/FQL&gt;&lt;FQL&gt;&lt;Q&gt;CRS-US^P_BETA_LOCIDX(45044,44868,,"SPX")&lt;/Q&gt;&lt;R&gt;1&lt;/R&gt;&lt;C&gt;1&lt;/C&gt;&lt;D xsi:type="xsd:double"&gt;1.4935801&lt;/D&gt;&lt;/FQL&gt;&lt;FQL&gt;&lt;Q&gt;CRS-US^P_BETA_LOCIDX(44963,44788,,"SPX")&lt;/Q&gt;&lt;R&gt;1&lt;/R&gt;&lt;C&gt;1&lt;/C&gt;&lt;D xsi:type="xsd:double"&gt;1.4429153&lt;/D&gt;&lt;/FQL&gt;&lt;FQL&gt;&lt;Q&gt;CRS-US^P_BETA_LOCIDX(46038,45868,,"SPX")&lt;/Q&gt;&lt;R&gt;1&lt;/R&gt;&lt;C&gt;1&lt;/C&gt;&lt;D xsi:type="xsd:double"&gt;1.2899231&lt;/D&gt;&lt;/FQL&gt;&lt;FQL&gt;&lt;Q&gt;CRS-US^P_BETA_LOCIDX(45992,45818,,"SPX")&lt;/Q&gt;&lt;R&gt;1&lt;/R&gt;&lt;C&gt;1&lt;/C&gt;&lt;D xsi:type="xsd:double"&gt;1.1895055&lt;/D&gt;&lt;/FQL&gt;&lt;FQL&gt;&lt;Q&gt;CRS-US^P_BETA_LOCIDX(45951,45777,,"SPX")&lt;/Q&gt;&lt;R&gt;1&lt;/R&gt;&lt;C&gt;1&lt;/C&gt;&lt;D xsi:type="xsd:double"&gt;0.98604786&lt;/D&gt;&lt;/FQL&gt;&lt;FQL&gt;&lt;Q&gt;CRS-US^P_BETA_LOCIDX(45882,45708,,"SPX")&lt;/Q&gt;&lt;R&gt;1&lt;/R&gt;&lt;C&gt;1&lt;/C&gt;&lt;D xsi:type="xsd:double"&gt;1.5797071&lt;/D&gt;&lt;/FQL&gt;&lt;FQL&gt;&lt;Q&gt;CRS-US^P_BETA_LOCIDX(45848,45672,,"SPX")&lt;/Q&gt;&lt;R&gt;1&lt;/R&gt;&lt;C&gt;1&lt;/C&gt;&lt;D xsi:type="xsd:double"&gt;1.6225814&lt;/D&gt;&lt;/FQL&gt;&lt;FQL&gt;&lt;Q&gt;CRS-US^P_BETA_LOCIDX(45813,45636,,"SPX")&lt;/Q&gt;&lt;R&gt;1&lt;/R&gt;&lt;C&gt;1&lt;/C&gt;&lt;D xsi:type="xsd:double"&gt;1.6281577&lt;/D&gt;&lt;/FQL&gt;&lt;FQL&gt;&lt;Q&gt;CRS-US^P_BETA_LOCIDX(45779,45602,,"SPX")&lt;/Q&gt;&lt;R&gt;1&lt;/R&gt;&lt;C&gt;1&lt;/C&gt;&lt;D xsi:type="xsd:double"&gt;1.7185415&lt;/D&gt;&lt;/FQL&gt;&lt;FQL&gt;&lt;Q&gt;CRS-US^P_BETA_LOCIDX(45714,45538,,"SPX")&lt;/Q&gt;&lt;R&gt;1&lt;/R&gt;&lt;C&gt;1&lt;/C&gt;&lt;D xsi:type="xsd:double"&gt;1.8868916&lt;/D&gt;&lt;/FQL&gt;&lt;FQL&gt;&lt;Q&gt;CRS-US^P_BETA_LOCIDX(45680,45504,,"SPX")&lt;/Q&gt;&lt;R&gt;1&lt;/R&gt;&lt;C&gt;1&lt;/C&gt;&lt;D xsi:type="xsd:double"&gt;1.743933&lt;/D&gt;&lt;/FQL&gt;&lt;FQL&gt;&lt;Q&gt;CRS-US^P_BETA_LOCIDX(45609,45435,,"SPX")&lt;/Q&gt;&lt;R&gt;1&lt;/R&gt;&lt;C&gt;1&lt;/C&gt;&lt;D xsi:type="xsd:double"&gt;1.7399372&lt;/D&gt;&lt;/FQL&gt;&lt;FQL&gt;&lt;Q&gt;CRS-US^P_BETA_LOCIDX(45579,45405,,"SPX")&lt;/Q&gt;&lt;R&gt;1&lt;/R&gt;&lt;C&gt;1&lt;/C&gt;&lt;D xsi:type="xsd:double"&gt;1.304739&lt;/D&gt;&lt;/FQL&gt;&lt;FQL&gt;&lt;Q&gt;CRS-US^P_BETA_LOCIDX(45516,45342,,"SPX")&lt;/Q&gt;&lt;R&gt;1&lt;/R&gt;&lt;C&gt;1&lt;/C&gt;&lt;D xsi:type="xsd:double"&gt;1.0806584&lt;/D&gt;&lt;/FQL&gt;&lt;FQL&gt;&lt;Q&gt;CRS-US^P_BETA_LOCIDX(45483,45308,,"SPX")&lt;/Q&gt;&lt;R&gt;1&lt;/R&gt;&lt;C&gt;1&lt;/C&gt;&lt;D xsi:type="xsd:double"&gt;0.96535&lt;/D&gt;&lt;/FQL&gt;&lt;FQL&gt;&lt;Q&gt;CRS-US^P_BETA_LOCIDX(45418,45240,,"SPX")&lt;/Q&gt;&lt;R&gt;1&lt;/R&gt;&lt;C&gt;1&lt;/C&gt;&lt;D xsi:type="xsd:double"&gt;0.8913951&lt;/D&gt;&lt;/FQL&gt;&lt;FQL&gt;&lt;Q&gt;CRS-US^P_BETA_LOCIDX(45386,45210,,"SPX")&lt;/Q&gt;&lt;R&gt;1&lt;/R&gt;&lt;C&gt;1&lt;/C&gt;&lt;D xsi:type="xsd:double"&gt;1.1038448&lt;/D&gt;&lt;/FQL&gt;&lt;FQL&gt;&lt;Q&gt;CRS-US^P_BETA_LOCIDX(45324,45149,,"SPX")&lt;/Q&gt;&lt;R&gt;1&lt;/R&gt;&lt;C&gt;1&lt;/C&gt;&lt;D xsi:type="xsd:double"&gt;1.2179258&lt;/D&gt;&lt;/FQL&gt;&lt;FQL&gt;&lt;Q&gt;CRS-US^P_BETA_LOCIDX(45295,45121,,"SPX")&lt;/Q&gt;&lt;R&gt;1&lt;/R&gt;&lt;C&gt;1&lt;/C&gt;&lt;D xsi:type="xsd:double"&gt;1.2753205&lt;/D&gt;&lt;/FQL&gt;&lt;FQL&gt;&lt;Q&gt;CRS-US^P_BETA_LOCIDX(45265,45091,,"SPX")&lt;/Q&gt;&lt;R&gt;1&lt;/R&gt;&lt;C&gt;1&lt;/C&gt;&lt;D xsi:type="xsd:double"&gt;1.2853988&lt;/D&gt;&lt;/FQL&gt;&lt;FQL&gt;&lt;Q&gt;CRS-US^P_BETA_LOCIDX(45209,45035,,"SPX")&lt;/Q&gt;&lt;R&gt;1&lt;/R&gt;&lt;C&gt;1&lt;/C&gt;&lt;D xsi:type="xsd:double"&gt;1.6118574&lt;/D&gt;&lt;/FQL&gt;&lt;FQL&gt;&lt;Q&gt;CRS-US^P_BETA_LOCIDX(45155,44981,,"SPX")&lt;/Q&gt;&lt;R&gt;1&lt;/R&gt;&lt;C&gt;1&lt;/C&gt;&lt;D xsi:type="xsd:double"&gt;1.8345479&lt;/D&gt;&lt;/FQL&gt;&lt;FQL&gt;&lt;Q&gt;CRS-US^P_BETA_LOCIDX(45071,44896,,"SPX")&lt;/Q&gt;&lt;R&gt;1&lt;/R&gt;&lt;C&gt;1&lt;/C&gt;&lt;D xsi:type="xsd:double"&gt;1.8230662&lt;/D&gt;&lt;/FQL&gt;&lt;FQL&gt;&lt;Q&gt;CRS-US^P_BETA_LOCIDX(45016,44841,,"SPX")&lt;/Q&gt;&lt;R&gt;1&lt;/R&gt;&lt;C&gt;1&lt;/C&gt;&lt;D xsi:type="xsd:double"&gt;1.3142524&lt;/D&gt;&lt;/FQL&gt;&lt;FQL&gt;&lt;Q&gt;CRS-US^P_BETA_LOCIDX(45950,45776,,"SPX")&lt;/Q&gt;&lt;R&gt;1&lt;/R&gt;&lt;C&gt;1&lt;/C&gt;&lt;D xsi:type="xsd:double"&gt;0.9842675&lt;/D&gt;&lt;/FQL&gt;&lt;FQL&gt;&lt;Q&gt;CRS-US^P_BETA_LOCIDX(45916,45741,,"SPX")&lt;/Q&gt;&lt;R&gt;1&lt;/R&gt;&lt;C&gt;1&lt;/C&gt;&lt;D xsi:type="xsd:double"&gt;1.4959383&lt;/D&gt;&lt;/FQL&gt;&lt;FQL&gt;&lt;Q&gt;CRS-US^P_BETA_LOCIDX(45881,45707,,"SPX")&lt;/Q&gt;&lt;R&gt;1&lt;/R&gt;&lt;C&gt;1&lt;/C&gt;&lt;D xsi:type="xsd:double"&gt;1.5841347&lt;/D&gt;&lt;/FQL&gt;&lt;FQL&gt;&lt;Q&gt;CRS-US^P_BETA_LOCIDX(45744,45568,,"SPX")&lt;/Q&gt;&lt;R&gt;1&lt;/R&gt;&lt;C&gt;1&lt;/C&gt;&lt;D xsi:type="xsd:double"&gt;1.8247637&lt;/D&gt;&lt;/FQL&gt;&lt;FQL&gt;&lt;Q&gt;CRS-US^P_BETA_LOCIDX(45678,45502,,"SPX")&lt;/Q&gt;&lt;R&gt;1&lt;/R&gt;&lt;C&gt;1&lt;/C&gt;&lt;D xsi:type="xsd:double"&gt;1.747447&lt;/D&gt;&lt;/FQL&gt;&lt;FQL&gt;&lt;Q&gt;CRS-US^P_BETA_LOCIDX(45642,45469,,"SPX")&lt;/Q&gt;&lt;R&gt;1&lt;/R&gt;&lt;C&gt;1&lt;/C&gt;&lt;D xsi:type="xsd:double"&gt;1.728593&lt;/D&gt;&lt;/FQL&gt;&lt;FQL&gt;&lt;Q&gt;CRS-US^P_BETA_LOCIDX(45546,45371,,"SPX")&lt;/Q&gt;&lt;R&gt;1&lt;/R&gt;&lt;C&gt;1&lt;/C&gt;&lt;D xsi:type="xsd:double"&gt;1.251138&lt;/D&gt;&lt;/FQL&gt;&lt;FQL&gt;&lt;Q&gt;CRS-US^P_BETA_LOCIDX(45513,45338,,"SPX")&lt;/Q&gt;&lt;R&gt;1&lt;/R&gt;&lt;C&gt;1&lt;/C&gt;&lt;D xsi:type="xsd:double"&gt;1.0849206&lt;/D&gt;&lt;/FQL&gt;&lt;FQL&gt;&lt;Q&gt;CRS-US^P_BETA_LOCIDX(45448,45272,,"SPX")&lt;/Q&gt;&lt;R&gt;1&lt;/R&gt;&lt;C&gt;1&lt;/C&gt;&lt;D xsi:type="xsd:double"&gt;1.0592605&lt;/D&gt;&lt;/FQL&gt;&lt;FQL&gt;&lt;Q&gt;CRS-US^P_BETA_LOCIDX(45415,45239,,"SPX")&lt;/Q&gt;&lt;R&gt;1&lt;/R&gt;&lt;C&gt;1&lt;/C&gt;&lt;D xsi:type="xsd:double"&gt;0.9242916&lt;/D&gt;&lt;/FQL&gt;&lt;FQL&gt;&lt;Q&gt;CRS-US^P_BETA_LOCIDX(45355,45180,,"SPX")&lt;/Q&gt;&lt;R&gt;1&lt;/R&gt;&lt;C&gt;1&lt;/C&gt;&lt;D xsi:type="xsd:double"&gt;1.2975892&lt;/D&gt;&lt;/FQL&gt;&lt;FQL&gt;&lt;Q&gt;CRS-US^P_BETA_LOCIDX(45323,45148,,"SPX")&lt;/Q&gt;&lt;R&gt;1&lt;/R&gt;&lt;C&gt;1&lt;/C&gt;&lt;D xsi:type="xsd:double"&gt;1.230343&lt;/D&gt;&lt;/FQL&gt;&lt;FQL&gt;&lt;Q&gt;CRS-US^P_BETA_LOCIDX(45264,45090,,"SPX")&lt;/Q&gt;&lt;R&gt;1&lt;/R&gt;&lt;C&gt;1&lt;/C&gt;&lt;D xsi:type="xsd:double"&gt;1.2887752&lt;/D&gt;&lt;/FQL&gt;&lt;FQL&gt;&lt;Q&gt;CRS-US^P_BETA_LOCIDX(45236,45062,,"SPX")&lt;/Q&gt;&lt;R&gt;1&lt;/R&gt;&lt;C&gt;1&lt;/C&gt;&lt;D xsi:type="xsd:double"&gt;1.4826431&lt;/D&gt;&lt;/FQL&gt;&lt;FQL&gt;&lt;Q&gt;CRS-US^P_BETA_LOCIDX(45182,45007,,"SPX")&lt;/Q&gt;&lt;R&gt;1&lt;/R&gt;&lt;C&gt;1&lt;/C&gt;&lt;D xsi:type="xsd:double"&gt;1.7075022&lt;/D&gt;&lt;/FQL&gt;&lt;FQL&gt;&lt;Q&gt;CRS-US^P_BETA_LOCIDX(45127,44952,,"SPX")&lt;/Q&gt;&lt;R&gt;1&lt;/R&gt;&lt;C&gt;1&lt;/C&gt;&lt;D xsi:type="xsd:double"&gt;1.8493282&lt;/D&gt;&lt;/FQL&gt;&lt;FQL&gt;&lt;Q&gt;CRS-US^P_BETA_LOCIDX(45099,44923,,"SPX")&lt;/Q&gt;&lt;R&gt;1&lt;/R&gt;&lt;C&gt;1&lt;/C&gt;&lt;D xsi:type="xsd:double"&gt;1.8093216&lt;/D&gt;&lt;/FQL&gt;&lt;FQL&gt;&lt;Q&gt;CRS-US^P_BETA_LOCIDX(45070,44895,,"SPX")&lt;/Q&gt;&lt;R&gt;1&lt;/R&gt;&lt;C&gt;1&lt;/C&gt;&lt;D xsi:type="xsd:double"&gt;1.751003&lt;/D&gt;&lt;/FQL&gt;&lt;FQL&gt;&lt;Q&gt;CRS-US^P_BETA_LOCIDX(45043,44867,,"SPX")&lt;/Q&gt;&lt;R&gt;1&lt;/R&gt;&lt;C&gt;1&lt;/C&gt;&lt;D xsi:type="xsd:double"&gt;1.562882&lt;/D&gt;&lt;/FQL&gt;&lt;FQL&gt;&lt;Q&gt;CRS-US^P_BETA_LOCIDX(44991,44816,,"SPX")&lt;/Q&gt;&lt;R&gt;1&lt;/R&gt;&lt;C&gt;1&lt;/C&gt;&lt;D xsi:type="xsd:double"&gt;1.3885988&lt;/D&gt;&lt;/FQL&gt;&lt;FQL&gt;&lt;Q&gt;CRS-US^P_BETA_LOCIDX(44960,44785,,"SPX")&lt;/Q&gt;&lt;R&gt;1&lt;/R&gt;&lt;C&gt;1&lt;/C&gt;&lt;D xsi:type="xsd:double"&gt;1.4341686&lt;/D&gt;&lt;/FQL&gt;&lt;FQL&gt;&lt;Q&gt;CRS-US^P_BETA_LOCIDX(46036,45866,,"SPX")&lt;/Q&gt;&lt;R&gt;1&lt;/R&gt;&lt;C&gt;1&lt;/C&gt;&lt;D xsi:type="xsd:double"&gt;1.2717056&lt;/D&gt;&lt;/FQL&gt;&lt;FQL&gt;&lt;Q&gt;CRS-US^P_BETA_LOCIDX(45987,45814,,"SPX")&lt;/Q&gt;&lt;R&gt;1&lt;/R&gt;&lt;C&gt;1&lt;/C&gt;&lt;D xsi:type="xsd:double"&gt;1.1840852&lt;/D&gt;&lt;/FQL&gt;&lt;FQL&gt;&lt;Q&gt;CRS-US^P_BETA_LOCIDX(45947,45775,,"SPX")&lt;/Q&gt;&lt;R&gt;1&lt;/R&gt;&lt;C&gt;1&lt;/C&gt;&lt;D xsi:type="xsd:double"&gt;0.9782314&lt;/D&gt;&lt;/FQL&gt;&lt;FQL&gt;&lt;Q&gt;CRS-US^P_BETA_LOCIDX(45880,45706,,"SPX")&lt;/Q&gt;&lt;R&gt;1&lt;/R&gt;&lt;C&gt;1&lt;/C&gt;&lt;D xsi:type="xsd:double"&gt;1.5838603&lt;/D&gt;&lt;/FQL&gt;&lt;FQL&gt;&lt;Q&gt;CRS-US^P_BETA_LOCIDX(45847,45671,,"SPX")&lt;/Q&gt;&lt;R&gt;1&lt;/R&gt;&lt;C&gt;1&lt;/C&gt;&lt;D xsi:type="xsd:double"&gt;1.6232488&lt;/D&gt;&lt;/FQL&gt;&lt;FQL&gt;&lt;Q&gt;CRS-US^P_BETA_LOCIDX(45812,45635,,"SPX")&lt;/Q&gt;&lt;R&gt;1&lt;/R&gt;&lt;C&gt;1&lt;/C&gt;&lt;D xsi:type="xsd:double"&gt;1.6379489&lt;/D&gt;&lt;/FQL&gt;&lt;FQL&gt;&lt;Q&gt;CRS-US^P_BETA_LOCIDX(45777,45600,,"SPX")&lt;/Q&gt;&lt;R&gt;1&lt;/R&gt;&lt;C&gt;1&lt;/C&gt;&lt;D xsi:type="xsd:double"&gt;1.71063&lt;/D&gt;&lt;/FQL&gt;&lt;FQL&gt;&lt;Q&gt;CRS-US^P_BETA_LOCIDX(45743,45567,,"SPX")&lt;/Q&gt;&lt;R&gt;1&lt;/R&gt;&lt;C&gt;1&lt;/C&gt;&lt;D xsi:type="xsd:double"&gt;1.8446376&lt;/D&gt;&lt;/FQL&gt;&lt;FQL&gt;&lt;Q&gt;CRS-US^P_BETA_LOCIDX(45712,45533,,"SPX")&lt;/Q&gt;&lt;R&gt;1&lt;/R&gt;&lt;C&gt;1&lt;/C&gt;&lt;D xsi:type="xsd:double"&gt;1.8807851&lt;/D&gt;&lt;/FQL&gt;&lt;FQL&gt;&lt;Q&gt;CRS-US^P_BETA_LOCIDX(45608,45434,,"SPX")&lt;/Q&gt;&lt;R&gt;1&lt;/R&gt;&lt;C&gt;1&lt;/C&gt;&lt;D xsi:type="xsd:double"&gt;1.7551062&lt;/D&gt;&lt;/FQL&gt;&lt;FQL&gt;&lt;Q&gt;CRS-US^P_BETA_LOCIDX(45576,45404,,"SPX")&lt;/Q&gt;&lt;R&gt;1&lt;/R&gt;&lt;C&gt;1&lt;/C&gt;&lt;D xsi:type="xsd:double"&gt;1.3336117&lt;/D&gt;&lt;/FQL&gt;&lt;FQL&gt;&lt;Q&gt;CRS-US^P_BETA_LOCIDX(45512,45337,,"SPX")&lt;/Q&gt;&lt;R&gt;1&lt;/R&gt;&lt;C&gt;1&lt;/C&gt;&lt;D xsi:type="xsd:double"&gt;1.1096523&lt;/D&gt;&lt;/FQL&gt;&lt;FQL&gt;&lt;Q&gt;CRS-US^P_BETA_LOCIDX(45482,45307,,"SPX")&lt;/Q&gt;&lt;R&gt;1&lt;/R&gt;&lt;C&gt;1&lt;/C&gt;&lt;D xsi:type="xsd:double"&gt;0.9912615&lt;/D&gt;&lt;/FQL&gt;&lt;FQL&gt;&lt;Q&gt;CRS-US^P_BETA_LOCIDX(45384,45208,,"SPX")&lt;/Q&gt;&lt;R&gt;1&lt;/R&gt;&lt;C&gt;1&lt;/C&gt;&lt;D xsi:type="xsd:double"&gt;1.2677792&lt;/D&gt;&lt;/FQL&gt;&lt;FQL&gt;&lt;Q&gt;CRS-US^P_BETA_LOCIDX(45294,45120,,"SPX")&lt;/Q&gt;&lt;R&gt;1&lt;/R&gt;&lt;C&gt;1&lt;/C&gt;&lt;D xsi:type="xsd:double"&gt;1.281784&lt;/D&gt;&lt;/FQL&gt;&lt;FQL&gt;&lt;Q&gt;CRS-US^P_BETA_LOCIDX(45208,45034,,"SPX")&lt;/Q&gt;&lt;R&gt;1&lt;/R&gt;&lt;C&gt;1&lt;/C&gt;&lt;D xsi:type="xsd:double"&gt;1.5924009&lt;/D&gt;&lt;/FQL&gt;&lt;FQL&gt;&lt;Q&gt;CRS-US^P_BETA_LOCIDX(45154,44980,,"SPX")&lt;/Q&gt;&lt;R&gt;1&lt;/R&gt;&lt;C&gt;1&lt;/C&gt;&lt;D xsi:type="xsd:double"&gt;1.8187938&lt;/D&gt;&lt;/FQL&gt;&lt;FQL&gt;&lt;Q&gt;CRS-US^P_BETA_LOCIDX(45126,44951,,"SPX")&lt;/Q&gt;&lt;R&gt;1&lt;/R&gt;&lt;C&gt;1&lt;/C&gt;&lt;D xsi:type="xsd:double"&gt;1.8635751&lt;/D&gt;&lt;/FQL&gt;&lt;FQL&gt;&lt;Q&gt;CRS-US^P_BETA_LOCIDX(45069,44894,,"SPX")&lt;/Q&gt;&lt;R&gt;1&lt;/R&gt;&lt;C&gt;1&lt;/C&gt;&lt;D xsi:type="xsd:double"&gt;1.737567&lt;/D&gt;&lt;/FQL&gt;&lt;FQL&gt;&lt;Q&gt;CRS-US^P_BETA_LOCIDX(45015,44840,,"SPX")&lt;/Q&gt;&lt;R&gt;1&lt;/R&gt;&lt;C&gt;1&lt;/C&gt;&lt;D xsi:type="xsd:double"&gt;1.3089473&lt;/D&gt;&lt;/FQL&gt;&lt;FQL&gt;&lt;Q&gt;CRS-US^P_BETA_LOCIDX(45915,45740,,"SPX")&lt;/Q&gt;&lt;R&gt;1&lt;/R&gt;&lt;C&gt;1&lt;/C&gt;&lt;D xsi:type="xsd:double"&gt;1.5190334&lt;/D&gt;&lt;/FQL&gt;&lt;FQL&gt;&lt;Q&gt;CRS-US^P_BETA_LOCIDX(45811,45632,,"SPX")&lt;/Q&gt;&lt;R&gt;1&lt;/R&gt;&lt;C&gt;1&lt;/C&gt;&lt;D xsi:type="xsd:double"&gt;1.6367997&lt;/D&gt;&lt;/FQL&gt;&lt;FQL&gt;&lt;Q&gt;CRS-US^P_BETA_LOCIDX(45674,45499,,"SPX")&lt;/Q&gt;&lt;R&gt;1&lt;/R&gt;&lt;C&gt;1&lt;/C&gt;&lt;D xsi:type="xsd:double"&gt;1.7674884&lt;/D&gt;&lt;/FQL&gt;&lt;FQL&gt;&lt;Q&gt;CRS-US^P_BETA_LOCIDX(45639,45468,,"SPX")&lt;/Q&gt;&lt;R&gt;1&lt;/R&gt;&lt;C&gt;1&lt;/C&gt;&lt;D xsi:type="xsd:double"&gt;1.7384707&lt;/D&gt;&lt;/FQL&gt;&lt;FQL&gt;&lt;Q&gt;CRS-US^P_BETA_LOCIDX(45575,45401,,"SPX")&lt;/Q&gt;&lt;R&gt;1&lt;/R&gt;&lt;C&gt;1&lt;/C&gt;&lt;D xsi:type="xsd:double"&gt;1.3548812&lt;/D&gt;&lt;/FQL&gt;&lt;FQL&gt;&lt;Q&gt;CRS-US^P_BETA_LOCIDX(45544,45369,,"SPX")&lt;/Q&gt;&lt;R&gt;1&lt;/R&gt;&lt;C&gt;1&lt;/C&gt;&lt;D xsi:type="xsd:double"&gt;1.2914481&lt;/D&gt;&lt;/FQL&gt;&lt;FQL&gt;&lt;Q&gt;CRS-US^P_BETA_LOCIDX(45447,45271,,"SPX")&lt;/Q&gt;&lt;R&gt;1&lt;/R&gt;&lt;C&gt;1&lt;/C&gt;&lt;D xsi:type="xsd:double"&gt;1.0472026&lt;/D&gt;&lt;/FQL&gt;&lt;FQL&gt;&lt;Q&gt;CRS-US^P_BETA_LOCIDX(45414,45238,,"SPX")&lt;/Q&gt;&lt;R&gt;1&lt;/R&gt;&lt;C&gt;1&lt;/C&gt;&lt;D xsi:type="xsd:double"&gt;0.88154554&lt;/D&gt;&lt;/FQL&gt;&lt;FQL&gt;&lt;Q&gt;CRS-US^P_BETA_LOCIDX(45383,45205,,"SPX")&lt;/Q&gt;&lt;R&gt;1&lt;/R&gt;&lt;C&gt;1&lt;/C&gt;&lt;D xsi:type="xsd:double"&gt;1.2844932&lt;/D&gt;&lt;/FQL&gt;&lt;FQL&gt;&lt;Q&gt;CRS-US^P_BETA_LOCIDX(45352,45177,,"SPX")&lt;/Q&gt;&lt;R&gt;1&lt;/R&gt;&lt;C&gt;1&lt;/C&gt;&lt;D xsi:type="xsd:double"&gt;1.2939615&lt;/D&gt;&lt;/FQL&gt;&lt;FQL&gt;&lt;Q&gt;CRS-US^P_BETA_LOCIDX(45322,45147,,"SPX")&lt;/Q&gt;&lt;R&gt;1&lt;/R&gt;&lt;C&gt;1&lt;/C&gt;&lt;D xsi:type="xsd:double"&gt;1.3007956&lt;/D&gt;&lt;/FQL&gt;&lt;FQL&gt;&lt;Q&gt;CRS-US^P_BETA_LOCIDX(45261,45089,,"SPX")&lt;/Q&gt;&lt;R&gt;1&lt;/R&gt;&lt;C&gt;1&lt;/C&gt;&lt;D xsi:type="xsd:double"&gt;1.298153&lt;/D&gt;&lt;/FQL&gt;&lt;FQL&gt;&lt;Q&gt;CRS-US^P_BETA_LOCIDX(45233,45061,,"SPX")&lt;/Q&gt;&lt;R&gt;1&lt;/R&gt;&lt;C&gt;1&lt;/C&gt;&lt;D xsi:type="xsd:double"&gt;1.4899577&lt;/D&gt;&lt;/FQL&gt;&lt;FQL&gt;&lt;Q&gt;CRS-US^P_BETA_LOCIDX(45181,45006,,"SPX")&lt;/Q&gt;&lt;R&gt;1&lt;/R&gt;&lt;C&gt;1&lt;/C&gt;&lt;D xsi:type="xsd:double"&gt;1.6791232&lt;/D&gt;&lt;/FQL&gt;&lt;FQL&gt;&lt;Q&gt;CRS-US^P_BETA_LOCIDX(45098,44922,,"SPX")&lt;/Q&gt;&lt;R&gt;1&lt;/R&gt;&lt;C&gt;1&lt;/C&gt;&lt;D xsi:type="xsd:double"&gt;1.8113581&lt;/D&gt;&lt;/FQL&gt;&lt;FQL&gt;&lt;Q&gt;CRS-US^P_BETA_LOCIDX(45042,44866,,"SPX")&lt;/Q&gt;&lt;R&gt;1&lt;/R&gt;&lt;C&gt;1&lt;/C&gt;&lt;D xsi:type="xsd:double"&gt;1.4585063&lt;/D&gt;&lt;/FQL&gt;&lt;FQL&gt;&lt;Q&gt;CRS-US^P_BETA_LOCIDX(44987,44812,,"SPX")&lt;/Q&gt;&lt;R&gt;1&lt;/R&gt;&lt;C&gt;1&lt;/C&gt;&lt;D xsi:type="xsd:double"&gt;1.4119179&lt;/D&gt;&lt;/FQL&gt;&lt;FQL&gt;&lt;Q&gt;CRS-US^P_BETA_LOCIDX(44959,44784,,"SPX")&lt;/Q&gt;&lt;R&gt;1&lt;/R&gt;&lt;C&gt;1&lt;/C&gt;&lt;D xsi:type="xsd:double"&gt;1.4391068&lt;/D&gt;&lt;/FQL&gt;&lt;FQL&gt;&lt;Q&gt;CRS-US^P_BETA_LOCIDX(46034,45862,,"SPX")&lt;/Q&gt;&lt;R&gt;1&lt;/R&gt;&lt;C&gt;1&lt;/C&gt;&lt;D xsi:type="xsd:double"&gt;1.2882165&lt;/D&gt;&lt;/FQL&gt;&lt;FQL&gt;&lt;Q&gt;CRS-US^P_BETA_LOCIDX(45985,45812,,"SPX")&lt;/Q&gt;&lt;R&gt;1&lt;/R&gt;&lt;C&gt;1&lt;/C&gt;&lt;D xsi:type="xsd:double"&gt;1.182609&lt;/D&gt;&lt;/FQL&gt;&lt;FQL&gt;&lt;Q&gt;CRS-US^P_BETA_LOCIDX(45946,45772,,"SPX")&lt;/Q&gt;&lt;R&gt;1&lt;/R&gt;&lt;C&gt;1&lt;/C&gt;&lt;D xsi:type="xsd:double"&gt;0.97227335&lt;/D&gt;&lt;/FQL&gt;&lt;FQL&gt;&lt;Q&gt;CRS-US^P_BETA_LOCIDX(45877,45702,,"SPX")&lt;/Q&gt;&lt;R&gt;1&lt;/R&gt;&lt;C&gt;1&lt;/C&gt;&lt;D xsi:type="xsd:double"&gt;1.5833638&lt;/D&gt;&lt;/FQL&gt;&lt;FQL&gt;&lt;Q&gt;CRS-US^P_BETA_LOCIDX(45846,45670,,"SPX")&lt;/Q&gt;&lt;R&gt;1&lt;/R&gt;&lt;C&gt;1&lt;/C&gt;&lt;D xsi:type="xsd:double"&gt;1.6257596&lt;/D&gt;&lt;/FQL&gt;&lt;FQL&gt;&lt;Q&gt;CRS-US^P_BETA_LOCIDX(45810,45631,,"SPX")&lt;/Q&gt;&lt;R&gt;1&lt;/R&gt;&lt;C&gt;1&lt;/C&gt;&lt;D xsi:type="xsd:double"&gt;1.633742&lt;/D&gt;&lt;/FQL&gt;&lt;FQL&gt;&lt;Q&gt;CRS-US^P_BETA_LOCIDX(45776,45597,,"SPX")&lt;/Q&gt;&lt;R&gt;1&lt;/R&gt;&lt;C&gt;1&lt;/C&gt;&lt;D xsi:type="xsd:double"&gt;1.715754&lt;/D&gt;&lt;/FQL&gt;&lt;FQL&gt;&lt;Q&gt;CRS-US^P_BETA_LOCIDX(45742,45566,,"SPX")&lt;/Q&gt;&lt;R&gt;1&lt;/R&gt;&lt;C&gt;1&lt;/C&gt;&lt;D xsi:type="xsd:double"&gt;1.8350651&lt;/D&gt;&lt;/FQL&gt;&lt;FQL&gt;&lt;Q&gt;CRS-US^P_BETA_LOCIDX(45708,45531,,"SPX")&lt;/Q&gt;&lt;R&gt;1&lt;/R&gt;&lt;C&gt;1&lt;/C&gt;&lt;D xsi:type="xsd:double"&gt;1.8393569&lt;/D&gt;&lt;/FQL&gt;&lt;FQL&gt;&lt;Q&gt;CRS-US^P_BETA_LOCIDX(45673,45498,,"SPX")&lt;/Q&gt;&lt;R&gt;1&lt;/R&gt;&lt;C&gt;1&lt;/C&gt;&lt;D xsi:type="xsd:double"&gt;1.6892397&lt;/D&gt;&lt;/FQL&gt;&lt;FQL&gt;&lt;Q&gt;CRS-US^P_BETA_LOCIDX(45607,45433,,"SPX")&lt;/Q&gt;&lt;R&gt;1&lt;/R&gt;&lt;C&gt;1&lt;/C&gt;&lt;D xsi:type="xsd:double"&gt;1.7535471&lt;/D&gt;&lt;/FQL&gt;&lt;FQL&gt;&lt;Q&gt;CRS-US^P_BETA_LOCIDX(45574,45400,,"SPX")&lt;/Q&gt;&lt;R&gt;1&lt;/R&gt;&lt;C&gt;1&lt;/C&gt;&lt;D xsi:type="xsd:double"&gt;1.3475144&lt;/D&gt;&lt;/FQL&gt;&lt;FQL&gt;&lt;Q&gt;CRS-US^P_BETA_LOCIDX(45511,45336,,"SPX")&lt;/Q&gt;&lt;R&gt;1&lt;/R&gt;&lt;C&gt;1&lt;/C&gt;&lt;D xsi:type="xsd:double"&gt;1.1018758&lt;/D&gt;&lt;/FQL&gt;&lt;FQL&gt;&lt;Q&gt;CRS-US^P_BETA_LOCIDX(45481,45303,,"SPX")&lt;/Q&gt;&lt;R&gt;1&lt;/R&gt;&lt;C&gt;1&lt;/C&gt;&lt;D xsi:type="xsd:double"&gt;0.9910235&lt;/D&gt;&lt;/FQL&gt;&lt;FQL&gt;&lt;Q&gt;CRS-US^P_BETA_LOCIDX(45413,45237,,"SPX")&lt;/Q&gt;&lt;R&gt;1&lt;/R&gt;&lt;C&gt;1&lt;/C&gt;&lt;D xsi:type="xsd:double"&gt;0.868905&lt;/D&gt;&lt;/FQL&gt;&lt;FQL&gt;&lt;Q&gt;CRS-US^P_BETA_LOCIDX(45351,45176,,"SPX")&lt;/Q&gt;&lt;R&gt;1&lt;/R&gt;&lt;C&gt;1&lt;/C&gt;&lt;D xsi:type="xsd:double"&gt;1.2829251&lt;/D&gt;&lt;/FQL&gt;&lt;FQL&gt;&lt;Q&gt;CRS-US^P_BETA_LOCIDX(45293,45119,,"SPX")&lt;/Q&gt;&lt;R&gt;1&lt;/R&gt;&lt;C&gt;1&lt;/C&gt;&lt;D xsi:type="xsd:double"&gt;1.2754154&lt;/D&gt;&lt;/FQL&gt;&lt;FQL&gt;&lt;Q&gt;CRS-US^P_BETA_LOCIDX(45232,45058,,"SPX")&lt;/Q&gt;&lt;R&gt;1&lt;/R&gt;&lt;C&gt;1&lt;/C&gt;&lt;D xsi:type="xsd:double"&gt;1.5276934&lt;/D&gt;&lt;/FQL&gt;&lt;FQL&gt;&lt;Q&gt;CRS-US^P_BETA_LOCIDX(45205,45033,,"SPX")&lt;/Q&gt;&lt;R&gt;1&lt;/R&gt;&lt;C&gt;1&lt;/C&gt;&lt;D xsi:type="xsd:double"&gt;1.5999067&lt;/D&gt;&lt;/FQL&gt;&lt;FQL&gt;&lt;Q&gt;CRS-US^P_BETA_LOCIDX(45153,44979,,"SPX")&lt;/Q&gt;&lt;R&gt;1&lt;/R&gt;&lt;C&gt;1&lt;/C&gt;&lt;D xsi:type="xsd:double"&gt;1.836253&lt;/D&gt;&lt;/FQL&gt;&lt;FQL&gt;&lt;Q&gt;CRS-US^P_BETA_LOCIDX(45125,44950,,"SPX")&lt;/Q&gt;&lt;R&gt;1&lt;/R&gt;&lt;C&gt;1&lt;/C&gt;&lt;D xsi:type="xsd:double"&gt;1.8719158&lt;/D&gt;&lt;/FQL&gt;&lt;FQL&gt;&lt;Q&gt;CRS-US^P_BETA_LOCIDX(45068,44893,,"SPX")&lt;/Q&gt;&lt;R&gt;1&lt;/R&gt;&lt;C&gt;1&lt;/C&gt;&lt;D xsi:type="xsd:double"&gt;1.7398938&lt;/D&gt;&lt;/FQL&gt;&lt;FQL&gt;&lt;Q&gt;CRS-US^P_BETA_LOCIDX(45014,44839,,"SPX")&lt;/Q&gt;&lt;R&gt;1&lt;/R&gt;&lt;C&gt;1&lt;/C&gt;&lt;D xsi:type="xsd:double"&gt;1.3122293&lt;/D&gt;&lt;/FQL&gt;&lt;FQL&gt;&lt;Q&gt;CRS-US^P_BETA_LOCIDX(44986,44811,,"SPX")&lt;/Q&gt;&lt;R&gt;1&lt;/R&gt;&lt;C&gt;1&lt;/C&gt;&lt;D xsi:type="xsd:double"&gt;1.418577&lt;/D&gt;&lt;/FQL&gt;&lt;FQL&gt;&lt;Q&gt;CRS-US^P_BETA_LOCIDX(45912,45737,,"SPX")&lt;/Q&gt;&lt;R&gt;1&lt;/R&gt;&lt;C&gt;1&lt;/C&gt;&lt;D xsi:type="xsd:double"&gt;1.519626&lt;/D&gt;&lt;/FQL&gt;&lt;FQL&gt;&lt;Q&gt;CRS-US^P_BETA_LOCIDX(45741,45565,,"SPX")&lt;/Q&gt;&lt;R&gt;1&lt;/R&gt;&lt;C&gt;1&lt;/C&gt;&lt;D xsi:type="xsd:double"&gt;1.8164437&lt;/D&gt;&lt;/FQL&gt;&lt;FQL&gt;&lt;Q&gt;CRS-US^P_BETA_LOCIDX(46031,45861,,"SPX")&lt;/Q&gt;&lt;R&gt;1&lt;/R&gt;&lt;C&gt;1&lt;/C&gt;&lt;D xsi:type="xsd:double"&gt;1.2749883&lt;/D&gt;&lt;/FQL&gt;&lt;FQL&gt;&lt;Q&gt;CRS-US^P_BETA_LOCIDX(45982,45811,,"SPX")&lt;/Q&gt;&lt;R&gt;1&lt;/R&gt;&lt;C&gt;1&lt;/C&gt;&lt;D xsi:type="xsd:double"&gt;1.1984875&lt;/D&gt;&lt;/FQL&gt;&lt;FQL&gt;&lt;Q&gt;CRS-US^P_BETA_LOCIDX(45945,45771,,"SPX")&lt;/Q&gt;&lt;R&gt;1&lt;/R&gt;&lt;C&gt;1&lt;/C&gt;&lt;D xsi:type="xsd:double"&gt;1.0324086&lt;/D&gt;&lt;/FQL&gt;&lt;FQL&gt;&lt;Q&gt;CRS-US^P_BETA_LOCIDX(45910,45735,,"SPX")&lt;/Q&gt;&lt;R&gt;1&lt;/R&gt;&lt;C&gt;1&lt;/C&gt;&lt;D xsi:type="xsd:double"&gt;1.5423902&lt;/D&gt;&lt;/FQL&gt;&lt;FQL&gt;&lt;Q&gt;CRS-US^P_BETA_LOCIDX(45876,45701,,"SPX")&lt;/Q&gt;&lt;R&gt;1&lt;/R&gt;&lt;C&gt;1&lt;/C&gt;&lt;D xsi:type="xsd:double"&gt;1.5800014&lt;/D&gt;&lt;/FQL&gt;&lt;FQL&gt;&lt;Q&gt;CRS-US^P_BETA_LOCIDX(45845,45667,,"SPX")&lt;/Q&gt;&lt;R&gt;1&lt;/R&gt;&lt;C&gt;1&lt;/C&gt;&lt;D xsi:type="xsd:double"&gt;1.606068&lt;/D&gt;&lt;/FQL&gt;&lt;FQL&gt;&lt;Q&gt;CRS-US^P_BETA_LOCIDX(45807,45630,,"SPX")&lt;/Q&gt;&lt;R&gt;1&lt;/R&gt;&lt;C&gt;1&lt;/C&gt;&lt;D xsi:type="xsd:double"&gt;1.6313435&lt;/D&gt;&lt;/FQL&gt;&lt;FQL&gt;&lt;Q&gt;CRS-US^P_BETA_LOCIDX(45909,45734,,"SPX")&lt;/Q&gt;&lt;R&gt;1&lt;/R&gt;&lt;C&gt;1&lt;/C&gt;&lt;D xsi:type="xsd:double"&gt;1.541297&lt;/D&gt;&lt;/FQL&gt;&lt;FQL&gt;&lt;Q&gt;CRS-US^P_BETA_LOCIDX(45840,45664,,"SPX")&lt;/Q&gt;&lt;R&gt;1&lt;/R&gt;&lt;C&gt;1&lt;/C&gt;&lt;D xsi:type="xsd:double"&gt;1.6124175&lt;/D&gt;&lt;/FQL&gt;&lt;FQL&gt;&lt;Q&gt;CRS-US^P_BETA_LOCIDX(45671,45496,,"SPX")&lt;/Q&gt;&lt;R&gt;1&lt;/R&gt;&lt;C&gt;1&lt;/C&gt;&lt;D xsi:type="xsd:double"&gt;1.704684&lt;/D&gt;&lt;/FQL&gt;&lt;FQL&gt;&lt;Q&gt;CRS-US^P_BETA_LOCIDX(45635,45461,,"SPX")&lt;/Q&gt;&lt;R&gt;1&lt;/R&gt;&lt;C&gt;1&lt;/C&gt;&lt;D xsi:type="xsd:double"&gt;1.7434899&lt;/D&gt;&lt;/FQL&gt;&lt;FQL&gt;&lt;Q&gt;CRS-US^P_BETA_LOCIDX(45540,45365,,"SPX")&lt;/Q&gt;&lt;R&gt;1&lt;/R&gt;&lt;C&gt;1&lt;/C&gt;&lt;D xsi:type="xsd:double"&gt;1.2362996&lt;/D&gt;&lt;/FQL&gt;&lt;FQL&gt;&lt;Q&gt;CRS-US^P_BETA_LOCIDX(45509,45334,,"SPX")&lt;/Q&gt;&lt;R&gt;1&lt;/R&gt;&lt;C&gt;1&lt;/C&gt;&lt;D xsi:type="xsd:double"&gt;1.1029358&lt;/D&gt;&lt;/FQL&gt;&lt;FQL&gt;&lt;Q&gt;CRS-US^P_BETA_LOCIDX(45442,45266,,"SPX")&lt;/Q&gt;&lt;R&gt;1&lt;/R&gt;&lt;C&gt;1&lt;/C&gt;&lt;D xsi:type="xsd:double"&gt;0.9976355&lt;/D&gt;&lt;/FQL&gt;&lt;FQL&gt;&lt;Q&gt;CRS-US^P_BETA_LOCIDX(45411,45233,,"SPX")&lt;/Q&gt;&lt;R&gt;1&lt;/R&gt;&lt;C&gt;1&lt;/C&gt;&lt;D xsi:type="xsd:double"&gt;1.0707024&lt;/D&gt;&lt;/FQL&gt;&lt;FQL&gt;&lt;Q&gt;CRS-US^P_BETA_LOCIDX(45378,45203,,"SPX")&lt;/Q&gt;&lt;R&gt;1&lt;/R&gt;&lt;C&gt;1&lt;/C&gt;&lt;D xsi:type="xsd:double"&gt;1.2950618&lt;/D&gt;&lt;/FQL&gt;&lt;FQL&gt;&lt;Q&gt;CRS-US^P_BETA_LOCIDX(45349,45174,,"SPX")&lt;/Q&gt;&lt;R&gt;1&lt;/R&gt;&lt;C&gt;1&lt;/C&gt;&lt;D xsi:type="xsd:double"&gt;1.2970456&lt;/D&gt;&lt;/FQL&gt;&lt;FQL&gt;&lt;Q&gt;CRS-US^P_BETA_LOCIDX(45287,45114,,"SPX")&lt;/Q&gt;&lt;R&gt;1&lt;/R&gt;&lt;C&gt;1&lt;/C&gt;&lt;D xsi:type="xsd:double"&gt;1.263472&lt;/D&gt;&lt;/FQL&gt;&lt;FQL&gt;&lt;Q&gt;CRS-US^P_BETA_LOCIDX(45259,45085,,"SPX")&lt;/Q&gt;&lt;R&gt;1&lt;/R&gt;&lt;C&gt;1&lt;/C&gt;&lt;D xsi:type="xsd:double"&gt;1.2566105&lt;/D&gt;&lt;/FQL&gt;&lt;FQL&gt;&lt;Q&gt;CRS-US^P_BETA_LOCIDX(45230,45056,,"SPX")&lt;/Q&gt;&lt;R&gt;1&lt;/R&gt;&lt;C&gt;1&lt;/C&gt;&lt;D xsi:type="xsd:double"&gt;1.4660134&lt;/D&gt;&lt;/FQL&gt;&lt;FQL&gt;&lt;Q&gt;CRS-US^P_BETA_LOCIDX(46030,45860,,"SPX")&lt;/Q&gt;&lt;R&gt;1&lt;/R&gt;&lt;C&gt;1&lt;/C&gt;&lt;D xsi:type="xsd:double"&gt;1.2620306&lt;/D&gt;&lt;/FQL&gt;&lt;FQL&gt;&lt;Q&gt;CRS-US^P_BETA_LOCIDX(45981,45810,,"SPX")&lt;/Q&gt;&lt;R&gt;1&lt;/R&gt;&lt;C&gt;1&lt;/C&gt;&lt;D xsi:type="xsd:double"&gt;1.2070225&lt;/D&gt;&lt;/FQL&gt;&lt;FQL&gt;&lt;Q&gt;CRS-US^P_BETA_LOCIDX(45943,45769,,"SPX")&lt;/Q&gt;&lt;R&gt;1&lt;/R&gt;&lt;C&gt;1&lt;/C&gt;&lt;D xsi:type="xsd:double"&gt;1.2555578&lt;/D&gt;&lt;/FQL&gt;&lt;FQL&gt;&lt;Q&gt;CRS-US^P_BETA_LOCIDX(45908,45733,,"SPX")&lt;/Q&gt;&lt;R&gt;1&lt;/R&gt;&lt;C&gt;1&lt;/C&gt;&lt;D xsi:type="xsd:double"&gt;1.5416157&lt;/D&gt;&lt;/FQL&gt;&lt;FQL&gt;&lt;Q&gt;CRS-US^P_BETA_LOCIDX(45874,45699,,"SPX")&lt;/Q&gt;&lt;R&gt;1&lt;/R&gt;&lt;C&gt;1&lt;/C&gt;&lt;D xsi:type="xsd:double"&gt;1.5863634&lt;/D&gt;&lt;/FQL&gt;&lt;FQL&gt;&lt;Q&gt;CRS-US^P_BETA_LOCIDX(45806,45629,,"SPX")&lt;/Q&gt;&lt;R&gt;1&lt;/R&gt;&lt;C&gt;1&lt;/C&gt;&lt;D xsi:type="xsd:double"&gt;1.6311078&lt;/D&gt;&lt;/FQL&gt;&lt;FQL&gt;&lt;Q&gt;CRS-US^P_BETA_LOCIDX(45772,45595,,"SPX")&lt;/Q&gt;&lt;R&gt;1&lt;/R&gt;&lt;C&gt;1&lt;/C&gt;&lt;D xsi:type="xsd:double"&gt;1.74376&lt;/D&gt;&lt;/FQL&gt;&lt;FQL&gt;&lt;Q&gt;CRS-US^P_BETA_LOCIDX(45737,45561,,"SPX")&lt;/Q&gt;&lt;R&gt;1&lt;/R&gt;&lt;C&gt;1&lt;/C&gt;&lt;D xsi:type="xsd:double"&gt;1.7428818&lt;/D&gt;&lt;/FQL&gt;&lt;FQL&gt;&lt;Q&gt;CRS-US^P_BETA_LOCIDX(45706,45527,,"SPX")&lt;/Q&gt;&lt;R&gt;1&lt;/R&gt;&lt;C&gt;1&lt;/C&gt;&lt;D xsi:type="xsd:double"&gt;1.8289188&lt;/D&gt;&lt;/FQL&gt;&lt;FQL&gt;&lt;Q&gt;CRS-US^P_BETA_LOCIDX(45670,45495,,"SPX")&lt;/Q&gt;&lt;R&gt;1&lt;/R&gt;&lt;C&gt;1&lt;/C&gt;&lt;D xsi:type="xsd:double"&gt;1.692902&lt;/D&gt;&lt;/FQL&gt;&lt;FQL&gt;&lt;Q&gt;CRS-US^P_BETA_LOCIDX(45602,45428,,"SPX")&lt;/Q&gt;&lt;R&gt;1&lt;/R&gt;&lt;C&gt;1&lt;/C&gt;&lt;D xsi:type="xsd:double"&gt;1.7754596&lt;/D&gt;&lt;/FQL&gt;&lt;FQL&gt;&lt;Q&gt;CRS-US^P_BETA_LOCIDX(45572,45398,,"SPX")&lt;/Q&gt;&lt;R&gt;1&lt;/R&gt;&lt;C&gt;1&lt;/C&gt;&lt;D xsi:type="xsd:double"&gt;1.3511766&lt;/D&gt;&lt;/FQL&gt;&lt;FQL&gt;&lt;Q&gt;CRS-US^P_BETA_LOCIDX(45506,45331,,"SPX")&lt;/Q&gt;&lt;R&gt;1&lt;/R&gt;&lt;C&gt;1&lt;/C&gt;&lt;D xsi:type="xsd:double"&gt;1.1188244&lt;/D&gt;&lt;/FQL&gt;&lt;FQL&gt;&lt;Q&gt;CRS-US^P_BETA_LOCIDX(45474,45299,,"SPX")&lt;/Q&gt;&lt;R&gt;1&lt;/R&gt;&lt;C&gt;1&lt;/C&gt;&lt;D xsi:type="xsd:double"&gt;1.0330683&lt;/D&gt;&lt;/FQL&gt;&lt;FQL&gt;&lt;Q&gt;CRS-US^P_BETA_LOCIDX(45348,45170,,"SPX")&lt;/Q&gt;&lt;R&gt;1&lt;/R&gt;&lt;C&gt;1&lt;/C&gt;&lt;D xsi:type="xsd:double"&gt;1.2987969&lt;/D&gt;&lt;/FQL&gt;&lt;FQL&gt;&lt;Q&gt;CRS-US^P_BETA_LOCIDX(45317,45142,,"SPX")&lt;/Q&gt;&lt;R&gt;1&lt;/R&gt;&lt;C&gt;1&lt;/C&gt;&lt;D xsi:type="xsd:double"&gt;1.2920817&lt;/D&gt;&lt;/FQL&gt;&lt;FQL&gt;&lt;Q&gt;CRS-US^P_BETA_LOCIDX(45203,45029,,"SPX")&lt;/Q&gt;&lt;R&gt;1&lt;/R&gt;&lt;C&gt;1&lt;/C&gt;&lt;D xsi:type="xsd:double"&gt;1.618578&lt;/D&gt;&lt;/FQL&gt;&lt;FQL&gt;&lt;Q&gt;CRS-US^P_BETA_LOCIDX(45121,44946,,"SPX")&lt;/Q&gt;&lt;R&gt;1&lt;/R&gt;&lt;C&gt;1&lt;/C&gt;&lt;D xsi:type="xsd:double"&gt;1.8113225&lt;/D&gt;&lt;/FQL&gt;&lt;FQL&gt;&lt;Q&gt;CRS-US^P_BETA_LOCIDX(45064,44888,,"SPX")&lt;/Q&gt;&lt;R&gt;1&lt;/R&gt;&lt;C&gt;1&lt;/C&gt;&lt;D xsi:type="xsd:double"&gt;1.7317908&lt;/D&gt;&lt;/FQL&gt;&lt;FQL&gt;&lt;Q&gt;CRS-US^P_BETA_LOCIDX(45009,44834,,"SPX")&lt;/Q&gt;&lt;R&gt;1&lt;/R&gt;&lt;C&gt;1&lt;/C&gt;&lt;D xsi:type="xsd:double"&gt;1.4121609&lt;/D&gt;&lt;/FQL&gt;&lt;FQL&gt;&lt;Q&gt;CRS-US^P_BETA_LOCIDX(44984,44806,,"SPX")&lt;/Q&gt;&lt;R&gt;1&lt;/R&gt;&lt;C&gt;1&lt;/C&gt;&lt;D xsi:type="xsd:double"&gt;1.426849&lt;/D&gt;&lt;/FQL&gt;&lt;FQL&gt;&lt;Q&gt;CRS-US^P_BETA_LOCIDX(45839,45663,,"SPX")&lt;/Q&gt;&lt;R&gt;1&lt;/R&gt;&lt;C&gt;1&lt;/C&gt;&lt;D xsi:type="xsd:double"&gt;1.6146363&lt;/D&gt;&lt;/FQL&gt;&lt;FQL&gt;&lt;Q&gt;CRS-US^P_BETA_LOCIDX(45770,45593,,"SPX")&lt;/Q&gt;&lt;R&gt;1&lt;/R&gt;&lt;C&gt;1&lt;/C&gt;&lt;D xsi:type="xsd:double"&gt;1.7482201&lt;/D&gt;&lt;/FQL&gt;&lt;FQL&gt;&lt;Q&gt;CRS-US^P_BETA_LOCIDX(45632,45460,,"SPX")&lt;/Q&gt;&lt;R&gt;1&lt;/R&gt;&lt;C&gt;1&lt;/C&gt;&lt;D xsi:type="xsd:double"&gt;1.7312434&lt;/D&gt;&lt;/FQL&gt;&lt;FQL&gt;&lt;Q&gt;CRS-US^P_BETA_LOCIDX(45601,45427,,"SPX")&lt;/Q&gt;&lt;R&gt;1&lt;/R&gt;&lt;C&gt;1&lt;/C&gt;&lt;D xsi:type="xsd:double"&gt;1.620283&lt;/D&gt;&lt;/FQL&gt;&lt;FQL&gt;&lt;Q&gt;CRS-US^P_BETA_LOCIDX(45539,45364,,"SPX")&lt;/Q&gt;&lt;R&gt;1&lt;/R&gt;&lt;C&gt;1&lt;/C&gt;&lt;D xsi:type="xsd:double"&gt;1.2316861&lt;/D&gt;&lt;/FQL&gt;&lt;FQL&gt;&lt;Q&gt;CRS-US^P_BETA_LOCIDX(45505,45330,,"SPX")&lt;/Q&gt;&lt;R&gt;1&lt;/R&gt;&lt;C&gt;1&lt;/C&gt;&lt;D xsi:type="xsd:double"&gt;0.99750984&lt;/D&gt;&lt;/FQL&gt;&lt;FQL&gt;&lt;Q&gt;CRS-US^P_BETA_LOCIDX(45441,45265,,"SPX")&lt;/Q&gt;&lt;R&gt;1&lt;/R&gt;&lt;C&gt;1&lt;/C&gt;&lt;D xsi:type="xsd:double"&gt;1.0078479&lt;/D&gt;&lt;/FQL&gt;&lt;FQL&gt;&lt;Q&gt;CRS-US^P_BETA_LOCIDX(45408,45232,,"SPX")&lt;/Q&gt;&lt;R&gt;1&lt;/R&gt;&lt;C&gt;1&lt;/C&gt;&lt;D xsi:type="xsd:double"&gt;1.1352081&lt;/D&gt;&lt;/FQL&gt;&lt;FQL&gt;&lt;Q&gt;CRS-US^P_BETA_LOCIDX(45377,45202,,"SPX")&lt;/Q&gt;&lt;R&gt;1&lt;/R&gt;&lt;C&gt;1&lt;/C&gt;&lt;D xsi:type="xsd:double"&gt;1.3078355&lt;/D&gt;&lt;/FQL&gt;&lt;FQL&gt;&lt;Q&gt;CRS-US^P_BETA_LOCIDX(45286,45113,,"SPX")&lt;/Q&gt;&lt;R&gt;1&lt;/R&gt;&lt;C&gt;1&lt;/C&gt;&lt;D xsi:type="xsd:double"&gt;1.2918525&lt;/D&gt;&lt;/FQL&gt;&lt;FQL&gt;&lt;Q&gt;CRS-US^P_BETA_LOCIDX(45258,45084,,"SPX")&lt;/Q&gt;&lt;R&gt;1&lt;/R&gt;&lt;C&gt;1&lt;/C&gt;&lt;D xsi:type="xsd:double"&gt;1.2248919&lt;/D&gt;&lt;/FQL&gt;&lt;FQL&gt;&lt;Q&gt;CRS-US^P_BETA_LOCIDX(45229,45055,,"SPX")&lt;/Q&gt;&lt;R&gt;1&lt;/R&gt;&lt;C&gt;1&lt;/C&gt;&lt;D xsi:type="xsd:double"&gt;1.4753778&lt;/D&gt;&lt;/FQL&gt;&lt;FQL&gt;&lt;Q&gt;CRS-US^P_BETA_LOCIDX(45176,45001,,"SPX")&lt;/Q&gt;&lt;R&gt;1&lt;/R&gt;&lt;C&gt;1&lt;/C&gt;&lt;D xsi:type="xsd:double"&gt;1.7963526&lt;/D&gt;&lt;/FQL&gt;&lt;FQL&gt;&lt;Q&gt;CRS-US^P_BETA_LOCIDX(45147,44972,,"SPX")&lt;/Q&gt;&lt;R&gt;1&lt;/R&gt;&lt;C&gt;1&lt;/C&gt;&lt;D xsi:type="xsd:double"&gt;1.8543698&lt;/D&gt;&lt;/FQL&gt;&lt;FQL&gt;&lt;Q&gt;CRS-US^P_BETA_LOCIDX(45091,44915,,"SPX")&lt;/Q&gt;&lt;R&gt;1&lt;/R&gt;&lt;C&gt;1&lt;/C&gt;&lt;D xsi:type="xsd:double"&gt;1.818925&lt;/D&gt;&lt;/FQL&gt;&lt;FQL&gt;&lt;Q&gt;CRS-US^P_BETA_LOCIDX(45037,44861,,"SPX")&lt;/Q&gt;&lt;R&gt;1&lt;/R&gt;&lt;C&gt;1&lt;/C&gt;&lt;D xsi:type="xsd:double"&gt;1.4104092&lt;/D&gt;&lt;/FQL&gt;&lt;FQL&gt;&lt;Q&gt;CRS-US^P_BETA_LOCIDX(45008,44833,,"SPX")&lt;/Q&gt;&lt;R&gt;1&lt;/R&gt;&lt;C&gt;1&lt;/C&gt;&lt;D xsi:type="xsd:double"&gt;1.4276776&lt;/D&gt;&lt;/FQL&gt;&lt;FQL&gt;&lt;Q&gt;CRS-US^P_BETA_LOCIDX(46029,45859,,"SPX")&lt;/Q&gt;&lt;R&gt;1&lt;/R&gt;&lt;C&gt;1&lt;/C&gt;&lt;D xsi:type="xsd:double"&gt;1.2521685&lt;/D&gt;&lt;/FQL&gt;&lt;FQL&gt;&lt;Q&gt;CRS-US^P_BETA_LOCIDX(45980,45807,,"SPX")&lt;/Q&gt;&lt;R&gt;1&lt;/R&gt;&lt;C&gt;1&lt;/C&gt;&lt;D xsi:type="xsd:double"&gt;1.0795859&lt;/D&gt;&lt;/FQL&gt;&lt;FQL&gt;&lt;Q&gt;CRS-US^P_BETA_LOCIDX(45939,45764,,"SPX")&lt;/Q&gt;&lt;R&gt;1&lt;/R&gt;&lt;C&gt;1&lt;/C&gt;&lt;D xsi:type="xsd:double"&gt;1.2157722&lt;/D&gt;&lt;/FQL&gt;&lt;FQL&gt;&lt;Q&gt;CRS-US^P_BETA_LOCIDX(45905,45730,,"SPX")&lt;/Q&gt;&lt;R&gt;1&lt;/R&gt;&lt;C&gt;1&lt;/C&gt;&lt;D xsi:type="xsd:double"&gt;1.5462217&lt;/D&gt;&lt;/FQL&gt;&lt;FQL&gt;&lt;Q&gt;CRS-US^P_BETA_LOCIDX(45870,45695,,"SPX")&lt;/Q&gt;&lt;R&gt;1&lt;/R&gt;&lt;C&gt;1&lt;/C&gt;&lt;D xsi:type="xsd:double"&gt;1.6134219&lt;/D&gt;&lt;/FQL&gt;&lt;FQL&gt;&lt;Q&gt;CRS-US^P_BETA_LOCIDX(45838,45660,,"SPX")&lt;/Q&gt;&lt;R&gt;1&lt;/R&gt;&lt;C&gt;1&lt;/C&gt;&lt;D xsi:type="xsd:double"&gt;1.6147556&lt;/D&gt;&lt;/FQL&gt;&lt;FQL&gt;&lt;Q&gt;CRS-US^P_BETA_LOCIDX(45804,45625,,"SPX")&lt;/Q&gt;&lt;R&gt;1&lt;/R&gt;&lt;C&gt;1&lt;/C&gt;&lt;D xsi:type="xsd:double"&gt;1.6306812&lt;/D&gt;&lt;/FQL&gt;&lt;FQL&gt;&lt;Q&gt;CRS-US^P_BETA_LOCIDX(45736,45560,,"SPX")&lt;/Q&gt;&lt;R&gt;1&lt;/R&gt;&lt;C&gt;1&lt;/C&gt;&lt;D xsi:type="xsd:double"&gt;1.7418172&lt;/D&gt;&lt;/FQL&gt;&lt;FQL&gt;&lt;Q&gt;CRS-US^P_BETA_LOCIDX(45702,45526,,"SPX")&lt;/Q&gt;&lt;R&gt;1&lt;/R&gt;&lt;C&gt;1&lt;/C&gt;&lt;D xsi:type="xsd:double"&gt;1.8043526&lt;/D&gt;&lt;/FQL&gt;&lt;FQL&gt;&lt;Q&gt;CRS-US^P_BETA_LOCIDX(45667,45492,,"SPX")&lt;/Q&gt;&lt;R&gt;1&lt;/R&gt;&lt;C&gt;1&lt;/C&gt;&lt;D xsi:type="xsd:double"&gt;1.674623&lt;/D&gt;&lt;/FQL&gt;&lt;FQL&gt;&lt;Q&gt;CRS-US^P_BETA_LOCIDX(45568,45394,,"SPX")&lt;/Q&gt;&lt;R&gt;1&lt;/R&gt;&lt;C&gt;1&lt;/C&gt;&lt;D xsi:type="xsd:double"&gt;1.3616898&lt;/D&gt;&lt;/FQL&gt;&lt;FQL&gt;&lt;Q&gt;CRS-US^P_BETA_LOCIDX(45538,45363,,"SPX")&lt;/Q&gt;&lt;R&gt;1&lt;/R&gt;&lt;C&gt;1&lt;/C&gt;&lt;D xsi:type="xsd:double"&gt;1.1617147&lt;/D&gt;&lt;/FQL&gt;&lt;FQL&gt;&lt;Q&gt;CRS-US^P_BETA_LOCIDX(45471,45296,,"SPX")&lt;/Q&gt;&lt;R&gt;1&lt;/R&gt;&lt;C&gt;1&lt;/C&gt;&lt;D xsi:type="xsd:double"&gt;1.0385562&lt;/D&gt;&lt;/FQL&gt;&lt;FQL&gt;&lt;Q&gt;CRS-US^P_BETA_LOCIDX(45440,45264,,"SPX")&lt;/Q&gt;&lt;R&gt;1&lt;/R&gt;&lt;C&gt;1&lt;/C&gt;&lt;D xsi:type="xsd:double"&gt;0.9877362&lt;/D&gt;&lt;/FQL&gt;&lt;FQL&gt;&lt;Q&gt;CRS-US^P_BETA_LOCIDX(45345,45169,,"SPX")&lt;/Q&gt;&lt;R&gt;1&lt;/R&gt;&lt;C&gt;1&lt;/C&gt;&lt;D xsi:type="xsd:double"&gt;1.29893&lt;/D&gt;&lt;/FQL&gt;&lt;FQL&gt;&lt;Q&gt;CRS-US^P_BETA_LOCIDX(45316,45141,,"SPX")&lt;/Q&gt;&lt;R&gt;1&lt;/R&gt;&lt;C&gt;1&lt;/C&gt;&lt;D xsi:type="xsd:double"&gt;1.3027048&lt;/D&gt;&lt;/FQL&gt;&lt;FQL&gt;&lt;Q&gt;CRS-US^P_BETA_LOCIDX(45257,45083,,"SPX")&lt;/Q&gt;&lt;R&gt;1&lt;/R&gt;&lt;C&gt;1&lt;/C&gt;&lt;D xsi:type="xsd:double"&gt;1.2375053&lt;/D&gt;&lt;/FQL&gt;&lt;FQL&gt;&lt;Q&gt;CRS-US^P_BETA_LOCIDX(45202,45028,,"SPX")&lt;/Q&gt;&lt;R&gt;1&lt;/R&gt;&lt;C&gt;1&lt;/C&gt;&lt;D xsi:type="xsd:double"&gt;1.6213728&lt;/D&gt;&lt;/FQL&gt;&lt;FQL&gt;&lt;Q&gt;CRS-US^P_BETA_LOCIDX(45120,44945,,"SPX")&lt;/Q&gt;&lt;R&gt;1&lt;/R&gt;&lt;C&gt;1&lt;/C&gt;&lt;D xsi:type="xsd:double"&gt;1.7975116&lt;/D&gt;&lt;/FQL&gt;&lt;FQL&gt;&lt;Q&gt;CRS-US^P_BETA_LOCIDX(45063,44887,,"SPX")&lt;/Q&gt;&lt;R&gt;1&lt;/R&gt;&lt;C&gt;1&lt;/C&gt;&lt;D xsi:type="xsd:double"&gt;1.7188951&lt;/D&gt;&lt;/FQL&gt;&lt;FQL&gt;&lt;Q&gt;CRS-US^P_BETA_LOCIDX(44981,44805,,"SPX")&lt;/Q&gt;&lt;R&gt;1&lt;/R&gt;&lt;C&gt;1&lt;/C&gt;&lt;D xsi:type="xsd:double"&gt;1.4209955&lt;/D&gt;&lt;/FQL&gt;&lt;FQL&gt;&lt;Q&gt;CRS-US^P_BETA_LOCIDX(46022,45852,,"SPX")&lt;/Q&gt;&lt;R&gt;1&lt;/R&gt;&lt;C&gt;1&lt;/C&gt;&lt;D xsi:type="xsd:double"&gt;1.2852781&lt;/D&gt;&lt;/FQL&gt;&lt;FQL&gt;&lt;Q&gt;CRS-US^P_BETA_LOCIDX(45975,45804,,"SPX")&lt;/Q&gt;&lt;R&gt;1&lt;/R&gt;&lt;C&gt;1&lt;/C&gt;&lt;D xsi:type="xsd:double"&gt;1.1034014&lt;/D&gt;&lt;/FQL&gt;&lt;FQL&gt;&lt;Q&gt;CRS-US^P_BETA_LOCIDX(45904,45729,,"SPX")&lt;/Q&gt;&lt;R&gt;1&lt;/R&gt;&lt;C&gt;1&lt;/C&gt;&lt;D xsi:type="xsd:double"&gt;1.5570118&lt;/D&gt;&lt;/FQL&gt;&lt;FQL&gt;&lt;Q&gt;CRS-US^P_BETA_LOCIDX(45769,45590,,"SPX")&lt;/Q&gt;&lt;R&gt;1&lt;/R&gt;&lt;C&gt;1&lt;/C&gt;&lt;D xsi:type="xsd:double"&gt;1.7218344&lt;/D&gt;&lt;/FQL&gt;&lt;FQL&gt;&lt;Q&gt;CRS-US^P_BETA_LOCIDX(45700,45524,,"SPX")&lt;/Q&gt;&lt;R&gt;1&lt;/R&gt;&lt;C&gt;1&lt;/C&gt;&lt;D xsi:type="xsd:double"&gt;1.8705443&lt;/D&gt;&lt;/FQL&gt;&lt;FQL&gt;&lt;Q&gt;CRS-US^P_BETA_LOCIDX(45631,45457,,"SPX")&lt;/Q&gt;&lt;R&gt;1&lt;/R&gt;&lt;C&gt;1&lt;/C&gt;&lt;D xsi:type="xsd:double"&gt;1.7457126&lt;/D&gt;&lt;/FQL&gt;&lt;FQL&gt;&lt;Q&gt;CRS-US^P_BETA_LOCIDX(45600,45426,,"SPX")&lt;/Q&gt;&lt;R&gt;1&lt;/R&gt;&lt;C&gt;1&lt;/C&gt;&lt;D xsi:type="xsd:double"&gt;1.5967718&lt;/D&gt;&lt;/FQL&gt;&lt;FQL&gt;&lt;Q&gt;CRS-US^P_BETA_LOCIDX(45534,45362,,"SPX")&lt;/Q&gt;&lt;R&gt;1&lt;/R&gt;&lt;C&gt;1&lt;/C&gt;&lt;D xsi:type="xsd:double"&gt;1.0158887&lt;/D&gt;&lt;/FQL&gt;&lt;FQL&gt;&lt;Q&gt;CRS-US^P_BETA_LOCIDX(45504,45329,,"SPX")&lt;/Q&gt;&lt;R&gt;1&lt;/R&gt;&lt;C&gt;1&lt;/C&gt;&lt;D xsi:type="xsd:double"&gt;1.0042819&lt;/D&gt;&lt;/FQL&gt;&lt;FQL&gt;&lt;Q&gt;CRS-US^P_BETA_LOCIDX(45406,45230,,"SPX")&lt;/Q&gt;&lt;R&gt;1&lt;/R&gt;&lt;C&gt;1&lt;/C&gt;&lt;D xsi:type="xsd:double"&gt;1.148308&lt;/D&gt;&lt;/FQL&gt;&lt;FQL&gt;&lt;Q&gt;CRS-US^P_BETA_LOCIDX(45376,45201,,"SPX")&lt;/Q&gt;&lt;R&gt;1&lt;/R&gt;&lt;C&gt;1&lt;/C&gt;&lt;D xsi:type="xsd:double"&gt;1.3164569&lt;/D&gt;&lt;/FQL&gt;&lt;FQL&gt;&lt;Q&gt;CRS-US^P_BETA_LOCIDX(45282,45112,,"SPX")&lt;/Q&gt;&lt;R&gt;1&lt;/R&gt;&lt;C&gt;1&lt;/C&gt;&lt;D xsi:type="xsd:double"&gt;1.3002591&lt;/D&gt;&lt;/FQL&gt;&lt;FQL&gt;&lt;Q&gt;CRS-US^P_BETA_LOCIDX(45974,45800,,"SPX")&lt;/Q&gt;&lt;R&gt;1&lt;/R&gt;&lt;C&gt;1&lt;/C&gt;&lt;D xsi:type="xsd:double"&gt;1.0748804&lt;/D&gt;&lt;/FQL&gt;&lt;FQL&gt;&lt;Q&gt;CRS-US^P_BETA_LOCIDX(45938,45763,,"SPX")&lt;/Q&gt;&lt;R&gt;1&lt;/R&gt;&lt;C&gt;1&lt;/C&gt;&lt;D xsi:type="xsd:double"&gt;1.1583471&lt;/D&gt;&lt;/FQL&gt;&lt;FQL&gt;&lt;Q&gt;CRS-US^P_BETA_LOCIDX(45903,45728,,"SPX")&lt;/Q&gt;&lt;R&gt;1&lt;/R&gt;&lt;C&gt;1&lt;/C&gt;&lt;D xsi:type="xsd:double"&gt;1.5552619&lt;/D&gt;&lt;/FQL&gt;&lt;FQL&gt;&lt;Q&gt;CRS-US^P_BETA_LOCIDX(45869,45694,,"SPX")&lt;/Q&gt;&lt;R&gt;1&lt;/R&gt;&lt;C&gt;1&lt;/C&gt;&lt;D xsi:type="xsd:double"&gt;1.6448652&lt;/D&gt;&lt;/FQL&gt;&lt;FQL&gt;&lt;Q&gt;CRS-US^P_BETA_LOCIDX(45835,45659,,"SPX")&lt;/Q&gt;&lt;R&gt;1&lt;/R&gt;&lt;C&gt;1&lt;/C&gt;&lt;D xsi:type="xsd:double"&gt;1.6130501&lt;/D&gt;&lt;/FQL&gt;&lt;FQL&gt;&lt;Q&gt;CRS-US^P_BETA_LOCIDX(45799,45622,,"SPX")&lt;/Q&gt;&lt;R&gt;1&lt;/R&gt;&lt;C&gt;1&lt;/C&gt;&lt;D xsi:type="xsd:double"&gt;1.6361248&lt;/D&gt;&lt;/FQL&gt;&lt;FQL&gt;&lt;Q&gt;CRS-US^P_BETA_LOCIDX(45768,45589,,"SPX")&lt;/Q&gt;&lt;R&gt;1&lt;/R&gt;&lt;C&gt;1&lt;/C&gt;&lt;D xsi:type="xsd:double"&gt;1.7079042&lt;/D&gt;&lt;/FQL&gt;&lt;FQL&gt;&lt;Q&gt;CRS-US^P_BETA_LOCIDX(45734,45558,,"SPX")&lt;/Q&gt;&lt;R&gt;1&lt;/R&gt;&lt;C&gt;1&lt;/C&gt;&lt;D xsi:type="xsd:double"&gt;1.7050859&lt;/D&gt;&lt;/FQL&gt;&lt;FQL&gt;&lt;Q&gt;CRS-US^P_BETA_LOCIDX(45665,45491,,"SPX")&lt;/Q&gt;&lt;R&gt;1&lt;/R&gt;&lt;C&gt;1&lt;/C&gt;&lt;D xsi:type="xsd:double"&gt;1.7214243&lt;/D&gt;&lt;/FQL&gt;&lt;FQL&gt;&lt;Q&gt;CRS-US^P_BETA_LOCIDX(45597,45425,,"SPX")&lt;/Q&gt;&lt;R&gt;1&lt;/R&gt;&lt;C&gt;1&lt;/C&gt;&lt;D xsi:type="xsd:double"&gt;1.5965154&lt;/D&gt;&lt;/FQL&gt;&lt;FQL&gt;&lt;Q&gt;CRS-US^P_BETA_LOCIDX(45566,45392,,"SPX")&lt;/Q&gt;&lt;R&gt;1&lt;/R&gt;&lt;C&gt;1&lt;/C&gt;&lt;D xsi:type="xsd:double"&gt;1.392005&lt;/D&gt;&lt;/FQL&gt;&lt;FQL&gt;&lt;Q&gt;CRS-US^P_BETA_LOCIDX(45470,45295,,"SPX")&lt;/Q&gt;&lt;R&gt;1&lt;/R&gt;&lt;C&gt;1&lt;/C&gt;&lt;D xsi:type="xsd:double"&gt;1.0632856&lt;/D&gt;&lt;/FQL&gt;&lt;FQL&gt;&lt;Q&gt;CRS-US^P_BETA_LOCIDX(45436,45261,,"SPX")&lt;/Q&gt;&lt;R&gt;1&lt;/R&gt;&lt;C&gt;1&lt;/C&gt;&lt;D xsi:type="xsd:double"&gt;1.0096078&lt;/D&gt;&lt;/FQL&gt;&lt;FQL&gt;&lt;Q&gt;CRS-US^P_BETA_LOCIDX(45373,45198,,"SPX")&lt;/Q&gt;&lt;R&gt;1&lt;/R&gt;&lt;C&gt;1&lt;/C&gt;&lt;D xsi:type="xsd:double"&gt;1.3293219&lt;/D&gt;&lt;/FQL&gt;&lt;FQL&gt;&lt;Q&gt;CRS-US^P_BETA_LOCIDX(45344,45168,,"SPX")&lt;/Q&gt;&lt;R&gt;1&lt;/R&gt;&lt;C&gt;1&lt;/C&gt;&lt;D xsi:type="xsd:double"&gt;1.3047944&lt;/D&gt;&lt;/FQL&gt;&lt;FQL&gt;&lt;Q&gt;CRS-US^P_BETA_LOCIDX(45314,45139,,"SPX")&lt;/Q&gt;&lt;R&gt;1&lt;/R&gt;&lt;C&gt;1&lt;/C&gt;&lt;D xsi:type="xsd:double"&gt;1.3723061&lt;/D&gt;&lt;/FQL&gt;&lt;FQL&gt;&lt;Q&gt;CRS-US^P_BETA_LOCIDX(45201,45027,,"SPX")&lt;/Q&gt;&lt;R&gt;1&lt;/R&gt;&lt;C&gt;1&lt;/C&gt;&lt;D xsi:type="xsd:double"&gt;1.5921292&lt;/D&gt;&lt;/FQL&gt;&lt;FQL&gt;&lt;Q&gt;CRS-US^P_BETA_LOCIDX(45170,44998,,"SPX")&lt;/Q&gt;&lt;R&gt;1&lt;/R&gt;&lt;C&gt;1&lt;/C&gt;&lt;D xsi:type="xsd:double"&gt;1.8600855&lt;/D&gt;&lt;/FQL&gt;&lt;FQL&gt;&lt;Q&gt;CRS-US^P_BETA_LOCIDX(45118,44943,,"SPX")&lt;/Q&gt;&lt;R&gt;1&lt;/R&gt;&lt;C&gt;1&lt;/C&gt;&lt;D xsi:type="xsd:double"&gt;1.7630477&lt;/D&gt;&lt;/FQL&gt;&lt;FQL&gt;&lt;Q&gt;CRS-US^P_BETA_LOCIDX(45062,44886,,"SPX")&lt;/Q&gt;&lt;R&gt;1&lt;/R&gt;&lt;C&gt;1&lt;/C&gt;&lt;D xsi:type="xsd:double"&gt;1.7153379&lt;/D&gt;&lt;/FQL&gt;&lt;FQL&gt;&lt;Q&gt;CRS-US^P_BETA_LOCIDX(44980,44804,,"SPX")&lt;/Q&gt;&lt;R&gt;1&lt;/R&gt;&lt;C&gt;1&lt;/C&gt;&lt;D xsi:type="xsd:double"&gt;1.4312353&lt;/D&gt;&lt;/FQL&gt;&lt;FQL&gt;&lt;Q&gt;CRS-US^P_BETA_LOCIDX(45834,45657,,"SPX")&lt;/Q&gt;&lt;R&gt;1&lt;/R&gt;&lt;C&gt;1&lt;/C&gt;&lt;D xsi:type="xsd:double"&gt;1.6107057&lt;/D&gt;&lt;/FQL&gt;&lt;FQL&gt;&lt;Q&gt;CRS-US^P_BETA_LOCIDX(45699,45523,,"SPX")&lt;/Q&gt;&lt;R&gt;1&lt;/R&gt;&lt;C&gt;1&lt;/C&gt;&lt;D xsi:type="xsd:double"&gt;1.8580881&lt;/D&gt;&lt;/FQL&gt;&lt;FQL&gt;&lt;Q&gt;CRS-US^P_BETA_LOCIDX(45630,45456,,"SPX")&lt;/Q&gt;&lt;R&gt;1&lt;/R&gt;&lt;C&gt;1&lt;/C&gt;&lt;D xsi:type="xsd:double"&gt;1.7433499&lt;/D&gt;&lt;/FQL&gt;&lt;FQL&gt;&lt;Q&gt;CRS-US^P_BETA_LOCIDX(45596,45422,,"SPX")&lt;/Q&gt;&lt;R&gt;1&lt;/R&gt;&lt;C&gt;1&lt;/C&gt;&lt;D xsi:type="xsd:double"&gt;1.5822643&lt;/D&gt;&lt;/FQL&gt;&lt;FQL&gt;&lt;Q&gt;CRS-US^P_BETA_LOCIDX(45533,45359,,"SPX")&lt;/Q&gt;&lt;R&gt;1&lt;/R&gt;&lt;C&gt;1&lt;/C&gt;&lt;D xsi:type="xsd:double"&gt;1.0229923&lt;/D&gt;&lt;/FQL&gt;&lt;FQL&gt;&lt;Q&gt;CRS-US^P_BETA_LOCIDX(45503,45328,,"SPX")&lt;/Q&gt;&lt;R&gt;1&lt;/R&gt;&lt;C&gt;1&lt;/C&gt;&lt;D xsi:type="xsd:double"&gt;0.98742366&lt;/D&gt;&lt;/FQL&gt;&lt;FQL&gt;&lt;Q&gt;CRS-US^P_BETA_LOCIDX(45435,45260,,"SPX")&lt;/Q&gt;&lt;R&gt;1&lt;/R&gt;&lt;C&gt;1&lt;/C&gt;&lt;D xsi:type="xsd:double"&gt;1.0176941&lt;/D&gt;&lt;/FQL&gt;&lt;FQL&gt;&lt;Q&gt;CRS-US^P_BETA_LOCIDX(45404,45226,,"SPX")&lt;/Q&gt;&lt;R&gt;1&lt;/R&gt;&lt;C&gt;1&lt;/C&gt;&lt;D xsi:type="xsd:double"&gt;1.1561465&lt;/D&gt;&lt;/FQL&gt;&lt;FQL&gt;&lt;Q&gt;CRS-US^P_BETA_LOCIDX(45372,45197,,"SPX")&lt;/Q&gt;&lt;R&gt;1&lt;/R&gt;&lt;C&gt;1&lt;/C&gt;&lt;D xsi:type="xsd:double"&gt;1.3205172&lt;/D&gt;&lt;/FQL&gt;&lt;FQL&gt;&lt;Q&gt;CRS-US^P_BETA_LOCIDX(45343,45167,,"SPX")&lt;/Q&gt;&lt;R&gt;1&lt;/R&gt;&lt;C&gt;1&lt;/C&gt;&lt;D xsi:type="xsd:double"&gt;1.3860765&lt;/D&gt;&lt;/FQL&gt;&lt;FQL&gt;&lt;Q&gt;CRS-US^P_BETA_LOCIDX(45313,45138,,"SPX")&lt;/Q&gt;&lt;R&gt;1&lt;/R&gt;&lt;C&gt;1&lt;/C&gt;&lt;D xsi:type="xsd:double"&gt;1.3759708&lt;/D&gt;&lt;/FQL&gt;&lt;FQL&gt;&lt;Q&gt;CRS-US^P_BETA_LOCIDX(45281,45110,,"SPX")&lt;/Q&gt;&lt;R&gt;1&lt;/R&gt;&lt;C&gt;1&lt;/C&gt;&lt;D xsi:type="xsd:double"&gt;1.2986912&lt;/D&gt;&lt;/FQL&gt;&lt;FQL&gt;&lt;Q&gt;CRS-US^P_BETA_LOCIDX(45252,45079,,"SPX")&lt;/Q&gt;&lt;R&gt;1&lt;/R&gt;&lt;C&gt;1&lt;/C&gt;&lt;D xsi:type="xsd:double"&gt;1.3506907&lt;/D&gt;&lt;/FQL&gt;&lt;FQL&gt;&lt;Q&gt;CRS-US^P_BETA_LOCIDX(45225,45051,,"SPX")&lt;/Q&gt;&lt;R&gt;1&lt;/R&gt;&lt;C&gt;1&lt;/C&gt;&lt;D xsi:type="xsd:double"&gt;1.4251746&lt;/D&gt;&lt;/FQL&gt;&lt;FQL&gt;&lt;Q&gt;CRS-US^P_BETA_LOCIDX(45145,44970,,"SPX")&lt;/Q&gt;&lt;R&gt;1&lt;/R&gt;&lt;C&gt;1&lt;/C&gt;&lt;D xsi:type="xsd:double"&gt;1.8303564&lt;/D&gt;&lt;/FQL&gt;&lt;FQL&gt;&lt;Q&gt;CRS-US^P_BETA_LOCIDX(45089,44911,,"SPX")&lt;/Q&gt;&lt;R&gt;1&lt;/R&gt;&lt;C&gt;1&lt;/C&gt;&lt;D xsi:type="xsd:double"&gt;1.7995901&lt;/D&gt;&lt;/FQL&gt;&lt;FQL&gt;&lt;Q&gt;CRS-US^P_BETA_LOCIDX(45034,44858,,"SPX")&lt;/Q&gt;&lt;R&gt;1&lt;/R&gt;&lt;C&gt;1&lt;/C&gt;&lt;D xsi:type="xsd:double"&gt;1.3897185&lt;/D&gt;&lt;/FQL&gt;&lt;FQL&gt;&lt;Q&gt;CRS-US^P_BETA_LOCIDX(45006,44831,,"SPX")&lt;/Q&gt;&lt;R&gt;1&lt;/R&gt;&lt;C&gt;1&lt;/C&gt;&lt;D xsi:type="xsd:double"&gt;1.4324795&lt;/D&gt;&lt;/FQL&gt;&lt;FQL&gt;&lt;Q&gt;CRS-US^P_BETA_LOCIDX(44979,44803,,"SPX")&lt;/Q&gt;&lt;R&gt;1&lt;/R&gt;&lt;C&gt;1&lt;/C&gt;&lt;D xsi:type="xsd:double"&gt;1.4470053&lt;/D&gt;&lt;/FQL&gt;&lt;FQL&gt;&lt;Q&gt;CRS-US^P_BETA_LOCIDX(45968,45796,,"SPX")&lt;/Q&gt;&lt;R&gt;1&lt;/R&gt;&lt;C&gt;1&lt;/C&gt;&lt;D xsi:type="xsd:double"&gt;1.1373426&lt;/D&gt;&lt;/FQL&gt;&lt;FQL&gt;&lt;Q&gt;CRS-US^P_BETA_LOCIDX(45763,45587,,"SPX")&lt;/Q&gt;&lt;R&gt;1&lt;/R&gt;&lt;C&gt;1&lt;/C&gt;&lt;D xsi:type="xsd:double"&gt;1.7220286&lt;/D&gt;&lt;/FQL&gt;&lt;FQL&gt;&lt;Q&gt;CRS-US^P_BETA_LOCIDX(45628,45454,,"SPX")&lt;/Q&gt;&lt;R&gt;1&lt;/R&gt;&lt;C&gt;1&lt;/C&gt;&lt;D xsi:type="xsd:double"&gt;1.7410011&lt;/D&gt;&lt;/FQL&gt;&lt;FQL&gt;&lt;Q&gt;CRS-US^P_BETA_LOCIDX(45595,45421,,"SPX")&lt;/Q&gt;&lt;R&gt;1&lt;/R&gt;&lt;C&gt;1&lt;/C&gt;&lt;D xsi:type="xsd:double"&gt;1.5008429&lt;/D&gt;&lt;/FQL&gt;&lt;FQL&gt;&lt;Q&gt;CRS-US^P_BETA_LOCIDX(45499,45324,,"SPX")&lt;/Q&gt;&lt;R&gt;1&lt;/R&gt;&lt;C&gt;1&lt;/C&gt;&lt;D xsi:type="xsd:double"&gt;0.99143106&lt;/D&gt;&lt;/FQL&gt;&lt;FQL&gt;&lt;Q&gt;CRS-US^P_BETA_LOCIDX(45468,45293,,"SPX")&lt;/Q&gt;&lt;R&gt;1&lt;/R&gt;&lt;C&gt;1&lt;/C&gt;&lt;D xsi:type="xsd:double"&gt;1.1051952&lt;/D&gt;&lt;/FQL&gt;&lt;FQL&gt;&lt;Q&gt;CRS-US^P_BETA_LOCIDX(45401,45225,,"SPX")&lt;/Q&gt;&lt;R&gt;1&lt;/R&gt;&lt;C&gt;1&lt;/C&gt;&lt;D xsi:type="xsd:double"&gt;0.98321587&lt;/D&gt;&lt;/FQL&gt;&lt;FQL&gt;&lt;Q&gt;CRS-US^P_BETA_LOCIDX(45371,45196,,"SPX")&lt;/Q&gt;&lt;R&gt;1&lt;/R&gt;&lt;C&gt;1&lt;/C&gt;&lt;D xsi:type="xsd:double"&gt;1.316849&lt;/D&gt;&lt;/FQL&gt;&lt;FQL&gt;&lt;Q&gt;CRS-US^P_BETA_LOCIDX(45342,45166,,"SPX")&lt;/Q&gt;&lt;R&gt;1&lt;/R&gt;&lt;C&gt;1&lt;/C&gt;&lt;D xsi:type="xsd:double"&gt;1.3945386&lt;/D&gt;&lt;/FQL&gt;&lt;FQL&gt;&lt;Q&gt;CRS-US^P_BETA_LOCIDX(45310,45135,,"SPX")&lt;/Q&gt;&lt;R&gt;1&lt;/R&gt;&lt;C&gt;1&lt;/C&gt;&lt;D xsi:type="xsd:double"&gt;1.3496565&lt;/D&gt;&lt;/FQL&gt;&lt;FQL&gt;&lt;Q&gt;CRS-US^P_BETA_LOCIDX(45280,45107,,"SPX")&lt;/Q&gt;&lt;R&gt;1&lt;/R&gt;&lt;C&gt;1&lt;/C&gt;&lt;D xsi:type="xsd:double"&gt;1.269022&lt;/D&gt;&lt;/FQL&gt;&lt;FQL&gt;&lt;Q&gt;CRS-US^P_BETA_LOCIDX(45251,45078,,"SPX")&lt;/Q&gt;&lt;R&gt;1&lt;/R&gt;&lt;C&gt;1&lt;/C&gt;&lt;D xsi:type="xsd:double"&gt;1.3475848&lt;/D&gt;&lt;/FQL&gt;&lt;FQL&gt;&lt;Q&gt;CRS-US^P_BETA_LOCIDX(45224,45050,,"SPX")&lt;/Q&gt;&lt;R&gt;1&lt;/R&gt;&lt;C&gt;1&lt;/C&gt;&lt;D xsi:type="xsd:double"&gt;1.619236&lt;/D&gt;&lt;/FQL&gt;&lt;FQL&gt;&lt;Q&gt;CRS-US^P_BETA_LOCIDX(45142,44967,,"SPX")&lt;/Q&gt;&lt;R&gt;1&lt;/R&gt;&lt;C&gt;1&lt;/C&gt;&lt;D xsi:type="xsd:double"&gt;1.8130406&lt;/D&gt;&lt;/FQL&gt;&lt;FQL&gt;&lt;Q&gt;CRS-US^P_BETA_LOCIDX(45086,44910,,"SPX")&lt;/Q&gt;&lt;R&gt;1&lt;/R&gt;&lt;C&gt;1&lt;/C&gt;&lt;D xsi:type="xsd:double"&gt;1.8406937&lt;/D&gt;&lt;/FQL&gt;&lt;FQL&gt;&lt;Q&gt;CRS-US^P_BETA_LOCIDX(45005,44830,,"SPX")&lt;/Q&gt;&lt;R&gt;1&lt;/R&gt;&lt;C&gt;1&lt;/C&gt;&lt;D xsi:type="xsd:double"&gt;1.436353&lt;/D&gt;&lt;/FQL&gt;&lt;FQL&gt;&lt;Q&gt;CRS-US^P_BETA_LOCIDX(46014,45841,,"SPX")&lt;/Q&gt;&lt;R&gt;1&lt;/R&gt;&lt;C&gt;1&lt;/C&gt;&lt;D xsi:type="xsd:double"&gt;1.237258&lt;/D&gt;&lt;/FQL&gt;&lt;FQL&gt;&lt;Q&gt;CRS-US^P_BETA_LOCIDX(45936,45761,,"SPX")&lt;/Q&gt;&lt;R&gt;1&lt;/R&gt;&lt;C&gt;1&lt;/C&gt;&lt;D xsi:type="xsd:double"&gt;1.1666903&lt;/D&gt;&lt;/FQL&gt;&lt;FQL&gt;&lt;Q&gt;CRS-US^P_BETA_LOCIDX(45898,45726,,"SPX")&lt;/Q&gt;&lt;R&gt;1&lt;/R&gt;&lt;C&gt;1&lt;/C&gt;&lt;D xsi:type="xsd:double"&gt;1.5447892&lt;/D&gt;&lt;/FQL&gt;&lt;FQL&gt;&lt;Q&gt;CRS-US^P_BETA_LOCIDX(45867,45692,,"SPX")&lt;/Q&gt;&lt;R&gt;1&lt;/R&gt;&lt;C&gt;1&lt;/C&gt;&lt;D xsi:type="xsd:double"&gt;1.626004&lt;/D&gt;&lt;/FQL&gt;&lt;FQL&gt;&lt;Q&gt;CRS-US^P_BETA_LOCIDX(45832,45653,,"SPX")&lt;/Q&gt;&lt;R&gt;1&lt;/R&gt;&lt;C&gt;1&lt;/C&gt;&lt;D xsi:type="xsd:double"&gt;1.6135682&lt;/D&gt;&lt;/FQL&gt;&lt;FQL&gt;&lt;Q&gt;CRS-US^P_BETA_LOCIDX(45965,45791,,"SPX")&lt;/Q&gt;&lt;R&gt;1&lt;/R&gt;&lt;C&gt;1&lt;/C&gt;&lt;D xsi:type="xsd:double"&gt;1.1439629&lt;/D&gt;&lt;/FQL&gt;&lt;FQL&gt;&lt;Q&gt;CRS-US^P_BETA_LOCIDX(45930,45755,,"SPX")&lt;/Q&gt;&lt;R&gt;1&lt;/R&gt;&lt;C&gt;1&lt;/C&gt;&lt;D xsi:type="xsd:double"&gt;1.3909446&lt;/D&gt;&lt;/FQL&gt;&lt;FQL&gt;&lt;Q&gt;CRS-US^P_BETA_LOCIDX(45862,45687,,"SPX")&lt;/Q&gt;&lt;R&gt;1&lt;/R&gt;&lt;C&gt;1&lt;/C&gt;&lt;D xsi:type="xsd:double"&gt;1.6102732&lt;/D&gt;&lt;/FQL&gt;&lt;FQL&gt;&lt;Q&gt;CRS-US^P_BETA_LOCIDX(45792,45615,,"SPX")&lt;/Q&gt;&lt;R&gt;1&lt;/R&gt;&lt;C&gt;1&lt;/C&gt;&lt;D xsi:type="xsd:double"&gt;1.6475755&lt;/D&gt;&lt;/FQL&gt;&lt;FQL&gt;&lt;Q&gt;CRS-US^P_BETA_LOCIDX(45590,45418,,"SPX")&lt;/Q&gt;&lt;R&gt;1&lt;/R&gt;&lt;C&gt;1&lt;/C&gt;&lt;D xsi:type="xsd:double"&gt;1.4391323&lt;/D&gt;&lt;/FQL&gt;&lt;FQL&gt;&lt;Q&gt;CRS-US^P_BETA_LOCIDX(45560,45386,,"SPX")&lt;/Q&gt;&lt;R&gt;1&lt;/R&gt;&lt;C&gt;1&lt;/C&gt;&lt;D xsi:type="xsd:double"&gt;1.31499&lt;/D&gt;&lt;/FQL&gt;&lt;FQL&gt;&lt;Q&gt;CRS-US^P_BETA_LOCIDX(454</t>
        </r>
      </text>
    </comment>
    <comment ref="A2" authorId="0" shapeId="0" xr:uid="{195F8397-32C8-41C0-B4F1-53E2A6E791AD}">
      <text>
        <r>
          <rPr>
            <b/>
            <sz val="9"/>
            <color indexed="81"/>
            <rFont val="Tahoma"/>
            <charset val="1"/>
          </rPr>
          <t>96,45321,,"SPX")&lt;/Q&gt;&lt;R&gt;1&lt;/R&gt;&lt;C&gt;1&lt;/C&gt;&lt;D xsi:type="xsd:double"&gt;1.0114565&lt;/D&gt;&lt;/FQL&gt;&lt;FQL&gt;&lt;Q&gt;CRS-US^P_BETA_LOCIDX(45463,45287,,"SPX")&lt;/Q&gt;&lt;R&gt;1&lt;/R&gt;&lt;C&gt;1&lt;/C&gt;&lt;D xsi:type="xsd:double"&gt;1.0961822&lt;/D&gt;&lt;/FQL&gt;&lt;FQL&gt;&lt;Q&gt;CRS-US^P_BETA_LOCIDX(45399,45223,,"SPX")&lt;/Q&gt;&lt;R&gt;1&lt;/R&gt;&lt;C&gt;1&lt;/C&gt;&lt;D xsi:type="xsd:double"&gt;1.0027089&lt;/D&gt;&lt;/FQL&gt;&lt;FQL&gt;&lt;Q&gt;CRS-US^P_BETA_LOCIDX(45366,45191,,"SPX")&lt;/Q&gt;&lt;R&gt;1&lt;/R&gt;&lt;C&gt;1&lt;/C&gt;&lt;D xsi:type="xsd:double"&gt;1.3275336&lt;/D&gt;&lt;/FQL&gt;&lt;FQL&gt;&lt;Q&gt;CRS-US^P_BETA_LOCIDX(45336,45161,,"SPX")&lt;/Q&gt;&lt;R&gt;1&lt;/R&gt;&lt;C&gt;1&lt;/C&gt;&lt;D xsi:type="xsd:double"&gt;1.358429&lt;/D&gt;&lt;/FQL&gt;&lt;FQL&gt;&lt;Q&gt;CRS-US^P_BETA_LOCIDX(45308,45133,,"SPX")&lt;/Q&gt;&lt;R&gt;1&lt;/R&gt;&lt;C&gt;1&lt;/C&gt;&lt;D xsi:type="xsd:double"&gt;1.3041518&lt;/D&gt;&lt;/FQL&gt;&lt;FQL&gt;&lt;Q&gt;CRS-US^P_BETA_LOCIDX(45275,45104,,"SPX")&lt;/Q&gt;&lt;R&gt;1&lt;/R&gt;&lt;C&gt;1&lt;/C&gt;&lt;D xsi:type="xsd:double"&gt;1.2892338&lt;/D&gt;&lt;/FQL&gt;&lt;FQL&gt;&lt;Q&gt;CRS-US^P_BETA_LOCIDX(45247,45076,,"SPX")&lt;/Q&gt;&lt;R&gt;1&lt;/R&gt;&lt;C&gt;1&lt;/C&gt;&lt;D xsi:type="xsd:double"&gt;1.3396453&lt;/D&gt;&lt;/FQL&gt;&lt;FQL&gt;&lt;Q&gt;CRS-US^P_BETA_LOCIDX(45222,45048,,"SPX")&lt;/Q&gt;&lt;R&gt;1&lt;/R&gt;&lt;C&gt;1&lt;/C&gt;&lt;D xsi:type="xsd:double"&gt;1.5277923&lt;/D&gt;&lt;/FQL&gt;&lt;FQL&gt;&lt;Q&gt;CRS-US^P_BETA_LOCIDX(45194,45019,,"SPX")&lt;/Q&gt;&lt;R&gt;1&lt;/R&gt;&lt;C&gt;1&lt;/C&gt;&lt;D xsi:type="xsd:double"&gt;1.6333549&lt;/D&gt;&lt;/FQL&gt;&lt;FQL&gt;&lt;Q&gt;CRS-US^P_BETA_LOCIDX(45139,44964,,"SPX")&lt;/Q&gt;&lt;R&gt;1&lt;/R&gt;&lt;C&gt;1&lt;/C&gt;&lt;D xsi:type="xsd:double"&gt;1.8097197&lt;/D&gt;&lt;/FQL&gt;&lt;FQL&gt;&lt;Q&gt;CRS-US^P_BETA_LOCIDX(45084,44908,,"SPX")&lt;/Q&gt;&lt;R&gt;1&lt;/R&gt;&lt;C&gt;1&lt;/C&gt;&lt;D xsi:type="xsd:double"&gt;1.8459302&lt;/D&gt;&lt;/FQL&gt;&lt;FQL&gt;&lt;Q&gt;CRS-US^P_BETA_LOCIDX(45055,44879,,"SPX")&lt;/Q&gt;&lt;R&gt;1&lt;/R&gt;&lt;C&gt;1&lt;/C&gt;&lt;D xsi:type="xsd:double"&gt;1.6581123&lt;/D&gt;&lt;/FQL&gt;&lt;FQL&gt;&lt;Q&gt;CRS-US^P_BETA_LOCIDX(45000,44825,,"SPX")&lt;/Q&gt;&lt;R&gt;1&lt;/R&gt;&lt;C&gt;1&lt;/C&gt;&lt;D xsi:type="xsd:double"&gt;1.426865&lt;/D&gt;&lt;/FQL&gt;&lt;FQL&gt;&lt;Q&gt;CRS-US^P_BETA_LOCIDX(46007,45834,,"SPX")&lt;/Q&gt;&lt;R&gt;1&lt;/R&gt;&lt;C&gt;1&lt;/C&gt;&lt;D xsi:type="xsd:double"&gt;1.2508652&lt;/D&gt;&lt;/FQL&gt;&lt;FQL&gt;&lt;Q&gt;CRS-US^P_BETA_LOCIDX(45926,45751,,"SPX")&lt;/Q&gt;&lt;R&gt;1&lt;/R&gt;&lt;C&gt;1&lt;/C&gt;&lt;D xsi:type="xsd:double"&gt;1.4094857&lt;/D&gt;&lt;/FQL&gt;&lt;FQL&gt;&lt;Q&gt;CRS-US^P_BETA_LOCIDX(45891,45719,,"SPX")&lt;/Q&gt;&lt;R&gt;1&lt;/R&gt;&lt;C&gt;1&lt;/C&gt;&lt;D xsi:type="xsd:double"&gt;1.5609905&lt;/D&gt;&lt;/FQL&gt;&lt;FQL&gt;&lt;Q&gt;CRS-US^P_BETA_LOCIDX(45860,45685,,"SPX")&lt;/Q&gt;&lt;R&gt;1&lt;/R&gt;&lt;C&gt;1&lt;/C&gt;&lt;D xsi:type="xsd:double"&gt;1.6164507&lt;/D&gt;&lt;/FQL&gt;&lt;FQL&gt;&lt;Q&gt;CRS-US^P_BETA_LOCIDX(45824,45645,,"SPX")&lt;/Q&gt;&lt;R&gt;1&lt;/R&gt;&lt;C&gt;1&lt;/C&gt;&lt;D xsi:type="xsd:double"&gt;1.608207&lt;/D&gt;&lt;/FQL&gt;&lt;FQL&gt;&lt;Q&gt;CRS-US^P_BETA_LOCIDX(45790,45611,,"SPX")&lt;/Q&gt;&lt;R&gt;1&lt;/R&gt;&lt;C&gt;1&lt;/C&gt;&lt;D xsi:type="xsd:double"&gt;1.6314982&lt;/D&gt;&lt;/FQL&gt;&lt;FQL&gt;&lt;Q&gt;CRS-US^P_BETA_LOCIDX(45756,45580,,"SPX")&lt;/Q&gt;&lt;R&gt;1&lt;/R&gt;&lt;C&gt;1&lt;/C&gt;&lt;D xsi:type="xsd:double"&gt;1.772857&lt;/D&gt;&lt;/FQL&gt;&lt;FQL&gt;&lt;Q&gt;CRS-US^P_BETA_LOCIDX(45691,45513,,"SPX")&lt;/Q&gt;&lt;R&gt;1&lt;/R&gt;&lt;C&gt;1&lt;/C&gt;&lt;D xsi:type="xsd:double"&gt;1.7823575&lt;/D&gt;&lt;/FQL&gt;&lt;FQL&gt;&lt;Q&gt;CRS-US^P_BETA_LOCIDX(45653,45482,,"SPX")&lt;/Q&gt;&lt;R&gt;1&lt;/R&gt;&lt;C&gt;1&lt;/C&gt;&lt;D xsi:type="xsd:double"&gt;1.7425699&lt;/D&gt;&lt;/FQL&gt;&lt;FQL&gt;&lt;Q&gt;CRS-US^P_BETA_LOCIDX(45618,45447,,"SPX")&lt;/Q&gt;&lt;R&gt;1&lt;/R&gt;&lt;C&gt;1&lt;/C&gt;&lt;D xsi:type="xsd:double"&gt;1.7467681&lt;/D&gt;&lt;/FQL&gt;&lt;FQL&gt;&lt;Q&gt;CRS-US^P_BETA_LOCIDX(45558,45384,,"SPX")&lt;/Q&gt;&lt;R&gt;1&lt;/R&gt;&lt;C&gt;1&lt;/C&gt;&lt;D xsi:type="xsd:double"&gt;1.3245267&lt;/D&gt;&lt;/FQL&gt;&lt;FQL&gt;&lt;Q&gt;CRS-US^P_BETA_LOCIDX(45525,45351,,"SPX")&lt;/Q&gt;&lt;R&gt;1&lt;/R&gt;&lt;C&gt;1&lt;/C&gt;&lt;D xsi:type="xsd:double"&gt;1.0614914&lt;/D&gt;&lt;/FQL&gt;&lt;FQL&gt;&lt;Q&gt;CRS-US^P_BETA_LOCIDX(45460,45282,,"SPX")&lt;/Q&gt;&lt;R&gt;1&lt;/R&gt;&lt;C&gt;1&lt;/C&gt;&lt;D xsi:type="xsd:double"&gt;1.0863134&lt;/D&gt;&lt;/FQL&gt;&lt;FQL&gt;&lt;Q&gt;CRS-US^P_BETA_LOCIDX(45426,45250,,"SPX")&lt;/Q&gt;&lt;R&gt;1&lt;/R&gt;&lt;C&gt;1&lt;/C&gt;&lt;D xsi:type="xsd:double"&gt;0.9309482&lt;/D&gt;&lt;/FQL&gt;&lt;FQL&gt;&lt;Q&gt;CRS-US^P_BETA_LOCIDX(45364,45189,,"SPX")&lt;/Q&gt;&lt;R&gt;1&lt;/R&gt;&lt;C&gt;1&lt;/C&gt;&lt;D xsi:type="xsd:double"&gt;1.2530093&lt;/D&gt;&lt;/FQL&gt;&lt;FQL&gt;&lt;Q&gt;CRS-US^P_BETA_LOCIDX(45334,45159,,"SPX")&lt;/Q&gt;&lt;R&gt;1&lt;/R&gt;&lt;C&gt;1&lt;/C&gt;&lt;D xsi:type="xsd:double"&gt;1.2744812&lt;/D&gt;&lt;/FQL&gt;&lt;FQL&gt;&lt;Q&gt;CRS-US^P_BETA_LOCIDX(45303,45131,,"SPX")&lt;/Q&gt;&lt;R&gt;1&lt;/R&gt;&lt;C&gt;1&lt;/C&gt;&lt;D xsi:type="xsd:double"&gt;1.2694811&lt;/D&gt;&lt;/FQL&gt;&lt;FQL&gt;&lt;Q&gt;CRS-US^P_BETA_LOCIDX(45245,45071,,"SPX")&lt;/Q&gt;&lt;R&gt;1&lt;/R&gt;&lt;C&gt;1&lt;/C&gt;&lt;D xsi:type="xsd:double"&gt;1.2959455&lt;/D&gt;&lt;/FQL&gt;&lt;FQL&gt;&lt;Q&gt;CRS-US^P_BETA_LOCIDX(45217,45043,,"SPX")&lt;/Q&gt;&lt;R&gt;1&lt;/R&gt;&lt;C&gt;1&lt;/C&gt;&lt;D xsi:type="xsd:double"&gt;1.7214121&lt;/D&gt;&lt;/FQL&gt;&lt;FQL&gt;&lt;Q&gt;CRS-US^P_BETA_LOCIDX(45162,44988,,"SPX")&lt;/Q&gt;&lt;R&gt;1&lt;/R&gt;&lt;C&gt;1&lt;/C&gt;&lt;D xsi:type="xsd:double"&gt;1.8483855&lt;/D&gt;&lt;/FQL&gt;&lt;FQL&gt;&lt;Q&gt;CRS-US^P_BETA_LOCIDX(45110,44935,,"SPX")&lt;/Q&gt;&lt;R&gt;1&lt;/R&gt;&lt;C&gt;1&lt;/C&gt;&lt;D xsi:type="xsd:double"&gt;1.7754862&lt;/D&gt;&lt;/FQL&gt;&lt;FQL&gt;&lt;Q&gt;CRS-US^P_BETA_LOCIDX(45027,44851,,"SPX")&lt;/Q&gt;&lt;R&gt;1&lt;/R&gt;&lt;C&gt;1&lt;/C&gt;&lt;D xsi:type="xsd:double"&gt;1.3708022&lt;/D&gt;&lt;/FQL&gt;&lt;FQL&gt;&lt;Q&gt;CRS-US^P_BETA_LOCIDX(44971,44796,,"SPX")&lt;/Q&gt;&lt;R&gt;1&lt;/R&gt;&lt;C&gt;1&lt;/C&gt;&lt;D xsi:type="xsd:double"&gt;1.4238926&lt;/D&gt;&lt;/FQL&gt;&lt;FQL&gt;&lt;Q&gt;CRS-US^P_BETA_LOCIDX(46015,45845,,"SPX")&lt;/Q&gt;&lt;R&gt;1&lt;/R&gt;&lt;C&gt;1&lt;/C&gt;&lt;D xsi:type="xsd:double"&gt;1.2296665&lt;/D&gt;&lt;/FQL&gt;&lt;FQL&gt;&lt;Q&gt;CRS-US^P_BETA_LOCIDX(45727,45551,,"SPX")&lt;/Q&gt;&lt;R&gt;1&lt;/R&gt;&lt;C&gt;1&lt;/C&gt;&lt;D xsi:type="xsd:double"&gt;1.7333994&lt;/D&gt;&lt;/FQL&gt;&lt;FQL&gt;&lt;Q&gt;CRS-US^P_BETA_LOCIDX(45497,45322,,"SPX")&lt;/Q&gt;&lt;R&gt;1&lt;/R&gt;&lt;C&gt;1&lt;/C&gt;&lt;D xsi:type="xsd:double"&gt;1.0365711&lt;/D&gt;&lt;/FQL&gt;&lt;FQL&gt;&lt;Q&gt;CRS-US^P_BETA_LOCIDX(45358,45183,,"SPX")&lt;/Q&gt;&lt;R&gt;1&lt;/R&gt;&lt;C&gt;1&lt;/C&gt;&lt;D xsi:type="xsd:double"&gt;1.3650775&lt;/D&gt;&lt;/FQL&gt;&lt;FQL&gt;&lt;Q&gt;CRS-US^P_BETA_LOCIDX(45223,45049,,"SPX")&lt;/Q&gt;&lt;R&gt;1&lt;/R&gt;&lt;C&gt;1&lt;/C&gt;&lt;D xsi:type="xsd:double"&gt;1.6620175&lt;/D&gt;&lt;/FQL&gt;&lt;FQL&gt;&lt;Q&gt;CRS-US^P_BETA_LOCIDX(45002,44827,,"SPX")&lt;/Q&gt;&lt;R&gt;1&lt;/R&gt;&lt;C&gt;1&lt;/C&gt;&lt;D xsi:type="xsd:double"&gt;1.4394643&lt;/D&gt;&lt;/FQL&gt;&lt;FQL&gt;&lt;Q&gt;CRS-US^P_BETA_LOCIDX(46008,45835,,"SPX")&lt;/Q&gt;&lt;R&gt;1&lt;/R&gt;&lt;C&gt;1&lt;/C&gt;&lt;D xsi:type="xsd:double"&gt;1.2241703&lt;/D&gt;&lt;/FQL&gt;&lt;FQL&gt;&lt;Q&gt;CRS-US^P_BETA_LOCIDX(45721,45545,,"SPX")&lt;/Q&gt;&lt;R&gt;1&lt;/R&gt;&lt;C&gt;1&lt;/C&gt;&lt;D xsi:type="xsd:double"&gt;1.6688427&lt;/D&gt;&lt;/FQL&gt;&lt;FQL&gt;&lt;Q&gt;CRS-US^P_BETA_LOCIDX(45422,45246,,"SPX")&lt;/Q&gt;&lt;R&gt;1&lt;/R&gt;&lt;C&gt;1&lt;/C&gt;&lt;D xsi:type="xsd:double"&gt;0.91507655&lt;/D&gt;&lt;/FQL&gt;&lt;FQL&gt;&lt;Q&gt;CRS-US^P_BETA_LOCIDX(44999,44824,,"SPX")&lt;/Q&gt;&lt;R&gt;1&lt;/R&gt;&lt;C&gt;1&lt;/C&gt;&lt;D xsi:type="xsd:double"&gt;1.4080899&lt;/D&gt;&lt;/FQL&gt;&lt;FQL&gt;&lt;Q&gt;CRS-US^P_BETA_LOCIDX(45492,45317,,"SPX")&lt;/Q&gt;&lt;R&gt;1&lt;/R&gt;&lt;C&gt;1&lt;/C&gt;&lt;D xsi:type="xsd:double"&gt;1.0423424&lt;/D&gt;&lt;/FQL&gt;&lt;FQL&gt;&lt;Q&gt;CRS-US^P_BETA_LOCIDX(45051,44875,,"SPX")&lt;/Q&gt;&lt;R&gt;1&lt;/R&gt;&lt;C&gt;1&lt;/C&gt;&lt;D xsi:type="xsd:double"&gt;1.4815913&lt;/D&gt;&lt;/FQL&gt;&lt;FQL&gt;&lt;Q&gt;CRS-US^P_BETA_LOCIDX(45050,44874,,"SPX")&lt;/Q&gt;&lt;R&gt;1&lt;/R&gt;&lt;C&gt;1&lt;/C&gt;&lt;D xsi:type="xsd:double"&gt;1.468394&lt;/D&gt;&lt;/FQL&gt;&lt;FQL&gt;&lt;Q&gt;CRS-US^P_BETA_LOCIDX(45902,45727,,"SPX")&lt;/Q&gt;&lt;R&gt;1&lt;/R&gt;&lt;C&gt;1&lt;/C&gt;&lt;D xsi:type="xsd:double"&gt;1.5395398&lt;/D&gt;&lt;/FQL&gt;&lt;FQL&gt;&lt;Q&gt;CRS-US^P_BETA_LOCIDX(45819,45642,,"SPX")&lt;/Q&gt;&lt;R&gt;1&lt;/R&gt;&lt;C&gt;1&lt;/C&gt;&lt;D xsi:type="xsd:double"&gt;1.6182904&lt;/D&gt;&lt;/FQL&gt;&lt;FQL&gt;&lt;Q&gt;CRS-US^P_BETA_LOCIDX(45723,45547,,"SPX")&lt;/Q&gt;&lt;R&gt;1&lt;/R&gt;&lt;C&gt;1&lt;/C&gt;&lt;D xsi:type="xsd:double"&gt;1.8129066&lt;/D&gt;&lt;/FQL&gt;&lt;FQL&gt;&lt;Q&gt;CRS-US^P_BETA_LOCIDX(45649,45476,,"SPX")&lt;/Q&gt;&lt;R&gt;1&lt;/R&gt;&lt;C&gt;1&lt;/C&gt;&lt;D xsi:type="xsd:double"&gt;1.7269086&lt;/D&gt;&lt;/FQL&gt;&lt;FQL&gt;&lt;Q&gt;CRS-US^P_BETA_LOCIDX(45573,45399,,"SPX")&lt;/Q&gt;&lt;R&gt;1&lt;/R&gt;&lt;C&gt;1&lt;/C&gt;&lt;D xsi:type="xsd:double"&gt;1.3490527&lt;/D&gt;&lt;/FQL&gt;&lt;FQL&gt;&lt;Q&gt;CRS-US^P_BETA_LOCIDX(45425,45247,,"SPX")&lt;/Q&gt;&lt;R&gt;1&lt;/R&gt;&lt;C&gt;1&lt;/C&gt;&lt;D xsi:type="xsd:double"&gt;0.91923887&lt;/D&gt;&lt;/FQL&gt;&lt;FQL&gt;&lt;Q&gt;CRS-US^P_BETA_LOCIDX(45279,45106,,"SPX")&lt;/Q&gt;&lt;R&gt;1&lt;/R&gt;&lt;C&gt;1&lt;/C&gt;&lt;D xsi:type="xsd:double"&gt;1.3105012&lt;/D&gt;&lt;/FQL&gt;&lt;FQL&gt;&lt;Q&gt;CRS-US^P_BETA_LOCIDX(45167,44993,,"SPX")&lt;/Q&gt;&lt;R&gt;1&lt;/R&gt;&lt;C&gt;1&lt;/C&gt;&lt;D xsi:type="xsd:double"&gt;1.890445&lt;/D&gt;&lt;/FQL&gt;&lt;FQL&gt;&lt;Q&gt;CRS-US^P_BETA_LOCIDX(45113,44937,,"SPX")&lt;/Q&gt;&lt;R&gt;1&lt;/R&gt;&lt;C&gt;1&lt;/C&gt;&lt;D xsi:type="xsd:double"&gt;1.7732419&lt;/D&gt;&lt;/FQL&gt;&lt;FQL&gt;&lt;Q&gt;CRS-US^P_BETA_LOCIDX(45056,44880,,"SPX")&lt;/Q&gt;&lt;R&gt;1&lt;/R&gt;&lt;C&gt;1&lt;/C&gt;&lt;D xsi:type="xsd:double"&gt;1.668146&lt;/D&gt;&lt;/FQL&gt;&lt;FQL&gt;&lt;Q&gt;CRS-US^P_BETA_LOCIDX(45001,44826,,"SPX")&lt;/Q&gt;&lt;R&gt;1&lt;/R&gt;&lt;C&gt;1&lt;/C&gt;&lt;D xsi:type="xsd:double"&gt;1.4049438&lt;/D&gt;&lt;/FQL&gt;&lt;FQL&gt;&lt;Q&gt;CRS-US^P_BETA_LOCIDX(45896,45722,,"SPX")&lt;/Q&gt;&lt;R&gt;1&lt;/R&gt;&lt;C&gt;1&lt;/C&gt;&lt;D xsi:type="xsd:double"&gt;1.5789018&lt;/D&gt;&lt;/FQL&gt;&lt;FQL&gt;&lt;Q&gt;CRS-US^P_BETA_LOCIDX(45495,45320,,"SPX")&lt;/Q&gt;&lt;R&gt;1&lt;/R&gt;&lt;C&gt;1&lt;/C&gt;&lt;D xsi:type="xsd:double"&gt;1.0402148&lt;/D&gt;&lt;/FQL&gt;&lt;FQL&gt;&lt;Q&gt;CRS-US^P_BETA_LOCIDX(45163,44991,,"SPX")&lt;/Q&gt;&lt;R&gt;1&lt;/R&gt;&lt;C&gt;1&lt;/C&gt;&lt;D xsi:type="xsd:double"&gt;1.8638539&lt;/D&gt;&lt;/FQL&gt;&lt;FQL&gt;&lt;Q&gt;CRS-US^P_BETA_LOCIDX(45894,45720,,"SPX")&lt;/Q&gt;&lt;R&gt;1&lt;/R&gt;&lt;C&gt;1&lt;/C&gt;&lt;D xsi:type="xsd:double"&gt;1.5780606&lt;/D&gt;&lt;/FQL&gt;&lt;FQL&gt;&lt;Q&gt;CRS-US^P_BETA_LOCIDX(45041,44865,,"SPX")&lt;/Q&gt;&lt;R&gt;1&lt;/R&gt;&lt;C&gt;1&lt;/C&gt;&lt;D xsi:type="xsd:double"&gt;1.4388927&lt;/D&gt;&lt;/FQL&gt;&lt;FQL&gt;&lt;Q&gt;CRS-US^P_BETA_LOCIDX(45093,44917,,"SPX")&lt;/Q&gt;&lt;R&gt;1&lt;/R&gt;&lt;C&gt;1&lt;/C&gt;&lt;D xsi:type="xsd:double"&gt;1.8230524&lt;/D&gt;&lt;/FQL&gt;&lt;FQL&gt;&lt;Q&gt;CRS-US^P_BETA_LOCIDX(45594,45420,,"SPX")&lt;/Q&gt;&lt;R&gt;1&lt;/R&gt;&lt;C&gt;1&lt;/C&gt;&lt;D xsi:type="xsd:double"&gt;1.4904983&lt;/D&gt;&lt;/FQL&gt;&lt;FQL&gt;&lt;Q&gt;CRS-US^P_BETA_LOCIDX(45134,44959,,"SPX")&lt;/Q&gt;&lt;R&gt;1&lt;/R&gt;&lt;C&gt;1&lt;/C&gt;&lt;D xsi:type="xsd:double"&gt;1.8073114&lt;/D&gt;&lt;/FQL&gt;&lt;FQL&gt;&lt;Q&gt;CRS-US^P_BETA_LOCIDX(45021,44846,,"SPX")&lt;/Q&gt;&lt;R&gt;1&lt;/R&gt;&lt;C&gt;1&lt;/C&gt;&lt;D xsi:type="xsd:double"&gt;1.370999&lt;/D&gt;&lt;/FQL&gt;&lt;FQL&gt;&lt;Q&gt;CRS-US^P_BETA_LOCIDX(45931,45756,,"SPX")&lt;/Q&gt;&lt;R&gt;1&lt;/R&gt;&lt;C&gt;1&lt;/C&gt;&lt;D xsi:type="xsd:double"&gt;1.400716&lt;/D&gt;&lt;/FQL&gt;&lt;FQL&gt;&lt;Q&gt;CRS-US^P_BETA_LOCIDX(45187,45012,,"SPX")&lt;/Q&gt;&lt;R&gt;1&lt;/R&gt;&lt;C&gt;1&lt;/C&gt;&lt;D xsi:type="xsd:double"&gt;1.744487&lt;/D&gt;&lt;/FQL&gt;&lt;FQL&gt;&lt;Q&gt;CRS-US^P_BETA_LOCIDX(46010,45839,,"SPX")&lt;/Q&gt;&lt;R&gt;1&lt;/R&gt;&lt;C&gt;1&lt;/C&gt;&lt;D xsi:type="xsd:double"&gt;1.2417305&lt;/D&gt;&lt;/FQL&gt;&lt;FQL&gt;&lt;Q&gt;CRS-US^P_BETA_LOCIDX(45798,45621,,"SPX")&lt;/Q&gt;&lt;R&gt;1&lt;/R&gt;&lt;C&gt;1&lt;/C&gt;&lt;D xsi:type="xsd:double"&gt;1.6374083&lt;/D&gt;&lt;/FQL&gt;&lt;FQL&gt;&lt;Q&gt;CRS-US^P_BETA_LOCIDX(45722,45546,,"SPX")&lt;/Q&gt;&lt;R&gt;1&lt;/R&gt;&lt;C&gt;1&lt;/C&gt;&lt;D xsi:type="xsd:double"&gt;1.8097535&lt;/D&gt;&lt;/FQL&gt;&lt;FQL&gt;&lt;Q&gt;CRS-US^P_BETA_LOCIDX(45646,45475,,"SPX")&lt;/Q&gt;&lt;R&gt;1&lt;/R&gt;&lt;C&gt;1&lt;/C&gt;&lt;D xsi:type="xsd:double"&gt;1.7102932&lt;/D&gt;&lt;/FQL&gt;&lt;FQL&gt;&lt;Q&gt;CRS-US^P_BETA_LOCIDX(45565,45391,,"SPX")&lt;/Q&gt;&lt;R&gt;1&lt;/R&gt;&lt;C&gt;1&lt;/C&gt;&lt;D xsi:type="xsd:double"&gt;1.3891114&lt;/D&gt;&lt;/FQL&gt;&lt;FQL&gt;&lt;Q&gt;CRS-US^P_BETA_LOCIDX(45350,45175,,"SPX")&lt;/Q&gt;&lt;R&gt;1&lt;/R&gt;&lt;C&gt;1&lt;/C&gt;&lt;D xsi:type="xsd:double"&gt;1.2744616&lt;/D&gt;&lt;/FQL&gt;&lt;FQL&gt;&lt;Q&gt;CRS-US^P_BETA_LOCIDX(45278,45105,,"SPX")&lt;/Q&gt;&lt;R&gt;1&lt;/R&gt;&lt;C&gt;1&lt;/C&gt;&lt;D xsi:type="xsd:double"&gt;1.2970992&lt;/D&gt;&lt;/FQL&gt;&lt;FQL&gt;&lt;Q&gt;CRS-US^P_BETA_LOCIDX(45166,44992,,"SPX")&lt;/Q&gt;&lt;R&gt;1&lt;/R&gt;&lt;C&gt;1&lt;/C&gt;&lt;D xsi:type="xsd:double"&gt;1.8686386&lt;/D&gt;&lt;/FQL&gt;&lt;FQL&gt;&lt;Q&gt;CRS-US^P_BETA_LOCIDX(45112,44936,,"SPX")&lt;/Q&gt;&lt;R&gt;1&lt;/R&gt;&lt;C&gt;1&lt;/C&gt;&lt;D xsi:type="xsd:double"&gt;1.7841904&lt;/D&gt;&lt;/FQL&gt;&lt;FQL&gt;&lt;Q&gt;CRS-US^P_BETA_LOCIDX(45797,45618,,"SPX")&lt;/Q&gt;&lt;R&gt;1&lt;/R&gt;&lt;C&gt;1&lt;/C&gt;&lt;D xsi:type="xsd:double"&gt;1.6450657&lt;/D&gt;&lt;/FQL&gt;&lt;FQL&gt;&lt;Q&gt;CRS-US^P_BETA_LOCIDX(45562,45390,,"SPX")&lt;/Q&gt;&lt;R&gt;1&lt;/R&gt;&lt;C&gt;1&lt;/C&gt;&lt;D xsi:type="xsd:double"&gt;1.3879223&lt;/D&gt;&lt;/FQL&gt;&lt;FQL&gt;&lt;Q&gt;CRS-US^P_BETA_LOCIDX(45218,45044,,"SPX")&lt;/Q&gt;&lt;R&gt;1&lt;/R&gt;&lt;C&gt;1&lt;/C&gt;&lt;D xsi:type="xsd:double"&gt;1.4795843&lt;/D&gt;&lt;/FQL&gt;&lt;FQL&gt;&lt;Q&gt;CRS-US^P_BETA_LOCIDX(45054,44876,,"SPX")&lt;/Q&gt;&lt;R&gt;1&lt;/R&gt;&lt;C&gt;1&lt;/C&gt;&lt;D xsi:type="xsd:double"&gt;1.6360183&lt;/D&gt;&lt;/FQL&gt;&lt;FQL&gt;&lt;Q&gt;CRS-US^P_BETA_LOCIDX(45204,45030,,"SPX")&lt;/Q&gt;&lt;R&gt;1&lt;/R&gt;&lt;C&gt;1&lt;/C&gt;&lt;D xsi:type="xsd:double"&gt;1.5955955&lt;/D&gt;&lt;/FQL&gt;&lt;FQL&gt;&lt;Q&gt;CRS-US^P_BETA_LOCIDX(45077,44901,,"SPX")&lt;/Q&gt;&lt;R&gt;1&lt;/R&gt;&lt;C&gt;1&lt;/C&gt;&lt;D xsi:type="xsd:double"&gt;1.7869773&lt;/D&gt;&lt;/FQL&gt;&lt;FQL&gt;&lt;Q&gt;CRS-US^P_BETA_LOCIDX(45273,45100,,"SPX")&lt;/Q&gt;&lt;R&gt;1&lt;/R&gt;&lt;C&gt;1&lt;/C&gt;&lt;D xsi:type="xsd:double"&gt;1.2852415&lt;/D&gt;&lt;/FQL&gt;&lt;FQL&gt;&lt;Q&gt;CRS-US^P_BETA_LOCIDX(45622,45449,,"SPX")&lt;/Q&gt;&lt;R&gt;1&lt;/R&gt;&lt;C&gt;1&lt;/C&gt;&lt;D xsi:type="xsd:double"&gt;1.751364&lt;/D&gt;&lt;/FQL&gt;&lt;FQL&gt;&lt;Q&gt;CRS-US^P_BETA_LOCIDX(45637,45464,,"SPX")&lt;/Q&gt;&lt;R&gt;1&lt;/R&gt;&lt;C&gt;1&lt;/C&gt;&lt;D xsi:type="xsd:double"&gt;1.7262969&lt;/D&gt;&lt;/FQL&gt;&lt;FQL&gt;&lt;Q&gt;CRS-US^P_BETA_LOCIDX(44998,44823,,"SPX")&lt;/Q&gt;&lt;R&gt;1&lt;/R&gt;&lt;C&gt;1&lt;/C&gt;&lt;D xsi:type="xsd:double"&gt;1.4216126&lt;/D&gt;&lt;/FQL&gt;&lt;FQL&gt;&lt;Q&gt;CRS-US^P_BETA_LOCIDX(45854,45679,,"SPX")&lt;/Q&gt;&lt;R&gt;1&lt;/R&gt;&lt;C&gt;1&lt;/C&gt;&lt;D xsi:type="xsd:double"&gt;1.6290953&lt;/D&gt;&lt;/FQL&gt;&lt;FQL&gt;&lt;Q&gt;CRS-US^P_BETA_LOCIDX(45796,45617,,"SPX")&lt;/Q&gt;&lt;R&gt;1&lt;/R&gt;&lt;C&gt;1&lt;/C&gt;&lt;D xsi:type="xsd:double"&gt;1.6432581&lt;/D&gt;&lt;/FQL&gt;&lt;FQL&gt;&lt;Q&gt;CRS-US^P_BETA_LOCIDX(45720,45544,,"SPX")&lt;/Q&gt;&lt;R&gt;1&lt;/R&gt;&lt;C&gt;1&lt;/C&gt;&lt;D xsi:type="xsd:double"&gt;1.7068889&lt;/D&gt;&lt;/FQL&gt;&lt;FQL&gt;&lt;Q&gt;CRS-US^P_BETA_LOCIDX(45561,45387,,"SPX")&lt;/Q&gt;&lt;R&gt;1&lt;/R&gt;&lt;C&gt;1&lt;/C&gt;&lt;D xsi:type="xsd:double"&gt;1.3840675&lt;/D&gt;&lt;/FQL&gt;&lt;FQL&gt;&lt;Q&gt;CRS-US^P_BETA_LOCIDX(45491,45316,,"SPX")&lt;/Q&gt;&lt;R&gt;1&lt;/R&gt;&lt;C&gt;1&lt;/C&gt;&lt;D xsi:type="xsd:double"&gt;1.008361&lt;/D&gt;&lt;/FQL&gt;&lt;FQL&gt;&lt;Q&gt;CRS-US^P_BETA_LOCIDX(45421,45245,,"SPX")&lt;/Q&gt;&lt;R&gt;1&lt;/R&gt;&lt;C&gt;1&lt;/C&gt;&lt;D xsi:type="xsd:double"&gt;0.9141965&lt;/D&gt;&lt;/FQL&gt;&lt;FQL&gt;&lt;Q&gt;CRS-US^P_BETA_LOCIDX(45274,45103,,"SPX")&lt;/Q&gt;&lt;R&gt;1&lt;/R&gt;&lt;C&gt;1&lt;/C&gt;&lt;D xsi:type="xsd:double"&gt;1.2768995&lt;/D&gt;&lt;/FQL&gt;&lt;FQL&gt;&lt;Q&gt;CRS-US^P_BETA_LOCIDX(45216,45042,,"SPX")&lt;/Q&gt;&lt;R&gt;1&lt;/R&gt;&lt;C&gt;1&lt;/C&gt;&lt;D xsi:type="xsd:double"&gt;1.6965879&lt;/D&gt;&lt;/FQL&gt;&lt;FQL&gt;&lt;Q&gt;CRS-US^P_BETA_LOCIDX(45161,44987,,"SPX")&lt;/Q&gt;&lt;R&gt;1&lt;/R&gt;&lt;C&gt;1&lt;/C&gt;&lt;D xsi:type="xsd:double"&gt;1.8651935&lt;/D&gt;&lt;/FQL&gt;&lt;FQL&gt;&lt;Q&gt;CRS-US^P_BETA_LOCIDX(45107,44932,,"SPX")&lt;/Q&gt;&lt;R&gt;1&lt;/R&gt;&lt;C&gt;1&lt;/C&gt;&lt;D xsi:type="xsd:double"&gt;1.7905129&lt;/D&gt;&lt;/FQL&gt;&lt;FQL&gt;&lt;Q&gt;CRS-US^P_BETA_LOCIDX(45754,45576,,"SPX")&lt;/Q&gt;&lt;R&gt;1&lt;/R&gt;&lt;C&gt;1&lt;/C&gt;&lt;D xsi:type="xsd:double"&gt;1.8391054&lt;/D&gt;&lt;/FQL&gt;&lt;FQL&gt;&lt;Q&gt;CRS-US^P_BETA_LOCIDX(46006,45833,,"SPX")&lt;/Q&gt;&lt;R&gt;1&lt;/R&gt;&lt;C&gt;1&lt;/C&gt;&lt;D xsi:type="xsd:double"&gt;1.2492905&lt;/D&gt;&lt;/FQL&gt;&lt;FQL&gt;&lt;Q&gt;CRS-US^P_BETA_LOCIDX(45719,45541,,"SPX")&lt;/Q&gt;&lt;R&gt;1&lt;/R&gt;&lt;C&gt;1&lt;/C&gt;&lt;D xsi:type="xsd:double"&gt;1.7022421&lt;/D&gt;&lt;/FQL&gt;&lt;FQL&gt;&lt;Q&gt;CRS-US^P_BETA_LOCIDX(45629,45455,,"SPX")&lt;/Q&gt;&lt;R&gt;1&lt;/R&gt;&lt;C&gt;1&lt;/C&gt;&lt;D xsi:type="xsd:double"&gt;1.7428716&lt;/D&gt;&lt;/FQL&gt;&lt;FQL&gt;&lt;Q&gt;CRS-US^P_BETA_LOCIDX(45559,45385,,"SPX")&lt;/Q&gt;&lt;R&gt;1&lt;/R&gt;&lt;C&gt;1&lt;/C&gt;&lt;D xsi:type="xsd:double"&gt;1.3182226&lt;/D&gt;&lt;/FQL&gt;&lt;FQL&gt;&lt;Q&gt;CRS-US^P_BETA_LOCIDX(45490,45315,,"SPX")&lt;/Q&gt;&lt;R&gt;1&lt;/R&gt;&lt;C&gt;1&lt;/C&gt;&lt;D xsi:type="xsd:double"&gt;1.013585&lt;/D&gt;&lt;/FQL&gt;&lt;FQL&gt;&lt;Q&gt;CRS-US^P_BETA_LOCIDX(45412,45236,,"SPX")&lt;/Q&gt;&lt;R&gt;1&lt;/R&gt;&lt;C&gt;1&lt;/C&gt;&lt;D xsi:type="xsd:double"&gt;0.9845293&lt;/D&gt;&lt;/FQL&gt;&lt;FQL&gt;&lt;Q&gt;CRS-US^P_BETA_LOCIDX(45338,45163,,"SPX")&lt;/Q&gt;&lt;R&gt;1&lt;/R&gt;&lt;C&gt;1&lt;/C&gt;&lt;D xsi:type="xsd:double"&gt;1.3929898&lt;/D&gt;&lt;/FQL&gt;&lt;FQL&gt;&lt;Q&gt;CRS-US^P_BETA_LOCIDX(44995,44820,,"SPX")&lt;/Q&gt;&lt;R&gt;1&lt;/R&gt;&lt;C&gt;1&lt;/C&gt;&lt;D xsi:type="xsd:double"&gt;1.4250728&lt;/D&gt;&lt;/FQL&gt;&lt;FQL&gt;&lt;Q&gt;CRS-US^P_BETA_LOCIDX(45400,45224,,"SPX")&lt;/Q&gt;&lt;R&gt;1&lt;/R&gt;&lt;C&gt;1&lt;/C&gt;&lt;D xsi:type="xsd:double"&gt;0.9821409&lt;/D&gt;&lt;/FQL&gt;&lt;FQL&gt;&lt;Q&gt;CRS-US^P_BETA_LOCIDX(45890,45716,,"SPX")&lt;/Q&gt;&lt;R&gt;1&lt;/R&gt;&lt;C&gt;1&lt;/C&gt;&lt;D xsi:type="xsd:double"&gt;1.5779008&lt;/D&gt;&lt;/FQL&gt;&lt;FQL&gt;&lt;Q&gt;CRS-US^P_BETA_LOCIDX(45791,45614,,"SPX")&lt;/Q&gt;&lt;R&gt;1&lt;/R&gt;&lt;C&gt;1&lt;/C&gt;&lt;D xsi:type="xsd:double"&gt;1.6501757&lt;/D&gt;&lt;/FQL&gt;&lt;FQL&gt;&lt;Q&gt;CRS-US^P_BETA_LOCIDX(45716,45540,,"SPX")&lt;/Q&gt;&lt;R&gt;1&lt;/R&gt;&lt;C&gt;1&lt;/C&gt;&lt;D xsi:type="xsd:double"&gt;1.7580471&lt;/D&gt;&lt;/FQL&gt;&lt;FQL&gt;&lt;Q&gt;CRS-US^P_BETA_LOCIDX(45215,45041,,"SPX")&lt;/Q&gt;&lt;R&gt;1&lt;/R&gt;&lt;C&gt;1&lt;/C&gt;&lt;D xsi:type="xsd:double"&gt;1.6703423&lt;/D&gt;&lt;/FQL&gt;&lt;FQL&gt;&lt;Q&gt;CRS-US^P_BETA_LOCIDX(45160,44986,,"SPX")&lt;/Q&gt;&lt;R&gt;1&lt;/R&gt;&lt;C&gt;1&lt;/C&gt;&lt;D xsi:type="xsd:double"&gt;1.8337473&lt;/D&gt;&lt;/FQL&gt;&lt;FQL&gt;&lt;Q&gt;CRS-US^P_BETA_LOCIDX(45106,44931,,"SPX")&lt;/Q&gt;&lt;R&gt;1&lt;/R&gt;&lt;C&gt;1&lt;/C&gt;&lt;D xsi:type="xsd:double"&gt;1.7735937&lt;/D&gt;&lt;/FQL&gt;&lt;FQL&gt;&lt;Q&gt;CRS-US^P_BETA_LOCIDX(45554,45379,,"SPX")&lt;/Q&gt;&lt;R&gt;1&lt;/R&gt;&lt;C&gt;1&lt;/C&gt;&lt;D xsi:type="xsd:double"&gt;1.3260429&lt;/D&gt;&lt;/FQL&gt;&lt;FQL&gt;&lt;Q&gt;CRS-US^P_BETA_LOCIDX(45244,45070,,"SPX")&lt;/Q&gt;&lt;R&gt;1&lt;/R&gt;&lt;C&gt;1&lt;/C&gt;&lt;D xsi:type="xsd:double"&gt;1.3271589&lt;/D&gt;&lt;/FQL&gt;&lt;FQL&gt;&lt;Q&gt;CRS-US^P_BETA_LOCIDX(45370,45195,,"SPX")&lt;/Q&gt;&lt;R&gt;1&lt;/R&gt;&lt;C&gt;1&lt;/C&gt;&lt;D xsi:type="xsd:double"&gt;1.344879&lt;/D&gt;&lt;/FQL&gt;&lt;FQL&gt;&lt;Q&gt;CRS-US^P_BETA_LOCIDX(46003,45832,,"SPX")&lt;/Q&gt;&lt;R&gt;1&lt;/R&gt;&lt;C&gt;1&lt;/C&gt;&lt;D xsi:type="xsd:double"&gt;1.2546177&lt;/D&gt;&lt;/FQL&gt;&lt;FQL&gt;&lt;Q&gt;CRS-US^P_BETA_LOCIDX(45625,45453,,"SPX")&lt;/Q&gt;&lt;R&gt;1&lt;/R&gt;&lt;C&gt;1&lt;/C&gt;&lt;D xsi:type="xsd:double"&gt;1.7398641&lt;/D&gt;&lt;/FQL&gt;&lt;FQL&gt;&lt;Q&gt;CRS-US^P_BETA_LOCIDX(45555,45383,,"SPX")&lt;/Q&gt;&lt;R&gt;1&lt;/R&gt;&lt;C&gt;1&lt;/C&gt;&lt;D xsi:type="xsd:double"&gt;1.3234675&lt;/D&gt;&lt;/FQL&gt;&lt;FQL&gt;&lt;Q&gt;CRS-US^P_BETA_LOCIDX(45489,45314,,"SPX")&lt;/Q&gt;&lt;R&gt;1&lt;/R&gt;&lt;C&gt;1&lt;/C&gt;&lt;D xsi:type="xsd:double"&gt;0.94591594&lt;/D&gt;&lt;/FQL&gt;&lt;FQL&gt;&lt;Q&gt;CRS-US^P_BETA_LOCIDX(45335,45160,,"SPX")&lt;/Q&gt;&lt;R&gt;1&lt;/R&gt;&lt;C&gt;1&lt;/C&gt;&lt;D xsi:type="xsd:double"&gt;1.3228558&lt;/D&gt;&lt;/FQL&gt;&lt;FQL&gt;&lt;Q&gt;CRS-US^P_BETA_LOCIDX(45272,45099,,"SPX")&lt;/Q&gt;&lt;R&gt;1&lt;/R&gt;&lt;C&gt;1&lt;/C&gt;&lt;D xsi:type="xsd:double"&gt;1.2458763&lt;/D&gt;&lt;/FQL&gt;&lt;FQL&gt;&lt;Q&gt;CRS-US^P_BETA_LOCIDX(45049,44873,,"SPX")&lt;/Q&gt;&lt;R&gt;1&lt;/R&gt;&lt;C&gt;1&lt;/C&gt;&lt;D xsi:type="xsd:double"&gt;1.4450582&lt;/D&gt;&lt;/FQL&gt;&lt;FQL&gt;&lt;Q&gt;CRS-US^P_BETA_LOCIDX(44994,44819,,"SPX")&lt;/Q&gt;&lt;R&gt;1&lt;/R&gt;&lt;C&gt;1&lt;/C&gt;&lt;D xsi:type="xsd:double"&gt;1.3987714&lt;/D&gt;&lt;/FQL&gt;&lt;FQL&gt;&lt;Q&gt;CRS-US^P_BETA_LOCIDX(45097,44918,,"SPX")&lt;/Q&gt;&lt;R&gt;1&lt;/R&gt;&lt;C&gt;1&lt;/C&gt;&lt;D xsi:type="xsd:double"&gt;1.8212348&lt;/D&gt;&lt;/FQL&gt;&lt;FQL&gt;&lt;Q&gt;CRS-US^P_BETA_LOCIDX(45149,44974,,"SPX")&lt;/Q&gt;&lt;R&gt;1&lt;/R&gt;&lt;C&gt;1&lt;/C&gt;&lt;D xsi:type="xsd:double"&gt;1.8645467&lt;/D&gt;&lt;/FQL&gt;&lt;FQL&gt;&lt;Q&gt;CRS-US^P_BETA_LOCIDX(44985,44810,,"SPX")&lt;/Q&gt;&lt;R&gt;1&lt;/R&gt;&lt;C&gt;1&lt;/C&gt;&lt;D xsi:type="xsd:double"&gt;1.4290302&lt;/D&gt;&lt;/FQL&gt;&lt;FQL&gt;&lt;Q&gt;CRS-US^P_BETA_LOCIDX(45833,45656,,"SPX")&lt;/Q&gt;&lt;R&gt;1&lt;/R&gt;&lt;C&gt;1&lt;/C&gt;&lt;D xsi:type="xsd:double"&gt;1.6080997&lt;/D&gt;&lt;/FQL&gt;&lt;FQL&gt;&lt;Q&gt;CRS-US^P_BETA_LOCIDX(45999,45825,,"SPX")&lt;/Q&gt;&lt;R&gt;1&lt;/R&gt;&lt;C&gt;1&lt;/C&gt;&lt;D xsi:type="xsd:double"&gt;1.237555&lt;/D&gt;&lt;/FQL&gt;&lt;FQL&gt;&lt;Q&gt;CRS-US^P_BETA_LOCIDX(45889,45715,,"SPX")&lt;/Q&gt;&lt;R&gt;1&lt;/R&gt;&lt;C&gt;1&lt;/C&gt;&lt;D xsi:type="xsd:double"&gt;1.5672768&lt;/D&gt;&lt;/FQL&gt;&lt;FQL&gt;&lt;Q&gt;CRS-US^P_BETA_LOCIDX(45789,45610,,"SPX")&lt;/Q&gt;&lt;R&gt;1&lt;/R&gt;&lt;C&gt;1&lt;/C&gt;&lt;D xsi:type="xsd:double"&gt;1.6303203&lt;/D&gt;&lt;/FQL&gt;&lt;FQL&gt;&lt;Q&gt;CRS-US^P_BETA_LOCIDX(45707,45530,,"SPX")&lt;/Q&gt;&lt;R&gt;1&lt;/R&gt;&lt;C&gt;1&lt;/C&gt;&lt;D xsi:type="xsd:double"&gt;1.8385531&lt;/D&gt;&lt;/FQL&gt;&lt;FQL&gt;&lt;Q&gt;CRS-US^P_BETA_LOCIDX(45623,45450,,"SPX")&lt;/Q&gt;&lt;R&gt;1&lt;/R&gt;&lt;C&gt;1&lt;/C&gt;&lt;D xsi:type="xsd:double"&gt;1.7537518&lt;/D&gt;&lt;/FQL&gt;&lt;FQL&gt;&lt;Q&gt;CRS-US^P_BETA_LOCIDX(45488,45313,,"SPX")&lt;/Q&gt;&lt;R&gt;1&lt;/R&gt;&lt;C&gt;1&lt;/C&gt;&lt;D xsi:type="xsd:double"&gt;0.9114538&lt;/D&gt;&lt;/FQL&gt;&lt;FQL&gt;&lt;Q&gt;CRS-US^P_BETA_LOCIDX(45271,45098,,"SPX")&lt;/Q&gt;&lt;R&gt;1&lt;/R&gt;&lt;C&gt;1&lt;/C&gt;&lt;D xsi:type="xsd:double"&gt;1.2364477&lt;/D&gt;&lt;/FQL&gt;&lt;FQL&gt;&lt;Q&gt;CRS-US^P_BETA_LOCIDX(45212,45040,,"SPX")&lt;/Q&gt;&lt;R&gt;1&lt;/R&gt;&lt;C&gt;1&lt;/C&gt;&lt;D xsi:type="xsd:double"&gt;1.6847742&lt;/D&gt;&lt;/FQL&gt;&lt;FQL&gt;&lt;Q&gt;CRS-US^P_BETA_LOCIDX(45159,44985,,"SPX")&lt;/Q&gt;&lt;R&gt;1&lt;/R&gt;&lt;C&gt;1&lt;/C&gt;&lt;D xsi:type="xsd:double"&gt;1.8309382&lt;/D&gt;&lt;/FQL&gt;&lt;FQL&gt;&lt;Q&gt;CRS-US^P_BETA_LOCIDX(45104,44929,,"SPX")&lt;/Q&gt;&lt;R&gt;1&lt;/R&gt;&lt;C&gt;1&lt;/C&gt;&lt;D xsi:type="xsd:double"&gt;1.7917135&lt;/D&gt;&lt;/FQL&gt;&lt;FQL&gt;&lt;Q&gt;CRS-US^P_BETA_LOCIDX(45048,44872,,"SPX")&lt;/Q&gt;&lt;R&gt;1&lt;/R&gt;&lt;C&gt;1&lt;/C&gt;&lt;D xsi:type="xsd:double"&gt;1.4304389&lt;/D&gt;&lt;/FQL&gt;&lt;FQL&gt;&lt;Q&gt;CRS-US^P_BETA_LOCIDX(45188,45013,,"SPX")&lt;/Q&gt;&lt;R&gt;1&lt;/R&gt;&lt;C&gt;1&lt;/C&gt;&lt;D xsi:type="xsd:double"&gt;1.7408746&lt;/D&gt;&lt;/FQL&gt;&lt;FQL&gt;&lt;Q&gt;CRS-US^P_BETA_LOCIDX(45887,45713,,"SPX")&lt;/Q&gt;&lt;R&gt;1&lt;/R&gt;&lt;C&gt;1&lt;/C&gt;&lt;D xsi:type="xsd:double"&gt;1.5634414&lt;/D&gt;&lt;/FQL&gt;&lt;FQL&gt;&lt;Q&gt;CRS-US^P_BETA_LOCIDX(45786,45609,,"SPX")&lt;/Q&gt;&lt;R&gt;1&lt;/R&gt;&lt;C&gt;1&lt;/C&gt;&lt;D xsi:type="xsd:double"&gt;1.6711257&lt;/D&gt;&lt;/FQL&gt;&lt;FQL&gt;&lt;Q&gt;CRS-US^P_BETA_LOCIDX(45698,45520,,"SPX")&lt;/Q&gt;&lt;R&gt;1&lt;/R&gt;&lt;C&gt;1&lt;/C&gt;&lt;D xsi:type="xsd:double"&gt;1.858542&lt;/D&gt;&lt;/FQL&gt;&lt;FQL&gt;&lt;Q&gt;CRS-US^P_BETA_LOCIDX(45937,45762,,"SPX")&lt;/Q&gt;&lt;R&gt;1&lt;/R&gt;&lt;C&gt;1&lt;/C&gt;&lt;D xsi:type="xsd:double"&gt;1.1495438&lt;/D&gt;&lt;/FQL&gt;&lt;FQL&gt;&lt;Q&gt;CRS-US^P_BETA_LOCIDX(45785,45608,,"SPX")&lt;/Q&gt;&lt;R&gt;1&lt;/R&gt;&lt;C&gt;1&lt;/C&gt;&lt;D xsi:type="xsd:double"&gt;1.6721623&lt;/D&gt;&lt;/FQL&gt;&lt;FQL&gt;&lt;Q&gt;CRS-US^P_BETA_LOCIDX(45695,45519,,"SPX")&lt;/Q&gt;&lt;R&gt;1&lt;/R&gt;&lt;C&gt;1&lt;/C&gt;&lt;D xsi:type="xsd:double"&gt;1.8026348&lt;/D&gt;&lt;/FQL&gt;&lt;FQL&gt;&lt;Q&gt;CRS-US^P_BETA_LOCIDX(45621,45448,,"SPX")&lt;/Q&gt;&lt;R&gt;1&lt;/R&gt;&lt;C&gt;1&lt;/C&gt;&lt;D xsi:type="xsd:double"&gt;1.7522341&lt;/D&gt;&lt;/FQL&gt;&lt;FQL&gt;&lt;Q&gt;CRS-US^P_BETA_LOCIDX(45553,45378,,"SPX")&lt;/Q&gt;&lt;R&gt;1&lt;/R&gt;&lt;C&gt;1&lt;/C&gt;&lt;D xsi:type="xsd:double"&gt;1.2849042&lt;/D&gt;&lt;/FQL&gt;&lt;FQL&gt;&lt;Q&gt;CRS-US^P_BETA_LOCIDX(45476,45301,,"SPX")&lt;/Q&gt;&lt;R&gt;1&lt;/R&gt;&lt;C&gt;1&lt;/C&gt;&lt;D xsi:type="xsd:double"&gt;1.0352004&lt;/D&gt;&lt;/FQL&gt;&lt;FQL&gt;&lt;Q&gt;CRS-US^P_BETA_LOCIDX(45331,45156,,"SPX")&lt;/Q&gt;&lt;R&gt;1&lt;/R&gt;&lt;C&gt;1&lt;/C&gt;&lt;D xsi:type="xsd:double"&gt;1.2745268&lt;/D&gt;&lt;/FQL&gt;&lt;FQL&gt;&lt;Q&gt;CRS-US^P_BETA_LOCIDX(45268,45097,,"SPX")&lt;/Q&gt;&lt;R&gt;1&lt;/R&gt;&lt;C&gt;1&lt;/C&gt;&lt;D xsi:type="xsd:double"&gt;1.2318269&lt;/D&gt;&lt;/FQL&gt;&lt;FQL&gt;&lt;Q&gt;CRS-US^P_BETA_LOCIDX(44970,44795,,"SPX")&lt;/Q&gt;&lt;R&gt;1&lt;/R&gt;&lt;C&gt;1&lt;/C&gt;&lt;D xsi:type="xsd:double"&gt;1.4401625&lt;/D&gt;&lt;/FQL&gt;&lt;FQL&gt;&lt;Q&gt;CRS-US^P_BETA_LOCIDX(45672,45497,,"SPX")&lt;/Q&gt;&lt;R&gt;1&lt;/R&gt;&lt;C&gt;1&lt;/C&gt;&lt;D xsi:type="xsd:double"&gt;1.6722943&lt;/D&gt;&lt;/FQL&gt;&lt;FQL&gt;&lt;Q&gt;CRS-US^P_BETA_LOCIDX(45967,45793,,"SPX")&lt;/Q&gt;&lt;R&gt;1&lt;/R&gt;&lt;C&gt;1&lt;/C&gt;&lt;D xsi:type="xsd:double"&gt;1.1319523&lt;/D&gt;&lt;/FQL&gt;&lt;FQL&gt;&lt;Q&gt;CRS-US^P_BETA_LOCIDX(45868,45693,,"SPX")&lt;/Q&gt;&lt;R&gt;1&lt;/R&gt;&lt;C&gt;1&lt;/C&gt;&lt;D xsi:type="xsd:double"&gt;1.6263286&lt;/D&gt;&lt;/FQL&gt;&lt;FQL&gt;&lt;Q&gt;CRS-US^P_BETA_LOCIDX(45694,45518,,"SPX")&lt;/Q&gt;&lt;R&gt;1&lt;/R&gt;&lt;C&gt;1&lt;/C&gt;&lt;D xsi:type="xsd:double"&gt;1.8122447&lt;/D&gt;&lt;/FQL&gt;&lt;FQL&gt;&lt;Q&gt;CRS-US^P_BETA_LOCIDX(45552,45377,,"SPX")&lt;/Q&gt;&lt;R&gt;1&lt;/R&gt;&lt;C&gt;1&lt;/C&gt;&lt;D xsi:type="xsd:double"&gt;1.2936176&lt;/D&gt;&lt;/FQL&gt;&lt;FQL&gt;&lt;Q&gt;CRS-US^P_BETA_LOCIDX(45469,45294,,"SPX")&lt;/Q&gt;&lt;R&gt;1&lt;/R&gt;&lt;C&gt;1&lt;/C&gt;&lt;D xsi:type="xsd:double"&gt;1.087366&lt;/D&gt;&lt;/FQL&gt;&lt;FQL&gt;&lt;Q&gt;CRS-US^P_BETA_LOCIDX(45398,45222,,"SPX")&lt;/Q&gt;&lt;R&gt;1&lt;/R&gt;&lt;C&gt;1&lt;/C&gt;&lt;D xsi:type="xsd:double"&gt;1.0145782&lt;/D&gt;&lt;/FQL&gt;&lt;FQL&gt;&lt;Q&gt;CRS-US^P_BETA_LOCIDX(45260,45086,,"SPX")&lt;/Q&gt;&lt;R&gt;1&lt;/R&gt;&lt;C&gt;1&lt;/C&gt;&lt;D xsi:type="xsd:double"&gt;1.279066&lt;/D&gt;&lt;/FQL&gt;&lt;FQL&gt;&lt;Q&gt;CRS-US^P_BETA_LOCIDX(45148,44973,,"SPX")&lt;/Q&gt;&lt;R&gt;1&lt;/R&gt;&lt;C&gt;1&lt;/C&gt;&lt;D xsi:type="xsd:double"&gt;1.8502047&lt;/D&gt;&lt;/FQL&gt;&lt;FQL&gt;&lt;Q&gt;CRS-US^P_BETA_LOCIDX(45092,44916,,"SPX")&lt;/Q&gt;&lt;R&gt;1&lt;/R&gt;&lt;C&gt;1&lt;/C&gt;&lt;D xsi:type="xsd:double"&gt;1.8047857&lt;/D&gt;&lt;/FQL&gt;&lt;FQL&gt;&lt;Q&gt;CRS-US^P_BETA_LOCIDX(45040,44862,,"SPX")&lt;/Q&gt;&lt;R&gt;1&lt;/R&gt;&lt;C&gt;1&lt;/C&gt;&lt;D xsi:type="xsd:double"&gt;1.4004995&lt;/D&gt;&lt;/FQL&gt;&lt;FQL&gt;&lt;Q&gt;CRS-US^P_BETA_LOCIDX(45863,45688,,"SPX")&lt;/Q&gt;&lt;R&gt;1&lt;/R&gt;&lt;C&gt;1&lt;/C&gt;&lt;D xsi:type="xsd:double"&gt;1.625247&lt;/D&gt;&lt;/FQL&gt;&lt;FQL&gt;&lt;Q&gt;CRS-US^P_BETA_LOCIDX(45784,45607,,"SPX")&lt;/Q&gt;&lt;R&gt;1&lt;/R&gt;&lt;C&gt;1&lt;/C&gt;&lt;D xsi:type="xsd:double"&gt;1.6749948&lt;/D&gt;&lt;/FQL&gt;&lt;FQL&gt;&lt;Q&gt;CRS-US^P_BETA_LOCIDX(45693,45517,,"SPX")&lt;/Q&gt;&lt;R&gt;1&lt;/R&gt;&lt;C&gt;1&lt;/C&gt;&lt;D xsi:type="xsd:double"&gt;1.7792487&lt;/D&gt;&lt;/FQL&gt;&lt;FQL&gt;&lt;Q&gt;CRS-US^P_BETA_LOCIDX(45617,45446,,"SPX")&lt;/Q&gt;&lt;R&gt;1&lt;/R&gt;&lt;C&gt;1&lt;/C&gt;&lt;D xsi:type="xsd:double"&gt;1.7334747&lt;/D&gt;&lt;/FQL&gt;&lt;FQL&gt;&lt;Q&gt;CRS-US^P_BETA_LOCIDX(45467,45289,,"SPX")&lt;/Q&gt;&lt;R&gt;1&lt;/R&gt;&lt;C&gt;1&lt;/C&gt;&lt;D xsi:type="xsd:double"&gt;1.0962924&lt;/D&gt;&lt;/FQL&gt;&lt;FQL&gt;&lt;Q&gt;CRS-US^P_BETA_LOCIDX(45397,45219,,"SPX")&lt;/Q&gt;&lt;R&gt;1&lt;/R&gt;&lt;C&gt;1&lt;/C&gt;&lt;D xsi:type="xsd:double"&gt;1.0435297&lt;/D&gt;&lt;/FQL&gt;&lt;FQL&gt;&lt;Q&gt;CRS-US^P_BETA_LOCIDX(45330,45155,,"SPX")&lt;/Q&gt;&lt;R&gt;1&lt;/R&gt;&lt;C&gt;1&lt;/C&gt;&lt;D xsi:type="xsd:double"&gt;1.2791909&lt;/D&gt;&lt;/FQL&gt;&lt;FQL&gt;&lt;Q&gt;CRS-US^P_BETA_LOCIDX(45146,44971,,"SPX")&lt;/Q&gt;&lt;R&gt;1&lt;/R&gt;&lt;C&gt;1&lt;/C&gt;&lt;D xsi:type="xsd:double"&gt;1.8407964&lt;/D&gt;&lt;/FQL&gt;&lt;FQL&gt;&lt;Q&gt;CRS-US^P_BETA_LOCIDX(45090,44914,,"SPX")&lt;/Q&gt;&lt;R&gt;1&lt;/R&gt;&lt;C&gt;1&lt;/C&gt;&lt;D xsi:type="xsd:double"&gt;1.8252091&lt;/D&gt;&lt;/FQL&gt;&lt;FQL&gt;&lt;Q&gt;CRS-US^P_BETA_LOCIDX(45036,44860,,"SPX")&lt;/Q&gt;&lt;R&gt;1&lt;/R&gt;&lt;C&gt;1&lt;/C&gt;&lt;D xsi:type="xsd:double"&gt;1.4048098&lt;/D&gt;&lt;/FQL&gt;&lt;FQL&gt;&lt;Q&gt;CRS-US^P_BETA_LOCIDX(45523,45349,,"SPX")&lt;/Q&gt;&lt;R&gt;1&lt;/R&gt;&lt;C&gt;1&lt;/C&gt;&lt;D xsi:type="xsd:double"&gt;1.0481464&lt;/D&gt;&lt;/FQL&gt;&lt;FQL&gt;&lt;Q&gt;CRS-US^P_BETA_LOCIDX(45775,45596,,"SPX")&lt;/Q&gt;&lt;R&gt;1&lt;/R&gt;&lt;C&gt;1&lt;/C&gt;&lt;D xsi:type="xsd:double"&gt;1.7418977&lt;/D&gt;&lt;/FQL&gt;&lt;FQL&gt;&lt;Q&gt;CRS-US^P_BETA_LOCIDX(45692,45516,,"SPX")&lt;/Q&gt;&lt;R&gt;1&lt;/R&gt;&lt;C&gt;1&lt;/C&gt;&lt;D xsi:type="xsd:double"&gt;1.7812134&lt;/D&gt;&lt;/FQL&gt;&lt;FQL&gt;&lt;Q&gt;CRS-US^P_BETA_LOCIDX(45541,45366,,"SPX")&lt;/Q&gt;&lt;R&gt;1&lt;/R&gt;&lt;C&gt;1&lt;/C&gt;&lt;D xsi:type="xsd:double"&gt;1.2540246&lt;/D&gt;&lt;/FQL&gt;&lt;FQL&gt;&lt;Q&gt;CRS-US^P_BETA_LOCIDX(45394,45218,,"SPX")&lt;/Q&gt;&lt;R&gt;1&lt;/R&gt;&lt;C&gt;1&lt;/C&gt;&lt;D xsi:type="xsd:double"&gt;1.0417594&lt;/D&gt;&lt;/FQL&gt;&lt;FQL&gt;&lt;Q&gt;CRS-US^P_BETA_LOCIDX(45254,45082,,"SPX")&lt;/Q&gt;&lt;R&gt;1&lt;/R&gt;&lt;C&gt;1&lt;/C&gt;&lt;D xsi:type="xsd:double"&gt;1.270049&lt;/D&gt;&lt;/FQL&gt;&lt;FQL&gt;&lt;Q&gt;CRS-US^P_BETA_LOCIDX(45198,45026,,"SPX")&lt;/Q&gt;&lt;R&gt;1&lt;/R&gt;&lt;C&gt;1&lt;/C&gt;&lt;D xsi:type="xsd:double"&gt;1.5924488&lt;/D&gt;&lt;/FQL&gt;&lt;FQL&gt;&lt;Q&gt;CRS-US^P_BETA_LOCIDX(45033,44855,,"SPX")&lt;/Q&gt;&lt;R&gt;1&lt;/R&gt;&lt;C&gt;1&lt;/C&gt;&lt;D xsi:type="xsd:double"&gt;1.3986359&lt;/D&gt;&lt;/FQL&gt;&lt;FQL&gt;&lt;Q&gt;CRS-US^P_BETA_LOCIDX(44978,44802,,"SPX")&lt;/Q&gt;&lt;R&gt;1&lt;/R&gt;&lt;C&gt;1&lt;/C&gt;&lt;D xsi:type="xsd:double"&gt;1.4517646&lt;/D&gt;&lt;/FQL&gt;&lt;FQL&gt;&lt;Q&gt;CRS-US^P_BETA_LOCIDX(45022,44847,,"SPX")&lt;/Q&gt;&lt;R&gt;1&lt;/R&gt;&lt;C&gt;1&lt;/C&gt;&lt;D xsi:type="xsd:double"&gt;1.3719712&lt;/D&gt;&lt;/FQL&gt;&lt;FQL&gt;&lt;Q&gt;CRS-US^P_BETA_LOCIDX(45932,45757,,"SPX")&lt;/Q&gt;&lt;R&gt;1&lt;/R&gt;&lt;C&gt;1&lt;/C&gt;&lt;D xsi:type="xsd:double"&gt;1.1671274&lt;/D&gt;&lt;/FQL&gt;&lt;FQL&gt;&lt;Q&gt;CRS-US^P_BETA_LOCIDX(45961,45789,,"SPX")&lt;/Q&gt;&lt;R&gt;1&lt;/R&gt;&lt;C&gt;1&lt;/C&gt;&lt;D xsi:type="xsd:double"&gt;1.0721475&lt;/D&gt;&lt;/FQL&gt;&lt;FQL&gt;&lt;Q&gt;CRS-US^P_BETA_LOCIDX(45861,45686,,"SPX")&lt;/Q&gt;&lt;R&gt;1&lt;/R&gt;&lt;C&gt;1&lt;/C&gt;&lt;D xsi:type="xsd:double"&gt;1.6065916&lt;/D&gt;&lt;/FQL&gt;&lt;FQL&gt;&lt;Q&gt;CRS-US^P_BETA_LOCIDX(45764,45588,,"SPX")&lt;/Q&gt;&lt;R&gt;1&lt;/R&gt;&lt;C&gt;1&lt;/C&gt;&lt;D xsi:type="xsd:double"&gt;1.7209628&lt;/D&gt;&lt;/FQL&gt;&lt;FQL&gt;&lt;Q&gt;CRS-US^P_BETA_LOCIDX(45616,45443,,"SPX")&lt;/Q&gt;&lt;R&gt;1&lt;/R&gt;&lt;C&gt;1&lt;/C&gt;&lt;D xsi:type="xsd:double"&gt;1.7257577&lt;/D&gt;&lt;/FQL&gt;&lt;FQL&gt;&lt;Q&gt;CRS-US^P_BETA_LOCIDX(45464,45288,,"SPX")&lt;/Q&gt;&lt;R&gt;1&lt;/R&gt;&lt;C&gt;1&lt;/C&gt;&lt;D xsi:type="xsd:double"&gt;1.0912503&lt;/D&gt;&lt;/FQL&gt;&lt;FQL&gt;&lt;Q&gt;CRS-US^P_BETA_LOCIDX(45393,45217,,"SPX")&lt;/Q&gt;&lt;R&gt;1&lt;/R&gt;&lt;C&gt;1&lt;/C&gt;&lt;D xsi:type="xsd:double"&gt;1.0712556&lt;/D&gt;&lt;/FQL&gt;&lt;FQL&gt;&lt;Q&gt;CRS-US^P_BETA_LOCIDX(45329,45154,,"SPX")&lt;/Q&gt;&lt;R&gt;1&lt;/R&gt;&lt;C&gt;1&lt;/C&gt;&lt;D xsi:type="xsd:double"&gt;1.2599244&lt;/D&gt;&lt;/FQL&gt;&lt;FQL&gt;&lt;Q&gt;CRS-US^P_BETA_LOCIDX(45196,45021,,"SPX")&lt;/Q&gt;&lt;R&gt;1&lt;/R&gt;&lt;C&gt;1&lt;/C&gt;&lt;D xsi:type="xsd:double"&gt;1.6108434&lt;/D&gt;&lt;/FQL&gt;&lt;FQL&gt;&lt;Q&gt;CRS-US^P_BETA_LOCIDX(45141,44966,,"SPX")&lt;/Q&gt;&lt;R&gt;1&lt;/R&gt;&lt;C&gt;1&lt;/C&gt;&lt;D xsi:type="xsd:double"&gt;1.8282424&lt;/D&gt;&lt;/FQL&gt;&lt;FQL&gt;&lt;Q&gt;CRS-US^P_BETA_LOCIDX(45030,44854,,"SPX")&lt;/Q&gt;&lt;R&gt;1&lt;/R&gt;&lt;C&gt;1&lt;/C&gt;&lt;D xsi:type="xsd:double"&gt;1.3904465&lt;/D&gt;&lt;/FQL&gt;&lt;FQL&gt;&lt;Q&gt;CRS-US^P_BETA_LOCIDX(44974,44799,,"SPX")&lt;/Q&gt;&lt;R&gt;1&lt;/R&gt;&lt;C&gt;1&lt;/C&gt;&lt;D xsi:type="xsd:double"&gt;1.4274516&lt;/D&gt;&lt;/FQL&gt;&lt;FQL&gt;&lt;Q&gt;CRS-US^P_BETA_LOCIDX(45455,45279,,"SPX")&lt;/Q&gt;&lt;R&gt;1&lt;/R&gt;&lt;C&gt;1&lt;/C&gt;&lt;D xsi:type="xsd:double"&gt;1.0368633&lt;/D&gt;&lt;/FQL&gt;&lt;FQL&gt;&lt;Q&gt;CRS-US^P_BETA_LOCIDX(45960,45786,,"SPX")&lt;/Q&gt;&lt;R&gt;1&lt;/R&gt;&lt;C&gt;1&lt;/C&gt;&lt;D xsi:type="xsd:double"&gt;1.0694578&lt;/D&gt;&lt;/FQL&gt;&lt;FQL&gt;&lt;Q&gt;CRS-US^P_BETA_LOCIDX(45762,45586,,"SPX")&lt;/Q&gt;&lt;R&gt;1&lt;/R&gt;&lt;C&gt;1&lt;/C&gt;&lt;D xsi:type="xsd:double"&gt;1.7390577&lt;/D&gt;&lt;/FQL&gt;&lt;FQL&gt;&lt;Q&gt;CRS-US^P_BETA_LOCIDX(45532,45358,,"SPX")&lt;/Q&gt;&lt;R&gt;1&lt;/R&gt;&lt;C&gt;1&lt;/C&gt;&lt;D xsi:type="xsd:double"&gt;1.0614066&lt;/D&gt;&lt;/FQL&gt;&lt;FQL&gt;&lt;Q&gt;CRS-US^P_BETA_LOCIDX(45321,45146,,"SPX")&lt;/Q&gt;&lt;R&gt;1&lt;/R&gt;&lt;C&gt;1&lt;/C&gt;&lt;D xsi:type="xsd:double"&gt;1.2976992&lt;/D&gt;&lt;/FQL&gt;&lt;FQL&gt;&lt;Q&gt;CRS-US^P_BETA_LOCIDX(45195,45020,,"SPX")&lt;/Q&gt;&lt;R&gt;1&lt;/R&gt;&lt;C&gt;1&lt;/C&gt;&lt;D xsi:type="xsd:double"&gt;1.645097&lt;/D&gt;&lt;/FQL&gt;&lt;FQL&gt;&lt;Q&gt;CRS-US^P_BETA_LOCIDX(45140,44965,,"SPX")&lt;/Q&gt;&lt;R&gt;1&lt;/R&gt;&lt;C&gt;1&lt;/C&gt;&lt;D xsi:type="xsd:double"&gt;1.8156362&lt;/D&gt;&lt;/FQL&gt;&lt;FQL&gt;&lt;Q&gt;CRS-US^P_BETA_LOCIDX(45085,44909,,"SPX")&lt;/Q&gt;&lt;R&gt;1&lt;/R&gt;&lt;C&gt;1&lt;/C&gt;&lt;D xsi:type="xsd:double"&gt;1.8441939&lt;/D&gt;&lt;/FQL&gt;&lt;FQL&gt;&lt;Q&gt;CRS-US^P_BETA_LOCIDX(45663,45489,,"SPX")&lt;/Q&gt;&lt;R&gt;1&lt;/R&gt;&lt;C&gt;1&lt;/C&gt;&lt;D xsi:type="xsd:double"&gt;1.7525542&lt;/D&gt;&lt;/FQL&gt;&lt;FQL&gt;&lt;Q&gt;CRS-US^P_BETA_LOCIDX(45859,45684,,"SPX")&lt;/Q&gt;&lt;R&gt;1&lt;/R&gt;&lt;C&gt;1&lt;/C&gt;&lt;D xsi:type="xsd:double"&gt;1.6338533&lt;/D&gt;&lt;/FQL&gt;&lt;FQL&gt;&lt;Q&gt;CRS-US^P_BETA_LOCIDX(45687,45511,,"SPX")&lt;/Q&gt;&lt;R&gt;1&lt;/R&gt;&lt;C&gt;1&lt;/C&gt;&lt;D xsi:type="xsd:double"&gt;1.8052101&lt;/D&gt;&lt;/FQL&gt;&lt;FQL&gt;&lt;Q&gt;CRS-US^P_BETA_LOCIDX(45614,45441,,"SPX")&lt;/Q&gt;&lt;R&gt;1&lt;/R&gt;&lt;C&gt;1&lt;/C&gt;&lt;D xsi:type="xsd:double"&gt;1.7122743&lt;/D&gt;&lt;/FQL&gt;&lt;FQL&gt;&lt;Q&gt;CRS-US^P_BETA_LOCIDX(45531,45357,,"SPX")&lt;/Q&gt;&lt;R&gt;1&lt;/R&gt;&lt;C&gt;1&lt;/C&gt;&lt;D xsi:type="xsd:double"&gt;1.0524929&lt;/D&gt;&lt;/FQL&gt;&lt;FQL&gt;&lt;Q&gt;CRS-US^P_BETA_LOCIDX(45461,45286,,"SPX")&lt;/Q&gt;&lt;R&gt;1&lt;/R&gt;&lt;C&gt;1&lt;/C&gt;&lt;D xsi:type="xsd:double"&gt;1.0822216&lt;/D&gt;&lt;/FQL&gt;&lt;FQL&gt;&lt;Q&gt;CRS-US^P_BETA_LOCIDX(45392,45216,,"SPX")&lt;/Q&gt;&lt;R&gt;1&lt;/R&gt;&lt;C&gt;1&lt;/C&gt;&lt;D xsi:type="xsd:double"&gt;1.0582987&lt;/D&gt;&lt;/FQL&gt;&lt;FQL&gt;&lt;Q&gt;CRS-US^P_BETA_LOCIDX(45320,45145,,"SPX")&lt;/Q&gt;&lt;R&gt;1&lt;/R&gt;&lt;C&gt;1&lt;/C&gt;&lt;D xsi:type="xsd:double"&gt;1.3194741&lt;/D&gt;&lt;/FQL&gt;&lt;FQL&gt;&lt;Q&gt;CRS-US^P_BETA_LOCIDX(45250,45077,,"SPX")&lt;/Q&gt;&lt;R&gt;1&lt;/R&gt;&lt;C&gt;1&lt;/C&gt;&lt;D xsi:type="xsd:double"&gt;1.323027&lt;/D&gt;&lt;/FQL&gt;&lt;FQL&gt;&lt;Q&gt;CRS-US^P_BETA_LOCIDX(45029,44853,,"SPX")&lt;/Q&gt;&lt;R&gt;1&lt;/R&gt;&lt;C&gt;1&lt;/C&gt;&lt;D xsi:type="xsd:double"&gt;1.390318&lt;/D&gt;&lt;/FQL&gt;&lt;FQL&gt;&lt;Q&gt;CRS-US^P_BETA_LOCIDX(44973,44798,,"SPX")&lt;/Q&gt;&lt;R&gt;1&lt;/R&gt;&lt;C&gt;1&lt;/C&gt;&lt;D xsi:type="xsd:double"&gt;1.4238088&lt;/D&gt;&lt;/FQL&gt;&lt;FQL&gt;&lt;Q&gt;CRS-US^P_BETA_LOCIDX(45307,45132,,"SPX")&lt;/Q&gt;&lt;R&gt;1&lt;/R&gt;&lt;C&gt;1&lt;/C&gt;&lt;D xsi:type="xsd:double"&gt;1.2850666&lt;/D&gt;&lt;/FQL&gt;&lt;FQL&gt;&lt;Q&gt;CRS-US^P_BETA_LOCIDX(45959,45785,,"SPX")&lt;/Q&gt;&lt;R&gt;1&lt;/R&gt;&lt;C&gt;1&lt;/C&gt;&lt;D xsi:type="xsd:double"&gt;1.0526973&lt;/D&gt;&lt;/FQL&gt;&lt;FQL&gt;&lt;Q&gt;CRS-US^P_BETA_LOCIDX(45856,45681,,"SPX")&lt;/Q&gt;&lt;R&gt;1&lt;/R&gt;&lt;C&gt;1&lt;/C&gt;&lt;D xsi:type="xsd:double"&gt;1.6356448&lt;/D&gt;&lt;/FQL&gt;&lt;FQL&gt;&lt;Q&gt;CRS-US^P_BETA_LOCIDX(45761,45583,,"SPX")&lt;/Q&gt;&lt;R&gt;1&lt;/R&gt;&lt;C&gt;1&lt;/C&gt;&lt;D xsi:type="xsd:double"&gt;1.73686&lt;/D&gt;&lt;/FQL&gt;&lt;FQL&gt;&lt;Q&gt;CRS-US^P_BETA_LOCIDX(45604,45432,,"SPX")&lt;/Q&gt;&lt;R&gt;1&lt;/R&gt;&lt;C&gt;1&lt;/C&gt;&lt;D xsi:type="xsd:double"&gt;1.7536659&lt;/D&gt;&lt;/FQL&gt;&lt;FQL&gt;&lt;Q&gt;CRS-US^P_BETA_LOCIDX(45530,45356,,"SPX")&lt;/Q&gt;&lt;R&gt;1&lt;/R&gt;&lt;C&gt;1&lt;/C&gt;&lt;D xsi:type="xsd:double"&gt;1.0761731&lt;/D&gt;&lt;/FQL&gt;&lt;FQL&gt;&lt;Q&gt;CRS-US^P_BETA_LOCIDX(45457,45281,,"SPX")&lt;/Q&gt;&lt;R&gt;1&lt;/R&gt;&lt;C&gt;1&lt;/C&gt;&lt;D xsi:type="xsd:double"&gt;1.0656332&lt;/D&gt;&lt;/FQL&gt;&lt;FQL&gt;&lt;Q&gt;CRS-US^P_BETA_LOCIDX(45391,45215,,"SPX")&lt;/Q&gt;&lt;R&gt;1&lt;/R&gt;&lt;C&gt;1&lt;/C&gt;&lt;D xsi:type="xsd:double"&gt;1.0103153&lt;/D&gt;&lt;/FQL&gt;&lt;FQL&gt;&lt;Q&gt;CRS-US^P_BETA_LOCIDX(45028,44852,,"SPX")&lt;/Q&gt;&lt;R&gt;1&lt;/R&gt;&lt;C&gt;1&lt;/C&gt;&lt;D xsi:type="xsd:double"&gt;1.3799256&lt;/D&gt;&lt;/FQL&gt;&lt;FQL&gt;&lt;Q&gt;CRS-US^P_BETA_LOCIDX(44972,44797,,"SPX")&lt;/Q&gt;&lt;R&gt;1&lt;/R&gt;&lt;C&gt;1&lt;/C&gt;&lt;D xsi:type="xsd:double"&gt;1.4266304&lt;/D&gt;&lt;/FQL&gt;&lt;FQL&gt;&lt;Q&gt;CRS-US^P_BETA_LOCIDX(45189,45014,,"SPX")&lt;/Q&gt;&lt;R&gt;1&lt;/R&gt;&lt;C&gt;1&lt;/C&gt;&lt;D xsi:type="xsd:double"&gt;1.7150825&lt;/D&gt;&lt;/FQL&gt;&lt;FQL&gt;&lt;Q&gt;CRS-US^P_BETA_LOCIDX(44967,44792,,"SPX")&lt;/Q&gt;&lt;R&gt;1&lt;/R&gt;&lt;C&gt;1&lt;/C&gt;&lt;D xsi:type="xsd:double"&gt;1.4358592&lt;/D&gt;&lt;/FQL&gt;&lt;FQL&gt;&lt;Q&gt;CRS-US^P_BETA_LOCIDX(45751,45575,,"SPX")&lt;/Q&gt;&lt;R&gt;1&lt;/R&gt;&lt;C&gt;1&lt;/C&gt;&lt;D xsi:type="xsd:double"&gt;1.8398297&lt;/D&gt;&lt;/FQL&gt;&lt;FQL&gt;&lt;Q&gt;CRS-US^P_BETA_LOCIDX(45758,45582,,"SPX")&lt;/Q&gt;&lt;R&gt;1&lt;/R&gt;&lt;C&gt;1&lt;/C&gt;&lt;D xsi:type="xsd:double"&gt;1.7379372&lt;/D&gt;&lt;/FQL&gt;&lt;FQL&gt;&lt;Q&gt;CRS-US^P_BETA_LOCIDX(45685,45509,,"SPX")&lt;/Q&gt;&lt;R&gt;1&lt;/R&gt;&lt;C&gt;1&lt;/C&gt;&lt;D xsi:type="xsd:double"&gt;1.7700412&lt;/D&gt;&lt;/FQL&gt;&lt;FQL&gt;&lt;Q&gt;CRS-US^P_BETA_LOCIDX(45603,45429,,"SPX")&lt;/Q&gt;&lt;R&gt;1&lt;/R&gt;&lt;C&gt;1&lt;/C&gt;&lt;D xsi:type="xsd:double"&gt;1.7522151&lt;/D&gt;&lt;/FQL&gt;&lt;FQL&gt;&lt;Q&gt;CRS-US^P_BETA_LOCIDX(45527,45355,,"SPX")&lt;/Q&gt;&lt;R&gt;1&lt;/R&gt;&lt;C&gt;1&lt;/C&gt;&lt;D xsi:type="xsd:double"&gt;1.0745091&lt;/D&gt;&lt;/FQL&gt;&lt;FQL&gt;&lt;Q&gt;CRS-US^P_BETA_LOCIDX(45390,45212,,"SPX")&lt;/Q&gt;&lt;R&gt;1&lt;/R&gt;&lt;C&gt;1&lt;/C&gt;&lt;D xsi:type="xsd:double"&gt;1.0554383&lt;/D&gt;&lt;/FQL&gt;&lt;FQL&gt;&lt;Q&gt;CRS-US^P_BETA_LOCIDX(45246,45072,,"SPX")&lt;/Q&gt;&lt;R&gt;1&lt;/R&gt;&lt;C&gt;1&lt;/C&gt;&lt;D xsi:type="xsd:double"&gt;1.3018855&lt;/D&gt;&lt;/FQL&gt;&lt;FQL&gt;&lt;Q&gt;CRS-US^P_BETA_LOCIDX(45191,45016,,"SPX")&lt;/Q&gt;&lt;R&gt;1&lt;/R&gt;&lt;C&gt;1&lt;/C&gt;&lt;D xsi:type="xsd:double"&gt;1.6389233&lt;/D&gt;&lt;/FQL&gt;&lt;FQL&gt;&lt;Q&gt;CRS-US^P_BETA_LOCIDX(45138,44963,,"SPX")&lt;/Q&gt;&lt;R&gt;1&lt;/R&gt;&lt;C&gt;1&lt;/C&gt;&lt;D xsi:type="xsd:double"&gt;1.8276963&lt;/D&gt;&lt;/FQL&gt;&lt;FQL&gt;&lt;Q&gt;CRS-US^P_BETA_LOCIDX(45083,44907,,"SPX")&lt;/Q&gt;&lt;R&gt;1&lt;/R&gt;&lt;C&gt;1&lt;/C&gt;&lt;D xsi:type="xsd:double"&gt;1.8557185&lt;/D&gt;&lt;/FQL&gt;&lt;FQL&gt;&lt;Q&gt;CRS-US^P_BETA_LOCIDX(45958,45784,,"SPX")&lt;/Q&gt;&lt;R&gt;1&lt;/R&gt;&lt;C&gt;1&lt;/C&gt;&lt;D xsi:type="xsd:double"&gt;1.0650686&lt;/D&gt;&lt;/FQL&gt;&lt;FQL&gt;&lt;Q&gt;CRS-US^P_BETA_LOCIDX(45855,45680,,"SPX")&lt;/Q&gt;&lt;R&gt;1&lt;/R&gt;&lt;C&gt;1&lt;/C&gt;&lt;D xsi:type="xsd:double"&gt;1.6381181&lt;/D&gt;&lt;/FQL&gt;&lt;FQL&gt;&lt;Q&gt;CRS-US^P_BETA_LOCIDX(45526,45352,,"SPX")&lt;/Q&gt;&lt;R&gt;1&lt;/R&gt;&lt;C&gt;1&lt;/C&gt;&lt;D xsi:type="xsd:double"&gt;1.078671&lt;/D&gt;&lt;/FQL&gt;&lt;FQL&gt;&lt;Q&gt;CRS-US^P_BETA_LOCIDX(45456,45280,,"SPX")&lt;/Q&gt;&lt;R&gt;1&lt;/R&gt;&lt;C&gt;1&lt;/C&gt;&lt;D xsi:type="xsd:double"&gt;1.0239122&lt;/D&gt;&lt;/FQL&gt;&lt;FQL&gt;&lt;Q&gt;CRS-US^P_BETA_LOCIDX(45379,45204,,"SPX")&lt;/Q&gt;&lt;R&gt;1&lt;/R&gt;&lt;C&gt;1&lt;/C&gt;&lt;D xsi:type="xsd:double"&gt;1.2897894&lt;/D&gt;&lt;/FQL&gt;&lt;FQL&gt;&lt;Q&gt;CRS-US^P_BETA_LOCIDX(45309,45134,,"SPX")&lt;/Q&gt;&lt;R&gt;1&lt;/R&gt;&lt;C&gt;1&lt;/C&gt;&lt;D xsi:type="xsd:double"&gt;1.3289737&lt;/D&gt;&lt;/FQL&gt;&lt;FQL&gt;&lt;Q&gt;CRS-US^P_BETA_LOCIDX(45190,45015,,"SPX")&lt;/Q&gt;&lt;R&gt;1&lt;/R&gt;&lt;C&gt;1&lt;/C&gt;&lt;D xsi:type="xsd:double"&gt;1.6368679&lt;/D&gt;&lt;/FQL&gt;&lt;FQL&gt;&lt;Q&gt;CRS-US^P_BETA_LOCIDX(45135,44960,,"SPX")&lt;/Q&gt;&lt;R&gt;1&lt;/R&gt;&lt;C&gt;1&lt;/C&gt;&lt;D xsi:type="xsd:double"&gt;1.7964025&lt;/D&gt;&lt;/FQL&gt;&lt;FQL&gt;&lt;Q&gt;CRS-US^P_BETA_LOCIDX(45079,44903,,"SPX")&lt;/Q&gt;&lt;R&gt;1&lt;/R&gt;&lt;C&gt;1&lt;/C&gt;&lt;D xsi:type="xsd:double"&gt;1.8660996&lt;/D&gt;&lt;/FQL&gt;&lt;FQL&gt;&lt;Q&gt;CRS-US^P_BETA_LOCIDX(45026,44848,,"SPX")&lt;/Q&gt;&lt;R&gt;1&lt;/R&gt;&lt;C&gt;1&lt;/C&gt;&lt;D xsi:type="xsd:double"&gt;1.3915224&lt;/D&gt;&lt;/FQL&gt;&lt;FQL&gt;&lt;Q&gt;CRS-US^P_BETA_LOCIDX(45954,45782,,"SPX")&lt;/Q&gt;&lt;R&gt;1&lt;/R&gt;&lt;C&gt;1&lt;/C&gt;&lt;D xsi:type="xsd:double"&gt;1.0932714&lt;/D&gt;&lt;/FQL&gt;&lt;FQL&gt;&lt;Q&gt;CRS-US^P_BETA_LOCIDX(45684,45506,,"SPX")&lt;/Q&gt;&lt;R&gt;1&lt;/R&gt;&lt;C&gt;1&lt;/C&gt;&lt;D xsi:type="xsd:double"&gt;1.8032584&lt;/D&gt;&lt;/FQL&gt;&lt;FQL&gt;&lt;Q&gt;CRS-US^P_BETA_LOCIDX(45078,44902,,"SPX")&lt;/Q&gt;&lt;R&gt;1&lt;/R&gt;&lt;C&gt;1&lt;/C&gt;&lt;D xsi:type="xsd:double"&gt;1.82823&lt;/D&gt;&lt;/FQL&gt;&lt;FQL&gt;&lt;Q&gt;CRS-US^P_BETA_LOCIDX(45058,44882,,"SPX")&lt;/Q&gt;&lt;R&gt;1&lt;/R&gt;&lt;C&gt;1&lt;/C&gt;&lt;D xsi:type="xsd:double"&gt;1.6694431&lt;/D&gt;&lt;/FQL&gt;&lt;FQL&gt;&lt;Q&gt;CRS-US^P_BETA_LOCIDX(45519,45345,,"SPX")&lt;/Q&gt;&lt;R&gt;1&lt;/R&gt;&lt;C&gt;1&lt;/C&gt;&lt;D xsi:type="xsd:double"&gt;1.0654113&lt;/D&gt;&lt;/FQL&gt;&lt;FQL&gt;&lt;Q&gt;CRS-US^P_BETA_LOCIDX(45013,44838,,"SPX")&lt;/Q&gt;&lt;R&gt;1&lt;/R&gt;&lt;C&gt;1&lt;/C&gt;&lt;D xsi:type="xsd:double"&gt;1.3601117&lt;/D&gt;&lt;/FQL&gt;&lt;FQL&gt;&lt;Q&gt;CRS-US^P_BETA_LOCIDX(45518,45344,,"SPX")&lt;/Q&gt;&lt;R&gt;1&lt;/R&gt;&lt;C&gt;1&lt;/C&gt;&lt;D xsi:type="xsd:double"&gt;1.0444074&lt;/D&gt;&lt;/FQL&gt;&lt;FQL&gt;&lt;Q&gt;CRS-US^P_BETA_LOCIDX(45510,45335,,"SPX")&lt;/Q&gt;&lt;R&gt;1&lt;/R&gt;&lt;C&gt;1&lt;/C&gt;&lt;D xsi:type="xsd:double"&gt;1.124268&lt;/D&gt;&lt;/FQL&gt;&lt;FQL&gt;&lt;Q&gt;CRS-US^P_BETA_LOCIDX(45826,45649,,"SPX")&lt;/Q&gt;&lt;R&gt;1&lt;/R&gt;&lt;C&gt;1&lt;/C&gt;&lt;D xsi:type="xsd:double"&gt;1.609098&lt;/D&gt;&lt;/FQL&gt;&lt;FQL&gt;&lt;Q&gt;CRS-US^P_BETA_LOCIDX(44966,44791,,"SPX")&lt;/Q&gt;&lt;R&gt;1&lt;/R&gt;&lt;C&gt;1&lt;/C&gt;&lt;D xsi:type="xsd:double"&gt;1.4380776&lt;/D&gt;&lt;/FQL&gt;&lt;FQL&gt;&lt;Q&gt;CRS-US^P_BETA_LOCIDX(45446,45268,,"SPX")&lt;/Q&gt;&lt;R&gt;1&lt;/R&gt;&lt;C&gt;1&lt;/C&gt;&lt;D xsi:type="xsd:double"&gt;1.0580419&lt;/D&gt;&lt;/FQL&gt;&lt;FQL&gt;&lt;Q&gt;CRS-US^P_BETA_LOCIDX(45180,45005,,"SPX")&lt;/Q&gt;&lt;R&gt;1&lt;/R&gt;&lt;C&gt;1&lt;/C&gt;&lt;D xsi:type="xsd:double"&gt;1.7331421&lt;/D&gt;&lt;/FQL&gt;&lt;FQL&gt;&lt;Q&gt;CRS-US^P_BETA_LOCIDX(45434,45259,,"SPX")&lt;/Q&gt;&lt;R&gt;1&lt;/R&gt;&lt;C&gt;1&lt;/C&gt;&lt;D xsi:type="xsd:double"&gt;1.041263&lt;/D&gt;&lt;/FQL&gt;&lt;FQL&gt;&lt;Q&gt;CRS-US^P_BETA_LOCIDX(45174,44999,,"SPX")&lt;/Q&gt;&lt;R&gt;1&lt;/R&gt;&lt;C&gt;1&lt;/C&gt;&lt;D xsi:type="xsd:double"&gt;1.8784295&lt;/D&gt;&lt;/FQL&gt;&lt;FQL&gt;&lt;Q&gt;CRS-US^P_BETA_LOCIDX(45432,45257,,"SPX")&lt;/Q&gt;&lt;R&gt;1&lt;/R&gt;&lt;C&gt;1&lt;/C&gt;&lt;D xsi:type="xsd:double"&gt;0.9746633&lt;/D&gt;&lt;/FQL&gt;&lt;FQL&gt;&lt;Q&gt;CRS-US^P_BETA_LOCIDX(45169,44995,,"SPX")&lt;/Q&gt;&lt;R&gt;1&lt;/R&gt;&lt;C&gt;1&lt;/C&gt;&lt;D xsi:type="xsd:double"&gt;1.9013149&lt;/D&gt;&lt;/FQL&gt;&lt;FQL&gt;&lt;Q&gt;CRS-US^P_BETA_LOCIDX(45133,44958,,"SPX")&lt;/Q&gt;&lt;R&gt;1&lt;/R&gt;&lt;C&gt;1&lt;/C&gt;&lt;D xsi:type="xsd:double"&gt;1.8574868&lt;/D&gt;&lt;/FQL&gt;&lt;FQL&gt;&lt;Q&gt;CRS-US^P_BETA_LOCIDX(45365,45190,,"SPX")&lt;/Q&gt;&lt;R&gt;1&lt;/R&gt;&lt;C&gt;1&lt;/C&gt;&lt;D xsi:type="xsd:double"&gt;1.288236&lt;/D&gt;&lt;/FQL&gt;&lt;FQL&gt;&lt;Q&gt;CRS-US^P_BETA_LOCIDX(45929,45754,,"SPX")&lt;/Q&gt;&lt;R&gt;1&lt;/R&gt;&lt;C&gt;1&lt;/C&gt;&lt;D xsi:type="xsd:double"&gt;1.38665&lt;/D&gt;&lt;/FQL&gt;&lt;FQL&gt;&lt;Q&gt;CRS-US^P_BETA_LOCIDX(45583,45411,,"SPX")&lt;/Q&gt;&lt;R&gt;1&lt;/R&gt;&lt;C&gt;1&lt;/C&gt;&lt;D xsi:type="xsd:double"&gt;1.3077915&lt;/D&gt;&lt;/FQL&gt;&lt;FQL&gt;&lt;Q&gt;CRS-US^P_BETA_LOCIDX(45924,45749,,"SPX")&lt;/Q&gt;&lt;R&gt;1&lt;/R&gt;&lt;C&gt;1&lt;/C&gt;&lt;D xsi:type="xsd:double"&gt;1.4911664&lt;/D&gt;&lt;/FQL&gt;&lt;FQL&gt;&lt;Q&gt;CRS-US^P_BETA_LOCIDX(45239,45065,,"SPX")&lt;/Q&gt;&lt;R&gt;1&lt;/R&gt;&lt;C&gt;1&lt;/C&gt;&lt;D xsi:type="xsd:double"&gt;1.3878021&lt;/D&gt;&lt;/FQL&gt;&lt;FQL&gt;&lt;Q&gt;CRS-US^P_BETA_LOCIDX(45231,45057,,"SPX")&lt;/Q&gt;&lt;R&gt;1&lt;/R&gt;&lt;C&gt;1&lt;/C&gt;&lt;D xsi:type="xsd:double"&gt;1.4989303&lt;/D&gt;&lt;/FQL&gt;&lt;FQL&gt;&lt;Q&gt;CRS-US^P_BETA_LOCIDX(45831,45652,,"SPX")&lt;/Q&gt;&lt;R&gt;1&lt;/R&gt;&lt;C&gt;1&lt;/C&gt;&lt;D xsi:type="xsd:double"&gt;1.6156926&lt;/D&gt;&lt;/FQL&gt;&lt;FQL&gt;&lt;Q&gt;CRS-US^P_BETA_LOCIDX(45226,45054,,"SPX")&lt;/Q&gt;&lt;R&gt;1&lt;/R&gt;&lt;C&gt;1&lt;/C&gt;&lt;D xsi:type="xsd:double"&gt;1.4970396&lt;/D&gt;&lt;/FQL&gt;&lt;FQL&gt;&lt;Q&gt;CRS-US^P_BETA_LOCIDX(45820,45643,,"SPX")&lt;/Q&gt;&lt;R&gt;1&lt;/R&gt;&lt;C&gt;1&lt;/C&gt;&lt;D xsi:type="xsd:double"&gt;1.619025&lt;/D&gt;&lt;/FQL&gt;&lt;FQL&gt;&lt;Q&gt;CRS-US^P_BETA_LOCIDX(44957,44782,,"SPX")&lt;/Q&gt;&lt;R&gt;1&lt;/R&gt;&lt;C&gt;1&lt;/C&gt;&lt;D xsi:type="xsd:double"&gt;1.4419619&lt;/D&gt;&lt;/FQL&gt;&lt;FQL&gt;&lt;Q&gt;CRS-US^P_BETA_LOCIDX(45433,45258,,"SPX")&lt;/Q&gt;&lt;R&gt;1&lt;/R&gt;&lt;C&gt;1&lt;/C&gt;&lt;D xsi:type="xsd:double"&gt;1.0168737&lt;/D&gt;&lt;/FQL&gt;&lt;FQL&gt;&lt;Q&gt;CRS-US^P_BETA_LOCIDX(45750,45574,,"SPX")&lt;/Q&gt;&lt;R&gt;1&lt;/R&gt;&lt;C&gt;1&lt;/C&gt;&lt;D xsi:type="xsd:double"&gt;1.9241667&lt;/D&gt;&lt;/FQL&gt;&lt;FQL&gt;&lt;Q&gt;CRS-US^P_BETA_LOCIDX(45925,45750,,"SPX")&lt;/Q&gt;&lt;R&gt;1&lt;/R&gt;&lt;C&gt;1&lt;/C&gt;&lt;D xsi:type="xsd:double"&gt;1.4870255&lt;/D&gt;&lt;/FQL&gt;&lt;FQL&gt;&lt;Q&gt;CRS-US^P_BETA_LOCIDX(45582,45408,,"SPX")&lt;/Q&gt;&lt;R&gt;1&lt;/R&gt;&lt;C&gt;1&lt;/C&gt;&lt;D xsi:type="xsd:double"&gt;1.3238126&lt;/D&gt;&lt;/FQL&gt;&lt;FQL&gt;&lt;Q&gt;CRS-US^P_BETA_LOCIDX(45288,45117,,"SPX")&lt;/Q&gt;&lt;R&gt;1&lt;/R&gt;&lt;C&gt;1&lt;/C&gt;&lt;D xsi:type="xsd:double"&gt;1.2711635&lt;/D&gt;&lt;/FQL&gt;&lt;FQL&gt;&lt;Q&gt;CRS-US^P_BETA_LOCIDX(45020,44845,,"SPX")&lt;/Q&gt;&lt;R&gt;1&lt;/R&gt;&lt;C&gt;1&lt;/C&gt;&lt;D xsi:type="xsd:double"&gt;1.3655039&lt;/D&gt;&lt;/FQL&gt;&lt;FQL&gt;&lt;Q&gt;CRS-US^P_BETA_LOCIDX(45240,45068,,"SPX")&lt;/Q&gt;&lt;R&gt;1&lt;/R&gt;&lt;C&gt;1&lt;/C&gt;&lt;D xsi:type="xsd:double"&gt;1.3547449&lt;/D&gt;&lt;/FQL&gt;&lt;FQL&gt;&lt;Q&gt;CRS-US^P_BETA_LOCIDX(45923,45748,,"SPX")&lt;/Q&gt;&lt;R&gt;1&lt;/R&gt;&lt;C&gt;1&lt;/C&gt;&lt;D xsi:type="xsd:double"&gt;1.4878826&lt;/D&gt;&lt;/FQL&gt;&lt;FQL&gt;&lt;Q&gt;CRS-US^P_BETA_LOCIDX(45007,44832,,"SPX")&lt;/Q&gt;&lt;R&gt;1&lt;/R&gt;&lt;C&gt;1&lt;/C&gt;&lt;D xsi:type="xsd:double"&gt;1.4311&lt;/D&gt;&lt;/FQL&gt;&lt;FQL&gt;&lt;Q&gt;CRS-US^P_BETA_LOCIDX(45821,45644,,"SPX")&lt;/Q&gt;&lt;R&gt;1&lt;/R&gt;&lt;C&gt;1&lt;/C&gt;&lt;D xsi:type="xsd:double"&gt;1.6111706&lt;/D&gt;&lt;/FQL&gt;&lt;FQL&gt;&lt;Q&gt;CRS-US^P_BETA_LOCIDX(44958,44783,,"SPX")&lt;/Q&gt;&lt;R&gt;1&lt;/R&gt;&lt;C&gt;1&lt;/C&gt;&lt;D xsi:type="xsd:double"&gt;1.448481&lt;/D&gt;&lt;/FQL&gt;&lt;FQL&gt;&lt;Q&gt;CRS-US^P_BETA_LOCIDX(45443,45267,,"SPX")&lt;/Q&gt;&lt;R&gt;1&lt;/R&gt;&lt;C&gt;1&lt;/C&gt;&lt;D xsi:type="xsd:double"&gt;0.96695495&lt;/D&gt;&lt;/FQL&gt;&lt;FQL&gt;&lt;Q&gt;CRS-US^P_BETA_LOCIDX(45177,45002,,"SPX")&lt;/Q&gt;&lt;R&gt;1&lt;/R&gt;&lt;C&gt;1&lt;/C&gt;&lt;D xsi:type="xsd:double"&gt;1.8571181&lt;/D&gt;&lt;/FQL&gt;&lt;FQL&gt;&lt;Q&gt;CRS-US^P_BETA_LOCIDX(45740,45562,,"SPX")&lt;/Q&gt;&lt;R&gt;1&lt;/R&gt;&lt;C&gt;1&lt;/C&gt;&lt;D xsi:type="xsd:double"&gt;1.8144255&lt;/D&gt;&lt;/FQL&gt;&lt;FQL&gt;&lt;Q&gt;CRS-US^P_BETA_LOCIDX(45730,45554,,"SPX")&lt;/Q&gt;&lt;R&gt;1&lt;/R&gt;&lt;C&gt;1&lt;/C&gt;&lt;D xsi:type="xsd:double"&gt;1.7540774&lt;/D&gt;&lt;/FQL&gt;&lt;FQL&gt;&lt;Q&gt;CRS-US^P_BETA_LOCIDX(45168,44994,,"SPX")&lt;/Q&gt;&lt;R&gt;1&lt;/R&gt;&lt;C&gt;1&lt;/C&gt;&lt;D xsi:type="xsd:double"&gt;1.8957868&lt;/D&gt;&lt;/FQL&gt;&lt;FQL&gt;&lt;Q&gt;CRS-US^P_</t>
        </r>
      </text>
    </comment>
    <comment ref="A3" authorId="0" shapeId="0" xr:uid="{9C20E1B8-A1CF-4B62-8987-6A5DC6B9C229}">
      <text>
        <r>
          <rPr>
            <b/>
            <sz val="9"/>
            <color indexed="81"/>
            <rFont val="Tahoma"/>
            <charset val="1"/>
          </rPr>
          <t>BETA_LOCIDX(45124,44949,,"SPX")&lt;/Q&gt;&lt;R&gt;1&lt;/R&gt;&lt;C&gt;1&lt;/C&gt;&lt;D xsi:type="xsd:double"&gt;1.8267986&lt;/D&gt;&lt;/FQL&gt;&lt;FQL&gt;&lt;Q&gt;CRS-US^P_BETA_LOCIDX(45728,45552,,"SPX")&lt;/Q&gt;&lt;R&gt;1&lt;/R&gt;&lt;C&gt;1&lt;/C&gt;&lt;D xsi:type="xsd:double"&gt;1.7327542&lt;/D&gt;&lt;/FQL&gt;&lt;FQL&gt;&lt;Q&gt;CRS-US^P_BETA_LOCIDX(45300,45126,,"SPX")&lt;/Q&gt;&lt;R&gt;1&lt;/R&gt;&lt;C&gt;1&lt;/C&gt;&lt;D xsi:type="xsd:double"&gt;1.2235332&lt;/D&gt;&lt;/FQL&gt;&lt;FQL&gt;&lt;Q&gt;CRS-US^P_BETA_LOCIDX(45119,44944,,"SPX")&lt;/Q&gt;&lt;R&gt;1&lt;/R&gt;&lt;C&gt;1&lt;/C&gt;&lt;D xsi:type="xsd:double"&gt;1.7607992&lt;/D&gt;&lt;/FQL&gt;&lt;FQL&gt;&lt;Q&gt;CRS-US^P_BETA_LOCIDX(45656,45483,,"SPX")&lt;/Q&gt;&lt;R&gt;1&lt;/R&gt;&lt;C&gt;1&lt;/C&gt;&lt;D xsi:type="xsd:double"&gt;1.7470835&lt;/D&gt;&lt;/FQL&gt;&lt;FQL&gt;&lt;Q&gt;CRS-US^P_BETA_LOCIDX(45369,45194,,"SPX")&lt;/Q&gt;&lt;R&gt;1&lt;/R&gt;&lt;C&gt;1&lt;/C&gt;&lt;D xsi:type="xsd:double"&gt;1.3246837&lt;/D&gt;&lt;/FQL&gt;&lt;FQL&gt;&lt;Q&gt;CRS-US^P_BETA_LOCIDX(45117,44939,,"SPX")&lt;/Q&gt;&lt;R&gt;1&lt;/R&gt;&lt;C&gt;1&lt;/C&gt;&lt;D xsi:type="xsd:double"&gt;1.7618057&lt;/D&gt;&lt;/FQL&gt;&lt;FQL&gt;&lt;Q&gt;CRS-US^P_BETA_LOCIDX(45363,45188,,"SPX")&lt;/Q&gt;&lt;R&gt;1&lt;/R&gt;&lt;C&gt;1&lt;/C&gt;&lt;D xsi:type="xsd:double"&gt;1.2584455&lt;/D&gt;&lt;/FQL&gt;&lt;FQL&gt;&lt;Q&gt;CRS-US^P_BETA_LOCIDX(45657,45484,,"SPX")&lt;/Q&gt;&lt;R&gt;1&lt;/R&gt;&lt;C&gt;1&lt;/C&gt;&lt;D xsi:type="xsd:double"&gt;1.7463398&lt;/D&gt;&lt;/FQL&gt;&lt;FQL&gt;&lt;Q&gt;CRS-US^P_BETA_LOCIDX(45428,45252,,"SPX")&lt;/Q&gt;&lt;R&gt;1&lt;/R&gt;&lt;C&gt;1&lt;/C&gt;&lt;D xsi:type="xsd:double"&gt;0.97339594&lt;/D&gt;&lt;/FQL&gt;&lt;FQL&gt;&lt;Q&gt;CRS-US^P_BETA_LOCIDX(45659,45485,,"SPX")&lt;/Q&gt;&lt;R&gt;1&lt;/R&gt;&lt;C&gt;1&lt;/C&gt;&lt;D xsi:type="xsd:double"&gt;1.7555598&lt;/D&gt;&lt;/FQL&gt;&lt;FQL&gt;&lt;Q&gt;CRS-US^P_BETA_LOCIDX(45061,44883,,"SPX")&lt;/Q&gt;&lt;R&gt;1&lt;/R&gt;&lt;C&gt;1&lt;/C&gt;&lt;D xsi:type="xsd:double"&gt;1.6728939&lt;/D&gt;&lt;/FQL&gt;&lt;FQL&gt;&lt;Q&gt;CRS-US^P_BETA_LOCIDX(45729,45553,,"SPX")&lt;/Q&gt;&lt;R&gt;1&lt;/R&gt;&lt;C&gt;1&lt;/C&gt;&lt;D xsi:type="xsd:double"&gt;1.7431973&lt;/D&gt;&lt;/FQL&gt;&lt;FQL&gt;&lt;Q&gt;CRS-US^P_BETA_LOCIDX(45586,45412,,"SPX")&lt;/Q&gt;&lt;R&gt;1&lt;/R&gt;&lt;C&gt;1&lt;/C&gt;&lt;D xsi:type="xsd:double"&gt;1.3110605&lt;/D&gt;&lt;/FQL&gt;&lt;FQL&gt;&lt;Q&gt;CRS-US^P_BETA_LOCIDX(45114,44938,,"SPX")&lt;/Q&gt;&lt;R&gt;1&lt;/R&gt;&lt;C&gt;1&lt;/C&gt;&lt;D xsi:type="xsd:double"&gt;1.7624435&lt;/D&gt;&lt;/FQL&gt;&lt;FQL&gt;&lt;Q&gt;CRS-US^P_BETA_LOCIDX(45652,45481,,"SPX")&lt;/Q&gt;&lt;R&gt;1&lt;/R&gt;&lt;C&gt;1&lt;/C&gt;&lt;D xsi:type="xsd:double"&gt;1.728452&lt;/D&gt;&lt;/FQL&gt;&lt;FQL&gt;&lt;Q&gt;CRS-US^P_BETA_LOCIDX(45359,45184,,"SPX")&lt;/Q&gt;&lt;R&gt;1&lt;/R&gt;&lt;C&gt;1&lt;/C&gt;&lt;D xsi:type="xsd:double"&gt;1.3588685&lt;/D&gt;&lt;/FQL&gt;&lt;FQL&gt;&lt;Q&gt;CRS-US^P_BETA_LOCIDX(45076,44900,,"SPX")&lt;/Q&gt;&lt;R&gt;1&lt;/R&gt;&lt;C&gt;1&lt;/C&gt;&lt;D xsi:type="xsd:double"&gt;1.8020452&lt;/D&gt;&lt;/FQL&gt;&lt;FQL&gt;&lt;Q&gt;CRS-US^P_BETA_LOCIDX(45650,45478,,"SPX")&lt;/Q&gt;&lt;R&gt;1&lt;/R&gt;&lt;C&gt;1&lt;/C&gt;&lt;D xsi:type="xsd:double"&gt;1.7151276&lt;/D&gt;&lt;/FQL&gt;&lt;FQL&gt;&lt;Q&gt;CRS-US^P_BETA_LOCIDX(45302,45128,,"SPX")&lt;/Q&gt;&lt;R&gt;1&lt;/R&gt;&lt;C&gt;1&lt;/C&gt;&lt;D xsi:type="xsd:double"&gt;1.2697042&lt;/D&gt;&lt;/FQL&gt;&lt;FQL&gt;&lt;Q&gt;CRS-US^P_BETA_LOCIDX(45588,45414,,"SPX")&lt;/Q&gt;&lt;R&gt;1&lt;/R&gt;&lt;C&gt;1&lt;/C&gt;&lt;D xsi:type="xsd:double"&gt;1.4673249&lt;/D&gt;&lt;/FQL&gt;&lt;FQL&gt;&lt;Q&gt;CRS-US^P_BETA_LOCIDX(45065,44890,,"SPX")&lt;/Q&gt;&lt;R&gt;1&lt;/R&gt;&lt;C&gt;1&lt;/C&gt;&lt;D xsi:type="xsd:double"&gt;1.7401888&lt;/D&gt;&lt;/FQL&gt;&lt;FQL&gt;&lt;Q&gt;CRS-US^P_BETA_LOCIDX(45587,45413,,"SPX")&lt;/Q&gt;&lt;R&gt;1&lt;/R&gt;&lt;C&gt;1&lt;/C&gt;&lt;D xsi:type="xsd:double"&gt;1.4005934&lt;/D&gt;&lt;/FQL&gt;&lt;FQL&gt;&lt;Q&gt;CRS-US^P_BETA_LOCIDX(45301,45127,,"SPX")&lt;/Q&gt;&lt;R&gt;1&lt;/R&gt;&lt;C&gt;1&lt;/C&gt;&lt;D xsi:type="xsd:double"&gt;1.2540375&lt;/D&gt;&lt;/FQL&gt;&lt;FQL&gt;&lt;Q&gt;CRS-US^P_BETA_LOCIDX(44956,44781,,"SPX")&lt;/Q&gt;&lt;R&gt;1&lt;/R&gt;&lt;C&gt;1&lt;/C&gt;&lt;D xsi:type="xsd:double"&gt;1.4581655&lt;/D&gt;&lt;/FQL&gt;&lt;FQL&gt;&lt;Q&gt;CRS-US^P_BETA_LOCIDX(44953,44778,,"SPX")&lt;/Q&gt;&lt;R&gt;1&lt;/R&gt;&lt;C&gt;1&lt;/C&gt;&lt;D xsi:type="xsd:double"&gt;1.457646&lt;/D&gt;&lt;/FQL&gt;&lt;FQL&gt;&lt;Q&gt;CRS-US^P_BETA_LOCIDX(44952,44777,,"SPX")&lt;/Q&gt;&lt;R&gt;1&lt;/R&gt;&lt;C&gt;1&lt;/C&gt;&lt;D xsi:type="xsd:double"&gt;1.4521563&lt;/D&gt;&lt;/FQL&gt;&lt;FQL&gt;&lt;Q&gt;CRS-US^P_BETA_LOCIDX(44951,44776,,"SPX")&lt;/Q&gt;&lt;R&gt;1&lt;/R&gt;&lt;C&gt;1&lt;/C&gt;&lt;D xsi:type="xsd:double"&gt;1.4258773&lt;/D&gt;&lt;/FQL&gt;&lt;FQL&gt;&lt;Q&gt;CRS-US^P_BETA_LOCIDX(44950,44775,,"SPX")&lt;/Q&gt;&lt;R&gt;1&lt;/R&gt;&lt;C&gt;1&lt;/C&gt;&lt;D xsi:type="xsd:double"&gt;1.4260479&lt;/D&gt;&lt;/FQL&gt;&lt;FQL&gt;&lt;Q&gt;CRS-US^P_BETA_LOCIDX(44949,44774,,"SPX")&lt;/Q&gt;&lt;R&gt;1&lt;/R&gt;&lt;C&gt;1&lt;/C&gt;&lt;D xsi:type="xsd:double"&gt;1.4223742&lt;/D&gt;&lt;/FQL&gt;&lt;FQL&gt;&lt;Q&gt;CRS-US^P_BETA_LOCIDX(44946,44771,,"SPX")&lt;/Q&gt;&lt;R&gt;1&lt;/R&gt;&lt;C&gt;1&lt;/C&gt;&lt;D xsi:type="xsd:double"&gt;1.4385567&lt;/D&gt;&lt;/FQL&gt;&lt;FQL&gt;&lt;Q&gt;CRS-US^P_BETA_LOCIDX(44945,44770,,"SPX")&lt;/Q&gt;&lt;R&gt;1&lt;/R&gt;&lt;C&gt;1&lt;/C&gt;&lt;D xsi:type="xsd:double"&gt;1.4575614&lt;/D&gt;&lt;/FQL&gt;&lt;FQL&gt;&lt;Q&gt;CRS-US^P_BETA_LOCIDX(44944,44769,,"SPX")&lt;/Q&gt;&lt;R&gt;1&lt;/R&gt;&lt;C&gt;1&lt;/C&gt;&lt;D xsi:type="xsd:double"&gt;1.4444733&lt;/D&gt;&lt;/FQL&gt;&lt;FQL&gt;&lt;Q&gt;CRS-US^P_BETA_LOCIDX(44943,44768,,"SPX")&lt;/Q&gt;&lt;R&gt;1&lt;/R&gt;&lt;C&gt;1&lt;/C&gt;&lt;D xsi:type="xsd:double"&gt;1.4478207&lt;/D&gt;&lt;/FQL&gt;&lt;FQL&gt;&lt;Q&gt;CRS-US^P_BETA_LOCIDX(44939,44767,,"SPX")&lt;/Q&gt;&lt;R&gt;1&lt;/R&gt;&lt;C&gt;1&lt;/C&gt;&lt;D xsi:type="xsd:double"&gt;1.4470509&lt;/D&gt;&lt;/FQL&gt;&lt;FQL&gt;&lt;Q&gt;CRS-US^P_BETA_LOCIDX(44938,44764,,"SPX")&lt;/Q&gt;&lt;R&gt;1&lt;/R&gt;&lt;C&gt;1&lt;/C&gt;&lt;D xsi:type="xsd:double"&gt;1.4513875&lt;/D&gt;&lt;/FQL&gt;&lt;FQL&gt;&lt;Q&gt;CRS-US^P_BETA_LOCIDX(44937,44763,,"SPX")&lt;/Q&gt;&lt;R&gt;1&lt;/R&gt;&lt;C&gt;1&lt;/C&gt;&lt;D xsi:type="xsd:double"&gt;1.4397705&lt;/D&gt;&lt;/FQL&gt;&lt;FQL&gt;&lt;Q&gt;CRS-US^P_BETA_LOCIDX(44936,44762,,"SPX")&lt;/Q&gt;&lt;R&gt;1&lt;/R&gt;&lt;C&gt;1&lt;/C&gt;&lt;D xsi:type="xsd:double"&gt;1.4352261&lt;/D&gt;&lt;/FQL&gt;&lt;FQL&gt;&lt;Q&gt;CRS-US^P_BETA_LOCIDX(44935,44761,,"SPX")&lt;/Q&gt;&lt;R&gt;1&lt;/R&gt;&lt;C&gt;1&lt;/C&gt;&lt;D xsi:type="xsd:double"&gt;1.4264135&lt;/D&gt;&lt;/FQL&gt;&lt;FQL&gt;&lt;Q&gt;CRS-US^P_BETA_LOCIDX(44932,44760,,"SPX")&lt;/Q&gt;&lt;R&gt;1&lt;/R&gt;&lt;C&gt;1&lt;/C&gt;&lt;D xsi:type="xsd:double"&gt;1.4207981&lt;/D&gt;&lt;/FQL&gt;&lt;FQL&gt;&lt;Q&gt;CRS-US^P_BETA_LOCIDX(44931,44757,,"SPX")&lt;/Q&gt;&lt;R&gt;1&lt;/R&gt;&lt;C&gt;1&lt;/C&gt;&lt;D xsi:type="xsd:double"&gt;1.3912655&lt;/D&gt;&lt;/FQL&gt;&lt;FQL&gt;&lt;Q&gt;CRS-US^P_BETA_LOCIDX(44930,44756,,"SPX")&lt;/Q&gt;&lt;R&gt;1&lt;/R&gt;&lt;C&gt;1&lt;/C&gt;&lt;D xsi:type="xsd:double"&gt;1.4003413&lt;/D&gt;&lt;/FQL&gt;&lt;FQL&gt;&lt;Q&gt;CRS-US^P_BETA_LOCIDX(44929,44755,,"SPX")&lt;/Q&gt;&lt;R&gt;1&lt;/R&gt;&lt;C&gt;1&lt;/C&gt;&lt;D xsi:type="xsd:double"&gt;1.3920443&lt;/D&gt;&lt;/FQL&gt;&lt;FQL&gt;&lt;Q&gt;CRS-US^P_BETA_LOCIDX(44925,44754,,"SPX")&lt;/Q&gt;&lt;R&gt;1&lt;/R&gt;&lt;C&gt;1&lt;/C&gt;&lt;D xsi:type="xsd:double"&gt;1.3708642&lt;/D&gt;&lt;/FQL&gt;&lt;FQL&gt;&lt;Q&gt;CRS-US^P_BETA_LOCIDX(44924,44753,,"SPX")&lt;/Q&gt;&lt;R&gt;1&lt;/R&gt;&lt;C&gt;1&lt;/C&gt;&lt;D xsi:type="xsd:double"&gt;1.3651152&lt;/D&gt;&lt;/FQL&gt;&lt;FQL&gt;&lt;Q&gt;CRS-US^P_BETA_LOCIDX(44923,44750,,"SPX")&lt;/Q&gt;&lt;R&gt;1&lt;/R&gt;&lt;C&gt;1&lt;/C&gt;&lt;D xsi:type="xsd:double"&gt;1.3686997&lt;/D&gt;&lt;/FQL&gt;&lt;FQL&gt;&lt;Q&gt;CRS-US^P_BETA_LOCIDX(44922,44749,,"SPX")&lt;/Q&gt;&lt;R&gt;1&lt;/R&gt;&lt;C&gt;1&lt;/C&gt;&lt;D xsi:type="xsd:double"&gt;1.3604283&lt;/D&gt;&lt;/FQL&gt;&lt;FQL&gt;&lt;Q&gt;CRS-US^P_BETA_LOCIDX(44918,44748,,"SPX")&lt;/Q&gt;&lt;R&gt;1&lt;/R&gt;&lt;C&gt;1&lt;/C&gt;&lt;D xsi:type="xsd:double"&gt;1.3561667&lt;/D&gt;&lt;/FQL&gt;&lt;FQL&gt;&lt;Q&gt;CRS-US^P_BETA_LOCIDX(44917,44747,,"SPX")&lt;/Q&gt;&lt;R&gt;1&lt;/R&gt;&lt;C&gt;1&lt;/C&gt;&lt;D xsi:type="xsd:double"&gt;1.356485&lt;/D&gt;&lt;/FQL&gt;&lt;FQL&gt;&lt;Q&gt;CRS-US^P_BETA_LOCIDX(44916,44743,,"SPX")&lt;/Q&gt;&lt;R&gt;1&lt;/R&gt;&lt;C&gt;1&lt;/C&gt;&lt;D xsi:type="xsd:double"&gt;1.3392099&lt;/D&gt;&lt;/FQL&gt;&lt;FQL&gt;&lt;Q&gt;CRS-US^P_BETA_LOCIDX(44915,44742,,"SPX")&lt;/Q&gt;&lt;R&gt;1&lt;/R&gt;&lt;C&gt;1&lt;/C&gt;&lt;D xsi:type="xsd:double"&gt;1.339746&lt;/D&gt;&lt;/FQL&gt;&lt;FQL&gt;&lt;Q&gt;CRS-US^P_BETA_LOCIDX(44914,44741,,"SPX")&lt;/Q&gt;&lt;R&gt;1&lt;/R&gt;&lt;C&gt;1&lt;/C&gt;&lt;D xsi:type="xsd:double"&gt;1.3395079&lt;/D&gt;&lt;/FQL&gt;&lt;FQL&gt;&lt;Q&gt;CRS-US^P_BETA_LOCIDX(44911,44740,,"SPX")&lt;/Q&gt;&lt;R&gt;1&lt;/R&gt;&lt;C&gt;1&lt;/C&gt;&lt;D xsi:type="xsd:double"&gt;1.3323789&lt;/D&gt;&lt;/FQL&gt;&lt;FQL&gt;&lt;Q&gt;CRS-US^P_BETA_LOCIDX(44910,44739,,"SPX")&lt;/Q&gt;&lt;R&gt;1&lt;/R&gt;&lt;C&gt;1&lt;/C&gt;&lt;D xsi:type="xsd:double"&gt;1.3376838&lt;/D&gt;&lt;/FQL&gt;&lt;FQL&gt;&lt;Q&gt;CRS-US^P_BETA_LOCIDX(44909,44736,,"SPX")&lt;/Q&gt;&lt;R&gt;1&lt;/R&gt;&lt;C&gt;1&lt;/C&gt;&lt;D xsi:type="xsd:double"&gt;1.3029127&lt;/D&gt;&lt;/FQL&gt;&lt;FQL&gt;&lt;Q&gt;CRS-US^P_BETA_LOCIDX(44908,44735,,"SPX")&lt;/Q&gt;&lt;R&gt;1&lt;/R&gt;&lt;C&gt;1&lt;/C&gt;&lt;D xsi:type="xsd:double"&gt;1.2865858&lt;/D&gt;&lt;/FQL&gt;&lt;FQL&gt;&lt;Q&gt;CRS-US^P_BETA_LOCIDX(44907,44734,,"SPX")&lt;/Q&gt;&lt;R&gt;1&lt;/R&gt;&lt;C&gt;1&lt;/C&gt;&lt;D xsi:type="xsd:double"&gt;1.2907043&lt;/D&gt;&lt;/FQL&gt;&lt;FQL&gt;&lt;Q&gt;CRS-US^P_BETA_LOCIDX(44904,44733,,"SPX")&lt;/Q&gt;&lt;R&gt;1&lt;/R&gt;&lt;C&gt;1&lt;/C&gt;&lt;D xsi:type="xsd:double"&gt;1.2815192&lt;/D&gt;&lt;/FQL&gt;&lt;FQL&gt;&lt;Q&gt;CRS-US^P_BETA_LOCIDX(44903,44729,,"SPX")&lt;/Q&gt;&lt;R&gt;1&lt;/R&gt;&lt;C&gt;1&lt;/C&gt;&lt;D xsi:type="xsd:double"&gt;1.2700838&lt;/D&gt;&lt;/FQL&gt;&lt;FQL&gt;&lt;Q&gt;CRS-US^P_BETA_LOCIDX(44902,44728,,"SPX")&lt;/Q&gt;&lt;R&gt;1&lt;/R&gt;&lt;C&gt;1&lt;/C&gt;&lt;D xsi:type="xsd:double"&gt;1.3108257&lt;/D&gt;&lt;/FQL&gt;&lt;FQL&gt;&lt;Q&gt;CRS-US^P_BETA_LOCIDX(44901,44727,,"SPX")&lt;/Q&gt;&lt;R&gt;1&lt;/R&gt;&lt;C&gt;1&lt;/C&gt;&lt;D xsi:type="xsd:double"&gt;1.2917744&lt;/D&gt;&lt;/FQL&gt;&lt;FQL&gt;&lt;Q&gt;CRS-US^P_BETA_LOCIDX(44900,44726,,"SPX")&lt;/Q&gt;&lt;R&gt;1&lt;/R&gt;&lt;C&gt;1&lt;/C&gt;&lt;D xsi:type="xsd:double"&gt;1.3038352&lt;/D&gt;&lt;/FQL&gt;&lt;FQL&gt;&lt;Q&gt;CRS-US^P_BETA_LOCIDX(44897,44725,,"SPX")&lt;/Q&gt;&lt;R&gt;1&lt;/R&gt;&lt;C&gt;1&lt;/C&gt;&lt;D xsi:type="xsd:double"&gt;1.2867681&lt;/D&gt;&lt;/FQL&gt;&lt;FQL&gt;&lt;Q&gt;CRS-US^P_BETA_LOCIDX(44896,44722,,"SPX")&lt;/Q&gt;&lt;R&gt;1&lt;/R&gt;&lt;C&gt;1&lt;/C&gt;&lt;D xsi:type="xsd:double"&gt;1.2860417&lt;/D&gt;&lt;/FQL&gt;&lt;FQL&gt;&lt;Q&gt;CRS-US^P_BETA_LOCIDX(44895,44721,,"SPX")&lt;/Q&gt;&lt;R&gt;1&lt;/R&gt;&lt;C&gt;1&lt;/C&gt;&lt;D xsi:type="xsd:double"&gt;1.2945588&lt;/D&gt;&lt;/FQL&gt;&lt;FQL&gt;&lt;Q&gt;CRS-US^P_BETA_LOCIDX(44894,44720,,"SPX")&lt;/Q&gt;&lt;R&gt;1&lt;/R&gt;&lt;C&gt;1&lt;/C&gt;&lt;D xsi:type="xsd:double"&gt;1.3189868&lt;/D&gt;&lt;/FQL&gt;&lt;FQL&gt;&lt;Q&gt;CRS-US^P_BETA_LOCIDX(44893,44719,,"SPX")&lt;/Q&gt;&lt;R&gt;1&lt;/R&gt;&lt;C&gt;1&lt;/C&gt;&lt;D xsi:type="xsd:double"&gt;1.3152037&lt;/D&gt;&lt;/FQL&gt;&lt;FQL&gt;&lt;Q&gt;CRS-US^P_BETA_LOCIDX(44890,44718,,"SPX")&lt;/Q&gt;&lt;R&gt;1&lt;/R&gt;&lt;C&gt;1&lt;/C&gt;&lt;D xsi:type="xsd:double"&gt;1.3109794&lt;/D&gt;&lt;/FQL&gt;&lt;FQL&gt;&lt;Q&gt;CRS-US^P_BETA_LOCIDX(44888,44715,,"SPX")&lt;/Q&gt;&lt;R&gt;1&lt;/R&gt;&lt;C&gt;1&lt;/C&gt;&lt;D xsi:type="xsd:double"&gt;1.3159556&lt;/D&gt;&lt;/FQL&gt;&lt;FQL&gt;&lt;Q&gt;CRS-US^P_BETA_LOCIDX(44887,44714,,"SPX")&lt;/Q&gt;&lt;R&gt;1&lt;/R&gt;&lt;C&gt;1&lt;/C&gt;&lt;D xsi:type="xsd:double"&gt;1.3294833&lt;/D&gt;&lt;/FQL&gt;&lt;FQL&gt;&lt;Q&gt;CRS-US^P_BETA_LOCIDX(44886,44713,,"SPX")&lt;/Q&gt;&lt;R&gt;1&lt;/R&gt;&lt;C&gt;1&lt;/C&gt;&lt;D xsi:type="xsd:double"&gt;1.3372228&lt;/D&gt;&lt;/FQL&gt;&lt;FQL&gt;&lt;Q&gt;CRS-US^P_BETA_LOCIDX(44883,44712,,"SPX")&lt;/Q&gt;&lt;R&gt;1&lt;/R&gt;&lt;C&gt;1&lt;/C&gt;&lt;D xsi:type="xsd:double"&gt;1.3419033&lt;/D&gt;&lt;/FQL&gt;&lt;FQL&gt;&lt;Q&gt;CRS-US^P_BETA_LOCIDX(44882,44708,,"SPX")&lt;/Q&gt;&lt;R&gt;1&lt;/R&gt;&lt;C&gt;1&lt;/C&gt;&lt;D xsi:type="xsd:double"&gt;1.3367659&lt;/D&gt;&lt;/FQL&gt;&lt;FQL&gt;&lt;Q&gt;CRS-US^P_BETA_LOCIDX(44881,44707,,"SPX")&lt;/Q&gt;&lt;R&gt;1&lt;/R&gt;&lt;C&gt;1&lt;/C&gt;&lt;D xsi:type="xsd:double"&gt;1.3378286&lt;/D&gt;&lt;/FQL&gt;&lt;FQL&gt;&lt;Q&gt;CRS-US^P_BETA_LOCIDX(44880,44706,,"SPX")&lt;/Q&gt;&lt;R&gt;1&lt;/R&gt;&lt;C&gt;1&lt;/C&gt;&lt;D xsi:type="xsd:double"&gt;1.3445238&lt;/D&gt;&lt;/FQL&gt;&lt;FQL&gt;&lt;Q&gt;CRS-US^P_BETA_LOCIDX(44879,44705,,"SPX")&lt;/Q&gt;&lt;R&gt;1&lt;/R&gt;&lt;C&gt;1&lt;/C&gt;&lt;D xsi:type="xsd:double"&gt;1.341591&lt;/D&gt;&lt;/FQL&gt;&lt;FQL&gt;&lt;Q&gt;CRS-US^P_BETA_LOCIDX(44876,44704,,"SPX")&lt;/Q&gt;&lt;R&gt;1&lt;/R&gt;&lt;C&gt;1&lt;/C&gt;&lt;D xsi:type="xsd:double"&gt;1.3484613&lt;/D&gt;&lt;/FQL&gt;&lt;FQL&gt;&lt;Q&gt;CRS-US^P_BETA_LOCIDX(44875,44701,,"SPX")&lt;/Q&gt;&lt;R&gt;1&lt;/R&gt;&lt;C&gt;1&lt;/C&gt;&lt;D xsi:type="xsd:double"&gt;1.3587289&lt;/D&gt;&lt;/FQL&gt;&lt;FQL&gt;&lt;Q&gt;CRS-US^P_BETA_LOCIDX(44874,44700,,"SPX")&lt;/Q&gt;&lt;R&gt;1&lt;/R&gt;&lt;C&gt;1&lt;/C&gt;&lt;D xsi:type="xsd:double"&gt;1.4195677&lt;/D&gt;&lt;/FQL&gt;&lt;FQL&gt;&lt;Q&gt;CRS-US^P_BETA_LOCIDX(44873,44699,,"SPX")&lt;/Q&gt;&lt;R&gt;1&lt;/R&gt;&lt;C&gt;1&lt;/C&gt;&lt;D xsi:type="xsd:double"&gt;1.3653365&lt;/D&gt;&lt;/FQL&gt;&lt;FQL&gt;&lt;Q&gt;CRS-US^P_BETA_LOCIDX(44872,44698,,"SPX")&lt;/Q&gt;&lt;R&gt;1&lt;/R&gt;&lt;C&gt;1&lt;/C&gt;&lt;D xsi:type="xsd:double"&gt;1.3996636&lt;/D&gt;&lt;/FQL&gt;&lt;FQL&gt;&lt;Q&gt;CRS-US^P_BETA_LOCIDX(44869,44697,,"SPX")&lt;/Q&gt;&lt;R&gt;1&lt;/R&gt;&lt;C&gt;1&lt;/C&gt;&lt;D xsi:type="xsd:double"&gt;1.4008147&lt;/D&gt;&lt;/FQL&gt;&lt;FQL&gt;&lt;Q&gt;CRS-US^P_BETA_LOCIDX(44868,44694,,"SPX")&lt;/Q&gt;&lt;R&gt;1&lt;/R&gt;&lt;C&gt;1&lt;/C&gt;&lt;D xsi:type="xsd:double"&gt;1.3468282&lt;/D&gt;&lt;/FQL&gt;&lt;FQL&gt;&lt;Q&gt;CRS-US^P_BETA_LOCIDX(44867,44693,,"SPX")&lt;/Q&gt;&lt;R&gt;1&lt;/R&gt;&lt;C&gt;1&lt;/C&gt;&lt;D xsi:type="xsd:double"&gt;1.358815&lt;/D&gt;&lt;/FQL&gt;&lt;FQL&gt;&lt;Q&gt;CRS-US^P_BETA_LOCIDX(44866,44692,,"SPX")&lt;/Q&gt;&lt;R&gt;1&lt;/R&gt;&lt;C&gt;1&lt;/C&gt;&lt;D xsi:type="xsd:double"&gt;1.3189337&lt;/D&gt;&lt;/FQL&gt;&lt;FQL&gt;&lt;Q&gt;CRS-US^P_BETA_LOCIDX(44865,44691,,"SPX")&lt;/Q&gt;&lt;R&gt;1&lt;/R&gt;&lt;C&gt;1&lt;/C&gt;&lt;D xsi:type="xsd:double"&gt;1.3198798&lt;/D&gt;&lt;/FQL&gt;&lt;FQL&gt;&lt;Q&gt;CRS-US^P_BETA_LOCIDX(44862,44690,,"SPX")&lt;/Q&gt;&lt;R&gt;1&lt;/R&gt;&lt;C&gt;1&lt;/C&gt;&lt;D xsi:type="xsd:double"&gt;1.3178276&lt;/D&gt;&lt;/FQL&gt;&lt;FQL&gt;&lt;Q&gt;CRS-US^P_BETA_LOCIDX(44861,44687,,"SPX")&lt;/Q&gt;&lt;R&gt;1&lt;/R&gt;&lt;C&gt;1&lt;/C&gt;&lt;D xsi:type="xsd:double"&gt;1.3457648&lt;/D&gt;&lt;/FQL&gt;&lt;FQL&gt;&lt;Q&gt;CRS-US^P_BETA_LOCIDX(44860,44686,,"SPX")&lt;/Q&gt;&lt;R&gt;1&lt;/R&gt;&lt;C&gt;1&lt;/C&gt;&lt;D xsi:type="xsd:double"&gt;1.390848&lt;/D&gt;&lt;/FQL&gt;&lt;FQL&gt;&lt;Q&gt;CRS-US^P_BETA_LOCIDX(44859,44685,,"SPX")&lt;/Q&gt;&lt;R&gt;1&lt;/R&gt;&lt;C&gt;1&lt;/C&gt;&lt;D xsi:type="xsd:double"&gt;1.4043173&lt;/D&gt;&lt;/FQL&gt;&lt;FQL&gt;&lt;Q&gt;CRS-US^P_BETA_LOCIDX(44858,44684,,"SPX")&lt;/Q&gt;&lt;R&gt;1&lt;/R&gt;&lt;C&gt;1&lt;/C&gt;&lt;D xsi:type="xsd:double"&gt;1.4036804&lt;/D&gt;&lt;/FQL&gt;&lt;FQL&gt;&lt;Q&gt;CRS-US^P_BETA_LOCIDX(44855,44683,,"SPX")&lt;/Q&gt;&lt;R&gt;1&lt;/R&gt;&lt;C&gt;1&lt;/C&gt;&lt;D xsi:type="xsd:double"&gt;1.4083103&lt;/D&gt;&lt;/FQL&gt;&lt;FQL&gt;&lt;Q&gt;CRS-US^P_BETA_LOCIDX(44854,44680,,"SPX")&lt;/Q&gt;&lt;R&gt;1&lt;/R&gt;&lt;C&gt;1&lt;/C&gt;&lt;D xsi:type="xsd:double"&gt;1.4168676&lt;/D&gt;&lt;/FQL&gt;&lt;FQL&gt;&lt;Q&gt;CRS-US^P_BETA_LOCIDX(44853,44679,,"SPX")&lt;/Q&gt;&lt;R&gt;1&lt;/R&gt;&lt;C&gt;1&lt;/C&gt;&lt;D xsi:type="xsd:double"&gt;1.4654967&lt;/D&gt;&lt;/FQL&gt;&lt;FQL&gt;&lt;Q&gt;CRS-US^P_BETA_LOCIDX(44852,44678,,"SPX")&lt;/Q&gt;&lt;R&gt;1&lt;/R&gt;&lt;C&gt;1&lt;/C&gt;&lt;D xsi:type="xsd:double"&gt;1.4636608&lt;/D&gt;&lt;/FQL&gt;&lt;FQL&gt;&lt;Q&gt;CRS-US^P_BETA_LOCIDX(44851,44677,,"SPX")&lt;/Q&gt;&lt;R&gt;1&lt;/R&gt;&lt;C&gt;1&lt;/C&gt;&lt;D xsi:type="xsd:double"&gt;1.458857&lt;/D&gt;&lt;/FQL&gt;&lt;FQL&gt;&lt;Q&gt;CRS-US^P_BETA_LOCIDX(44848,44676,,"SPX")&lt;/Q&gt;&lt;R&gt;1&lt;/R&gt;&lt;C&gt;1&lt;/C&gt;&lt;D xsi:type="xsd:double"&gt;1.4581251&lt;/D&gt;&lt;/FQL&gt;&lt;FQL&gt;&lt;Q&gt;CRS-US^P_BETA_LOCIDX(44847,44673,,"SPX")&lt;/Q&gt;&lt;R&gt;1&lt;/R&gt;&lt;C&gt;1&lt;/C&gt;&lt;D xsi:type="xsd:double"&gt;1.4254777&lt;/D&gt;&lt;/FQL&gt;&lt;FQL&gt;&lt;Q&gt;CRS-US^P_BETA_LOCIDX(44846,44672,,"SPX")&lt;/Q&gt;&lt;R&gt;1&lt;/R&gt;&lt;C&gt;1&lt;/C&gt;&lt;D xsi:type="xsd:double"&gt;1.4542792&lt;/D&gt;&lt;/FQL&gt;&lt;FQL&gt;&lt;Q&gt;CRS-US^P_BETA_LOCIDX(44845,44671,,"SPX")&lt;/Q&gt;&lt;R&gt;1&lt;/R&gt;&lt;C&gt;1&lt;/C&gt;&lt;D xsi:type="xsd:double"&gt;1.4540639&lt;/D&gt;&lt;/FQL&gt;&lt;FQL&gt;&lt;Q&gt;CRS-US^P_BETA_LOCIDX(44844,44670,,"SPX")&lt;/Q&gt;&lt;R&gt;1&lt;/R&gt;&lt;C&gt;1&lt;/C&gt;&lt;D xsi:type="xsd:double"&gt;1.4578722&lt;/D&gt;&lt;/FQL&gt;&lt;FQL&gt;&lt;Q&gt;CRS-US^P_BETA_LOCIDX(44841,44669,,"SPX")&lt;/Q&gt;&lt;R&gt;1&lt;/R&gt;&lt;C&gt;1&lt;/C&gt;&lt;D xsi:type="xsd:double"&gt;1.4629164&lt;/D&gt;&lt;/FQL&gt;&lt;FQL&gt;&lt;Q&gt;CRS-US^P_BETA_LOCIDX(44840,44665,,"SPX")&lt;/Q&gt;&lt;R&gt;1&lt;/R&gt;&lt;C&gt;1&lt;/C&gt;&lt;D xsi:type="xsd:double"&gt;1.4632071&lt;/D&gt;&lt;/FQL&gt;&lt;FQL&gt;&lt;Q&gt;CRS-US^P_BETA_LOCIDX(44839,44664,,"SPX")&lt;/Q&gt;&lt;R&gt;1&lt;/R&gt;&lt;C&gt;1&lt;/C&gt;&lt;D xsi:type="xsd:double"&gt;1.4681693&lt;/D&gt;&lt;/FQL&gt;&lt;FQL&gt;&lt;Q&gt;CRS-US^P_BETA_LOCIDX(44838,44663,,"SPX")&lt;/Q&gt;&lt;R&gt;1&lt;/R&gt;&lt;C&gt;1&lt;/C&gt;&lt;D xsi:type="xsd:double"&gt;1.4677755&lt;/D&gt;&lt;/FQL&gt;&lt;FQL&gt;&lt;Q&gt;CRS-US^P_BETA_LOCIDX(44837,44662,,"SPX")&lt;/Q&gt;&lt;R&gt;1&lt;/R&gt;&lt;C&gt;1&lt;/C&gt;&lt;D xsi:type="xsd:double"&gt;1.4310648&lt;/D&gt;&lt;/FQL&gt;&lt;FQL&gt;&lt;Q&gt;CRS-US^P_BETA_LOCIDX(44834,44659,,"SPX")&lt;/Q&gt;&lt;R&gt;1&lt;/R&gt;&lt;C&gt;1&lt;/C&gt;&lt;D xsi:type="xsd:double"&gt;1.4040616&lt;/D&gt;&lt;/FQL&gt;&lt;FQL&gt;&lt;Q&gt;CRS-US^P_BETA_LOCIDX(44833,44658,,"SPX")&lt;/Q&gt;&lt;R&gt;1&lt;/R&gt;&lt;C&gt;1&lt;/C&gt;&lt;D xsi:type="xsd:double"&gt;1.3936048&lt;/D&gt;&lt;/FQL&gt;&lt;FQL&gt;&lt;Q&gt;CRS-US^P_BETA_LOCIDX(44832,44657,,"SPX")&lt;/Q&gt;&lt;R&gt;1&lt;/R&gt;&lt;C&gt;1&lt;/C&gt;&lt;D xsi:type="xsd:double"&gt;1.3805419&lt;/D&gt;&lt;/FQL&gt;&lt;FQL&gt;&lt;Q&gt;CRS-US^P_BETA_LOCIDX(44831,44656,,"SPX")&lt;/Q&gt;&lt;R&gt;1&lt;/R&gt;&lt;C&gt;1&lt;/C&gt;&lt;D xsi:type="xsd:double"&gt;1.3897202&lt;/D&gt;&lt;/FQL&gt;&lt;FQL&gt;&lt;Q&gt;CRS-US^P_BETA_LOCIDX(44830,44655,,"SPX")&lt;/Q&gt;&lt;R&gt;1&lt;/R&gt;&lt;C&gt;1&lt;/C&gt;&lt;D xsi:type="xsd:double"&gt;1.385252&lt;/D&gt;&lt;/FQL&gt;&lt;FQL&gt;&lt;Q&gt;CRS-US^P_BETA_LOCIDX(44827,44652,,"SPX")&lt;/Q&gt;&lt;R&gt;1&lt;/R&gt;&lt;C&gt;1&lt;/C&gt;&lt;D xsi:type="xsd:double"&gt;1.3902221&lt;/D&gt;&lt;/FQL&gt;&lt;FQL&gt;&lt;Q&gt;CRS-US^P_BETA_LOCIDX(44826,44651,,"SPX")&lt;/Q&gt;&lt;R&gt;1&lt;/R&gt;&lt;C&gt;1&lt;/C&gt;&lt;D xsi:type="xsd:double"&gt;1.3745613&lt;/D&gt;&lt;/FQL&gt;&lt;FQL&gt;&lt;Q&gt;CRS-US^P_BETA_LOCIDX(44825,44650,,"SPX")&lt;/Q&gt;&lt;R&gt;1&lt;/R&gt;&lt;C&gt;1&lt;/C&gt;&lt;D xsi:type="xsd:double"&gt;1.3695956&lt;/D&gt;&lt;/FQL&gt;&lt;FQL&gt;&lt;Q&gt;CRS-US^P_BETA_LOCIDX(44824,44649,,"SPX")&lt;/Q&gt;&lt;R&gt;1&lt;/R&gt;&lt;C&gt;1&lt;/C&gt;&lt;D xsi:type="xsd:double"&gt;1.3549834&lt;/D&gt;&lt;/FQL&gt;&lt;FQL&gt;&lt;Q&gt;CRS-US^P_BETA_LOCIDX(44823,44648,,"SPX")&lt;/Q&gt;&lt;R&gt;1&lt;/R&gt;&lt;C&gt;1&lt;/C&gt;&lt;D xsi:type="xsd:double"&gt;1.3447251&lt;/D&gt;&lt;/FQL&gt;&lt;FQL&gt;&lt;Q&gt;CRS-US^P_BETA_LOCIDX(44820,44645,,"SPX")&lt;/Q&gt;&lt;R&gt;1&lt;/R&gt;&lt;C&gt;1&lt;/C&gt;&lt;D xsi:type="xsd:double"&gt;1.3386906&lt;/D&gt;&lt;/FQL&gt;&lt;FQL&gt;&lt;Q&gt;CRS-US^P_BETA_LOCIDX(44819,44644,,"SPX")&lt;/Q&gt;&lt;R&gt;1&lt;/R&gt;&lt;C&gt;1&lt;/C&gt;&lt;D xsi:type="xsd:double"&gt;1.3321307&lt;/D&gt;&lt;/FQL&gt;&lt;FQL&gt;&lt;Q&gt;CRS-US^P_BETA_LOCIDX(44818,44643,,"SPX")&lt;/Q&gt;&lt;R&gt;1&lt;/R&gt;&lt;C&gt;1&lt;/C&gt;&lt;D xsi:type="xsd:double"&gt;1.3343502&lt;/D&gt;&lt;/FQL&gt;&lt;FQL&gt;&lt;Q&gt;CRS-US^P_BETA_LOCIDX(44817,44642,,"SPX")&lt;/Q&gt;&lt;R&gt;1&lt;/R&gt;&lt;C&gt;1&lt;/C&gt;&lt;D xsi:type="xsd:double"&gt;1.3485447&lt;/D&gt;&lt;/FQL&gt;&lt;FQL&gt;&lt;Q&gt;CRS-US^P_BETA_LOCIDX(44816,44641,,"SPX")&lt;/Q&gt;&lt;R&gt;1&lt;/R&gt;&lt;C&gt;1&lt;/C&gt;&lt;D xsi:type="xsd:double"&gt;1.3748392&lt;/D&gt;&lt;/FQL&gt;&lt;FQL&gt;&lt;Q&gt;CRS-US^P_BETA_LOCIDX(44813,44638,,"SPX")&lt;/Q&gt;&lt;R&gt;1&lt;/R&gt;&lt;C&gt;1&lt;/C&gt;&lt;D xsi:type="xsd:double"&gt;1.3403902&lt;/D&gt;&lt;/FQL&gt;&lt;FQL&gt;&lt;Q&gt;CRS-US^P_BETA_LOCIDX(44812,44637,,"SPX")&lt;/Q&gt;&lt;R&gt;1&lt;/R&gt;&lt;C&gt;1&lt;/C&gt;&lt;D xsi:type="xsd:double"&gt;1.3225253&lt;/D&gt;&lt;/FQL&gt;&lt;FQL&gt;&lt;Q&gt;CRS-US^P_BETA_LOCIDX(44811,44636,,"SPX")&lt;/Q&gt;&lt;R&gt;1&lt;/R&gt;&lt;C&gt;1&lt;/C&gt;&lt;D xsi:type="xsd:double"&gt;1.2970986&lt;/D&gt;&lt;/FQL&gt;&lt;FQL&gt;&lt;Q&gt;CRS-US^P_BETA_LOCIDX(44810,44635,,"SPX")&lt;/Q&gt;&lt;R&gt;1&lt;/R&gt;&lt;C&gt;1&lt;/C&gt;&lt;D xsi:type="xsd:double"&gt;1.2937808&lt;/D&gt;&lt;/FQL&gt;&lt;FQL&gt;&lt;Q&gt;CRS-US^P_BETA_LOCIDX(44806,44634,,"SPX")&lt;/Q&gt;&lt;R&gt;1&lt;/R&gt;&lt;C&gt;1&lt;/C&gt;&lt;D xsi:type="xsd:double"&gt;1.2845284&lt;/D&gt;&lt;/FQL&gt;&lt;FQL&gt;&lt;Q&gt;CRS-US^P_BETA_LOCIDX(44805,44631,,"SPX")&lt;/Q&gt;&lt;R&gt;1&lt;/R&gt;&lt;C&gt;1&lt;/C&gt;&lt;D xsi:type="xsd:double"&gt;1.2931876&lt;/D&gt;&lt;/FQL&gt;&lt;FQL&gt;&lt;Q&gt;CRS-US^P_BETA_LOCIDX(44804,44630,,"SPX")&lt;/Q&gt;&lt;R&gt;1&lt;/R&gt;&lt;C&gt;1&lt;/C&gt;&lt;D xsi:type="xsd:double"&gt;1.2927557&lt;/D&gt;&lt;/FQL&gt;&lt;FQL&gt;&lt;Q&gt;CRS-US^P_BETA_LOCIDX(44803,44629,,"SPX")&lt;/Q&gt;&lt;R&gt;1&lt;/R&gt;&lt;C&gt;1&lt;/C&gt;&lt;D xsi:type="xsd:double"&gt;1.225672&lt;/D&gt;&lt;/FQL&gt;&lt;FQL&gt;&lt;Q&gt;CRS-US^P_BETA_LOCIDX(44802,44628,,"SPX")&lt;/Q&gt;&lt;R&gt;1&lt;/R&gt;&lt;C&gt;1&lt;/C&gt;&lt;D xsi:type="xsd:double"&gt;1.2139999&lt;/D&gt;&lt;/FQL&gt;&lt;FQL&gt;&lt;Q&gt;CRS-US^P_BETA_LOCIDX(44799,44627,,"SPX")&lt;/Q&gt;&lt;R&gt;1&lt;/R&gt;&lt;C&gt;1&lt;/C&gt;&lt;D xsi:type="xsd:double"&gt;1.1989224&lt;/D&gt;&lt;/FQL&gt;&lt;FQL&gt;&lt;Q&gt;CRS-US^P_BETA_LOCIDX(44798,44624,,"SPX")&lt;/Q&gt;&lt;R&gt;1&lt;/R&gt;&lt;C&gt;1&lt;/C&gt;&lt;D xsi:type="xsd:double"&gt;1.2096766&lt;/D&gt;&lt;/FQL&gt;&lt;FQL&gt;&lt;Q&gt;CRS-US^P_BETA_LOCIDX(44797,44623,,"SPX")&lt;/Q&gt;&lt;R&gt;1&lt;/R&gt;&lt;C&gt;1&lt;/C&gt;&lt;D xsi:type="xsd:double"&gt;1.212829&lt;/D&gt;&lt;/FQL&gt;&lt;FQL&gt;&lt;Q&gt;CRS-US^P_BETA_LOCIDX(44796,44622,,"SPX")&lt;/Q&gt;&lt;R&gt;1&lt;/R&gt;&lt;C&gt;1&lt;/C&gt;&lt;D xsi:type="xsd:double"&gt;1.242569&lt;/D&gt;&lt;/FQL&gt;&lt;FQL&gt;&lt;Q&gt;CRS-US^P_BETA_LOCIDX(44795,44621,,"SPX")&lt;/Q&gt;&lt;R&gt;1&lt;/R&gt;&lt;C&gt;1&lt;/C&gt;&lt;D xsi:type="xsd:double"&gt;1.2597116&lt;/D&gt;&lt;/FQL&gt;&lt;FQL&gt;&lt;Q&gt;CRS-US^P_BETA_LOCIDX(44792,44620,,"SPX")&lt;/Q&gt;&lt;R&gt;1&lt;/R&gt;&lt;C&gt;1&lt;/C&gt;&lt;D xsi:type="xsd:double"&gt;1.2449657&lt;/D&gt;&lt;/FQL&gt;&lt;FQL&gt;&lt;Q&gt;CRS-US^P_BETA_LOCIDX(44791,44617,,"SPX")&lt;/Q&gt;&lt;R&gt;1&lt;/R&gt;&lt;C&gt;1&lt;/C&gt;&lt;D xsi:type="xsd:double"&gt;1.2700113&lt;/D&gt;&lt;/FQL&gt;&lt;FQL&gt;&lt;Q&gt;CRS-US^P_BETA_LOCIDX(44790,44616,,"SPX")&lt;/Q&gt;&lt;R&gt;1&lt;/R&gt;&lt;C&gt;1&lt;/C&gt;&lt;D xsi:type="xsd:double"&gt;1.2634501&lt;/D&gt;&lt;/FQL&gt;&lt;FQL&gt;&lt;Q&gt;CRS-US^P_BETA_LOCIDX(44789,44615,,"SPX")&lt;/Q&gt;&lt;R&gt;1&lt;/R&gt;&lt;C&gt;1&lt;/C&gt;&lt;D xsi:type="xsd:double"&gt;1.2559925&lt;/D&gt;&lt;/FQL&gt;&lt;FQL&gt;&lt;Q&gt;CRS-US^P_BETA_LOCIDX(44788,44614,,"SPX")&lt;/Q&gt;&lt;R&gt;1&lt;/R&gt;&lt;C&gt;1&lt;/C&gt;&lt;D xsi:type="xsd:double"&gt;1.258349&lt;/D&gt;&lt;/FQL&gt;&lt;FQL&gt;&lt;Q&gt;CRS-US^P_BETA_LOCIDX(44785,44610,,"SPX")&lt;/Q&gt;&lt;R&gt;1&lt;/R&gt;&lt;C&gt;1&lt;/C&gt;&lt;D xsi:type="xsd:double"&gt;1.2598065&lt;/D&gt;&lt;/FQL&gt;&lt;FQL&gt;&lt;Q&gt;CRS-US^P_BETA_LOCIDX(44784,44609,,"SPX")&lt;/Q&gt;&lt;R&gt;1&lt;/R&gt;&lt;C&gt;1&lt;/C&gt;&lt;D xsi:type="xsd:double"&gt;1.2414746&lt;/D&gt;&lt;/FQL&gt;&lt;FQL&gt;&lt;Q&gt;CRS-US^P_BETA_LOCIDX(44783,44608,,"SPX")&lt;/Q&gt;&lt;R&gt;1&lt;/R&gt;&lt;C&gt;1&lt;/C&gt;&lt;D xsi:type="xsd:double"&gt;1.2407268&lt;/D&gt;&lt;/FQL&gt;&lt;FQL&gt;&lt;Q&gt;CRS-US^P_BETA_LOCIDX(44782,44607,,"SPX")&lt;/Q&gt;&lt;R&gt;1&lt;/R&gt;&lt;C&gt;1&lt;/C&gt;&lt;D xsi:type="xsd:double"&gt;1.2388917&lt;/D&gt;&lt;/FQL&gt;&lt;FQL&gt;&lt;Q&gt;CRS-US^P_BETA_LOCIDX(44781,44606,,"SPX")&lt;/Q&gt;&lt;R&gt;1&lt;/R&gt;&lt;C&gt;1&lt;/C&gt;&lt;D xsi:type="xsd:double"&gt;1.2412304&lt;/D&gt;&lt;/FQL&gt;&lt;FQL&gt;&lt;Q&gt;CRS-US^P_BETA_LOCIDX(44778,44603,,"SPX")&lt;/Q&gt;&lt;R&gt;1&lt;/R&gt;&lt;C&gt;1&lt;/C&gt;&lt;D xsi:type="xsd:double"&gt;1.1253786&lt;/D&gt;&lt;/FQL&gt;&lt;FQL&gt;&lt;Q&gt;CRS-US^P_BETA_LOCIDX(44777,44602,,"SPX")&lt;/Q&gt;&lt;R&gt;1&lt;/R&gt;&lt;C&gt;1&lt;/C&gt;&lt;D xsi:type="xsd:double"&gt;1.0818154&lt;/D&gt;&lt;/FQL&gt;&lt;FQL&gt;&lt;Q&gt;CRS-US^P_BETA_LOCIDX(44776,44601,,"SPX")&lt;/Q&gt;&lt;R&gt;1&lt;/R&gt;&lt;C&gt;1&lt;/C&gt;&lt;D xsi:type="xsd:double"&gt;1.1049577&lt;/D&gt;&lt;/FQL&gt;&lt;FQL&gt;&lt;Q&gt;CRS-US^P_BETA_LOCIDX(44775,44600,,"SPX")&lt;/Q&gt;&lt;R&gt;1&lt;/R&gt;&lt;C&gt;1&lt;/C&gt;&lt;D xsi:type="xsd:double"&gt;1.1078135&lt;/D&gt;&lt;/FQL&gt;&lt;FQL&gt;&lt;Q&gt;CRS-US^P_BETA_LOCIDX(44774,44599,,"SPX")&lt;/Q&gt;&lt;R&gt;1&lt;/R&gt;&lt;C&gt;1&lt;/C&gt;&lt;D xsi:type="xsd:double"&gt;1.105905&lt;/D&gt;&lt;/FQL&gt;&lt;FQL&gt;&lt;Q&gt;CX-US^P_BETA_LOCIDX(45841,45665,,"SPX")&lt;/Q&gt;&lt;R&gt;1&lt;/R&gt;&lt;C&gt;1&lt;/C&gt;&lt;D xsi:type="xsd:double"&gt;0.88546216&lt;/D&gt;&lt;/FQL&gt;&lt;FQL&gt;&lt;Q&gt;CX-US^P_BETA_LOCIDX(45840,45664,,"SPX")&lt;/Q&gt;&lt;R&gt;1&lt;/R&gt;&lt;C&gt;1&lt;/C&gt;&lt;D xsi:type="xsd:double"&gt;0.88381106&lt;/D&gt;&lt;/FQL&gt;&lt;FQL&gt;&lt;Q&gt;CX-US^P_BETA_LOCIDX(45839,45663,,"SPX")&lt;/Q&gt;&lt;R&gt;1&lt;/R&gt;&lt;C&gt;1&lt;/C&gt;&lt;D xsi:type="xsd:double"&gt;0.8842378&lt;/D&gt;&lt;/FQL&gt;&lt;FQL&gt;&lt;Q&gt;CX-US^P_BETA_LOCIDX(45838,45660,,"SPX")&lt;/Q&gt;&lt;R&gt;1&lt;/R&gt;&lt;C&gt;1&lt;/C&gt;&lt;D xsi:type="xsd:double"&gt;0.87805086&lt;/D&gt;&lt;/FQL&gt;&lt;FQL&gt;&lt;Q&gt;CX-US^P_BETA_LOCIDX(45835,45659,,"SPX")&lt;/Q&gt;&lt;R&gt;1&lt;/R&gt;&lt;C&gt;1&lt;/C&gt;&lt;D xsi:type="xsd:double"&gt;0.87528497&lt;/D&gt;&lt;/FQL&gt;&lt;FQL&gt;&lt;Q&gt;CX-US^P_BETA_LOCIDX(45834,45657,,"SPX")&lt;/Q&gt;&lt;R&gt;1&lt;/R&gt;&lt;C&gt;1&lt;/C&gt;&lt;D xsi:type="xsd:double"&gt;0.8743265&lt;/D&gt;&lt;/FQL&gt;&lt;FQL&gt;&lt;Q&gt;CX-US^P_BETA_LOCIDX(45833,45656,,"SPX")&lt;/Q&gt;&lt;R&gt;1&lt;/R&gt;&lt;C&gt;1&lt;/C&gt;&lt;D xsi:type="xsd:double"&gt;0.8774905&lt;/D&gt;&lt;/FQL&gt;&lt;FQL&gt;&lt;Q&gt;CX-US^P_BETA_LOCIDX(45832,45653,,"SPX")&lt;/Q&gt;&lt;R&gt;1&lt;/R&gt;&lt;C&gt;1&lt;/C&gt;&lt;D xsi:type="xsd:double"&gt;0.8754645&lt;/D&gt;&lt;/FQL&gt;&lt;FQL&gt;&lt;Q&gt;CX-US^P_BETA_LOCIDX(45831,45652,,"SPX")&lt;/Q&gt;&lt;R&gt;1&lt;/R&gt;&lt;C&gt;1&lt;/C&gt;&lt;D xsi:type="xsd:double"&gt;0.87133485&lt;/D&gt;&lt;/FQL&gt;&lt;FQL&gt;&lt;Q&gt;CX-US^P_BETA_LOCIDX(45828,45650,,"SPX")&lt;/Q&gt;&lt;R&gt;1&lt;/R&gt;&lt;C&gt;1&lt;/C&gt;&lt;D xsi:type="xsd:double"&gt;0.87667173&lt;/D&gt;&lt;/FQL&gt;&lt;FQL&gt;&lt;Q&gt;CX-US^P_BETA_LOCIDX(45826,45649,,"SPX")&lt;/Q&gt;&lt;R&gt;1&lt;/R&gt;&lt;C&gt;1&lt;/C&gt;&lt;D xsi:type="xsd:double"&gt;0.8697977&lt;/D&gt;&lt;/FQL&gt;&lt;FQL&gt;&lt;Q&gt;CX-US^P_BETA_LOCIDX(45825,45646,,"SPX")&lt;/Q&gt;&lt;R&gt;1&lt;/R&gt;&lt;C&gt;1&lt;/C&gt;&lt;D xsi:type="xsd:double"&gt;0.86777526&lt;/D&gt;&lt;/FQL&gt;&lt;FQL&gt;&lt;Q&gt;CX-US^P_BETA_LOCIDX(45824,45645,,"SPX")&lt;/Q&gt;&lt;R&gt;1&lt;/R&gt;&lt;C&gt;1&lt;/C&gt;&lt;D xsi:type="xsd:double"&gt;0.8649759&lt;/D&gt;&lt;/FQL&gt;&lt;FQL&gt;&lt;Q&gt;CX-US^P_BETA_LOCIDX(45821,45644,,"SPX")&lt;/Q&gt;&lt;R&gt;1&lt;/R&gt;&lt;C&gt;1&lt;/C&gt;&lt;D xsi:type="xsd:double"&gt;0.8527377&lt;/D&gt;&lt;/FQL&gt;&lt;FQL&gt;&lt;Q&gt;CX-US^P_BETA_LOCIDX(45820,45643,,"SPX")&lt;/Q&gt;&lt;R&gt;1&lt;/R&gt;&lt;C&gt;1&lt;/C&gt;&lt;D xsi:type="xsd:double"&gt;0.8429963&lt;/D&gt;&lt;/FQL&gt;&lt;FQL&gt;&lt;Q&gt;CX-US^P_BETA_LOCIDX(45819,45642,,"SPX")&lt;/Q&gt;&lt;R&gt;1&lt;/R&gt;&lt;C&gt;1&lt;/C&gt;&lt;D xsi:type="xsd:double"&gt;0.8424601&lt;/D&gt;&lt;/FQL&gt;&lt;FQL&gt;&lt;Q&gt;CX-US^P_BETA_LOCIDX(45818,45639,,"SPX")&lt;/Q&gt;&lt;R&gt;1&lt;/R&gt;&lt;C&gt;1&lt;/C&gt;&lt;D xsi:type="xsd:double"&gt;0.84317255&lt;/D&gt;&lt;/FQL&gt;&lt;FQL&gt;&lt;Q&gt;CX-US^P_BETA_LOCIDX(45817,45638,,"SPX")&lt;/Q&gt;&lt;R&gt;1&lt;/R&gt;&lt;C&gt;1&lt;/C&gt;&lt;D xsi:type="xsd:double"&gt;0.8391268&lt;/D&gt;&lt;/FQL&gt;&lt;FQL&gt;&lt;Q&gt;CX-US^P_BETA_LOCIDX(45814,45637,,"SPX")&lt;/Q&gt;&lt;R&gt;1&lt;/R&gt;&lt;C&gt;1&lt;/C&gt;&lt;D xsi:type="xsd:double"&gt;0.8281009&lt;/D&gt;&lt;/FQL&gt;&lt;FQL&gt;&lt;Q&gt;CX-US^P_BETA_LOCIDX(45813,45636,,"SPX")&lt;/Q&gt;&lt;R&gt;1&lt;/R&gt;&lt;C&gt;1&lt;/C&gt;&lt;D xsi:type="xsd:double"&gt;0.83747494&lt;/D&gt;&lt;/FQL&gt;&lt;FQL&gt;&lt;Q&gt;CX-US^P_BETA_LOCIDX(45812,45635,,"SPX")&lt;/Q&gt;&lt;R&gt;1&lt;/R&gt;&lt;C&gt;1&lt;/C&gt;&lt;D xsi:type="xsd:double"&gt;0.83696276&lt;/D&gt;&lt;/FQL&gt;&lt;FQL&gt;&lt;Q&gt;CX-US^P_BETA_LOCIDX(45811,45632,,"SPX")&lt;/Q&gt;&lt;R&gt;1&lt;/R&gt;&lt;C&gt;1&lt;/C&gt;&lt;D xsi:type="xsd:double"&gt;0.83638024&lt;/D&gt;&lt;/FQL&gt;&lt;FQL&gt;&lt;Q&gt;CX-US^P_BETA_LOCIDX(45810,45631,,"SPX")&lt;/Q&gt;&lt;R&gt;1&lt;/R&gt;&lt;C&gt;1&lt;/C&gt;&lt;D xsi:type="xsd:double"&gt;0.836942&lt;/D&gt;&lt;/FQL&gt;&lt;FQL&gt;&lt;Q&gt;CX-US^P_BETA_LOCIDX(45807,45630,,"SPX")&lt;/Q&gt;&lt;R&gt;1&lt;/R&gt;&lt;C&gt;1&lt;/C&gt;&lt;D xsi:type="xsd:double"&gt;0.8386844&lt;/D&gt;&lt;/FQL&gt;&lt;FQL&gt;&lt;Q&gt;CX-US^P_BETA_LOCIDX(45806,45629,,"SPX")&lt;/Q&gt;&lt;R&gt;1&lt;/R&gt;&lt;C&gt;1&lt;/C&gt;&lt;D xsi:type="xsd:double"&gt;0.8386599&lt;/D&gt;&lt;/FQL&gt;&lt;FQL&gt;&lt;Q&gt;CX-US^P_BETA_LOCIDX(45805,45628,,"SPX")&lt;/Q&gt;&lt;R&gt;1&lt;/R&gt;&lt;C&gt;1&lt;/C&gt;&lt;D xsi:type="xsd:double"&gt;0.8414393&lt;/D&gt;&lt;/FQL&gt;&lt;FQL&gt;&lt;Q&gt;CX-US^P_BETA_LOCIDX(45804,45625,,"SPX")&lt;/Q&gt;&lt;R&gt;1&lt;/R&gt;&lt;C&gt;1&lt;/C&gt;&lt;D xsi:type="xsd:double"&gt;0.8420042&lt;/D&gt;&lt;/FQL&gt;&lt;FQL&gt;&lt;Q&gt;CX-US^P_BETA_LOCIDX(45800,45623,,"SPX")&lt;/Q&gt;&lt;R&gt;1&lt;/R&gt;&lt;C&gt;1&lt;/C&gt;&lt;D xsi:type="xsd:double"&gt;0.85023934&lt;/D&gt;&lt;/FQL&gt;&lt;FQL&gt;&lt;Q&gt;CX-US^P_BETA_LOCIDX(45799,45622,,"SPX")&lt;/Q&gt;&lt;R&gt;1&lt;/R&gt;&lt;C&gt;1&lt;/C&gt;&lt;D xsi:type="xsd:double"&gt;0.84291375&lt;/D&gt;&lt;/FQL&gt;&lt;FQL&gt;&lt;Q&gt;CX-US^P_BETA_LOCIDX(45798,45621,,"SPX")&lt;/Q&gt;&lt;R&gt;1&lt;/R&gt;&lt;C&gt;1&lt;/C&gt;&lt;D xsi:type="xsd:double"&gt;0.8471698&lt;/D&gt;&lt;/FQL&gt;&lt;FQL&gt;&lt;Q&gt;CX-US^P_BETA_LOCIDX(45797,45618,,"SPX")&lt;/Q&gt;&lt;R&gt;1&lt;/R&gt;&lt;C&gt;1&lt;/C&gt;&lt;D xsi:type="xsd:double"&gt;0.8523349&lt;/D&gt;&lt;/FQL&gt;&lt;FQL&gt;&lt;Q&gt;CX-US^P_BETA_LOCIDX(45796,45617,,"SPX")&lt;/Q&gt;&lt;R&gt;1&lt;/R&gt;&lt;C&gt;1&lt;/C&gt;&lt;D xsi:type="xsd:double"&gt;0.8545334&lt;/D&gt;&lt;/FQL&gt;&lt;FQL&gt;&lt;Q&gt;CX-US^P_BETA_LOCIDX(45793,45616,,"SPX")&lt;/Q&gt;&lt;R&gt;1&lt;/R&gt;&lt;C&gt;1&lt;/C&gt;&lt;D xsi:type="xsd:double"&gt;0.85444903&lt;/D&gt;&lt;/FQL&gt;&lt;FQL&gt;&lt;Q&gt;CX-US^P_BETA_LOCIDX(45792,45615,,"SPX")&lt;/Q&gt;&lt;R&gt;1&lt;/R&gt;&lt;C&gt;1&lt;/C&gt;&lt;D xsi:type="xsd:double"&gt;0.85467917&lt;/D&gt;&lt;/FQL&gt;&lt;FQL&gt;&lt;Q&gt;CX-US^P_BETA_LOCIDX(45791,45614,,"SPX")&lt;/Q&gt;&lt;R&gt;1&lt;/R&gt;&lt;C&gt;1&lt;/C&gt;&lt;D xsi:type="xsd:double"&gt;0.8543775&lt;/D&gt;&lt;/FQL&gt;&lt;FQL&gt;&lt;Q&gt;CX-US^P_BETA_LOCIDX(45790,45611,,"SPX")&lt;/Q&gt;&lt;R&gt;1&lt;/R&gt;&lt;C&gt;1&lt;/C&gt;&lt;D xsi:type="xsd:double"&gt;0.83835685&lt;/D&gt;&lt;/FQL&gt;&lt;FQL&gt;&lt;Q&gt;CX-US^P_BETA_LOCIDX(45789,45610,,"SPX")&lt;/Q&gt;&lt;R&gt;1&lt;/R&gt;&lt;C&gt;1&lt;/C&gt;&lt;D xsi:type="xsd:double"&gt;0.8295704&lt;/D&gt;&lt;/FQL&gt;&lt;FQL&gt;&lt;Q&gt;CX-US^P_BETA_LOCIDX(45786,45609,,"SPX")&lt;/Q&gt;&lt;R&gt;1&lt;/R&gt;&lt;C&gt;1&lt;/C&gt;&lt;D xsi:type="xsd:double"&gt;0.8357678&lt;/D&gt;&lt;/FQL&gt;&lt;FQL&gt;&lt;Q&gt;CX-US^P_BETA_LOCIDX(45785,45608,,"SPX")&lt;/Q&gt;&lt;R&gt;1&lt;/R&gt;&lt;C&gt;1&lt;/C&gt;&lt;D xsi:type="xsd:double"&gt;0.8388041&lt;/D&gt;&lt;/FQL&gt;&lt;FQL&gt;&lt;Q&gt;CX-US^P_BETA_LOCIDX(45784,45607,,"SPX")&lt;/Q&gt;&lt;R&gt;1&lt;/R&gt;&lt;C&gt;1&lt;/C&gt;&lt;D xsi:type="xsd:double"&gt;0.8367706&lt;/D&gt;&lt;/FQL&gt;&lt;FQL&gt;&lt;Q&gt;CX-US^P_BETA_LOCIDX(45783,45604,,"SPX")&lt;/Q&gt;&lt;R&gt;1&lt;/R&gt;&lt;C&gt;1&lt;/C&gt;&lt;D xsi:type="xsd:double"&gt;0.82600373&lt;/D&gt;&lt;/FQL&gt;&lt;FQL&gt;&lt;Q&gt;CX-US^P_BETA_LOCIDX(45782,45603,,"SPX")&lt;/Q&gt;&lt;R&gt;1&lt;/R&gt;&lt;C&gt;1&lt;/C&gt;&lt;D xsi:type="xsd:double"&gt;0.84479594&lt;/D&gt;&lt;/FQL&gt;&lt;FQL&gt;&lt;Q&gt;CX-US^P_BETA_LOCIDX(45779,45602,,"SPX")&lt;/Q&gt;&lt;R&gt;1&lt;/R&gt;&lt;C&gt;1&lt;/C&gt;&lt;D xsi:type="xsd:double"&gt;0.9049422&lt;/D&gt;&lt;/FQL&gt;&lt;FQL&gt;&lt;Q&gt;CX-US^P_BETA_LOCIDX(45778,45601,,"SPX")&lt;/Q&gt;&lt;R&gt;1&lt;/R&gt;&lt;C&gt;1&lt;/C&gt;&lt;D xsi:type="xsd:double"&gt;0.9112886&lt;/D&gt;&lt;/FQL&gt;&lt;FQL&gt;&lt;Q&gt;CX-US^P_BETA_LOCIDX(45777,45600,,"SPX")&lt;/Q&gt;&lt;R&gt;1&lt;/R&gt;&lt;C&gt;1&lt;/C&gt;&lt;D xsi:type="xsd:double"&gt;0.9156443&lt;/D&gt;&lt;/FQL&gt;&lt;FQL&gt;&lt;Q&gt;CX-US^P_BETA_LOCIDX(45776,45597,,"SPX")&lt;/Q&gt;&lt;R&gt;1&lt;/R&gt;&lt;C&gt;1&lt;/C&gt;&lt;D xsi:type="xsd:double"&gt;0.91314316&lt;/D&gt;&lt;/FQL&gt;&lt;FQL&gt;&lt;Q&gt;CX-US^P_BETA_LOCIDX(45775,45596,,"SPX")&lt;/Q&gt;&lt;R&gt;1&lt;/R&gt;&lt;C&gt;1&lt;/C&gt;&lt;D xsi:type="xsd:double"&gt;0.9107974&lt;/D&gt;&lt;/FQL&gt;&lt;FQL&gt;&lt;Q&gt;CX-US^P_BETA_LOCIDX(45772,45595,,"SPX")&lt;/Q&gt;&lt;R&gt;1&lt;/R&gt;&lt;C&gt;1&lt;/C&gt;&lt;D xsi:type="xsd:double"&gt;0.9094497&lt;/D&gt;&lt;/FQL&gt;&lt;FQL&gt;&lt;Q&gt;CX-US^P_BETA_LOCIDX(45771,45594,,"SPX")&lt;/Q&gt;&lt;R&gt;1&lt;/R&gt;&lt;C&gt;1&lt;/C&gt;&lt;D xsi:type="xsd:double"&gt;0.8979571&lt;/D&gt;&lt;/FQL&gt;&lt;FQL&gt;&lt;Q&gt;CX-US^P_BETA_LOCIDX(45770,45593,,"SPX")&lt;/Q&gt;&lt;R&gt;1&lt;/R&gt;&lt;C&gt;1&lt;/C&gt;&lt;D xsi:type="xsd:double"&gt;0.89150876&lt;/D&gt;&lt;/FQL&gt;&lt;FQL&gt;&lt;Q&gt;CX-US^P_BETA_LOCIDX(45769,45590,,"SPX")&lt;/Q&gt;&lt;R&gt;1&lt;/R&gt;&lt;C&gt;1&lt;/C&gt;&lt;D xsi:type="xsd:double"&gt;0.88386124&lt;/D&gt;&lt;/FQL&gt;&lt;FQL&gt;&lt;Q&gt;CX-US^P_BETA_LOCIDX(45768,45589,,"SPX")&lt;/Q&gt;&lt;R&gt;1&lt;/R&gt;&lt;C&gt;1&lt;/C&gt;&lt;D xsi:type="xsd:double"&gt;0.8766349&lt;/D&gt;&lt;/FQL&gt;&lt;FQL&gt;&lt;Q&gt;CX-US^P_BETA_LOCIDX(45764,45588,,"SPX")&lt;/Q&gt;&lt;R&gt;1&lt;/R&gt;&lt;C&gt;1&lt;/C&gt;&lt;D xsi:type="xsd:double"&gt;0.87099785&lt;/D&gt;&lt;/FQL&gt;&lt;FQL&gt;&lt;Q&gt;CX-US^P_BETA_LOCIDX(45763,45587,,"SPX")&lt;/Q&gt;&lt;R&gt;1&lt;/R&gt;&lt;C&gt;1&lt;/C&gt;&lt;D xsi:type="xsd:double"&gt;0.8680904&lt;/D&gt;&lt;/FQL&gt;&lt;FQL&gt;&lt;Q&gt;CX-US^P_BETA_LOCIDX(45762,45586,,"SPX")&lt;/Q&gt;&lt;R&gt;1&lt;/R&gt;&lt;C&gt;1&lt;/C&gt;&lt;D xsi:type="xsd:double"&gt;0.8799857&lt;/D&gt;&lt;/FQL&gt;&lt;FQL&gt;&lt;Q&gt;CX-US^P_BETA_LOCIDX(45761,45583,,"SPX")&lt;/Q&gt;&lt;R&gt;1&lt;/R&gt;&lt;C&gt;1&lt;/C&gt;&lt;D xsi:type="xsd:double"&gt;0.8795106&lt;/D&gt;&lt;/FQL&gt;&lt;FQL&gt;&lt;Q&gt;CX-US^P_BETA_LOCIDX(45758,45582,,"SPX")&lt;/Q&gt;&lt;R&gt;1&lt;/R&gt;&lt;C&gt;1&lt;/C&gt;&lt;D xsi:type="xsd:double"&gt;0.8724397&lt;/D&gt;&lt;/FQL&gt;&lt;FQL&gt;&lt;Q&gt;CX-US^P_BETA_LOCIDX(45757,45581,,"SPX")&lt;/Q&gt;&lt;R&gt;1&lt;/R&gt;&lt;C&gt;1&lt;/C&gt;&lt;D xsi:type="xsd:double"&gt;0.86027414&lt;/D&gt;&lt;/FQL&gt;&lt;FQL&gt;&lt;Q&gt;CX-US^P_BETA_LOCIDX(45756,45580,,"SPX")&lt;/Q&gt;&lt;R&gt;1&lt;/R&gt;&lt;C&gt;1&lt;/C&gt;&lt;D xsi:type="xsd:double"&gt;0.8248197&lt;/D&gt;&lt;/FQL&gt;&lt;FQL&gt;&lt;Q&gt;CX-US^P_BETA_LOCIDX(45755,45579,,"SPX")&lt;/Q&gt;&lt;R&gt;1&lt;/R&gt;&lt;C&gt;1&lt;/C&gt;&lt;D xsi:type="xsd:double"&gt;0.98662615&lt;/D&gt;&lt;/FQL&gt;&lt;FQL&gt;&lt;Q&gt;CX-US^P_BETA_LOCIDX(45754,45576,,"SPX")&lt;/Q&gt;&lt;R&gt;1&lt;/R&gt;&lt;C&gt;1&lt;/C&gt;&lt;D xsi:type="xsd:double"&gt;0.9914461&lt;/D&gt;&lt;/FQL&gt;&lt;FQL&gt;&lt;Q&gt;CX-US^P_BETA_LOCIDX(45751,45575,,"SPX")&lt;/Q&gt;&lt;R&gt;1&lt;/R&gt;&lt;C&gt;1&lt;/C&gt;&lt;D xsi:type="xsd:double"&gt;0.9898141&lt;/D&gt;&lt;/FQL&gt;&lt;FQL&gt;&lt;Q&gt;CX-US^P_BETA_LOCIDX(45750,45574,,"SPX")&lt;/Q&gt;&lt;R&gt;1&lt;/R&gt;&lt;C&gt;1&lt;/C&gt;&lt;D xsi:type="xsd:double"&gt;0.90318406&lt;/D&gt;&lt;/FQL&gt;&lt;FQL&gt;&lt;Q&gt;CX-US^P_BETA_LOCIDX(45749,45573,,"SPX")&lt;/Q&gt;&lt;R&gt;1&lt;/R&gt;&lt;C&gt;1&lt;/C&gt;&lt;D xsi:type="xsd:double"&gt;1.0273299&lt;/D&gt;&lt;/FQL&gt;&lt;FQL&gt;&lt;Q&gt;CX-US^P_BETA_LOCIDX(45748,45572,,"SPX")&lt;/Q&gt;&lt;R&gt;1&lt;/R&gt;&lt;C&gt;1&lt;/C&gt;&lt;D xsi:type="xsd:double"&gt;1.0304368&lt;/D&gt;&lt;/FQL&gt;&lt;FQL&gt;&lt;Q&gt;CX-US^P_BETA_LOCIDX(45747,45569,,"SPX")&lt;/Q&gt;&lt;R&gt;1&lt;/R&gt;&lt;C&gt;1&lt;/C&gt;&lt;D xsi:type="xsd:double"&gt;1.010091&lt;/D&gt;&lt;/FQL&gt;&lt;FQL&gt;&lt;Q&gt;CX-US^P_BETA_LOCIDX(45744,45568,,"SPX")&lt;/Q&gt;&lt;R&gt;1&lt;/R&gt;&lt;C&gt;1&lt;/C&gt;&lt;D xsi:type="xsd:double"&gt;1.0163175&lt;/D&gt;&lt;/FQL&gt;&lt;FQL&gt;&lt;Q&gt;CX-US^P_BETA_LOCIDX(45743,45567,,"SPX")&lt;/Q&gt;&lt;R&gt;1&lt;/R&gt;&lt;C&gt;1&lt;/C&gt;&lt;D xsi:type="xsd:double"&gt;0.9357423&lt;/D&gt;&lt;/FQL&gt;&lt;FQL&gt;&lt;Q&gt;CX-US^P_BETA_LOCIDX(45742,45566,,"SPX")&lt;/Q&gt;&lt;R&gt;1&lt;/R&gt;&lt;C&gt;1&lt;/C&gt;&lt;D xsi:type="xsd:double"&gt;0.95986575&lt;/D&gt;&lt;/FQL&gt;&lt;FQL&gt;&lt;Q&gt;CX-US^P_BETA_LOCIDX(45741,45565,,"SPX")&lt;/Q&gt;&lt;R&gt;1&lt;/R&gt;&lt;C&gt;1&lt;/C&gt;&lt;D xsi:type="xsd:double"&gt;0.90864855&lt;/D&gt;&lt;/FQL&gt;&lt;FQL&gt;&lt;Q&gt;CX-US^P_BETA_LOCIDX(45740,45562,,"SPX")&lt;/Q&gt;&lt;R&gt;1&lt;/R&gt;&lt;C&gt;1&lt;/C&gt;&lt;D xsi:type="xsd:double"&gt;0.9072457&lt;/D&gt;&lt;/FQL&gt;&lt;FQL&gt;&lt;Q&gt;CX-US^P_BETA_LOCIDX(45737,45561,,"SPX")&lt;/Q&gt;&lt;R&gt;1&lt;/R&gt;&lt;C&gt;1&lt;/C&gt;&lt;D xsi:type="xsd:double"&gt;0.8919273&lt;/D&gt;&lt;/FQL&gt;&lt;FQL&gt;&lt;Q&gt;CX-US^P_BETA_LOCIDX(45736,45560,,"SPX")&lt;/Q&gt;&lt;R&gt;1&lt;/R&gt;&lt;C&gt;1&lt;/C&gt;&lt;D xsi:type="xsd:double"&gt;0.8970115&lt;/D&gt;&lt;/FQL&gt;&lt;FQL&gt;&lt;Q&gt;CX-US^P_BETA_LOCIDX(45735,45559,,"SPX")&lt;/Q&gt;&lt;R&gt;1&lt;/R&gt;&lt;C&gt;1&lt;/C&gt;&lt;D xsi:type="xsd:double"&gt;0.8964171&lt;/D&gt;&lt;/FQL&gt;&lt;FQL&gt;&lt;Q&gt;CX-US^P_BETA_LOCIDX(45734,45558,,"SPX")&lt;/Q&gt;&lt;R&gt;1&lt;/R&gt;&lt;C&gt;1&lt;/C&gt;&lt;D xsi:type="xsd:double"&gt;0.90013146&lt;/D&gt;&lt;/FQL&gt;&lt;FQL&gt;&lt;Q&gt;CX-US^P_BETA_LOCIDX(45733,45555,,"SPX")&lt;/Q&gt;&lt;R&gt;1&lt;/R&gt;&lt;C&gt;1&lt;/C&gt;&lt;D xsi:type="xsd:double"&gt;0.9082609&lt;/D&gt;&lt;/FQL&gt;&lt;FQL&gt;&lt;Q&gt;CX-US^P_BETA_LOCIDX(45730,45554,,"SPX")&lt;/Q&gt;&lt;R&gt;1&lt;/R&gt;&lt;C&gt;1&lt;/C&gt;&lt;D xsi:type="xsd:double"&gt;0.9310754&lt;/D&gt;&lt;/FQL&gt;&lt;FQL&gt;&lt;Q&gt;CX-US^P_BETA_LOCIDX(45729,45553,,"SPX")&lt;/Q&gt;&lt;R&gt;1&lt;/R&gt;&lt;C&gt;1&lt;/C&gt;&lt;D xsi:type="xsd:double"&gt;0.91428065&lt;/D&gt;&lt;/FQL&gt;&lt;FQL&gt;&lt;Q&gt;CX-US^P_BETA_LOCIDX(45728,45552,,"SPX")&lt;/Q&gt;&lt;R&gt;1&lt;/R&gt;&lt;C&gt;1&lt;/C&gt;&lt;D xsi:type="xsd:double"&gt;0.9004247&lt;/D&gt;&lt;/FQL&gt;&lt;FQL&gt;&lt;Q&gt;CX-US^P_BETA_LOCIDX(45727,45551,,"SPX")&lt;/Q&gt;&lt;R&gt;1&lt;/R&gt;&lt;C&gt;1&lt;/C&gt;&lt;D xsi:type="xsd:double"&gt;0.90311545&lt;/D&gt;&lt;/FQL&gt;&lt;FQL&gt;&lt;Q&gt;CX-US^P_BETA_LOCIDX(45726,45548,,"SPX")&lt;/Q&gt;&lt;R&gt;1&lt;/R&gt;&lt;C&gt;1&lt;/C&gt;&lt;D xsi:type="xsd:double"&gt;0.92389804&lt;/D&gt;&lt;/FQL&gt;&lt;FQL&gt;&lt;Q&gt;CX-US^P_BETA_LOCIDX(45723,45547,,"SPX")&lt;/Q&gt;&lt;R&gt;1&lt;/R&gt;&lt;C&gt;1&lt;/C&gt;&lt;D xsi:type="xsd:double"&gt;0.94101226&lt;/D&gt;&lt;/FQL&gt;&lt;FQL&gt;&lt;Q&gt;CX-US^P_BETA_LOCIDX(45722,45546,,"SPX")&lt;/Q&gt;&lt;R&gt;1&lt;/R&gt;&lt;C&gt;1&lt;/C&gt;&lt;D xsi:type="xsd:double"&gt;0.9990203&lt;/D&gt;&lt;/FQL&gt;&lt;FQL&gt;&lt;Q&gt;CX-US^P_BETA_LOCIDX(45721,45545,,"SPX")&lt;/Q&gt;&lt;R&gt;1&lt;/R&gt;&lt;C&gt;1&lt;/C&gt;&lt;D xsi:type="xsd:double"&gt;1.066813&lt;/D&gt;&lt;/FQL&gt;&lt;FQL&gt;&lt;Q&gt;CX-US^P_BETA_LOCIDX(45720,45544,,"SPX")&lt;/Q&gt;&lt;R&gt;1&lt;/R&gt;&lt;C&gt;1&lt;/C&gt;&lt;D xsi:type="xsd:double"&gt;0.9883747&lt;/D&gt;&lt;/FQL&gt;&lt;FQL&gt;&lt;Q&gt;CX-US^P_BETA_LOCIDX(45719,45541,,"SPX")&lt;/Q&gt;&lt;R&gt;1&lt;/R&gt;&lt;C&gt;1&lt;/C&gt;&lt;D xsi:type="xsd:double"&gt;1.0305486&lt;/D&gt;&lt;/FQL&gt;&lt;FQL&gt;&lt;Q&gt;CX-US^P_BETA_LOCIDX(45716,45540,,"SPX")&lt;/Q&gt;&lt;R&gt;1&lt;/R&gt;&lt;C&gt;1&lt;/C&gt;&lt;D xsi:type="xsd:double"&gt;0.9633919&lt;/D&gt;&lt;/FQL&gt;&lt;FQL&gt;&lt;Q&gt;CX-US^P_BETA_LOCIDX(45715,45539,,"SPX")&lt;/Q&gt;&lt;R&gt;1&lt;/R&gt;&lt;C&gt;1&lt;/C&gt;&lt;D xsi:type="xsd:double"&gt;1.0327164&lt;/D&gt;&lt;/FQL&gt;&lt;FQL&gt;&lt;Q&gt;CX-US^P_BETA_LOCIDX(45714,45538,,"SPX")&lt;/Q&gt;&lt;R&gt;1&lt;/R&gt;&lt;C&gt;1&lt;/C&gt;&lt;D xsi:type="xsd:double"&gt;1.0329298&lt;/D&gt;&lt;/FQL&gt;&lt;FQL&gt;&lt;Q&gt;CX-US^P_BETA_LOCIDX(45713,45534,,"SPX")&lt;/Q&gt;&lt;R&gt;1&lt;/R&gt;&lt;C&gt;1&lt;/C&gt;&lt;D xsi:type="xsd:double"&gt;1.0361843&lt;/D&gt;&lt;/FQL&gt;&lt;FQL&gt;&lt;Q&gt;CX-US^P_BETA_LOCIDX(45712,45533,,"SPX")&lt;/Q&gt;&lt;R&gt;1&lt;/R&gt;&lt;C&gt;1&lt;/C&gt;&lt;D xsi:type="xsd:double"&gt;1.0439626&lt;/D&gt;&lt;/FQL&gt;&lt;FQL&gt;&lt;Q&gt;CX-US^P_BETA_LOCIDX(45709,45532,,"SPX")&lt;/Q&gt;&lt;R&gt;1&lt;/R&gt;&lt;C&gt;1&lt;/C&gt;&lt;D xsi:type="xsd:double"&gt;1.0271078&lt;/D&gt;&lt;/FQL&gt;&lt;FQL&gt;&lt;Q&gt;CX-US^P_BETA_LOCIDX(45708,45531,,"SPX")&lt;/Q&gt;&lt;R&gt;1&lt;/R&gt;&lt;C&gt;1&lt;/C&gt;&lt;D xsi:type="xsd:double"&gt;0.99784905&lt;/D&gt;&lt;/FQL&gt;&lt;FQL&gt;&lt;Q&gt;CX-US^P_BETA_LOCIDX(45707,45530,,"SPX")&lt;/Q&gt;&lt;R&gt;1&lt;/R&gt;&lt;C&gt;1&lt;/C&gt;&lt;D xsi:type="xsd:double"&gt;1.0249668&lt;/D&gt;&lt;/FQL&gt;&lt;FQL&gt;&lt;Q&gt;CX-US^P_BETA_LOCIDX(45706,45527,,"SPX")&lt;/Q&gt;&lt;R&gt;1&lt;/R&gt;&lt;C&gt;1&lt;/C&gt;&lt;D xsi:type="xsd:double"&gt;1.057624&lt;/D&gt;&lt;/FQL&gt;&lt;FQL&gt;&lt;Q&gt;CX-US^P_BETA_LOCIDX(45702,45526,,"SPX")&lt;/Q&gt;&lt;R&gt;1&lt;/R&gt;&lt;C&gt;1&lt;/C&gt;&lt;D xsi:type="xsd:double"&gt;1.0614598&lt;/D&gt;&lt;/FQL&gt;&lt;FQL&gt;&lt;Q&gt;CX-US^P_BETA_LOCIDX(45701,45525,,"SPX")&lt;/Q&gt;&lt;R&gt;1&lt;/R&gt;&lt;C&gt;1&lt;/C&gt;&lt;D xsi:type="xsd:double"&gt;1.0533794&lt;/D&gt;&lt;/FQL&gt;&lt;FQL&gt;&lt;Q&gt;CX-US^P_BETA_LOCIDX(45700,45524,,"SPX")&lt;/Q&gt;&lt;R&gt;1&lt;/R&gt;&lt;C&gt;1&lt;/C&gt;&lt;D xsi:type="xsd:double"&gt;1.0583364&lt;/D&gt;&lt;/FQL&gt;&lt;FQL&gt;&lt;Q&gt;CX-US^P_BETA_LOCIDX(45699,45523,,"SPX")&lt;/Q&gt;&lt;R&gt;1&lt;/R&gt;&lt;C&gt;1&lt;/C&gt;&lt;D xsi:type="xsd:double"&gt;1.0427499&lt;/D&gt;&lt;/FQL&gt;&lt;FQL&gt;&lt;Q&gt;CX-US^P_BETA_LOCIDX(45698,45520,,"SPX")&lt;/Q&gt;&lt;R&gt;1&lt;/R&gt;&lt;C&gt;1&lt;/C&gt;&lt;D xsi:type="xsd:double"&gt;1.0386331&lt;/D&gt;&lt;/FQL&gt;&lt;FQL&gt;&lt;Q&gt;CX-US^P_BETA_LOCIDX(45695,45519,,"SPX")&lt;/Q&gt;&lt;R&gt;1&lt;/R&gt;&lt;C&gt;1&lt;/C&gt;&lt;D xsi:type="xsd:double"&gt;1.1548343&lt;/D&gt;&lt;/FQL&gt;&lt;FQL&gt;&lt;Q&gt;CX-US^P_BETA_LOCIDX(45694,45518,,"SPX")&lt;/Q&gt;&lt;R&gt;1&lt;/R&gt;&lt;C&gt;1&lt;/C&gt;&lt;D xsi:type="xsd:double"&gt;1.1539825&lt;/D&gt;&lt;/FQL&gt;&lt;FQL&gt;&lt;Q&gt;CX-US^P_BETA_LOCIDX(45693,45517,,"SPX")&lt;/Q&gt;&lt;R&gt;1&lt;/R&gt;&lt;C&gt;1&lt;/C&gt;&lt;D xsi:type="xsd:double"&gt;1.0931059&lt;/D&gt;&lt;/FQL&gt;&lt;FQL&gt;&lt;Q&gt;CX-US^P_BETA_LOCIDX(45692,45516,,"SPX")&lt;/Q&gt;&lt;R&gt;1&lt;/R&gt;&lt;C&gt;1&lt;/C&gt;&lt;D xsi:type="xsd:double"&gt;1.1019007&lt;/D&gt;&lt;/FQL&gt;&lt;FQL&gt;&lt;Q&gt;CX-US^P_BETA_LOCIDX(45691,45513,,"SPX")&lt;/Q&gt;&lt;R&gt;1&lt;/R&gt;&lt;C&gt;1&lt;/C&gt;&lt;D xsi:type="xsd:double"&gt;1.0988799&lt;/D&gt;&lt;/FQL&gt;&lt;FQL&gt;&lt;Q&gt;CX-US^P_BETA_LOCIDX(45688,45512,,"SPX")&lt;/Q&gt;&lt;R&gt;1&lt;/R&gt;&lt;C&gt;1&lt;/C&gt;&lt;D xsi:type="xsd:double"&gt;1.1402093&lt;/D&gt;&lt;/FQL&gt;&lt;FQL&gt;&lt;Q&gt;CX-US^P_BETA_LOCIDX(45687,45511,,"SPX")&lt;/Q&gt;&lt;R&gt;1&lt;/R&gt;&lt;C&gt;1&lt;/C&gt;&lt;D xsi:type="xsd:double"&gt;1.1056242&lt;/D&gt;&lt;/FQL&gt;&lt;FQL&gt;&lt;Q&gt;CX-US^P_BETA_LOCIDX(45686,45510,,"SPX")&lt;/Q&gt;&lt;R&gt;1&lt;/R&gt;&lt;C&gt;1&lt;/C&gt;&lt;D xsi:type="xsd:double"&gt;1.1048326&lt;/D&gt;&lt;/FQL&gt;&lt;FQL&gt;&lt;Q&gt;CX-US^P_BETA_LOCIDX(45685,45509,,"SPX")&lt;/Q&gt;&lt;R&gt;1&lt;/R&gt;&lt;C&gt;1&lt;/C&gt;&lt;D xsi:type="xsd:double"&gt;1.0222625&lt;/D&gt;&lt;/FQL&gt;&lt;FQL&gt;&lt;Q&gt;CX-US^P_BETA_LOCIDX(45684,45506,,"SPX")&lt;/Q&gt;&lt;R&gt;1&lt;/R&gt;&lt;C&gt;1&lt;/C&gt;&lt;D xsi:type="xsd:double"&gt;1.0653454&lt;/D&gt;&lt;/FQL&gt;&lt;FQL&gt;&lt;Q&gt;CX-US^P_BETA_LOCIDX(45681,45505,,"SPX")&lt;/Q&gt;&lt;R&gt;1&lt;/R&gt;&lt;C&gt;1&lt;/C&gt;&lt;D xsi:type="xsd:double"&gt;1.0867667&lt;/D&gt;&lt;/FQL&gt;&lt;FQL&gt;&lt;Q&gt;CX-US^P_BETA_LOCIDX(45680,45504,,"SPX")&lt;/Q&gt;&lt;R&gt;1&lt;/R&gt;&lt;C&gt;1&lt;/C&gt;&lt;D xsi:type="xsd:double"&gt;1.1122375&lt;/D&gt;&lt;/FQL&gt;&lt;FQL&gt;&lt;Q&gt;CX-US^P_BETA_LOCIDX(45679,45503,,"SPX")&lt;/Q&gt;&lt;R&gt;1&lt;/R&gt;&lt;C&gt;1&lt;/C&gt;&lt;D xsi:type="xsd:double"&gt;1.1087881&lt;/D&gt;&lt;/FQL&gt;&lt;FQL&gt;&lt;Q&gt;CX-US^P_BETA_LOCIDX(45678,45502,,"SPX")&lt;/Q&gt;&lt;R&gt;1&lt;/R&gt;&lt;C&gt;1&lt;/C&gt;&lt;D xsi:type="xsd:double"&gt;1.1046121&lt;/D&gt;&lt;/FQL&gt;&lt;FQL&gt;&lt;Q&gt;CX-US^P_BETA_LOCIDX(45674,45499,,"SPX")&lt;/Q&gt;&lt;R&gt;1&lt;/R&gt;&lt;C&gt;1&lt;/C&gt;&lt;D xsi:type="xsd:double"&gt;1.0860528&lt;/D&gt;&lt;/FQL&gt;&lt;FQL&gt;&lt;Q&gt;CX-US^P_BETA_LOCIDX(45673,45498,,"SPX")&lt;/Q&gt;&lt;R&gt;1&lt;/R&gt;&lt;C&gt;1&lt;/C&gt;&lt;D xsi:type="xsd:double"&gt;1.089485&lt;/D&gt;&lt;/FQL&gt;&lt;FQL&gt;&lt;Q&gt;CX-US^P_BETA_LOCIDX(45672,45497,,"SPX")&lt;/Q&gt;&lt;R&gt;1&lt;/R&gt;&lt;C&gt;1&lt;/C&gt;&lt;D xsi:type="xsd:double"&gt;1.1224152&lt;/D&gt;&lt;/FQL&gt;&lt;FQL&gt;&lt;Q&gt;CX-US^P_BETA_LOCIDX(45671,45496,,"SPX")&lt;/Q&gt;&lt;R&gt;1&lt;/R&gt;&lt;C&gt;1&lt;/C&gt;&lt;D xsi:type="xsd:double"&gt;1.101221&lt;/D&gt;&lt;/FQL&gt;&lt;FQL&gt;&lt;Q&gt;CX-US^P_BETA_LOCIDX(45670,45495,,"SPX")&lt;/Q&gt;&lt;R&gt;1&lt;/R&gt;&lt;C&gt;1&lt;/C&gt;&lt;D xsi:type="xsd:double"&gt;1.1380516&lt;/D&gt;&lt;/FQL&gt;&lt;FQL&gt;&lt;Q&gt;CX-US^P_BETA_LOCIDX(45667,45492,,"SPX")&lt;/Q&gt;&lt;R&gt;1&lt;/R&gt;&lt;C&gt;1&lt;/C&gt;&lt;D xsi:type="xsd:double"&gt;1.1569061&lt;/D&gt;&lt;/FQL&gt;&lt;FQL&gt;&lt;Q&gt;CX-US^P_BETA_LOCIDX(45665,45491,,"SPX")&lt;/Q&gt;&lt;R&gt;1&lt;/R&gt;&lt;C&gt;1&lt;/C&gt;&lt;D xsi:type="xsd:double"&gt;1.1618611&lt;/D&gt;&lt;/FQL&gt;&lt;FQL&gt;&lt;Q&gt;CX-US^P_BETA_LOCIDX(45664,45490,,"SPX")&lt;/Q&gt;&lt;R&gt;1&lt;/R&gt;&lt;C&gt;1&lt;/C&gt;&lt;D xsi:type="xsd:double"&gt;1.2169118&lt;/D&gt;&lt;/FQL&gt;&lt;FQL&gt;&lt;Q&gt;CX-US^P_BETA_LOCIDX(45663,45489,,"SPX")&lt;/Q&gt;&lt;R&gt;1&lt;/R&gt;&lt;C&gt;1&lt;/C&gt;&lt;D xsi:type="xsd:double"&gt;1.2369779&lt;/D&gt;&lt;/FQL&gt;&lt;FQL&gt;&lt;Q&gt;CX-US^P_BETA_LOCIDX(45660,45488,,"SPX")&lt;/Q&gt;&lt;R&gt;1&lt;/R&gt;&lt;C&gt;1&lt;/C&gt;&lt;D xsi:type="xsd:double"&gt;1.2283823&lt;/D&gt;&lt;/FQL&gt;&lt;FQL&gt;&lt;Q&gt;CX-US^P_BETA_LOCIDX(45659,45485,,"SPX")&lt;/Q&gt;&lt;R&gt;1&lt;/R&gt;&lt;C&gt;1&lt;/C&gt;&lt;D xsi:type="xsd:double"&gt;1.251589&lt;/D&gt;&lt;/FQL&gt;&lt;FQL&gt;&lt;Q&gt;CX-US^P_BETA_LOCIDX(45657,45484,,"SPX")&lt;/Q&gt;&lt;R&gt;1&lt;/R&gt;&lt;C&gt;1&lt;/C&gt;&lt;D xsi:type="xsd:double"&gt;1.2219114&lt;/D&gt;&lt;/FQL&gt;&lt;FQL&gt;&lt;Q&gt;CX-US^P_BETA_LOCIDX(45656,45483,,"SPX")&lt;/Q&gt;&lt;R&gt;1&lt;/R&gt;&lt;C&gt;1&lt;/C&gt;&lt;D xsi:type="xsd:double"&gt;1.2827188&lt;/D&gt;&lt;/FQL&gt;&lt;FQL&gt;&lt;Q&gt;CX-US^P_BETA_LOCIDX(45653,45482,,"SPX")&lt;/Q&gt;&lt;R&gt;1&lt;/R&gt;&lt;C&gt;1&lt;/C&gt;&lt;D xsi:type="xsd:double"&gt;1.2778333&lt;/D&gt;&lt;/FQL&gt;&lt;FQL&gt;&lt;Q&gt;CX-US^P_BETA_LOCIDX(45652,45481,,"SPX")&lt;/Q&gt;&lt;R&gt;1&lt;/R&gt;&lt;C&gt;1&lt;/C&gt;&lt;D xsi:type="xsd:double"&gt;1.2924735999999999&lt;/D&gt;&lt;/FQL&gt;&lt;FQL&gt;&lt;Q&gt;CX-US^P_BETA_LOCIDX(45650,45478,,"SPX")&lt;/Q&gt;&lt;R&gt;1&lt;/R&gt;&lt;C&gt;1&lt;/C&gt;&lt;D xsi:type="xsd:double"&gt;1.2907902&lt;/D&gt;&lt;/FQL&gt;&lt;FQL&gt;&lt;Q&gt;CX-US^P_BETA_LOCIDX(45649,45476,,"SPX")&lt;/Q&gt;&lt;R&gt;1&lt;/R&gt;&lt;C&gt;1&lt;/C&gt;&lt;D xsi:type="xsd:double"&gt;1.2860355&lt;/D&gt;&lt;/FQL&gt;&lt;FQL&gt;&lt;Q&gt;CX-US^P_BETA_LOCIDX(45646,45475,,"SPX")&lt;/Q&gt;&lt;R&gt;1&lt;/R&gt;&lt;C&gt;1&lt;/C&gt;&lt;D xsi:type="xsd:double"&gt;1.2859186&lt;/D&gt;&lt;/FQL&gt;&lt;FQL&gt;&lt;Q&gt;CX-US^P_BETA_LOCIDX(45645,45474,,"SPX")&lt;/Q&gt;&lt;R&gt;1&lt;/R&gt;&lt;C&gt;1&lt;/C&gt;&lt;D xsi:type="xsd:double"&gt;1.2894369&lt;/D&gt;&lt;/FQL&gt;&lt;FQL&gt;&lt;Q&gt;CX-US^P_BETA_LOCIDX(45644,45471,,"SPX")&lt;/Q&gt;&lt;R&gt;1&lt;/R&gt;&lt;C&gt;1&lt;/C&gt;&lt;D xsi:type="xsd:double"&gt;1.2849649&lt;/D&gt;&lt;/FQL&gt;&lt;FQL&gt;&lt;Q&gt;CX-US^P_BETA_LOCIDX(45643,45470,,"SPX")&lt;/Q&gt;&lt;R&gt;1&lt;/R&gt;&lt;C&gt;1&lt;/C&gt;&lt;D xsi:type="xsd:double"&gt;1.3712541&lt;/D&gt;&lt;/FQL&gt;&lt;FQL&gt;&lt;Q&gt;CX-US^P_BETA_LOCIDX(45642,45469,,"SPX")&lt;/Q&gt;&lt;R&gt;1&lt;/R&gt;&lt;C&gt;1&lt;/C&gt;&lt;D xsi:type="xsd:double"&gt;1.3767474&lt;/D&gt;&lt;/FQL&gt;&lt;FQL&gt;&lt;Q&gt;CX-US^P_BETA_LOCIDX(45639,45468,,"SPX")&lt;/Q&gt;&lt;R&gt;1&lt;/R&gt;&lt;C&gt;1&lt;/C&gt;&lt;D xsi:type="xsd:double"&gt;1.3755587&lt;/D&gt;&lt;/FQL&gt;&lt;FQL&gt;&lt;Q&gt;CX-US^P_BETA_LOCIDX(45638,45467,,"SPX")&lt;/Q&gt;&lt;R&gt;1&lt;/R&gt;&lt;C&gt;1&lt;/C&gt;&lt;D xsi:type="xsd:double"&gt;1.3684292&lt;/D&gt;&lt;/FQL&gt;&lt;FQL&gt;&lt;Q&gt;CX-US^P_BETA_LOCIDX(45637,45464,,"SPX")&lt;/Q&gt;&lt;R&gt;1&lt;/R&gt;&lt;C&gt;1&lt;/C&gt;&lt;D xsi:type="xsd:double"&gt;1.3821985&lt;/D&gt;&lt;/FQL&gt;&lt;FQL&gt;&lt;Q&gt;CX-US^P_BETA_LOCIDX(45636,45463,,"SPX")&lt;/Q&gt;&lt;R&gt;1&lt;/R&gt;&lt;C&gt;1&lt;/C&gt;&lt;D xsi:type="xsd:double"&gt;1.4192579&lt;/D&gt;&lt;/FQL&gt;&lt;FQL&gt;&lt;Q&gt;CX-US^P_BETA_LOCIDX(45635,45461,,"SPX")&lt;/Q&gt;&lt;R&gt;1&lt;/R&gt;&lt;C&gt;1&lt;/C&gt;&lt;D xsi:type="xsd:double"&gt;1.412784&lt;/D&gt;&lt;/FQL&gt;&lt;FQL&gt;&lt;Q&gt;CX-US^P_BETA_LOCIDX(45632,45460,,"SPX")&lt;/Q&gt;&lt;R&gt;1&lt;/R&gt;&lt;C&gt;1&lt;/C&gt;&lt;D xsi:type="xsd:double"&gt;1.426882&lt;/D&gt;&lt;/FQL&gt;&lt;FQL&gt;&lt;Q&gt;CX-US^P_BETA_LOCIDX(45631,45457,,"SPX")&lt;/Q&gt;&lt;R&gt;1&lt;/R&gt;&lt;C&gt;1&lt;/C&gt;&lt;D xsi:type="xsd:double"&gt;1.4320369&lt;/D&gt;&lt;/FQL&gt;&lt;FQL&gt;&lt;Q&gt;CX-US^P_BETA_LOCIDX(45630,45456,,"SPX")&lt;/Q&gt;&lt;R&gt;1&lt;/R&gt;&lt;C&gt;1&lt;/C&gt;&lt;D xsi:type="xsd:double</t>
        </r>
      </text>
    </comment>
    <comment ref="A4" authorId="0" shapeId="0" xr:uid="{D2B7B8D2-7314-4F0B-97C8-0FC9AC306C15}">
      <text>
        <r>
          <rPr>
            <b/>
            <sz val="9"/>
            <color indexed="81"/>
            <rFont val="Tahoma"/>
            <charset val="1"/>
          </rPr>
          <t>"&gt;1.4376065&lt;/D&gt;&lt;/FQL&gt;&lt;FQL&gt;&lt;Q&gt;CX-US^P_BETA_LOCIDX(45629,45455,,"SPX")&lt;/Q&gt;&lt;R&gt;1&lt;/R&gt;&lt;C&gt;1&lt;/C&gt;&lt;D xsi:type="xsd:double"&gt;1.450225&lt;/D&gt;&lt;/FQL&gt;&lt;FQL&gt;&lt;Q&gt;CX-US^P_BETA_LOCIDX(45628,45454,,"SPX")&lt;/Q&gt;&lt;R&gt;1&lt;/R&gt;&lt;C&gt;1&lt;/C&gt;&lt;D xsi:type="xsd:double"&gt;1.4435391&lt;/D&gt;&lt;/FQL&gt;&lt;FQL&gt;&lt;Q&gt;CX-US^P_BETA_LOCIDX(45625,45453,,"SPX")&lt;/Q&gt;&lt;R&gt;1&lt;/R&gt;&lt;C&gt;1&lt;/C&gt;&lt;D xsi:type="xsd:double"&gt;1.4416004&lt;/D&gt;&lt;/FQL&gt;&lt;FQL&gt;&lt;Q&gt;CX-US^P_BETA_LOCIDX(45623,45450,,"SPX")&lt;/Q&gt;&lt;R&gt;1&lt;/R&gt;&lt;C&gt;1&lt;/C&gt;&lt;D xsi:type="xsd:double"&gt;1.4409252&lt;/D&gt;&lt;/FQL&gt;&lt;FQL&gt;&lt;Q&gt;CX-US^P_BETA_LOCIDX(45622,45449,,"SPX")&lt;/Q&gt;&lt;R&gt;1&lt;/R&gt;&lt;C&gt;1&lt;/C&gt;&lt;D xsi:type="xsd:double"&gt;1.4466864&lt;/D&gt;&lt;/FQL&gt;&lt;FQL&gt;&lt;Q&gt;CX-US^P_BETA_LOCIDX(45621,45448,,"SPX")&lt;/Q&gt;&lt;R&gt;1&lt;/R&gt;&lt;C&gt;1&lt;/C&gt;&lt;D xsi:type="xsd:double"&gt;1.4890378&lt;/D&gt;&lt;/FQL&gt;&lt;FQL&gt;&lt;Q&gt;CX-US^P_BETA_LOCIDX(45618,45447,,"SPX")&lt;/Q&gt;&lt;R&gt;1&lt;/R&gt;&lt;C&gt;1&lt;/C&gt;&lt;D xsi:type="xsd:double"&gt;1.4793969&lt;/D&gt;&lt;/FQL&gt;&lt;FQL&gt;&lt;Q&gt;CX-US^P_BETA_LOCIDX(45617,45446,,"SPX")&lt;/Q&gt;&lt;R&gt;1&lt;/R&gt;&lt;C&gt;1&lt;/C&gt;&lt;D xsi:type="xsd:double"&gt;1.4765855&lt;/D&gt;&lt;/FQL&gt;&lt;FQL&gt;&lt;Q&gt;CX-US^P_BETA_LOCIDX(45616,45443,,"SPX")&lt;/Q&gt;&lt;R&gt;1&lt;/R&gt;&lt;C&gt;1&lt;/C&gt;&lt;D xsi:type="xsd:double"&gt;1.4611833&lt;/D&gt;&lt;/FQL&gt;&lt;FQL&gt;&lt;Q&gt;CX-US^P_BETA_LOCIDX(45615,45442,,"SPX")&lt;/Q&gt;&lt;R&gt;1&lt;/R&gt;&lt;C&gt;1&lt;/C&gt;&lt;D xsi:type="xsd:double"&gt;1.4400511&lt;/D&gt;&lt;/FQL&gt;&lt;FQL&gt;&lt;Q&gt;CX-US^P_BETA_LOCIDX(45614,45441,,"SPX")&lt;/Q&gt;&lt;R&gt;1&lt;/R&gt;&lt;C&gt;1&lt;/C&gt;&lt;D xsi:type="xsd:double"&gt;1.4384854&lt;/D&gt;&lt;/FQL&gt;&lt;FQL&gt;&lt;Q&gt;CX-US^P_BETA_LOCIDX(45611,45440,,"SPX")&lt;/Q&gt;&lt;R&gt;1&lt;/R&gt;&lt;C&gt;1&lt;/C&gt;&lt;D xsi:type="xsd:double"&gt;1.4385926&lt;/D&gt;&lt;/FQL&gt;&lt;FQL&gt;&lt;Q&gt;CX-US^P_BETA_LOCIDX(45610,45436,,"SPX")&lt;/Q&gt;&lt;R&gt;1&lt;/R&gt;&lt;C&gt;1&lt;/C&gt;&lt;D xsi:type="xsd:double"&gt;1.5150095&lt;/D&gt;&lt;/FQL&gt;&lt;FQL&gt;&lt;Q&gt;CX-US^P_BETA_LOCIDX(45609,45435,,"SPX")&lt;/Q&gt;&lt;R&gt;1&lt;/R&gt;&lt;C&gt;1&lt;/C&gt;&lt;D xsi:type="xsd:double"&gt;1.5150925&lt;/D&gt;&lt;/FQL&gt;&lt;FQL&gt;&lt;Q&gt;CX-US^P_BETA_LOCIDX(45608,45434,,"SPX")&lt;/Q&gt;&lt;R&gt;1&lt;/R&gt;&lt;C&gt;1&lt;/C&gt;&lt;D xsi:type="xsd:double"&gt;1.5174476&lt;/D&gt;&lt;/FQL&gt;&lt;FQL&gt;&lt;Q&gt;CX-US^P_BETA_LOCIDX(45607,45433,,"SPX")&lt;/Q&gt;&lt;R&gt;1&lt;/R&gt;&lt;C&gt;1&lt;/C&gt;&lt;D xsi:type="xsd:double"&gt;1.5031859&lt;/D&gt;&lt;/FQL&gt;&lt;FQL&gt;&lt;Q&gt;CX-US^P_BETA_LOCIDX(45604,45432,,"SPX")&lt;/Q&gt;&lt;R&gt;1&lt;/R&gt;&lt;C&gt;1&lt;/C&gt;&lt;D xsi:type="xsd:double"&gt;1.5026547&lt;/D&gt;&lt;/FQL&gt;&lt;FQL&gt;&lt;Q&gt;CX-US^P_BETA_LOCIDX(45603,45429,,"SPX")&lt;/Q&gt;&lt;R&gt;1&lt;/R&gt;&lt;C&gt;1&lt;/C&gt;&lt;D xsi:type="xsd:double"&gt;1.5128812&lt;/D&gt;&lt;/FQL&gt;&lt;FQL&gt;&lt;Q&gt;CX-US^P_BETA_LOCIDX(45602,45428,,"SPX")&lt;/Q&gt;&lt;R&gt;1&lt;/R&gt;&lt;C&gt;1&lt;/C&gt;&lt;D xsi:type="xsd:double"&gt;1.4772686&lt;/D&gt;&lt;/FQL&gt;&lt;FQL&gt;&lt;Q&gt;CX-US^P_BETA_LOCIDX(45601,45427,,"SPX")&lt;/Q&gt;&lt;R&gt;1&lt;/R&gt;&lt;C&gt;1&lt;/C&gt;&lt;D xsi:type="xsd:double"&gt;1.2907118&lt;/D&gt;&lt;/FQL&gt;&lt;FQL&gt;&lt;Q&gt;CX-US^P_BETA_LOCIDX(45600,45426,,"SPX")&lt;/Q&gt;&lt;R&gt;1&lt;/R&gt;&lt;C&gt;1&lt;/C&gt;&lt;D xsi:type="xsd:double"&gt;1.2764629&lt;/D&gt;&lt;/FQL&gt;&lt;FQL&gt;&lt;Q&gt;CX-US^P_BETA_LOCIDX(45597,45425,,"SPX")&lt;/Q&gt;&lt;R&gt;1&lt;/R&gt;&lt;C&gt;1&lt;/C&gt;&lt;D xsi:type="xsd:double"&gt;1.2784913&lt;/D&gt;&lt;/FQL&gt;&lt;FQL&gt;&lt;Q&gt;CX-US^P_BETA_LOCIDX(45596,45422,,"SPX")&lt;/Q&gt;&lt;R&gt;1&lt;/R&gt;&lt;C&gt;1&lt;/C&gt;&lt;D xsi:type="xsd:double"&gt;1.2830224&lt;/D&gt;&lt;/FQL&gt;&lt;FQL&gt;&lt;Q&gt;CX-US^P_BETA_LOCIDX(45595,45421,,"SPX")&lt;/Q&gt;&lt;R&gt;1&lt;/R&gt;&lt;C&gt;1&lt;/C&gt;&lt;D xsi:type="xsd:double"&gt;1.3511521&lt;/D&gt;&lt;/FQL&gt;&lt;FQL&gt;&lt;Q&gt;CX-US^P_BETA_LOCIDX(45594,45420,,"SPX")&lt;/Q&gt;&lt;R&gt;1&lt;/R&gt;&lt;C&gt;1&lt;/C&gt;&lt;D xsi:type="xsd:double"&gt;1.3551885&lt;/D&gt;&lt;/FQL&gt;&lt;FQL&gt;&lt;Q&gt;CX-US^P_BETA_LOCIDX(45593,45419,,"SPX")&lt;/Q&gt;&lt;R&gt;1&lt;/R&gt;&lt;C&gt;1&lt;/C&gt;&lt;D xsi:type="xsd:double"&gt;1.35722&lt;/D&gt;&lt;/FQL&gt;&lt;FQL&gt;&lt;Q&gt;CX-US^P_BETA_LOCIDX(45590,45418,,"SPX")&lt;/Q&gt;&lt;R&gt;1&lt;/R&gt;&lt;C&gt;1&lt;/C&gt;&lt;D xsi:type="xsd:double"&gt;1.3601567&lt;/D&gt;&lt;/FQL&gt;&lt;FQL&gt;&lt;Q&gt;CX-US^P_BETA_LOCIDX(45589,45415,,"SPX")&lt;/Q&gt;&lt;R&gt;1&lt;/R&gt;&lt;C&gt;1&lt;/C&gt;&lt;D xsi:type="xsd:double"&gt;1.3732195&lt;/D&gt;&lt;/FQL&gt;&lt;FQL&gt;&lt;Q&gt;CX-US^P_BETA_LOCIDX(45588,45414,,"SPX")&lt;/Q&gt;&lt;R&gt;1&lt;/R&gt;&lt;C&gt;1&lt;/C&gt;&lt;D xsi:type="xsd:double"&gt;1.3545702&lt;/D&gt;&lt;/FQL&gt;&lt;FQL&gt;&lt;Q&gt;CX-US^P_BETA_LOCIDX(45587,45413,,"SPX")&lt;/Q&gt;&lt;R&gt;1&lt;/R&gt;&lt;C&gt;1&lt;/C&gt;&lt;D xsi:type="xsd:double"&gt;1.3865571&lt;/D&gt;&lt;/FQL&gt;&lt;FQL&gt;&lt;Q&gt;CX-US^P_BETA_LOCIDX(45586,45412,,"SPX")&lt;/Q&gt;&lt;R&gt;1&lt;/R&gt;&lt;C&gt;1&lt;/C&gt;&lt;D xsi:type="xsd:double"&gt;1.3837508&lt;/D&gt;&lt;/FQL&gt;&lt;FQL&gt;&lt;Q&gt;CX-US^P_BETA_LOCIDX(45583,45411,,"SPX")&lt;/Q&gt;&lt;R&gt;1&lt;/R&gt;&lt;C&gt;1&lt;/C&gt;&lt;D xsi:type="xsd:double"&gt;1.3758825&lt;/D&gt;&lt;/FQL&gt;&lt;FQL&gt;&lt;Q&gt;CX-US^P_BETA_LOCIDX(45582,45408,,"SPX")&lt;/Q&gt;&lt;R&gt;1&lt;/R&gt;&lt;C&gt;1&lt;/C&gt;&lt;D xsi:type="xsd:double"&gt;1.3757919&lt;/D&gt;&lt;/FQL&gt;&lt;FQL&gt;&lt;Q&gt;CX-US^P_BETA_LOCIDX(45581,45407,,"SPX")&lt;/Q&gt;&lt;R&gt;1&lt;/R&gt;&lt;C&gt;1&lt;/C&gt;&lt;D xsi:type="xsd:double"&gt;1.364508&lt;/D&gt;&lt;/FQL&gt;&lt;FQL&gt;&lt;Q&gt;CX-US^P_BETA_LOCIDX(45580,45406,,"SPX")&lt;/Q&gt;&lt;R&gt;1&lt;/R&gt;&lt;C&gt;1&lt;/C&gt;&lt;D xsi:type="xsd:double"&gt;1.3664548&lt;/D&gt;&lt;/FQL&gt;&lt;FQL&gt;&lt;Q&gt;CX-US^P_BETA_LOCIDX(45579,45405,,"SPX")&lt;/Q&gt;&lt;R&gt;1&lt;/R&gt;&lt;C&gt;1&lt;/C&gt;&lt;D xsi:type="xsd:double"&gt;1.36263&lt;/D&gt;&lt;/FQL&gt;&lt;FQL&gt;&lt;Q&gt;CX-US^P_BETA_LOCIDX(45576,45404,,"SPX")&lt;/Q&gt;&lt;R&gt;1&lt;/R&gt;&lt;C&gt;1&lt;/C&gt;&lt;D xsi:type="xsd:double"&gt;1.396308&lt;/D&gt;&lt;/FQL&gt;&lt;FQL&gt;&lt;Q&gt;CX-US^P_BETA_LOCIDX(45575,45401,,"SPX")&lt;/Q&gt;&lt;R&gt;1&lt;/R&gt;&lt;C&gt;1&lt;/C&gt;&lt;D xsi:type="xsd:double"&gt;1.3950833&lt;/D&gt;&lt;/FQL&gt;&lt;FQL&gt;&lt;Q&gt;CX-US^P_BETA_LOCIDX(45574,45400,,"SPX")&lt;/Q&gt;&lt;R&gt;1&lt;/R&gt;&lt;C&gt;1&lt;/C&gt;&lt;D xsi:type="xsd:double"&gt;1.4068555&lt;/D&gt;&lt;/FQL&gt;&lt;FQL&gt;&lt;Q&gt;CX-US^P_BETA_LOCIDX(45573,45399,,"SPX")&lt;/Q&gt;&lt;R&gt;1&lt;/R&gt;&lt;C&gt;1&lt;/C&gt;&lt;D xsi:type="xsd:double"&gt;1.4260479&lt;/D&gt;&lt;/FQL&gt;&lt;FQL&gt;&lt;Q&gt;CX-US^P_BETA_LOCIDX(45572,45398,,"SPX")&lt;/Q&gt;&lt;R&gt;1&lt;/R&gt;&lt;C&gt;1&lt;/C&gt;&lt;D xsi:type="xsd:double"&gt;1.3986685&lt;/D&gt;&lt;/FQL&gt;&lt;FQL&gt;&lt;Q&gt;CX-US^P_BETA_LOCIDX(45569,45397,,"SPX")&lt;/Q&gt;&lt;R&gt;1&lt;/R&gt;&lt;C&gt;1&lt;/C&gt;&lt;D xsi:type="xsd:double"&gt;1.408643&lt;/D&gt;&lt;/FQL&gt;&lt;FQL&gt;&lt;Q&gt;CX-US^P_BETA_LOCIDX(45568,45394,,"SPX")&lt;/Q&gt;&lt;R&gt;1&lt;/R&gt;&lt;C&gt;1&lt;/C&gt;&lt;D xsi:type="xsd:double"&gt;1.4172654&lt;/D&gt;&lt;/FQL&gt;&lt;FQL&gt;&lt;Q&gt;CX-US^P_BETA_LOCIDX(45567,45393,,"SPX")&lt;/Q&gt;&lt;R&gt;1&lt;/R&gt;&lt;C&gt;1&lt;/C&gt;&lt;D xsi:type="xsd:double"&gt;1.4312618&lt;/D&gt;&lt;/FQL&gt;&lt;FQL&gt;&lt;Q&gt;CX-US^P_BETA_LOCIDX(45566,45392,,"SPX")&lt;/Q&gt;&lt;R&gt;1&lt;/R&gt;&lt;C&gt;1&lt;/C&gt;&lt;D xsi:type="xsd:double"&gt;1.434971&lt;/D&gt;&lt;/FQL&gt;&lt;FQL&gt;&lt;Q&gt;CX-US^P_BETA_LOCIDX(45565,45391,,"SPX")&lt;/Q&gt;&lt;R&gt;1&lt;/R&gt;&lt;C&gt;1&lt;/C&gt;&lt;D xsi:type="xsd:double"&gt;1.4183254&lt;/D&gt;&lt;/FQL&gt;&lt;FQL&gt;&lt;Q&gt;CX-US^P_BETA_LOCIDX(45562,45390,,"SPX")&lt;/Q&gt;&lt;R&gt;1&lt;/R&gt;&lt;C&gt;1&lt;/C&gt;&lt;D xsi:type="xsd:double"&gt;1.424837&lt;/D&gt;&lt;/FQL&gt;&lt;FQL&gt;&lt;Q&gt;CX-US^P_BETA_LOCIDX(45561,45387,,"SPX")&lt;/Q&gt;&lt;R&gt;1&lt;/R&gt;&lt;C&gt;1&lt;/C&gt;&lt;D xsi:type="xsd:double"&gt;1.401069&lt;/D&gt;&lt;/FQL&gt;&lt;FQL&gt;&lt;Q&gt;CX-US^P_BETA_LOCIDX(45560,45386,,"SPX")&lt;/Q&gt;&lt;R&gt;1&lt;/R&gt;&lt;C&gt;1&lt;/C&gt;&lt;D xsi:type="xsd:double"&gt;1.4188468&lt;/D&gt;&lt;/FQL&gt;&lt;FQL&gt;&lt;Q&gt;CX-US^P_BETA_LOCIDX(45559,45385,,"SPX")&lt;/Q&gt;&lt;R&gt;1&lt;/R&gt;&lt;C&gt;1&lt;/C&gt;&lt;D xsi:type="xsd:double"&gt;1.4157181&lt;/D&gt;&lt;/FQL&gt;&lt;FQL&gt;&lt;Q&gt;CX-US^P_BETA_LOCIDX(45558,45384,,"SPX")&lt;/Q&gt;&lt;R&gt;1&lt;/R&gt;&lt;C&gt;1&lt;/C&gt;&lt;D xsi:type="xsd:double"&gt;1.4067308&lt;/D&gt;&lt;/FQL&gt;&lt;FQL&gt;&lt;Q&gt;CX-US^P_BETA_LOCIDX(45555,45383,,"SPX")&lt;/Q&gt;&lt;R&gt;1&lt;/R&gt;&lt;C&gt;1&lt;/C&gt;&lt;D xsi:type="xsd:double"&gt;1.4035448&lt;/D&gt;&lt;/FQL&gt;&lt;FQL&gt;&lt;Q&gt;CX-US^P_BETA_LOCIDX(45554,45379,,"SPX")&lt;/Q&gt;&lt;R&gt;1&lt;/R&gt;&lt;C&gt;1&lt;/C&gt;&lt;D xsi:type="xsd:double"&gt;1.4099773&lt;/D&gt;&lt;/FQL&gt;&lt;FQL&gt;&lt;Q&gt;CX-US^P_BETA_LOCIDX(45553,45378,,"SPX")&lt;/Q&gt;&lt;R&gt;1&lt;/R&gt;&lt;C&gt;1&lt;/C&gt;&lt;D xsi:type="xsd:double"&gt;1.3911935&lt;/D&gt;&lt;/FQL&gt;&lt;FQL&gt;&lt;Q&gt;CX-US^P_BETA_LOCIDX(45552,45377,,"SPX")&lt;/Q&gt;&lt;R&gt;1&lt;/R&gt;&lt;C&gt;1&lt;/C&gt;&lt;D xsi:type="xsd:double"&gt;1.3850049&lt;/D&gt;&lt;/FQL&gt;&lt;FQL&gt;&lt;Q&gt;CX-US^P_BETA_LOCIDX(45551,45376,,"SPX")&lt;/Q&gt;&lt;R&gt;1&lt;/R&gt;&lt;C&gt;1&lt;/C&gt;&lt;D xsi:type="xsd:double"&gt;1.3824115&lt;/D&gt;&lt;/FQL&gt;&lt;FQL&gt;&lt;Q&gt;CX-US^P_BETA_LOCIDX(45548,45373,,"SPX")&lt;/Q&gt;&lt;R&gt;1&lt;/R&gt;&lt;C&gt;1&lt;/C&gt;&lt;D xsi:type="xsd:double"&gt;1.376914&lt;/D&gt;&lt;/FQL&gt;&lt;FQL&gt;&lt;Q&gt;CX-US^P_BETA_LOCIDX(45547,45372,,"SPX")&lt;/Q&gt;&lt;R&gt;1&lt;/R&gt;&lt;C&gt;1&lt;/C&gt;&lt;D xsi:type="xsd:double"&gt;1.3752884&lt;/D&gt;&lt;/FQL&gt;&lt;FQL&gt;&lt;Q&gt;CX-US^P_BETA_LOCIDX(45546,45371,,"SPX")&lt;/Q&gt;&lt;R&gt;1&lt;/R&gt;&lt;C&gt;1&lt;/C&gt;&lt;D xsi:type="xsd:double"&gt;1.3660451&lt;/D&gt;&lt;/FQL&gt;&lt;FQL&gt;&lt;Q&gt;CX-US^P_BETA_LOCIDX(45545,45370,,"SPX")&lt;/Q&gt;&lt;R&gt;1&lt;/R&gt;&lt;C&gt;1&lt;/C&gt;&lt;D xsi:type="xsd:double"&gt;1.3378743&lt;/D&gt;&lt;/FQL&gt;&lt;FQL&gt;&lt;Q&gt;CX-US^P_BETA_LOCIDX(45544,45369,,"SPX")&lt;/Q&gt;&lt;R&gt;1&lt;/R&gt;&lt;C&gt;1&lt;/C&gt;&lt;D xsi:type="xsd:double"&gt;1.3365833&lt;/D&gt;&lt;/FQL&gt;&lt;FQL&gt;&lt;Q&gt;CX-US^P_BETA_LOCIDX(45541,45366,,"SPX")&lt;/Q&gt;&lt;R&gt;1&lt;/R&gt;&lt;C&gt;1&lt;/C&gt;&lt;D xsi:type="xsd:double"&gt;1.3524157&lt;/D&gt;&lt;/FQL&gt;&lt;FQL&gt;&lt;Q&gt;CX-US^P_BETA_LOCIDX(45540,45365,,"SPX")&lt;/Q&gt;&lt;R&gt;1&lt;/R&gt;&lt;C&gt;1&lt;/C&gt;&lt;D xsi:type="xsd:double"&gt;1.3334532&lt;/D&gt;&lt;/FQL&gt;&lt;FQL&gt;&lt;Q&gt;CX-US^P_BETA_LOCIDX(45539,45364,,"SPX")&lt;/Q&gt;&lt;R&gt;1&lt;/R&gt;&lt;C&gt;1&lt;/C&gt;&lt;D xsi:type="xsd:double"&gt;1.337077&lt;/D&gt;&lt;/FQL&gt;&lt;FQL&gt;&lt;Q&gt;CX-US^P_BETA_LOCIDX(45538,45363,,"SPX")&lt;/Q&gt;&lt;R&gt;1&lt;/R&gt;&lt;C&gt;1&lt;/C&gt;&lt;D xsi:type="xsd:double"&gt;1.3098614&lt;/D&gt;&lt;/FQL&gt;&lt;FQL&gt;&lt;Q&gt;CX-US^P_BETA_LOCIDX(45534,45362,,"SPX")&lt;/Q&gt;&lt;R&gt;1&lt;/R&gt;&lt;C&gt;1&lt;/C&gt;&lt;D xsi:type="xsd:double"&gt;1.3064638&lt;/D&gt;&lt;/FQL&gt;&lt;FQL&gt;&lt;Q&gt;CX-US^P_BETA_LOCIDX(45533,45359,,"SPX")&lt;/Q&gt;&lt;R&gt;1&lt;/R&gt;&lt;C&gt;1&lt;/C&gt;&lt;D xsi:type="xsd:double"&gt;1.291413&lt;/D&gt;&lt;/FQL&gt;&lt;FQL&gt;&lt;Q&gt;CX-US^P_BETA_LOCIDX(45532,45358,,"SPX")&lt;/Q&gt;&lt;R&gt;1&lt;/R&gt;&lt;C&gt;1&lt;/C&gt;&lt;D xsi:type="xsd:double"&gt;1.2862608&lt;/D&gt;&lt;/FQL&gt;&lt;FQL&gt;&lt;Q&gt;CX-US^P_BETA_LOCIDX(45531,45357,,"SPX")&lt;/Q&gt;&lt;R&gt;1&lt;/R&gt;&lt;C&gt;1&lt;/C&gt;&lt;D xsi:type="xsd:double"&gt;1.305136&lt;/D&gt;&lt;/FQL&gt;&lt;FQL&gt;&lt;Q&gt;CX-US^P_BETA_LOCIDX(45530,45356,,"SPX")&lt;/Q&gt;&lt;R&gt;1&lt;/R&gt;&lt;C&gt;1&lt;/C&gt;&lt;D xsi:type="xsd:double"&gt;1.2986622&lt;/D&gt;&lt;/FQL&gt;&lt;FQL&gt;&lt;Q&gt;CX-US^P_BETA_LOCIDX(45527,45355,,"SPX")&lt;/Q&gt;&lt;R&gt;1&lt;/R&gt;&lt;C&gt;1&lt;/C&gt;&lt;D xsi:type="xsd:double"&gt;1.2845331&lt;/D&gt;&lt;/FQL&gt;&lt;FQL&gt;&lt;Q&gt;CX-US^P_BETA_LOCIDX(45526,45352,,"SPX")&lt;/Q&gt;&lt;R&gt;1&lt;/R&gt;&lt;C&gt;1&lt;/C&gt;&lt;D xsi:type="xsd:double"&gt;1.2736814&lt;/D&gt;&lt;/FQL&gt;&lt;FQL&gt;&lt;Q&gt;CX-US^P_BETA_LOCIDX(45525,45351,,"SPX")&lt;/Q&gt;&lt;R&gt;1&lt;/R&gt;&lt;C&gt;1&lt;/C&gt;&lt;D xsi:type="xsd:double"&gt;1.269979&lt;/D&gt;&lt;/FQL&gt;&lt;FQL&gt;&lt;Q&gt;CX-US^P_BETA_LOCIDX(45524,45350,,"SPX")&lt;/Q&gt;&lt;R&gt;1&lt;/R&gt;&lt;C&gt;1&lt;/C&gt;&lt;D xsi:type="xsd:double"&gt;1.2873071&lt;/D&gt;&lt;/FQL&gt;&lt;FQL&gt;&lt;Q&gt;CX-US^P_BETA_LOCIDX(45523,45349,,"SPX")&lt;/Q&gt;&lt;R&gt;1&lt;/R&gt;&lt;C&gt;1&lt;/C&gt;&lt;D xsi:type="xsd:double"&gt;1.2816854&lt;/D&gt;&lt;/FQL&gt;&lt;FQL&gt;&lt;Q&gt;CX-US^P_BETA_LOCIDX(45520,45348,,"SPX")&lt;/Q&gt;&lt;R&gt;1&lt;/R&gt;&lt;C&gt;1&lt;/C&gt;&lt;D xsi:type="xsd:double"&gt;1.2970306&lt;/D&gt;&lt;/FQL&gt;&lt;FQL&gt;&lt;Q&gt;CX-US^P_BETA_LOCIDX(45519,45345,,"SPX")&lt;/Q&gt;&lt;R&gt;1&lt;/R&gt;&lt;C&gt;1&lt;/C&gt;&lt;D xsi:type="xsd:double"&gt;1.2997626&lt;/D&gt;&lt;/FQL&gt;&lt;FQL&gt;&lt;Q&gt;CX-US^P_BETA_LOCIDX(45518,45344,,"SPX")&lt;/Q&gt;&lt;R&gt;1&lt;/R&gt;&lt;C&gt;1&lt;/C&gt;&lt;D xsi:type="xsd:double"&gt;1.1578988&lt;/D&gt;&lt;/FQL&gt;&lt;FQL&gt;&lt;Q&gt;CX-US^P_BETA_LOCIDX(45517,45343,,"SPX")&lt;/Q&gt;&lt;R&gt;1&lt;/R&gt;&lt;C&gt;1&lt;/C&gt;&lt;D xsi:type="xsd:double"&gt;1.1560634&lt;/D&gt;&lt;/FQL&gt;&lt;FQL&gt;&lt;Q&gt;CX-US^P_BETA_LOCIDX(45516,45342,,"SPX")&lt;/Q&gt;&lt;R&gt;1&lt;/R&gt;&lt;C&gt;1&lt;/C&gt;&lt;D xsi:type="xsd:double"&gt;1.163668&lt;/D&gt;&lt;/FQL&gt;&lt;FQL&gt;&lt;Q&gt;CX-US^P_BETA_LOCIDX(45513,45338,,"SPX")&lt;/Q&gt;&lt;R&gt;1&lt;/R&gt;&lt;C&gt;1&lt;/C&gt;&lt;D xsi:type="xsd:double"&gt;1.1443971&lt;/D&gt;&lt;/FQL&gt;&lt;FQL&gt;&lt;Q&gt;CX-US^P_BETA_LOCIDX(45512,45337,,"SPX")&lt;/Q&gt;&lt;R&gt;1&lt;/R&gt;&lt;C&gt;1&lt;/C&gt;&lt;D xsi:type="xsd:double"&gt;1.1526822&lt;/D&gt;&lt;/FQL&gt;&lt;FQL&gt;&lt;Q&gt;CX-US^P_BETA_LOCIDX(45511,45336,,"SPX")&lt;/Q&gt;&lt;R&gt;1&lt;/R&gt;&lt;C&gt;1&lt;/C&gt;&lt;D xsi:type="xsd:double"&gt;1.1235873&lt;/D&gt;&lt;/FQL&gt;&lt;FQL&gt;&lt;Q&gt;CX-US^P_BETA_LOCIDX(45510,45335,,"SPX")&lt;/Q&gt;&lt;R&gt;1&lt;/R&gt;&lt;C&gt;1&lt;/C&gt;&lt;D xsi:type="xsd:double"&gt;1.158244&lt;/D&gt;&lt;/FQL&gt;&lt;FQL&gt;&lt;Q&gt;CX-US^P_BETA_LOCIDX(45509,45334,,"SPX")&lt;/Q&gt;&lt;R&gt;1&lt;/R&gt;&lt;C&gt;1&lt;/C&gt;&lt;D xsi:type="xsd:double"&gt;1.1390828&lt;/D&gt;&lt;/FQL&gt;&lt;FQL&gt;&lt;Q&gt;CX-US^P_BETA_LOCIDX(45506,45331,,"SPX")&lt;/Q&gt;&lt;R&gt;1&lt;/R&gt;&lt;C&gt;1&lt;/C&gt;&lt;D xsi:type="xsd:double"&gt;1.2406883&lt;/D&gt;&lt;/FQL&gt;&lt;FQL&gt;&lt;Q&gt;CX-US^P_BETA_LOCIDX(45505,45330,,"SPX")&lt;/Q&gt;&lt;R&gt;1&lt;/R&gt;&lt;C&gt;1&lt;/C&gt;&lt;D xsi:type="xsd:double"&gt;1.2187299&lt;/D&gt;&lt;/FQL&gt;&lt;FQL&gt;&lt;Q&gt;CX-US^P_BETA_LOCIDX(45504,45329,,"SPX")&lt;/Q&gt;&lt;R&gt;1&lt;/R&gt;&lt;C&gt;1&lt;/C&gt;&lt;D xsi:type="xsd:double"&gt;1.2039258&lt;/D&gt;&lt;/FQL&gt;&lt;FQL&gt;&lt;Q&gt;CX-US^P_BETA_LOCIDX(45503,45328,,"SPX")&lt;/Q&gt;&lt;R&gt;1&lt;/R&gt;&lt;C&gt;1&lt;/C&gt;&lt;D xsi:type="xsd:double"&gt;1.1938559&lt;/D&gt;&lt;/FQL&gt;&lt;FQL&gt;&lt;Q&gt;CX-US^P_BETA_LOCIDX(45502,45327,,"SPX")&lt;/Q&gt;&lt;R&gt;1&lt;/R&gt;&lt;C&gt;1&lt;/C&gt;&lt;D xsi:type="xsd:double"&gt;1.1838846&lt;/D&gt;&lt;/FQL&gt;&lt;FQL&gt;&lt;Q&gt;CX-US^P_BETA_LOCIDX(45499,45324,,"SPX")&lt;/Q&gt;&lt;R&gt;1&lt;/R&gt;&lt;C&gt;1&lt;/C&gt;&lt;D xsi:type="xsd:double"&gt;1.1974313&lt;/D&gt;&lt;/FQL&gt;&lt;FQL&gt;&lt;Q&gt;CX-US^P_BETA_LOCIDX(45498,45323,,"SPX")&lt;/Q&gt;&lt;R&gt;1&lt;/R&gt;&lt;C&gt;1&lt;/C&gt;&lt;D xsi:type="xsd:double"&gt;1.2110549&lt;/D&gt;&lt;/FQL&gt;&lt;FQL&gt;&lt;Q&gt;CX-US^P_BETA_LOCIDX(45497,45322,,"SPX")&lt;/Q&gt;&lt;R&gt;1&lt;/R&gt;&lt;C&gt;1&lt;/C&gt;&lt;D xsi:type="xsd:double"&gt;1.2061895&lt;/D&gt;&lt;/FQL&gt;&lt;FQL&gt;&lt;Q&gt;CX-US^P_BETA_LOCIDX(45496,45321,,"SPX")&lt;/Q&gt;&lt;R&gt;1&lt;/R&gt;&lt;C&gt;1&lt;/C&gt;&lt;D xsi:type="xsd:double"&gt;1.1531192&lt;/D&gt;&lt;/FQL&gt;&lt;FQL&gt;&lt;Q&gt;CX-US^P_BETA_LOCIDX(45495,45320,,"SPX")&lt;/Q&gt;&lt;R&gt;1&lt;/R&gt;&lt;C&gt;1&lt;/C&gt;&lt;D xsi:type="xsd:double"&gt;1.1633985&lt;/D&gt;&lt;/FQL&gt;&lt;FQL&gt;&lt;Q&gt;CX-US^P_BETA_LOCIDX(45492,45317,,"SPX")&lt;/Q&gt;&lt;R&gt;1&lt;/R&gt;&lt;C&gt;1&lt;/C&gt;&lt;D xsi:type="xsd:double"&gt;1.092604&lt;/D&gt;&lt;/FQL&gt;&lt;FQL&gt;&lt;Q&gt;CX-US^P_BETA_LOCIDX(45491,45316,,"SPX")&lt;/Q&gt;&lt;R&gt;1&lt;/R&gt;&lt;C&gt;1&lt;/C&gt;&lt;D xsi:type="xsd:double"&gt;1.0992019&lt;/D&gt;&lt;/FQL&gt;&lt;FQL&gt;&lt;Q&gt;CX-US^P_BETA_LOCIDX(45490,45315,,"SPX")&lt;/Q&gt;&lt;R&gt;1&lt;/R&gt;&lt;C&gt;1&lt;/C&gt;&lt;D xsi:type="xsd:double"&gt;1.0826386&lt;/D&gt;&lt;/FQL&gt;&lt;FQL&gt;&lt;Q&gt;CX-US^P_BETA_LOCIDX(45489,45314,,"SPX")&lt;/Q&gt;&lt;R&gt;1&lt;/R&gt;&lt;C&gt;1&lt;/C&gt;&lt;D xsi:type="xsd:double"&gt;0.97181755&lt;/D&gt;&lt;/FQL&gt;&lt;FQL&gt;&lt;Q&gt;CX-US^P_BETA_LOCIDX(45488,45313,,"SPX")&lt;/Q&gt;&lt;R&gt;1&lt;/R&gt;&lt;C&gt;1&lt;/C&gt;&lt;D xsi:type="xsd:double"&gt;0.9581124&lt;/D&gt;&lt;/FQL&gt;&lt;FQL&gt;&lt;Q&gt;CX-US^P_BETA_LOCIDX(45485,45310,,"SPX")&lt;/Q&gt;&lt;R&gt;1&lt;/R&gt;&lt;C&gt;1&lt;/C&gt;&lt;D xsi:type="xsd:double"&gt;0.9573794&lt;/D&gt;&lt;/FQL&gt;&lt;FQL&gt;&lt;Q&gt;CX-US^P_BETA_LOCIDX(45484,45309,,"SPX")&lt;/Q&gt;&lt;R&gt;1&lt;/R&gt;&lt;C&gt;1&lt;/C&gt;&lt;D xsi:type="xsd:double"&gt;0.9427352&lt;/D&gt;&lt;/FQL&gt;&lt;FQL&gt;&lt;Q&gt;CX-US^P_BETA_LOCIDX(45483,45308,,"SPX")&lt;/Q&gt;&lt;R&gt;1&lt;/R&gt;&lt;C&gt;1&lt;/C&gt;&lt;D xsi:type="xsd:double"&gt;0.9943485&lt;/D&gt;&lt;/FQL&gt;&lt;FQL&gt;&lt;Q&gt;CX-US^P_BETA_LOCIDX(45482,45307,,"SPX")&lt;/Q&gt;&lt;R&gt;1&lt;/R&gt;&lt;C&gt;1&lt;/C&gt;&lt;D xsi:type="xsd:double"&gt;0.94576794&lt;/D&gt;&lt;/FQL&gt;&lt;FQL&gt;&lt;Q&gt;CX-US^P_BETA_LOCIDX(45481,45303,,"SPX")&lt;/Q&gt;&lt;R&gt;1&lt;/R&gt;&lt;C&gt;1&lt;/C&gt;&lt;D xsi:type="xsd:double"&gt;0.9451847&lt;/D&gt;&lt;/FQL&gt;&lt;FQL&gt;&lt;Q&gt;CX-US^P_BETA_LOCIDX(45478,45302,,"SPX")&lt;/Q&gt;&lt;R&gt;1&lt;/R&gt;&lt;C&gt;1&lt;/C&gt;&lt;D xsi:type="xsd:double"&gt;0.9467441&lt;/D&gt;&lt;/FQL&gt;&lt;FQL&gt;&lt;Q&gt;CX-US^P_BETA_LOCIDX(45476,45301,,"SPX")&lt;/Q&gt;&lt;R&gt;1&lt;/R&gt;&lt;C&gt;1&lt;/C&gt;&lt;D xsi:type="xsd:double"&gt;0.95388824&lt;/D&gt;&lt;/FQL&gt;&lt;FQL&gt;&lt;Q&gt;CX-US^P_BETA_LOCIDX(45475,45300,,"SPX")&lt;/Q&gt;&lt;R&gt;1&lt;/R&gt;&lt;C&gt;1&lt;/C&gt;&lt;D xsi:type="xsd:double"&gt;0.9443992&lt;/D&gt;&lt;/FQL&gt;&lt;FQL&gt;&lt;Q&gt;CX-US^P_BETA_LOCIDX(45474,45299,,"SPX")&lt;/Q&gt;&lt;R&gt;1&lt;/R&gt;&lt;C&gt;1&lt;/C&gt;&lt;D xsi:type="xsd:double"&gt;0.96088916&lt;/D&gt;&lt;/FQL&gt;&lt;FQL&gt;&lt;Q&gt;CX-US^P_BETA_LOCIDX(45471,45296,,"SPX")&lt;/Q&gt;&lt;R&gt;1&lt;/R&gt;&lt;C&gt;1&lt;/C&gt;&lt;D xsi:type="xsd:double"&gt;0.9687019&lt;/D&gt;&lt;/FQL&gt;&lt;FQL&gt;&lt;Q&gt;CX-US^P_BETA_LOCIDX(45470,45295,,"SPX")&lt;/Q&gt;&lt;R&gt;1&lt;/R&gt;&lt;C&gt;1&lt;/C&gt;&lt;D xsi:type="xsd:double"&gt;0.97661453&lt;/D&gt;&lt;/FQL&gt;&lt;FQL&gt;&lt;Q&gt;CX-US^P_BETA_LOCIDX(45469,45294,,"SPX")&lt;/Q&gt;&lt;R&gt;1&lt;/R&gt;&lt;C&gt;1&lt;/C&gt;&lt;D xsi:type="xsd:double"&gt;1.0015657&lt;/D&gt;&lt;/FQL&gt;&lt;FQL&gt;&lt;Q&gt;CX-US^P_BETA_LOCIDX(45468,45293,,"SPX")&lt;/Q&gt;&lt;R&gt;1&lt;/R&gt;&lt;C&gt;1&lt;/C&gt;&lt;D xsi:type="xsd:double"&gt;1.0137808&lt;/D&gt;&lt;/FQL&gt;&lt;FQL&gt;&lt;Q&gt;CX-US^P_BETA_LOCIDX(45467,45289,,"SPX")&lt;/Q&gt;&lt;R&gt;1&lt;/R&gt;&lt;C&gt;1&lt;/C&gt;&lt;D xsi:type="xsd:double"&gt;1.0246979&lt;/D&gt;&lt;/FQL&gt;&lt;FQL&gt;&lt;Q&gt;CX-US^P_BETA_LOCIDX(45464,45288,,"SPX")&lt;/Q&gt;&lt;R&gt;1&lt;/R&gt;&lt;C&gt;1&lt;/C&gt;&lt;D xsi:type="xsd:double"&gt;1.0406754&lt;/D&gt;&lt;/FQL&gt;&lt;FQL&gt;&lt;Q&gt;CX-US^P_BETA_LOCIDX(45463,45287,,"SPX")&lt;/Q&gt;&lt;R&gt;1&lt;/R&gt;&lt;C&gt;1&lt;/C&gt;&lt;D xsi:type="xsd:double"&gt;1.0352076&lt;/D&gt;&lt;/FQL&gt;&lt;FQL&gt;&lt;Q&gt;CX-US^P_BETA_LOCIDX(45461,45286,,"SPX")&lt;/Q&gt;&lt;R&gt;1&lt;/R&gt;&lt;C&gt;1&lt;/C&gt;&lt;D xsi:type="xsd:double"&gt;1.0235457&lt;/D&gt;&lt;/FQL&gt;&lt;FQL&gt;&lt;Q&gt;CX-US^P_BETA_LOCIDX(45460,45282,,"SPX")&lt;/Q&gt;&lt;R&gt;1&lt;/R&gt;&lt;C&gt;1&lt;/C&gt;&lt;D xsi:type="xsd:double"&gt;1.025517&lt;/D&gt;&lt;/FQL&gt;&lt;FQL&gt;&lt;Q&gt;CX-US^P_BETA_LOCIDX(45457,45281,,"SPX")&lt;/Q&gt;&lt;R&gt;1&lt;/R&gt;&lt;C&gt;1&lt;/C&gt;&lt;D xsi:type="xsd:double"&gt;1.060095&lt;/D&gt;&lt;/FQL&gt;&lt;FQL&gt;&lt;Q&gt;CX-US^P_BETA_LOCIDX(45456,45280,,"SPX")&lt;/Q&gt;&lt;R&gt;1&lt;/R&gt;&lt;C&gt;1&lt;/C&gt;&lt;D xsi:type="xsd:double"&gt;1.057918&lt;/D&gt;&lt;/FQL&gt;&lt;FQL&gt;&lt;Q&gt;CX-US^P_BETA_LOCIDX(45455,45279,,"SPX")&lt;/Q&gt;&lt;R&gt;1&lt;/R&gt;&lt;C&gt;1&lt;/C&gt;&lt;D xsi:type="xsd:double"&gt;1.0669066&lt;/D&gt;&lt;/FQL&gt;&lt;FQL&gt;&lt;Q&gt;CX-US^P_BETA_LOCIDX(45454,45278,,"SPX")&lt;/Q&gt;&lt;R&gt;1&lt;/R&gt;&lt;C&gt;1&lt;/C&gt;&lt;D xsi:type="xsd:double"&gt;1.0449619&lt;/D&gt;&lt;/FQL&gt;&lt;FQL&gt;&lt;Q&gt;CX-US^P_BETA_LOCIDX(45453,45275,,"SPX")&lt;/Q&gt;&lt;R&gt;1&lt;/R&gt;&lt;C&gt;1&lt;/C&gt;&lt;D xsi:type="xsd:double"&gt;1.0552077&lt;/D&gt;&lt;/FQL&gt;&lt;FQL&gt;&lt;Q&gt;CX-US^P_BETA_LOCIDX(45450,45274,,"SPX")&lt;/Q&gt;&lt;R&gt;1&lt;/R&gt;&lt;C&gt;1&lt;/C&gt;&lt;D xsi:type="xsd:double"&gt;1.0665399&lt;/D&gt;&lt;/FQL&gt;&lt;FQL&gt;&lt;Q&gt;CX-US^P_BETA_LOCIDX(45449,45273,,"SPX")&lt;/Q&gt;&lt;R&gt;1&lt;/R&gt;&lt;C&gt;1&lt;/C&gt;&lt;D xsi:type="xsd:double"&gt;1.1230428&lt;/D&gt;&lt;/FQL&gt;&lt;FQL&gt;&lt;Q&gt;CX-US^P_BETA_LOCIDX(45448,45272,,"SPX")&lt;/Q&gt;&lt;R&gt;1&lt;/R&gt;&lt;C&gt;1&lt;/C&gt;&lt;D xsi:type="xsd:double"&gt;1.1176326&lt;/D&gt;&lt;/FQL&gt;&lt;FQL&gt;&lt;Q&gt;CX-US^P_BETA_LOCIDX(45447,45271,,"SPX")&lt;/Q&gt;&lt;R&gt;1&lt;/R&gt;&lt;C&gt;1&lt;/C&gt;&lt;D xsi:type="xsd:double"&gt;1.097193&lt;/D&gt;&lt;/FQL&gt;&lt;FQL&gt;&lt;Q&gt;CX-US^P_BETA_LOCIDX(45446,45268,,"SPX")&lt;/Q&gt;&lt;R&gt;1&lt;/R&gt;&lt;C&gt;1&lt;/C&gt;&lt;D xsi:type="xsd:double"&gt;1.1018919&lt;/D&gt;&lt;/FQL&gt;&lt;FQL&gt;&lt;Q&gt;CX-US^P_BETA_LOCIDX(45443,45267,,"SPX")&lt;/Q&gt;&lt;R&gt;1&lt;/R&gt;&lt;C&gt;1&lt;/C&gt;&lt;D xsi:type="xsd:double"&gt;1.0930017&lt;/D&gt;&lt;/FQL&gt;&lt;FQL&gt;&lt;Q&gt;CX-US^P_BETA_LOCIDX(45442,45266,,"SPX")&lt;/Q&gt;&lt;R&gt;1&lt;/R&gt;&lt;C&gt;1&lt;/C&gt;&lt;D xsi:type="xsd:double"&gt;1.1072319&lt;/D&gt;&lt;/FQL&gt;&lt;FQL&gt;&lt;Q&gt;CX-US^P_BETA_LOCIDX(45441,45265,,"SPX")&lt;/Q&gt;&lt;R&gt;1&lt;/R&gt;&lt;C&gt;1&lt;/C&gt;&lt;D xsi:type="xsd:double"&gt;1.1372142&lt;/D&gt;&lt;/FQL&gt;&lt;FQL&gt;&lt;Q&gt;CX-US^P_BETA_LOCIDX(45440,45264,,"SPX")&lt;/Q&gt;&lt;R&gt;1&lt;/R&gt;&lt;C&gt;1&lt;/C&gt;&lt;D xsi:type="xsd:double"&gt;1.1544176&lt;/D&gt;&lt;/FQL&gt;&lt;FQL&gt;&lt;Q&gt;CX-US^P_BETA_LOCIDX(45436,45261,,"SPX")&lt;/Q&gt;&lt;R&gt;1&lt;/R&gt;&lt;C&gt;1&lt;/C&gt;&lt;D xsi:type="xsd:double"&gt;1.1821703&lt;/D&gt;&lt;/FQL&gt;&lt;FQL&gt;&lt;Q&gt;CX-US^P_BETA_LOCIDX(45435,45260,,"SPX")&lt;/Q&gt;&lt;R&gt;1&lt;/R&gt;&lt;C&gt;1&lt;/C&gt;&lt;D xsi:type="xsd:double"&gt;1.1842618&lt;/D&gt;&lt;/FQL&gt;&lt;FQL&gt;&lt;Q&gt;CX-US^P_BETA_LOCIDX(45434,45259,,"SPX")&lt;/Q&gt;&lt;R&gt;1&lt;/R&gt;&lt;C&gt;1&lt;/C&gt;&lt;D xsi:type="xsd:double"&gt;1.1844288&lt;/D&gt;&lt;/FQL&gt;&lt;FQL&gt;&lt;Q&gt;CX-US^P_BETA_LOCIDX(45433,45258,,"SPX")&lt;/Q&gt;&lt;R&gt;1&lt;/R&gt;&lt;C&gt;1&lt;/C&gt;&lt;D xsi:type="xsd:double"&gt;1.1736928&lt;/D&gt;&lt;/FQL&gt;&lt;FQL&gt;&lt;Q&gt;CX-US^P_BETA_LOCIDX(45432,45257,,"SPX")&lt;/Q&gt;&lt;R&gt;1&lt;/R&gt;&lt;C&gt;1&lt;/C&gt;&lt;D xsi:type="xsd:double"&gt;1.1775621&lt;/D&gt;&lt;/FQL&gt;&lt;FQL&gt;&lt;Q&gt;CX-US^P_BETA_LOCIDX(45429,45254,,"SPX")&lt;/Q&gt;&lt;R&gt;1&lt;/R&gt;&lt;C&gt;1&lt;/C&gt;&lt;D xsi:type="xsd:double"&gt;1.1788445&lt;/D&gt;&lt;/FQL&gt;&lt;FQL&gt;&lt;Q&gt;CX-US^P_BETA_LOCIDX(45428,45252,,"SPX")&lt;/Q&gt;&lt;R&gt;1&lt;/R&gt;&lt;C&gt;1&lt;/C&gt;&lt;D xsi:type="xsd:double"&gt;1.172217&lt;/D&gt;&lt;/FQL&gt;&lt;FQL&gt;&lt;Q&gt;CX-US^P_BETA_LOCIDX(45427,45251,,"SPX")&lt;/Q&gt;&lt;R&gt;1&lt;/R&gt;&lt;C&gt;1&lt;/C&gt;&lt;D xsi:type="xsd:double"&gt;1.1593615&lt;/D&gt;&lt;/FQL&gt;&lt;FQL&gt;&lt;Q&gt;CX-US^P_BETA_LOCIDX(45426,45250,,"SPX")&lt;/Q&gt;&lt;R&gt;1&lt;/R&gt;&lt;C&gt;1&lt;/C&gt;&lt;D xsi:type="xsd:double"&gt;1.1365445&lt;/D&gt;&lt;/FQL&gt;&lt;FQL&gt;&lt;Q&gt;CX-US^P_BETA_LOCIDX(45425,45247,,"SPX")&lt;/Q&gt;&lt;R&gt;1&lt;/R&gt;&lt;C&gt;1&lt;/C&gt;&lt;D xsi:type="xsd:double"&gt;1.1432041&lt;/D&gt;&lt;/FQL&gt;&lt;FQL&gt;&lt;Q&gt;CX-US^P_BETA_LOCIDX(45422,45246,,"SPX")&lt;/Q&gt;&lt;R&gt;1&lt;/R&gt;&lt;C&gt;1&lt;/C&gt;&lt;D xsi:type="xsd:double"&gt;1.1434734&lt;/D&gt;&lt;/FQL&gt;&lt;FQL&gt;&lt;Q&gt;CX-US^P_BETA_LOCIDX(45421,45245,,"SPX")&lt;/Q&gt;&lt;R&gt;1&lt;/R&gt;&lt;C&gt;1&lt;/C&gt;&lt;D xsi:type="xsd:double"&gt;1.1421778&lt;/D&gt;&lt;/FQL&gt;&lt;FQL&gt;&lt;Q&gt;CX-US^P_BETA_LOCIDX(45420,45244,,"SPX")&lt;/Q&gt;&lt;R&gt;1&lt;/R&gt;&lt;C&gt;1&lt;/C&gt;&lt;D xsi:type="xsd:double"&gt;1.1799136&lt;/D&gt;&lt;/FQL&gt;&lt;FQL&gt;&lt;Q&gt;CX-US^P_BETA_LOCIDX(45419,45243,,"SPX")&lt;/Q&gt;&lt;R&gt;1&lt;/R&gt;&lt;C&gt;1&lt;/C&gt;&lt;D xsi:type="xsd:double"&gt;1.1833335&lt;/D&gt;&lt;/FQL&gt;&lt;FQL&gt;&lt;Q&gt;CX-US^P_BETA_LOCIDX(45418,45240,,"SPX")&lt;/Q&gt;&lt;R&gt;1&lt;/R&gt;&lt;C&gt;1&lt;/C&gt;&lt;D xsi:type="xsd:double"&gt;1.1817783&lt;/D&gt;&lt;/FQL&gt;&lt;FQL&gt;&lt;Q&gt;CX-US^P_BETA_LOCIDX(45415,45239,,"SPX")&lt;/Q&gt;&lt;R&gt;1&lt;/R&gt;&lt;C&gt;1&lt;/C&gt;&lt;D xsi:type="xsd:double"&gt;1.2012187&lt;/D&gt;&lt;/FQL&gt;&lt;FQL&gt;&lt;Q&gt;CX-US^P_BETA_LOCIDX(45414,45238,,"SPX")&lt;/Q&gt;&lt;R&gt;1&lt;/R&gt;&lt;C&gt;1&lt;/C&gt;&lt;D xsi:type="xsd:double"&gt;1.1856954&lt;/D&gt;&lt;/FQL&gt;&lt;FQL&gt;&lt;Q&gt;CX-US^P_BETA_LOCIDX(45413,45237,,"SPX")&lt;/Q&gt;&lt;R&gt;1&lt;/R&gt;&lt;C&gt;1&lt;/C&gt;&lt;D xsi:type="xsd:double"&gt;1.2124277&lt;/D&gt;&lt;/FQL&gt;&lt;FQL&gt;&lt;Q&gt;CX-US^P_BETA_LOCIDX(45412,45236,,"SPX")&lt;/Q&gt;&lt;R&gt;1&lt;/R&gt;&lt;C&gt;1&lt;/C&gt;&lt;D xsi:type="xsd:double"&gt;1.2126943&lt;/D&gt;&lt;/FQL&gt;&lt;FQL&gt;&lt;Q&gt;CX-US^P_BETA_LOCIDX(45411,45233,,"SPX")&lt;/Q&gt;&lt;R&gt;1&lt;/R&gt;&lt;C&gt;1&lt;/C&gt;&lt;D xsi:type="xsd:double"&gt;1.2357386&lt;/D&gt;&lt;/FQL&gt;&lt;FQL&gt;&lt;Q&gt;CX-US^P_BETA_LOCIDX(45408,45232,,"SPX")&lt;/Q&gt;&lt;R&gt;1&lt;/R&gt;&lt;C&gt;1&lt;/C&gt;&lt;D xsi:type="xsd:double"&gt;1.3094246&lt;/D&gt;&lt;/FQL&gt;&lt;FQL&gt;&lt;Q&gt;CX-US^P_BETA_LOCIDX(45407,45231,,"SPX")&lt;/Q&gt;&lt;R&gt;1&lt;/R&gt;&lt;C&gt;1&lt;/C&gt;&lt;D xsi:type="xsd:double"&gt;1.3345157&lt;/D&gt;&lt;/FQL&gt;&lt;FQL&gt;&lt;Q&gt;CX-US^P_BETA_LOCIDX(45406,45230,,"SPX")&lt;/Q&gt;&lt;R&gt;1&lt;/R&gt;&lt;C&gt;1&lt;/C&gt;&lt;D xsi:type="xsd:double"&gt;1.344185&lt;/D&gt;&lt;/FQL&gt;&lt;FQL&gt;&lt;Q&gt;CX-US^P_BETA_LOCIDX(45405,45229,,"SPX")&lt;/Q&gt;&lt;R&gt;1&lt;/R&gt;&lt;C&gt;1&lt;/C&gt;&lt;D xsi:type="xsd:double"&gt;1.3086832&lt;/D&gt;&lt;/FQL&gt;&lt;FQL&gt;&lt;Q&gt;CX-US^P_BETA_LOCIDX(45404,45226,,"SPX")&lt;/Q&gt;&lt;R&gt;1&lt;/R&gt;&lt;C&gt;1&lt;/C&gt;&lt;D xsi:type="xsd:double"&gt;1.354302&lt;/D&gt;&lt;/FQL&gt;&lt;FQL&gt;&lt;Q&gt;CX-US^P_BETA_LOCIDX(45401,45225,,"SPX")&lt;/Q&gt;&lt;R&gt;1&lt;/R&gt;&lt;C&gt;1&lt;/C&gt;&lt;D xsi:type="xsd:double"&gt;1.2358922&lt;/D&gt;&lt;/FQL&gt;&lt;FQL&gt;&lt;Q&gt;CX-US^P_BETA_LOCIDX(45400,45224,,"SPX")&lt;/Q&gt;&lt;R&gt;1&lt;/R&gt;&lt;C&gt;1&lt;/C&gt;&lt;D xsi:type="xsd:double"&gt;1.1672164&lt;/D&gt;&lt;/FQL&gt;&lt;FQL&gt;&lt;Q&gt;CX-US^P_BETA_LOCIDX(45399,45223,,"SPX")&lt;/Q&gt;&lt;R&gt;1&lt;/R&gt;&lt;C&gt;1&lt;/C&gt;&lt;D xsi:type="xsd:double"&gt;1.152226&lt;/D&gt;&lt;/FQL&gt;&lt;FQL&gt;&lt;Q&gt;CX-US^P_BETA_LOCIDX(45398,45222,,"SPX")&lt;/Q&gt;&lt;R&gt;1&lt;/R&gt;&lt;C&gt;1&lt;/C&gt;&lt;D xsi:type="xsd:double"&gt;1.1330475&lt;/D&gt;&lt;/FQL&gt;&lt;FQL&gt;&lt;Q&gt;CX-US^P_BETA_LOCIDX(45397,45219,,"SPX")&lt;/Q&gt;&lt;R&gt;1&lt;/R&gt;&lt;C&gt;1&lt;/C&gt;&lt;D xsi:type="xsd:double"&gt;1.1164496&lt;/D&gt;&lt;/FQL&gt;&lt;FQL&gt;&lt;Q&gt;CX-US^P_BETA_LOCIDX(45394,45218,,"SPX")&lt;/Q&gt;&lt;R&gt;1&lt;/R&gt;&lt;C&gt;1&lt;/C&gt;&lt;D xsi:type="xsd:double"&gt;1.1052413&lt;/D&gt;&lt;/FQL&gt;&lt;FQL&gt;&lt;Q&gt;CX-US^P_BETA_LOCIDX(45393,45217,,"SPX")&lt;/Q&gt;&lt;R&gt;1&lt;/R&gt;&lt;C&gt;1&lt;/C&gt;&lt;D xsi:type="xsd:double"&gt;1.161369&lt;/D&gt;&lt;/FQL&gt;&lt;FQL&gt;&lt;Q&gt;CX-US^P_BETA_LOCIDX(45392,45216,,"SPX")&lt;/Q&gt;&lt;R&gt;1&lt;/R&gt;&lt;C&gt;1&lt;/C&gt;&lt;D xsi:type="xsd:double"&gt;1.1561179&lt;/D&gt;&lt;/FQL&gt;&lt;FQL&gt;&lt;Q&gt;CX-US^P_BETA_LOCIDX(45391,45215,,"SPX")&lt;/Q&gt;&lt;R&gt;1&lt;/R&gt;&lt;C&gt;1&lt;/C&gt;&lt;D xsi:type="xsd:double"&gt;1.1859889&lt;/D&gt;&lt;/FQL&gt;&lt;FQL&gt;&lt;Q&gt;CX-US^P_BETA_LOCIDX(45390,45212,,"SPX")&lt;/Q&gt;&lt;R&gt;1&lt;/R&gt;&lt;C&gt;1&lt;/C&gt;&lt;D xsi:type="xsd:double"&gt;1.1827382&lt;/D&gt;&lt;/FQL&gt;&lt;FQL&gt;&lt;Q&gt;CX-US^P_BETA_LOCIDX(45387,45211,,"SPX")&lt;/Q&gt;&lt;R&gt;1&lt;/R&gt;&lt;C&gt;1&lt;/C&gt;&lt;D xsi:type="xsd:double"&gt;1.2224966&lt;/D&gt;&lt;/FQL&gt;&lt;FQL&gt;&lt;Q&gt;CX-US^P_BETA_LOCIDX(45386,45210,,"SPX")&lt;/Q&gt;&lt;R&gt;1&lt;/R&gt;&lt;C&gt;1&lt;/C&gt;&lt;D xsi:type="xsd:double"&gt;1.2727443&lt;/D&gt;&lt;/FQL&gt;&lt;FQL&gt;&lt;Q&gt;CX-US^P_BETA_LOCIDX(45385,45209,,"SPX")&lt;/Q&gt;&lt;R&gt;1&lt;/R&gt;&lt;C&gt;1&lt;/C&gt;&lt;D xsi:type="xsd:double"&gt;1.2390766&lt;/D&gt;&lt;/FQL&gt;&lt;FQL&gt;&lt;Q&gt;CX-US^P_BETA_LOCIDX(45384,45208,,"SPX")&lt;/Q&gt;&lt;R&gt;1&lt;/R&gt;&lt;C&gt;1&lt;/C&gt;&lt;D xsi:type="xsd:double"&gt;1.2429986&lt;/D&gt;&lt;/FQL&gt;&lt;FQL&gt;&lt;Q&gt;CX-US^P_BETA_LOCIDX(45383,45205,,"SPX")&lt;/Q&gt;&lt;R&gt;1&lt;/R&gt;&lt;C&gt;1&lt;/C&gt;&lt;D xsi:type="xsd:double"&gt;1.2045214&lt;/D&gt;&lt;/FQL&gt;&lt;FQL&gt;&lt;Q&gt;CX-US^P_BETA_LOCIDX(45379,45204,,"SPX")&lt;/Q&gt;&lt;R&gt;1&lt;/R&gt;&lt;C&gt;1&lt;/C&gt;&lt;D xsi:type="xsd:double"&gt;1.2398044&lt;/D&gt;&lt;/FQL&gt;&lt;FQL&gt;&lt;Q&gt;CX-US^P_BETA_LOCIDX(45378,45203,,"SPX")&lt;/Q&gt;&lt;R&gt;1&lt;/R&gt;&lt;C&gt;1&lt;/C&gt;&lt;D xsi:type="xsd:double"&gt;1.2483292&lt;/D&gt;&lt;/FQL&gt;&lt;FQL&gt;&lt;Q&gt;CX-US^P_BETA_LOCIDX(45377,45202,,"SPX")&lt;/Q&gt;&lt;R&gt;1&lt;/R&gt;&lt;C&gt;1&lt;/C&gt;&lt;D xsi:type="xsd:double"&gt;1.331272&lt;/D&gt;&lt;/FQL&gt;&lt;FQL&gt;&lt;Q&gt;CX-US^P_BETA_LOCIDX(45376,45201,,"SPX")&lt;/Q&gt;&lt;R&gt;1&lt;/R&gt;&lt;C&gt;1&lt;/C&gt;&lt;D xsi:type="xsd:double"&gt;1.3524022&lt;/D&gt;&lt;/FQL&gt;&lt;FQL&gt;&lt;Q&gt;CX-US^P_BETA_LOCIDX(45373,45198,,"SPX")&lt;/Q&gt;&lt;R&gt;1&lt;/R&gt;&lt;C&gt;1&lt;/C&gt;&lt;D xsi:type="xsd:double"&gt;1.3662546&lt;/D&gt;&lt;/FQL&gt;&lt;FQL&gt;&lt;Q&gt;CX-US^P_BETA_LOCIDX(45372,45197,,"SPX")&lt;/Q&gt;&lt;R&gt;1&lt;/R&gt;&lt;C&gt;1&lt;/C&gt;&lt;D xsi:type="xsd:double"&gt;1.3771533&lt;/D&gt;&lt;/FQL&gt;&lt;FQL&gt;&lt;Q&gt;CX-US^P_BETA_LOCIDX(45371,45196,,"SPX")&lt;/Q&gt;&lt;R&gt;1&lt;/R&gt;&lt;C&gt;1&lt;/C&gt;&lt;D xsi:type="xsd:double"&gt;1.3771132&lt;/D&gt;&lt;/FQL&gt;&lt;FQL&gt;&lt;Q&gt;CX-US^P_BETA_LOCIDX(45370,45195,,"SPX")&lt;/Q&gt;&lt;R&gt;1&lt;/R&gt;&lt;C&gt;1&lt;/C&gt;&lt;D xsi:type="xsd:double"&gt;1.3624742&lt;/D&gt;&lt;/FQL&gt;&lt;FQL&gt;&lt;Q&gt;CX-US^P_BETA_LOCIDX(45369,45194,,"SPX")&lt;/Q&gt;&lt;R&gt;1&lt;/R&gt;&lt;C&gt;1&lt;/C&gt;&lt;D xsi:type="xsd:double"&gt;1.3678573&lt;/D&gt;&lt;/FQL&gt;&lt;FQL&gt;&lt;Q&gt;CX-US^P_BETA_LOCIDX(45366,45191,,"SPX")&lt;/Q&gt;&lt;R&gt;1&lt;/R&gt;&lt;C&gt;1&lt;/C&gt;&lt;D xsi:type="xsd:double"&gt;1.3877945&lt;/D&gt;&lt;/FQL&gt;&lt;FQL&gt;&lt;Q&gt;CX-US^P_BETA_LOCIDX(45365,45190,,"SPX")&lt;/Q&gt;&lt;R&gt;1&lt;/R&gt;&lt;C&gt;1&lt;/C&gt;&lt;D xsi:type="xsd:double"&gt;1.4432312&lt;/D&gt;&lt;/FQL&gt;&lt;FQL&gt;&lt;Q&gt;CX-US^P_BETA_LOCIDX(45364,45189,,"SPX")&lt;/Q&gt;&lt;R&gt;1&lt;/R&gt;&lt;C&gt;1&lt;/C&gt;&lt;D xsi:type="xsd:double"&gt;1.4466184&lt;/D&gt;&lt;/FQL&gt;&lt;FQL&gt;&lt;Q&gt;CX-US^P_BETA_LOCIDX(45363,45188,,"SPX")&lt;/Q&gt;&lt;R&gt;1&lt;/R&gt;&lt;C&gt;1&lt;/C&gt;&lt;D xsi:type="xsd:double"&gt;1.4381579&lt;/D&gt;&lt;/FQL&gt;&lt;FQL&gt;&lt;Q&gt;CX-US^P_BETA_LOCIDX(45362,45187,,"SPX")&lt;/Q&gt;&lt;R&gt;1&lt;/R&gt;&lt;C&gt;1&lt;/C&gt;&lt;D xsi:type="xsd:double"&gt;1.4672887&lt;/D&gt;&lt;/FQL&gt;&lt;FQL&gt;&lt;Q&gt;CX-US^P_BETA_LOCIDX(45359,45184,,"SPX")&lt;/Q&gt;&lt;R&gt;1&lt;/R&gt;&lt;C&gt;1&lt;/C&gt;&lt;D xsi:type="xsd:double"&gt;1.450818&lt;/D&gt;&lt;/FQL&gt;&lt;FQL&gt;&lt;Q&gt;CX-US^P_BETA_LOCIDX(45358,45183,,"SPX")&lt;/Q&gt;&lt;R&gt;1&lt;/R&gt;&lt;C&gt;1&lt;/C&gt;&lt;D xsi:type="xsd:double"&gt;1.4443753&lt;/D&gt;&lt;/FQL&gt;&lt;FQL&gt;&lt;Q&gt;CX-US^P_BETA_LOCIDX(45357,45182,,"SPX")&lt;/Q&gt;&lt;R&gt;1&lt;/R&gt;&lt;C&gt;1&lt;/C&gt;&lt;D xsi:type="xsd:double"&gt;1.4566929&lt;/D&gt;&lt;/FQL&gt;&lt;FQL&gt;&lt;Q&gt;CX-US^P_BETA_LOCIDX(45356,45181,,"SPX")&lt;/Q&gt;&lt;R&gt;1&lt;/R&gt;&lt;C&gt;1&lt;/C&gt;&lt;D xsi:type="xsd:double"&gt;1.4532691&lt;/D&gt;&lt;/FQL&gt;&lt;FQL&gt;&lt;Q&gt;CX-US^P_BETA_LOCIDX(45355,45180,,"SPX")&lt;/Q&gt;&lt;R&gt;1&lt;/R&gt;&lt;C&gt;1&lt;/C&gt;&lt;D xsi:type="xsd:double"&gt;1.4427525&lt;/D&gt;&lt;/FQL&gt;&lt;FQL&gt;&lt;Q&gt;CX-US^P_BETA_LOCIDX(45352,45177,,"SPX")&lt;/Q&gt;&lt;R&gt;1&lt;/R&gt;&lt;C&gt;1&lt;/C&gt;&lt;D xsi:type="xsd:double"&gt;1.4387864&lt;/D&gt;&lt;/FQL&gt;&lt;FQL&gt;&lt;Q&gt;CX-US^P_BETA_LOCIDX(45351,45176,,"SPX")&lt;/Q&gt;&lt;R&gt;1&lt;/R&gt;&lt;C&gt;1&lt;/C&gt;&lt;D xsi:type="xsd:double"&gt;1.4370649&lt;/D&gt;&lt;/FQL&gt;&lt;FQL&gt;&lt;Q&gt;CX-US^P_BETA_LOCIDX(45350,45175,,"SPX")&lt;/Q&gt;&lt;R&gt;1&lt;/R&gt;&lt;C&gt;1&lt;/C&gt;&lt;D xsi:type="xsd:double"&gt;1.4534338&lt;/D&gt;&lt;/FQL&gt;&lt;FQL&gt;&lt;Q&gt;CX-US^P_BETA_LOCIDX(45349,45174,,"SPX")&lt;/Q&gt;&lt;R&gt;1&lt;/R&gt;&lt;C&gt;1&lt;/C&gt;&lt;D xsi:type="xsd:double"&gt;1.4665072&lt;/D&gt;&lt;/FQL&gt;&lt;FQL&gt;&lt;Q&gt;CX-US^P_BETA_LOCIDX(45348,45170,,"SPX")&lt;/Q&gt;&lt;R&gt;1&lt;/R&gt;&lt;C&gt;1&lt;/C&gt;&lt;D xsi:type="xsd:double"&gt;1.4694405&lt;/D&gt;&lt;/FQL&gt;&lt;FQL&gt;&lt;Q&gt;CX-US^P_BETA_LOCIDX(45345,45169,,"SPX")&lt;/Q&gt;&lt;R&gt;1&lt;/R&gt;&lt;C&gt;1&lt;/C&gt;&lt;D xsi:type="xsd:double"&gt;1.4822805&lt;/D&gt;&lt;/FQL&gt;&lt;FQL&gt;&lt;Q&gt;CX-US^P_BETA_LOCIDX(45344,45168,,"SPX")&lt;/Q&gt;&lt;R&gt;1&lt;/R&gt;&lt;C&gt;1&lt;/C&gt;&lt;D xsi:type="xsd:double"&gt;1.4795042&lt;/D&gt;&lt;/FQL&gt;&lt;FQL&gt;&lt;Q&gt;CX-US^P_BETA_LOCIDX(45343,45167,,"SPX")&lt;/Q&gt;&lt;R&gt;1&lt;/R&gt;&lt;C&gt;1&lt;/C&gt;&lt;D xsi:type="xsd:double"&gt;1.5303112&lt;/D&gt;&lt;/FQL&gt;&lt;FQL&gt;&lt;Q&gt;CX-US^P_BETA_LOCIDX(45342,45166,,"SPX")&lt;/Q&gt;&lt;R&gt;1&lt;/R&gt;&lt;C&gt;1&lt;/C&gt;&lt;D xsi:type="xsd:double"&gt;1.5350008&lt;/D&gt;&lt;/FQL&gt;&lt;FQL&gt;&lt;Q&gt;CX-US^P_BETA_LOCIDX(45338,45163,,"SPX")&lt;/Q&gt;&lt;R&gt;1&lt;/R&gt;&lt;C&gt;1&lt;/C&gt;&lt;D xsi:type="xsd:double"&gt;1.5538715&lt;/D&gt;&lt;/FQL&gt;&lt;FQL&gt;&lt;Q&gt;CX-US^P_BETA_LOCIDX(45337,45162,,"SPX")&lt;/Q&gt;&lt;R&gt;1&lt;/R&gt;&lt;C&gt;1&lt;/C&gt;&lt;D xsi:type="xsd:double"&gt;1.5644002&lt;/D&gt;&lt;/FQL&gt;&lt;FQL&gt;&lt;Q&gt;CX-US^P_BETA_LOCIDX(45336,45161,,"SPX")&lt;/Q&gt;&lt;R&gt;1&lt;/R&gt;&lt;C&gt;1&lt;/C&gt;&lt;D xsi:type="xsd:double"&gt;1.5516043&lt;/D&gt;&lt;/FQL&gt;&lt;FQL&gt;&lt;Q&gt;CX-US^P_BETA_LOCIDX(45335,45160,,"SPX")&lt;/Q&gt;&lt;R&gt;1&lt;/R&gt;&lt;C&gt;1&lt;/C&gt;&lt;D xsi:type="xsd:double"&gt;1.5622535&lt;/D&gt;&lt;/FQL&gt;&lt;FQL&gt;&lt;Q&gt;CX-US^P_BETA_LOCIDX(45334,45159,,"SPX")&lt;/Q&gt;&lt;R&gt;1&lt;/R&gt;&lt;C&gt;1&lt;/C&gt;&lt;D xsi:type="xsd:double"&gt;1.5689192&lt;/D&gt;&lt;/FQL&gt;&lt;FQL&gt;&lt;Q&gt;CX-US^P_BETA_LOCIDX(45331,45156,,"SPX")&lt;/Q&gt;&lt;R&gt;1&lt;/R&gt;&lt;C&gt;1&lt;/C&gt;&lt;D xsi:type="xsd:double"&gt;1.5720875&lt;/D&gt;&lt;/FQL&gt;&lt;FQL&gt;&lt;Q&gt;CX-US^P_BETA_LOCIDX(45330,45155,,"SPX")&lt;/Q&gt;&lt;R&gt;1&lt;/R&gt;&lt;C&gt;1&lt;/C&gt;&lt;D xsi:type="xsd:double"&gt;1.6482539&lt;/D&gt;&lt;/FQL&gt;&lt;FQL&gt;&lt;Q&gt;CX-US^P_BETA_LOCIDX(45329,45154,,"SPX")&lt;/Q&gt;&lt;R&gt;1&lt;/R&gt;&lt;C&gt;1&lt;/C&gt;&lt;D xsi:type="xsd:double"&gt;1.6142493&lt;/D&gt;&lt;/FQL&gt;&lt;FQL&gt;&lt;Q&gt;CX-US^P_BETA_LOCIDX(45328,45153,,"SPX")&lt;/Q&gt;&lt;R&gt;1&lt;/R&gt;&lt;C&gt;1&lt;/C&gt;&lt;D xsi:type="xsd:double"&gt;1.5792648&lt;/D&gt;&lt;/FQL&gt;&lt;FQL&gt;&lt;Q&gt;CX-US^P_BETA_LOCIDX(45327,45152,,"SPX")&lt;/Q&gt;&lt;R&gt;1&lt;/R&gt;&lt;C&gt;1&lt;/C&gt;&lt;D xsi:type="xsd:double"&gt;1.5855701&lt;/D&gt;&lt;/FQL&gt;&lt;FQL&gt;&lt;Q&gt;CX-US^P_BETA_LOCIDX(45324,45149,,"SPX")&lt;/Q&gt;&lt;R&gt;1&lt;/R&gt;&lt;C&gt;1&lt;/C&gt;&lt;D xsi:type="xsd:double"&gt;1.5828116&lt;/D&gt;&lt;/FQL&gt;&lt;FQL&gt;&lt;Q&gt;CX-US^P_BETA_LOCIDX(45323,45148,,"SPX")&lt;/Q&gt;&lt;R&gt;1&lt;/R&gt;&lt;C&gt;1&lt;/C&gt;&lt;D xsi:type="xsd:double"&gt;1.581845&lt;/D&gt;&lt;/FQL&gt;&lt;FQL&gt;&lt;Q&gt;CX-US^P_BETA_LOCIDX(45322,45147,,"SPX")&lt;/Q&gt;&lt;R&gt;1&lt;/R&gt;&lt;C&gt;1&lt;/C&gt;&lt;D xsi:type="xsd:double"&gt;1.5713315&lt;/D&gt;&lt;/FQL&gt;&lt;FQL&gt;&lt;Q&gt;CX-US^P_BETA_LOCIDX(45321,45146,,"SPX")&lt;/Q&gt;&lt;R&gt;1&lt;/R&gt;&lt;C&gt;1&lt;/C&gt;&lt;D xsi:type="xsd:double"&gt;1.6058873&lt;/D&gt;&lt;/FQL&gt;&lt;FQL&gt;&lt;Q&gt;CX-US^P_BETA_LOCIDX(45320,45145,,"SPX")&lt;/Q&gt;&lt;R&gt;1&lt;/R&gt;&lt;C&gt;1&lt;/C&gt;&lt;D xsi:type="xsd:double"&gt;1.6236134&lt;/D&gt;&lt;/FQL&gt;&lt;FQL&gt;&lt;Q&gt;CX-US^P_BETA_LOCIDX(45317,45142,,"SPX")&lt;/Q&gt;&lt;R&gt;1&lt;/R&gt;&lt;C&gt;1&lt;/C&gt;&lt;D xsi:type="xsd:double"&gt;1.5981573&lt;/D&gt;&lt;/FQL&gt;&lt;FQL&gt;&lt;Q&gt;CX-US^P_BETA_LOCIDX(45316,45141,,"SPX")&lt;/Q&gt;&lt;R&gt;1&lt;/R&gt;&lt;C&gt;1&lt;/C&gt;&lt;D xsi:type="xsd:double"&gt;1.6032792&lt;/D&gt;&lt;/FQL&gt;&lt;FQL&gt;&lt;Q&gt;CX-US^P_BETA_LOCIDX(45315,45140,,"SPX")&lt;/Q&gt;&lt;R&gt;1&lt;/R&gt;&lt;C&gt;1&lt;/C&gt;&lt;D xsi:type="xsd:double"&gt;1.5493038&lt;/D&gt;&lt;/FQL&gt;&lt;FQL&gt;&lt;Q&gt;CX-US^P_BETA_LOCIDX(45314,45139,,"SPX")&lt;/Q&gt;&lt;R&gt;1&lt;/R&gt;&lt;C&gt;1&lt;/C&gt;&lt;D xsi:type="xsd:double"&gt;1.5445943&lt;/D&gt;&lt;/FQL&gt;&lt;FQL&gt;&lt;Q&gt;CX-US^P_BETA_LOCIDX(45313,45138,,"SPX")&lt;/Q&gt;&lt;R&gt;1&lt;/R&gt;&lt;C&gt;1&lt;/C&gt;&lt;D xsi:type="xsd:double"&gt;1.5409583&lt;/D&gt;&lt;/FQL&gt;&lt;FQL&gt;&lt;Q&gt;CX-US^P_BETA_LOCIDX(45310,45135,,"SPX")&lt;/Q&gt;&lt;R&gt;1&lt;/R&gt;&lt;C&gt;1&lt;/C&gt;&lt;D xsi:type="xsd:double"&gt;1.5500041&lt;/D&gt;&lt;/FQL&gt;&lt;FQL&gt;&lt;Q&gt;CX-US^P_BETA_LOCIDX(45309,45134,,"SPX")&lt;/Q&gt;&lt;R&gt;1&lt;/R&gt;&lt;C&gt;1&lt;/C&gt;&lt;D xsi:type="xsd:double"&gt;1.5624671&lt;/D&gt;&lt;/FQL&gt;&lt;FQL&gt;&lt;Q&gt;CX-US^P_BETA_LOCIDX(45308,45133,,"SPX")&lt;/Q&gt;&lt;R&gt;1&lt;/R&gt;&lt;C&gt;1&lt;/C&gt;&lt;D xsi:type="xsd:double"&gt;1.5815916&lt;/D&gt;&lt;/FQL&gt;&lt;FQL&gt;&lt;Q&gt;CX-US^P_BETA_LOCIDX(45307,45132,,"SPX")&lt;/Q&gt;&lt;R&gt;1&lt;/R&gt;&lt;C&gt;1&lt;/C&gt;&lt;D xsi:type="xsd:double"&gt;1.593733&lt;/D&gt;&lt;/FQL&gt;&lt;FQL&gt;&lt;Q&gt;CX-US^P_BETA_LOCIDX(45303,45131,,"SPX")&lt;/Q&gt;&lt;R&gt;1&lt;/R&gt;&lt;C&gt;1&lt;/C&gt;&lt;D xsi:type="xsd:double"&gt;1.556947&lt;/D&gt;&lt;/FQL&gt;&lt;FQL&gt;&lt;Q&gt;CX-US^P_BETA_LOCIDX(45302,45128,,"SPX")&lt;/Q&gt;&lt;R&gt;1&lt;/R&gt;&lt;C&gt;1&lt;/C&gt;&lt;D xsi:type="xsd:double"&gt;1.5570374&lt;/D&gt;&lt;/FQL&gt;&lt;FQL&gt;&lt;Q&gt;CX-US^P_BETA_LOCIDX(45301,45127,,"SPX")&lt;/Q&gt;&lt;R&gt;1&lt;/R&gt;&lt;C&gt;1&lt;/C&gt;&lt;D xsi:type="xsd:double"&gt;1.5450796&lt;/D&gt;&lt;/FQL&gt;&lt;FQL&gt;&lt;Q&gt;CX-US^P_BETA_LOCIDX(45300,45126,,"SPX")&lt;/Q&gt;&lt;R&gt;1&lt;/R&gt;&lt;C&gt;1&lt;/C&gt;&lt;D xsi:type="xsd:double"&gt;1.5446501&lt;/D&gt;&lt;/FQL&gt;&lt;FQL&gt;&lt;Q&gt;CX-US^P_BETA_LOCIDX(45299,45125,,"SPX")&lt;/Q&gt;&lt;R&gt;1&lt;/R&gt;&lt;C&gt;1&lt;/C&gt;&lt;D xsi:type="xsd:double"&gt;1.548719&lt;/D&gt;&lt;/FQL&gt;&lt;FQL&gt;&lt;Q&gt;CX-US^P_BETA_LOCIDX(45296,45124,,"SPX")&lt;/Q&gt;&lt;R&gt;1&lt;/R&gt;&lt;C&gt;1&lt;/C&gt;&lt;D xsi:type="xsd:double"&gt;1.5771348&lt;/D&gt;&lt;/FQL&gt;&lt;FQL&gt;&lt;Q&gt;CX-US^P_BETA_LOCIDX(45295,45121,,"SPX")&lt;/Q&gt;&lt;R&gt;1&lt;/R&gt;&lt;C&gt;1&lt;/C&gt;&lt;D xsi:type="xsd:double"&gt;1.5704547&lt;/D&gt;&lt;/FQL&gt;&lt;FQL&gt;&lt;Q&gt;CX-US^P_BETA_LOCIDX(45294,45120,,"SPX")&lt;/Q&gt;&lt;R&gt;1&lt;/R&gt;&lt;C&gt;1&lt;/C&gt;&lt;D xsi:type="xsd:double"&gt;1.610389&lt;/D&gt;&lt;/FQL&gt;&lt;FQL&gt;&lt;Q&gt;CX-US^P_BETA_LOCIDX(45293,45119,,"SPX")&lt;/Q&gt;&lt;R&gt;1&lt;/R&gt;&lt;C&gt;1&lt;/C&gt;&lt;D xsi:type="xsd:double"&gt;1.5942643&lt;/D&gt;&lt;/FQL&gt;&lt;FQL&gt;&lt;Q&gt;CX-US^P_BETA_LOCIDX(45289,45118,,"SPX")&lt;/Q&gt;&lt;R&gt;1&lt;/R&gt;&lt;C&gt;1&lt;/C&gt;&lt;D xsi:type="xsd:double"&gt;1.5958209&lt;/D&gt;&lt;/FQL&gt;&lt;FQL&gt;&lt;Q&gt;CX-US^P_BETA_LOCIDX(45288,45117,,"SPX")&lt;/Q&gt;&lt;R&gt;1&lt;/R&gt;&lt;C&gt;1&lt;/C&gt;&lt;D xsi:type="xsd:double"&gt;1.5921032&lt;/D&gt;&lt;/FQL&gt;&lt;FQL&gt;&lt;Q&gt;CX-US^P_BETA_LOCIDX(45287,45114,,"SPX")&lt;/Q&gt;&lt;R&gt;1&lt;/R&gt;&lt;C&gt;1&lt;/C&gt;&lt;D xsi:type="xsd:double"&gt;1.5786861&lt;/D&gt;&lt;/FQL&gt;&lt;FQL&gt;&lt;Q&gt;CX-US^P_BETA_LOCIDX(45286,45113,,"SPX")&lt;/Q&gt;&lt;R&gt;1&lt;/R&gt;&lt;C&gt;1&lt;/C&gt;&lt;D xsi:type="xsd:double"&gt;1.638266&lt;/D&gt;&lt;/FQL&gt;&lt;FQL&gt;&lt;Q&gt;CX-US^P_BETA_LOCIDX(45282,45112,,"SPX")&lt;/Q&gt;&lt;R&gt;1&lt;/R&gt;&lt;C&gt;1&lt;/C&gt;&lt;D xsi:type="xsd:double"&gt;1.6526519&lt;/D&gt;&lt;/FQL&gt;&lt;FQL&gt;&lt;Q&gt;CX-US^P_BETA_LOCIDX(45281,45110,,"SPX")&lt;/Q&gt;&lt;R&gt;1&lt;/R&gt;&lt;C&gt;1&lt;/C&gt;&lt;D xsi:type="xsd:double"&gt;1.6505141&lt;/D&gt;&lt;/FQL&gt;&lt;FQL&gt;&lt;Q&gt;CX-US^P_BETA_LOCIDX(45280,45107,,"SPX")&lt;/Q&gt;&lt;R&gt;1&lt;/R&gt;&lt;C&gt;1&lt;/C&gt;&lt;D xsi:type="xsd:double"&gt;1.6139243&lt;/D&gt;&lt;/FQL&gt;&lt;FQL&gt;&lt;Q&gt;CX-US^P_BETA_LOCIDX(45279,45106,,"SPX")&lt;/Q&gt;&lt;R&gt;1&lt;/R&gt;&lt;C&gt;1&lt;/C&gt;&lt;D xsi:type="xsd:double"&gt;1.6202197&lt;/D&gt;&lt;/FQL&gt;&lt;FQL&gt;&lt;Q&gt;CX-US^P_BETA_LOCIDX(45278,45105,,"SPX")&lt;/Q&gt;&lt;R&gt;1&lt;/R&gt;&lt;C&gt;1&lt;/C&gt;&lt;D xsi:type="xsd:double"&gt;1.6175352&lt;/D&gt;&lt;/FQL&gt;&lt;FQL&gt;&lt;Q&gt;CX-US^P_BETA_LOCIDX(45275,45104,,"SPX")&lt;/Q&gt;&lt;R&gt;1&lt;/R&gt;&lt;C&gt;1&lt;/C&gt;&lt;D xsi:type="xsd:double"&gt;1.6225613&lt;/D&gt;&lt;/FQL&gt;&lt;FQL&gt;&lt;Q&gt;CX-US^P_BETA_LOCIDX(45274,45103,,"SPX")&lt;/Q&gt;&lt;R&gt;1&lt;/R&gt;&lt;C&gt;1&lt;/C&gt;&lt;D xsi:type="xsd:double"&gt;1.6174227&lt;/D&gt;&lt;/FQL&gt;&lt;FQL&gt;&lt;Q&gt;CX-US^P_BETA_LOCIDX(45273,45100,,"SPX")&lt;/Q&gt;&lt;R&gt;1&lt;/R&gt;&lt;C&gt;1&lt;/C&gt;&lt;D xsi:type="xsd:double"&gt;1.5839471&lt;/D&gt;&lt;/FQL&gt;&lt;FQL&gt;&lt;Q&gt;CX-US^P_BETA_LOCIDX(45272,45099,,"SPX")&lt;/Q&gt;&lt;R&gt;1&lt;/R&gt;&lt;C&gt;1&lt;/C&gt;&lt;D xsi:type="xsd:double"&gt;1.5189226&lt;/D&gt;&lt;/FQL&gt;&lt;FQL&gt;&lt;Q&gt;CX-US^P_BETA_LOCIDX(45271,45098,,"SPX")&lt;/Q&gt;&lt;R&gt;1&lt;/R&gt;&lt;C&gt;1&lt;/C&gt;&lt;D xsi:type="xsd:double"&gt;1.5160563&lt;/D&gt;&lt;/FQL&gt;&lt;FQL&gt;&lt;Q&gt;CX-US^P_BETA_LOCIDX(45268,45097,,"SPX")&lt;/Q&gt;&lt;R&gt;1&lt;/R&gt;&lt;C&gt;1&lt;/C&gt;&lt;D xsi:type="xsd:double"&gt;1.5313286&lt;/D&gt;&lt;/FQL&gt;&lt;FQL&gt;&lt;Q&gt;CX-US^P_BETA_LOCIDX(45267,45093,,"SPX")&lt;/Q&gt;&lt;R&gt;1&lt;/R&gt;&lt;C&gt;1&lt;/C&gt;&lt;D xsi:type="xsd:double"&gt;1.5318956&lt;/D&gt;&lt;/FQL&gt;&lt;FQL&gt;&lt;Q&gt;CX-US^P_BETA_LOCIDX(45266,45092,,"SPX")&lt;/Q&gt;&lt;R&gt;1&lt;/R&gt;&lt;C&gt;1&lt;/C&gt;&lt;D xsi:type="xsd:double"&gt;1.5211339&lt;/D&gt;&lt;/FQL&gt;&lt;FQL&gt;&lt;Q&gt;CX-US^P_BETA_LOCIDX(45265,45091,,"SPX")&lt;/Q&gt;&lt;R&gt;1&lt;/R&gt;&lt;C&gt;1&lt;/C&gt;&lt;D xsi:type="xsd:double"&gt;1.5302396&lt;/D&gt;&lt;/FQL&gt;&lt;FQL&gt;&lt;Q&gt;CX-US^P_BETA_LOCIDX(45264,45090,,"SPX")&lt;/Q&gt;&lt;R&gt;1&lt;/R&gt;&lt;C&gt;1&lt;/C&gt;&lt;D xsi:type="xsd:double"&gt;1.5527421&lt;/D&gt;&lt;/FQL&gt;&lt;FQL&gt;&lt;Q&gt;CX-US^P_BETA_LOCIDX(45261,45089,,"SPX")&lt;/Q&gt;&lt;R&gt;1&lt;/R&gt;&lt;C&gt;1&lt;/C&gt;&lt;D xsi:type="xsd:double"&gt;1.5106009&lt;/D&gt;&lt;/FQL&gt;&lt;FQL&gt;&lt;Q&gt;CX-US^P_BETA_LOCIDX(45260,45086,,"SPX")&lt;/Q&gt;&lt;R&gt;1&lt;/R&gt;&lt;C&gt;1&lt;/C&gt;&lt;D xsi:type="xsd:double"&gt;1.4847438&lt;/D&gt;&lt;/FQL&gt;&lt;FQL&gt;&lt;Q&gt;CX-US^P_BETA_LOCIDX(45259,45085,,"SPX")&lt;/Q&gt;&lt;R&gt;1&lt;/R&gt;&lt;C&gt;1&lt;/C&gt;&lt;D xsi:type="xsd:double"&gt;1.4812728&lt;/D&gt;&lt;/FQL&gt;&lt;FQL&gt;&lt;Q&gt;CX-US^P_BETA_LOCIDX(45258,45084,,"SPX")&lt;/Q&gt;&lt;R&gt;1&lt;/R&gt;&lt;C&gt;1&lt;/C&gt;&lt;D xsi:type="xsd:double"&gt;1.4683684&lt;/D&gt;&lt;/FQL&gt;&lt;FQL&gt;&lt;Q&gt;CX-US^P_BETA_LOCIDX(45257,45083,,"SPX")&lt;/Q&gt;&lt;R&gt;1&lt;/R&gt;&lt;C&gt;1&lt;/C&gt;&lt;D xsi:type="xsd:double"&gt;1.4805058&lt;/D&gt;&lt;/FQL&gt;&lt;FQL&gt;&lt;Q&gt;CX-US^P_BETA_LOCIDX(45254,45082,,"SPX")&lt;/Q&gt;&lt;R&gt;1&lt;/R&gt;&lt;C&gt;1&lt;/C&gt;&lt;D xsi:type="xsd:double"&gt;1.4775378&lt;/D&gt;&lt;/FQL&gt;&lt;FQL&gt;&lt;Q&gt;CX-US^P_BETA_LOCIDX(45252,45079,,"SPX")&lt;/Q&gt;&lt;R&gt;1&lt;/R&gt;&lt;C&gt;1&lt;/C&gt;&lt;D xsi:type="xsd:double"&gt;1.534235&lt;/D&gt;&lt;/FQL&gt;&lt;FQL&gt;&lt;Q&gt;CX-US^P_BETA_LOCIDX(45251,45078,,"SPX")&lt;/Q&gt;&lt;R&gt;1&lt;/R&gt;&lt;C&gt;1&lt;/C&gt;&lt;D xsi:type="xsd:double"&gt;1.5368363&lt;/D&gt;&lt;/FQL&gt;&lt;FQL&gt;&lt;Q&gt;CX-US^P_BETA_LOCIDX(45250,45077,,"SPX")&lt;/Q&gt;&lt;R&gt;1&lt;/R&gt;&lt;C&gt;1&lt;/C&gt;&lt;D xsi:type="xsd:double"&gt;1.5374397&lt;/D&gt;&lt;/FQL&gt;&lt;FQL&gt;&lt;Q&gt;CX-US^P_BETA_LOCIDX(45247,45076,,"SPX")&lt;/Q&gt;&lt;R&gt;1&lt;/R&gt;&lt;C&gt;1&lt;/C&gt;&lt;D xsi:type="xsd:double"&gt;1.5875826&lt;/D&gt;&lt;/FQL&gt;&lt;FQL&gt;&lt;Q&gt;CX-US^P_BETA_LOCIDX(45246,45072,,"SPX")&lt;/Q&gt;&lt;R&gt;1&lt;/R&gt;&lt;C&gt;1&lt;/C&gt;&lt;D xsi:type="xsd:double"&gt;1.5698321&lt;/D&gt;&lt;/FQL&gt;&lt;FQL&gt;&lt;Q&gt;CX-US^P_BETA_LOCIDX(45245,45071,,"SPX")&lt;/Q&gt;&lt;R&gt;1&lt;/R&gt;&lt;C&gt;1&lt;/C&gt;&lt;D xsi:type="xsd:double"&gt;1.5664825&lt;/D&gt;&lt;/FQL&gt;&lt;FQL&gt;&lt;Q&gt;CX-US^P_BETA_LOCIDX(45244,45070,,"SPX")&lt;/Q&gt;&lt;R&gt;1&lt;/R&gt;&lt;C&gt;1&lt;/C&gt;&lt;D xsi:type="xsd:double"&gt;1.5557299&lt;/D&gt;&lt;/FQL&gt;&lt;FQL&gt;&lt;Q&gt;CX-US^P_BETA_LOCIDX(45243,45069,,"SPX")&lt;/Q&gt;&lt;R&gt;1&lt;/R&gt;&lt;C&gt;1&lt;/C&gt;&lt;D xsi:type="xsd:double"&gt;1.554414&lt;/D&gt;&lt;/FQL&gt;&lt;FQL&gt;&lt;Q&gt;CX-US^P_BETA_LOCIDX(45240,45068,,"SPX")&lt;/Q&gt;&lt;R&gt;1&lt;/R&gt;&lt;C&gt;1&lt;/C&gt;&lt;D xsi:type="xsd:double"&gt;1.553041&lt;/D&gt;&lt;/FQL&gt;&lt;FQL&gt;&lt;Q&gt;CX-US^P_BETA_LOCIDX(45239,45065,,"SPX")&lt;/Q&gt;&lt;R&gt;1&lt;/R&gt;&lt;C&gt;1&lt;/C&gt;&lt;D xsi:type="xsd:double"&gt;1.5712675&lt;/D&gt;&lt;/FQL&gt;&lt;FQL&gt;&lt;Q&gt;CX-US^P_BETA_LOCIDX(45238,45064,,"SPX")&lt;/Q&gt;&lt;R&gt;1&lt;/R&gt;&lt;C&gt;1&lt;/C&gt;&lt;D xsi:type="xsd:double"&gt;1.5485324&lt;/D&gt;&lt;/FQL&gt;&lt;FQL&gt;&lt;Q&gt;CX-US^P_BETA_LOCIDX(45237,45063,,"SPX")&lt;/Q&gt;&lt;R&gt;1&lt;/R&gt;&lt;C&gt;1&lt;/C&gt;&lt;D xsi:type="xsd:double"&gt;1.5227685&lt;/D&gt;&lt;/FQL&gt;&lt;FQL&gt;&lt;Q&gt;CX-US^P_BETA_LOCIDX(45236,45062,,"SPX")&lt;/Q&gt;&lt;R&gt;1&lt;/R&gt;&lt;C&gt;1&lt;/C&gt;&lt;D xsi:type="xsd:double"&gt;1.5056456&lt;/D&gt;&lt;/FQL&gt;&lt;FQL&gt;&lt;Q&gt;CX-US^P_BETA_LOCIDX(45233,45061,,"SPX")&lt;/Q&gt;&lt;R&gt;1&lt;/R&gt;&lt;C&gt;1&lt;/C&gt;&lt;D xsi:type="xsd:double"&gt;1.5024388&lt;/D&gt;&lt;/FQL&gt;&lt;FQL&gt;&lt;Q&gt;CX-US^P_BETA_LOCIDX(45232,45058,,"SPX")&lt;/Q&gt;&lt;R&gt;1&lt;/R&gt;&lt;C&gt;1&lt;/C&gt;&lt;D xsi:type="xsd:double"&gt;1.4689081&lt;/D&gt;&lt;/FQL&gt;&lt;FQL&gt;&lt;Q&gt;CX-US^P_BETA_LOCIDX(45231,45057,,"SPX")&lt;/Q&gt;&lt;R&gt;1&lt;/R&gt;&lt;C&gt;1&lt;/C&gt;&lt;D xsi:type="xsd:double"&gt;1.4092896&lt;/D&gt;&lt;/FQL&gt;&lt;FQL&gt;&lt;Q&gt;CX-US^P_BETA_LOCIDX(45230,45056,,"SPX")&lt;/Q&gt;&lt;R&gt;1&lt;/R&gt;&lt;C&gt;1&lt;/C&gt;&lt;D xsi:type="xsd:double"&gt;1.3716445&lt;/D&gt;&lt;/FQL&gt;&lt;FQL&gt;&lt;Q&gt;CX-US^P_BETA_LOCIDX(45229,45055,,"SPX")&lt;/Q&gt;&lt;R&gt;1&lt;/R&gt;&lt;C&gt;1&lt;/C&gt;&lt;D xsi:type="xsd:double"&gt;1.348164&lt;/D&gt;&lt;/FQL&gt;&lt;FQL&gt;&lt;Q&gt;CX-US^P_BETA_LOCIDX(45226,45054,,"SPX")&lt;/Q&gt;&lt;R&gt;1&lt;/R&gt;&lt;C&gt;1&lt;/C&gt;&lt;D xsi:type="xsd:double"&gt;1.3803339&lt;/D&gt;&lt;/FQL&gt;&lt;FQL&gt;&lt;Q&gt;CX-US^P_BETA_LOCIDX(45225,45051,,"SPX")&lt;/Q&gt;&lt;R&gt;1&lt;/R&gt;&lt;C&gt;1&lt;/C&gt;&lt;D xsi:type="xsd:double"&gt;1.3998384&lt;/D&gt;&lt;/FQL&gt;&lt;FQL&gt;&lt;Q&gt;CX-US^P_BETA_LOCIDX(45224,45050,,"SPX")&lt;/Q&gt;&lt;R&gt;1&lt;/R&gt;&lt;C&gt;1&lt;/C&gt;&lt;D xsi:type="xsd:double"&gt;1.4734578&lt;/D&gt;&lt;/FQL&gt;&lt;FQL&gt;&lt;Q&gt;CX-US^P_BETA_LOCIDX(45223,45049,,"SPX")&lt;/Q&gt;&lt;R&gt;1&lt;/R&gt;&lt;C&gt;1&lt;/C&gt;&lt;D xsi:type="xsd:double"&gt;1.5465825&lt;/D&gt;&lt;/FQL&gt;&lt;FQL&gt;&lt;Q&gt;CX-US^P_BETA_LOCIDX(45222,45048,,"SPX")&lt;/Q&gt;&lt;R&gt;1&lt;/R&gt;&lt;C&gt;1&lt;/C&gt;&lt;D xsi:type="xsd:double"&gt;1.4345927&lt;/D&gt;&lt;/FQL&gt;&lt;FQL&gt;&lt;Q&gt;CX-US^P_BETA_LOCIDX(45219,45047,,"SPX")&lt;/Q&gt;&lt;R&gt;1&lt;/R&gt;&lt;C&gt;1&lt;/C&gt;&lt;D xsi:type="xsd:double"&gt;1.4313552&lt;/D&gt;&lt;/FQL&gt;&lt;FQL&gt;&lt;Q&gt;CX-US^P_BETA_LOCIDX(45218,45044,,"SPX")&lt;/Q&gt;&lt;R&gt;1&lt;/R&gt;&lt;C&gt;1&lt;/C&gt;&lt;D xsi:type="xsd:double"&gt;1.4662558&lt;/D&gt;&lt;/FQL&gt;&lt;FQL&gt;&lt;Q&gt;CX-US^P_BETA_LOCIDX(45217,45043,,"SPX")&lt;/Q&gt;&lt;R&gt;1&lt;/R&gt;&lt;C&gt;1&lt;/C&gt;&lt;D xsi:type="xsd:double"&gt;1.4370466&lt;/D&gt;&lt;/FQL&gt;&lt;FQL&gt;&lt;Q&gt;CX-US^P_BETA_LOCIDX(45216,45042,,"SPX")&lt;/Q&gt;&lt;R&gt;1&lt;/R&gt;&lt;C&gt;1&lt;/C&gt;&lt;D xsi:type="xsd:double"&gt;1.3821527&lt;/D&gt;&lt;/FQL&gt;&lt;FQL&gt;&lt;Q&gt;CX-US^P_BETA_LOCIDX(45215,45041,,"SPX")&lt;/Q&gt;&lt;R&gt;1&lt;/R&gt;&lt;C&gt;1&lt;/C&gt;&lt;D xsi:type="xsd:double"&gt;1.3242885&lt;/D&gt;&lt;/FQL&gt;&lt;FQL&gt;&lt;Q&gt;CX-US^P_BETA_LOCIDX(45212,45040,,"SPX")&lt;/Q&gt;&lt;R&gt;1&lt;/R&gt;&lt;C&gt;1&lt;/C&gt;&lt;D xsi:type="xsd:double"&gt;1.2742987&lt;/D&gt;&lt;/FQL&gt;&lt;FQL&gt;&lt;Q&gt;CX-US^P_BETA_LOCIDX(45211,45037,,"SPX")&lt;/Q&gt;&lt;R&gt;1&lt;/R&gt;&lt;C&gt;1&lt;/C&gt;&lt;D xsi:type="xsd:double"&gt;1.2770443&lt;/D&gt;&lt;/FQL&gt;&lt;FQL&gt;&lt;Q&gt;CX-US^P_BETA_LOCIDX(45210,45036,,"SPX")&lt;/Q&gt;&lt;R&gt;1&lt;/R&gt;&lt;C&gt;1&lt;/C&gt;&lt;D xsi:type="xsd:double"&gt;1.2462567&lt;/D&gt;&lt;/FQL&gt;&lt;FQL&gt;&lt;Q&gt;CX-US^P_BETA_LOCIDX(45209,45035,,"SPX")&lt;/Q&gt;&lt;R&gt;1&lt;/R&gt;&lt;C&gt;1&lt;/C&gt;&lt;D xsi:type="xsd:double"&gt;1.2170341&lt;/D&gt;&lt;/FQL&gt;&lt;FQL&gt;&lt;Q&gt;CX-US^P_BETA_LOCIDX(45208,45034,,"SPX")&lt;/Q&gt;&lt;R&gt;1&lt;/R&gt;&lt;C&gt;1&lt;/C&gt;&lt;D xsi:type="xsd:double"&gt;1.1979905&lt;/D&gt;&lt;/FQL&gt;&lt;FQL&gt;&lt;Q&gt;CX-US^P_BETA_LOCIDX(45205,45033,,"SPX")&lt;/Q&gt;&lt;R&gt;1&lt;/R&gt;&lt;C&gt;1&lt;/C&gt;&lt;D xsi:type="xsd:double"&gt;1.193361&lt;/D&gt;&lt;/FQL&gt;&lt;FQL&gt;&lt;Q&gt;CX-US^P_BETA_LOCIDX(45204,45030,,"SPX")&lt;/Q&gt;&lt;R&gt;1&lt;/R&gt;&lt;C&gt;1&lt;/C&gt;&lt;D xsi:type="xsd:double"&gt;1.2336019&lt;/D&gt;&lt;/FQL&gt;&lt;FQL&gt;&lt;Q&gt;CX-US^P_BETA_LOCIDX(45203,45029,,"SPX")&lt;/Q&gt;&lt;R&gt;1&lt;/R&gt;&lt;C&gt;1&lt;/C&gt;&lt;D xsi:type="xsd:double"&gt;1.30465&lt;/D&gt;&lt;/FQL&gt;&lt;FQL&gt;&lt;Q&gt;CX-US^P_BETA_LOCIDX(45202,45028,,"SPX")&lt;/Q&gt;&lt;R&gt;1&lt;/R&gt;&lt;C&gt;1&lt;/C&gt;&lt;D xsi:type="xsd:double"&gt;1.2761059&lt;/D&gt;&lt;/FQL&gt;&lt;FQL&gt;&lt;Q&gt;CX-US^P_BETA_LOCIDX(45201,4502</t>
        </r>
      </text>
    </comment>
    <comment ref="A5" authorId="0" shapeId="0" xr:uid="{9755235B-E741-4EE8-BE0F-BE6F6071006E}">
      <text>
        <r>
          <rPr>
            <b/>
            <sz val="9"/>
            <color indexed="81"/>
            <rFont val="Tahoma"/>
            <charset val="1"/>
          </rPr>
          <t>7,,"SPX")&lt;/Q&gt;&lt;R&gt;1&lt;/R&gt;&lt;C&gt;1&lt;/C&gt;&lt;D xsi:type="xsd:double"&gt;1.204961&lt;/D&gt;&lt;/FQL&gt;&lt;FQL&gt;&lt;Q&gt;CX-US^P_BETA_LOCIDX(45198,45026,,"SPX")&lt;/Q&gt;&lt;R&gt;1&lt;/R&gt;&lt;C&gt;1&lt;/C&gt;&lt;D xsi:type="xsd:double"&gt;1.2074203&lt;/D&gt;&lt;/FQL&gt;&lt;FQL&gt;&lt;Q&gt;CX-US^P_BETA_LOCIDX(45197,45022,,"SPX")&lt;/Q&gt;&lt;R&gt;1&lt;/R&gt;&lt;C&gt;1&lt;/C&gt;&lt;D xsi:type="xsd:double"&gt;1.1946864&lt;/D&gt;&lt;/FQL&gt;&lt;FQL&gt;&lt;Q&gt;CX-US^P_BETA_LOCIDX(45196,45021,,"SPX")&lt;/Q&gt;&lt;R&gt;1&lt;/R&gt;&lt;C&gt;1&lt;/C&gt;&lt;D xsi:type="xsd:double"&gt;1.2035526&lt;/D&gt;&lt;/FQL&gt;&lt;FQL&gt;&lt;Q&gt;CX-US^P_BETA_LOCIDX(45195,45020,,"SPX")&lt;/Q&gt;&lt;R&gt;1&lt;/R&gt;&lt;C&gt;1&lt;/C&gt;&lt;D xsi:type="xsd:double"&gt;1.1999136&lt;/D&gt;&lt;/FQL&gt;&lt;FQL&gt;&lt;Q&gt;CX-US^P_BETA_LOCIDX(45194,45019,,"SPX")&lt;/Q&gt;&lt;R&gt;1&lt;/R&gt;&lt;C&gt;1&lt;/C&gt;&lt;D xsi:type="xsd:double"&gt;1.1811104&lt;/D&gt;&lt;/FQL&gt;&lt;FQL&gt;&lt;Q&gt;CX-US^P_BETA_LOCIDX(45191,45016,,"SPX")&lt;/Q&gt;&lt;R&gt;1&lt;/R&gt;&lt;C&gt;1&lt;/C&gt;&lt;D xsi:type="xsd:double"&gt;1.1905496&lt;/D&gt;&lt;/FQL&gt;&lt;FQL&gt;&lt;Q&gt;CX-US^P_BETA_LOCIDX(45190,45015,,"SPX")&lt;/Q&gt;&lt;R&gt;1&lt;/R&gt;&lt;C&gt;1&lt;/C&gt;&lt;D xsi:type="xsd:double"&gt;1.1825577&lt;/D&gt;&lt;/FQL&gt;&lt;FQL&gt;&lt;Q&gt;CX-US^P_BETA_LOCIDX(45189,45014,,"SPX")&lt;/Q&gt;&lt;R&gt;1&lt;/R&gt;&lt;C&gt;1&lt;/C&gt;&lt;D xsi:type="xsd:double"&gt;1.1643963&lt;/D&gt;&lt;/FQL&gt;&lt;FQL&gt;&lt;Q&gt;CX-US^P_BETA_LOCIDX(45188,45013,,"SPX")&lt;/Q&gt;&lt;R&gt;1&lt;/R&gt;&lt;C&gt;1&lt;/C&gt;&lt;D xsi:type="xsd:double"&gt;1.1699412&lt;/D&gt;&lt;/FQL&gt;&lt;FQL&gt;&lt;Q&gt;CX-US^P_BETA_LOCIDX(45187,45012,,"SPX")&lt;/Q&gt;&lt;R&gt;1&lt;/R&gt;&lt;C&gt;1&lt;/C&gt;&lt;D xsi:type="xsd:double"&gt;1.1832886&lt;/D&gt;&lt;/FQL&gt;&lt;FQL&gt;&lt;Q&gt;CX-US^P_BETA_LOCIDX(45184,45009,,"SPX")&lt;/Q&gt;&lt;R&gt;1&lt;/R&gt;&lt;C&gt;1&lt;/C&gt;&lt;D xsi:type="xsd:double"&gt;1.1702042&lt;/D&gt;&lt;/FQL&gt;&lt;FQL&gt;&lt;Q&gt;CX-US^P_BETA_LOCIDX(45183,45008,,"SPX")&lt;/Q&gt;&lt;R&gt;1&lt;/R&gt;&lt;C&gt;1&lt;/C&gt;&lt;D xsi:type="xsd:double"&gt;1.1886207&lt;/D&gt;&lt;/FQL&gt;&lt;FQL&gt;&lt;Q&gt;CX-US^P_BETA_LOCIDX(45182,45007,,"SPX")&lt;/Q&gt;&lt;R&gt;1&lt;/R&gt;&lt;C&gt;1&lt;/C&gt;&lt;D xsi:type="xsd:double"&gt;1.1359702&lt;/D&gt;&lt;/FQL&gt;&lt;FQL&gt;&lt;Q&gt;CX-US^P_BETA_LOCIDX(45181,45006,,"SPX")&lt;/Q&gt;&lt;R&gt;1&lt;/R&gt;&lt;C&gt;1&lt;/C&gt;&lt;D xsi:type="xsd:double"&gt;1.163366&lt;/D&gt;&lt;/FQL&gt;&lt;FQL&gt;&lt;Q&gt;CX-US^P_BETA_LOCIDX(45180,45005,,"SPX")&lt;/Q&gt;&lt;R&gt;1&lt;/R&gt;&lt;C&gt;1&lt;/C&gt;&lt;D xsi:type="xsd:double"&gt;1.1456274&lt;/D&gt;&lt;/FQL&gt;&lt;FQL&gt;&lt;Q&gt;CX-US^P_BETA_LOCIDX(45177,45002,,"SPX")&lt;/Q&gt;&lt;R&gt;1&lt;/R&gt;&lt;C&gt;1&lt;/C&gt;&lt;D xsi:type="xsd:double"&gt;1.2076341&lt;/D&gt;&lt;/FQL&gt;&lt;FQL&gt;&lt;Q&gt;CX-US^P_BETA_LOCIDX(45176,45001,,"SPX")&lt;/Q&gt;&lt;R&gt;1&lt;/R&gt;&lt;C&gt;1&lt;/C&gt;&lt;D xsi:type="xsd:double"&gt;1.2073032&lt;/D&gt;&lt;/FQL&gt;&lt;FQL&gt;&lt;Q&gt;CX-US^P_BETA_LOCIDX(45175,45000,,"SPX")&lt;/Q&gt;&lt;R&gt;1&lt;/R&gt;&lt;C&gt;1&lt;/C&gt;&lt;D xsi:type="xsd:double"&gt;1.23486&lt;/D&gt;&lt;/FQL&gt;&lt;FQL&gt;&lt;Q&gt;CX-US^P_BETA_LOCIDX(45174,44999,,"SPX")&lt;/Q&gt;&lt;R&gt;1&lt;/R&gt;&lt;C&gt;1&lt;/C&gt;&lt;D xsi:type="xsd:double"&gt;1.2097003&lt;/D&gt;&lt;/FQL&gt;&lt;FQL&gt;&lt;Q&gt;CX-US^P_BETA_LOCIDX(45170,44998,,"SPX")&lt;/Q&gt;&lt;R&gt;1&lt;/R&gt;&lt;C&gt;1&lt;/C&gt;&lt;D xsi:type="xsd:double"&gt;1.1812296&lt;/D&gt;&lt;/FQL&gt;&lt;FQL&gt;&lt;Q&gt;CX-US^P_BETA_LOCIDX(45169,44995,,"SPX")&lt;/Q&gt;&lt;R&gt;1&lt;/R&gt;&lt;C&gt;1&lt;/C&gt;&lt;D xsi:type="xsd:double"&gt;1.2364178&lt;/D&gt;&lt;/FQL&gt;&lt;FQL&gt;&lt;Q&gt;CX-US^P_BETA_LOCIDX(45168,44994,,"SPX")&lt;/Q&gt;&lt;R&gt;1&lt;/R&gt;&lt;C&gt;1&lt;/C&gt;&lt;D xsi:type="xsd:double"&gt;1.2408055&lt;/D&gt;&lt;/FQL&gt;&lt;FQL&gt;&lt;Q&gt;CX-US^P_BETA_LOCIDX(45167,44993,,"SPX")&lt;/Q&gt;&lt;R&gt;1&lt;/R&gt;&lt;C&gt;1&lt;/C&gt;&lt;D xsi:type="xsd:double"&gt;1.2465196&lt;/D&gt;&lt;/FQL&gt;&lt;FQL&gt;&lt;Q&gt;CX-US^P_BETA_LOCIDX(45166,44992,,"SPX")&lt;/Q&gt;&lt;R&gt;1&lt;/R&gt;&lt;C&gt;1&lt;/C&gt;&lt;D xsi:type="xsd:double"&gt;1.3148898&lt;/D&gt;&lt;/FQL&gt;&lt;FQL&gt;&lt;Q&gt;CX-US^P_BETA_LOCIDX(45163,44991,,"SPX")&lt;/Q&gt;&lt;R&gt;1&lt;/R&gt;&lt;C&gt;1&lt;/C&gt;&lt;D xsi:type="xsd:double"&gt;1.3121382&lt;/D&gt;&lt;/FQL&gt;&lt;FQL&gt;&lt;Q&gt;CX-US^P_BETA_LOCIDX(45162,44988,,"SPX")&lt;/Q&gt;&lt;R&gt;1&lt;/R&gt;&lt;C&gt;1&lt;/C&gt;&lt;D xsi:type="xsd:double"&gt;1.3480808&lt;/D&gt;&lt;/FQL&gt;&lt;FQL&gt;&lt;Q&gt;CX-US^P_BETA_LOCIDX(45161,44987,,"SPX")&lt;/Q&gt;&lt;R&gt;1&lt;/R&gt;&lt;C&gt;1&lt;/C&gt;&lt;D xsi:type="xsd:double"&gt;1.3768264&lt;/D&gt;&lt;/FQL&gt;&lt;FQL&gt;&lt;Q&gt;CX-US^P_BETA_LOCIDX(45160,44986,,"SPX")&lt;/Q&gt;&lt;R&gt;1&lt;/R&gt;&lt;C&gt;1&lt;/C&gt;&lt;D xsi:type="xsd:double"&gt;1.3534374&lt;/D&gt;&lt;/FQL&gt;&lt;FQL&gt;&lt;Q&gt;CX-US^P_BETA_LOCIDX(45159,44985,,"SPX")&lt;/Q&gt;&lt;R&gt;1&lt;/R&gt;&lt;C&gt;1&lt;/C&gt;&lt;D xsi:type="xsd:double"&gt;1.3508706&lt;/D&gt;&lt;/FQL&gt;&lt;FQL&gt;&lt;Q&gt;CX-US^P_BETA_LOCIDX(45156,44984,,"SPX")&lt;/Q&gt;&lt;R&gt;1&lt;/R&gt;&lt;C&gt;1&lt;/C&gt;&lt;D xsi:type="xsd:double"&gt;1.34526&lt;/D&gt;&lt;/FQL&gt;&lt;FQL&gt;&lt;Q&gt;CX-US^P_BETA_LOCIDX(45155,44981,,"SPX")&lt;/Q&gt;&lt;R&gt;1&lt;/R&gt;&lt;C&gt;1&lt;/C&gt;&lt;D xsi:type="xsd:double"&gt;1.3540945&lt;/D&gt;&lt;/FQL&gt;&lt;FQL&gt;&lt;Q&gt;CX-US^P_BETA_LOCIDX(45154,44980,,"SPX")&lt;/Q&gt;&lt;R&gt;1&lt;/R&gt;&lt;C&gt;1&lt;/C&gt;&lt;D xsi:type="xsd:double"&gt;1.3036841&lt;/D&gt;&lt;/FQL&gt;&lt;FQL&gt;&lt;Q&gt;CX-US^P_BETA_LOCIDX(45153,44979,,"SPX")&lt;/Q&gt;&lt;R&gt;1&lt;/R&gt;&lt;C&gt;1&lt;/C&gt;&lt;D xsi:type="xsd:double"&gt;1.3239247&lt;/D&gt;&lt;/FQL&gt;&lt;FQL&gt;&lt;Q&gt;CX-US^P_BETA_LOCIDX(45152,44978,,"SPX")&lt;/Q&gt;&lt;R&gt;1&lt;/R&gt;&lt;C&gt;1&lt;/C&gt;&lt;D xsi:type="xsd:double"&gt;1.3746736&lt;/D&gt;&lt;/FQL&gt;&lt;FQL&gt;&lt;Q&gt;CX-US^P_BETA_LOCIDX(45149,44974,,"SPX")&lt;/Q&gt;&lt;R&gt;1&lt;/R&gt;&lt;C&gt;1&lt;/C&gt;&lt;D xsi:type="xsd:double"&gt;1.3688569&lt;/D&gt;&lt;/FQL&gt;&lt;FQL&gt;&lt;Q&gt;CX-US^P_BETA_LOCIDX(45148,44973,,"SPX")&lt;/Q&gt;&lt;R&gt;1&lt;/R&gt;&lt;C&gt;1&lt;/C&gt;&lt;D xsi:type="xsd:double"&gt;1.3816687&lt;/D&gt;&lt;/FQL&gt;&lt;FQL&gt;&lt;Q&gt;CX-US^P_BETA_LOCIDX(45147,44972,,"SPX")&lt;/Q&gt;&lt;R&gt;1&lt;/R&gt;&lt;C&gt;1&lt;/C&gt;&lt;D xsi:type="xsd:double"&gt;1.3822428&lt;/D&gt;&lt;/FQL&gt;&lt;FQL&gt;&lt;Q&gt;CX-US^P_BETA_LOCIDX(45146,44971,,"SPX")&lt;/Q&gt;&lt;R&gt;1&lt;/R&gt;&lt;C&gt;1&lt;/C&gt;&lt;D xsi:type="xsd:double"&gt;1.3908355&lt;/D&gt;&lt;/FQL&gt;&lt;FQL&gt;&lt;Q&gt;CX-US^P_BETA_LOCIDX(45145,44970,,"SPX")&lt;/Q&gt;&lt;R&gt;1&lt;/R&gt;&lt;C&gt;1&lt;/C&gt;&lt;D xsi:type="xsd:double"&gt;1.3877034&lt;/D&gt;&lt;/FQL&gt;&lt;FQL&gt;&lt;Q&gt;CX-US^P_BETA_LOCIDX(45142,44967,,"SPX")&lt;/Q&gt;&lt;R&gt;1&lt;/R&gt;&lt;C&gt;1&lt;/C&gt;&lt;D xsi:type="xsd:double"&gt;1.3719777&lt;/D&gt;&lt;/FQL&gt;&lt;FQL&gt;&lt;Q&gt;CX-US^P_BETA_LOCIDX(45141,44966,,"SPX")&lt;/Q&gt;&lt;R&gt;1&lt;/R&gt;&lt;C&gt;1&lt;/C&gt;&lt;D xsi:type="xsd:double"&gt;1.3800799&lt;/D&gt;&lt;/FQL&gt;&lt;FQL&gt;&lt;Q&gt;CX-US^P_BETA_LOCIDX(45140,44965,,"SPX")&lt;/Q&gt;&lt;R&gt;1&lt;/R&gt;&lt;C&gt;1&lt;/C&gt;&lt;D xsi:type="xsd:double"&gt;1.3639508&lt;/D&gt;&lt;/FQL&gt;&lt;FQL&gt;&lt;Q&gt;CX-US^P_BETA_LOCIDX(45139,44964,,"SPX")&lt;/Q&gt;&lt;R&gt;1&lt;/R&gt;&lt;C&gt;1&lt;/C&gt;&lt;D xsi:type="xsd:double"&gt;1.326725&lt;/D&gt;&lt;/FQL&gt;&lt;FQL&gt;&lt;Q&gt;CX-US^P_BETA_LOCIDX(45138,44963,,"SPX")&lt;/Q&gt;&lt;R&gt;1&lt;/R&gt;&lt;C&gt;1&lt;/C&gt;&lt;D xsi:type="xsd:double"&gt;1.3359292&lt;/D&gt;&lt;/FQL&gt;&lt;FQL&gt;&lt;Q&gt;CX-US^P_BETA_LOCIDX(45135,44960,,"SPX")&lt;/Q&gt;&lt;R&gt;1&lt;/R&gt;&lt;C&gt;1&lt;/C&gt;&lt;D xsi:type="xsd:double"&gt;1.3425779&lt;/D&gt;&lt;/FQL&gt;&lt;FQL&gt;&lt;Q&gt;CX-US^P_BETA_LOCIDX(45134,44959,,"SPX")&lt;/Q&gt;&lt;R&gt;1&lt;/R&gt;&lt;C&gt;1&lt;/C&gt;&lt;D xsi:type="xsd:double"&gt;1.3046565&lt;/D&gt;&lt;/FQL&gt;&lt;FQL&gt;&lt;Q&gt;CX-US^P_BETA_LOCIDX(45133,44958,,"SPX")&lt;/Q&gt;&lt;R&gt;1&lt;/R&gt;&lt;C&gt;1&lt;/C&gt;&lt;D xsi:type="xsd:double"&gt;1.3267366&lt;/D&gt;&lt;/FQL&gt;&lt;FQL&gt;&lt;Q&gt;CX-US^P_BETA_LOCIDX(45132,44957,,"SPX")&lt;/Q&gt;&lt;R&gt;1&lt;/R&gt;&lt;C&gt;1&lt;/C&gt;&lt;D xsi:type="xsd:double"&gt;1.309938&lt;/D&gt;&lt;/FQL&gt;&lt;FQL&gt;&lt;Q&gt;CX-US^P_BETA_LOCIDX(45131,44956,,"SPX")&lt;/Q&gt;&lt;R&gt;1&lt;/R&gt;&lt;C&gt;1&lt;/C&gt;&lt;D xsi:type="xsd:double"&gt;1.3085939&lt;/D&gt;&lt;/FQL&gt;&lt;FQL&gt;&lt;Q&gt;CX-US^P_BETA_LOCIDX(45128,44953,,"SPX")&lt;/Q&gt;&lt;R&gt;1&lt;/R&gt;&lt;C&gt;1&lt;/C&gt;&lt;D xsi:type="xsd:double"&gt;1.3132182&lt;/D&gt;&lt;/FQL&gt;&lt;FQL&gt;&lt;Q&gt;CX-US^P_BETA_LOCIDX(45127,44952,,"SPX")&lt;/Q&gt;&lt;R&gt;1&lt;/R&gt;&lt;C&gt;1&lt;/C&gt;&lt;D xsi:type="xsd:double"&gt;1.3473235&lt;/D&gt;&lt;/FQL&gt;&lt;FQL&gt;&lt;Q&gt;CX-US^P_BETA_LOCIDX(45126,44951,,"SPX")&lt;/Q&gt;&lt;R&gt;1&lt;/R&gt;&lt;C&gt;1&lt;/C&gt;&lt;D xsi:type="xsd:double"&gt;1.3521519&lt;/D&gt;&lt;/FQL&gt;&lt;FQL&gt;&lt;Q&gt;CX-US^P_BETA_LOCIDX(45125,44950,,"SPX")&lt;/Q&gt;&lt;R&gt;1&lt;/R&gt;&lt;C&gt;1&lt;/C&gt;&lt;D xsi:type="xsd:double"&gt;1.351526&lt;/D&gt;&lt;/FQL&gt;&lt;FQL&gt;&lt;Q&gt;CX-US^P_BETA_LOCIDX(45124,44949,,"SPX")&lt;/Q&gt;&lt;R&gt;1&lt;/R&gt;&lt;C&gt;1&lt;/C&gt;&lt;D xsi:type="xsd:double"&gt;1.3292314&lt;/D&gt;&lt;/FQL&gt;&lt;FQL&gt;&lt;Q&gt;CX-US^P_BETA_LOCIDX(45121,44946,,"SPX")&lt;/Q&gt;&lt;R&gt;1&lt;/R&gt;&lt;C&gt;1&lt;/C&gt;&lt;D xsi:type="xsd:double"&gt;1.3334377&lt;/D&gt;&lt;/FQL&gt;&lt;FQL&gt;&lt;Q&gt;CX-US^P_BETA_LOCIDX(45120,44945,,"SPX")&lt;/Q&gt;&lt;R&gt;1&lt;/R&gt;&lt;C&gt;1&lt;/C&gt;&lt;D xsi:type="xsd:double"&gt;1.3307111&lt;/D&gt;&lt;/FQL&gt;&lt;FQL&gt;&lt;Q&gt;CX-US^P_BETA_LOCIDX(45119,44944,,"SPX")&lt;/Q&gt;&lt;R&gt;1&lt;/R&gt;&lt;C&gt;1&lt;/C&gt;&lt;D xsi:type="xsd:double"&gt;1.3135478&lt;/D&gt;&lt;/FQL&gt;&lt;FQL&gt;&lt;Q&gt;CX-US^P_BETA_LOCIDX(45118,44943,,"SPX")&lt;/Q&gt;&lt;R&gt;1&lt;/R&gt;&lt;C&gt;1&lt;/C&gt;&lt;D xsi:type="xsd:double"&gt;1.3126849&lt;/D&gt;&lt;/FQL&gt;&lt;FQL&gt;&lt;Q&gt;CX-US^P_BETA_LOCIDX(45117,44939,,"SPX")&lt;/Q&gt;&lt;R&gt;1&lt;/R&gt;&lt;C&gt;1&lt;/C&gt;&lt;D xsi:type="xsd:double"&gt;1.2993983&lt;/D&gt;&lt;/FQL&gt;&lt;FQL&gt;&lt;Q&gt;CX-US^P_BETA_LOCIDX(45114,44938,,"SPX")&lt;/Q&gt;&lt;R&gt;1&lt;/R&gt;&lt;C&gt;1&lt;/C&gt;&lt;D xsi:type="xsd:double"&gt;1.301076&lt;/D&gt;&lt;/FQL&gt;&lt;FQL&gt;&lt;Q&gt;CX-US^P_BETA_LOCIDX(45113,44937,,"SPX")&lt;/Q&gt;&lt;R&gt;1&lt;/R&gt;&lt;C&gt;1&lt;/C&gt;&lt;D xsi:type="xsd:double"&gt;1.4043591&lt;/D&gt;&lt;/FQL&gt;&lt;FQL&gt;&lt;Q&gt;CX-US^P_BETA_LOCIDX(45112,44936,,"SPX")&lt;/Q&gt;&lt;R&gt;1&lt;/R&gt;&lt;C&gt;1&lt;/C&gt;&lt;D xsi:type="xsd:double"&gt;1.3554832&lt;/D&gt;&lt;/FQL&gt;&lt;FQL&gt;&lt;Q&gt;CX-US^P_BETA_LOCIDX(45110,44935,,"SPX")&lt;/Q&gt;&lt;R&gt;1&lt;/R&gt;&lt;C&gt;1&lt;/C&gt;&lt;D xsi:type="xsd:double"&gt;1.3555883&lt;/D&gt;&lt;/FQL&gt;&lt;FQL&gt;&lt;Q&gt;CX-US^P_BETA_LOCIDX(45107,44932,,"SPX")&lt;/Q&gt;&lt;R&gt;1&lt;/R&gt;&lt;C&gt;1&lt;/C&gt;&lt;D xsi:type="xsd:double"&gt;1.3819959&lt;/D&gt;&lt;/FQL&gt;&lt;FQL&gt;&lt;Q&gt;CX-US^P_BETA_LOCIDX(45106,44931,,"SPX")&lt;/Q&gt;&lt;R&gt;1&lt;/R&gt;&lt;C&gt;1&lt;/C&gt;&lt;D xsi:type="xsd:double"&gt;1.368818&lt;/D&gt;&lt;/FQL&gt;&lt;FQL&gt;&lt;Q&gt;CX-US^P_BETA_LOCIDX(45105,44930,,"SPX")&lt;/Q&gt;&lt;R&gt;1&lt;/R&gt;&lt;C&gt;1&lt;/C&gt;&lt;D xsi:type="xsd:double"&gt;1.4020469&lt;/D&gt;&lt;/FQL&gt;&lt;FQL&gt;&lt;Q&gt;CX-US^P_BETA_LOCIDX(45104,44929,,"SPX")&lt;/Q&gt;&lt;R&gt;1&lt;/R&gt;&lt;C&gt;1&lt;/C&gt;&lt;D xsi:type="xsd:double"&gt;1.3899146&lt;/D&gt;&lt;/FQL&gt;&lt;FQL&gt;&lt;Q&gt;CX-US^P_BETA_LOCIDX(45103,44925,,"SPX")&lt;/Q&gt;&lt;R&gt;1&lt;/R&gt;&lt;C&gt;1&lt;/C&gt;&lt;D xsi:type="xsd:double"&gt;1.3957095&lt;/D&gt;&lt;/FQL&gt;&lt;FQL&gt;&lt;Q&gt;CX-US^P_BETA_LOCIDX(45100,44924,,"SPX")&lt;/Q&gt;&lt;R&gt;1&lt;/R&gt;&lt;C&gt;1&lt;/C&gt;&lt;D xsi:type="xsd:double"&gt;1.3685721&lt;/D&gt;&lt;/FQL&gt;&lt;FQL&gt;&lt;Q&gt;CX-US^P_BETA_LOCIDX(45099,44923,,"SPX")&lt;/Q&gt;&lt;R&gt;1&lt;/R&gt;&lt;C&gt;1&lt;/C&gt;&lt;D xsi:type="xsd:double"&gt;1.3755764&lt;/D&gt;&lt;/FQL&gt;&lt;FQL&gt;&lt;Q&gt;CX-US^P_BETA_LOCIDX(45098,44922,,"SPX")&lt;/Q&gt;&lt;R&gt;1&lt;/R&gt;&lt;C&gt;1&lt;/C&gt;&lt;D xsi:type="xsd:double"&gt;1.3902872&lt;/D&gt;&lt;/FQL&gt;&lt;FQL&gt;&lt;Q&gt;CX-US^P_BETA_LOCIDX(45097,44918,,"SPX")&lt;/Q&gt;&lt;R&gt;1&lt;/R&gt;&lt;C&gt;1&lt;/C&gt;&lt;D xsi:type="xsd:double"&gt;1.3991604&lt;/D&gt;&lt;/FQL&gt;&lt;FQL&gt;&lt;Q&gt;CX-US^P_BETA_LOCIDX(45093,44917,,"SPX")&lt;/Q&gt;&lt;R&gt;1&lt;/R&gt;&lt;C&gt;1&lt;/C&gt;&lt;D xsi:type="xsd:double"&gt;1.3830692&lt;/D&gt;&lt;/FQL&gt;&lt;FQL&gt;&lt;Q&gt;CX-US^P_BETA_LOCIDX(45092,44916,,"SPX")&lt;/Q&gt;&lt;R&gt;1&lt;/R&gt;&lt;C&gt;1&lt;/C&gt;&lt;D xsi:type="xsd:double"&gt;1.3816326&lt;/D&gt;&lt;/FQL&gt;&lt;FQL&gt;&lt;Q&gt;CX-US^P_BETA_LOCIDX(45091,44915,,"SPX")&lt;/Q&gt;&lt;R&gt;1&lt;/R&gt;&lt;C&gt;1&lt;/C&gt;&lt;D xsi:type="xsd:double"&gt;1.3968846&lt;/D&gt;&lt;/FQL&gt;&lt;FQL&gt;&lt;Q&gt;CX-US^P_BETA_LOCIDX(45090,44914,,"SPX")&lt;/Q&gt;&lt;R&gt;1&lt;/R&gt;&lt;C&gt;1&lt;/C&gt;&lt;D xsi:type="xsd:double"&gt;1.3815633&lt;/D&gt;&lt;/FQL&gt;&lt;FQL&gt;&lt;Q&gt;CX-US^P_BETA_LOCIDX(45089,44911,,"SPX")&lt;/Q&gt;&lt;R&gt;1&lt;/R&gt;&lt;C&gt;1&lt;/C&gt;&lt;D xsi:type="xsd:double"&gt;1.3534977&lt;/D&gt;&lt;/FQL&gt;&lt;FQL&gt;&lt;Q&gt;CX-US^P_BETA_LOCIDX(45086,44910,,"SPX")&lt;/Q&gt;&lt;R&gt;1&lt;/R&gt;&lt;C&gt;1&lt;/C&gt;&lt;D xsi:type="xsd:double"&gt;1.3903106&lt;/D&gt;&lt;/FQL&gt;&lt;FQL&gt;&lt;Q&gt;CX-US^P_BETA_LOCIDX(45085,44909,,"SPX")&lt;/Q&gt;&lt;R&gt;1&lt;/R&gt;&lt;C&gt;1&lt;/C&gt;&lt;D xsi:type="xsd:double"&gt;1.387129&lt;/D&gt;&lt;/FQL&gt;&lt;FQL&gt;&lt;Q&gt;CX-US^P_BETA_LOCIDX(45084,44908,,"SPX")&lt;/Q&gt;&lt;R&gt;1&lt;/R&gt;&lt;C&gt;1&lt;/C&gt;&lt;D xsi:type="xsd:double"&gt;1.3907087&lt;/D&gt;&lt;/FQL&gt;&lt;FQL&gt;&lt;Q&gt;CX-US^P_BETA_LOCIDX(45083,44907,,"SPX")&lt;/Q&gt;&lt;R&gt;1&lt;/R&gt;&lt;C&gt;1&lt;/C&gt;&lt;D xsi:type="xsd:double"&gt;1.3644022&lt;/D&gt;&lt;/FQL&gt;&lt;FQL&gt;&lt;Q&gt;CX-US^P_BETA_LOCIDX(45082,44904,,"SPX")&lt;/Q&gt;&lt;R&gt;1&lt;/R&gt;&lt;C&gt;1&lt;/C&gt;&lt;D xsi:type="xsd:double"&gt;1.359966&lt;/D&gt;&lt;/FQL&gt;&lt;FQL&gt;&lt;Q&gt;CX-US^P_BETA_LOCIDX(45079,44903,,"SPX")&lt;/Q&gt;&lt;R&gt;1&lt;/R&gt;&lt;C&gt;1&lt;/C&gt;&lt;D xsi:type="xsd:double"&gt;1.3548816&lt;/D&gt;&lt;/FQL&gt;&lt;FQL&gt;&lt;Q&gt;CX-US^P_BETA_LOCIDX(45078,44902,,"SPX")&lt;/Q&gt;&lt;R&gt;1&lt;/R&gt;&lt;C&gt;1&lt;/C&gt;&lt;D xsi:type="xsd:double"&gt;1.3243395&lt;/D&gt;&lt;/FQL&gt;&lt;FQL&gt;&lt;Q&gt;CX-US^P_BETA_LOCIDX(45077,44901,,"SPX")&lt;/Q&gt;&lt;R&gt;1&lt;/R&gt;&lt;C&gt;1&lt;/C&gt;&lt;D xsi:type="xsd:double"&gt;1.2911451&lt;/D&gt;&lt;/FQL&gt;&lt;FQL&gt;&lt;Q&gt;CX-US^P_BETA_LOCIDX(45076,44900,,"SPX")&lt;/Q&gt;&lt;R&gt;1&lt;/R&gt;&lt;C&gt;1&lt;/C&gt;&lt;D xsi:type="xsd:double"&gt;1.3271189&lt;/D&gt;&lt;/FQL&gt;&lt;FQL&gt;&lt;Q&gt;CX-US^P_BETA_LOCIDX(45072,44897,,"SPX")&lt;/Q&gt;&lt;R&gt;1&lt;/R&gt;&lt;C&gt;1&lt;/C&gt;&lt;D xsi:type="xsd:double"&gt;1.3291674&lt;/D&gt;&lt;/FQL&gt;&lt;FQL&gt;&lt;Q&gt;CX-US^P_BETA_LOCIDX(45071,44896,,"SPX")&lt;/Q&gt;&lt;R&gt;1&lt;/R&gt;&lt;C&gt;1&lt;/C&gt;&lt;D xsi:type="xsd:double"&gt;1.3404278&lt;/D&gt;&lt;/FQL&gt;&lt;FQL&gt;&lt;Q&gt;CX-US^P_BETA_LOCIDX(45070,44895,,"SPX")&lt;/Q&gt;&lt;R&gt;1&lt;/R&gt;&lt;C&gt;1&lt;/C&gt;&lt;D xsi:type="xsd:double"&gt;1.3360893&lt;/D&gt;&lt;/FQL&gt;&lt;FQL&gt;&lt;Q&gt;CX-US^P_BETA_LOCIDX(45069,44894,,"SPX")&lt;/Q&gt;&lt;R&gt;1&lt;/R&gt;&lt;C&gt;1&lt;/C&gt;&lt;D xsi:type="xsd:double"&gt;1.342015&lt;/D&gt;&lt;/FQL&gt;&lt;FQL&gt;&lt;Q&gt;CX-US^P_BETA_LOCIDX(45068,44893,,"SPX")&lt;/Q&gt;&lt;R&gt;1&lt;/R&gt;&lt;C&gt;1&lt;/C&gt;&lt;D xsi:type="xsd:double"&gt;1.336466&lt;/D&gt;&lt;/FQL&gt;&lt;FQL&gt;&lt;Q&gt;CX-US^P_BETA_LOCIDX(45065,44890,,"SPX")&lt;/Q&gt;&lt;R&gt;1&lt;/R&gt;&lt;C&gt;1&lt;/C&gt;&lt;D xsi:type="xsd:double"&gt;1.3364305&lt;/D&gt;&lt;/FQL&gt;&lt;FQL&gt;&lt;Q&gt;CX-US^P_BETA_LOCIDX(45064,44888,,"SPX")&lt;/Q&gt;&lt;R&gt;1&lt;/R&gt;&lt;C&gt;1&lt;/C&gt;&lt;D xsi:type="xsd:double"&gt;1.3393523&lt;/D&gt;&lt;/FQL&gt;&lt;FQL&gt;&lt;Q&gt;CX-US^P_BETA_LOCIDX(45063,44887,,"SPX")&lt;/Q&gt;&lt;R&gt;1&lt;/R&gt;&lt;C&gt;1&lt;/C&gt;&lt;D xsi:type="xsd:double"&gt;1.3491342&lt;/D&gt;&lt;/FQL&gt;&lt;FQL&gt;&lt;Q&gt;CX-US^P_BETA_LOCIDX(45062,44886,,"SPX")&lt;/Q&gt;&lt;R&gt;1&lt;/R&gt;&lt;C&gt;1&lt;/C&gt;&lt;D xsi:type="xsd:double"&gt;1.3703114&lt;/D&gt;&lt;/FQL&gt;&lt;FQL&gt;&lt;Q&gt;CX-US^P_BETA_LOCIDX(45061,44883,,"SPX")&lt;/Q&gt;&lt;R&gt;1&lt;/R&gt;&lt;C&gt;1&lt;/C&gt;&lt;D xsi:type="xsd:double"&gt;1.3726187&lt;/D&gt;&lt;/FQL&gt;&lt;FQL&gt;&lt;Q&gt;CX-US^P_BETA_LOCIDX(45058,44882,,"SPX")&lt;/Q&gt;&lt;R&gt;1&lt;/R&gt;&lt;C&gt;1&lt;/C&gt;&lt;D xsi:type="xsd:double"&gt;1.3798989&lt;/D&gt;&lt;/FQL&gt;&lt;FQL&gt;&lt;Q&gt;CX-US^P_BETA_LOCIDX(45057,44881,,"SPX")&lt;/Q&gt;&lt;R&gt;1&lt;/R&gt;&lt;C&gt;1&lt;/C&gt;&lt;D xsi:type="xsd:double"&gt;1.3579342&lt;/D&gt;&lt;/FQL&gt;&lt;FQL&gt;&lt;Q&gt;CX-US^P_BETA_LOCIDX(45056,44880,,"SPX")&lt;/Q&gt;&lt;R&gt;1&lt;/R&gt;&lt;C&gt;1&lt;/C&gt;&lt;D xsi:type="xsd:double"&gt;1.350367&lt;/D&gt;&lt;/FQL&gt;&lt;FQL&gt;&lt;Q&gt;CX-US^P_BETA_LOCIDX(45055,44879,,"SPX")&lt;/Q&gt;&lt;R&gt;1&lt;/R&gt;&lt;C&gt;1&lt;/C&gt;&lt;D xsi:type="xsd:double"&gt;1.366118&lt;/D&gt;&lt;/FQL&gt;&lt;FQL&gt;&lt;Q&gt;CX-US^P_BETA_LOCIDX(45054,44876,,"SPX")&lt;/Q&gt;&lt;R&gt;1&lt;/R&gt;&lt;C&gt;1&lt;/C&gt;&lt;D xsi:type="xsd:double"&gt;1.3973407&lt;/D&gt;&lt;/FQL&gt;&lt;FQL&gt;&lt;Q&gt;CX-US^P_BETA_LOCIDX(45051,44875,,"SPX")&lt;/Q&gt;&lt;R&gt;1&lt;/R&gt;&lt;C&gt;1&lt;/C&gt;&lt;D xsi:type="xsd:double"&gt;1.4279743&lt;/D&gt;&lt;/FQL&gt;&lt;FQL&gt;&lt;Q&gt;CX-US^P_BETA_LOCIDX(45050,44874,,"SPX")&lt;/Q&gt;&lt;R&gt;1&lt;/R&gt;&lt;C&gt;1&lt;/C&gt;&lt;D xsi:type="xsd:double"&gt;1.4060748&lt;/D&gt;&lt;/FQL&gt;&lt;FQL&gt;&lt;Q&gt;CX-US^P_BETA_LOCIDX(45049,44873,,"SPX")&lt;/Q&gt;&lt;R&gt;1&lt;/R&gt;&lt;C&gt;1&lt;/C&gt;&lt;D xsi:type="xsd:double"&gt;1.4145571&lt;/D&gt;&lt;/FQL&gt;&lt;FQL&gt;&lt;Q&gt;CX-US^P_BETA_LOCIDX(45048,44872,,"SPX")&lt;/Q&gt;&lt;R&gt;1&lt;/R&gt;&lt;C&gt;1&lt;/C&gt;&lt;D xsi:type="xsd:double"&gt;1.4020574&lt;/D&gt;&lt;/FQL&gt;&lt;FQL&gt;&lt;Q&gt;CX-US^P_BETA_LOCIDX(45047,44869,,"SPX")&lt;/Q&gt;&lt;R&gt;1&lt;/R&gt;&lt;C&gt;1&lt;/C&gt;&lt;D xsi:type="xsd:double"&gt;1.4965074&lt;/D&gt;&lt;/FQL&gt;&lt;FQL&gt;&lt;Q&gt;CX-US^P_BETA_LOCIDX(45044,44868,,"SPX")&lt;/Q&gt;&lt;R&gt;1&lt;/R&gt;&lt;C&gt;1&lt;/C&gt;&lt;D xsi:type="xsd:double"&gt;1.4824594&lt;/D&gt;&lt;/FQL&gt;&lt;FQL&gt;&lt;Q&gt;CX-US^P_BETA_LOCIDX(45043,44867,,"SPX")&lt;/Q&gt;&lt;R&gt;1&lt;/R&gt;&lt;C&gt;1&lt;/C&gt;&lt;D xsi:type="xsd:double"&gt;1.5141314&lt;/D&gt;&lt;/FQL&gt;&lt;FQL&gt;&lt;Q&gt;CX-US^P_BETA_LOCIDX(45042,44866,,"SPX")&lt;/Q&gt;&lt;R&gt;1&lt;/R&gt;&lt;C&gt;1&lt;/C&gt;&lt;D xsi:type="xsd:double"&gt;1.5255972&lt;/D&gt;&lt;/FQL&gt;&lt;FQL&gt;&lt;Q&gt;CX-US^P_BETA_LOCIDX(45041,44865,,"SPX")&lt;/Q&gt;&lt;R&gt;1&lt;/R&gt;&lt;C&gt;1&lt;/C&gt;&lt;D xsi:type="xsd:double"&gt;1.5088146&lt;/D&gt;&lt;/FQL&gt;&lt;FQL&gt;&lt;Q&gt;CX-US^P_BETA_LOCIDX(45040,44862,,"SPX")&lt;/Q&gt;&lt;R&gt;1&lt;/R&gt;&lt;C&gt;1&lt;/C&gt;&lt;D xsi:type="xsd:double"&gt;1.5656434&lt;/D&gt;&lt;/FQL&gt;&lt;FQL&gt;&lt;Q&gt;CX-US^P_BETA_LOCIDX(45037,44861,,"SPX")&lt;/Q&gt;&lt;R&gt;1&lt;/R&gt;&lt;C&gt;1&lt;/C&gt;&lt;D xsi:type="xsd:double"&gt;1.5815732&lt;/D&gt;&lt;/FQL&gt;&lt;FQL&gt;&lt;Q&gt;CX-US^P_BETA_LOCIDX(45036,44860,,"SPX")&lt;/Q&gt;&lt;R&gt;1&lt;/R&gt;&lt;C&gt;1&lt;/C&gt;&lt;D xsi:type="xsd:double"&gt;1.5659657&lt;/D&gt;&lt;/FQL&gt;&lt;FQL&gt;&lt;Q&gt;CX-US^P_BETA_LOCIDX(45035,44859,,"SPX")&lt;/Q&gt;&lt;R&gt;1&lt;/R&gt;&lt;C&gt;1&lt;/C&gt;&lt;D xsi:type="xsd:double"&gt;1.5626684&lt;/D&gt;&lt;/FQL&gt;&lt;FQL&gt;&lt;Q&gt;CX-US^P_BETA_LOCIDX(45034,44858,,"SPX")&lt;/Q&gt;&lt;R&gt;1&lt;/R&gt;&lt;C&gt;1&lt;/C&gt;&lt;D xsi:type="xsd:double"&gt;1.5518999&lt;/D&gt;&lt;/FQL&gt;&lt;FQL&gt;&lt;Q&gt;CX-US^P_BETA_LOCIDX(45033,44855,,"SPX")&lt;/Q&gt;&lt;R&gt;1&lt;/R&gt;&lt;C&gt;1&lt;/C&gt;&lt;D xsi:type="xsd:double"&gt;1.5457464&lt;/D&gt;&lt;/FQL&gt;&lt;FQL&gt;&lt;Q&gt;CX-US^P_BETA_LOCIDX(45030,44854,,"SPX")&lt;/Q&gt;&lt;R&gt;1&lt;/R&gt;&lt;C&gt;1&lt;/C&gt;&lt;D xsi:type="xsd:double"&gt;1.5370709&lt;/D&gt;&lt;/FQL&gt;&lt;FQL&gt;&lt;Q&gt;CX-US^P_BETA_LOCIDX(45029,44853,,"SPX")&lt;/Q&gt;&lt;R&gt;1&lt;/R&gt;&lt;C&gt;1&lt;/C&gt;&lt;D xsi:type="xsd:double"&gt;1.5471497&lt;/D&gt;&lt;/FQL&gt;&lt;FQL&gt;&lt;Q&gt;CX-US^P_BETA_LOCIDX(45028,44852,,"SPX")&lt;/Q&gt;&lt;R&gt;1&lt;/R&gt;&lt;C&gt;1&lt;/C&gt;&lt;D xsi:type="xsd:double"&gt;1.513356&lt;/D&gt;&lt;/FQL&gt;&lt;FQL&gt;&lt;Q&gt;CX-US^P_BETA_LOCIDX(45027,44851,,"SPX")&lt;/Q&gt;&lt;R&gt;1&lt;/R&gt;&lt;C&gt;1&lt;/C&gt;&lt;D xsi:type="xsd:double"&gt;1.5651356&lt;/D&gt;&lt;/FQL&gt;&lt;FQL&gt;&lt;Q&gt;CX-US^P_BETA_LOCIDX(45026,44848,,"SPX")&lt;/Q&gt;&lt;R&gt;1&lt;/R&gt;&lt;C&gt;1&lt;/C&gt;&lt;D xsi:type="xsd:double"&gt;1.5799564&lt;/D&gt;&lt;/FQL&gt;&lt;FQL&gt;&lt;Q&gt;CX-US^P_BETA_LOCIDX(45022,44847,,"SPX")&lt;/Q&gt;&lt;R&gt;1&lt;/R&gt;&lt;C&gt;1&lt;/C&gt;&lt;D xsi:type="xsd:double"&gt;1.5106093&lt;/D&gt;&lt;/FQL&gt;&lt;FQL&gt;&lt;Q&gt;CX-US^P_BETA_LOCIDX(45021,44846,,"SPX")&lt;/Q&gt;&lt;R&gt;1&lt;/R&gt;&lt;C&gt;1&lt;/C&gt;&lt;D xsi:type="xsd:double"&gt;1.510463&lt;/D&gt;&lt;/FQL&gt;&lt;FQL&gt;&lt;Q&gt;CX-US^P_BETA_LOCIDX(45020,44845,,"SPX")&lt;/Q&gt;&lt;R&gt;1&lt;/R&gt;&lt;C&gt;1&lt;/C&gt;&lt;D xsi:type="xsd:double"&gt;1.5083606&lt;/D&gt;&lt;/FQL&gt;&lt;FQL&gt;&lt;Q&gt;CX-US^P_BETA_LOCIDX(45019,44844,,"SPX")&lt;/Q&gt;&lt;R&gt;1&lt;/R&gt;&lt;C&gt;1&lt;/C&gt;&lt;D xsi:type="xsd:double"&gt;1.519556&lt;/D&gt;&lt;/FQL&gt;&lt;FQL&gt;&lt;Q&gt;CX-US^P_BETA_LOCIDX(45016,44841,,"SPX")&lt;/Q&gt;&lt;R&gt;1&lt;/R&gt;&lt;C&gt;1&lt;/C&gt;&lt;D xsi:type="xsd:double"&gt;1.4867196&lt;/D&gt;&lt;/FQL&gt;&lt;FQL&gt;&lt;Q&gt;CX-US^P_BETA_LOCIDX(45015,44840,,"SPX")&lt;/Q&gt;&lt;R&gt;1&lt;/R&gt;&lt;C&gt;1&lt;/C&gt;&lt;D xsi:type="xsd:double"&gt;1.4856029&lt;/D&gt;&lt;/FQL&gt;&lt;FQL&gt;&lt;Q&gt;CX-US^P_BETA_LOCIDX(45014,44839,,"SPX")&lt;/Q&gt;&lt;R&gt;1&lt;/R&gt;&lt;C&gt;1&lt;/C&gt;&lt;D xsi:type="xsd:double"&gt;1.4906037&lt;/D&gt;&lt;/FQL&gt;&lt;FQL&gt;&lt;Q&gt;CX-US^P_BETA_LOCIDX(45013,44838,,"SPX")&lt;/Q&gt;&lt;R&gt;1&lt;/R&gt;&lt;C&gt;1&lt;/C&gt;&lt;D xsi:type="xsd:double"&gt;1.5105901&lt;/D&gt;&lt;/FQL&gt;&lt;FQL&gt;&lt;Q&gt;CX-US^P_BETA_LOCIDX(45012,44837,,"SPX")&lt;/Q&gt;&lt;R&gt;1&lt;/R&gt;&lt;C&gt;1&lt;/C&gt;&lt;D xsi:type="xsd:double"&gt;1.4824934&lt;/D&gt;&lt;/FQL&gt;&lt;FQL&gt;&lt;Q&gt;CX-US^P_BETA_LOCIDX(45009,44834,,"SPX")&lt;/Q&gt;&lt;R&gt;1&lt;/R&gt;&lt;C&gt;1&lt;/C&gt;&lt;D xsi:type="xsd:double"&gt;1.4618219&lt;/D&gt;&lt;/FQL&gt;&lt;FQL&gt;&lt;Q&gt;CX-US^P_BETA_LOCIDX(45008,44833,,"SPX")&lt;/Q&gt;&lt;R&gt;1&lt;/R&gt;&lt;C&gt;1&lt;/C&gt;&lt;D xsi:type="xsd:double"&gt;1.439104&lt;/D&gt;&lt;/FQL&gt;&lt;FQL&gt;&lt;Q&gt;CX-US^P_BETA_LOCIDX(45007,44832,,"SPX")&lt;/Q&gt;&lt;R&gt;1&lt;/R&gt;&lt;C&gt;1&lt;/C&gt;&lt;D xsi:type="xsd:double"&gt;1.4438837&lt;/D&gt;&lt;/FQL&gt;&lt;FQL&gt;&lt;Q&gt;CX-US^P_BETA_LOCIDX(45006,44831,,"SPX")&lt;/Q&gt;&lt;R&gt;1&lt;/R&gt;&lt;C&gt;1&lt;/C&gt;&lt;D xsi:type="xsd:double"&gt;1.4666548&lt;/D&gt;&lt;/FQL&gt;&lt;FQL&gt;&lt;Q&gt;CX-US^P_BETA_LOCIDX(45005,44830,,"SPX")&lt;/Q&gt;&lt;R&gt;1&lt;/R&gt;&lt;C&gt;1&lt;/C&gt;&lt;D xsi:type="xsd:double"&gt;1.4753072&lt;/D&gt;&lt;/FQL&gt;&lt;FQL&gt;&lt;Q&gt;CX-US^P_BETA_LOCIDX(45002,44827,,"SPX")&lt;/Q&gt;&lt;R&gt;1&lt;/R&gt;&lt;C&gt;1&lt;/C&gt;&lt;D xsi:type="xsd:double"&gt;1.4741267&lt;/D&gt;&lt;/FQL&gt;&lt;FQL&gt;&lt;Q&gt;CX-US^P_BETA_LOCIDX(45001,44826,,"SPX")&lt;/Q&gt;&lt;R&gt;1&lt;/R&gt;&lt;C&gt;1&lt;/C&gt;&lt;D xsi:type="xsd:double"&gt;1.4728513&lt;/D&gt;&lt;/FQL&gt;&lt;FQL&gt;&lt;Q&gt;CX-US^P_BETA_LOCIDX(45000,44825,,"SPX")&lt;/Q&gt;&lt;R&gt;1&lt;/R&gt;&lt;C&gt;1&lt;/C&gt;&lt;D xsi:type="xsd:double"&gt;1.4514548&lt;/D&gt;&lt;/FQL&gt;&lt;FQL&gt;&lt;Q&gt;CX-US^P_BETA_LOCIDX(44999,44824,,"SPX")&lt;/Q&gt;&lt;R&gt;1&lt;/R&gt;&lt;C&gt;1&lt;/C&gt;&lt;D xsi:type="xsd:double"&gt;1.4536754&lt;/D&gt;&lt;/FQL&gt;&lt;FQL&gt;&lt;Q&gt;CX-US^P_BETA_LOCIDX(44998,44823,,"SPX")&lt;/Q&gt;&lt;R&gt;1&lt;/R&gt;&lt;C&gt;1&lt;/C&gt;&lt;D xsi:type="xsd:double"&gt;1.4619505&lt;/D&gt;&lt;/FQL&gt;&lt;FQL&gt;&lt;Q&gt;CX-US^P_BETA_LOCIDX(44995,44820,,"SPX")&lt;/Q&gt;&lt;R&gt;1&lt;/R&gt;&lt;C&gt;1&lt;/C&gt;&lt;D xsi:type="xsd:double"&gt;1.4601165&lt;/D&gt;&lt;/FQL&gt;&lt;FQL&gt;&lt;Q&gt;CX-US^P_BETA_LOCIDX(44994,44819,,"SPX")&lt;/Q&gt;&lt;R&gt;1&lt;/R&gt;&lt;C&gt;1&lt;/C&gt;&lt;D xsi:type="xsd:double"&gt;1.4615315&lt;/D&gt;&lt;/FQL&gt;&lt;FQL&gt;&lt;Q&gt;CX-US^P_BETA_LOCIDX(44993,44818,,"SPX")&lt;/Q&gt;&lt;R&gt;1&lt;/R&gt;&lt;C&gt;1&lt;/C&gt;&lt;D xsi:type="xsd:double"&gt;1.4549875&lt;/D&gt;&lt;/FQL&gt;&lt;FQL&gt;&lt;Q&gt;CX-US^P_BETA_LOCIDX(44992,44817,,"SPX")&lt;/Q&gt;&lt;R&gt;1&lt;/R&gt;&lt;C&gt;1&lt;/C&gt;&lt;D xsi:type="xsd:double"&gt;1.4180884&lt;/D&gt;&lt;/FQL&gt;&lt;FQL&gt;&lt;Q&gt;CX-US^P_BETA_LOCIDX(44991,44816,,"SPX")&lt;/Q&gt;&lt;R&gt;1&lt;/R&gt;&lt;C&gt;1&lt;/C&gt;&lt;D xsi:type="xsd:double"&gt;1.4046425&lt;/D&gt;&lt;/FQL&gt;&lt;FQL&gt;&lt;Q&gt;CX-US^P_BETA_LOCIDX(44988,44813,,"SPX")&lt;/Q&gt;&lt;R&gt;1&lt;/R&gt;&lt;C&gt;1&lt;/C&gt;&lt;D xsi:type="xsd:double"&gt;1.4126632&lt;/D&gt;&lt;/FQL&gt;&lt;FQL&gt;&lt;Q&gt;CX-US^P_BETA_LOCIDX(44987,44812,,"SPX")&lt;/Q&gt;&lt;R&gt;1&lt;/R&gt;&lt;C&gt;1&lt;/C&gt;&lt;D xsi:type="xsd:double"&gt;1.3958565&lt;/D&gt;&lt;/FQL&gt;&lt;FQL&gt;&lt;Q&gt;CX-US^P_BETA_LOCIDX(44986,44811,,"SPX")&lt;/Q&gt;&lt;R&gt;1&lt;/R&gt;&lt;C&gt;1&lt;/C&gt;&lt;D xsi:type="xsd:double"&gt;1.3724486&lt;/D&gt;&lt;/FQL&gt;&lt;FQL&gt;&lt;Q&gt;CX-US^P_BETA_LOCIDX(44985,44810,,"SPX")&lt;/Q&gt;&lt;R&gt;1&lt;/R&gt;&lt;C&gt;1&lt;/C&gt;&lt;D xsi:type="xsd:double"&gt;1.3870339&lt;/D&gt;&lt;/FQL&gt;&lt;FQL&gt;&lt;Q&gt;CX-US^P_BETA_LOCIDX(44984,44806,,"SPX")&lt;/Q&gt;&lt;R&gt;1&lt;/R&gt;&lt;C&gt;1&lt;/C&gt;&lt;D xsi:type="xsd:double"&gt;1.3661228&lt;/D&gt;&lt;/FQL&gt;&lt;FQL&gt;&lt;Q&gt;CX-US^P_BETA_LOCIDX(44981,44805,,"SPX")&lt;/Q&gt;&lt;R&gt;1&lt;/R&gt;&lt;C&gt;1&lt;/C&gt;&lt;D xsi:type="xsd:double"&gt;1.3661685&lt;/D&gt;&lt;/FQL&gt;&lt;FQL&gt;&lt;Q&gt;CX-US^P_BETA_LOCIDX(44980,44804,,"SPX")&lt;/Q&gt;&lt;R&gt;1&lt;/R&gt;&lt;C&gt;1&lt;/C&gt;&lt;D xsi:type="xsd:double"&gt;1.3701148&lt;/D&gt;&lt;/FQL&gt;&lt;FQL&gt;&lt;Q&gt;CX-US^P_BETA_LOCIDX(44979,44803,,"SPX")&lt;/Q&gt;&lt;R&gt;1&lt;/R&gt;&lt;C&gt;1&lt;/C&gt;&lt;D xsi:type="xsd:double"&gt;1.3767085&lt;/D&gt;&lt;/FQL&gt;&lt;FQL&gt;&lt;Q&gt;CX-US^P_BETA_LOCIDX(44978,44802,,"SPX")&lt;/Q&gt;&lt;R&gt;1&lt;/R&gt;&lt;C&gt;1&lt;/C&gt;&lt;D xsi:type="xsd:double"&gt;1.3810313&lt;/D&gt;&lt;/FQL&gt;&lt;FQL&gt;&lt;Q&gt;CX-US^P_BETA_LOCIDX(44974,44799,,"SPX")&lt;/Q&gt;&lt;R&gt;1&lt;/R&gt;&lt;C&gt;1&lt;/C&gt;&lt;D xsi:type="xsd:double"&gt;1.3729609&lt;/D&gt;&lt;/FQL&gt;&lt;FQL&gt;&lt;Q&gt;CX-US^P_BETA_LOCIDX(44973,44798,,"SPX")&lt;/Q&gt;&lt;R&gt;1&lt;/R&gt;&lt;C&gt;1&lt;/C&gt;&lt;D xsi:type="xsd:double"&gt;1.3683479&lt;/D&gt;&lt;/FQL&gt;&lt;FQL&gt;&lt;Q&gt;CX-US^P_BETA_LOCIDX(44972,44797,,"SPX")&lt;/Q&gt;&lt;R&gt;1&lt;/R&gt;&lt;C&gt;1&lt;/C&gt;&lt;D xsi:type="xsd:double"&gt;1.3617818&lt;/D&gt;&lt;/FQL&gt;&lt;FQL&gt;&lt;Q&gt;CX-US^P_BETA_LOCIDX(44971,44796,,"SPX")&lt;/Q&gt;&lt;R&gt;1&lt;/R&gt;&lt;C&gt;1&lt;/C&gt;&lt;D xsi:type="xsd:double"&gt;1.3597796&lt;/D&gt;&lt;/FQL&gt;&lt;FQL&gt;&lt;Q&gt;CX-US^P_BETA_LOCIDX(44970,44795,,"SPX")&lt;/Q&gt;&lt;R&gt;1&lt;/R&gt;&lt;C&gt;1&lt;/C&gt;&lt;D xsi:type="xsd:double"&gt;1.3607597&lt;/D&gt;&lt;/FQL&gt;&lt;FQL&gt;&lt;Q&gt;CX-US^P_BETA_LOCIDX(44967,44792,,"SPX")&lt;/Q&gt;&lt;R&gt;1&lt;/R&gt;&lt;C&gt;1&lt;/C&gt;&lt;D xsi:type="xsd:double"&gt;1.3684076&lt;/D&gt;&lt;/FQL&gt;&lt;FQL&gt;&lt;Q&gt;CX-US^P_BETA_LOCIDX(44966,44791,,"SPX")&lt;/Q&gt;&lt;R&gt;1&lt;/R&gt;&lt;C&gt;1&lt;/C&gt;&lt;D xsi:type="xsd:double"&gt;1.3674892&lt;/D&gt;&lt;/FQL&gt;&lt;FQL&gt;&lt;Q&gt;CX-US^P_BETA_LOCIDX(44965,44790,,"SPX")&lt;/Q&gt;&lt;R&gt;1&lt;/R&gt;&lt;C&gt;1&lt;/C&gt;&lt;D xsi:type="xsd:double"&gt;1.3734512&lt;/D&gt;&lt;/FQL&gt;&lt;FQL&gt;&lt;Q&gt;CX-US^P_BETA_LOCIDX(44964,44789,,"SPX")&lt;/Q&gt;&lt;R&gt;1&lt;/R&gt;&lt;C&gt;1&lt;/C&gt;&lt;D xsi:type="xsd:double"&gt;1.3774662&lt;/D&gt;&lt;/FQL&gt;&lt;FQL&gt;&lt;Q&gt;CX-US^P_BETA_LOCIDX(44963,44788,,"SPX")&lt;/Q&gt;&lt;R&gt;1&lt;/R&gt;&lt;C&gt;1&lt;/C&gt;&lt;D xsi:type="xsd:double"&gt;1.3884647&lt;/D&gt;&lt;/FQL&gt;&lt;FQL&gt;&lt;Q&gt;CX-US^P_BETA_LOCIDX(44960,44785,,"SPX")&lt;/Q&gt;&lt;R&gt;1&lt;/R&gt;&lt;C&gt;1&lt;/C&gt;&lt;D xsi:type="xsd:double"&gt;1.3884124&lt;/D&gt;&lt;/FQL&gt;&lt;FQL&gt;&lt;Q&gt;CX-US^P_BETA_LOCIDX(44959,44784,,"SPX")&lt;/Q&gt;&lt;R&gt;1&lt;/R&gt;&lt;C&gt;1&lt;/C&gt;&lt;D xsi:type="xsd:double"&gt;1.3867979&lt;/D&gt;&lt;/FQL&gt;&lt;FQL&gt;&lt;Q&gt;CX-US^P_BETA_LOCIDX(44958,44783,,"SPX")&lt;/Q&gt;&lt;R&gt;1&lt;/R&gt;&lt;C&gt;1&lt;/C&gt;&lt;D xsi:type="xsd:double"&gt;1.4164549&lt;/D&gt;&lt;/FQL&gt;&lt;FQL&gt;&lt;Q&gt;CX-US^P_BETA_LOCIDX(44957,44782,,"SPX")&lt;/Q&gt;&lt;R&gt;1&lt;/R&gt;&lt;C&gt;1&lt;/C&gt;&lt;D xsi:type="xsd:double"&gt;1.4147207&lt;/D&gt;&lt;/FQL&gt;&lt;FQL&gt;&lt;Q&gt;CX-US^P_BETA_LOCIDX(44956,44781,,"SPX")&lt;/Q&gt;&lt;R&gt;1&lt;/R&gt;&lt;C&gt;1&lt;/C&gt;&lt;D xsi:type="xsd:double"&gt;1.4217308&lt;/D&gt;&lt;/FQL&gt;&lt;FQL&gt;&lt;Q&gt;CX-US^P_BETA_LOCIDX(44953,44778,,"SPX")&lt;/Q&gt;&lt;R&gt;1&lt;/R&gt;&lt;C&gt;1&lt;/C&gt;&lt;D xsi:type="xsd:double"&gt;1.4216576&lt;/D&gt;&lt;/FQL&gt;&lt;FQL&gt;&lt;Q&gt;CX-US^P_BETA_LOCIDX(44952,44777,,"SPX")&lt;/Q&gt;&lt;R&gt;1&lt;/R&gt;&lt;C&gt;1&lt;/C&gt;&lt;D xsi:type="xsd:double"&gt;1.4213997&lt;/D&gt;&lt;/FQL&gt;&lt;FQL&gt;&lt;Q&gt;CX-US^P_BETA_LOCIDX(44951,44776,,"SPX")&lt;/Q&gt;&lt;R&gt;1&lt;/R&gt;&lt;C&gt;1&lt;/C&gt;&lt;D xsi:type="xsd:double"&gt;1.4298656&lt;/D&gt;&lt;/FQL&gt;&lt;FQL&gt;&lt;Q&gt;CX-US^P_BETA_LOCIDX(44950,44775,,"SPX")&lt;/Q&gt;&lt;R&gt;1&lt;/R&gt;&lt;C&gt;1&lt;/C&gt;&lt;D xsi:type="xsd:double"&gt;1.4311649&lt;/D&gt;&lt;/FQL&gt;&lt;FQL&gt;&lt;Q&gt;CX-US^P_BETA_LOCIDX(44949,44774,,"SPX")&lt;/Q&gt;&lt;R&gt;1&lt;/R&gt;&lt;C&gt;1&lt;/C&gt;&lt;D xsi:type="xsd:double"&gt;1.4281863&lt;/D&gt;&lt;/FQL&gt;&lt;FQL&gt;&lt;Q&gt;CX-US^P_BETA_LOCIDX(44946,44771,,"SPX")&lt;/Q&gt;&lt;R&gt;1&lt;/R&gt;&lt;C&gt;1&lt;/C&gt;&lt;D xsi:type="xsd:double"&gt;1.4273713&lt;/D&gt;&lt;/FQL&gt;&lt;FQL&gt;&lt;Q&gt;CX-US^P_BETA_LOCIDX(44945,44770,,"SPX")&lt;/Q&gt;&lt;R&gt;1&lt;/R&gt;&lt;C&gt;1&lt;/C&gt;&lt;D xsi:type="xsd:double"&gt;1.4219201&lt;/D&gt;&lt;/FQL&gt;&lt;FQL&gt;&lt;Q&gt;CX-US^P_BETA_LOCIDX(44944,44769,,"SPX")&lt;/Q&gt;&lt;R&gt;1&lt;/R&gt;&lt;C&gt;1&lt;/C&gt;&lt;D xsi:type="xsd:double"&gt;1.4037546&lt;/D&gt;&lt;/FQL&gt;&lt;FQL&gt;&lt;Q&gt;CX-US^P_BETA_LOCIDX(44943,44768,,"SPX")&lt;/Q&gt;&lt;R&gt;1&lt;/R&gt;&lt;C&gt;1&lt;/C&gt;&lt;D xsi:type="xsd:double"&gt;1.4138426&lt;/D&gt;&lt;/FQL&gt;&lt;FQL&gt;&lt;Q&gt;CX-US^P_BETA_LOCIDX(44939,44767,,"SPX")&lt;/Q&gt;&lt;R&gt;1&lt;/R&gt;&lt;C&gt;1&lt;/C&gt;&lt;D xsi:type="xsd:double"&gt;1.4145806&lt;/D&gt;&lt;/FQL&gt;&lt;FQL&gt;&lt;Q&gt;CX-US^P_BETA_LOCIDX(44938,44764,,"SPX")&lt;/Q&gt;&lt;R&gt;1&lt;/R&gt;&lt;C&gt;1&lt;/C&gt;&lt;D xsi:type="xsd:double"&gt;1.4144042&lt;/D&gt;&lt;/FQL&gt;&lt;FQL&gt;&lt;Q&gt;CX-US^P_BETA_LOCIDX(44937,44763,,"SPX")&lt;/Q&gt;&lt;R&gt;1&lt;/R&gt;&lt;C&gt;1&lt;/C&gt;&lt;D xsi:type="xsd:double"&gt;1.4143307&lt;/D&gt;&lt;/FQL&gt;&lt;FQL&gt;&lt;Q&gt;CX-US^P_BETA_LOCIDX(44936,44762,,"SPX")&lt;/Q&gt;&lt;R&gt;1&lt;/R&gt;&lt;C&gt;1&lt;/C&gt;&lt;D xsi:type="xsd:double"&gt;1.3711747&lt;/D&gt;&lt;/FQL&gt;&lt;FQL&gt;&lt;Q&gt;CX-US^P_BETA_LOCIDX(44935,44761,,"SPX")&lt;/Q&gt;&lt;R&gt;1&lt;/R&gt;&lt;C&gt;1&lt;/C&gt;&lt;D xsi:type="xsd:double"&gt;1.3584378&lt;/D&gt;&lt;/FQL&gt;&lt;FQL&gt;&lt;Q&gt;CX-US^P_BETA_LOCIDX(44932,44760,,"SPX")&lt;/Q&gt;&lt;R&gt;1&lt;/R&gt;&lt;C&gt;1&lt;/C&gt;&lt;D xsi:type="xsd:double"&gt;1.3560011&lt;/D&gt;&lt;/FQL&gt;&lt;FQL&gt;&lt;Q&gt;CX-US^P_BETA_LOCIDX(44931,44757,,"SPX")&lt;/Q&gt;&lt;R&gt;1&lt;/R&gt;&lt;C&gt;1&lt;/C&gt;&lt;D xsi:type="xsd:double"&gt;1.3498209&lt;/D&gt;&lt;/FQL&gt;&lt;FQL&gt;&lt;Q&gt;CX-US^P_BETA_LOCIDX(44930,44756,,"SPX")&lt;/Q&gt;&lt;R&gt;1&lt;/R&gt;&lt;C&gt;1&lt;/C&gt;&lt;D xsi:type="xsd:double"&gt;1.3600512&lt;/D&gt;&lt;/FQL&gt;&lt;FQL&gt;&lt;Q&gt;CX-US^P_BETA_LOCIDX(44929,44755,,"SPX")&lt;/Q&gt;&lt;R&gt;1&lt;/R&gt;&lt;C&gt;1&lt;/C&gt;&lt;D xsi:type="xsd:double"&gt;1.3447005&lt;/D&gt;&lt;/FQL&gt;&lt;FQL&gt;&lt;Q&gt;CX-US^P_BETA_LOCIDX(44925,44754,,"SPX")&lt;/Q&gt;&lt;R&gt;1&lt;/R&gt;&lt;C&gt;1&lt;/C&gt;&lt;D xsi:type="xsd:double"&gt;1.3346467&lt;/D&gt;&lt;/FQL&gt;&lt;FQL&gt;&lt;Q&gt;CX-US^P_BETA_LOCIDX(44924,44753,,"SPX")&lt;/Q&gt;&lt;R&gt;1&lt;/R&gt;&lt;C&gt;1&lt;/C&gt;&lt;D xsi:type="xsd:double"&gt;1.340732&lt;/D&gt;&lt;/FQL&gt;&lt;FQL&gt;&lt;Q&gt;CX-US^P_BETA_LOCIDX(44923,44750,,"SPX")&lt;/Q&gt;&lt;R&gt;1&lt;/R&gt;&lt;C&gt;1&lt;/C&gt;&lt;D xsi:type="xsd:double"&gt;1.3506709&lt;/D&gt;&lt;/FQL&gt;&lt;FQL&gt;&lt;Q&gt;CX-US^P_BETA_LOCIDX(44922,44749,,"SPX")&lt;/Q&gt;&lt;R&gt;1&lt;/R&gt;&lt;C&gt;1&lt;/C&gt;&lt;D xsi:type="xsd:double"&gt;1.3474854&lt;/D&gt;&lt;/FQL&gt;&lt;FQL&gt;&lt;Q&gt;CX-US^P_BETA_LOCIDX(44918,44748,,"SPX")&lt;/Q&gt;&lt;R&gt;1&lt;/R&gt;&lt;C&gt;1&lt;/C&gt;&lt;D xsi:type="xsd:double"&gt;1.3425035&lt;/D&gt;&lt;/FQL&gt;&lt;FQL&gt;&lt;Q&gt;CX-US^P_BETA_LOCIDX(44917,44747,,"SPX")&lt;/Q&gt;&lt;R&gt;1&lt;/R&gt;&lt;C&gt;1&lt;/C&gt;&lt;D xsi:type="xsd:double"&gt;1.339584&lt;/D&gt;&lt;/FQL&gt;&lt;FQL&gt;&lt;Q&gt;CX-US^P_BETA_LOCIDX(44916,44743,,"SPX")&lt;/Q&gt;&lt;R&gt;1&lt;/R&gt;&lt;C&gt;1&lt;/C&gt;&lt;D xsi:type="xsd:double"&gt;1.3301618&lt;/D&gt;&lt;/FQL&gt;&lt;FQL&gt;&lt;Q&gt;CX-US^P_BETA_LOCIDX(44915,44742,,"SPX")&lt;/Q&gt;&lt;R&gt;1&lt;/R&gt;&lt;C&gt;1&lt;/C&gt;&lt;D xsi:type="xsd:double"&gt;1.318259&lt;/D&gt;&lt;/FQL&gt;&lt;FQL&gt;&lt;Q&gt;CX-US^P_BETA_LOCIDX(44914,44741,,"SPX")&lt;/Q&gt;&lt;R&gt;1&lt;/R&gt;&lt;C&gt;1&lt;/C&gt;&lt;D xsi:type="xsd:double"&gt;1.318465&lt;/D&gt;&lt;/FQL&gt;&lt;FQL&gt;&lt;Q&gt;CX-US^P_BETA_LOCIDX(44911,44740,,"SPX")&lt;/Q&gt;&lt;R&gt;1&lt;/R&gt;&lt;C&gt;1&lt;/C&gt;&lt;D xsi:type="xsd:double"&gt;1.307017&lt;/D&gt;&lt;/FQL&gt;&lt;FQL&gt;&lt;Q&gt;CX-US^P_BETA_LOCIDX(44910,44739,,"SPX")&lt;/Q&gt;&lt;R&gt;1&lt;/R&gt;&lt;C&gt;1&lt;/C&gt;&lt;D xsi:type="xsd:double"&gt;1.3127346&lt;/D&gt;&lt;/FQL&gt;&lt;FQL&gt;&lt;Q&gt;CX-US^P_BETA_LOCIDX(44909,44736,,"SPX")&lt;/Q&gt;&lt;R&gt;1&lt;/R&gt;&lt;C&gt;1&lt;/C&gt;&lt;D xsi:type="xsd:double"&gt;1.3093637&lt;/D&gt;&lt;/FQL&gt;&lt;FQL&gt;&lt;Q&gt;CX-US^P_BETA_LOCIDX(44908,44735,,"SPX")&lt;/Q&gt;&lt;R&gt;1&lt;/R&gt;&lt;C&gt;1&lt;/C&gt;&lt;D xsi:type="xsd:double"&gt;1.3169374&lt;/D&gt;&lt;/FQL&gt;&lt;FQL&gt;&lt;Q&gt;CX-US^P_BETA_LOCIDX(44907,44734,,"SPX")&lt;/Q&gt;&lt;R&gt;1&lt;/R&gt;&lt;C&gt;1&lt;/C&gt;&lt;D xsi:type="xsd:double"&gt;1.317227&lt;/D&gt;&lt;/FQL&gt;&lt;FQL&gt;&lt;Q&gt;CX-US^P_BETA_LOCIDX(44904,44733,,"SPX")&lt;/Q&gt;&lt;R&gt;1&lt;/R&gt;&lt;C&gt;1&lt;/C&gt;&lt;D xsi:type="xsd:double"&gt;1.3449278&lt;/D&gt;&lt;/FQL&gt;&lt;FQL&gt;&lt;Q&gt;CX-US^P_BETA_LOCIDX(44903,44729,,"SPX")&lt;/Q&gt;&lt;R&gt;1&lt;/R&gt;&lt;C&gt;1&lt;/C&gt;&lt;D xsi:type="xsd:double"&gt;1.3467773&lt;/D&gt;&lt;/FQL&gt;&lt;FQL&gt;&lt;Q&gt;CX-US^P_BETA_LOCIDX(44902,44728,,"SPX")&lt;/Q&gt;&lt;R&gt;1&lt;/R&gt;&lt;C&gt;1&lt;/C&gt;&lt;D xsi:type="xsd:double"&gt;1.3753862&lt;/D&gt;&lt;/FQL&gt;&lt;FQL&gt;&lt;Q&gt;CX-US^P_BETA_LOCIDX(44901,44727,,"SPX")&lt;/Q&gt;&lt;R&gt;1&lt;/R&gt;&lt;C&gt;1&lt;/C&gt;&lt;D xsi:type="xsd:double"&gt;1.3612972&lt;/D&gt;&lt;/FQL&gt;&lt;FQL&gt;&lt;Q&gt;CX-US^P_BETA_LOCIDX(44900,44726,,"SPX")&lt;/Q&gt;&lt;R&gt;1&lt;/R&gt;&lt;C&gt;1&lt;/C&gt;&lt;D xsi:type="xsd:double"&gt;1.3796297&lt;/D&gt;&lt;/FQL&gt;&lt;FQL&gt;&lt;Q&gt;CX-US^P_BETA_LOCIDX(44897,44725,,"SPX")&lt;/Q&gt;&lt;R&gt;1&lt;/R&gt;&lt;C&gt;1&lt;/C&gt;&lt;D xsi:type="xsd:double"&gt;1.3733058&lt;/D&gt;&lt;/FQL&gt;&lt;FQL&gt;&lt;Q&gt;CX-US^P_BETA_LOCIDX(44896,44722,,"SPX")&lt;/Q&gt;&lt;R&gt;1&lt;/R&gt;&lt;C&gt;1&lt;/C&gt;&lt;D xsi:type="xsd:double"&gt;1.3935052&lt;/D&gt;&lt;/FQL&gt;&lt;FQL&gt;&lt;Q&gt;CX-US^P_BETA_LOCIDX(44895,44721,,"SPX")&lt;/Q&gt;&lt;R&gt;1&lt;/R&gt;&lt;C&gt;1&lt;/C&gt;&lt;D xsi:type="xsd:double"&gt;1.398838&lt;/D&gt;&lt;/FQL&gt;&lt;FQL&gt;&lt;Q&gt;CX-US^P_BETA_LOCIDX(44894,44720,,"SPX")&lt;/Q&gt;&lt;R&gt;1&lt;/R&gt;&lt;C&gt;1&lt;/C&gt;&lt;D xsi:type="xsd:double"&gt;1.4037213&lt;/D&gt;&lt;/FQL&gt;&lt;FQL&gt;&lt;Q&gt;CX-US^P_BETA_LOCIDX(44893,44719,,"SPX")&lt;/Q&gt;&lt;R&gt;1&lt;/R&gt;&lt;C&gt;1&lt;/C&gt;&lt;D xsi:type="xsd:double"&gt;1.3957424&lt;/D&gt;&lt;/FQL&gt;&lt;FQL&gt;&lt;Q&gt;CX-US^P_BETA_LOCIDX(44890,44718,,"SPX")&lt;/Q&gt;&lt;R&gt;1&lt;/R&gt;&lt;C&gt;1&lt;/C&gt;&lt;D xsi:type="xsd:double"&gt;1.3941181&lt;/D&gt;&lt;/FQL&gt;&lt;FQL&gt;&lt;Q&gt;CX-US^P_BETA_LOCIDX(44888,44715,,"SPX")&lt;/Q&gt;&lt;R&gt;1&lt;/R&gt;&lt;C&gt;1&lt;/C&gt;&lt;D xsi:type="xsd:double"&gt;1.3859292&lt;/D&gt;&lt;/FQL&gt;&lt;FQL&gt;&lt;Q&gt;CX-US^P_BETA_LOCIDX(44887,44714,,"SPX")&lt;/Q&gt;&lt;R&gt;1&lt;/R&gt;&lt;C&gt;1&lt;/C&gt;&lt;D xsi:type="xsd:double"&gt;1.3574499&lt;/D&gt;&lt;/FQL&gt;&lt;FQL&gt;&lt;Q&gt;CX-US^P_BETA_LOCIDX(44886,44713,,"SPX")&lt;/Q&gt;&lt;R&gt;1&lt;/R&gt;&lt;C&gt;1&lt;/C&gt;&lt;D xsi:type="xsd:double"&gt;1.3673769&lt;/D&gt;&lt;/FQL&gt;&lt;FQL&gt;&lt;Q&gt;CX-US^P_BETA_LOCIDX(44883,44712,,"SPX")&lt;/Q&gt;&lt;R&gt;1&lt;/R&gt;&lt;C&gt;1&lt;/C&gt;&lt;D xsi:type="xsd:double"&gt;1.3592964&lt;/D&gt;&lt;/FQL&gt;&lt;FQL&gt;&lt;Q&gt;CX-US^P_BETA_LOCIDX(44882,44708,,"SPX")&lt;/Q&gt;&lt;R&gt;1&lt;/R&gt;&lt;C&gt;1&lt;/C&gt;&lt;D xsi:type="xsd:double"&gt;1.3620111&lt;/D&gt;&lt;/FQL&gt;&lt;FQL&gt;&lt;Q&gt;CX-US^P_BETA_LOCIDX(44881,44707,,"SPX")&lt;/Q&gt;&lt;R&gt;1&lt;/R&gt;&lt;C&gt;1&lt;/C&gt;&lt;D xsi:type="xsd:double"&gt;1.3574&lt;/D&gt;&lt;/FQL&gt;&lt;FQL&gt;&lt;Q&gt;CX-US^P_BETA_LOCIDX(44880,44706,,"SPX")&lt;/Q&gt;&lt;R&gt;1&lt;/R&gt;&lt;C&gt;1&lt;/C&gt;&lt;D xsi:type="xsd:double"&gt;1.369271&lt;/D&gt;&lt;/FQL&gt;&lt;FQL&gt;&lt;Q&gt;CX-US^P_BETA_LOCIDX(44879,44705,,"SPX")&lt;/Q&gt;&lt;R&gt;1&lt;/R&gt;&lt;C&gt;1&lt;/C&gt;&lt;D xsi:type="xsd:double"&gt;1.3784722&lt;/D&gt;&lt;/FQL&gt;&lt;FQL&gt;&lt;Q&gt;CX-US^P_BETA_LOCIDX(44876,44704,,"SPX")&lt;/Q&gt;&lt;R&gt;1&lt;/R&gt;&lt;C&gt;1&lt;/C&gt;&lt;D xsi:type="xsd:double"&gt;1.3543404&lt;/D&gt;&lt;/FQL&gt;&lt;FQL&gt;&lt;Q&gt;CX-US^P_BETA_LOCIDX(44875,44701,,"SPX")&lt;/Q&gt;&lt;R&gt;1&lt;/R&gt;&lt;C&gt;1&lt;/C&gt;&lt;D xsi:type="xsd:double"&gt;1.3455553&lt;/D&gt;&lt;/FQL&gt;&lt;FQL&gt;&lt;Q&gt;CX-US^P_BETA_LOCIDX(44874,44700,,"SPX")&lt;/Q&gt;&lt;R&gt;1&lt;/R&gt;&lt;C&gt;1&lt;/C&gt;&lt;D xsi:type="xsd:double"&gt;1.3101133&lt;/D&gt;&lt;/FQL&gt;&lt;FQL&gt;&lt;Q&gt;CX-US^P_BETA_LOCIDX(44873,44699,,"SPX")&lt;/Q&gt;&lt;R&gt;1&lt;/R&gt;&lt;C&gt;1&lt;/C&gt;&lt;D xsi:type="xsd:double"&gt;1.3011842&lt;/D&gt;&lt;/FQL&gt;&lt;FQL&gt;&lt;Q&gt;CX-US^P_BETA_LOCIDX(44872,44698,,"SPX")&lt;/Q&gt;&lt;R&gt;1&lt;/R&gt;&lt;C&gt;1&lt;/C&gt;&lt;D xsi:type="xsd:double"&gt;1.2999078&lt;/D&gt;&lt;/FQL&gt;&lt;FQL&gt;&lt;Q&gt;CX-US^P_BETA_LOCIDX(44869,44697,,"SPX")&lt;/Q&gt;&lt;R&gt;1&lt;/R&gt;&lt;C&gt;1&lt;/C&gt;&lt;D xsi:type="xsd:double"&gt;1.2972132&lt;/D&gt;&lt;/FQL&gt;&lt;FQL&gt;&lt;Q&gt;CX-US^P_BETA_LOCIDX(44868,44694,,"SPX")&lt;/Q&gt;&lt;R&gt;1&lt;/R&gt;&lt;C&gt;1&lt;/C&gt;&lt;D xsi:type="xsd:double"&gt;1.2671947&lt;/D&gt;&lt;/FQL&gt;&lt;FQL&gt;&lt;Q&gt;CX-US^P_BETA_LOCIDX(44867,44693,,"SPX")&lt;/Q&gt;&lt;R&gt;1&lt;/R&gt;&lt;C&gt;1&lt;/C&gt;&lt;D xsi:type="xsd:double"&gt;1.2740968&lt;/D&gt;&lt;/FQL&gt;&lt;FQL&gt;&lt;Q&gt;CX-US^P_BETA_LOCIDX(44866,44692,,"SPX")&lt;/Q&gt;&lt;R&gt;1&lt;/R&gt;&lt;C&gt;1&lt;/C&gt;&lt;D xsi:type="xsd:double"&gt;1.2505318&lt;/D&gt;&lt;/FQL&gt;&lt;FQL&gt;&lt;Q&gt;CX-US^P_BETA_LOCIDX(44865,44691,,"SPX")&lt;/Q&gt;&lt;R&gt;1&lt;/R&gt;&lt;C&gt;1&lt;/C&gt;&lt;D xsi:type="xsd:double"&gt;1.2539343&lt;/D&gt;&lt;/FQL&gt;&lt;FQL&gt;&lt;Q&gt;CX-US^P_BETA_LOCIDX(44862,44690,,"SPX")&lt;/Q&gt;&lt;R&gt;1&lt;/R&gt;&lt;C&gt;1&lt;/C&gt;&lt;D xsi:type="xsd:double"&gt;1.2703702&lt;/D&gt;&lt;/FQL&gt;&lt;FQL&gt;&lt;Q&gt;CX-US^P_BETA_LOCIDX(44861,44687,,"SPX")&lt;/Q&gt;&lt;R&gt;1&lt;/R&gt;&lt;C&gt;1&lt;/C&gt;&lt;D xsi:type="xsd:double"&gt;1.2438319&lt;/D&gt;&lt;/FQL&gt;&lt;FQL&gt;&lt;Q&gt;CX-US^P_BETA_LOCIDX(44860,44686,,"SPX")&lt;/Q&gt;&lt;R&gt;1&lt;/R&gt;&lt;C&gt;1&lt;/C&gt;&lt;D xsi:type="xsd:double"&gt;1.262998&lt;/D&gt;&lt;/FQL&gt;&lt;FQL&gt;&lt;Q&gt;CX-US^P_BETA_LOCIDX(44859,44685,,"SPX")&lt;/Q&gt;&lt;R&gt;1&lt;/R&gt;&lt;C&gt;1&lt;/C&gt;&lt;D xsi:type="xsd:double"&gt;1.2582717&lt;/D&gt;&lt;/FQL&gt;&lt;FQL&gt;&lt;Q&gt;CX-US^P_BETA_LOCIDX(44858,44684,,"SPX")&lt;/Q&gt;&lt;R&gt;1&lt;/R&gt;&lt;C&gt;1&lt;/C&gt;&lt;D xsi:type="xsd:double"&gt;1.2585955&lt;/D&gt;&lt;/FQL&gt;&lt;FQL&gt;&lt;Q&gt;CX-US^P_BETA_LOCIDX(44855,44683,,"SPX")&lt;/Q&gt;&lt;R&gt;1&lt;/R&gt;&lt;C&gt;1&lt;/C&gt;&lt;D xsi:type="xsd:double"&gt;1.2588929&lt;/D&gt;&lt;/FQL&gt;&lt;FQL&gt;&lt;Q&gt;CX-US^P_BETA_LOCIDX(44854,44680,,"SPX")&lt;/Q&gt;&lt;R&gt;1&lt;/R&gt;&lt;C&gt;1&lt;/C&gt;&lt;D xsi:type="xsd:double"&gt;1.2372789&lt;/D&gt;&lt;/FQL&gt;&lt;FQL&gt;&lt;Q&gt;CX-US^P_BETA_LOCIDX(44853,44679,,"SPX")&lt;/Q&gt;&lt;R&gt;1&lt;/R&gt;&lt;C&gt;1&lt;/C&gt;&lt;D xsi:type="xsd:double"&gt;1.2633749&lt;/D&gt;&lt;/FQL&gt;&lt;FQL&gt;&lt;Q&gt;CX-US^P_BETA_LOCIDX(44852,44678,,"SPX")&lt;/Q&gt;&lt;R&gt;1&lt;/R&gt;&lt;C&gt;1&lt;/C&gt;&lt;D xsi:type="xsd:double"&gt;1.2623243&lt;/D&gt;&lt;/FQL&gt;&lt;FQL&gt;&lt;Q&gt;CX-US^P_BETA_LOCIDX(44851,44677,,"SPX")&lt;/Q&gt;&lt;R&gt;1&lt;/R&gt;&lt;C&gt;1&lt;/C&gt;&lt;D xsi:type="xsd:double"&gt;1.2844971&lt;/D&gt;&lt;/FQL&gt;&lt;FQL&gt;&lt;Q&gt;CX-US^P_BETA_LOCIDX(44848,44676,,"SPX")&lt;/Q&gt;&lt;R&gt;1&lt;/R&gt;&lt;C&gt;1&lt;/C&gt;&lt;D xsi:type="xsd:double"&gt;1.248153&lt;/D&gt;&lt;/FQL&gt;&lt;FQL&gt;&lt;Q&gt;CX-US^P_BETA_LOCIDX(44847,44673,,"SPX")&lt;/Q&gt;&lt;R&gt;1&lt;/R&gt;&lt;C&gt;1&lt;/C&gt;&lt;D xsi:type="xsd:double"&gt;1.2415231&lt;/D&gt;&lt;/FQL&gt;&lt;FQL&gt;&lt;Q&gt;CX-US^P_BETA_LOCIDX(44846,44672,,"SPX")&lt;/Q&gt;&lt;R&gt;1&lt;/R&gt;&lt;C&gt;1&lt;/C&gt;&lt;D xsi:type="xsd:double"&gt;1.2966042&lt;/D&gt;&lt;/FQL&gt;&lt;FQL&gt;&lt;Q&gt;CX-US^P_BETA_LOCIDX(44845,44671,,"SPX")&lt;/Q&gt;&lt;R&gt;1&lt;/R&gt;&lt;C&gt;1&lt;/C&gt;&lt;D xsi:type="xsd:double"&gt;1.297836&lt;/D&gt;&lt;/FQL&gt;&lt;FQL&gt;&lt;Q&gt;CX-US^P_BETA_LOCIDX(44844,44670,,"SPX")&lt;/Q&gt;&lt;R&gt;1&lt;/R&gt;&lt;C&gt;1&lt;/C&gt;&lt;D xsi:type="xsd:double"&gt;1.3056961&lt;/D&gt;&lt;/FQL&gt;&lt;FQL&gt;&lt;Q&gt;CX-US^P_BETA_LOCIDX(44841,44669,,"SPX")&lt;/Q&gt;&lt;R&gt;1&lt;/R&gt;&lt;C&gt;1&lt;/C&gt;&lt;D xsi:type="xsd:double"&gt;1.30152&lt;/D&gt;&lt;/FQL&gt;&lt;FQL&gt;&lt;Q&gt;CX-US^P_BETA_LOCIDX(44840,44665,,"SPX")&lt;/Q&gt;&lt;R&gt;1&lt;/R&gt;&lt;C&gt;1&lt;/C&gt;&lt;D xsi:type="xsd:double"&gt;1.3227327&lt;/D&gt;&lt;/FQL&gt;&lt;FQL&gt;&lt;Q&gt;CX-US^P_BETA_LOCIDX(44839,44664,,"SPX")&lt;/Q&gt;&lt;R&gt;1&lt;/R&gt;&lt;C&gt;1&lt;/C&gt;&lt;D xsi:type="xsd:double"&gt;1.3362839&lt;/D&gt;&lt;/FQL&gt;&lt;FQL&gt;&lt;Q&gt;CX-US^P_BETA_LOCIDX(44838,44663,,"SPX")&lt;/Q&gt;&lt;R&gt;1&lt;/R&gt;&lt;C&gt;1&lt;/C&gt;&lt;D xsi:type="xsd:double"&gt;1.3348217&lt;/D&gt;&lt;/FQL&gt;&lt;FQL&gt;&lt;Q&gt;CX-US^P_BETA_LOCIDX(44837,44662,,"SPX")&lt;/Q&gt;&lt;R&gt;1&lt;/R&gt;&lt;C&gt;1&lt;/C&gt;&lt;D xsi:type="xsd:double"&gt;1.2937152&lt;/D&gt;&lt;/FQL&gt;&lt;FQL&gt;&lt;Q&gt;CX-US^P_BETA_LOCIDX(44834,44659,,"SPX")&lt;/Q&gt;&lt;R&gt;1&lt;/R&gt;&lt;C&gt;1&lt;/C&gt;&lt;D xsi:type="xsd:double"&gt;1.3122226&lt;/D&gt;&lt;/FQL&gt;&lt;FQL&gt;&lt;Q&gt;CX-US^P_BETA_LOCIDX(44833,44658,,"SPX")&lt;/Q&gt;&lt;R&gt;1&lt;/R&gt;&lt;C&gt;1&lt;/C&gt;&lt;D xsi:type="xsd:double"&gt;1.3198138&lt;/D&gt;&lt;/FQL&gt;&lt;FQL&gt;&lt;Q&gt;CX-US^P_BETA_LOCIDX(44832,44657,,"SPX")&lt;/Q&gt;&lt;R&gt;1&lt;/R&gt;&lt;C&gt;1&lt;/C&gt;&lt;D xsi:type="xsd:double"&gt;1.3464285&lt;/D&gt;&lt;/FQL&gt;&lt;FQL&gt;&lt;Q&gt;CX-US^P_BETA_LOCIDX(44831,44656,,"SPX")&lt;/Q&gt;&lt;R&gt;1&lt;/R&gt;&lt;C&gt;1&lt;/C&gt;&lt;D xsi:type="xsd:double"&gt;1.345878&lt;/D&gt;&lt;/FQL&gt;&lt;FQL&gt;&lt;Q&gt;CX-US^P_BETA_LOCIDX(44830,44655,,"SPX")&lt;/Q&gt;&lt;R&gt;1&lt;/R&gt;&lt;C&gt;1&lt;/C&gt;&lt;D xsi:type="xsd:double"&gt;1.3414207&lt;/D&gt;&lt;/FQL&gt;&lt;FQL&gt;&lt;Q&gt;CX-US^P_BETA_LOCIDX(44827,44652,,"SPX")&lt;/Q&gt;&lt;R&gt;1&lt;/R&gt;&lt;C&gt;1&lt;/C&gt;&lt;D xsi:type="xsd:double"&gt;1.3333358&lt;/D&gt;&lt;/FQL&gt;&lt;FQL&gt;&lt;Q&gt;CX-US^P_BETA_LOCIDX(44826,44651,,"SPX")&lt;/Q&gt;&lt;R&gt;1&lt;/R&gt;&lt;C&gt;1&lt;/C&gt;&lt;D xsi:type="xsd:double"&gt;1.329259&lt;/D&gt;&lt;/FQL&gt;&lt;FQL&gt;&lt;Q&gt;CX-US^P_BETA_LOCIDX(44825,44650,,"SPX")&lt;/Q&gt;&lt;R&gt;1&lt;/R&gt;&lt;C&gt;1&lt;/C&gt;&lt;D xsi:type="xsd:double"&gt;1.3276814&lt;/D&gt;&lt;/FQL&gt;&lt;FQL&gt;&lt;Q&gt;CX-US^P_BETA_LOCIDX(44824,44649,,"SPX")&lt;/Q&gt;&lt;R&gt;1&lt;/R&gt;&lt;C&gt;1&lt;/C&gt;&lt;D xsi:type="xsd:double"&gt;1.3593554&lt;/D&gt;&lt;/FQL&gt;&lt;FQL&gt;&lt;Q&gt;CX-US^P_BETA_LOCIDX(44823,44648,,"SPX")&lt;/Q&gt;&lt;R&gt;1&lt;/R&gt;&lt;C&gt;1&lt;/C&gt;&lt;D xsi:type="xsd:double"&gt;1.3424059&lt;/D&gt;&lt;/FQL&gt;&lt;FQL&gt;&lt;Q&gt;CX-US^P_BETA_LOCIDX(44820,44645,,"SPX")&lt;/Q&gt;&lt;R&gt;1&lt;/R&gt;&lt;C&gt;1&lt;/C&gt;&lt;D xsi:type="xsd:double"&gt;1.3406005&lt;/D&gt;&lt;/FQL&gt;&lt;FQL&gt;&lt;Q&gt;CX-US^P_BETA_LOCIDX(44819,44644,,"SPX")&lt;/Q&gt;&lt;R&gt;1&lt;/R&gt;&lt;C&gt;1&lt;/C&gt;&lt;D xsi:type="xsd:double"&gt;1.3398489&lt;/D&gt;&lt;/FQL&gt;&lt;FQL&gt;&lt;Q&gt;CX-US^P_BETA_LOCIDX(44818,44643,,"SPX")&lt;/Q&gt;&lt;R&gt;1&lt;/R&gt;&lt;C&gt;1&lt;/C&gt;&lt;D xsi:type="xsd:double"&gt;1.3277777&lt;/D&gt;&lt;/FQL&gt;&lt;FQL&gt;&lt;Q&gt;CX-US^P_BETA_LOCIDX(44817,44642,,"SPX")&lt;/Q&gt;&lt;R&gt;1&lt;/R&gt;&lt;C&gt;1&lt;/C&gt;&lt;D xsi:type="xsd:double"&gt;1.3294635&lt;/D&gt;&lt;/FQL&gt;&lt;FQL&gt;&lt;Q&gt;CX-US^P_BETA_LOCIDX(44816,44641,,"SPX")&lt;/Q&gt;&lt;R&gt;1&lt;/R&gt;&lt;C&gt;1&lt;/C&gt;&lt;D xsi:type="xsd:double"&gt;1.3575757&lt;/D&gt;&lt;/FQL&gt;&lt;FQL&gt;&lt;Q&gt;CX-US^P_BETA_LOCIDX(44813,44638,,"SPX")&lt;/Q&gt;&lt;R&gt;1&lt;/R&gt;&lt;C&gt;1&lt;/C&gt;&lt;D xsi:type="xsd:double"&gt;1.3559825&lt;/D&gt;&lt;/FQL&gt;&lt;FQL&gt;&lt;Q&gt;CX-US^P_BETA_LOCIDX(44812,44637,,"SPX")&lt;/Q&gt;&lt;R&gt;1&lt;/R&gt;&lt;C&gt;1&lt;/C&gt;&lt;D xsi:type="xsd:double"&gt;1.3473423&lt;/D&gt;&lt;/FQL&gt;&lt;FQL&gt;&lt;Q&gt;CX-US^P_BETA_LOCIDX(44811,44636,,"SPX")&lt;/Q&gt;&lt;R&gt;1&lt;/R&gt;&lt;C&gt;1&lt;/C&gt;&lt;D xsi:type="xsd:double"&gt;1.3549625&lt;/D&gt;&lt;/FQL&gt;&lt;FQL&gt;&lt;Q&gt;CX-US^P_BETA_LOCIDX(44810,44635,,"SPX")&lt;/Q&gt;&lt;R&gt;1&lt;/R&gt;&lt;C&gt;1&lt;/C&gt;&lt;D xsi:type="xsd:double"&gt;1.3745413&lt;/D&gt;&lt;/FQL&gt;&lt;FQL&gt;&lt;Q&gt;CX-US^P_BETA_LOCIDX(44806,44634,,"SPX")&lt;/Q&gt;&lt;R&gt;1&lt;/R&gt;&lt;C&gt;1&lt;/C&gt;&lt;D xsi:type="xsd:double"&gt;1.3715491&lt;/D&gt;&lt;/FQL&gt;&lt;FQL&gt;&lt;Q&gt;CX-US^P_BETA_LOCIDX(44805,44631,,"SPX")&lt;/Q&gt;&lt;R&gt;1&lt;/R&gt;&lt;C&gt;1&lt;/C&gt;&lt;D xsi:type="xsd:double"&gt;1.3785875&lt;/D&gt;&lt;/FQL&gt;&lt;FQL&gt;&lt;Q&gt;CX-US^P_BETA_LOCIDX(44804,44630,,"SPX")&lt;/Q&gt;&lt;R&gt;1&lt;/R&gt;&lt;C&gt;1&lt;/C&gt;&lt;D xsi:type="xsd:double"&gt;1.3828604&lt;/D&gt;&lt;/FQL&gt;&lt;FQL&gt;&lt;Q&gt;CX-US^P_BETA_LOCIDX(44803,44629,,"SPX")&lt;/Q&gt;&lt;R&gt;1&lt;/R&gt;&lt;C&gt;1&lt;/C&gt;&lt;D xsi:type="xsd:double"&gt;1.3859829&lt;/D&gt;&lt;/FQL&gt;&lt;FQL&gt;&lt;Q&gt;CX-US^P_BETA_LOCIDX(44802,44628,,"SPX")&lt;/Q&gt;&lt;R&gt;1&lt;/R&gt;&lt;C&gt;1&lt;/C&gt;&lt;D xsi:type="xsd:double"&gt;1.363176&lt;/D&gt;&lt;/FQL&gt;&lt;FQL&gt;&lt;Q&gt;CX-US^P_BETA_LOCIDX(44799,44627,,"SPX")&lt;/Q&gt;&lt;R&gt;1&lt;/R&gt;&lt;C&gt;1&lt;/C&gt;&lt;D xsi:type="xsd:double"&gt;1.383961&lt;/D&gt;&lt;/FQL&gt;&lt;FQL&gt;&lt;Q&gt;CX-US^P_BETA_LOCIDX(44798,44624,,"SPX")&lt;/Q&gt;&lt;R&gt;1&lt;/R&gt;&lt;C&gt;1&lt;/C&gt;&lt;D xsi:type="xsd:double"&gt;1.4044656&lt;/D&gt;&lt;/FQL&gt;&lt;FQL&gt;&lt;Q&gt;CX-US^P_BETA_LOCIDX(44797,44623,,"SPX")&lt;/Q&gt;&lt;R&gt;1&lt;/R&gt;&lt;C&gt;1&lt;/C&gt;&lt;D xsi:type="xsd:double"&gt;1.4049945&lt;/D&gt;&lt;/FQL&gt;&lt;FQL&gt;&lt;Q&gt;CX-US^P_BETA_LOCIDX(44796,44622,,"SPX")&lt;/Q&gt;&lt;R&gt;1&lt;/R&gt;&lt;C&gt;1&lt;/C&gt;&lt;D xsi:type="xsd:double"&gt;1.4046966&lt;/D&gt;&lt;/FQL&gt;&lt;FQL&gt;&lt;Q&gt;CX-US^P_BETA_LOCIDX(44795,44621,,"SPX")&lt;/Q&gt;&lt;R&gt;1&lt;/R&gt;&lt;C&gt;1&lt;/C&gt;&lt;D xsi:type="xsd:double"&gt;1.4064847&lt;/D&gt;&lt;/FQL&gt;&lt;FQL&gt;&lt;Q&gt;CX-US^P_BETA_LOCIDX(44792,44620,,"SPX")&lt;/Q&gt;&lt;R&gt;1&lt;/R&gt;&lt;C&gt;1&lt;/C&gt;&lt;D xsi:type="xsd:double"&gt;1.4087597&lt;/D&gt;&lt;/FQL&gt;&lt;FQL&gt;&lt;Q&gt;CX-US^P_BETA_LOCIDX(44791,44617,,"SPX")&lt;/Q&gt;&lt;R&gt;1&lt;/R&gt;&lt;C&gt;1&lt;/C&gt;&lt;D xsi:type="xsd:double"&gt;1.3978314&lt;/D&gt;&lt;/FQL&gt;&lt;FQL&gt;&lt;Q&gt;CX-US^P_BETA_LOCIDX(44790,44616,,"SPX")&lt;/Q&gt;&lt;R&gt;1&lt;/R&gt;&lt;C&gt;1&lt;/C&gt;&lt;D xsi:type="xsd:double"&gt;1.3807125&lt;/D&gt;&lt;/FQL&gt;&lt;FQL&gt;&lt;Q&gt;CX-US^P_BETA_LOCIDX(44789,44615,,"SPX")&lt;/Q&gt;&lt;R&gt;1&lt;/R&gt;&lt;C&gt;1&lt;/C&gt;&lt;D xsi:type="xsd:double"&gt;1.4033158&lt;/D&gt;&lt;/FQL&gt;&lt;FQL&gt;&lt;Q&gt;CX-US^P_BETA_LOCIDX(44788,44614,,"SPX")&lt;/Q&gt;&lt;R&gt;1&lt;/R&gt;&lt;C&gt;1&lt;/C&gt;&lt;D xsi:type="xsd:double"&gt;1.4033566&lt;/D&gt;&lt;/FQL&gt;&lt;FQL&gt;&lt;Q&gt;CX-US^P_BETA_LOCIDX(44785,44610,,"SPX")&lt;/Q&gt;&lt;R&gt;1&lt;/R&gt;&lt;C&gt;1&lt;/C&gt;&lt;D xsi:type="xsd:double"&gt;1.4070983&lt;/D&gt;&lt;/FQL&gt;&lt;FQL&gt;&lt;Q&gt;CX-US^P_BETA_LOCIDX(44784,44609,,"SPX")&lt;/Q&gt;&lt;R&gt;1&lt;/R&gt;&lt;C&gt;1&lt;/C&gt;&lt;D xsi:type="xsd:double"&gt;1.3924868&lt;/D&gt;&lt;/FQL&gt;&lt;FQL&gt;&lt;Q&gt;CX-US^P_BETA_LOCIDX(44783,44608,,"SPX")&lt;/Q&gt;&lt;R&gt;1&lt;/R&gt;&lt;C&gt;1&lt;/C&gt;&lt;D xsi:type="xsd:double"&gt;1.392663&lt;/D&gt;&lt;/FQL&gt;&lt;FQL&gt;&lt;Q&gt;CX-US^P_BETA_LOCIDX(44782,44607,,"SPX")&lt;/Q&gt;&lt;R&gt;1&lt;/R&gt;&lt;C&gt;1&lt;/C&gt;&lt;D xsi:type="xsd:double"&gt;1.3912374&lt;/D&gt;&lt;/FQL&gt;&lt;FQL&gt;&lt;Q&gt;CX-US^P_BETA_LOCIDX(44781,44606,,"SPX")&lt;/Q&gt;&lt;R&gt;1&lt;/R&gt;&lt;C&gt;1&lt;/C&gt;&lt;D xsi:type="xsd:double"&gt;1.3915095&lt;/D&gt;&lt;/FQL&gt;&lt;FQL&gt;&lt;Q&gt;CX-US^P_BETA_LOCIDX(44778,44603,,"SPX")&lt;/Q&gt;&lt;R&gt;1&lt;/R&gt;&lt;C&gt;1&lt;/C&gt;&lt;D xsi:type="xsd:double"&gt;1.374313&lt;/D&gt;&lt;/FQL&gt;&lt;FQL&gt;&lt;Q&gt;CX-US^P_BETA_LOCIDX(44777,44602,,"SPX")&lt;/Q&gt;&lt;R&gt;1&lt;/R&gt;&lt;C&gt;1&lt;/C&gt;&lt;D xsi:type="xsd:double"&gt;1.405914&lt;/D&gt;&lt;/FQL&gt;&lt;FQL&gt;&lt;Q&gt;CX-US^P_BETA_LOCIDX(44776,44601,,"SPX")&lt;/Q&gt;&lt;R&gt;1&lt;/R&gt;&lt;C&gt;1&lt;/C&gt;&lt;D xsi:type="xsd:double"&gt;1.4132173&lt;/D&gt;&lt;/FQL&gt;&lt;FQL&gt;&lt;Q&gt;CX-US^P_BETA_LOCIDX(44775,44600,,"SPX")&lt;/Q&gt;&lt;R&gt;1&lt;/R&gt;&lt;C&gt;1&lt;/C&gt;&lt;D xsi:type="xsd:double"&gt;1.3909262&lt;/D&gt;&lt;/FQL&gt;&lt;FQL&gt;&lt;Q&gt;CX-US^P_BETA_LOCIDX(44774,44599,,"SPX")&lt;/Q&gt;&lt;R&gt;1&lt;/R&gt;&lt;C&gt;1&lt;/C&gt;&lt;D xsi:type="xsd:double"&gt;1.3920212&lt;/D&gt;&lt;/FQL&gt;&lt;FQL&gt;&lt;Q&gt;CRS-US^P_BETA_LOCIDX(45845,45670,,"SPX")&lt;/Q&gt;&lt;R&gt;1&lt;/R&gt;&lt;C&gt;1&lt;/C&gt;&lt;D xsi:type="xsd:double"&gt;1.6247675&lt;</t>
        </r>
      </text>
    </comment>
    <comment ref="A6" authorId="0" shapeId="0" xr:uid="{C5F72F65-7D15-4AC0-B30E-07440C956883}">
      <text>
        <r>
          <rPr>
            <b/>
            <sz val="9"/>
            <color indexed="81"/>
            <rFont val="Tahoma"/>
            <charset val="1"/>
          </rPr>
          <t>/D&gt;&lt;/FQL&gt;&lt;FQL&gt;&lt;Q&gt;CX-US^P_BETA_LOCIDX(45845,45670,,"SPX")&lt;/Q&gt;&lt;R&gt;1&lt;/R&gt;&lt;C&gt;1&lt;/C&gt;&lt;D xsi:type="xsd:double"&gt;0.8826446&lt;/D&gt;&lt;/FQL&gt;&lt;FQL&gt;&lt;Q&gt;NVT-US^P_BETA_LOCIDX(45841,45665,,"SPX")&lt;/Q&gt;&lt;R&gt;1&lt;/R&gt;&lt;C&gt;1&lt;/C&gt;&lt;D xsi:type="xsd:double"&gt;1.6504983&lt;/D&gt;&lt;/FQL&gt;&lt;FQL&gt;&lt;Q&gt;NVT-US^P_BETA_LOCIDX(45840,45664,,"SPX")&lt;/Q&gt;&lt;R&gt;1&lt;/R&gt;&lt;C&gt;1&lt;/C&gt;&lt;D xsi:type="xsd:double"&gt;1.6466614&lt;/D&gt;&lt;/FQL&gt;&lt;FQL&gt;&lt;Q&gt;NVT-US^P_BETA_LOCIDX(45839,45663,,"SPX")&lt;/Q&gt;&lt;R&gt;1&lt;/R&gt;&lt;C&gt;1&lt;/C&gt;&lt;D xsi:type="xsd:double"&gt;1.6452707&lt;/D&gt;&lt;/FQL&gt;&lt;FQL&gt;&lt;Q&gt;NVT-US^P_BETA_LOCIDX(45838,45660,,"SPX")&lt;/Q&gt;&lt;R&gt;1&lt;/R&gt;&lt;C&gt;1&lt;/C&gt;&lt;D xsi:type="xsd:double"&gt;1.6492283&lt;/D&gt;&lt;/FQL&gt;&lt;FQL&gt;&lt;Q&gt;NVT-US^P_BETA_LOCIDX(45835,45659,,"SPX")&lt;/Q&gt;&lt;R&gt;1&lt;/R&gt;&lt;C&gt;1&lt;/C&gt;&lt;D xsi:type="xsd:double"&gt;1.6500871&lt;/D&gt;&lt;/FQL&gt;&lt;FQL&gt;&lt;Q&gt;NVT-US^P_BETA_LOCIDX(45834,45657,,"SPX")&lt;/Q&gt;&lt;R&gt;1&lt;/R&gt;&lt;C&gt;1&lt;/C&gt;&lt;D xsi:type="xsd:double"&gt;1.650453&lt;/D&gt;&lt;/FQL&gt;&lt;FQL&gt;&lt;Q&gt;NVT-US^P_BETA_LOCIDX(45833,45656,,"SPX")&lt;/Q&gt;&lt;R&gt;1&lt;/R&gt;&lt;C&gt;1&lt;/C&gt;&lt;D xsi:type="xsd:double"&gt;1.6469473&lt;/D&gt;&lt;/FQL&gt;&lt;FQL&gt;&lt;Q&gt;NVT-US^P_BETA_LOCIDX(45832,45653,,"SPX")&lt;/Q&gt;&lt;R&gt;1&lt;/R&gt;&lt;C&gt;1&lt;/C&gt;&lt;D xsi:type="xsd:double"&gt;1.6432427&lt;/D&gt;&lt;/FQL&gt;&lt;FQL&gt;&lt;Q&gt;NVT-US^P_BETA_LOCIDX(45831,45652,,"SPX")&lt;/Q&gt;&lt;R&gt;1&lt;/R&gt;&lt;C&gt;1&lt;/C&gt;&lt;D xsi:type="xsd:double"&gt;1.641893&lt;/D&gt;&lt;/FQL&gt;&lt;FQL&gt;&lt;Q&gt;NVT-US^P_BETA_LOCIDX(45828,45650,,"SPX")&lt;/Q&gt;&lt;R&gt;1&lt;/R&gt;&lt;C&gt;1&lt;/C&gt;&lt;D xsi:type="xsd:double"&gt;1.6403576&lt;/D&gt;&lt;/FQL&gt;&lt;FQL&gt;&lt;Q&gt;NVT-US^P_BETA_LOCIDX(45826,45649,,"SPX")&lt;/Q&gt;&lt;R&gt;1&lt;/R&gt;&lt;C&gt;1&lt;/C&gt;&lt;D xsi:type="xsd:double"&gt;1.6366967&lt;/D&gt;&lt;/FQL&gt;&lt;FQL&gt;&lt;Q&gt;NVT-US^P_BETA_LOCIDX(45825,45646,,"SPX")&lt;/Q&gt;&lt;R&gt;1&lt;/R&gt;&lt;C&gt;1&lt;/C&gt;&lt;D xsi:type="xsd:double"&gt;1.6299791&lt;/D&gt;&lt;/FQL&gt;&lt;FQL&gt;&lt;Q&gt;NVT-US^P_BETA_LOCIDX(45824,45645,,"SPX")&lt;/Q&gt;&lt;R&gt;1&lt;/R&gt;&lt;C&gt;1&lt;/C&gt;&lt;D xsi:type="xsd:double"&gt;1.6313573&lt;/D&gt;&lt;/FQL&gt;&lt;FQL&gt;&lt;Q&gt;NVT-US^P_BETA_LOCIDX(45821,45644,,"SPX")&lt;/Q&gt;&lt;R&gt;1&lt;/R&gt;&lt;C&gt;1&lt;/C&gt;&lt;D xsi:type="xsd:double"&gt;1.6235923&lt;/D&gt;&lt;/FQL&gt;&lt;FQL&gt;&lt;Q&gt;NVT-US^P_BETA_LOCIDX(45820,45643,,"SPX")&lt;/Q&gt;&lt;R&gt;1&lt;/R&gt;&lt;C&gt;1&lt;/C&gt;&lt;D xsi:type="xsd:double"&gt;1.6261295&lt;/D&gt;&lt;/FQL&gt;&lt;FQL&gt;&lt;Q&gt;NVT-US^P_BETA_LOCIDX(45819,45642,,"SPX")&lt;/Q&gt;&lt;R&gt;1&lt;/R&gt;&lt;C&gt;1&lt;/C&gt;&lt;D xsi:type="xsd:double"&gt;1.6250103&lt;/D&gt;&lt;/FQL&gt;&lt;FQL&gt;&lt;Q&gt;NVT-US^P_BETA_LOCIDX(45818,45639,,"SPX")&lt;/Q&gt;&lt;R&gt;1&lt;/R&gt;&lt;C&gt;1&lt;/C&gt;&lt;D xsi:type="xsd:double"&gt;1.6264051&lt;/D&gt;&lt;/FQL&gt;&lt;FQL&gt;&lt;Q&gt;NVT-US^P_BETA_LOCIDX(45817,45638,,"SPX")&lt;/Q&gt;&lt;R&gt;1&lt;/R&gt;&lt;C&gt;1&lt;/C&gt;&lt;D xsi:type="xsd:double"&gt;1.6265628&lt;/D&gt;&lt;/FQL&gt;&lt;FQL&gt;&lt;Q&gt;NVT-US^P_BETA_LOCIDX(45814,45637,,"SPX")&lt;/Q&gt;&lt;R&gt;1&lt;/R&gt;&lt;C&gt;1&lt;/C&gt;&lt;D xsi:type="xsd:double"&gt;1.6261554&lt;/D&gt;&lt;/FQL&gt;&lt;FQL&gt;&lt;Q&gt;NVT-US^P_BETA_LOCIDX(45813,45636,,"SPX")&lt;/Q&gt;&lt;R&gt;1&lt;/R&gt;&lt;C&gt;1&lt;/C&gt;&lt;D xsi:type="xsd:double"&gt;1.6232587&lt;/D&gt;&lt;/FQL&gt;&lt;FQL&gt;&lt;Q&gt;NVT-US^P_BETA_LOCIDX(45812,45635,,"SPX")&lt;/Q&gt;&lt;R&gt;1&lt;/R&gt;&lt;C&gt;1&lt;/C&gt;&lt;D xsi:type="xsd:double"&gt;1.6274941&lt;/D&gt;&lt;/FQL&gt;&lt;FQL&gt;&lt;Q&gt;NVT-US^P_BETA_LOCIDX(45811,45632,,"SPX")&lt;/Q&gt;&lt;R&gt;1&lt;/R&gt;&lt;C&gt;1&lt;/C&gt;&lt;D xsi:type="xsd:double"&gt;1.6263205&lt;/D&gt;&lt;/FQL&gt;&lt;FQL&gt;&lt;Q&gt;NVT-US^P_BETA_LOCIDX(45810,45631,,"SPX")&lt;/Q&gt;&lt;R&gt;1&lt;/R&gt;&lt;C&gt;1&lt;/C&gt;&lt;D xsi:type="xsd:double"&gt;1.6241032&lt;/D&gt;&lt;/FQL&gt;&lt;FQL&gt;&lt;Q&gt;NVT-US^P_BETA_LOCIDX(45807,45630,,"SPX")&lt;/Q&gt;&lt;R&gt;1&lt;/R&gt;&lt;C&gt;1&lt;/C&gt;&lt;D xsi:type="xsd:double"&gt;1.6282226&lt;/D&gt;&lt;/FQL&gt;&lt;FQL&gt;&lt;Q&gt;NVT-US^P_BETA_LOCIDX(45806,45629,,"SPX")&lt;/Q&gt;&lt;R&gt;1&lt;/R&gt;&lt;C&gt;1&lt;/C&gt;&lt;D xsi:type="xsd:double"&gt;1.6283729&lt;/D&gt;&lt;/FQL&gt;&lt;FQL&gt;&lt;Q&gt;NVT-US^P_BETA_LOCIDX(45805,45628,,"SPX")&lt;/Q&gt;&lt;R&gt;1&lt;/R&gt;&lt;C&gt;1&lt;/C&gt;&lt;D xsi:type="xsd:double"&gt;1.6272379&lt;/D&gt;&lt;/FQL&gt;&lt;FQL&gt;&lt;Q&gt;NVT-US^P_BETA_LOCIDX(45804,45625,,"SPX")&lt;/Q&gt;&lt;R&gt;1&lt;/R&gt;&lt;C&gt;1&lt;/C&gt;&lt;D xsi:type="xsd:double"&gt;1.6296958&lt;/D&gt;&lt;/FQL&gt;&lt;FQL&gt;&lt;Q&gt;NVT-US^P_BETA_LOCIDX(45800,45623,,"SPX")&lt;/Q&gt;&lt;R&gt;1&lt;/R&gt;&lt;C&gt;1&lt;/C&gt;&lt;D xsi:type="xsd:double"&gt;1.6359009&lt;/D&gt;&lt;/FQL&gt;&lt;FQL&gt;&lt;Q&gt;NVT-US^P_BETA_LOCIDX(45799,45622,,"SPX")&lt;/Q&gt;&lt;R&gt;1&lt;/R&gt;&lt;C&gt;1&lt;/C&gt;&lt;D xsi:type="xsd:double"&gt;1.6373632&lt;/D&gt;&lt;/FQL&gt;&lt;FQL&gt;&lt;Q&gt;NVT-US^P_BETA_LOCIDX(45798,45621,,"SPX")&lt;/Q&gt;&lt;R&gt;1&lt;/R&gt;&lt;C&gt;1&lt;/C&gt;&lt;D xsi:type="xsd:double"&gt;1.6371279&lt;/D&gt;&lt;/FQL&gt;&lt;FQL&gt;&lt;Q&gt;NVT-US^P_BETA_LOCIDX(45797,45618,,"SPX")&lt;/Q&gt;&lt;R&gt;1&lt;/R&gt;&lt;C&gt;1&lt;/C&gt;&lt;D xsi:type="xsd:double"&gt;1.6348311&lt;/D&gt;&lt;/FQL&gt;&lt;FQL&gt;&lt;Q&gt;NVT-US^P_BETA_LOCIDX(45796,45617,,"SPX")&lt;/Q&gt;&lt;R&gt;1&lt;/R&gt;&lt;C&gt;1&lt;/C&gt;&lt;D xsi:type="xsd:double"&gt;1.6423731&lt;/D&gt;&lt;/FQL&gt;&lt;FQL&gt;&lt;Q&gt;NVT-US^P_BETA_LOCIDX(45793,45616,,"SPX")&lt;/Q&gt;&lt;R&gt;1&lt;/R&gt;&lt;C&gt;1&lt;/C&gt;&lt;D xsi:type="xsd:double"&gt;1.6428326&lt;/D&gt;&lt;/FQL&gt;&lt;FQL&gt;&lt;Q&gt;NVT-US^P_BETA_LOCIDX(45792,45615,,"SPX")&lt;/Q&gt;&lt;R&gt;1&lt;/R&gt;&lt;C&gt;1&lt;/C&gt;&lt;D xsi:type="xsd:double"&gt;1.6459155&lt;/D&gt;&lt;/FQL&gt;&lt;FQL&gt;&lt;Q&gt;NVT-US^P_BETA_LOCIDX(45791,45614,,"SPX")&lt;/Q&gt;&lt;R&gt;1&lt;/R&gt;&lt;C&gt;1&lt;/C&gt;&lt;D xsi:type="xsd:double"&gt;1.649944&lt;/D&gt;&lt;/FQL&gt;&lt;FQL&gt;&lt;Q&gt;NVT-US^P_BETA_LOCIDX(45790,45611,,"SPX")&lt;/Q&gt;&lt;R&gt;1&lt;/R&gt;&lt;C&gt;1&lt;/C&gt;&lt;D xsi:type="xsd:double"&gt;1.6468326&lt;/D&gt;&lt;/FQL&gt;&lt;FQL&gt;&lt;Q&gt;NVT-US^P_BETA_LOCIDX(45789,45610,,"SPX")&lt;/Q&gt;&lt;R&gt;1&lt;/R&gt;&lt;C&gt;1&lt;/C&gt;&lt;D xsi:type="xsd:double"&gt;1.6488729&lt;/D&gt;&lt;/FQL&gt;&lt;FQL&gt;&lt;Q&gt;NVT-US^P_BETA_LOCIDX(45786,45609,,"SPX")&lt;/Q&gt;&lt;R&gt;1&lt;/R&gt;&lt;C&gt;1&lt;/C&gt;&lt;D xsi:type="xsd:double"&gt;1.6149135&lt;/D&gt;&lt;/FQL&gt;&lt;FQL&gt;&lt;Q&gt;NVT-US^P_BETA_LOCIDX(45785,45608,,"SPX")&lt;/Q&gt;&lt;R&gt;1&lt;/R&gt;&lt;C&gt;1&lt;/C&gt;&lt;D xsi:type="xsd:double"&gt;1.6159607&lt;/D&gt;&lt;/FQL&gt;&lt;FQL&gt;&lt;Q&gt;NVT-US^P_BETA_LOCIDX(45784,45607,,"SPX")&lt;/Q&gt;&lt;R&gt;1&lt;/R&gt;&lt;C&gt;1&lt;/C&gt;&lt;D xsi:type="xsd:double"&gt;1.6157147&lt;/D&gt;&lt;/FQL&gt;&lt;FQL&gt;&lt;Q&gt;NVT-US^P_BETA_LOCIDX(45783,45604,,"SPX")&lt;/Q&gt;&lt;R&gt;1&lt;/R&gt;&lt;C&gt;1&lt;/C&gt;&lt;D xsi:type="xsd:double"&gt;1.6148312&lt;/D&gt;&lt;/FQL&gt;&lt;FQL&gt;&lt;Q&gt;NVT-US^P_BETA_LOCIDX(45782,45603,,"SPX")&lt;/Q&gt;&lt;R&gt;1&lt;/R&gt;&lt;C&gt;1&lt;/C&gt;&lt;D xsi:type="xsd:double"&gt;1.6145952&lt;/D&gt;&lt;/FQL&gt;&lt;FQL&gt;&lt;Q&gt;NVT-US^P_BETA_LOCIDX(45779,45602,,"SPX")&lt;/Q&gt;&lt;R&gt;1&lt;/R&gt;&lt;C&gt;1&lt;/C&gt;&lt;D xsi:type="xsd:double"&gt;1.6798164&lt;/D&gt;&lt;/FQL&gt;&lt;FQL&gt;&lt;Q&gt;NVT-US^P_BETA_LOCIDX(45778,45601,,"SPX")&lt;/Q&gt;&lt;R&gt;1&lt;/R&gt;&lt;C&gt;1&lt;/C&gt;&lt;D xsi:type="xsd:double"&gt;1.6601381&lt;/D&gt;&lt;/FQL&gt;&lt;FQL&gt;&lt;Q&gt;NVT-US^P_BETA_LOCIDX(45777,45600,,"SPX")&lt;/Q&gt;&lt;R&gt;1&lt;/R&gt;&lt;C&gt;1&lt;/C&gt;&lt;D xsi:type="xsd:double"&gt;1.6549555&lt;/D&gt;&lt;/FQL&gt;&lt;FQL&gt;&lt;Q&gt;NVT-US^P_BETA_LOCIDX(45776,45597,,"SPX")&lt;/Q&gt;&lt;R&gt;1&lt;/R&gt;&lt;C&gt;1&lt;/C&gt;&lt;D xsi:type="xsd:double"&gt;1.6418966&lt;/D&gt;&lt;/FQL&gt;&lt;FQL&gt;&lt;Q&gt;NVT-US^P_BETA_LOCIDX(45775,45596,,"SPX")&lt;/Q&gt;&lt;R&gt;1&lt;/R&gt;&lt;C&gt;1&lt;/C&gt;&lt;D xsi:type="xsd:double"&gt;1.6213716&lt;/D&gt;&lt;/FQL&gt;&lt;FQL&gt;&lt;Q&gt;NVT-US^P_BETA_LOCIDX(45772,45595,,"SPX")&lt;/Q&gt;&lt;R&gt;1&lt;/R&gt;&lt;C&gt;1&lt;/C&gt;&lt;D xsi:type="xsd:double"&gt;1.6208221&lt;/D&gt;&lt;/FQL&gt;&lt;FQL&gt;&lt;Q&gt;NVT-US^P_BETA_LOCIDX(45771,45594,,"SPX")&lt;/Q&gt;&lt;R&gt;1&lt;/R&gt;&lt;C&gt;1&lt;/C&gt;&lt;D xsi:type="xsd:double"&gt;1.6226075&lt;/D&gt;&lt;/FQL&gt;&lt;FQL&gt;&lt;Q&gt;NVT-US^P_BETA_LOCIDX(45770,45593,,"SPX")&lt;/Q&gt;&lt;R&gt;1&lt;/R&gt;&lt;C&gt;1&lt;/C&gt;&lt;D xsi:type="xsd:double"&gt;1.6139628&lt;/D&gt;&lt;/FQL&gt;&lt;FQL&gt;&lt;Q&gt;NVT-US^P_BETA_LOCIDX(45769,45590,,"SPX")&lt;/Q&gt;&lt;R&gt;1&lt;/R&gt;&lt;C&gt;1&lt;/C&gt;&lt;D xsi:type="xsd:double"&gt;1.6050283&lt;/D&gt;&lt;/FQL&gt;&lt;FQL&gt;&lt;Q&gt;NVT-US^P_BETA_LOCIDX(45768,45589,,"SPX")&lt;/Q&gt;&lt;R&gt;1&lt;/R&gt;&lt;C&gt;1&lt;/C&gt;&lt;D xsi:type="xsd:double"&gt;1.6055516&lt;/D&gt;&lt;/FQL&gt;&lt;FQL&gt;&lt;Q&gt;NVT-US^P_BETA_LOCIDX(45764,45588,,"SPX")&lt;/Q&gt;&lt;R&gt;1&lt;/R&gt;&lt;C&gt;1&lt;/C&gt;&lt;D xsi:type="xsd:double"&gt;1.60985&lt;/D&gt;&lt;/FQL&gt;&lt;FQL&gt;&lt;Q&gt;NVT-US^P_BETA_LOCIDX(45763,45587,,"SPX")&lt;/Q&gt;&lt;R&gt;1&lt;/R&gt;&lt;C&gt;1&lt;/C&gt;&lt;D xsi:type="xsd:double"&gt;1.6093649&lt;/D&gt;&lt;/FQL&gt;&lt;FQL&gt;&lt;Q&gt;NVT-US^P_BETA_LOCIDX(45762,45586,,"SPX")&lt;/Q&gt;&lt;R&gt;1&lt;/R&gt;&lt;C&gt;1&lt;/C&gt;&lt;D xsi:type="xsd:double"&gt;1.6254141&lt;/D&gt;&lt;/FQL&gt;&lt;FQL&gt;&lt;Q&gt;NVT-US^P_BETA_LOCIDX(45761,45583,,"SPX")&lt;/Q&gt;&lt;R&gt;1&lt;/R&gt;&lt;C&gt;1&lt;/C&gt;&lt;D xsi:type="xsd:double"&gt;1.6235679&lt;/D&gt;&lt;/FQL&gt;&lt;FQL&gt;&lt;Q&gt;NVT-US^P_BETA_LOCIDX(45758,45582,,"SPX")&lt;/Q&gt;&lt;R&gt;1&lt;/R&gt;&lt;C&gt;1&lt;/C&gt;&lt;D xsi:type="xsd:double"&gt;1.6267811&lt;/D&gt;&lt;/FQL&gt;&lt;FQL&gt;&lt;Q&gt;NVT-US^P_BETA_LOCIDX(45757,45581,,"SPX")&lt;/Q&gt;&lt;R&gt;1&lt;/R&gt;&lt;C&gt;1&lt;/C&gt;&lt;D xsi:type="xsd:double"&gt;1.6395302&lt;/D&gt;&lt;/FQL&gt;&lt;FQL&gt;&lt;Q&gt;NVT-US^P_BETA_LOCIDX(45756,45580,,"SPX")&lt;/Q&gt;&lt;R&gt;1&lt;/R&gt;&lt;C&gt;1&lt;/C&gt;&lt;D xsi:type="xsd:double"&gt;1.6533628&lt;/D&gt;&lt;/FQL&gt;&lt;FQL&gt;&lt;Q&gt;NVT-US^P_BETA_LOCIDX(45755,45579,,"SPX")&lt;/Q&gt;&lt;R&gt;1&lt;/R&gt;&lt;C&gt;1&lt;/C&gt;&lt;D xsi:type="xsd:double"&gt;1.7133008&lt;/D&gt;&lt;/FQL&gt;&lt;FQL&gt;&lt;Q&gt;NVT-US^P_BETA_LOCIDX(45754,45576,,"SPX")&lt;/Q&gt;&lt;R&gt;1&lt;/R&gt;&lt;C&gt;1&lt;/C&gt;&lt;D xsi:type="xsd:double"&gt;1.7196931&lt;/D&gt;&lt;/FQL&gt;&lt;FQL&gt;&lt;Q&gt;NVT-US^P_BETA_LOCIDX(45751,45575,,"SPX")&lt;/Q&gt;&lt;R&gt;1&lt;/R&gt;&lt;C&gt;1&lt;/C&gt;&lt;D xsi:type="xsd:double"&gt;1.7213603&lt;/D&gt;&lt;/FQL&gt;&lt;FQL&gt;&lt;Q&gt;NVT-US^P_BETA_LOCIDX(45750,45574,,"SPX")&lt;/Q&gt;&lt;R&gt;1&lt;/R&gt;&lt;C&gt;1&lt;/C&gt;&lt;D xsi:type="xsd:double"&gt;1.9203913&lt;/D&gt;&lt;/FQL&gt;&lt;FQL&gt;&lt;Q&gt;NVT-US^P_BETA_LOCIDX(45749,45573,,"SPX")&lt;/Q&gt;&lt;R&gt;1&lt;/R&gt;&lt;C&gt;1&lt;/C&gt;&lt;D xsi:type="xsd:double"&gt;1.7665881&lt;/D&gt;&lt;/FQL&gt;&lt;FQL&gt;&lt;Q&gt;NVT-US^P_BETA_LOCIDX(45748,45572,,"SPX")&lt;/Q&gt;&lt;R&gt;1&lt;/R&gt;&lt;C&gt;1&lt;/C&gt;&lt;D xsi:type="xsd:double"&gt;1.7062448&lt;/D&gt;&lt;/FQL&gt;&lt;FQL&gt;&lt;Q&gt;NVT-US^P_BETA_LOCIDX(45747,45569,,"SPX")&lt;/Q&gt;&lt;R&gt;1&lt;/R&gt;&lt;C&gt;1&lt;/C&gt;&lt;D xsi:type="xsd:double"&gt;1.7162482&lt;/D&gt;&lt;/FQL&gt;&lt;FQL&gt;&lt;Q&gt;NVT-US^P_BETA_LOCIDX(45744,45568,,"SPX")&lt;/Q&gt;&lt;R&gt;1&lt;/R&gt;&lt;C&gt;1&lt;/C&gt;&lt;D xsi:type="xsd:double"&gt;1.7261357&lt;/D&gt;&lt;/FQL&gt;&lt;FQL&gt;&lt;Q&gt;NVT-US^P_BETA_LOCIDX(45743,45567,,"SPX")&lt;/Q&gt;&lt;R&gt;1&lt;/R&gt;&lt;C&gt;1&lt;/C&gt;&lt;D xsi:type="xsd:double"&gt;1.7356158&lt;/D&gt;&lt;/FQL&gt;&lt;FQL&gt;&lt;Q&gt;NVT-US^P_BETA_LOCIDX(45742,45566,,"SPX")&lt;/Q&gt;&lt;R&gt;1&lt;/R&gt;&lt;C&gt;1&lt;/C&gt;&lt;D xsi:type="xsd:double"&gt;1.7335032&lt;/D&gt;&lt;/FQL&gt;&lt;FQL&gt;&lt;Q&gt;NVT-US^P_BETA_LOCIDX(45741,45565,,"SPX")&lt;/Q&gt;&lt;R&gt;1&lt;/R&gt;&lt;C&gt;1&lt;/C&gt;&lt;D xsi:type="xsd:double"&gt;1.6989383&lt;/D&gt;&lt;/FQL&gt;&lt;FQL&gt;&lt;Q&gt;NVT-US^P_BETA_LOCIDX(45740,45562,,"SPX")&lt;/Q&gt;&lt;R&gt;1&lt;/R&gt;&lt;C&gt;1&lt;/C&gt;&lt;D xsi:type="xsd:double"&gt;1.6987957&lt;/D&gt;&lt;/FQL&gt;&lt;FQL&gt;&lt;Q&gt;NVT-US^P_BETA_LOCIDX(45737,45561,,"SPX")&lt;/Q&gt;&lt;R&gt;1&lt;/R&gt;&lt;C&gt;1&lt;/C&gt;&lt;D xsi:type="xsd:double"&gt;1.7092742&lt;/D&gt;&lt;/FQL&gt;&lt;FQL&gt;&lt;Q&gt;NVT-US^P_BETA_LOCIDX(45736,45560,,"SPX")&lt;/Q&gt;&lt;R&gt;1&lt;/R&gt;&lt;C&gt;1&lt;/C&gt;&lt;D xsi:type="xsd:double"&gt;1.707714&lt;/D&gt;&lt;/FQL&gt;&lt;FQL&gt;&lt;Q&gt;NVT-US^P_BETA_LOCIDX(45735,45559,,"SPX")&lt;/Q&gt;&lt;R&gt;1&lt;/R&gt;&lt;C&gt;1&lt;/C&gt;&lt;D xsi:type="xsd:double"&gt;1.7050353&lt;/D&gt;&lt;/FQL&gt;&lt;FQL&gt;&lt;Q&gt;NVT-US^P_BETA_LOCIDX(45734,45558,,"SPX")&lt;/Q&gt;&lt;R&gt;1&lt;/R&gt;&lt;C&gt;1&lt;/C&gt;&lt;D xsi:type="xsd:double"&gt;1.6947305&lt;/D&gt;&lt;/FQL&gt;&lt;FQL&gt;&lt;Q&gt;NVT-US^P_BETA_LOCIDX(45733,45555,,"SPX")&lt;/Q&gt;&lt;R&gt;1&lt;/R&gt;&lt;C&gt;1&lt;/C&gt;&lt;D xsi:type="xsd:double"&gt;1.691866&lt;/D&gt;&lt;/FQL&gt;&lt;FQL&gt;&lt;Q&gt;NVT-US^P_BETA_LOCIDX(45730,45554,,"SPX")&lt;/Q&gt;&lt;R&gt;1&lt;/R&gt;&lt;C&gt;1&lt;/C&gt;&lt;D xsi:type="xsd:double"&gt;1.7415688&lt;/D&gt;&lt;/FQL&gt;&lt;FQL&gt;&lt;Q&gt;NVT-US^P_BETA_LOCIDX(45729,45553,,"SPX")&lt;/Q&gt;&lt;R&gt;1&lt;/R&gt;&lt;C&gt;1&lt;/C&gt;&lt;D xsi:type="xsd:double"&gt;1.7138947&lt;/D&gt;&lt;/FQL&gt;&lt;FQL&gt;&lt;Q&gt;NVT-US^P_BETA_LOCIDX(45728,45552,,"SPX")&lt;/Q&gt;&lt;R&gt;1&lt;/R&gt;&lt;C&gt;1&lt;/C&gt;&lt;D xsi:type="xsd:double"&gt;1.7136056&lt;/D&gt;&lt;/FQL&gt;&lt;FQL&gt;&lt;Q&gt;NVT-US^P_BETA_LOCIDX(45727,45551,,"SPX")&lt;/Q&gt;&lt;R&gt;1&lt;/R&gt;&lt;C&gt;1&lt;/C&gt;&lt;D xsi:type="xsd:double"&gt;1.7081873&lt;/D&gt;&lt;/FQL&gt;&lt;FQL&gt;&lt;Q&gt;NVT-US^P_BETA_LOCIDX(45726,45548,,"SPX")&lt;/Q&gt;&lt;R&gt;1&lt;/R&gt;&lt;C&gt;1&lt;/C&gt;&lt;D xsi:type="xsd:double"&gt;1.7460707&lt;/D&gt;&lt;/FQL&gt;&lt;FQL&gt;&lt;Q&gt;NVT-US^P_BETA_LOCIDX(45723,45547,,"SPX")&lt;/Q&gt;&lt;R&gt;1&lt;/R&gt;&lt;C&gt;1&lt;/C&gt;&lt;D xsi:type="xsd:double"&gt;1.8147815&lt;/D&gt;&lt;/FQL&gt;&lt;FQL&gt;&lt;Q&gt;NVT-US^P_BETA_LOCIDX(45722,45546,,"SPX")&lt;/Q&gt;&lt;R&gt;1&lt;/R&gt;&lt;C&gt;1&lt;/C&gt;&lt;D xsi:type="xsd:double"&gt;1.8373008&lt;/D&gt;&lt;/FQL&gt;&lt;FQL&gt;&lt;Q&gt;NVT-US^P_BETA_LOCIDX(45721,45545,,"SPX")&lt;/Q&gt;&lt;R&gt;1&lt;/R&gt;&lt;C&gt;1&lt;/C&gt;&lt;D xsi:type="xsd:double"&gt;1.8971126&lt;/D&gt;&lt;/FQL&gt;&lt;FQL&gt;&lt;Q&gt;NVT-US^P_BETA_LOCIDX(45720,45544,,"SPX")&lt;/Q&gt;&lt;R&gt;1&lt;/R&gt;&lt;C&gt;1&lt;/C&gt;&lt;D xsi:type="xsd:double"&gt;1.8833091&lt;/D&gt;&lt;/FQL&gt;&lt;FQL&gt;&lt;Q&gt;NVT-US^P_BETA_LOCIDX(45719,45541,,"SPX")&lt;/Q&gt;&lt;R&gt;1&lt;/R&gt;&lt;C&gt;1&lt;/C&gt;&lt;D xsi:type="xsd:double"&gt;1.8294034&lt;/D&gt;&lt;/FQL&gt;&lt;FQL&gt;&lt;Q&gt;NVT-US^P_BETA_LOCIDX(45716,45540,,"SPX")&lt;/Q&gt;&lt;R&gt;1&lt;/R&gt;&lt;C&gt;1&lt;/C&gt;&lt;D xsi:type="xsd:double"&gt;1.7547462&lt;/D&gt;&lt;/FQL&gt;&lt;FQL&gt;&lt;Q&gt;NVT-US^P_BETA_LOCIDX(45715,45539,,"SPX")&lt;/Q&gt;&lt;R&gt;1&lt;/R&gt;&lt;C&gt;1&lt;/C&gt;&lt;D xsi:type="xsd:double"&gt;1.7965145&lt;/D&gt;&lt;/FQL&gt;&lt;FQL&gt;&lt;Q&gt;NVT-US^P_BETA_LOCIDX(45714,45538,,"SPX")&lt;/Q&gt;&lt;R&gt;1&lt;/R&gt;&lt;C&gt;1&lt;/C&gt;&lt;D xsi:type="xsd:double"&gt;1.8957186&lt;/D&gt;&lt;/FQL&gt;&lt;FQL&gt;&lt;Q&gt;NVT-US^P_BETA_LOCIDX(45713,45534,,"SPX")&lt;/Q&gt;&lt;R&gt;1&lt;/R&gt;&lt;C&gt;1&lt;/C&gt;&lt;D xsi:type="xsd:double"&gt;1.9002243&lt;/D&gt;&lt;/FQL&gt;&lt;FQL&gt;&lt;Q&gt;NVT-US^P_BETA_LOCIDX(45712,45533,,"SPX")&lt;/Q&gt;&lt;R&gt;1&lt;/R&gt;&lt;C&gt;1&lt;/C&gt;&lt;D xsi:type="xsd:double"&gt;1.9036708&lt;/D&gt;&lt;/FQL&gt;&lt;FQL&gt;&lt;Q&gt;NVT-US^P_BETA_LOCIDX(45709,45532,,"SPX")&lt;/Q&gt;&lt;R&gt;1&lt;/R&gt;&lt;C&gt;1&lt;/C&gt;&lt;D xsi:type="xsd:double"&gt;1.889068&lt;/D&gt;&lt;/FQL&gt;&lt;FQL&gt;&lt;Q&gt;NVT-US^P_BETA_LOCIDX(45708,45531,,"SPX")&lt;/Q&gt;&lt;R&gt;1&lt;/R&gt;&lt;C&gt;1&lt;/C&gt;&lt;D xsi:type="xsd:double"&gt;1.8301301&lt;/D&gt;&lt;/FQL&gt;&lt;FQL&gt;&lt;Q&gt;NVT-US^P_BETA_LOCIDX(45707,45530,,"SPX")&lt;/Q&gt;&lt;R&gt;1&lt;/R&gt;&lt;C&gt;1&lt;/C&gt;&lt;D xsi:type="xsd:double"&gt;1.8307396&lt;/D&gt;&lt;/FQL&gt;&lt;FQL&gt;&lt;Q&gt;NVT-US^P_BETA_LOCIDX(45706,45527,,"SPX")&lt;/Q&gt;&lt;R&gt;1&lt;/R&gt;&lt;C&gt;1&lt;/C&gt;&lt;D xsi:type="xsd:double"&gt;1.8515989&lt;/D&gt;&lt;/FQL&gt;&lt;FQL&gt;&lt;Q&gt;NVT-US^P_BETA_LOCIDX(45702,45526,,"SPX")&lt;/Q&gt;&lt;R&gt;1&lt;/R&gt;&lt;C&gt;1&lt;/C&gt;&lt;D xsi:type="xsd:double"&gt;1.8402395&lt;/D&gt;&lt;/FQL&gt;&lt;FQL&gt;&lt;Q&gt;NVT-US^P_BETA_LOCIDX(45701,45525,,"SPX")&lt;/Q&gt;&lt;R&gt;1&lt;/R&gt;&lt;C&gt;1&lt;/C&gt;&lt;D xsi:type="xsd:double"&gt;1.8427359&lt;/D&gt;&lt;/FQL&gt;&lt;FQL&gt;&lt;Q&gt;NVT-US^P_BETA_LOCIDX(45700,45524,,"SPX")&lt;/Q&gt;&lt;R&gt;1&lt;/R&gt;&lt;C&gt;1&lt;/C&gt;&lt;D xsi:type="xsd:double"&gt;1.871206&lt;/D&gt;&lt;/FQL&gt;&lt;FQL&gt;&lt;Q&gt;NVT-US^P_BETA_LOCIDX(45699,45523,,"SPX")&lt;/Q&gt;&lt;R&gt;1&lt;/R&gt;&lt;C&gt;1&lt;/C&gt;&lt;D xsi:type="xsd:double"&gt;1.8511932&lt;/D&gt;&lt;/FQL&gt;&lt;FQL&gt;&lt;Q&gt;NVT-US^P_BETA_LOCIDX(45698,45520,,"SPX")&lt;/Q&gt;&lt;R&gt;1&lt;/R&gt;&lt;C&gt;1&lt;/C&gt;&lt;D xsi:type="xsd:double"&gt;1.8479347&lt;/D&gt;&lt;/FQL&gt;&lt;FQL&gt;&lt;Q&gt;NVT-US^P_BETA_LOCIDX(45695,45519,,"SPX")&lt;/Q&gt;&lt;R&gt;1&lt;/R&gt;&lt;C&gt;1&lt;/C&gt;&lt;D xsi:type="xsd:double"&gt;1.8663074&lt;/D&gt;&lt;/FQL&gt;&lt;FQL&gt;&lt;Q&gt;NVT-US^P_BETA_LOCIDX(45694,45518,,"SPX")&lt;/Q&gt;&lt;R&gt;1&lt;/R&gt;&lt;C&gt;1&lt;/C&gt;&lt;D xsi:type="xsd:double"&gt;1.9374747&lt;/D&gt;&lt;/FQL&gt;&lt;FQL&gt;&lt;Q&gt;NVT-US^P_BETA_LOCIDX(45693,45517,,"SPX")&lt;/Q&gt;&lt;R&gt;1&lt;/R&gt;&lt;C&gt;1&lt;/C&gt;&lt;D xsi:type="xsd:double"&gt;1.8886741&lt;/D&gt;&lt;/FQL&gt;&lt;FQL&gt;&lt;Q&gt;NVT-US^P_BETA_LOCIDX(45692,45516,,"SPX")&lt;/Q&gt;&lt;R&gt;1&lt;/R&gt;&lt;C&gt;1&lt;/C&gt;&lt;D xsi:type="xsd:double"&gt;1.8886163&lt;/D&gt;&lt;/FQL&gt;&lt;FQL&gt;&lt;Q&gt;NVT-US^P_BETA_LOCIDX(45691,45513,,"SPX")&lt;/Q&gt;&lt;R&gt;1&lt;/R&gt;&lt;C&gt;1&lt;/C&gt;&lt;D xsi:type="xsd:double"&gt;1.9060862&lt;/D&gt;&lt;/FQL&gt;&lt;FQL&gt;&lt;Q&gt;NVT-US^P_BETA_LOCIDX(45688,45512,,"SPX")&lt;/Q&gt;&lt;R&gt;1&lt;/R&gt;&lt;C&gt;1&lt;/C&gt;&lt;D xsi:type="xsd:double"&gt;1.871377&lt;/D&gt;&lt;/FQL&gt;&lt;FQL&gt;&lt;Q&gt;NVT-US^P_BETA_LOCIDX(45687,45511,,"SPX")&lt;/Q&gt;&lt;R&gt;1&lt;/R&gt;&lt;C&gt;1&lt;/C&gt;&lt;D xsi:type="xsd:double"&gt;1.8564025&lt;/D&gt;&lt;/FQL&gt;&lt;FQL&gt;&lt;Q&gt;NVT-US^P_BETA_LOCIDX(45686,45510,,"SPX")&lt;/Q&gt;&lt;R&gt;1&lt;/R&gt;&lt;C&gt;1&lt;/C&gt;&lt;D xsi:type="xsd:double"&gt;1.7986103&lt;/D&gt;&lt;/FQL&gt;&lt;FQL&gt;&lt;Q&gt;NVT-US^P_BETA_LOCIDX(45685,45509,,"SPX")&lt;/Q&gt;&lt;R&gt;1&lt;/R&gt;&lt;C&gt;1&lt;/C&gt;&lt;D xsi:type="xsd:double"&gt;1.721791&lt;/D&gt;&lt;/FQL&gt;&lt;FQL&gt;&lt;Q&gt;NVT-US^P_BETA_LOCIDX(45684,45506,,"SPX")&lt;/Q&gt;&lt;R&gt;1&lt;/R&gt;&lt;C&gt;1&lt;/C&gt;&lt;D xsi:type="xsd:double"&gt;1.8126159&lt;/D&gt;&lt;/FQL&gt;&lt;FQL&gt;&lt;Q&gt;NVT-US^P_BETA_LOCIDX(45681,45505,,"SPX")&lt;/Q&gt;&lt;R&gt;1&lt;/R&gt;&lt;C&gt;1&lt;/C&gt;&lt;D xsi:type="xsd:double"&gt;1.6361578&lt;/D&gt;&lt;/FQL&gt;&lt;FQL&gt;&lt;Q&gt;NVT-US^P_BETA_LOCIDX(45680,45504,,"SPX")&lt;/Q&gt;&lt;R&gt;1&lt;/R&gt;&lt;C&gt;1&lt;/C&gt;&lt;D xsi:type="xsd:double"&gt;1.6650584&lt;/D&gt;&lt;/FQL&gt;&lt;FQL&gt;&lt;Q&gt;NVT-US^P_BETA_LOCIDX(45679,45503,,"SPX")&lt;/Q&gt;&lt;R&gt;1&lt;/R&gt;&lt;C&gt;1&lt;/C&gt;&lt;D xsi:type="xsd:double"&gt;1.6711566&lt;/D&gt;&lt;/FQL&gt;&lt;FQL&gt;&lt;Q&gt;NVT-US^P_BETA_LOCIDX(45678,45502,,"SPX")&lt;/Q&gt;&lt;R&gt;1&lt;/R&gt;&lt;C&gt;1&lt;/C&gt;&lt;D xsi:type="xsd:double"&gt;1.6725602&lt;/D&gt;&lt;/FQL&gt;&lt;FQL&gt;&lt;Q&gt;NVT-US^P_BETA_LOCIDX(45674,45499,,"SPX")&lt;/Q&gt;&lt;R&gt;1&lt;/R&gt;&lt;C&gt;1&lt;/C&gt;&lt;D xsi:type="xsd:double"&gt;1.6403229&lt;/D&gt;&lt;/FQL&gt;&lt;FQL&gt;&lt;Q&gt;NVT-US^P_BETA_LOCIDX(45673,45498,,"SPX")&lt;/Q&gt;&lt;R&gt;1&lt;/R&gt;&lt;C&gt;1&lt;/C&gt;&lt;D xsi:type="xsd:double"&gt;1.6452279&lt;/D&gt;&lt;/FQL&gt;&lt;FQL&gt;&lt;Q&gt;NVT-US^P_BETA_LOCIDX(45672,45497,,"SPX")&lt;/Q&gt;&lt;R&gt;1&lt;/R&gt;&lt;C&gt;1&lt;/C&gt;&lt;D xsi:type="xsd:double"&gt;1.7462273&lt;/D&gt;&lt;/FQL&gt;&lt;FQL&gt;&lt;Q&gt;NVT-US^P_BETA_LOCIDX(45671,45496,,"SPX")&lt;/Q&gt;&lt;R&gt;1&lt;/R&gt;&lt;C&gt;1&lt;/C&gt;&lt;D xsi:type="xsd:double"&gt;1.790153&lt;/D&gt;&lt;/FQL&gt;&lt;FQL&gt;&lt;Q&gt;NVT-US^P_BETA_LOCIDX(45670,45495,,"SPX")&lt;/Q&gt;&lt;R&gt;1&lt;/R&gt;&lt;C&gt;1&lt;/C&gt;&lt;D xsi:type="xsd:double"&gt;1.8079002&lt;/D&gt;&lt;/FQL&gt;&lt;FQL&gt;&lt;Q&gt;NVT-US^P_BETA_LOCIDX(45667,45492,,"SPX")&lt;/Q&gt;&lt;R&gt;1&lt;/R&gt;&lt;C&gt;1&lt;/C&gt;&lt;D xsi:type="xsd:double"&gt;1.7940371&lt;/D&gt;&lt;/FQL&gt;&lt;FQL&gt;&lt;Q&gt;NVT-US^P_BETA_LOCIDX(45665,45491,,"SPX")&lt;/Q&gt;&lt;R&gt;1&lt;/R&gt;&lt;C&gt;1&lt;/C&gt;&lt;D xsi:type="xsd:double"&gt;1.8075682&lt;/D&gt;&lt;/FQL&gt;&lt;FQL&gt;&lt;Q&gt;NVT-US^P_BETA_LOCIDX(45664,45490,,"SPX")&lt;/Q&gt;&lt;R&gt;1&lt;/R&gt;&lt;C&gt;1&lt;/C&gt;&lt;D xsi:type="xsd:double"&gt;1.8839417&lt;/D&gt;&lt;/FQL&gt;&lt;FQL&gt;&lt;Q&gt;NVT-US^P_BETA_LOCIDX(45663,45489,,"SPX")&lt;/Q&gt;&lt;R&gt;1&lt;/R&gt;&lt;C&gt;1&lt;/C&gt;&lt;D xsi:type="xsd:double"&gt;1.907787&lt;/D&gt;&lt;/FQL&gt;&lt;FQL&gt;&lt;Q&gt;NVT-US^P_BETA_LOCIDX(45660,45488,,"SPX")&lt;/Q&gt;&lt;R&gt;1&lt;/R&gt;&lt;C&gt;1&lt;/C&gt;&lt;D xsi:type="xsd:double"&gt;1.907619&lt;/D&gt;&lt;/FQL&gt;&lt;FQL&gt;&lt;Q&gt;NVT-US^P_BETA_LOCIDX(45659,45485,,"SPX")&lt;/Q&gt;&lt;R&gt;1&lt;/R&gt;&lt;C&gt;1&lt;/C&gt;&lt;D xsi:type="xsd:double"&gt;1.8884135&lt;/D&gt;&lt;/FQL&gt;&lt;FQL&gt;&lt;Q&gt;NVT-US^P_BETA_LOCIDX(45657,45484,,"SPX")&lt;/Q&gt;&lt;R&gt;1&lt;/R&gt;&lt;C&gt;1&lt;/C&gt;&lt;D xsi:type="xsd:double"&gt;1.8691827&lt;/D&gt;&lt;/FQL&gt;&lt;FQL&gt;&lt;Q&gt;NVT-US^P_BETA_LOCIDX(45656,45483,,"SPX")&lt;/Q&gt;&lt;R&gt;1&lt;/R&gt;&lt;C&gt;1&lt;/C&gt;&lt;D xsi:type="xsd:double"&gt;1.8820196&lt;/D&gt;&lt;/FQL&gt;&lt;FQL&gt;&lt;Q&gt;NVT-US^P_BETA_LOCIDX(45653,45482,,"SPX")&lt;/Q&gt;&lt;R&gt;1&lt;/R&gt;&lt;C&gt;1&lt;/C&gt;&lt;D xsi:type="xsd:double"&gt;1.8955134&lt;/D&gt;&lt;/FQL&gt;&lt;FQL&gt;&lt;Q&gt;NVT-US^P_BETA_LOCIDX(45652,45481,,"SPX")&lt;/Q&gt;&lt;R&gt;1&lt;/R&gt;&lt;C&gt;1&lt;/C&gt;&lt;D xsi:type="xsd:double"&gt;1.9127855&lt;/D&gt;&lt;/FQL&gt;&lt;FQL&gt;&lt;Q&gt;NVT-US^P_BETA_LOCIDX(45650,45478,,"SPX")&lt;/Q&gt;&lt;R&gt;1&lt;/R&gt;&lt;C&gt;1&lt;/C&gt;&lt;D xsi:type="xsd:double"&gt;1.8998885&lt;/D&gt;&lt;/FQL&gt;&lt;FQL&gt;&lt;Q&gt;NVT-US^P_BETA_LOCIDX(45649,45476,,"SPX")&lt;/Q&gt;&lt;R&gt;1&lt;/R&gt;&lt;C&gt;1&lt;/C&gt;&lt;D xsi:type="xsd:double"&gt;1.9195347&lt;/D&gt;&lt;/FQL&gt;&lt;FQL&gt;&lt;Q&gt;NVT-US^P_BETA_LOCIDX(45646,45475,,"SPX")&lt;/Q&gt;&lt;R&gt;1&lt;/R&gt;&lt;C&gt;1&lt;/C&gt;&lt;D xsi:type="xsd:double"&gt;1.9274127&lt;/D&gt;&lt;/FQL&gt;&lt;FQL&gt;&lt;Q&gt;NVT-US^P_BETA_LOCIDX(45645,45474,,"SPX")&lt;/Q&gt;&lt;R&gt;1&lt;/R&gt;&lt;C&gt;1&lt;/C&gt;&lt;D xsi:type="xsd:double"&gt;1.9437603&lt;/D&gt;&lt;/FQL&gt;&lt;FQL&gt;&lt;Q&gt;NVT-US^P_BETA_LOCIDX(45644,45471,,"SPX")&lt;/Q&gt;&lt;R&gt;1&lt;/R&gt;&lt;C&gt;1&lt;/C&gt;&lt;D xsi:type="xsd:double"&gt;1.9373924&lt;/D&gt;&lt;/FQL&gt;&lt;FQL&gt;&lt;Q&gt;NVT-US^P_BETA_LOCIDX(45643,45470,,"SPX")&lt;/Q&gt;&lt;R&gt;1&lt;/R&gt;&lt;C&gt;1&lt;/C&gt;&lt;D xsi:type="xsd:double"&gt;1.9815454&lt;/D&gt;&lt;/FQL&gt;&lt;FQL&gt;&lt;Q&gt;NVT-US^P_BETA_LOCIDX(45642,45469,,"SPX")&lt;/Q&gt;&lt;R&gt;1&lt;/R&gt;&lt;C&gt;1&lt;/C&gt;&lt;D xsi:type="xsd:double"&gt;1.9631492&lt;/D&gt;&lt;/FQL&gt;&lt;FQL&gt;&lt;Q&gt;NVT-US^P_BETA_LOCIDX(45639,45468,,"SPX")&lt;/Q&gt;&lt;R&gt;1&lt;/R&gt;&lt;C&gt;1&lt;/C&gt;&lt;D xsi:type="xsd:double"&gt;1.9558302&lt;/D&gt;&lt;/FQL&gt;&lt;FQL&gt;&lt;Q&gt;NVT-US^P_BETA_LOCIDX(45638,45467,,"SPX")&lt;/Q&gt;&lt;R&gt;1&lt;/R&gt;&lt;C&gt;1&lt;/C&gt;&lt;D xsi:type="xsd:double"&gt;1.9492828&lt;/D&gt;&lt;/FQL&gt;&lt;FQL&gt;&lt;Q&gt;NVT-US^P_BETA_LOCIDX(45637,45464,,"SPX")&lt;/Q&gt;&lt;R&gt;1&lt;/R&gt;&lt;C&gt;1&lt;/C&gt;&lt;D xsi:type="xsd:double"&gt;1.9599546&lt;/D&gt;&lt;/FQL&gt;&lt;FQL&gt;&lt;Q&gt;NVT-US^P_BETA_LOCIDX(45636,45463,,"SPX")&lt;/Q&gt;&lt;R&gt;1&lt;/R&gt;&lt;C&gt;1&lt;/C&gt;&lt;D xsi:type="xsd:double"&gt;1.9662693&lt;/D&gt;&lt;/FQL&gt;&lt;FQL&gt;&lt;Q&gt;NVT-US^P_BETA_LOCIDX(45635,45461,,"SPX")&lt;/Q&gt;&lt;R&gt;1&lt;/R&gt;&lt;C&gt;1&lt;/C&gt;&lt;D xsi:type="xsd:double"&gt;1.9685956&lt;/D&gt;&lt;/FQL&gt;&lt;FQL&gt;&lt;Q&gt;NVT-US^P_BETA_LOCIDX(45632,45460,,"SPX")&lt;/Q&gt;&lt;R&gt;1&lt;/R&gt;&lt;C&gt;1&lt;/C&gt;&lt;D xsi:type="xsd:double"&gt;1.949196&lt;/D&gt;&lt;/FQL&gt;&lt;FQL&gt;&lt;Q&gt;NVT-US^P_BETA_LOCIDX(45631,45457,,"SPX")&lt;/Q&gt;&lt;R&gt;1&lt;/R&gt;&lt;C&gt;1&lt;/C&gt;&lt;D xsi:type="xsd:double"&gt;1.9572366&lt;/D&gt;&lt;/FQL&gt;&lt;FQL&gt;&lt;Q&gt;NVT-US^P_BETA_LOCIDX(45630,45456,,"SPX")&lt;/Q&gt;&lt;R&gt;1&lt;/R&gt;&lt;C&gt;1&lt;/C&gt;&lt;D xsi:type="xsd:double"&gt;1.9534346&lt;/D&gt;&lt;/FQL&gt;&lt;FQL&gt;&lt;Q&gt;NVT-US^P_BETA_LOCIDX(45629,45455,,"SPX")&lt;/Q&gt;&lt;R&gt;1&lt;/R&gt;&lt;C&gt;1&lt;/C&gt;&lt;D xsi:type="xsd:double"&gt;1.9706618&lt;/D&gt;&lt;/FQL&gt;&lt;FQL&gt;&lt;Q&gt;NVT-US^P_BETA_LOCIDX(45628,45454,,"SPX")&lt;/Q&gt;&lt;R&gt;1&lt;/R&gt;&lt;C&gt;1&lt;/C&gt;&lt;D xsi:type="xsd:double"&gt;1.9709703&lt;/D&gt;&lt;/FQL&gt;&lt;FQL&gt;&lt;Q&gt;NVT-US^P_BETA_LOCIDX(45625,45453,,"SPX")&lt;/Q&gt;&lt;R&gt;1&lt;/R&gt;&lt;C&gt;1&lt;/C&gt;&lt;D xsi:type="xsd:double"&gt;1.9755069&lt;/D&gt;&lt;/FQL&gt;&lt;FQL&gt;&lt;Q&gt;NVT-US^P_BETA_LOCIDX(45623,45450,,"SPX")&lt;/Q&gt;&lt;R&gt;1&lt;/R&gt;&lt;C&gt;1&lt;/C&gt;&lt;D xsi:type="xsd:double"&gt;1.9666972&lt;/D&gt;&lt;/FQL&gt;&lt;FQL&gt;&lt;Q&gt;NVT-US^P_BETA_LOCIDX(45622,45449,,"SPX")&lt;/Q&gt;&lt;R&gt;1&lt;/R&gt;&lt;C&gt;1&lt;/C&gt;&lt;D xsi:type="xsd:double"&gt;1.9656851&lt;/D&gt;&lt;/FQL&gt;&lt;FQL&gt;&lt;Q&gt;NVT-US^P_BETA_LOCIDX(45621,45448,,"SPX")&lt;/Q&gt;&lt;R&gt;1&lt;/R&gt;&lt;C&gt;1&lt;/C&gt;&lt;D xsi:type="xsd:double"&gt;1.9900743&lt;/D&gt;&lt;/FQL&gt;&lt;FQL&gt;&lt;Q&gt;NVT-US^P_BETA_LOCIDX(45618,45447,,"SPX")&lt;/Q&gt;&lt;R&gt;1&lt;/R&gt;&lt;C&gt;1&lt;/C&gt;&lt;D xsi:type="xsd:double"&gt;1.9891397&lt;/D&gt;&lt;/FQL&gt;&lt;FQL&gt;&lt;Q&gt;NVT-US^P_BETA_LOCIDX(45617,45446,,"SPX")&lt;/Q&gt;&lt;R&gt;1&lt;/R&gt;&lt;C&gt;1&lt;/C&gt;&lt;D xsi:type="xsd:double"&gt;1.9889473&lt;/D&gt;&lt;/FQL&gt;&lt;FQL&gt;&lt;Q&gt;NVT-US^P_BETA_LOCIDX(45616,45443,,"SPX")&lt;/Q&gt;&lt;R&gt;1&lt;/R&gt;&lt;C&gt;1&lt;/C&gt;&lt;D xsi:type="xsd:double"&gt;1.945703&lt;/D&gt;&lt;/FQL&gt;&lt;FQL&gt;&lt;Q&gt;NVT-US^P_BETA_LOCIDX(45615,45442,,"SPX")&lt;/Q&gt;&lt;R&gt;1&lt;/R&gt;&lt;C&gt;1&lt;/C&gt;&lt;D xsi:type="xsd:double"&gt;1.9360024&lt;/D&gt;&lt;/FQL&gt;&lt;FQL&gt;&lt;Q&gt;NVT-US^P_BETA_LOCIDX(45614,45441,,"SPX")&lt;/Q&gt;&lt;R&gt;1&lt;/R&gt;&lt;C&gt;1&lt;/C&gt;&lt;D xsi:type="xsd:double"&gt;1.9157634&lt;/D&gt;&lt;/FQL&gt;&lt;FQL&gt;&lt;Q&gt;NVT-US^P_BETA_LOCIDX(45611,45440,,"SPX")&lt;/Q&gt;&lt;R&gt;1&lt;/R&gt;&lt;C&gt;1&lt;/C&gt;&lt;D xsi:type="xsd:double"&gt;1.9164447&lt;/D&gt;&lt;/FQL&gt;&lt;FQL&gt;&lt;Q&gt;NVT-US^P_BETA_LOCIDX(45610,45436,,"SPX")&lt;/Q&gt;&lt;R&gt;1&lt;/R&gt;&lt;C&gt;1&lt;/C&gt;&lt;D xsi:type="xsd:double"&gt;1.9548494&lt;/D&gt;&lt;/FQL&gt;&lt;FQL&gt;&lt;Q&gt;NVT-US^P_BETA_LOCIDX(45609,45435,,"SPX")&lt;/Q&gt;&lt;R&gt;1&lt;/R&gt;&lt;C&gt;1&lt;/C&gt;&lt;D xsi:type="xsd:double"&gt;1.9200405&lt;/D&gt;&lt;/FQL&gt;&lt;FQL&gt;&lt;Q&gt;NVT-US^P_BETA_LOCIDX(45608,45434,,"SPX")&lt;/Q&gt;&lt;R&gt;1&lt;/R&gt;&lt;C&gt;1&lt;/C&gt;&lt;D xsi:type="xsd:double"&gt;1.9231434&lt;/D&gt;&lt;/FQL&gt;&lt;FQL&gt;&lt;Q&gt;NVT-US^P_BETA_LOCIDX(45607,45433,,"SPX")&lt;/Q&gt;&lt;R&gt;1&lt;/R&gt;&lt;C&gt;1&lt;/C&gt;&lt;D xsi:type="xsd:double"&gt;1.9226941&lt;/D&gt;&lt;/FQL&gt;&lt;FQL&gt;&lt;Q&gt;NVT-US^P_BETA_LOCIDX(45604,45432,,"SPX")&lt;/Q&gt;&lt;R&gt;1&lt;/R&gt;&lt;C&gt;1&lt;/C&gt;&lt;D xsi:type="xsd:double"&gt;1.9224021&lt;/D&gt;&lt;/FQL&gt;&lt;FQL&gt;&lt;Q&gt;NVT-US^P_BETA_LOCIDX(45603,45429,,"SPX")&lt;/Q&gt;&lt;R&gt;1&lt;/R&gt;&lt;C&gt;1&lt;/C&gt;&lt;D xsi:type="xsd:double"&gt;1.9272689&lt;/D&gt;&lt;/FQL&gt;&lt;FQL&gt;&lt;Q&gt;NVT-US^P_BETA_LOCIDX(45602,45428,,"SPX")&lt;/Q&gt;&lt;R&gt;1&lt;/R&gt;&lt;C&gt;1&lt;/C&gt;&lt;D xsi:type="xsd:double"&gt;1.9426413&lt;/D&gt;&lt;/FQL&gt;&lt;FQL&gt;&lt;Q&gt;NVT-US^P_BETA_LOCIDX(45601,45427,,"SPX")&lt;/Q&gt;&lt;R&gt;1&lt;/R&gt;&lt;C&gt;1&lt;/C&gt;&lt;D xsi:type="xsd:double"&gt;1.7847677&lt;/D&gt;&lt;/FQL&gt;&lt;FQL&gt;&lt;Q&gt;NVT-US^P_BETA_LOCIDX(45600,45426,,"SPX")&lt;/Q&gt;&lt;R&gt;1&lt;/R&gt;&lt;C&gt;1&lt;/C&gt;&lt;D xsi:type="xsd:double"&gt;1.7957163&lt;/D&gt;&lt;/FQL&gt;&lt;FQL&gt;&lt;Q&gt;NVT-US^P_BETA_LOCIDX(45597,45425,,"SPX")&lt;/Q&gt;&lt;R&gt;1&lt;/R&gt;&lt;C&gt;1&lt;/C&gt;&lt;D xsi:type="xsd:double"&gt;1.8036993&lt;/D&gt;&lt;/FQL&gt;&lt;FQL&gt;&lt;Q&gt;NVT-US^P_BETA_LOCIDX(45596,45422,,"SPX")&lt;/Q&gt;&lt;R&gt;1&lt;/R&gt;&lt;C&gt;1&lt;/C&gt;&lt;D xsi:type="xsd:double"&gt;1.839319&lt;/D&gt;&lt;/FQL&gt;&lt;FQL&gt;&lt;Q&gt;NVT-US^P_BETA_LOCIDX(45595,45421,,"SPX")&lt;/Q&gt;&lt;R&gt;1&lt;/R&gt;&lt;C&gt;1&lt;/C&gt;&lt;D xsi:type="xsd:double"&gt;1.9401195&lt;/D&gt;&lt;/FQL&gt;&lt;FQL&gt;&lt;Q&gt;NVT-US^P_BETA_LOCIDX(45594,45420,,"SPX")&lt;/Q&gt;&lt;R&gt;1&lt;/R&gt;&lt;C&gt;1&lt;/C&gt;&lt;D xsi:type="xsd:double"&gt;1.940562&lt;/D&gt;&lt;/FQL&gt;&lt;FQL&gt;&lt;Q&gt;NVT-US^P_BETA_LOCIDX(45593,45419,,"SPX")&lt;/Q&gt;&lt;R&gt;1&lt;/R&gt;&lt;C&gt;1&lt;/C&gt;&lt;D xsi:type="xsd:double"&gt;1.9415758&lt;/D&gt;&lt;/FQL&gt;&lt;FQL&gt;&lt;Q&gt;NVT-US^P_BETA_LOCIDX(45590,45418,,"SPX")&lt;/Q&gt;&lt;R&gt;1&lt;/R&gt;&lt;C&gt;1&lt;/C&gt;&lt;D xsi:type="xsd:double"&gt;1.9246448&lt;/D&gt;&lt;/FQL&gt;&lt;FQL&gt;&lt;Q&gt;NVT-US^P_BETA_LOCIDX(45589,45415,,"SPX")&lt;/Q&gt;&lt;R&gt;1&lt;/R&gt;&lt;C&gt;1&lt;/C&gt;&lt;D xsi:type="xsd:double"&gt;1.9705466&lt;/D&gt;&lt;/FQL&gt;&lt;FQL&gt;&lt;Q&gt;NVT-US^P_BETA_LOCIDX(45588,45414,,"SPX")&lt;/Q&gt;&lt;R&gt;1&lt;/R&gt;&lt;C&gt;1&lt;/C&gt;&lt;D xsi:type="xsd:double"&gt;1.9646274&lt;/D&gt;&lt;/FQL&gt;&lt;FQL&gt;&lt;Q&gt;NVT-US^P_BETA_LOCIDX(45587,45413,,"SPX")&lt;/Q&gt;&lt;R&gt;1&lt;/R&gt;&lt;C&gt;1&lt;/C&gt;&lt;D xsi:type="xsd:double"&gt;1.9865227&lt;/D&gt;&lt;/FQL&gt;&lt;FQL&gt;&lt;Q&gt;NVT-US^P_BETA_LOCIDX(45586,45412,,"SPX")&lt;/Q&gt;&lt;R&gt;1&lt;/R&gt;&lt;C&gt;1&lt;/C&gt;&lt;D xsi:type="xsd:double"&gt;2.002798&lt;/D&gt;&lt;/FQL&gt;&lt;FQL&gt;&lt;Q&gt;NVT-US^P_BETA_LOCIDX(45583,45411,,"SPX")&lt;/Q&gt;&lt;R&gt;1&lt;/R&gt;&lt;C&gt;1&lt;/C&gt;&lt;D xsi:type="xsd:double"&gt;1.9995425&lt;/D&gt;&lt;/FQL&gt;&lt;FQL&gt;&lt;Q&gt;NVT-US^P_BETA_LOCIDX(45582,45408,,"SPX")&lt;/Q&gt;&lt;R&gt;1&lt;/R&gt;&lt;C&gt;1&lt;/C&gt;&lt;D xsi:type="xsd:double"&gt;2.003228&lt;/D&gt;&lt;/FQL&gt;&lt;FQL&gt;&lt;Q&gt;NVT-US^P_BETA_LOCIDX(45581,45407,,"SPX")&lt;/Q&gt;&lt;R&gt;1&lt;/R&gt;&lt;C&gt;1&lt;/C&gt;&lt;D xsi:type="xsd:double"&gt;1.9931211&lt;/D&gt;&lt;/FQL&gt;&lt;FQL&gt;&lt;Q&gt;NVT-US^P_BETA_LOCIDX(45580,45406,,"SPX")&lt;/Q&gt;&lt;R&gt;1&lt;/R&gt;&lt;C&gt;1&lt;/C&gt;&lt;D xsi:type="xsd:double"&gt;1.9886742&lt;/D&gt;&lt;/FQL&gt;&lt;FQL&gt;&lt;Q&gt;NVT-US^P_BETA_LOCIDX(45579,45405,,"SPX")&lt;/Q&gt;&lt;R&gt;1&lt;/R&gt;&lt;C&gt;1&lt;/C&gt;&lt;D xsi:type="xsd:double"&gt;1.9782226&lt;/D&gt;&lt;/FQL&gt;&lt;FQL&gt;&lt;Q&gt;NVT-US^P_BETA_LOCIDX(45576,45404,,"SPX")&lt;/Q&gt;&lt;R&gt;1&lt;/R&gt;&lt;C&gt;1&lt;/C&gt;&lt;D xsi:type="xsd:double"&gt;1.9458059&lt;/D&gt;&lt;/FQL&gt;&lt;FQL&gt;&lt;Q&gt;NVT-US^P_BETA_LOCIDX(45575,45401,,"SPX")&lt;/Q&gt;&lt;R&gt;1&lt;/R&gt;&lt;C&gt;1&lt;/C&gt;&lt;D xsi:type="xsd:double"&gt;1.9209268&lt;/D&gt;&lt;/FQL&gt;&lt;FQL&gt;&lt;Q&gt;NVT-US^P_BETA_LOCIDX(45574,45400,,"SPX")&lt;/Q&gt;&lt;R&gt;1&lt;/R&gt;&lt;C&gt;1&lt;/C&gt;&lt;D xsi:type="xsd:double"&gt;1.9279484&lt;/D&gt;&lt;/FQL&gt;&lt;FQL&gt;&lt;Q&gt;NVT-US^P_BETA_LOCIDX(45573,45399,,"SPX")&lt;/Q&gt;&lt;R&gt;1&lt;/R&gt;&lt;C&gt;1&lt;/C&gt;&lt;D xsi:type="xsd:double"&gt;1.9211361&lt;/D&gt;&lt;/FQL&gt;&lt;FQL&gt;&lt;Q&gt;NVT-US^P_BETA_LOCIDX(45572,45398,,"SPX")&lt;/Q&gt;&lt;R&gt;1&lt;/R&gt;&lt;C&gt;1&lt;/C&gt;&lt;D xsi:type="xsd:double"&gt;1.9569346&lt;/D&gt;&lt;/FQL&gt;&lt;FQL&gt;&lt;Q&gt;NVT-US^P_BETA_LOCIDX(45569,45397,,"SPX")&lt;/Q&gt;&lt;R&gt;1&lt;/R&gt;&lt;C&gt;1&lt;/C&gt;&lt;D xsi:type="xsd:double"&gt;1.9796093&lt;/D&gt;&lt;/FQL&gt;&lt;FQL&gt;&lt;Q&gt;NVT-US^P_BETA_LOCIDX(45568,45394,,"SPX")&lt;/Q&gt;&lt;R&gt;1&lt;/R&gt;&lt;C&gt;1&lt;/C&gt;&lt;D xsi:type="xsd:double"&gt;1.9289933&lt;/D&gt;&lt;/FQL&gt;&lt;FQL&gt;&lt;Q&gt;NVT-US^P_BETA_LOCIDX(45567,45393,,"SPX")&lt;/Q&gt;&lt;R&gt;1&lt;/R&gt;&lt;C&gt;1&lt;/C&gt;&lt;D xsi:type="xsd:double"&gt;1.9242029&lt;/D&gt;&lt;/FQL&gt;&lt;FQL&gt;&lt;Q&gt;NVT-US^P_BETA_LOCIDX(45566,45392,,"SPX")&lt;/Q&gt;&lt;R&gt;1&lt;/R&gt;&lt;C&gt;1&lt;/C&gt;&lt;D xsi:type="xsd:double"&gt;1.9088126&lt;/D&gt;&lt;/FQL&gt;&lt;FQL&gt;&lt;Q&gt;NVT-US^P_BETA_LOCIDX(45565,45391,,"SPX")&lt;/Q&gt;&lt;R&gt;1&lt;/R&gt;&lt;C&gt;1&lt;/C&gt;&lt;D xsi:type="xsd:double"&gt;1.9051528&lt;/D&gt;&lt;/FQL&gt;&lt;FQL&gt;&lt;Q&gt;NVT-US^P_BETA_LOCIDX(45562,45390,,"SPX")&lt;/Q&gt;&lt;R&gt;1&lt;/R&gt;&lt;C&gt;1&lt;/C&gt;&lt;D xsi:type="xsd:double"&gt;1.9107407&lt;/D&gt;&lt;/FQL&gt;&lt;FQL&gt;&lt;Q&gt;NVT-US^P_BETA_LOCIDX(45561,45387,,"SPX")&lt;/Q&gt;&lt;R&gt;1&lt;/R&gt;&lt;C&gt;1&lt;/C&gt;&lt;D xsi:type="xsd:double"&gt;1.9296603&lt;/D&gt;&lt;/FQL&gt;&lt;FQL&gt;&lt;Q&gt;NVT-US^P_BETA_LOCIDX(45560,45386,,"SPX")&lt;/Q&gt;&lt;R&gt;1&lt;/R&gt;&lt;C&gt;1&lt;/C&gt;&lt;D xsi:type="xsd:double"&gt;1.9074489&lt;/D&gt;&lt;/FQL&gt;&lt;FQL&gt;&lt;Q&gt;NVT-US^P_BETA_LOCIDX(45559,45385,,"SPX")&lt;/Q&gt;&lt;R&gt;1&lt;/R&gt;&lt;C&gt;1&lt;/C&gt;&lt;D xsi:type="xsd:double"&gt;1.9101228&lt;/D&gt;&lt;/FQL&gt;&lt;FQL&gt;&lt;Q&gt;NVT-US^P_BETA_LOCIDX(45558,45384,,"SPX")&lt;/Q&gt;&lt;R&gt;1&lt;/R&gt;&lt;C&gt;1&lt;/C&gt;&lt;D xsi:type="xsd:double"&gt;1.8983995&lt;/D&gt;&lt;/FQL&gt;&lt;FQL&gt;&lt;Q&gt;NVT-US^P_BETA_LOCIDX(45555,45383,,"SPX")&lt;/Q&gt;&lt;R&gt;1&lt;/R&gt;&lt;C&gt;1&lt;/C&gt;&lt;D xsi:type="xsd:double"&gt;1.8989748&lt;/D&gt;&lt;/FQL&gt;&lt;FQL&gt;&lt;Q&gt;NVT-US^P_BETA_LOCIDX(45554,45379,,"SPX")&lt;/Q&gt;&lt;R&gt;1&lt;/R&gt;&lt;C&gt;1&lt;/C&gt;&lt;D xsi:type="xsd:double"&gt;1.9004817&lt;/D&gt;&lt;/FQL&gt;&lt;FQL&gt;&lt;Q&gt;NVT-US^P_BETA_LOCIDX(45553,45378,,"SPX")&lt;/Q&gt;&lt;R&gt;1&lt;/R&gt;&lt;C&gt;1&lt;/C&gt;&lt;D xsi:type="xsd:double"&gt;1.853762&lt;/D&gt;&lt;/FQL&gt;&lt;FQL&gt;&lt;Q&gt;NVT-US^P_BETA_LOCIDX(45552,45377,,"SPX")&lt;/Q&gt;&lt;R&gt;1&lt;/R&gt;&lt;C&gt;1&lt;/C&gt;&lt;D xsi:type="xsd:double"&gt;1.8518004&lt;/D&gt;&lt;/FQL&gt;&lt;FQL&gt;&lt;Q&gt;NVT-US^P_BETA_LOCIDX(45551,45376,,"SPX")&lt;/Q&gt;&lt;R&gt;1&lt;/R&gt;&lt;C&gt;1&lt;/C&gt;&lt;D xsi:type="xsd:double"&gt;1.84726&lt;/D&gt;&lt;/FQL&gt;&lt;FQL&gt;&lt;Q&gt;NVT-US^P_BETA_LOCIDX(45548,45373,,"SPX")&lt;/Q&gt;&lt;R&gt;1&lt;/R&gt;&lt;C&gt;1&lt;/C&gt;&lt;D xsi:type="xsd:double"&gt;1.8462732&lt;/D&gt;&lt;/FQL&gt;&lt;FQL&gt;&lt;Q&gt;NVT-US^P_BETA_LOCIDX(45547,45372,,"SPX")&lt;/Q&gt;&lt;R&gt;1&lt;/R&gt;&lt;C&gt;1&lt;/C&gt;&lt;D xsi:type="xsd:double"&gt;1.842254&lt;/D&gt;&lt;/FQL&gt;&lt;FQL&gt;&lt;Q&gt;NVT-US^P_BETA_LOCIDX(45546,45371,,"SPX")&lt;/Q&gt;&lt;R&gt;1&lt;/R&gt;&lt;C&gt;1&lt;/C&gt;&lt;D xsi:type="xsd:double"&gt;1.848127&lt;/D&gt;&lt;/FQL&gt;&lt;FQL&gt;&lt;Q&gt;NVT-US^P_BETA_LOCIDX(45545,45370,,"SPX")&lt;/Q&gt;&lt;R&gt;1&lt;/R&gt;&lt;C&gt;1&lt;/C&gt;&lt;D xsi:type="xsd:double"&gt;1.8384373&lt;/D&gt;&lt;/FQL&gt;&lt;FQL&gt;&lt;Q&gt;NVT-US^P_BETA_LOCIDX(45544,45369,,"SPX")&lt;/Q&gt;&lt;R&gt;1&lt;/R&gt;&lt;C&gt;1&lt;/C&gt;&lt;D xsi:type="xsd:double"&gt;1.8400793&lt;/D&gt;&lt;/FQL&gt;&lt;FQL&gt;&lt;Q&gt;NVT-US^P_BETA_LOCIDX(45541,45366,,"SPX")&lt;/Q&gt;&lt;R&gt;1&lt;/R&gt;&lt;C&gt;1&lt;/C&gt;&lt;D xsi:type="xsd:double"&gt;1.8494586&lt;/D&gt;&lt;/FQL&gt;&lt;FQL&gt;&lt;Q&gt;NVT-US^P_BETA_LOCIDX(45540,45365,,"SPX")&lt;/Q&gt;&lt;R&gt;1&lt;/R&gt;&lt;C&gt;1&lt;/C&gt;&lt;D xsi:type="xsd:double"&gt;1.903733&lt;/D&gt;&lt;/FQL&gt;&lt;FQL&gt;&lt;Q&gt;NVT-US^P_BETA_LOCIDX(45539,45364,,"SPX")&lt;/Q&gt;&lt;R&gt;1&lt;/R&gt;&lt;C&gt;1&lt;/C&gt;&lt;D xsi:type="xsd:double"&gt;1.8967264&lt;/D&gt;&lt;/FQL&gt;&lt;FQL&gt;&lt;Q&gt;NVT-US^P_BETA_LOCIDX(45538,45363,,"SPX")&lt;/Q&gt;&lt;R&gt;1&lt;/R&gt;&lt;C&gt;1&lt;/C&gt;&lt;D xsi:type="xsd:double"&gt;1.9002274&lt;/D&gt;&lt;/FQL&gt;&lt;FQL&gt;&lt;Q&gt;NVT-US^P_BETA_LOCIDX(45534,45362,,"SPX")&lt;/Q&gt;&lt;R&gt;1&lt;/R&gt;&lt;C&gt;1&lt;/C&gt;&lt;D xsi:type="xsd:double"&gt;1.8293622&lt;/D&gt;&lt;/FQL&gt;&lt;FQL&gt;&lt;Q&gt;NVT-US^P_BETA_LOCIDX(45533,45359,,"SPX")&lt;/Q&gt;&lt;R&gt;1&lt;/R&gt;&lt;C&gt;1&lt;/C&gt;&lt;D xsi:type="xsd:double"&gt;1.8289224&lt;/D&gt;&lt;/FQL&gt;&lt;FQL&gt;&lt;Q&gt;NVT-US^P_BETA_LOCIDX(45532,45358,,"SPX")&lt;/Q&gt;&lt;R&gt;1&lt;/R&gt;&lt;C&gt;1&lt;/C&gt;&lt;D xsi:type="xsd:double"&gt;1.8185109&lt;/D&gt;&lt;/FQL&gt;&lt;FQL&gt;&lt;Q&gt;NVT-US^P_BETA_LOCIDX(45531,45357,,"SPX")&lt;/Q&gt;&lt;R&gt;1&lt;/R&gt;&lt;C&gt;1&lt;/C&gt;&lt;D xsi:type="xsd:double"&gt;1.8203241&lt;/D&gt;&lt;/FQL&gt;&lt;FQL&gt;&lt;Q&gt;NVT-US^P_BETA_LOCIDX(45530,45356,,"SPX")&lt;/Q&gt;&lt;R&gt;1&lt;/R&gt;&lt;C&gt;1&lt;/C&gt;&lt;D xsi:type="xsd:double"&gt;1.8151437&lt;/D&gt;&lt;/FQL&gt;&lt;FQL&gt;&lt;Q&gt;NVT-US^P_BETA_LOCIDX(45527,45355,,"SPX")&lt;/Q&gt;&lt;R&gt;1&lt;/R&gt;&lt;C&gt;1&lt;/C&gt;&lt;D xsi:type="xsd:double"&gt;1.805553&lt;/D&gt;&lt;/FQL&gt;&lt;FQL&gt;&lt;Q&gt;NVT-US^P_BETA_LOCIDX(45526,45352,,"SPX")&lt;/Q&gt;&lt;R&gt;1&lt;/R&gt;&lt;C&gt;1&lt;/C&gt;&lt;D xsi:type="xsd:double"&gt;1.7960434&lt;/D&gt;&lt;/FQL&gt;&lt;FQL&gt;&lt;Q&gt;NVT-US^P_BETA_LOCIDX(45525,45351,,"SPX")&lt;/Q&gt;&lt;R&gt;1&lt;/R&gt;&lt;C&gt;1&lt;/C&gt;&lt;D xsi:type="xsd:double"&gt;1.811698&lt;/D&gt;&lt;/FQL&gt;&lt;FQL&gt;&lt;Q&gt;NVT-US^P_BETA_LOCIDX(45524,45350,,"SPX")&lt;/Q&gt;&lt;R&gt;1&lt;/R&gt;&lt;C&gt;1&lt;/C&gt;&lt;D xsi:type="xsd:double"&gt;1.8097253&lt;/D&gt;&lt;/FQL&gt;&lt;FQL&gt;&lt;Q&gt;NVT-US^P_BETA_LOCIDX(45523,45349,,"SPX")&lt;/Q&gt;&lt;R&gt;1&lt;/R&gt;&lt;C&gt;1&lt;/C&gt;&lt;D xsi:type="xsd:double"&gt;1.8085803&lt;/D&gt;&lt;/FQL&gt;&lt;FQL&gt;&lt;Q&gt;NVT-US^P_BETA_LOCIDX(45520,45348,,"SPX")&lt;/Q&gt;&lt;R&gt;1&lt;/R&gt;&lt;C&gt;1&lt;/C&gt;&lt;D xsi:type="xsd:double"&gt;1.8272536&lt;/D&gt;&lt;/FQL&gt;&lt;FQL&gt;&lt;Q&gt;NVT-US^P_BETA_LOCIDX(45519,45345,,"SPX")&lt;/Q&gt;&lt;R&gt;1&lt;/R&gt;&lt;C&gt;1&lt;/C&gt;&lt;D xsi:type="xsd:double"&gt;1.8289496&lt;/D&gt;&lt;/FQL&gt;&lt;FQL&gt;&lt;Q&gt;NVT-US^P_BETA_LOCIDX(45518,45344,,"SPX")&lt;/Q&gt;&lt;R&gt;1&lt;/R&gt;&lt;C&gt;1&lt;/C&gt;&lt;D xsi:type="xsd:double"&gt;1.8148518&lt;/D&gt;&lt;/FQL&gt;&lt;FQL&gt;&lt;Q&gt;NVT-US^P_BETA_LOCIDX(45517,45343,,"SPX")&lt;/Q&gt;&lt;R&gt;1&lt;/R&gt;&lt;C&gt;1&lt;/C&gt;&lt;D xsi:type="xsd:double"&gt;1.8111439&lt;/D&gt;&lt;/FQL&gt;&lt;FQL&gt;&lt;Q&gt;NVT-US^P_BETA_LOCIDX(45516,45342,,"SPX")&lt;/Q&gt;&lt;R&gt;1&lt;/R&gt;&lt;C&gt;1&lt;/C&gt;&lt;D xsi:type="xsd:double"&gt;1.8495882&lt;/D&gt;&lt;/FQL&gt;&lt;FQL&gt;&lt;Q&gt;NVT-US^P_BETA_LOCIDX(45513,45338,,"SPX")&lt;/Q&gt;&lt;R&gt;1&lt;/R&gt;&lt;C&gt;1&lt;/C&gt;&lt;D xsi:type="xsd:double"&gt;1.8386993&lt;/D&gt;&lt;/FQL&gt;&lt;FQL&gt;&lt;Q&gt;NVT-US^P_BETA_LOCIDX(45512,45337,,"SPX")&lt;/Q&gt;&lt;R&gt;1&lt;/R&gt;&lt;C&gt;1&lt;/C&gt;&lt;D xsi:type="xsd:double"&gt;1.8270067&lt;/D&gt;&lt;/FQL&gt;&lt;FQL&gt;&lt;Q&gt;NVT-US^P_BETA_LOCIDX(45511,45336,,"SPX")&lt;/Q&gt;&lt;R&gt;1&lt;/R&gt;&lt;C&gt;1&lt;/C&gt;&lt;D xsi:type="xsd:double"&gt;1.8517201&lt;/D&gt;&lt;/FQL&gt;&lt;FQL&gt;&lt;Q&gt;NVT-US^P_BETA_LOCIDX(45510,45335,,"SPX")&lt;/Q&gt;&lt;R&gt;1&lt;/R&gt;&lt;C&gt;1&lt;/C&gt;&lt;D xsi:type="xsd:double"&gt;1.8604558&lt;/D&gt;&lt;/FQL&gt;&lt;FQL&gt;&lt;Q&gt;NVT-US^P_BETA_LOCIDX(45509,45334,,"SPX")&lt;/Q&gt;&lt;R&gt;1&lt;/R&gt;&lt;C&gt;1&lt;/C&gt;&lt;D xsi:type="xsd:double"&gt;1.9189132&lt;/D&gt;&lt;/FQL&gt;&lt;FQL&gt;&lt;Q&gt;NVT-US^P_BETA_LOCIDX(45506,45331,,"SPX")&lt;/Q&gt;&lt;R&gt;1&lt;/R&gt;&lt;C&gt;1&lt;/C&gt;&lt;D xsi:type="xsd:double"&gt;2.0443387&lt;/D&gt;&lt;/FQL&gt;&lt;FQL&gt;&lt;Q&gt;NVT-US^P_BETA_LOCIDX(45505,45330,,"SPX")&lt;/Q&gt;&lt;R&gt;1&lt;/R&gt;&lt;C&gt;1&lt;/C&gt;&lt;D xsi:type="xsd:double"&gt;1.9406742&lt;/D&gt;&lt;/FQL&gt;&lt;FQL&gt;&lt;Q&gt;NVT-US^P_BETA_LOCIDX(45504,45329,,"SPX")&lt;/Q&gt;&lt;R&gt;1&lt;/R&gt;&lt;C&gt;1&lt;/C&gt;&lt;D xsi:type="xsd:double"&gt;1.9236486&lt;/D&gt;&lt;/FQL&gt;&lt;FQL&gt;&lt;Q&gt;NVT-US^P_BETA_LOCIDX(45503,45328,,"SPX")&lt;/Q&gt;&lt;R&gt;1&lt;/R&gt;&lt;C&gt;1&lt;/C&gt;&lt;D xsi:type="xsd:double"&gt;1.8820516&lt;/D&gt;&lt;/FQL&gt;&lt;FQL&gt;&lt;Q&gt;NVT-US^P_BETA_LOCIDX(45502,45327,,"SPX")&lt;/Q&gt;&lt;R&gt;1&lt;/R&gt;&lt;C&gt;1&lt;/C&gt;&lt;D xsi:type="xsd:double"&gt;1.8802123&lt;/D&gt;&lt;/FQL&gt;&lt;FQL&gt;&lt;Q&gt;NVT-US^P_BETA_LOCIDX(45499,45324,,"SPX")&lt;/Q&gt;&lt;R&gt;1&lt;/R&gt;&lt;C&gt;1&lt;/C&gt;&lt;D xsi:type="xsd:double"&gt;1.8724337&lt;/D&gt;&lt;/FQL&gt;&lt;FQL&gt;&lt;Q&gt;NVT-US^P_BETA_LOCIDX(45498,45323,,"SPX")&lt;/Q&gt;&lt;R&gt;1&lt;/R&gt;&lt;C&gt;1&lt;/C&gt;&lt;D xsi:type="xsd:double"&gt;1.9363103&lt;/D&gt;&lt;/FQL&gt;&lt;FQL&gt;&lt;Q&gt;NVT-US^P_BETA_LOCIDX(45497,45322,,"SPX")&lt;/Q&gt;&lt;R&gt;1&lt;/R&gt;&lt;C&gt;1&lt;/C&gt;&lt;D xsi:type="xsd:double"&gt;1.9099003&lt;/D&gt;&lt;/FQL&gt;&lt;FQL&gt;&lt;Q&gt;NVT-US^P_BETA_LOCIDX(45496,45321,,"SPX")&lt;/Q&gt;&lt;R&gt;1&lt;/R&gt;&lt;C&gt;1&lt;/C&gt;&lt;D xsi:type="xsd:double"&gt;1.7457107&lt;/D&gt;&lt;/FQL&gt;&lt;FQL&gt;&lt;Q&gt;NVT-US^P_BETA_LOCIDX(45495,45320,,"SPX")&lt;/Q&gt;&lt;R&gt;1&lt;/R&gt;&lt;C&gt;1&lt;/C&gt;&lt;D xsi:type="xsd:double"&gt;1.7483305&lt;/D&gt;&lt;/FQL&gt;&lt;FQL&gt;&lt;Q&gt;NVT-US^P_BETA_LOCIDX(45492,45317,,"SPX")&lt;/Q&gt;&lt;R&gt;1&lt;/R&gt;&lt;C&gt;1&lt;/C&gt;&lt;D xsi:type="xsd:double"&gt;1.7160524&lt;/D&gt;&lt;/FQL&gt;&lt;FQL&gt;&lt;Q&gt;NVT-US^P_BETA_LOCIDX(45491,45316,,"SPX")&lt;/Q&gt;&lt;R&gt;1&lt;/R&gt;&lt;C&gt;1&lt;/C&gt;&lt;D xsi:type="xsd:double"&gt;1.7398047&lt;/D&gt;&lt;/FQL&gt;&lt;FQL&gt;&lt;Q&gt;NVT-US^P_BETA_LOCIDX(45490,45315,,"SPX")&lt;/Q&gt;&lt;R&gt;1&lt;/R&gt;&lt;C&gt;1&lt;/C&gt;&lt;D xsi:type="xsd:double"&gt;1.75566&lt;/D&gt;&lt;/FQL&gt;&lt;FQL&gt;&lt;Q&gt;NVT-US^P_BETA_LOCIDX(45489,45314,,"SPX")&lt;/Q&gt;&lt;R&gt;1&lt;/R&gt;&lt;C&gt;1&lt;/C&gt;&lt;D xsi:type="xsd:double"&gt;1.5887252&lt;/D&gt;&lt;/FQL&gt;&lt;FQL&gt;&lt;Q&gt;NVT-US^P_BETA_LOCIDX(45488,45313,,"SPX")&lt;/Q&gt;&lt;R&gt;1&lt;/R&gt;&lt;C&gt;1&lt;/C&gt;&lt;D xsi:type="xsd:double"&gt;1.5677294&lt;/D&gt;&lt;/FQL&gt;&lt;FQL&gt;&lt;Q&gt;NVT-US^P_BETA_LOCIDX(45485,45310,,"SPX")&lt;/Q&gt;&lt;R&gt;1&lt;/R&gt;&lt;C&gt;1&lt;/C&gt;&lt;D xsi:type="xsd:double"&gt;1.5909307&lt;/D&gt;&lt;/FQL&gt;&lt;FQL&gt;&lt;Q&gt;NVT-US^P_BETA_LOCIDX(45484,45309,,"SPX")&lt;/Q&gt;&lt;R&gt;1&lt;/R&gt;&lt;C&gt;1&lt;/C&gt;&lt;D xsi:type="xsd:double"&gt;1.5952098&lt;/D&gt;&lt;/FQL&gt;&lt;FQL&gt;&lt;Q&gt;NVT-US^P_BETA_LOCIDX(45483,45308,,"SPX")&lt;/Q&gt;&lt;R&gt;1&lt;/R&gt;&lt;C&gt;1&lt;/C&gt;&lt;D xsi:type="xsd:double"&gt;1.6320316&lt;/D&gt;&lt;/FQL&gt;&lt;FQL&gt;&lt;Q&gt;NVT-US^P_BETA_LOCIDX(45482,45307,,"SPX")&lt;/Q&gt;&lt;R&gt;1&lt;/R&gt;&lt;C&gt;1&lt;/C&gt;&lt;D xsi:type="xsd:double"&gt;1.6091232&lt;/D&gt;&lt;/FQL&gt;&lt;FQL&gt;&lt;Q&gt;NVT-US^P_BETA_LOCIDX(45481,45303,,"SPX")&lt;/Q&gt;&lt;R&gt;1&lt;/R&gt;&lt;C&gt;1&lt;/C&gt;&lt;D xsi:type="xsd:double"&gt;1.608941&lt;/D&gt;&lt;/FQL&gt;&lt;FQL&gt;&lt;Q&gt;NVT-US^P_BETA_LOCIDX(45478,45302,,"SPX")&lt;/Q&gt;&lt;R&gt;1&lt;/R&gt;&lt;C&gt;1&lt;/C&gt;&lt;D xsi:type="xsd:double"&gt;1.6087474&lt;/D&gt;&lt;/FQL&gt;&lt;FQL&gt;&lt;Q&gt;NVT-US^P_BETA_LOCIDX(45476,45301,,"SPX")&lt;/Q&gt;&lt;R&gt;1&lt;/R&gt;&lt;C&gt;1&lt;/C&gt;&lt;D xsi:type="xsd:double"&gt;1.6161635&lt;/D&gt;&lt;/FQL&gt;&lt;FQL&gt;&lt;Q&gt;NVT-US^P_BETA_LOCIDX(45475,45300,,"SPX")&lt;/Q&gt;&lt;R&gt;1&lt;/R&gt;&lt;C&gt;1&lt;/C&gt;&lt;D xsi:type="xsd:double"&gt;1.6095248&lt;/D&gt;&lt;/FQL&gt;&lt;FQL&gt;&lt;Q&gt;NVT-US^P_BETA_LOCIDX(45474,45299,,"SPX")&lt;/Q&gt;&lt;R&gt;1&lt;/R&gt;&lt;C&gt;1&lt;/C&gt;&lt;D xsi:type="xsd:double"&gt;1.6031628&lt;/D&gt;&lt;/FQL&gt;&lt;FQL&gt;&lt;Q&gt;NVT-US^P_BETA_LOCIDX(45471,45296,,"SPX")&lt;/Q&gt;&lt;R&gt;1&lt;/R&gt;&lt;C&gt;1&lt;/C&gt;&lt;D xsi:type="xsd:double"&gt;1.6091195&lt;/D&gt;&lt;/FQL&gt;&lt;FQL&gt;&lt;Q&gt;NVT-US^P_BETA_LOCIDX(45470,45295,,"SPX")&lt;/Q&gt;&lt;R&gt;1&lt;/R&gt;&lt;C&gt;1&lt;/C&gt;&lt;D xsi:type="xsd:double"&gt;1.6137459&lt;/D&gt;&lt;/FQL&gt;&lt;FQL&gt;&lt;Q&gt;NVT-US^P_BETA_LOCIDX(45469,45294,,"SPX")&lt;/Q&gt;&lt;R&gt;1&lt;/R&gt;&lt;C&gt;1&lt;/C&gt;&lt;D xsi:type="xsd:double"&gt;1.6523402&lt;/D&gt;&lt;/FQL&gt;&lt;FQL&gt;&lt;Q&gt;NVT-US^P_BETA_LOCIDX(45468,45293,,"SPX")&lt;/Q&gt;&lt;R&gt;1&lt;/R&gt;&lt;C&gt;1&lt;/C&gt;&lt;D xsi:type="xsd:double"&gt;1.6632786&lt;/D&gt;&lt;/FQL&gt;&lt;FQL&gt;&lt;Q&gt;NVT-US^P_BETA_LOCIDX(45467,45289,,"SPX")&lt;/Q&gt;&lt;R&gt;1&lt;/R&gt;&lt;C&gt;1&lt;/C&gt;&lt;D xsi:type="xsd:double"&gt;1.6729859&lt;/D&gt;&lt;/FQL&gt;&lt;FQL&gt;&lt;Q&gt;NVT-US^P_BETA_LOCIDX(45464,45288,,"SPX")&lt;/Q&gt;&lt;R&gt;1&lt;/R&gt;&lt;C&gt;1&lt;/C&gt;&lt;D xsi:type="xsd:double"&gt;1.679771&lt;/D&gt;&lt;/FQL&gt;&lt;FQL&gt;&lt;Q&gt;NVT-US^P_BETA_LOCIDX(45463,45287,,"SPX")&lt;/Q&gt;&lt;R&gt;1&lt;/R&gt;&lt;C&gt;1&lt;/C&gt;&lt;D xsi:type="xsd:double"&gt;1.6793039&lt;/D&gt;&lt;/FQL&gt;&lt;FQL&gt;&lt;Q&gt;NVT-US^P_BETA_LOCIDX(45461,45286,,"SPX")&lt;/Q&gt;&lt;R&gt;1&lt;/R&gt;&lt;C&gt;1&lt;/C&gt;&lt;D xsi:type="xsd:double"&gt;1.6650819&lt;/D&gt;&lt;/FQL&gt;&lt;FQL&gt;&lt;Q&gt;NVT-US^P_BETA_LOCIDX(45460,45282,,"SPX")&lt;/Q&gt;&lt;R&gt;1&lt;/R&gt;&lt;C&gt;1&lt;/C&gt;&lt;D xsi:type="xsd:double"&gt;1.6628958&lt;/D&gt;&lt;/FQL&gt;&lt;FQL&gt;&lt;Q&gt;NVT-US^P_BETA_LOCIDX(45457,45281,,"SPX")&lt;/Q&gt;&lt;R&gt;1&lt;/R&gt;&lt;C&gt;1&lt;/C&gt;&lt;D xsi:type="xsd:double"&gt;1.6682532&lt;/D&gt;&lt;/FQL&gt;&lt;FQL&gt;&lt;Q&gt;NVT-US^P_BETA_LOCIDX(45456,45280,,"SPX")&lt;/Q&gt;&lt;R&gt;1&lt;/R&gt;&lt;C&gt;1&lt;/C&gt;&lt;D xsi:type="xsd:double"&gt;1.6384246&lt;/D&gt;&lt;/FQL&gt;&lt;FQL&gt;&lt;Q&gt;NVT-US^P_BETA_LOCIDX(45455,45279,,"SPX")&lt;/Q&gt;&lt;R&gt;1&lt;/R&gt;&lt;C&gt;1&lt;/C&gt;&lt;D xsi:type="xsd:double"&gt;1.6352099&lt;/D&gt;&lt;/FQL&gt;&lt;FQL&gt;&lt;Q&gt;NVT-US^P_BETA_LOCIDX(45454,45278,,"SPX")&lt;/Q&gt;&lt;R&gt;1&lt;/R&gt;&lt;C&gt;1&lt;/C&gt;&lt;D xsi:type="xsd:double"&gt;1.5967087&lt;/D&gt;&lt;/FQL&gt;&lt;FQL&gt;&lt;Q&gt;NVT-US^P_BETA_LOCIDX(45453,45275,,"SPX")&lt;/Q&gt;&lt;R&gt;1&lt;/R&gt;&lt;C&gt;1&lt;/C&gt;&lt;D xsi:type="xsd:double"&gt;1.599036&lt;/D&gt;&lt;/FQL&gt;&lt;FQL&gt;&lt;Q&gt;NVT-US^P_BETA_LOCIDX(45450,45274,,"SPX")&lt;/Q&gt;&lt;R&gt;1&lt;/R&gt;&lt;C&gt;1&lt;/C&gt;&lt;D xsi:type="xsd:double"&gt;1.6070501&lt;/D&gt;&lt;/FQL&gt;&lt;FQL&gt;&lt;Q&gt;NVT-US^P_BETA_LOCIDX(45449,45273,,"SPX")&lt;/Q&gt;&lt;R&gt;1&lt;/R&gt;&lt;C&gt;1&lt;/C&gt;&lt;D xsi:type="xsd:double"&gt;1.5353717&lt;/D&gt;&lt;/FQL&gt;&lt;FQL&gt;&lt;Q&gt;NVT-US^P_BETA_LOCIDX(45448,45272,,"SPX")&lt;/Q&gt;&lt;R&gt;1&lt;/R&gt;&lt;C&gt;1&lt;/C&gt;&lt;D xsi:type="xsd:double"&gt;1.5302728&lt;/D&gt;&lt;/FQL&gt;&lt;FQL&gt;&lt;Q&gt;NVT-US^P_BETA_LOCIDX(45447,45271,,"SPX")&lt;/Q&gt;&lt;R&gt;1&lt;/R&gt;&lt;C&gt;1&lt;/C&gt;&lt;D xsi:type="xsd:double"&gt;1.5065769&lt;/D&gt;&lt;/FQL&gt;&lt;FQL&gt;&lt;Q&gt;NVT-US^P_BETA_LOCIDX(45446,45268,,"SPX")&lt;/Q&gt;&lt;R&gt;1&lt;/R&gt;&lt;C&gt;1&lt;/C&gt;&lt;D xsi:type="xsd:double"&gt;1.5144767&lt;/D&gt;&lt;/FQL&gt;&lt;FQL&gt;&lt;Q&gt;NVT-US^P_BETA_LOCIDX(45443,45267,,"SPX")&lt;/Q&gt;&lt;R&gt;1&lt;/R&gt;&lt;C&gt;1&lt;/C&gt;&lt;D xsi:type="xsd:double"&gt;1.5056498&lt;/D&gt;&lt;/FQL&gt;&lt;FQL&gt;&lt;Q&gt;NVT-US^P_BETA_LOCIDX(45442,45266,,"SPX")&lt;/Q&gt;&lt;R&gt;1&lt;/R&gt;&lt;C&gt;1&lt;/C&gt;&lt;D xsi:type="xsd:double"&gt;1.5351613&lt;/D&gt;&lt;/FQL&gt;&lt;FQL&gt;&lt;Q&gt;NVT-US^P_BETA_LOCIDX(45441,45265,,"SPX")&lt;/Q&gt;&lt;R&gt;1&lt;/R&gt;&lt;C&gt;1&lt;/C&gt;&lt;D xsi:type="xsd:double"&gt;1.5429443&lt;/D&gt;&lt;/FQL&gt;&lt;FQL&gt;&lt;Q&gt;NVT-US^P_BETA_LOCIDX(45440,45264,,"SPX")&lt;/Q&gt;&lt;R&gt;1&lt;/R&gt;&lt;C&gt;1&lt;/C&gt;&lt;D xsi:type="xsd:double"&gt;1.5364736&lt;/D&gt;&lt;/FQL&gt;&lt;FQL&gt;&lt;Q&gt;NVT-US^P_BETA_LOCIDX(45436,45261,,"SPX")&lt;/Q&gt;&lt;R&gt;1&lt;/R&gt;&lt;C&gt;1&lt;/C&gt;&lt;D xsi:type="xsd:double"&gt;1.5366396&lt;/D&gt;&lt;/FQL&gt;&lt;FQL&gt;&lt;Q&gt;NVT-US^P_BETA_LOCIDX(45435,45260,,"SPX")&lt;/Q&gt;&lt;R&gt;1&lt;/R&gt;&lt;C&gt;1&lt;/C&gt;&lt;D xsi:type="xsd:double"&gt;1.5145959&lt;/D&gt;&lt;/FQL&gt;&lt;FQL&gt;&lt;Q&gt;NVT-US^P_BETA_LOCIDX(45434,45259,,"SPX")&lt;/Q&gt;&lt;R&gt;1&lt;/R&gt;&lt;C&gt;1&lt;/C&gt;&lt;D xsi:type="xsd:double"&gt;1.5323921&lt;/D&gt;&lt;/FQL&gt;&lt;FQL&gt;&lt;Q&gt;NVT-US^P_BETA_LOCIDX(45433,45258,,"SPX")&lt;/Q&gt;&lt;R&gt;1&lt;/R&gt;&lt;C&gt;1&lt;/C&gt;&lt;D xsi:type="xsd:double"&gt;1.5271761&lt;/D&gt;&lt;/FQL&gt;&lt;FQL&gt;&lt;Q&gt;NVT-US^P_BETA_LOCIDX(45432,45257,,"SPX")&lt;/Q&gt;&lt;R&gt;1&lt;/R&gt;&lt;C&gt;1&lt;/C&gt;&lt;D xsi:type="xsd:double"&gt;1.5214598&lt;/D&gt;&lt;/FQL&gt;&lt;FQL&gt;&lt;Q&gt;NVT-US^P_BETA_LOCIDX(45429,45254,,"SPX")&lt;/Q&gt;&lt;R&gt;1&lt;/R&gt;&lt;C&gt;1&lt;/C&gt;&lt;D xsi:type="xsd:double"&gt;1.5232885&lt;/D&gt;&lt;/FQL&gt;&lt;FQL&gt;&lt;Q&gt;NVT-US^P_BETA_LOCIDX(45428,45252,,"SPX")&lt;/Q&gt;&lt;R&gt;1&lt;/R&gt;&lt;C&gt;1&lt;/C&gt;&lt;D xsi:type="xsd:double"&gt;1.5258044&lt;/D&gt;&lt;/FQL&gt;&lt;FQL&gt;&lt;Q&gt;NVT-US^P_BETA_LOCIDX(45427,45251,,"SPX")&lt;/Q&gt;&lt;R&gt;1&lt;/R&gt;&lt;C&gt;1&lt;/C&gt;&lt;D xsi:type="xsd:double"&gt;1.5000123&lt;/D&gt;&lt;/FQL&gt;&lt;FQL&gt;&lt;Q&gt;NVT-US^P_BETA_LOCIDX(45426,45250,,"SPX")&lt;/Q&gt;&lt;R&gt;1&lt;/R&gt;&lt;C&gt;1&lt;/C&gt;&lt;D xsi:type="xsd:double"&gt;1.475627&lt;/D&gt;&lt;/FQL&gt;&lt;FQL&gt;&lt;Q&gt;NVT-US^P_BETA_LOCIDX(45425,45247,,"SPX")&lt;/Q&gt;&lt;R&gt;1&lt;/R&gt;&lt;C&gt;1&lt;/C&gt;&lt;D xsi:type="xsd:double"&gt;1.4729346&lt;/D&gt;&lt;/FQL&gt;&lt;FQL&gt;&lt;Q&gt;NVT-US^P_BETA_LOCIDX(45422,45246,,"SPX")&lt;/Q&gt;&lt;R&gt;1&lt;/R&gt;&lt;C&gt;1&lt;/C&gt;&lt;D xsi:type="xsd:double"&gt;1.4690262&lt;/D&gt;&lt;/FQL&gt;&lt;FQL&gt;&lt;Q&gt;NVT-US^P_BETA_LOCIDX(45421,45245,,"SPX")&lt;/Q&gt;&lt;R&gt;1&lt;/R&gt;&lt;C&gt;1&lt;/C&gt;&lt;D xsi:type="xsd:double"&gt;1.4693425&lt;/D&gt;&lt;/FQL&gt;&lt;FQL&gt;&lt;Q&gt;NVT-US^P_BETA_LOCIDX(45420,45244,,"SPX")&lt;/Q&gt;&lt;R&gt;1&lt;/R&gt;&lt;C&gt;1&lt;/C&gt;&lt;D xsi:type="xsd:double"&gt;1.4712436&lt;/D&gt;&lt;/FQL&gt;&lt;FQL&gt;&lt;Q&gt;NVT-US^P_BETA_LOCIDX(45419,45243,,"SPX")&lt;/Q&gt;&lt;R&gt;1&lt;/R&gt;&lt;C&gt;1&lt;/C&gt;&lt;D xsi:type="xsd:double"&gt;1.4767182&lt;/D&gt;&lt;/FQL&gt;&lt;FQL&gt;&lt;Q&gt;NVT-US^P_BETA_LOCIDX(45418,45240,,"SPX")&lt;/Q&gt;&lt;R&gt;1&lt;/R&gt;&lt;C&gt;1&lt;/C&gt;&lt;D xsi:type="xsd:double"&gt;1.4820595&lt;/D&gt;&lt;/FQL&gt;&lt;FQL&gt;&lt;Q&gt;NVT-US^P_BETA_LOCIDX(45415,45239,,"SPX")&lt;/Q&gt;&lt;R&gt;1&lt;/R&gt;&lt;C&gt;1&lt;/C&gt;&lt;D xsi:type="xsd:dou</t>
        </r>
      </text>
    </comment>
    <comment ref="A7" authorId="0" shapeId="0" xr:uid="{968B5ED8-D894-45E1-AD9E-13E509A1B081}">
      <text>
        <r>
          <rPr>
            <b/>
            <sz val="9"/>
            <color indexed="81"/>
            <rFont val="Tahoma"/>
            <charset val="1"/>
          </rPr>
          <t>ble"&gt;1.4942622&lt;/D&gt;&lt;/FQL&gt;&lt;FQL&gt;&lt;Q&gt;NVT-US^P_BETA_LOCIDX(45414,45238,,"SPX")&lt;/Q&gt;&lt;R&gt;1&lt;/R&gt;&lt;C&gt;1&lt;/C&gt;&lt;D xsi:type="xsd:double"&gt;1.4282633&lt;/D&gt;&lt;/FQL&gt;&lt;FQL&gt;&lt;Q&gt;NVT-US^P_BETA_LOCIDX(45413,45237,,"SPX")&lt;/Q&gt;&lt;R&gt;1&lt;/R&gt;&lt;C&gt;1&lt;/C&gt;&lt;D xsi:type="xsd:double"&gt;1.4313335&lt;/D&gt;&lt;/FQL&gt;&lt;FQL&gt;&lt;Q&gt;NVT-US^P_BETA_LOCIDX(45412,45236,,"SPX")&lt;/Q&gt;&lt;R&gt;1&lt;/R&gt;&lt;C&gt;1&lt;/C&gt;&lt;D xsi:type="xsd:double"&gt;1.42272&lt;/D&gt;&lt;/FQL&gt;&lt;FQL&gt;&lt;Q&gt;NVT-US^P_BETA_LOCIDX(45411,45233,,"SPX")&lt;/Q&gt;&lt;R&gt;1&lt;/R&gt;&lt;C&gt;1&lt;/C&gt;&lt;D xsi:type="xsd:double"&gt;1.3504366&lt;/D&gt;&lt;/FQL&gt;&lt;FQL&gt;&lt;Q&gt;NVT-US^P_BETA_LOCIDX(45408,45232,,"SPX")&lt;/Q&gt;&lt;R&gt;1&lt;/R&gt;&lt;C&gt;1&lt;/C&gt;&lt;D xsi:type="xsd:double"&gt;1.2805444&lt;/D&gt;&lt;/FQL&gt;&lt;FQL&gt;&lt;Q&gt;NVT-US^P_BETA_LOCIDX(45407,45231,,"SPX")&lt;/Q&gt;&lt;R&gt;1&lt;/R&gt;&lt;C&gt;1&lt;/C&gt;&lt;D xsi:type="xsd:double"&gt;1.2930304&lt;/D&gt;&lt;/FQL&gt;&lt;FQL&gt;&lt;Q&gt;NVT-US^P_BETA_LOCIDX(45406,45230,,"SPX")&lt;/Q&gt;&lt;R&gt;1&lt;/R&gt;&lt;C&gt;1&lt;/C&gt;&lt;D xsi:type="xsd:double"&gt;1.3062505&lt;/D&gt;&lt;/FQL&gt;&lt;FQL&gt;&lt;Q&gt;NVT-US^P_BETA_LOCIDX(45405,45229,,"SPX")&lt;/Q&gt;&lt;R&gt;1&lt;/R&gt;&lt;C&gt;1&lt;/C&gt;&lt;D xsi:type="xsd:double"&gt;1.3480964&lt;/D&gt;&lt;/FQL&gt;&lt;FQL&gt;&lt;Q&gt;NVT-US^P_BETA_LOCIDX(45404,45226,,"SPX")&lt;/Q&gt;&lt;R&gt;1&lt;/R&gt;&lt;C&gt;1&lt;/C&gt;&lt;D xsi:type="xsd:double"&gt;1.361872&lt;/D&gt;&lt;/FQL&gt;&lt;FQL&gt;&lt;Q&gt;NVT-US^P_BETA_LOCIDX(45401,45225,,"SPX")&lt;/Q&gt;&lt;R&gt;1&lt;/R&gt;&lt;C&gt;1&lt;/C&gt;&lt;D xsi:type="xsd:double"&gt;1.3480501&lt;/D&gt;&lt;/FQL&gt;&lt;FQL&gt;&lt;Q&gt;NVT-US^P_BETA_LOCIDX(45400,45224,,"SPX")&lt;/Q&gt;&lt;R&gt;1&lt;/R&gt;&lt;C&gt;1&lt;/C&gt;&lt;D xsi:type="xsd:double"&gt;1.3632467&lt;/D&gt;&lt;/FQL&gt;&lt;FQL&gt;&lt;Q&gt;NVT-US^P_BETA_LOCIDX(45399,45223,,"SPX")&lt;/Q&gt;&lt;R&gt;1&lt;/R&gt;&lt;C&gt;1&lt;/C&gt;&lt;D xsi:type="xsd:double"&gt;1.3465847&lt;/D&gt;&lt;/FQL&gt;&lt;FQL&gt;&lt;Q&gt;NVT-US^P_BETA_LOCIDX(45398,45222,,"SPX")&lt;/Q&gt;&lt;R&gt;1&lt;/R&gt;&lt;C&gt;1&lt;/C&gt;&lt;D xsi:type="xsd:double"&gt;1.3432014&lt;/D&gt;&lt;/FQL&gt;&lt;FQL&gt;&lt;Q&gt;NVT-US^P_BETA_LOCIDX(45397,45219,,"SPX")&lt;/Q&gt;&lt;R&gt;1&lt;/R&gt;&lt;C&gt;1&lt;/C&gt;&lt;D xsi:type="xsd:double"&gt;1.3390009&lt;/D&gt;&lt;/FQL&gt;&lt;FQL&gt;&lt;Q&gt;NVT-US^P_BETA_LOCIDX(45394,45218,,"SPX")&lt;/Q&gt;&lt;R&gt;1&lt;/R&gt;&lt;C&gt;1&lt;/C&gt;&lt;D xsi:type="xsd:double"&gt;1.3915501&lt;/D&gt;&lt;/FQL&gt;&lt;FQL&gt;&lt;Q&gt;NVT-US^P_BETA_LOCIDX(45393,45217,,"SPX")&lt;/Q&gt;&lt;R&gt;1&lt;/R&gt;&lt;C&gt;1&lt;/C&gt;&lt;D xsi:type="xsd:double"&gt;1.5023729&lt;/D&gt;&lt;/FQL&gt;&lt;FQL&gt;&lt;Q&gt;NVT-US^P_BETA_LOCIDX(45392,45216,,"SPX")&lt;/Q&gt;&lt;R&gt;1&lt;/R&gt;&lt;C&gt;1&lt;/C&gt;&lt;D xsi:type="xsd:double"&gt;1.5050693&lt;/D&gt;&lt;/FQL&gt;&lt;FQL&gt;&lt;Q&gt;NVT-US^P_BETA_LOCIDX(45391,45215,,"SPX")&lt;/Q&gt;&lt;R&gt;1&lt;/R&gt;&lt;C&gt;1&lt;/C&gt;&lt;D xsi:type="xsd:double"&gt;1.5143844&lt;/D&gt;&lt;/FQL&gt;&lt;FQL&gt;&lt;Q&gt;NVT-US^P_BETA_LOCIDX(45390,45212,,"SPX")&lt;/Q&gt;&lt;R&gt;1&lt;/R&gt;&lt;C&gt;1&lt;/C&gt;&lt;D xsi:type="xsd:double"&gt;1.5732096&lt;/D&gt;&lt;/FQL&gt;&lt;FQL&gt;&lt;Q&gt;NVT-US^P_BETA_LOCIDX(45387,45211,,"SPX")&lt;/Q&gt;&lt;R&gt;1&lt;/R&gt;&lt;C&gt;1&lt;/C&gt;&lt;D xsi:type="xsd:double"&gt;1.5667363&lt;/D&gt;&lt;/FQL&gt;&lt;FQL&gt;&lt;Q&gt;NVT-US^P_BETA_LOCIDX(45386,45210,,"SPX")&lt;/Q&gt;&lt;R&gt;1&lt;/R&gt;&lt;C&gt;1&lt;/C&gt;&lt;D xsi:type="xsd:double"&gt;1.5502145&lt;/D&gt;&lt;/FQL&gt;&lt;FQL&gt;&lt;Q&gt;NVT-US^P_BETA_LOCIDX(45385,45209,,"SPX")&lt;/Q&gt;&lt;R&gt;1&lt;/R&gt;&lt;C&gt;1&lt;/C&gt;&lt;D xsi:type="xsd:double"&gt;1.5539353&lt;/D&gt;&lt;/FQL&gt;&lt;FQL&gt;&lt;Q&gt;NVT-US^P_BETA_LOCIDX(45384,45208,,"SPX")&lt;/Q&gt;&lt;R&gt;1&lt;/R&gt;&lt;C&gt;1&lt;/C&gt;&lt;D xsi:type="xsd:double"&gt;1.5474656&lt;/D&gt;&lt;/FQL&gt;&lt;FQL&gt;&lt;Q&gt;NVT-US^P_BETA_LOCIDX(45383,45205,,"SPX")&lt;/Q&gt;&lt;R&gt;1&lt;/R&gt;&lt;C&gt;1&lt;/C&gt;&lt;D xsi:type="xsd:double"&gt;1.5898749&lt;/D&gt;&lt;/FQL&gt;&lt;FQL&gt;&lt;Q&gt;NVT-US^P_BETA_LOCIDX(45379,45204,,"SPX")&lt;/Q&gt;&lt;R&gt;1&lt;/R&gt;&lt;C&gt;1&lt;/C&gt;&lt;D xsi:type="xsd:double"&gt;1.5947678&lt;/D&gt;&lt;/FQL&gt;&lt;FQL&gt;&lt;Q&gt;NVT-US^P_BETA_LOCIDX(45378,45203,,"SPX")&lt;/Q&gt;&lt;R&gt;1&lt;/R&gt;&lt;C&gt;1&lt;/C&gt;&lt;D xsi:type="xsd:double"&gt;1.5886582&lt;/D&gt;&lt;/FQL&gt;&lt;FQL&gt;&lt;Q&gt;NVT-US^P_BETA_LOCIDX(45377,45202,,"SPX")&lt;/Q&gt;&lt;R&gt;1&lt;/R&gt;&lt;C&gt;1&lt;/C&gt;&lt;D xsi:type="xsd:double"&gt;1.5614551&lt;/D&gt;&lt;/FQL&gt;&lt;FQL&gt;&lt;Q&gt;NVT-US^P_BETA_LOCIDX(45376,45201,,"SPX")&lt;/Q&gt;&lt;R&gt;1&lt;/R&gt;&lt;C&gt;1&lt;/C&gt;&lt;D xsi:type="xsd:double"&gt;1.5771414&lt;/D&gt;&lt;/FQL&gt;&lt;FQL&gt;&lt;Q&gt;NVT-US^P_BETA_LOCIDX(45373,45198,,"SPX")&lt;/Q&gt;&lt;R&gt;1&lt;/R&gt;&lt;C&gt;1&lt;/C&gt;&lt;D xsi:type="xsd:double"&gt;1.5923465&lt;/D&gt;&lt;/FQL&gt;&lt;FQL&gt;&lt;Q&gt;NVT-US^P_BETA_LOCIDX(45372,45197,,"SPX")&lt;/Q&gt;&lt;R&gt;1&lt;/R&gt;&lt;C&gt;1&lt;/C&gt;&lt;D xsi:type="xsd:double"&gt;1.5962108&lt;/D&gt;&lt;/FQL&gt;&lt;FQL&gt;&lt;Q&gt;NVT-US^P_BETA_LOCIDX(45371,45196,,"SPX")&lt;/Q&gt;&lt;R&gt;1&lt;/R&gt;&lt;C&gt;1&lt;/C&gt;&lt;D xsi:type="xsd:double"&gt;1.5915933&lt;/D&gt;&lt;/FQL&gt;&lt;FQL&gt;&lt;Q&gt;NVT-US^P_BETA_LOCIDX(45370,45195,,"SPX")&lt;/Q&gt;&lt;R&gt;1&lt;/R&gt;&lt;C&gt;1&lt;/C&gt;&lt;D xsi:type="xsd:double"&gt;1.6048816&lt;/D&gt;&lt;/FQL&gt;&lt;FQL&gt;&lt;Q&gt;NVT-US^P_BETA_LOCIDX(45369,45194,,"SPX")&lt;/Q&gt;&lt;R&gt;1&lt;/R&gt;&lt;C&gt;1&lt;/C&gt;&lt;D xsi:type="xsd:double"&gt;1.6056713&lt;/D&gt;&lt;/FQL&gt;&lt;FQL&gt;&lt;Q&gt;NVT-US^P_BETA_LOCIDX(45366,45191,,"SPX")&lt;/Q&gt;&lt;R&gt;1&lt;/R&gt;&lt;C&gt;1&lt;/C&gt;&lt;D xsi:type="xsd:double"&gt;1.6027623&lt;/D&gt;&lt;/FQL&gt;&lt;FQL&gt;&lt;Q&gt;NVT-US^P_BETA_LOCIDX(45365,45190,,"SPX")&lt;/Q&gt;&lt;R&gt;1&lt;/R&gt;&lt;C&gt;1&lt;/C&gt;&lt;D xsi:type="xsd:double"&gt;1.6099712&lt;/D&gt;&lt;/FQL&gt;&lt;FQL&gt;&lt;Q&gt;NVT-US^P_BETA_LOCIDX(45364,45189,,"SPX")&lt;/Q&gt;&lt;R&gt;1&lt;/R&gt;&lt;C&gt;1&lt;/C&gt;&lt;D xsi:type="xsd:double"&gt;1.6025199&lt;/D&gt;&lt;/FQL&gt;&lt;FQL&gt;&lt;Q&gt;NVT-US^P_BETA_LOCIDX(45363,45188,,"SPX")&lt;/Q&gt;&lt;R&gt;1&lt;/R&gt;&lt;C&gt;1&lt;/C&gt;&lt;D xsi:type="xsd:double"&gt;1.6155564&lt;/D&gt;&lt;/FQL&gt;&lt;FQL&gt;&lt;Q&gt;NVT-US^P_BETA_LOCIDX(45362,45187,,"SPX")&lt;/Q&gt;&lt;R&gt;1&lt;/R&gt;&lt;C&gt;1&lt;/C&gt;&lt;D xsi:type="xsd:double"&gt;1.6071926&lt;/D&gt;&lt;/FQL&gt;&lt;FQL&gt;&lt;Q&gt;NVT-US^P_BETA_LOCIDX(45359,45184,,"SPX")&lt;/Q&gt;&lt;R&gt;1&lt;/R&gt;&lt;C&gt;1&lt;/C&gt;&lt;D xsi:type="xsd:double"&gt;1.6081644&lt;/D&gt;&lt;/FQL&gt;&lt;FQL&gt;&lt;Q&gt;NVT-US^P_BETA_LOCIDX(45358,45183,,"SPX")&lt;/Q&gt;&lt;R&gt;1&lt;/R&gt;&lt;C&gt;1&lt;/C&gt;&lt;D xsi:type="xsd:double"&gt;1.5994534&lt;/D&gt;&lt;/FQL&gt;&lt;FQL&gt;&lt;Q&gt;NVT-US^P_BETA_LOCIDX(45357,45182,,"SPX")&lt;/Q&gt;&lt;R&gt;1&lt;/R&gt;&lt;C&gt;1&lt;/C&gt;&lt;D xsi:type="xsd:double"&gt;1.6119435&lt;/D&gt;&lt;/FQL&gt;&lt;FQL&gt;&lt;Q&gt;NVT-US^P_BETA_LOCIDX(45356,45181,,"SPX")&lt;/Q&gt;&lt;R&gt;1&lt;/R&gt;&lt;C&gt;1&lt;/C&gt;&lt;D xsi:type="xsd:double"&gt;1.6147937&lt;/D&gt;&lt;/FQL&gt;&lt;FQL&gt;&lt;Q&gt;NVT-US^P_BETA_LOCIDX(45355,45180,,"SPX")&lt;/Q&gt;&lt;R&gt;1&lt;/R&gt;&lt;C&gt;1&lt;/C&gt;&lt;D xsi:type="xsd:double"&gt;1.616026&lt;/D&gt;&lt;/FQL&gt;&lt;FQL&gt;&lt;Q&gt;NVT-US^P_BETA_LOCIDX(45352,45177,,"SPX")&lt;/Q&gt;&lt;R&gt;1&lt;/R&gt;&lt;C&gt;1&lt;/C&gt;&lt;D xsi:type="xsd:double"&gt;1.6204005&lt;/D&gt;&lt;/FQL&gt;&lt;FQL&gt;&lt;Q&gt;NVT-US^P_BETA_LOCIDX(45351,45176,,"SPX")&lt;/Q&gt;&lt;R&gt;1&lt;/R&gt;&lt;C&gt;1&lt;/C&gt;&lt;D xsi:type="xsd:double"&gt;1.5930854&lt;/D&gt;&lt;/FQL&gt;&lt;FQL&gt;&lt;Q&gt;NVT-US^P_BETA_LOCIDX(45350,45175,,"SPX")&lt;/Q&gt;&lt;R&gt;1&lt;/R&gt;&lt;C&gt;1&lt;/C&gt;&lt;D xsi:type="xsd:double"&gt;1.5648695&lt;/D&gt;&lt;/FQL&gt;&lt;FQL&gt;&lt;Q&gt;NVT-US^P_BETA_LOCIDX(45349,45174,,"SPX")&lt;/Q&gt;&lt;R&gt;1&lt;/R&gt;&lt;C&gt;1&lt;/C&gt;&lt;D xsi:type="xsd:double"&gt;1.5860159&lt;/D&gt;&lt;/FQL&gt;&lt;FQL&gt;&lt;Q&gt;NVT-US^P_BETA_LOCIDX(45348,45170,,"SPX")&lt;/Q&gt;&lt;R&gt;1&lt;/R&gt;&lt;C&gt;1&lt;/C&gt;&lt;D xsi:type="xsd:double"&gt;1.5874556&lt;/D&gt;&lt;/FQL&gt;&lt;FQL&gt;&lt;Q&gt;NVT-US^P_BETA_LOCIDX(45345,45169,,"SPX")&lt;/Q&gt;&lt;R&gt;1&lt;/R&gt;&lt;C&gt;1&lt;/C&gt;&lt;D xsi:type="xsd:double"&gt;1.5819801&lt;/D&gt;&lt;/FQL&gt;&lt;FQL&gt;&lt;Q&gt;NVT-US^P_BETA_LOCIDX(45344,45168,,"SPX")&lt;/Q&gt;&lt;R&gt;1&lt;/R&gt;&lt;C&gt;1&lt;/C&gt;&lt;D xsi:type="xsd:double"&gt;1.5833774&lt;/D&gt;&lt;/FQL&gt;&lt;FQL&gt;&lt;Q&gt;NVT-US^P_BETA_LOCIDX(45343,45167,,"SPX")&lt;/Q&gt;&lt;R&gt;1&lt;/R&gt;&lt;C&gt;1&lt;/C&gt;&lt;D xsi:type="xsd:double"&gt;1.5578312&lt;/D&gt;&lt;/FQL&gt;&lt;FQL&gt;&lt;Q&gt;NVT-US^P_BETA_LOCIDX(45342,45166,,"SPX")&lt;/Q&gt;&lt;R&gt;1&lt;/R&gt;&lt;C&gt;1&lt;/C&gt;&lt;D xsi:type="xsd:double"&gt;1.5618067&lt;/D&gt;&lt;/FQL&gt;&lt;FQL&gt;&lt;Q&gt;NVT-US^P_BETA_LOCIDX(45338,45163,,"SPX")&lt;/Q&gt;&lt;R&gt;1&lt;/R&gt;&lt;C&gt;1&lt;/C&gt;&lt;D xsi:type="xsd:double"&gt;1.5544807&lt;/D&gt;&lt;/FQL&gt;&lt;FQL&gt;&lt;Q&gt;NVT-US^P_BETA_LOCIDX(45337,45162,,"SPX")&lt;/Q&gt;&lt;R&gt;1&lt;/R&gt;&lt;C&gt;1&lt;/C&gt;&lt;D xsi:type="xsd:double"&gt;1.5264734&lt;/D&gt;&lt;/FQL&gt;&lt;FQL&gt;&lt;Q&gt;NVT-US^P_BETA_LOCIDX(45336,45161,,"SPX")&lt;/Q&gt;&lt;R&gt;1&lt;/R&gt;&lt;C&gt;1&lt;/C&gt;&lt;D xsi:type="xsd:double"&gt;1.5446299&lt;/D&gt;&lt;/FQL&gt;&lt;FQL&gt;&lt;Q&gt;NVT-US^P_BETA_LOCIDX(45335,45160,,"SPX")&lt;/Q&gt;&lt;R&gt;1&lt;/R&gt;&lt;C&gt;1&lt;/C&gt;&lt;D xsi:type="xsd:double"&gt;1.542588&lt;/D&gt;&lt;/FQL&gt;&lt;FQL&gt;&lt;Q&gt;NVT-US^P_BETA_LOCIDX(45334,45159,,"SPX")&lt;/Q&gt;&lt;R&gt;1&lt;/R&gt;&lt;C&gt;1&lt;/C&gt;&lt;D xsi:type="xsd:double"&gt;1.5364572&lt;/D&gt;&lt;/FQL&gt;&lt;FQL&gt;&lt;Q&gt;NVT-US^P_BETA_LOCIDX(45331,45156,,"SPX")&lt;/Q&gt;&lt;R&gt;1&lt;/R&gt;&lt;C&gt;1&lt;/C&gt;&lt;D xsi:type="xsd:double"&gt;1.5356464&lt;/D&gt;&lt;/FQL&gt;&lt;FQL&gt;&lt;Q&gt;NVT-US^P_BETA_LOCIDX(45330,45155,,"SPX")&lt;/Q&gt;&lt;R&gt;1&lt;/R&gt;&lt;C&gt;1&lt;/C&gt;&lt;D xsi:type="xsd:double"&gt;1.5483527&lt;/D&gt;&lt;/FQL&gt;&lt;FQL&gt;&lt;Q&gt;NVT-US^P_BETA_LOCIDX(45329,45154,,"SPX")&lt;/Q&gt;&lt;R&gt;1&lt;/R&gt;&lt;C&gt;1&lt;/C&gt;&lt;D xsi:type="xsd:double"&gt;1.5607175&lt;/D&gt;&lt;/FQL&gt;&lt;FQL&gt;&lt;Q&gt;NVT-US^P_BETA_LOCIDX(45328,45153,,"SPX")&lt;/Q&gt;&lt;R&gt;1&lt;/R&gt;&lt;C&gt;1&lt;/C&gt;&lt;D xsi:type="xsd:double"&gt;1.5268804&lt;/D&gt;&lt;/FQL&gt;&lt;FQL&gt;&lt;Q&gt;NVT-US^P_BETA_LOCIDX(45327,45152,,"SPX")&lt;/Q&gt;&lt;R&gt;1&lt;/R&gt;&lt;C&gt;1&lt;/C&gt;&lt;D xsi:type="xsd:double"&gt;1.5298053&lt;/D&gt;&lt;/FQL&gt;&lt;FQL&gt;&lt;Q&gt;NVT-US^P_BETA_LOCIDX(45324,45149,,"SPX")&lt;/Q&gt;&lt;R&gt;1&lt;/R&gt;&lt;C&gt;1&lt;/C&gt;&lt;D xsi:type="xsd:double"&gt;1.5262666&lt;/D&gt;&lt;/FQL&gt;&lt;FQL&gt;&lt;Q&gt;NVT-US^P_BETA_LOCIDX(45323,45148,,"SPX")&lt;/Q&gt;&lt;R&gt;1&lt;/R&gt;&lt;C&gt;1&lt;/C&gt;&lt;D xsi:type="xsd:double"&gt;1.5301845&lt;/D&gt;&lt;/FQL&gt;&lt;FQL&gt;&lt;Q&gt;NVT-US^P_BETA_LOCIDX(45322,45147,,"SPX")&lt;/Q&gt;&lt;R&gt;1&lt;/R&gt;&lt;C&gt;1&lt;/C&gt;&lt;D xsi:type="xsd:double"&gt;1.4980688&lt;/D&gt;&lt;/FQL&gt;&lt;FQL&gt;&lt;Q&gt;NVT-US^P_BETA_LOCIDX(45321,45146,,"SPX")&lt;/Q&gt;&lt;R&gt;1&lt;/R&gt;&lt;C&gt;1&lt;/C&gt;&lt;D xsi:type="xsd:double"&gt;1.4984429&lt;/D&gt;&lt;/FQL&gt;&lt;FQL&gt;&lt;Q&gt;NVT-US^P_BETA_LOCIDX(45320,45145,,"SPX")&lt;/Q&gt;&lt;R&gt;1&lt;/R&gt;&lt;C&gt;1&lt;/C&gt;&lt;D xsi:type="xsd:double"&gt;1.5098671&lt;/D&gt;&lt;/FQL&gt;&lt;FQL&gt;&lt;Q&gt;NVT-US^P_BETA_LOCIDX(45317,45142,,"SPX")&lt;/Q&gt;&lt;R&gt;1&lt;/R&gt;&lt;C&gt;1&lt;/C&gt;&lt;D xsi:type="xsd:double"&gt;1.511392&lt;/D&gt;&lt;/FQL&gt;&lt;FQL&gt;&lt;Q&gt;NVT-US^P_BETA_LOCIDX(45316,45141,,"SPX")&lt;/Q&gt;&lt;R&gt;1&lt;/R&gt;&lt;C&gt;1&lt;/C&gt;&lt;D xsi:type="xsd:double"&gt;1.5202614&lt;/D&gt;&lt;/FQL&gt;&lt;FQL&gt;&lt;Q&gt;NVT-US^P_BETA_LOCIDX(45315,45140,,"SPX")&lt;/Q&gt;&lt;R&gt;1&lt;/R&gt;&lt;C&gt;1&lt;/C&gt;&lt;D xsi:type="xsd:double"&gt;1.4153105&lt;/D&gt;&lt;/FQL&gt;&lt;FQL&gt;&lt;Q&gt;NVT-US^P_BETA_LOCIDX(45314,45139,,"SPX")&lt;/Q&gt;&lt;R&gt;1&lt;/R&gt;&lt;C&gt;1&lt;/C&gt;&lt;D xsi:type="xsd:double"&gt;1.3978091&lt;/D&gt;&lt;/FQL&gt;&lt;FQL&gt;&lt;Q&gt;NVT-US^P_BETA_LOCIDX(45313,45138,,"SPX")&lt;/Q&gt;&lt;R&gt;1&lt;/R&gt;&lt;C&gt;1&lt;/C&gt;&lt;D xsi:type="xsd:double"&gt;1.4016159&lt;/D&gt;&lt;/FQL&gt;&lt;FQL&gt;&lt;Q&gt;NVT-US^P_BETA_LOCIDX(45310,45135,,"SPX")&lt;/Q&gt;&lt;R&gt;1&lt;/R&gt;&lt;C&gt;1&lt;/C&gt;&lt;D xsi:type="xsd:double"&gt;1.4042245&lt;/D&gt;&lt;/FQL&gt;&lt;FQL&gt;&lt;Q&gt;NVT-US^P_BETA_LOCIDX(45309,45134,,"SPX")&lt;/Q&gt;&lt;R&gt;1&lt;/R&gt;&lt;C&gt;1&lt;/C&gt;&lt;D xsi:type="xsd:double"&gt;1.3692052&lt;/D&gt;&lt;/FQL&gt;&lt;FQL&gt;&lt;Q&gt;NVT-US^P_BETA_LOCIDX(45308,45133,,"SPX")&lt;/Q&gt;&lt;R&gt;1&lt;/R&gt;&lt;C&gt;1&lt;/C&gt;&lt;D xsi:type="xsd:double"&gt;1.374261&lt;/D&gt;&lt;/FQL&gt;&lt;FQL&gt;&lt;Q&gt;NVT-US^P_BETA_LOCIDX(45307,45132,,"SPX")&lt;/Q&gt;&lt;R&gt;1&lt;/R&gt;&lt;C&gt;1&lt;/C&gt;&lt;D xsi:type="xsd:double"&gt;1.3700393&lt;/D&gt;&lt;/FQL&gt;&lt;FQL&gt;&lt;Q&gt;NVT-US^P_BETA_LOCIDX(45303,45131,,"SPX")&lt;/Q&gt;&lt;R&gt;1&lt;/R&gt;&lt;C&gt;1&lt;/C&gt;&lt;D xsi:type="xsd:double"&gt;1.3680044&lt;/D&gt;&lt;/FQL&gt;&lt;FQL&gt;&lt;Q&gt;NVT-US^P_BETA_LOCIDX(45302,45128,,"SPX")&lt;/Q&gt;&lt;R&gt;1&lt;/R&gt;&lt;C&gt;1&lt;/C&gt;&lt;D xsi:type="xsd:double"&gt;1.3684741&lt;/D&gt;&lt;/FQL&gt;&lt;FQL&gt;&lt;Q&gt;NVT-US^P_BETA_LOCIDX(45301,45127,,"SPX")&lt;/Q&gt;&lt;R&gt;1&lt;/R&gt;&lt;C&gt;1&lt;/C&gt;&lt;D xsi:type="xsd:double"&gt;1.3739586&lt;/D&gt;&lt;/FQL&gt;&lt;FQL&gt;&lt;Q&gt;NVT-US^P_BETA_LOCIDX(45300,45126,,"SPX")&lt;/Q&gt;&lt;R&gt;1&lt;/R&gt;&lt;C&gt;1&lt;/C&gt;&lt;D xsi:type="xsd:double"&gt;1.3803338&lt;/D&gt;&lt;/FQL&gt;&lt;FQL&gt;&lt;Q&gt;NVT-US^P_BETA_LOCIDX(45299,45125,,"SPX")&lt;/Q&gt;&lt;R&gt;1&lt;/R&gt;&lt;C&gt;1&lt;/C&gt;&lt;D xsi:type="xsd:double"&gt;1.3991815&lt;/D&gt;&lt;/FQL&gt;&lt;FQL&gt;&lt;Q&gt;NVT-US^P_BETA_LOCIDX(45296,45124,,"SPX")&lt;/Q&gt;&lt;R&gt;1&lt;/R&gt;&lt;C&gt;1&lt;/C&gt;&lt;D xsi:type="xsd:double"&gt;1.4057015&lt;/D&gt;&lt;/FQL&gt;&lt;FQL&gt;&lt;Q&gt;NVT-US^P_BETA_LOCIDX(45295,45121,,"SPX")&lt;/Q&gt;&lt;R&gt;1&lt;/R&gt;&lt;C&gt;1&lt;/C&gt;&lt;D xsi:type="xsd:double"&gt;1.4056746&lt;/D&gt;&lt;/FQL&gt;&lt;FQL&gt;&lt;Q&gt;NVT-US^P_BETA_LOCIDX(45294,45120,,"SPX")&lt;/Q&gt;&lt;R&gt;1&lt;/R&gt;&lt;C&gt;1&lt;/C&gt;&lt;D xsi:type="xsd:double"&gt;1.4170418&lt;/D&gt;&lt;/FQL&gt;&lt;FQL&gt;&lt;Q&gt;NVT-US^P_BETA_LOCIDX(45293,45119,,"SPX")&lt;/Q&gt;&lt;R&gt;1&lt;/R&gt;&lt;C&gt;1&lt;/C&gt;&lt;D xsi:type="xsd:double"&gt;1.380828&lt;/D&gt;&lt;/FQL&gt;&lt;FQL&gt;&lt;Q&gt;NVT-US^P_BETA_LOCIDX(45289,45118,,"SPX")&lt;/Q&gt;&lt;R&gt;1&lt;/R&gt;&lt;C&gt;1&lt;/C&gt;&lt;D xsi:type="xsd:double"&gt;1.3646109&lt;/D&gt;&lt;/FQL&gt;&lt;FQL&gt;&lt;Q&gt;NVT-US^P_BETA_LOCIDX(45288,45117,,"SPX")&lt;/Q&gt;&lt;R&gt;1&lt;/R&gt;&lt;C&gt;1&lt;/C&gt;&lt;D xsi:type="xsd:double"&gt;1.3699654&lt;/D&gt;&lt;/FQL&gt;&lt;FQL&gt;&lt;Q&gt;NVT-US^P_BETA_LOCIDX(45287,45114,,"SPX")&lt;/Q&gt;&lt;R&gt;1&lt;/R&gt;&lt;C&gt;1&lt;/C&gt;&lt;D xsi:type="xsd:double"&gt;1.3576201&lt;/D&gt;&lt;/FQL&gt;&lt;FQL&gt;&lt;Q&gt;NVT-US^P_BETA_LOCIDX(45286,45113,,"SPX")&lt;/Q&gt;&lt;R&gt;1&lt;/R&gt;&lt;C&gt;1&lt;/C&gt;&lt;D xsi:type="xsd:double"&gt;1.3653293&lt;/D&gt;&lt;/FQL&gt;&lt;FQL&gt;&lt;Q&gt;NVT-US^P_BETA_LOCIDX(45282,45112,,"SPX")&lt;/Q&gt;&lt;R&gt;1&lt;/R&gt;&lt;C&gt;1&lt;/C&gt;&lt;D xsi:type="xsd:double"&gt;1.3757885&lt;/D&gt;&lt;/FQL&gt;&lt;FQL&gt;&lt;Q&gt;NVT-US^P_BETA_LOCIDX(45281,45110,,"SPX")&lt;/Q&gt;&lt;R&gt;1&lt;/R&gt;&lt;C&gt;1&lt;/C&gt;&lt;D xsi:type="xsd:double"&gt;1.373545&lt;/D&gt;&lt;/FQL&gt;&lt;FQL&gt;&lt;Q&gt;NVT-US^P_BETA_LOCIDX(45280,45107,,"SPX")&lt;/Q&gt;&lt;R&gt;1&lt;/R&gt;&lt;C&gt;1&lt;/C&gt;&lt;D xsi:type="xsd:double"&gt;1.375178&lt;/D&gt;&lt;/FQL&gt;&lt;FQL&gt;&lt;Q&gt;NVT-US^P_BETA_LOCIDX(45279,45106,,"SPX")&lt;/Q&gt;&lt;R&gt;1&lt;/R&gt;&lt;C&gt;1&lt;/C&gt;&lt;D xsi:type="xsd:double"&gt;1.3808727&lt;/D&gt;&lt;/FQL&gt;&lt;FQL&gt;&lt;Q&gt;NVT-US^P_BETA_LOCIDX(45278,45105,,"SPX")&lt;/Q&gt;&lt;R&gt;1&lt;/R&gt;&lt;C&gt;1&lt;/C&gt;&lt;D xsi:type="xsd:double"&gt;1.3820153&lt;/D&gt;&lt;/FQL&gt;&lt;FQL&gt;&lt;Q&gt;NVT-US^P_BETA_LOCIDX(45275,45104,,"SPX")&lt;/Q&gt;&lt;R&gt;1&lt;/R&gt;&lt;C&gt;1&lt;/C&gt;&lt;D xsi:type="xsd:double"&gt;1.3979851&lt;/D&gt;&lt;/FQL&gt;&lt;FQL&gt;&lt;Q&gt;NVT-US^P_BETA_LOCIDX(45274,45103,,"SPX")&lt;/Q&gt;&lt;R&gt;1&lt;/R&gt;&lt;C&gt;1&lt;/C&gt;&lt;D xsi:type="xsd:double"&gt;1.3666831&lt;/D&gt;&lt;/FQL&gt;&lt;FQL&gt;&lt;Q&gt;NVT-US^P_BETA_LOCIDX(45273,45100,,"SPX")&lt;/Q&gt;&lt;R&gt;1&lt;/R&gt;&lt;C&gt;1&lt;/C&gt;&lt;D xsi:type="xsd:double"&gt;1.3331716&lt;/D&gt;&lt;/FQL&gt;&lt;FQL&gt;&lt;Q&gt;NVT-US^P_BETA_LOCIDX(45272,45099,,"SPX")&lt;/Q&gt;&lt;R&gt;1&lt;/R&gt;&lt;C&gt;1&lt;/C&gt;&lt;D xsi:type="xsd:double"&gt;1.3931708&lt;/D&gt;&lt;/FQL&gt;&lt;FQL&gt;&lt;Q&gt;NVT-US^P_BETA_LOCIDX(45271,45098,,"SPX")&lt;/Q&gt;&lt;R&gt;1&lt;/R&gt;&lt;C&gt;1&lt;/C&gt;&lt;D xsi:type="xsd:double"&gt;1.3807844&lt;/D&gt;&lt;/FQL&gt;&lt;FQL&gt;&lt;Q&gt;NVT-US^P_BETA_LOCIDX(45268,45097,,"SPX")&lt;/Q&gt;&lt;R&gt;1&lt;/R&gt;&lt;C&gt;1&lt;/C&gt;&lt;D xsi:type="xsd:double"&gt;1.3675064&lt;/D&gt;&lt;/FQL&gt;&lt;FQL&gt;&lt;Q&gt;NVT-US^P_BETA_LOCIDX(45267,45093,,"SPX")&lt;/Q&gt;&lt;R&gt;1&lt;/R&gt;&lt;C&gt;1&lt;/C&gt;&lt;D xsi:type="xsd:double"&gt;1.3660185&lt;/D&gt;&lt;/FQL&gt;&lt;FQL&gt;&lt;Q&gt;NVT-US^P_BETA_LOCIDX(45266,45092,,"SPX")&lt;/Q&gt;&lt;R&gt;1&lt;/R&gt;&lt;C&gt;1&lt;/C&gt;&lt;D xsi:type="xsd:double"&gt;1.3529929&lt;/D&gt;&lt;/FQL&gt;&lt;FQL&gt;&lt;Q&gt;NVT-US^P_BETA_LOCIDX(45265,45091,,"SPX")&lt;/Q&gt;&lt;R&gt;1&lt;/R&gt;&lt;C&gt;1&lt;/C&gt;&lt;D xsi:type="xsd:double"&gt;1.3564069&lt;/D&gt;&lt;/FQL&gt;&lt;FQL&gt;&lt;Q&gt;NVT-US^P_BETA_LOCIDX(45264,45090,,"SPX")&lt;/Q&gt;&lt;R&gt;1&lt;/R&gt;&lt;C&gt;1&lt;/C&gt;&lt;D xsi:type="xsd:double"&gt;1.3452893&lt;/D&gt;&lt;/FQL&gt;&lt;FQL&gt;&lt;Q&gt;NVT-US^P_BETA_LOCIDX(45261,45089,,"SPX")&lt;/Q&gt;&lt;R&gt;1&lt;/R&gt;&lt;C&gt;1&lt;/C&gt;&lt;D xsi:type="xsd:double"&gt;1.3647324&lt;/D&gt;&lt;/FQL&gt;&lt;FQL&gt;&lt;Q&gt;NVT-US^P_BETA_LOCIDX(45260,45086,,"SPX")&lt;/Q&gt;&lt;R&gt;1&lt;/R&gt;&lt;C&gt;1&lt;/C&gt;&lt;D xsi:type="xsd:double"&gt;1.3572029&lt;/D&gt;&lt;/FQL&gt;&lt;FQL&gt;&lt;Q&gt;NVT-US^P_BETA_LOCIDX(45259,45085,,"SPX")&lt;/Q&gt;&lt;R&gt;1&lt;/R&gt;&lt;C&gt;1&lt;/C&gt;&lt;D xsi:type="xsd:double"&gt;1.3473399&lt;/D&gt;&lt;/FQL&gt;&lt;FQL&gt;&lt;Q&gt;NVT-US^P_BETA_LOCIDX(45258,45084,,"SPX")&lt;/Q&gt;&lt;R&gt;1&lt;/R&gt;&lt;C&gt;1&lt;/C&gt;&lt;D xsi:type="xsd:double"&gt;1.3224311&lt;/D&gt;&lt;/FQL&gt;&lt;FQL&gt;&lt;Q&gt;NVT-US^P_BETA_LOCIDX(45257,45083,,"SPX")&lt;/Q&gt;&lt;R&gt;1&lt;/R&gt;&lt;C&gt;1&lt;/C&gt;&lt;D xsi:type="xsd:double"&gt;1.3280519&lt;/D&gt;&lt;/FQL&gt;&lt;FQL&gt;&lt;Q&gt;NVT-US^P_BETA_LOCIDX(45254,45082,,"SPX")&lt;/Q&gt;&lt;R&gt;1&lt;/R&gt;&lt;C&gt;1&lt;/C&gt;&lt;D xsi:type="xsd:double"&gt;1.3361988&lt;/D&gt;&lt;/FQL&gt;&lt;FQL&gt;&lt;Q&gt;NVT-US^P_BETA_LOCIDX(45252,45079,,"SPX")&lt;/Q&gt;&lt;R&gt;1&lt;/R&gt;&lt;C&gt;1&lt;/C&gt;&lt;D xsi:type="xsd:double"&gt;1.380815&lt;/D&gt;&lt;/FQL&gt;&lt;FQL&gt;&lt;Q&gt;NVT-US^P_BETA_LOCIDX(45251,45078,,"SPX")&lt;/Q&gt;&lt;R&gt;1&lt;/R&gt;&lt;C&gt;1&lt;/C&gt;&lt;D xsi:type="xsd:double"&gt;1.3851452&lt;/D&gt;&lt;/FQL&gt;&lt;FQL&gt;&lt;Q&gt;NVT-US^P_BETA_LOCIDX(45250,45077,,"SPX")&lt;/Q&gt;&lt;R&gt;1&lt;/R&gt;&lt;C&gt;1&lt;/C&gt;&lt;D xsi:type="xsd:double"&gt;1.4093823&lt;/D&gt;&lt;/FQL&gt;&lt;FQL&gt;&lt;Q&gt;NVT-US^P_BETA_LOCIDX(45247,45076,,"SPX")&lt;/Q&gt;&lt;R&gt;1&lt;/R&gt;&lt;C&gt;1&lt;/C&gt;&lt;D xsi:type="xsd:double"&gt;1.4122715&lt;/D&gt;&lt;/FQL&gt;&lt;FQL&gt;&lt;Q&gt;NVT-US^P_BETA_LOCIDX(45246,45072,,"SPX")&lt;/Q&gt;&lt;R&gt;1&lt;/R&gt;&lt;C&gt;1&lt;/C&gt;&lt;D xsi:type="xsd:double"&gt;1.4242501&lt;/D&gt;&lt;/FQL&gt;&lt;FQL&gt;&lt;Q&gt;NVT-US^P_BETA_LOCIDX(45245,45071,,"SPX")&lt;/Q&gt;&lt;R&gt;1&lt;/R&gt;&lt;C&gt;1&lt;/C&gt;&lt;D xsi:type="xsd:double"&gt;1.4817556&lt;/D&gt;&lt;/FQL&gt;&lt;FQL&gt;&lt;Q&gt;NVT-US^P_BETA_LOCIDX(45244,45070,,"SPX")&lt;/Q&gt;&lt;R&gt;1&lt;/R&gt;&lt;C&gt;1&lt;/C&gt;&lt;D xsi:type="xsd:double"&gt;1.4917583&lt;/D&gt;&lt;/FQL&gt;&lt;FQL&gt;&lt;Q&gt;NVT-US^P_BETA_LOCIDX(45243,45069,,"SPX")&lt;/Q&gt;&lt;R&gt;1&lt;/R&gt;&lt;C&gt;1&lt;/C&gt;&lt;D xsi:type="xsd:double"&gt;1.5038842&lt;/D&gt;&lt;/FQL&gt;&lt;FQL&gt;&lt;Q&gt;NVT-US^P_BETA_LOCIDX(45240,45068,,"SPX")&lt;/Q&gt;&lt;R&gt;1&lt;/R&gt;&lt;C&gt;1&lt;/C&gt;&lt;D xsi:type="xsd:double"&gt;1.5038064&lt;/D&gt;&lt;/FQL&gt;&lt;FQL&gt;&lt;Q&gt;NVT-US^P_BETA_LOCIDX(45239,45065,,"SPX")&lt;/Q&gt;&lt;R&gt;1&lt;/R&gt;&lt;C&gt;1&lt;/C&gt;&lt;D xsi:type="xsd:double"&gt;1.4992927&lt;/D&gt;&lt;/FQL&gt;&lt;FQL&gt;&lt;Q&gt;NVT-US^P_BETA_LOCIDX(45238,45064,,"SPX")&lt;/Q&gt;&lt;R&gt;1&lt;/R&gt;&lt;C&gt;1&lt;/C&gt;&lt;D xsi:type="xsd:double"&gt;1.5177335&lt;/D&gt;&lt;/FQL&gt;&lt;FQL&gt;&lt;Q&gt;NVT-US^P_BETA_LOCIDX(45237,45063,,"SPX")&lt;/Q&gt;&lt;R&gt;1&lt;/R&gt;&lt;C&gt;1&lt;/C&gt;&lt;D xsi:type="xsd:double"&gt;1.5191001&lt;/D&gt;&lt;/FQL&gt;&lt;FQL&gt;&lt;Q&gt;NVT-US^P_BETA_LOCIDX(45236,45062,,"SPX")&lt;/Q&gt;&lt;R&gt;1&lt;/R&gt;&lt;C&gt;1&lt;/C&gt;&lt;D xsi:type="xsd:double"&gt;1.533894&lt;/D&gt;&lt;/FQL&gt;&lt;FQL&gt;&lt;Q&gt;NVT-US^P_BETA_LOCIDX(45233,45061,,"SPX")&lt;/Q&gt;&lt;R&gt;1&lt;/R&gt;&lt;C&gt;1&lt;/C&gt;&lt;D xsi:type="xsd:double"&gt;1.5345902&lt;/D&gt;&lt;/FQL&gt;&lt;FQL&gt;&lt;Q&gt;NVT-US^P_BETA_LOCIDX(45232,45058,,"SPX")&lt;/Q&gt;&lt;R&gt;1&lt;/R&gt;&lt;C&gt;1&lt;/C&gt;&lt;D xsi:type="xsd:double"&gt;1.5421984&lt;/D&gt;&lt;/FQL&gt;&lt;FQL&gt;&lt;Q&gt;NVT-US^P_BETA_LOCIDX(45231,45057,,"SPX")&lt;/Q&gt;&lt;R&gt;1&lt;/R&gt;&lt;C&gt;1&lt;/C&gt;&lt;D xsi:type="xsd:double"&gt;1.6257638&lt;/D&gt;&lt;/FQL&gt;&lt;FQL&gt;&lt;Q&gt;NVT-US^P_BETA_LOCIDX(45230,45056,,"SPX")&lt;/Q&gt;&lt;R&gt;1&lt;/R&gt;&lt;C&gt;1&lt;/C&gt;&lt;D xsi:type="xsd:double"&gt;1.6075251&lt;/D&gt;&lt;/FQL&gt;&lt;FQL&gt;&lt;Q&gt;NVT-US^P_BETA_LOCIDX(45229,45055,,"SPX")&lt;/Q&gt;&lt;R&gt;1&lt;/R&gt;&lt;C&gt;1&lt;/C&gt;&lt;D xsi:type="xsd:double"&gt;1.6009755&lt;/D&gt;&lt;/FQL&gt;&lt;FQL&gt;&lt;Q&gt;NVT-US^P_BETA_LOCIDX(45226,45054,,"SPX")&lt;/Q&gt;&lt;R&gt;1&lt;/R&gt;&lt;C&gt;1&lt;/C&gt;&lt;D xsi:type="xsd:double"&gt;1.5627362&lt;/D&gt;&lt;/FQL&gt;&lt;FQL&gt;&lt;Q&gt;NVT-US^P_BETA_LOCIDX(45225,45051,,"SPX")&lt;/Q&gt;&lt;R&gt;1&lt;/R&gt;&lt;C&gt;1&lt;/C&gt;&lt;D xsi:type="xsd:double"&gt;1.5322727&lt;/D&gt;&lt;/FQL&gt;&lt;FQL&gt;&lt;Q&gt;NVT-US^P_BETA_LOCIDX(45224,45050,,"SPX")&lt;/Q&gt;&lt;R&gt;1&lt;/R&gt;&lt;C&gt;1&lt;/C&gt;&lt;D xsi:type="xsd:double"&gt;1.6007268&lt;/D&gt;&lt;/FQL&gt;&lt;FQL&gt;&lt;Q&gt;NVT-US^P_BETA_LOCIDX(45223,45049,,"SPX")&lt;/Q&gt;&lt;R&gt;1&lt;/R&gt;&lt;C&gt;1&lt;/C&gt;&lt;D xsi:type="xsd:double"&gt;1.6064807&lt;/D&gt;&lt;/FQL&gt;&lt;FQL&gt;&lt;Q&gt;NVT-US^P_BETA_LOCIDX(45222,45048,,"SPX")&lt;/Q&gt;&lt;R&gt;1&lt;/R&gt;&lt;C&gt;1&lt;/C&gt;&lt;D xsi:type="xsd:double"&gt;1.5888515&lt;/D&gt;&lt;/FQL&gt;&lt;FQL&gt;&lt;Q&gt;NVT-US^P_BETA_LOCIDX(45219,45047,,"SPX")&lt;/Q&gt;&lt;R&gt;1&lt;/R&gt;&lt;C&gt;1&lt;/C&gt;&lt;D xsi:type="xsd:double"&gt;1.5882754&lt;/D&gt;&lt;/FQL&gt;&lt;FQL&gt;&lt;Q&gt;NVT-US^P_BETA_LOCIDX(45218,45044,,"SPX")&lt;/Q&gt;&lt;R&gt;1&lt;/R&gt;&lt;C&gt;1&lt;/C&gt;&lt;D xsi:type="xsd:double"&gt;1.5220381&lt;/D&gt;&lt;/FQL&gt;&lt;FQL&gt;&lt;Q&gt;NVT-US^P_BETA_LOCIDX(45217,45043,,"SPX")&lt;/Q&gt;&lt;R&gt;1&lt;/R&gt;&lt;C&gt;1&lt;/C&gt;&lt;D xsi:type="xsd:double"&gt;1.4992805&lt;/D&gt;&lt;/FQL&gt;&lt;FQL&gt;&lt;Q&gt;NVT-US^P_BETA_LOCIDX(45216,45042,,"SPX")&lt;/Q&gt;&lt;R&gt;1&lt;/R&gt;&lt;C&gt;1&lt;/C&gt;&lt;D xsi:type="xsd:double"&gt;1.4320799&lt;/D&gt;&lt;/FQL&gt;&lt;FQL&gt;&lt;Q&gt;NVT-US^P_BETA_LOCIDX(45215,45041,,"SPX")&lt;/Q&gt;&lt;R&gt;1&lt;/R&gt;&lt;C&gt;1&lt;/C&gt;&lt;D xsi:type="xsd:double"&gt;1.3973663&lt;/D&gt;&lt;/FQL&gt;&lt;FQL&gt;&lt;Q&gt;NVT-US^P_BETA_LOCIDX(45212,45040,,"SPX")&lt;/Q&gt;&lt;R&gt;1&lt;/R&gt;&lt;C&gt;1&lt;/C&gt;&lt;D xsi:type="xsd:double"&gt;1.395863&lt;/D&gt;&lt;/FQL&gt;&lt;FQL&gt;&lt;Q&gt;NVT-US^P_BETA_LOCIDX(45211,45037,,"SPX")&lt;/Q&gt;&lt;R&gt;1&lt;/R&gt;&lt;C&gt;1&lt;/C&gt;&lt;D xsi:type="xsd:double"&gt;1.3470764&lt;/D&gt;&lt;/FQL&gt;&lt;FQL&gt;&lt;Q&gt;NVT-US^P_BETA_LOCIDX(45210,45036,,"SPX")&lt;/Q&gt;&lt;R&gt;1&lt;/R&gt;&lt;C&gt;1&lt;/C&gt;&lt;D xsi:type="xsd:double"&gt;1.3504771&lt;/D&gt;&lt;/FQL&gt;&lt;FQL&gt;&lt;Q&gt;NVT-US^P_BETA_LOCIDX(45209,45035,,"SPX")&lt;/Q&gt;&lt;R&gt;1&lt;/R&gt;&lt;C&gt;1&lt;/C&gt;&lt;D xsi:type="xsd:double"&gt;1.3379225&lt;/D&gt;&lt;/FQL&gt;&lt;FQL&gt;&lt;Q&gt;NVT-US^P_BETA_LOCIDX(45208,45034,,"SPX")&lt;/Q&gt;&lt;R&gt;1&lt;/R&gt;&lt;C&gt;1&lt;/C&gt;&lt;D xsi:type="xsd:double"&gt;1.3461109&lt;/D&gt;&lt;/FQL&gt;&lt;FQL&gt;&lt;Q&gt;NVT-US^P_BETA_LOCIDX(45205,45033,,"SPX")&lt;/Q&gt;&lt;R&gt;1&lt;/R&gt;&lt;C&gt;1&lt;/C&gt;&lt;D xsi:type="xsd:double"&gt;1.3533045&lt;/D&gt;&lt;/FQL&gt;&lt;FQL&gt;&lt;Q&gt;NVT-US^P_BETA_LOCIDX(45204,45030,,"SPX")&lt;/Q&gt;&lt;R&gt;1&lt;/R&gt;&lt;C&gt;1&lt;/C&gt;&lt;D xsi:type="xsd:double"&gt;1.3204578&lt;/D&gt;&lt;/FQL&gt;&lt;FQL&gt;&lt;Q&gt;NVT-US^P_BETA_LOCIDX(45203,45029,,"SPX")&lt;/Q&gt;&lt;R&gt;1&lt;/R&gt;&lt;C&gt;1&lt;/C&gt;&lt;D xsi:type="xsd:double"&gt;1.2730416&lt;/D&gt;&lt;/FQL&gt;&lt;FQL&gt;&lt;Q&gt;NVT-US^P_BETA_LOCIDX(45202,45028,,"SPX")&lt;/Q&gt;&lt;R&gt;1&lt;/R&gt;&lt;C&gt;1&lt;/C&gt;&lt;D xsi:type="xsd:double"&gt;1.2635804&lt;/D&gt;&lt;/FQL&gt;&lt;FQL&gt;&lt;Q&gt;NVT-US^P_BETA_LOCIDX(45201,45027,,"SPX")&lt;/Q&gt;&lt;R&gt;1&lt;/R&gt;&lt;C&gt;1&lt;/C&gt;&lt;D xsi:type="xsd:double"&gt;1.2843416&lt;/D&gt;&lt;/FQL&gt;&lt;FQL&gt;&lt;Q&gt;NVT-US^P_BETA_LOCIDX(45198,45026,,"SPX")&lt;/Q&gt;&lt;R&gt;1&lt;/R&gt;&lt;C&gt;1&lt;/C&gt;&lt;D xsi:type="xsd:double"&gt;1.2839483&lt;/D&gt;&lt;/FQL&gt;&lt;FQL&gt;&lt;Q&gt;NVT-US^P_BETA_LOCIDX(45197,45022,,"SPX")&lt;/Q&gt;&lt;R&gt;1&lt;/R&gt;&lt;C&gt;1&lt;/C&gt;&lt;D xsi:type="xsd:double"&gt;1.2801467&lt;/D&gt;&lt;/FQL&gt;&lt;FQL&gt;&lt;Q&gt;NVT-US^P_BETA_LOCIDX(45196,45021,,"SPX")&lt;/Q&gt;&lt;R&gt;1&lt;/R&gt;&lt;C&gt;1&lt;/C&gt;&lt;D xsi:type="xsd:double"&gt;1.2804452&lt;/D&gt;&lt;/FQL&gt;&lt;FQL&gt;&lt;Q&gt;NVT-US^P_BETA_LOCIDX(45195,45020,,"SPX")&lt;/Q&gt;&lt;R&gt;1&lt;/R&gt;&lt;C&gt;1&lt;/C&gt;&lt;D xsi:type="xsd:double"&gt;1.337984&lt;/D&gt;&lt;/FQL&gt;&lt;FQL&gt;&lt;Q&gt;NVT-US^P_BETA_LOCIDX(45194,45019,,"SPX")&lt;/Q&gt;&lt;R&gt;1&lt;/R&gt;&lt;C&gt;1&lt;/C&gt;&lt;D xsi:type="xsd:double"&gt;1.3229198&lt;/D&gt;&lt;/FQL&gt;&lt;FQL&gt;&lt;Q&gt;NVT-US^P_BETA_LOCIDX(45191,45016,,"SPX")&lt;/Q&gt;&lt;R&gt;1&lt;/R&gt;&lt;C&gt;1&lt;/C&gt;&lt;D xsi:type="xsd:double"&gt;1.3128636&lt;/D&gt;&lt;/FQL&gt;&lt;FQL&gt;&lt;Q&gt;NVT-US^P_BETA_LOCIDX(45190,45015,,"SPX")&lt;/Q&gt;&lt;R&gt;1&lt;/R&gt;&lt;C&gt;1&lt;/C&gt;&lt;D xsi:type="xsd:double"&gt;1.30938&lt;/D&gt;&lt;/FQL&gt;&lt;FQL&gt;&lt;Q&gt;NVT-US^P_BETA_LOCIDX(45189,45014,,"SPX")&lt;/Q&gt;&lt;R&gt;1&lt;/R&gt;&lt;C&gt;1&lt;/C&gt;&lt;D xsi:type="xsd:double"&gt;1.2774069&lt;/D&gt;&lt;/FQL&gt;&lt;FQL&gt;&lt;Q&gt;NVT-US^P_BETA_LOCIDX(45188,45013,,"SPX")&lt;/Q&gt;&lt;R&gt;1&lt;/R&gt;&lt;C&gt;1&lt;/C&gt;&lt;D xsi:type="xsd:double"&gt;1.2755564&lt;/D&gt;&lt;/FQL&gt;&lt;FQL&gt;&lt;Q&gt;NVT-US^P_BETA_LOCIDX(45187,45012,,"SPX")&lt;/Q&gt;&lt;R&gt;1&lt;/R&gt;&lt;C&gt;1&lt;/C&gt;&lt;D xsi:type="xsd:double"&gt;1.2693566&lt;/D&gt;&lt;/FQL&gt;&lt;FQL&gt;&lt;Q&gt;NVT-US^P_BETA_LOCIDX(45184,45009,,"SPX")&lt;/Q&gt;&lt;R&gt;1&lt;/R&gt;&lt;C&gt;1&lt;/C&gt;&lt;D xsi:type="xsd:double"&gt;1.2607175&lt;/D&gt;&lt;/FQL&gt;&lt;FQL&gt;&lt;Q&gt;NVT-US^P_BETA_LOCIDX(45183,45008,,"SPX")&lt;/Q&gt;&lt;R&gt;1&lt;/R&gt;&lt;C&gt;1&lt;/C&gt;&lt;D xsi:type="xsd:double"&gt;1.2402349&lt;/D&gt;&lt;/FQL&gt;&lt;FQL&gt;&lt;Q&gt;NVT-US^P_BETA_LOCIDX(45182,45007,,"SPX")&lt;/Q&gt;&lt;R&gt;1&lt;/R&gt;&lt;C&gt;1&lt;/C&gt;&lt;D xsi:type="xsd:double"&gt;1.2489978&lt;/D&gt;&lt;/FQL&gt;&lt;FQL&gt;&lt;Q&gt;NVT-US^P_BETA_LOCIDX(45181,45006,,"SPX")&lt;/Q&gt;&lt;R&gt;1&lt;/R&gt;&lt;C&gt;1&lt;/C&gt;&lt;D xsi:type="xsd:double"&gt;1.2464992&lt;/D&gt;&lt;/FQL&gt;&lt;FQL&gt;&lt;Q&gt;NVT-US^P_BETA_LOCIDX(45180,45005,,"SPX")&lt;/Q&gt;&lt;R&gt;1&lt;/R&gt;&lt;C&gt;1&lt;/C&gt;&lt;D xsi:type="xsd:double"&gt;1.2428966&lt;/D&gt;&lt;/FQL&gt;&lt;FQL&gt;&lt;Q&gt;NVT-US^P_BETA_LOCIDX(45177,45002,,"SPX")&lt;/Q&gt;&lt;R&gt;1&lt;/R&gt;&lt;C&gt;1&lt;/C&gt;&lt;D xsi:type="xsd:double"&gt;1.2720156&lt;/D&gt;&lt;/FQL&gt;&lt;FQL&gt;&lt;Q&gt;NVT-US^P_BETA_LOCIDX(45176,45001,,"SPX")&lt;/Q&gt;&lt;R&gt;1&lt;/R&gt;&lt;C&gt;1&lt;/C&gt;&lt;D xsi:type="xsd:double"&gt;1.2892787&lt;/D&gt;&lt;/FQL&gt;&lt;FQL&gt;&lt;Q&gt;NVT-US^P_BETA_LOCIDX(45175,45000,,"SPX")&lt;/Q&gt;&lt;R&gt;1&lt;/R&gt;&lt;C&gt;1&lt;/C&gt;&lt;D xsi:type="xsd:double"&gt;1.3819816&lt;/D&gt;&lt;/FQL&gt;&lt;FQL&gt;&lt;Q&gt;NVT-US^P_BETA_LOCIDX(45174,44999,,"SPX")&lt;/Q&gt;&lt;R&gt;1&lt;/R&gt;&lt;C&gt;1&lt;/C&gt;&lt;D xsi:type="xsd:double"&gt;1.4444441&lt;/D&gt;&lt;/FQL&gt;&lt;FQL&gt;&lt;Q&gt;NVT-US^P_BETA_LOCIDX(45170,44998,,"SPX")&lt;/Q&gt;&lt;R&gt;1&lt;/R&gt;&lt;C&gt;1&lt;/C&gt;&lt;D xsi:type="xsd:double"&gt;1.4323155&lt;/D&gt;&lt;/FQL&gt;&lt;FQL&gt;&lt;Q&gt;NVT-US^P_BETA_LOCIDX(45169,44995,,"SPX")&lt;/Q&gt;&lt;R&gt;1&lt;/R&gt;&lt;C&gt;1&lt;/C&gt;&lt;D xsi:type="xsd:double"&gt;1.4509424&lt;/D&gt;&lt;/FQL&gt;&lt;FQL&gt;&lt;Q&gt;NVT-US^P_BETA_LOCIDX(45168,44994,,"SPX")&lt;/Q&gt;&lt;R&gt;1&lt;/R&gt;&lt;C&gt;1&lt;/C&gt;&lt;D xsi:type="xsd:double"&gt;1.4565598&lt;/D&gt;&lt;/FQL&gt;&lt;FQL&gt;&lt;Q&gt;NVT-US^P_BETA_LOCIDX(45167,44993,,"SPX")&lt;/Q&gt;&lt;R&gt;1&lt;/R&gt;&lt;C&gt;1&lt;/C&gt;&lt;D xsi:type="xsd:double"&gt;1.4557936&lt;/D&gt;&lt;/FQL&gt;&lt;FQL&gt;&lt;Q&gt;NVT-US^P_BETA_LOCIDX(45166,44992,,"SPX")&lt;/Q&gt;&lt;R&gt;1&lt;/R&gt;&lt;C&gt;1&lt;/C&gt;&lt;D xsi:type="xsd:double"&gt;1.4139575&lt;/D&gt;&lt;/FQL&gt;&lt;FQL&gt;&lt;Q&gt;NVT-US^P_BETA_LOCIDX(45163,44991,,"SPX")&lt;/Q&gt;&lt;R&gt;1&lt;/R&gt;&lt;C&gt;1&lt;/C&gt;&lt;D xsi:type="xsd:double"&gt;1.4097981&lt;/D&gt;&lt;/FQL&gt;&lt;FQL&gt;&lt;Q&gt;NVT-US^P_BETA_LOCIDX(45162,44988,,"SPX")&lt;/Q&gt;&lt;R&gt;1&lt;/R&gt;&lt;C&gt;1&lt;/C&gt;&lt;D xsi:type="xsd:double"&gt;1.372651&lt;/D&gt;&lt;/FQL&gt;&lt;FQL&gt;&lt;Q&gt;NVT-US^P_BETA_LOCIDX(45161,44987,,"SPX")&lt;/Q&gt;&lt;R&gt;1&lt;/R&gt;&lt;C&gt;1&lt;/C&gt;&lt;D xsi:type="xsd:double"&gt;1.3926502&lt;/D&gt;&lt;/FQL&gt;&lt;FQL&gt;&lt;Q&gt;NVT-US^P_BETA_LOCIDX(45160,44986,,"SPX")&lt;/Q&gt;&lt;R&gt;1&lt;/R&gt;&lt;C&gt;1&lt;/C&gt;&lt;D xsi:type="xsd:double"&gt;1.3706325&lt;/D&gt;&lt;/FQL&gt;&lt;FQL&gt;&lt;Q&gt;NVT-US^P_BETA_LOCIDX(45159,44985,,"SPX")&lt;/Q&gt;&lt;R&gt;1&lt;/R&gt;&lt;C&gt;1&lt;/C&gt;&lt;D xsi:type="xsd:double"&gt;1.3633152&lt;/D&gt;&lt;/FQL&gt;&lt;FQL&gt;&lt;Q&gt;NVT-US^P_BETA_LOCIDX(45156,44984,,"SPX")&lt;/Q&gt;&lt;R&gt;1&lt;/R&gt;&lt;C&gt;1&lt;/C&gt;&lt;D xsi:type="xsd:double"&gt;1.3575045&lt;/D&gt;&lt;/FQL&gt;&lt;FQL&gt;&lt;Q&gt;NVT-US^P_BETA_LOCIDX(45155,44981,,"SPX")&lt;/Q&gt;&lt;R&gt;1&lt;/R&gt;&lt;C&gt;1&lt;/C&gt;&lt;D xsi:type="xsd:double"&gt;1.340666&lt;/D&gt;&lt;/FQL&gt;&lt;FQL&gt;&lt;Q&gt;NVT-US^P_BETA_LOCIDX(45154,44980,,"SPX")&lt;/Q&gt;&lt;R&gt;1&lt;/R&gt;&lt;C&gt;1&lt;/C&gt;&lt;D xsi:type="xsd:double"&gt;1.3383918&lt;/D&gt;&lt;/FQL&gt;&lt;FQL&gt;&lt;Q&gt;NVT-US^P_BETA_LOCIDX(45153,44979,,"SPX")&lt;/Q&gt;&lt;R&gt;1&lt;/R&gt;&lt;C&gt;1&lt;/C&gt;&lt;D xsi:type="xsd:double"&gt;1.3252997&lt;/D&gt;&lt;/FQL&gt;&lt;FQL&gt;&lt;Q&gt;NVT-US^P_BETA_LOCIDX(45152,44978,,"SPX")&lt;/Q&gt;&lt;R&gt;1&lt;/R&gt;&lt;C&gt;1&lt;/C&gt;&lt;D xsi:type="xsd:double"&gt;1.3078878&lt;/D&gt;&lt;/FQL&gt;&lt;FQL&gt;&lt;Q&gt;NVT-US^P_BETA_LOCIDX(45149,44974,,"SPX")&lt;/Q&gt;&lt;R&gt;1&lt;/R&gt;&lt;C&gt;1&lt;/C&gt;&lt;D xsi:type="xsd:double"&gt;1.3028417&lt;/D&gt;&lt;/FQL&gt;&lt;FQL&gt;&lt;Q&gt;NVT-US^P_BETA_LOCIDX(45148,44973,,"SPX")&lt;/Q&gt;&lt;R&gt;1&lt;/R&gt;&lt;C&gt;1&lt;/C&gt;&lt;D xsi:type="xsd:double"&gt;1.2676991&lt;/D&gt;&lt;/FQL&gt;&lt;FQL&gt;&lt;Q&gt;NVT-US^P_BETA_LOCIDX(45147,44972,,"SPX")&lt;/Q&gt;&lt;R&gt;1&lt;/R&gt;&lt;C&gt;1&lt;/C&gt;&lt;D xsi:type="xsd:double"&gt;1.2660613&lt;/D&gt;&lt;/FQL&gt;&lt;FQL&gt;&lt;Q&gt;NVT-US^P_BETA_LOCIDX(45146,44971,,"SPX")&lt;/Q&gt;&lt;R&gt;1&lt;/R&gt;&lt;C&gt;1&lt;/C&gt;&lt;D xsi:type="xsd:double"&gt;1.2578238&lt;/D&gt;&lt;/FQL&gt;&lt;FQL&gt;&lt;Q&gt;NVT-US^P_BETA_LOCIDX(45145,44970,,"SPX")&lt;/Q&gt;&lt;R&gt;1&lt;/R&gt;&lt;C&gt;1&lt;/C&gt;&lt;D xsi:type="xsd:double"&gt;1.2622117&lt;/D&gt;&lt;/FQL&gt;&lt;FQL&gt;&lt;Q&gt;NVT-US^P_BETA_LOCIDX(45142,44967,,"SPX")&lt;/Q&gt;&lt;R&gt;1&lt;/R&gt;&lt;C&gt;1&lt;/C&gt;&lt;D xsi:type="xsd:double"&gt;1.2560488&lt;/D&gt;&lt;/FQL&gt;&lt;FQL&gt;&lt;Q&gt;NVT-US^P_BETA_LOCIDX(45141,44966,,"SPX")&lt;/Q&gt;&lt;R&gt;1&lt;/R&gt;&lt;C&gt;1&lt;/C&gt;&lt;D xsi:type="xsd:double"&gt;1.2395492&lt;/D&gt;&lt;/FQL&gt;&lt;FQL&gt;&lt;Q&gt;NVT-US^P_BETA_LOCIDX(45140,44965,,"SPX")&lt;/Q&gt;&lt;R&gt;1&lt;/R&gt;&lt;C&gt;1&lt;/C&gt;&lt;D xsi:type="xsd:double"&gt;1.1734127&lt;/D&gt;&lt;/FQL&gt;&lt;FQL&gt;&lt;Q&gt;NVT-US^P_BETA_LOCIDX(45139,44964,,"SPX")&lt;/Q&gt;&lt;R&gt;1&lt;/R&gt;&lt;C&gt;1&lt;/C&gt;&lt;D xsi:type="xsd:double"&gt;1.3346286&lt;/D&gt;&lt;/FQL&gt;&lt;FQL&gt;&lt;Q&gt;NVT-US^P_BETA_LOCIDX(45138,44963,,"SPX")&lt;/Q&gt;&lt;R&gt;1&lt;/R&gt;&lt;C&gt;1&lt;/C&gt;&lt;D xsi:type="xsd:double"&gt;1.3403596&lt;/D&gt;&lt;/FQL&gt;&lt;FQL&gt;&lt;Q&gt;NVT-US^P_BETA_LOCIDX(45135,44960,,"SPX")&lt;/Q&gt;&lt;R&gt;1&lt;/R&gt;&lt;C&gt;1&lt;/C&gt;&lt;D xsi:type="xsd:double"&gt;1.2940382&lt;/D&gt;&lt;/FQL&gt;&lt;FQL&gt;&lt;Q&gt;NVT-US^P_BETA_LOCIDX(45134,44959,,"SPX")&lt;/Q&gt;&lt;R&gt;1&lt;/R&gt;&lt;C&gt;1&lt;/C&gt;&lt;D xsi:type="xsd:double"&gt;1.2418778&lt;/D&gt;&lt;/FQL&gt;&lt;FQL&gt;&lt;Q&gt;NVT-US^P_BETA_LOCIDX(45133,44958,,"SPX")&lt;/Q&gt;&lt;R&gt;1&lt;/R&gt;&lt;C&gt;1&lt;/C&gt;&lt;D xsi:type="xsd:double"&gt;1.2327591&lt;/D&gt;&lt;/FQL&gt;&lt;FQL&gt;&lt;Q&gt;NVT-US^P_BETA_LOCIDX(45132,44957,,"SPX")&lt;/Q&gt;&lt;R&gt;1&lt;/R&gt;&lt;C&gt;1&lt;/C&gt;&lt;D xsi:type="xsd:double"&gt;1.2311323&lt;/D&gt;&lt;/FQL&gt;&lt;FQL&gt;&lt;Q&gt;NVT-US^P_BETA_LOCIDX(45131,44956,,"SPX")&lt;/Q&gt;&lt;R&gt;1&lt;/R&gt;&lt;C&gt;1&lt;/C&gt;&lt;D xsi:type="xsd:double"&gt;1.2113879&lt;/D&gt;&lt;/FQL&gt;&lt;FQL&gt;&lt;Q&gt;NVT-US^P_BETA_LOCIDX(45128,44953,,"SPX")&lt;/Q&gt;&lt;R&gt;1&lt;/R&gt;&lt;C&gt;1&lt;/C&gt;&lt;D xsi:type="xsd:double"&gt;1.2144755&lt;/D&gt;&lt;/FQL&gt;&lt;FQL&gt;&lt;Q&gt;NVT-US^P_BETA_LOCIDX(45127,44952,,"SPX")&lt;/Q&gt;&lt;R&gt;1&lt;/R&gt;&lt;C&gt;1&lt;/C&gt;&lt;D xsi:type="xsd:double"&gt;1.2031573&lt;/D&gt;&lt;/FQL&gt;&lt;FQL&gt;&lt;Q&gt;NVT-US^P_BETA_LOCIDX(45126,44951,,"SPX")&lt;/Q&gt;&lt;R&gt;1&lt;/R&gt;&lt;C&gt;1&lt;/C&gt;&lt;D xsi:type="xsd:double"&gt;1.1967119&lt;/D&gt;&lt;/FQL&gt;&lt;FQL&gt;&lt;Q&gt;NVT-US^P_BETA_LOCIDX(45125,44950,,"SPX")&lt;/Q&gt;&lt;R&gt;1&lt;/R&gt;&lt;C&gt;1&lt;/C&gt;&lt;D xsi:type="xsd:double"&gt;1.1994987&lt;/D&gt;&lt;/FQL&gt;&lt;FQL&gt;&lt;Q&gt;NVT-US^P_BETA_LOCIDX(45124,44949,,"SPX")&lt;/Q&gt;&lt;R&gt;1&lt;/R&gt;&lt;C&gt;1&lt;/C&gt;&lt;D xsi:type="xsd:double"&gt;1.1615195&lt;/D&gt;&lt;/FQL&gt;&lt;FQL&gt;&lt;Q&gt;NVT-US^P_BETA_LOCIDX(45121,44946,,"SPX")&lt;/Q&gt;&lt;R&gt;1&lt;/R&gt;&lt;C&gt;1&lt;/C&gt;&lt;D xsi:type="xsd:double"&gt;1.1358415&lt;/D&gt;&lt;/FQL&gt;&lt;FQL&gt;&lt;Q&gt;NVT-US^P_BETA_LOCIDX(45120,44945,,"SPX")&lt;/Q&gt;&lt;R&gt;1&lt;/R&gt;&lt;C&gt;1&lt;/C&gt;&lt;D xsi:type="xsd:double"&gt;1.1488123&lt;/D&gt;&lt;/FQL&gt;&lt;FQL&gt;&lt;Q&gt;NVT-US^P_BETA_LOCIDX(45119,44944,,"SPX")&lt;/Q&gt;&lt;R&gt;1&lt;/R&gt;&lt;C&gt;1&lt;/C&gt;&lt;D xsi:type="xsd:double"&gt;1.1421422&lt;/D&gt;&lt;/FQL&gt;&lt;FQL&gt;&lt;Q&gt;NVT-US^P_BETA_LOCIDX(45118,44943,,"SPX")&lt;/Q&gt;&lt;R&gt;1&lt;/R&gt;&lt;C&gt;1&lt;/C&gt;&lt;D xsi:type="xsd:double"&gt;1.143515&lt;/D&gt;&lt;/FQL&gt;&lt;FQL&gt;&lt;Q&gt;NVT-US^P_BETA_LOCIDX(45117,44939,,"SPX")&lt;/Q&gt;&lt;R&gt;1&lt;/R&gt;&lt;C&gt;1&lt;/C&gt;&lt;D xsi:type="xsd:double"&gt;1.1471357&lt;/D&gt;&lt;/FQL&gt;&lt;FQL&gt;&lt;Q&gt;NVT-US^P_BETA_LOCIDX(45114,44938,,"SPX")&lt;/Q&gt;&lt;R&gt;1&lt;/R&gt;&lt;C&gt;1&lt;/C&gt;&lt;D xsi:type="xsd:double"&gt;1.1455122&lt;/D&gt;&lt;/FQL&gt;&lt;FQL&gt;&lt;Q&gt;NVT-US^P_BETA_LOCIDX(45113,44937,,"SPX")&lt;/Q&gt;&lt;R&gt;1&lt;/R&gt;&lt;C&gt;1&lt;/C&gt;&lt;D xsi:type="xsd:double"&gt;1.137787&lt;/D&gt;&lt;/FQL&gt;&lt;FQL&gt;&lt;Q&gt;NVT-US^P_BETA_LOCIDX(45112,44936,,"SPX")&lt;/Q&gt;&lt;R&gt;1&lt;/R&gt;&lt;C&gt;1&lt;/C&gt;&lt;D xsi:type="xsd:double"&gt;1.1289551&lt;/D&gt;&lt;/FQL&gt;&lt;FQL&gt;&lt;Q&gt;NVT-US^P_BETA_LOCIDX(45110,44935,,"SPX")&lt;/Q&gt;&lt;R&gt;1&lt;/R&gt;&lt;C&gt;1&lt;/C&gt;&lt;D xsi:type="xsd:double"&gt;1.1223985&lt;/D&gt;&lt;/FQL&gt;&lt;FQL&gt;&lt;Q&gt;NVT-US^P_BETA_LOCIDX(45107,44932,,"SPX")&lt;/Q&gt;&lt;R&gt;1&lt;/R&gt;&lt;C&gt;1&lt;/C&gt;&lt;D xsi:type="xsd:double"&gt;1.1226009&lt;/D&gt;&lt;/FQL&gt;&lt;FQL&gt;&lt;Q&gt;NVT-US^P_BETA_LOCIDX(45106,44931,,"SPX")&lt;/Q&gt;&lt;R&gt;1&lt;/R&gt;&lt;C&gt;1&lt;/C&gt;&lt;D xsi:type="xsd:double"&gt;1.1338165&lt;/D&gt;&lt;/FQL&gt;&lt;FQL&gt;&lt;Q&gt;NVT-US^P_BETA_LOCIDX(45105,44930,,"SPX")&lt;/Q&gt;&lt;R&gt;1&lt;/R&gt;&lt;C&gt;1&lt;/C&gt;&lt;D xsi:type="xsd:double"&gt;1.1357074&lt;/D&gt;&lt;/FQL&gt;&lt;FQL&gt;&lt;Q&gt;NVT-US^P_BETA_LOCIDX(45104,44929,,"SPX")&lt;/Q&gt;&lt;R&gt;1&lt;/R&gt;&lt;C&gt;1&lt;/C&gt;&lt;D xsi:type="xsd:double"&gt;1.1390368&lt;/D&gt;&lt;/FQL&gt;&lt;FQL&gt;&lt;Q&gt;NVT-US^P_BETA_LOCIDX(45103,44925,,"SPX")&lt;/Q&gt;&lt;R&gt;1&lt;/R&gt;&lt;C&gt;1&lt;/C&gt;&lt;D xsi:type="xsd:double"&gt;1.1295573&lt;/D&gt;&lt;/FQL&gt;&lt;FQL&gt;&lt;Q&gt;NVT-US^P_BETA_LOCIDX(45100,44924,,"SPX")&lt;/Q&gt;&lt;R&gt;1&lt;/R&gt;&lt;C&gt;1&lt;/C&gt;&lt;D xsi:type="xsd:double"&gt;1.1337667&lt;/D&gt;&lt;/FQL&gt;&lt;FQL&gt;&lt;Q&gt;NVT-US^P_BETA_LOCIDX(45099,44923,,"SPX")&lt;/Q&gt;&lt;R&gt;1&lt;/R&gt;&lt;C&gt;1&lt;/C&gt;&lt;D xsi:type="xsd:double"&gt;1.1494924&lt;/D&gt;&lt;/FQL&gt;&lt;FQL&gt;&lt;Q&gt;NVT-US^P_BETA_LOCIDX(45098,44922,,"SPX")&lt;/Q&gt;&lt;R&gt;1&lt;/R&gt;&lt;C&gt;1&lt;/C&gt;&lt;D xsi:type="xsd:double"&gt;1.1471273&lt;/D&gt;&lt;/FQL&gt;&lt;FQL&gt;&lt;Q&gt;NVT-US^P_BETA_LOCIDX(45097,44918,,"SPX")&lt;/Q&gt;&lt;R&gt;1&lt;/R&gt;&lt;C&gt;1&lt;/C&gt;&lt;D xsi:type="xsd:double"&gt;1.1518888&lt;/D&gt;&lt;/FQL&gt;&lt;FQL&gt;&lt;Q&gt;NVT-US^P_BETA_LOCIDX(45093,44917,,"SPX")&lt;/Q&gt;&lt;R&gt;1&lt;/R&gt;&lt;C&gt;1&lt;/C&gt;&lt;D xsi:type="xsd:double"&gt;1.157524&lt;/D&gt;&lt;/FQL&gt;&lt;FQL&gt;&lt;Q&gt;NVT-US^P_BETA_LOCIDX(45092,44916,,"SPX")&lt;/Q&gt;&lt;R&gt;1&lt;/R&gt;&lt;C&gt;1&lt;/C&gt;&lt;D xsi:type="xsd:double"&gt;1.1642748&lt;/D&gt;&lt;/FQL&gt;&lt;FQL&gt;&lt;Q&gt;NVT-US^P_BETA_LOCIDX(45091,44915,,"SPX")&lt;/Q&gt;&lt;R&gt;1&lt;/R&gt;&lt;C&gt;1&lt;/C&gt;&lt;D xsi:type="xsd:double"&gt;1.1728231&lt;/D&gt;&lt;/FQL&gt;&lt;FQL&gt;&lt;Q&gt;NVT-US^P_BETA_LOCIDX(45090,44914,,"SPX")&lt;/Q&gt;&lt;R&gt;1&lt;/R&gt;&lt;C&gt;1&lt;/C&gt;&lt;D xsi:type="xsd:double"&gt;1.157908&lt;/D&gt;&lt;/FQL&gt;&lt;FQL&gt;&lt;Q&gt;NVT-US^P_BETA_LOCIDX(45089,44911,,"SPX")&lt;/Q&gt;&lt;R&gt;1&lt;/R&gt;&lt;C&gt;1&lt;/C&gt;&lt;D xsi:type="xsd:double"&gt;1.1655203&lt;/D&gt;&lt;/FQL&gt;&lt;FQL&gt;&lt;Q&gt;NVT-US^P_BETA_LOCIDX(45086,44910,,"SPX")&lt;/Q&gt;&lt;R&gt;1&lt;/R&gt;&lt;C&gt;1&lt;/C&gt;&lt;D xsi:type="xsd:double"&gt;1.1749631&lt;/D&gt;&lt;/FQL&gt;&lt;FQL&gt;&lt;Q&gt;NVT-US^P_BETA_LOCIDX(45085,44909,,"SPX")&lt;/Q&gt;&lt;R&gt;1&lt;/R&gt;&lt;C&gt;1&lt;/C&gt;&lt;D xsi:type="xsd:double"&gt;1.1759471&lt;/D&gt;&lt;/FQL&gt;&lt;FQL&gt;&lt;Q&gt;NVT-US^P_BETA_LOCIDX(45084,44908,,"SPX")&lt;/Q&gt;&lt;R&gt;1&lt;/R&gt;&lt;C&gt;1&lt;/C&gt;&lt;D xsi:type="xsd:double"&gt;1.1665596&lt;/D&gt;&lt;/FQL&gt;&lt;FQL&gt;&lt;Q&gt;NVT-US^P_BETA_LOCIDX(45083,44907,,"SPX")&lt;/Q&gt;&lt;R&gt;1&lt;/R&gt;&lt;C&gt;1&lt;/C&gt;&lt;D xsi:type="xsd:double"&gt;1.180931&lt;/D&gt;&lt;/FQL&gt;&lt;FQL&gt;&lt;Q&gt;NVT-US^P_BETA_LOCIDX(45082,44904,,"SPX")&lt;/Q&gt;&lt;R&gt;1&lt;/R&gt;&lt;C&gt;1&lt;/C&gt;&lt;D xsi:type="xsd:double"&gt;1.179046&lt;/D&gt;&lt;/FQL&gt;&lt;FQL&gt;&lt;Q&gt;NVT-US^P_BETA_LOCIDX(45079,44903,,"SPX")&lt;/Q&gt;&lt;R&gt;1&lt;/R&gt;&lt;C&gt;1&lt;/C&gt;&lt;D xsi:type="xsd:double"&gt;1.1748588&lt;/D&gt;&lt;/FQL&gt;&lt;FQL&gt;&lt;Q&gt;NVT-US^P_BETA_LOCIDX(45078,44902,,"SPX")&lt;/Q&gt;&lt;R&gt;1&lt;/R&gt;&lt;C&gt;1&lt;/C&gt;&lt;D xsi:type="xsd:double"&gt;1.1451015&lt;/D&gt;&lt;/FQL&gt;&lt;FQL&gt;&lt;Q&gt;NVT-US^P_BETA_LOCIDX(45077,44901,,"SPX")&lt;/Q&gt;&lt;R&gt;1&lt;/R&gt;&lt;C&gt;1&lt;/C&gt;&lt;D xsi:type="xsd:double"&gt;1.1261288&lt;/D&gt;&lt;/FQL&gt;&lt;FQL&gt;&lt;Q&gt;NVT-US^P_BETA_LOCIDX(45076,44900,,"SPX")&lt;/Q&gt;&lt;R&gt;1&lt;/R&gt;&lt;C&gt;1&lt;/C&gt;&lt;D xsi:type="xsd:double"&gt;1.1059934&lt;/D&gt;&lt;/FQL&gt;&lt;FQL&gt;&lt;Q&gt;NVT-US^P_BETA_LOCIDX(45072,44897,,"SPX")&lt;/Q&gt;&lt;R&gt;1&lt;/R&gt;&lt;C&gt;1&lt;/C&gt;&lt;D xsi:type="xsd:double"&gt;1.1071024&lt;/D&gt;&lt;/FQL&gt;&lt;FQL&gt;&lt;Q&gt;NVT-US^P_BETA_LOCIDX(45071,44896,,"SPX")&lt;/Q&gt;&lt;R&gt;1&lt;/R&gt;&lt;C&gt;1&lt;/C&gt;&lt;D xsi:type="xsd:double"&gt;1.0944341&lt;/D&gt;&lt;/FQL&gt;&lt;FQL&gt;&lt;Q&gt;NVT-US^P_BETA_LOCIDX(45070,44895,,"SPX")&lt;/Q&gt;&lt;R&gt;1&lt;/R&gt;&lt;C&gt;1&lt;/C&gt;&lt;D xsi:type="xsd:double"&gt;1.00854&lt;/D&gt;&lt;/FQL&gt;&lt;FQL&gt;&lt;Q&gt;NVT-US^P_BETA_LOCIDX(45069,44894,,"SPX")&lt;/Q&gt;&lt;R&gt;1&lt;/R&gt;&lt;C&gt;1&lt;/C&gt;&lt;D xsi:type="xsd:double"&gt;1.0012207&lt;/D&gt;&lt;/FQL&gt;&lt;FQL&gt;&lt;Q&gt;NVT-US^P_BETA_LOCIDX(45068,44893,,"SPX")&lt;/Q&gt;&lt;R&gt;1&lt;/R&gt;&lt;C&gt;1&lt;/C&gt;&lt;D xsi:type="xsd:double"&gt;0.98952025&lt;/D&gt;&lt;/FQL&gt;&lt;FQL&gt;&lt;Q&gt;NVT-US^P_BETA_LOCIDX(45065,44890,,"SPX")&lt;/Q&gt;&lt;R&gt;1&lt;/R&gt;&lt;C&gt;1&lt;/C&gt;&lt;D xsi:type="xsd:double"&gt;0.9896728&lt;/D&gt;&lt;/FQL&gt;&lt;FQL&gt;&lt;Q&gt;NVT-US^P_BETA_LOCIDX(45064,44888,,"SPX")&lt;/Q&gt;&lt;R&gt;1&lt;/R&gt;&lt;C&gt;1&lt;/C&gt;&lt;D xsi:type="xsd:double"&gt;0.9874967&lt;/D&gt;&lt;/FQL&gt;&lt;FQL&gt;&lt;Q&gt;NVT-US^P_BETA_LOCIDX(45063,44887,,"SPX")&lt;/Q&gt;&lt;R&gt;1&lt;/R&gt;&lt;C&gt;1&lt;/C&gt;&lt;D xsi:type="xsd:double"&gt;0.9872183&lt;/D&gt;&lt;/FQL&gt;&lt;FQL&gt;&lt;Q&gt;NVT-US^P_BETA_LOCIDX(45062,44886,,"SPX")&lt;/Q&gt;&lt;R&gt;1&lt;/R&gt;&lt;C&gt;1&lt;/C&gt;&lt;D xsi:type="xsd:double"&gt;0.9815686&lt;/D&gt;&lt;/FQL&gt;&lt;FQL&gt;&lt;Q&gt;NVT-US^P_BETA_LOCIDX(45061,44883,,"SPX")&lt;/Q&gt;&lt;R&gt;1&lt;/R&gt;&lt;C&gt;1&lt;/C&gt;&lt;D xsi:type="xsd:double"&gt;0.9769551&lt;/D&gt;&lt;/FQL&gt;&lt;FQL&gt;&lt;Q&gt;NVT-US^P_BETA_LOCIDX(45058,44882,,"SPX")&lt;/Q&gt;&lt;R&gt;1&lt;/R&gt;&lt;C&gt;1&lt;/C&gt;&lt;D xsi:type="xsd:double"&gt;0.9778056&lt;/D&gt;&lt;/FQL&gt;&lt;FQL&gt;&lt;Q&gt;NVT-US^P_BETA_LOCIDX(45057,44881,,"SPX")&lt;/Q&gt;&lt;R&gt;1&lt;/R&gt;&lt;C&gt;1&lt;/C&gt;&lt;D xsi:type="xsd:double"&gt;0.97618914&lt;/D&gt;&lt;/FQL&gt;&lt;FQL&gt;&lt;Q&gt;NVT-US^P_BETA_LOCIDX(45056,44880,,"SPX")&lt;/Q&gt;&lt;R&gt;1&lt;/R&gt;&lt;C&gt;1&lt;/C&gt;&lt;D xsi:type="xsd:double"&gt;0.97301775&lt;/D&gt;&lt;/FQL&gt;&lt;FQL&gt;&lt;Q&gt;NVT-US^P_BETA_LOCIDX(45055,44879,,"SPX")&lt;/Q&gt;&lt;R&gt;1&lt;/R&gt;&lt;C&gt;1&lt;/C&gt;&lt;D xsi:type="xsd:double"&gt;0.97102195&lt;/D&gt;&lt;/FQL&gt;&lt;FQL&gt;&lt;Q&gt;NVT-US^P_BETA_LOCIDX(45054,44876,,"SPX")&lt;/Q&gt;&lt;R&gt;1&lt;/R&gt;&lt;C&gt;1&lt;/C&gt;&lt;D xsi:type="xsd:double"&gt;0.9608866&lt;/D&gt;&lt;/FQL&gt;&lt;FQL&gt;&lt;Q&gt;NVT-US^P_BETA_LOCIDX(45051,44875,,"SPX")&lt;/Q&gt;&lt;R&gt;1&lt;/R&gt;&lt;C&gt;1&lt;/C&gt;&lt;D xsi:type="xsd:double"&gt;0.888931&lt;/D&gt;&lt;/FQL&gt;&lt;FQL&gt;&lt;Q&gt;NVT-US^P_BETA_LOCIDX(45050,44874,,"SPX")&lt;/Q&gt;&lt;R&gt;1&lt;/R&gt;&lt;C&gt;1&lt;/C&gt;&lt;D xsi:type="xsd:double"&gt;0.8665795&lt;/D&gt;&lt;/FQL&gt;&lt;FQL&gt;&lt;Q&gt;NVT-US^P_BETA_LOCIDX(45049,44873,,"SPX")&lt;/Q&gt;&lt;R&gt;1&lt;/R&gt;&lt;C&gt;1&lt;/C&gt;&lt;D xsi:type="xsd:double"&gt;0.853272&lt;/D&gt;&lt;/FQL&gt;&lt;FQL&gt;&lt;Q&gt;NVT-US^P_BETA_LOCIDX(45048,44872,,"SPX")&lt;/Q&gt;&lt;R&gt;1&lt;/R&gt;&lt;C&gt;1&lt;/C&gt;&lt;D xsi:type="xsd:double"&gt;0.84517497&lt;/D&gt;&lt;/FQL&gt;&lt;FQL&gt;&lt;Q&gt;NVT-US^P_BETA_LOCIDX(45047,44869,,"SPX")&lt;/Q&gt;&lt;R&gt;1&lt;/R&gt;&lt;C&gt;1&lt;/C&gt;&lt;D xsi:type="xsd:double"&gt;0.88344026&lt;/D&gt;&lt;/FQL&gt;&lt;FQL&gt;&lt;Q&gt;NVT-US^P_BETA_LOCIDX(45044,44868,,"SPX")&lt;/Q&gt;&lt;R&gt;1&lt;/R&gt;&lt;C&gt;1&lt;/C&gt;&lt;D xsi:type="xsd:double"&gt;0.8770662&lt;/D&gt;&lt;/FQL&gt;&lt;FQL&gt;&lt;Q&gt;NVT-US^P_BETA_LOCIDX(45043,44867,,"SPX")&lt;/Q&gt;&lt;R&gt;1&lt;/R&gt;&lt;C&gt;1&lt;/C&gt;&lt;D xsi:type="xsd:double"&gt;0.9085404&lt;/D&gt;&lt;/FQL&gt;&lt;FQL&gt;&lt;Q&gt;NVT-US^P_BETA_LOCIDX(45042,44866,,"SPX")&lt;/Q&gt;&lt;R&gt;1&lt;/R&gt;&lt;C&gt;1&lt;/C&gt;&lt;D xsi:type="xsd:double"&gt;0.89151376&lt;/D&gt;&lt;/FQL&gt;&lt;FQL&gt;&lt;Q&gt;NVT-US^P_BETA_LOCIDX(45041,44865,,"SPX")&lt;/Q&gt;&lt;R&gt;1&lt;/R&gt;&lt;C&gt;1&lt;/C&gt;&lt;D xsi:type="xsd:double"&gt;0.8854856&lt;/D&gt;&lt;/FQL&gt;&lt;FQL&gt;&lt;Q&gt;NVT-US^P_BETA_LOCIDX(45040,44862,,"SPX")&lt;/Q&gt;&lt;R&gt;1&lt;/R&gt;&lt;C&gt;1&lt;/C&gt;&lt;D xsi:type="xsd:double"&gt;0.95516706&lt;/D&gt;&lt;/FQL&gt;&lt;FQL&gt;&lt;Q&gt;NVT-US^P_BETA_LOCIDX(45037,44861,,"SPX")&lt;/Q&gt;&lt;R&gt;1&lt;/R&gt;&lt;C&gt;1&lt;/C&gt;&lt;D xsi:type="xsd:double"&gt;0.95399874&lt;/D&gt;&lt;/FQL&gt;&lt;FQL&gt;&lt;Q&gt;NVT-US^P_BETA_LOCIDX(45036,44860,,"SPX")&lt;/Q&gt;&lt;R&gt;1&lt;/R&gt;&lt;C&gt;1&lt;/C&gt;&lt;D xsi:type="xsd:double"&gt;0.9525769&lt;/D&gt;&lt;/FQL&gt;&lt;FQL&gt;&lt;Q&gt;NVT-US^P_BETA_LOCIDX(45035,44859,,"SPX")&lt;/Q&gt;&lt;R&gt;1&lt;/R&gt;&lt;C&gt;1&lt;/C&gt;&lt;D xsi:type="xsd:double"&gt;0.9526622&lt;/D&gt;&lt;/FQL&gt;&lt;FQL&gt;&lt;Q&gt;NVT-US^P_BETA_LOCIDX(45034,44858,,"SPX")&lt;/Q&gt;&lt;R&gt;1&lt;/R&gt;&lt;C&gt;1&lt;/C&gt;&lt;D xsi:type="xsd:double"&gt;0.9571682&lt;/D&gt;&lt;/FQL&gt;&lt;FQL&gt;&lt;Q&gt;NVT-US^P_BETA_LOCIDX(45033,44855,,"SPX")&lt;/Q&gt;&lt;R&gt;1&lt;/R&gt;&lt;C&gt;1&lt;/C&gt;&lt;D xsi:type="xsd:double"&gt;0.972458&lt;/D&gt;&lt;/FQL&gt;&lt;FQL&gt;&lt;Q&gt;NVT-US^P_BETA_LOCIDX(45030,44854,,"SPX")&lt;/Q&gt;&lt;R&gt;1&lt;/R&gt;&lt;C&gt;1&lt;/C&gt;&lt;D xsi:type="xsd:double"&gt;0.98377997&lt;/D&gt;&lt;/FQL&gt;&lt;FQL&gt;&lt;Q&gt;NVT-US^P_BETA_LOCIDX(45029,44853,,"SPX")&lt;/Q&gt;&lt;R&gt;1&lt;/R&gt;&lt;C&gt;1&lt;/C&gt;&lt;D xsi:type="xsd:double"&gt;0.9909854&lt;/D&gt;&lt;/FQL&gt;&lt;FQL&gt;&lt;Q&gt;NVT-US^P_BETA_LOCIDX(45028,44852,,"SPX")&lt;/Q&gt;&lt;R&gt;1&lt;/R&gt;&lt;C&gt;1&lt;/C&gt;&lt;D xsi:type="xsd:double"&gt;1.0047317&lt;/D&gt;&lt;/FQL&gt;&lt;FQL&gt;&lt;Q&gt;NVT-US^P_BETA_LOCIDX(45027,44851,,"SPX")&lt;/Q&gt;&lt;R&gt;1&lt;/R&gt;&lt;C&gt;1&lt;/C&gt;&lt;D xsi:type="xsd:double"&gt;1.0104172&lt;/D&gt;&lt;/FQL&gt;&lt;FQL&gt;&lt;Q&gt;NVT-US^P_BETA_LOCIDX(45026,44848,,"SPX")&lt;/Q&gt;&lt;R&gt;1&lt;/R&gt;&lt;C&gt;1&lt;/C&gt;&lt;D xsi:type="xsd:double"&gt;1.0120091&lt;/D&gt;&lt;/FQL&gt;&lt;FQL&gt;&lt;Q&gt;NVT-US^P_BETA_LOCIDX(45022,44847,,"SPX")&lt;/Q&gt;&lt;R&gt;1&lt;/R&gt;&lt;C&gt;1&lt;/C&gt;&lt;D xsi:type="xsd:double"&gt;1.0281587&lt;/D&gt;&lt;/FQL&gt;&lt;FQL&gt;&lt;Q&gt;NVT-US^P_BETA_LOCIDX(45021,44846,,"SPX")&lt;/Q&gt;&lt;R&gt;1&lt;/R&gt;&lt;C&gt;1&lt;/C&gt;&lt;D xsi:type="xsd:double"&gt;1.0295324&lt;/D&gt;&lt;/FQL&gt;&lt;FQL&gt;&lt;Q&gt;NVT-US^P_BETA_LOCIDX(45020,44845,,"SPX")&lt;/Q&gt;&lt;R&gt;1&lt;/R&gt;&lt;C&gt;1&lt;/C&gt;&lt;D xsi:type="xsd:double"&gt;1.0234824&lt;/D&gt;&lt;/FQL&gt;&lt;FQL&gt;&lt;Q&gt;NVT-US^P_BETA_LOCIDX(45019,44844,,"SPX")&lt;/Q&gt;&lt;R&gt;1&lt;/R&gt;&lt;C&gt;1&lt;/C&gt;&lt;D xsi:type="xsd:double"&gt;1.0009553&lt;/D&gt;&lt;/FQL&gt;&lt;FQL&gt;&lt;Q&gt;NVT-US^P_BETA_LOCIDX(45016,44841,,"SPX")&lt;/Q&gt;&lt;R&gt;1&lt;/R&gt;&lt;C&gt;1&lt;/C&gt;&lt;D xsi:type="xsd:double"&gt;1.0124178&lt;/D&gt;&lt;/FQL&gt;&lt;FQL&gt;&lt;Q&gt;NVT-US^P_BETA_LOCIDX(45015,44840,,"SPX")&lt;/Q&gt;&lt;R&gt;1&lt;/R&gt;&lt;C&gt;1&lt;/C&gt;&lt;D xsi:type="xsd:double"&gt;1.014198&lt;/D&gt;&lt;/FQL&gt;&lt;FQL&gt;&lt;Q&gt;NVT-US^P_BETA_LOCIDX(45014,44839,,"SPX")&lt;/Q&gt;&lt;R&gt;1&lt;/R&gt;&lt;C&gt;1&lt;/C&gt;&lt;D xsi:type="xsd:double"&gt;1.0152702&lt;/D&gt;&lt;/FQL&gt;&lt;FQL&gt;&lt;Q&gt;NVT-US^P_BETA_LOCIDX(45013,44838,,"SPX")&lt;/Q&gt;&lt;R&gt;1&lt;/R&gt;&lt;C&gt;1&lt;/C&gt;&lt;D xsi:type="xsd:double"&gt;1.0234833&lt;/D&gt;&lt;/FQL&gt;&lt;FQL&gt;&lt;Q&gt;NVT-US^P_BETA_LOCIDX(45012,44837,,"SPX")&lt;/Q&gt;&lt;R&gt;1&lt;/R&gt;&lt;C&gt;1&lt;/C&gt;&lt;D xsi:type="xsd:double"&gt;1.0272341&lt;/D&gt;&lt;/FQL&gt;&lt;FQL&gt;&lt;Q&gt;NVT-US^P_BETA_LOCIDX(45009,44834,,"SPX")&lt;/Q&gt;&lt;R&gt;1&lt;/R&gt;&lt;C&gt;1&lt;/C&gt;&lt;D xsi:type="xsd:double"&gt;1.0152249&lt;/D&gt;&lt;/FQL&gt;&lt;FQL&gt;&lt;Q&gt;NVT-US^P_BETA_LOCIDX(45008,44833,,"SPX")&lt;/Q&gt;&lt;R&gt;1&lt;/R&gt;&lt;C&gt;1&lt;/C&gt;&lt;D xsi:type="xsd:double"&gt;1.0012174&lt;/D&gt;&lt;/FQL&gt;&lt;FQL&gt;&lt;Q&gt;NVT-US^P_BETA_LOCIDX(45007,44832,,"SPX")&lt;/Q&gt;&lt;R&gt;1&lt;/R&gt;&lt;C&gt;1&lt;/C&gt;&lt;D xsi:type="xsd:double"&gt;1.0073009&lt;/D&gt;&lt;/FQL&gt;&lt;FQL&gt;&lt;Q&gt;NVT-US^P_BETA_LOCIDX(45006,44831,,"SPX")&lt;/Q&gt;&lt;R&gt;1&lt;/R&gt;&lt;C&gt;1&lt;/C&gt;&lt;D xsi:type="xsd:double"&gt;1.0024163&lt;/D&gt;&lt;/FQL&gt;&lt;FQL&gt;&lt;Q&gt;NVT-US^P_BETA_LOCIDX(45005,44830,,"SPX")&lt;/Q&gt;&lt;R&gt;1&lt;/R&gt;&lt;C&gt;1&lt;/C&gt;&lt;D xsi:type="xsd:double"&gt;1.004085&lt;/D&gt;&lt;/FQL&gt;&lt;FQL&gt;&lt;Q&gt;NVT-US^P_BETA_LOCIDX(45002,44827,,"SPX")&lt;/Q&gt;&lt;R&gt;1&lt;/R&gt;&lt;C&gt;1&lt;/C&gt;&lt;D xsi:type="xsd:double"&gt;0.9961701&lt;/D&gt;&lt;/FQL&gt;&lt;FQL&gt;&lt;Q&gt;NVT-US^P_BETA_LOCIDX(45001,44826,,"SPX")&lt;/Q&gt;&lt;R&gt;1&lt;/R&gt;&lt;C&gt;1&lt;/C&gt;&lt;D xsi:type="xsd:double"&gt;0.98928493&lt;/D&gt;&lt;/FQL&gt;&lt;FQL&gt;&lt;Q&gt;NVT-US^P_BETA_LOCIDX(45000,44825,,"SPX")&lt;/Q&gt;&lt;R&gt;1&lt;/R&gt;&lt;C&gt;1&lt;/C&gt;&lt;D xsi:type="xsd:double"&gt;0.9866461&lt;/D&gt;&lt;/FQL&gt;&lt;FQL&gt;&lt;Q&gt;NVT-US^P_BETA_LOCIDX(44999,44824,,"SPX")&lt;/Q&gt;&lt;R&gt;1&lt;/R&gt;&lt;C&gt;1&lt;/C&gt;&lt;D xsi:type="xsd:double"&gt;0.9666429&lt;/D&gt;&lt;/FQL&gt;&lt;FQL&gt;&lt;Q&gt;NVT-US^P_BETA_LOCIDX(44998,44823,,"SPX")&lt;/Q&gt;&lt;R&gt;1&lt;/R&gt;&lt;C&gt;1&lt;/C&gt;&lt;D xsi:type="xsd:double"&gt;0.95313287&lt;/D&gt;&lt;/FQL&gt;&lt;FQL&gt;&lt;Q&gt;NVT-US^P_BETA_LOCIDX(44995,44820,,"SPX")&lt;/Q&gt;&lt;R&gt;1&lt;/R&gt;&lt;C&gt;1&lt;/C&gt;&lt;D xsi:type="xsd:double"&gt;0.96091753&lt;/D&gt;&lt;/FQL&gt;&lt;FQL&gt;&lt;Q&gt;NVT-US^P_BETA_LOCIDX(44994,44819,,"SPX")&lt;/Q&gt;&lt;R&gt;1&lt;/R&gt;&lt;C&gt;1&lt;/C&gt;&lt;D xsi:type="xsd:double"&gt;0.94406825&lt;/D&gt;&lt;/FQL&gt;&lt;FQL&gt;&lt;Q&gt;NVT-US^P_BETA_LOCIDX(44993,44818,,"SPX")&lt;/Q&gt;&lt;R&gt;1&lt;/R&gt;&lt;C&gt;1&lt;/C&gt;&lt;D xsi:type="xsd:double"&gt;0.93413335&lt;/D&gt;&lt;/FQL&gt;&lt;FQL&gt;&lt;Q&gt;NVT-US^P_BETA_LOCIDX(44992,44817,,"SPX")&lt;/Q&gt;&lt;R&gt;1&lt;/R&gt;&lt;C&gt;1&lt;/C&gt;&lt;D xsi:type="xsd:double"&gt;0.9397247&lt;/D&gt;&lt;/FQL&gt;&lt;FQL&gt;&lt;Q&gt;NVT-US^P_BETA_LOCIDX(44991,44816,,"SPX")&lt;/Q&gt;&lt;R</t>
        </r>
      </text>
    </comment>
    <comment ref="A8" authorId="0" shapeId="0" xr:uid="{47062CC1-848A-4225-8F31-E49D0826BA8A}">
      <text>
        <r>
          <rPr>
            <b/>
            <sz val="9"/>
            <color indexed="81"/>
            <rFont val="Tahoma"/>
            <charset val="1"/>
          </rPr>
          <t>&gt;1&lt;/R&gt;&lt;C&gt;1&lt;/C&gt;&lt;D xsi:type="xsd:double"&gt;0.9420186&lt;/D&gt;&lt;/FQL&gt;&lt;FQL&gt;&lt;Q&gt;NVT-US^P_BETA_LOCIDX(44988,44813,,"SPX")&lt;/Q&gt;&lt;R&gt;1&lt;/R&gt;&lt;C&gt;1&lt;/C&gt;&lt;D xsi:type="xsd:double"&gt;0.9458586&lt;/D&gt;&lt;/FQL&gt;&lt;FQL&gt;&lt;Q&gt;NVT-US^P_BETA_LOCIDX(44987,44812,,"SPX")&lt;/Q&gt;&lt;R&gt;1&lt;/R&gt;&lt;C&gt;1&lt;/C&gt;&lt;D xsi:type="xsd:double"&gt;0.9594506&lt;/D&gt;&lt;/FQL&gt;&lt;FQL&gt;&lt;Q&gt;NVT-US^P_BETA_LOCIDX(44986,44811,,"SPX")&lt;/Q&gt;&lt;R&gt;1&lt;/R&gt;&lt;C&gt;1&lt;/C&gt;&lt;D xsi:type="xsd:double"&gt;0.9679372&lt;/D&gt;&lt;/FQL&gt;&lt;FQL&gt;&lt;Q&gt;NVT-US^P_BETA_LOCIDX(44985,44810,,"SPX")&lt;/Q&gt;&lt;R&gt;1&lt;/R&gt;&lt;C&gt;1&lt;/C&gt;&lt;D xsi:type="xsd:double"&gt;0.96880853&lt;/D&gt;&lt;/FQL&gt;&lt;FQL&gt;&lt;Q&gt;NVT-US^P_BETA_LOCIDX(44984,44806,,"SPX")&lt;/Q&gt;&lt;R&gt;1&lt;/R&gt;&lt;C&gt;1&lt;/C&gt;&lt;D xsi:type="xsd:double"&gt;0.9682652&lt;/D&gt;&lt;/FQL&gt;&lt;FQL&gt;&lt;Q&gt;NVT-US^P_BETA_LOCIDX(44981,44805,,"SPX")&lt;/Q&gt;&lt;R&gt;1&lt;/R&gt;&lt;C&gt;1&lt;/C&gt;&lt;D xsi:type="xsd:double"&gt;0.96845925&lt;/D&gt;&lt;/FQL&gt;&lt;FQL&gt;&lt;Q&gt;NVT-US^P_BETA_LOCIDX(44980,44804,,"SPX")&lt;/Q&gt;&lt;R&gt;1&lt;/R&gt;&lt;C&gt;1&lt;/C&gt;&lt;D xsi:type="xsd:double"&gt;0.9719478&lt;/D&gt;&lt;/FQL&gt;&lt;FQL&gt;&lt;Q&gt;NVT-US^P_BETA_LOCIDX(44979,44803,,"SPX")&lt;/Q&gt;&lt;R&gt;1&lt;/R&gt;&lt;C&gt;1&lt;/C&gt;&lt;D xsi:type="xsd:double"&gt;0.9721129&lt;/D&gt;&lt;/FQL&gt;&lt;FQL&gt;&lt;Q&gt;NVT-US^P_BETA_LOCIDX(44978,44802,,"SPX")&lt;/Q&gt;&lt;R&gt;1&lt;/R&gt;&lt;C&gt;1&lt;/C&gt;&lt;D xsi:type="xsd:double"&gt;0.973843&lt;/D&gt;&lt;/FQL&gt;&lt;FQL&gt;&lt;Q&gt;NVT-US^P_BETA_LOCIDX(44974,44799,,"SPX")&lt;/Q&gt;&lt;R&gt;1&lt;/R&gt;&lt;C&gt;1&lt;/C&gt;&lt;D xsi:type="xsd:double"&gt;0.987617&lt;/D&gt;&lt;/FQL&gt;&lt;FQL&gt;&lt;Q&gt;NVT-US^P_BETA_LOCIDX(44973,44798,,"SPX")&lt;/Q&gt;&lt;R&gt;1&lt;/R&gt;&lt;C&gt;1&lt;/C&gt;&lt;D xsi:type="xsd:double"&gt;0.98391145&lt;/D&gt;&lt;/FQL&gt;&lt;FQL&gt;&lt;Q&gt;NVT-US^P_BETA_LOCIDX(44972,44797,,"SPX")&lt;/Q&gt;&lt;R&gt;1&lt;/R&gt;&lt;C&gt;1&lt;/C&gt;&lt;D xsi:type="xsd:double"&gt;0.9913124&lt;/D&gt;&lt;/FQL&gt;&lt;FQL&gt;&lt;Q&gt;NVT-US^P_BETA_LOCIDX(44971,44796,,"SPX")&lt;/Q&gt;&lt;R&gt;1&lt;/R&gt;&lt;C&gt;1&lt;/C&gt;&lt;D xsi:type="xsd:double"&gt;0.99167705&lt;/D&gt;&lt;/FQL&gt;&lt;FQL&gt;&lt;Q&gt;NVT-US^P_BETA_LOCIDX(44970,44795,,"SPX")&lt;/Q&gt;&lt;R&gt;1&lt;/R&gt;&lt;C&gt;1&lt;/C&gt;&lt;D xsi:type="xsd:double"&gt;0.99777716&lt;/D&gt;&lt;/FQL&gt;&lt;FQL&gt;&lt;Q&gt;NVT-US^P_BETA_LOCIDX(44967,44792,,"SPX")&lt;/Q&gt;&lt;R&gt;1&lt;/R&gt;&lt;C&gt;1&lt;/C&gt;&lt;D xsi:type="xsd:double"&gt;1.0020069&lt;/D&gt;&lt;/FQL&gt;&lt;FQL&gt;&lt;Q&gt;NVT-US^P_BETA_LOCIDX(44966,44791,,"SPX")&lt;/Q&gt;&lt;R&gt;1&lt;/R&gt;&lt;C&gt;1&lt;/C&gt;&lt;D xsi:type="xsd:double"&gt;1.0035026&lt;/D&gt;&lt;/FQL&gt;&lt;FQL&gt;&lt;Q&gt;NVT-US^P_BETA_LOCIDX(44965,44790,,"SPX")&lt;/Q&gt;&lt;R&gt;1&lt;/R&gt;&lt;C&gt;1&lt;/C&gt;&lt;D xsi:type="xsd:double"&gt;1.0091478&lt;/D&gt;&lt;/FQL&gt;&lt;FQL&gt;&lt;Q&gt;NVT-US^P_BETA_LOCIDX(44964,44789,,"SPX")&lt;/Q&gt;&lt;R&gt;1&lt;/R&gt;&lt;C&gt;1&lt;/C&gt;&lt;D xsi:type="xsd:double"&gt;1.0265737&lt;/D&gt;&lt;/FQL&gt;&lt;FQL&gt;&lt;Q&gt;NVT-US^P_BETA_LOCIDX(44963,44788,,"SPX")&lt;/Q&gt;&lt;R&gt;1&lt;/R&gt;&lt;C&gt;1&lt;/C&gt;&lt;D xsi:type="xsd:double"&gt;0.99621916&lt;/D&gt;&lt;/FQL&gt;&lt;FQL&gt;&lt;Q&gt;NVT-US^P_BETA_LOCIDX(44960,44785,,"SPX")&lt;/Q&gt;&lt;R&gt;1&lt;/R&gt;&lt;C&gt;1&lt;/C&gt;&lt;D xsi:type="xsd:double"&gt;0.9957852&lt;/D&gt;&lt;/FQL&gt;&lt;FQL&gt;&lt;Q&gt;NVT-US^P_BETA_LOCIDX(44959,44784,,"SPX")&lt;/Q&gt;&lt;R&gt;1&lt;/R&gt;&lt;C&gt;1&lt;/C&gt;&lt;D xsi:type="xsd:double"&gt;1.0084662&lt;/D&gt;&lt;/FQL&gt;&lt;FQL&gt;&lt;Q&gt;NVT-US^P_BETA_LOCIDX(44958,44783,,"SPX")&lt;/Q&gt;&lt;R&gt;1&lt;/R&gt;&lt;C&gt;1&lt;/C&gt;&lt;D xsi:type="xsd:double"&gt;1.0305942&lt;/D&gt;&lt;/FQL&gt;&lt;FQL&gt;&lt;Q&gt;NVT-US^P_BETA_LOCIDX(44957,44782,,"SPX")&lt;/Q&gt;&lt;R&gt;1&lt;/R&gt;&lt;C&gt;1&lt;/C&gt;&lt;D xsi:type="xsd:double"&gt;1.0368422&lt;/D&gt;&lt;/FQL&gt;&lt;FQL&gt;&lt;Q&gt;NVT-US^P_BETA_LOCIDX(44956,44781,,"SPX")&lt;/Q&gt;&lt;R&gt;1&lt;/R&gt;&lt;C&gt;1&lt;/C&gt;&lt;D xsi:type="xsd:double"&gt;1.0348951&lt;/D&gt;&lt;/FQL&gt;&lt;FQL&gt;&lt;Q&gt;NVT-US^P_BETA_LOCIDX(44953,44778,,"SPX")&lt;/Q&gt;&lt;R&gt;1&lt;/R&gt;&lt;C&gt;1&lt;/C&gt;&lt;D xsi:type="xsd:double"&gt;1.0405478&lt;/D&gt;&lt;/FQL&gt;&lt;FQL&gt;&lt;Q&gt;NVT-US^P_BETA_LOCIDX(44952,44777,,"SPX")&lt;/Q&gt;&lt;R&gt;1&lt;/R&gt;&lt;C&gt;1&lt;/C&gt;&lt;D xsi:type="xsd:double"&gt;1.0412129&lt;/D&gt;&lt;/FQL&gt;&lt;FQL&gt;&lt;Q&gt;NVT-US^P_BETA_LOCIDX(44951,44776,,"SPX")&lt;/Q&gt;&lt;R&gt;1&lt;/R&gt;&lt;C&gt;1&lt;/C&gt;&lt;D xsi:type="xsd:double"&gt;1.0395166&lt;/D&gt;&lt;/FQL&gt;&lt;FQL&gt;&lt;Q&gt;NVT-US^P_BETA_LOCIDX(44950,44775,,"SPX")&lt;/Q&gt;&lt;R&gt;1&lt;/R&gt;&lt;C&gt;1&lt;/C&gt;&lt;D xsi:type="xsd:double"&gt;1.0455998&lt;/D&gt;&lt;/FQL&gt;&lt;FQL&gt;&lt;Q&gt;NVT-US^P_BETA_LOCIDX(44949,44774,,"SPX")&lt;/Q&gt;&lt;R&gt;1&lt;/R&gt;&lt;C&gt;1&lt;/C&gt;&lt;D xsi:type="xsd:double"&gt;1.0438269&lt;/D&gt;&lt;/FQL&gt;&lt;FQL&gt;&lt;Q&gt;NVT-US^P_BETA_LOCIDX(44946,44771,,"SPX")&lt;/Q&gt;&lt;R&gt;1&lt;/R&gt;&lt;C&gt;1&lt;/C&gt;&lt;D xsi:type="xsd:double"&gt;1.0485948&lt;/D&gt;&lt;/FQL&gt;&lt;FQL&gt;&lt;Q&gt;NVT-US^P_BETA_LOCIDX(44945,44770,,"SPX")&lt;/Q&gt;&lt;R&gt;1&lt;/R&gt;&lt;C&gt;1&lt;/C&gt;&lt;D xsi:type="xsd:double"&gt;1.064135&lt;/D&gt;&lt;/FQL&gt;&lt;FQL&gt;&lt;Q&gt;NVT-US^P_BETA_LOCIDX(44944,44769,,"SPX")&lt;/Q&gt;&lt;R&gt;1&lt;/R&gt;&lt;C&gt;1&lt;/C&gt;&lt;D xsi:type="xsd:double"&gt;1.0542668&lt;/D&gt;&lt;/FQL&gt;&lt;FQL&gt;&lt;Q&gt;NVT-US^P_BETA_LOCIDX(44943,44768,,"SPX")&lt;/Q&gt;&lt;R&gt;1&lt;/R&gt;&lt;C&gt;1&lt;/C&gt;&lt;D xsi:type="xsd:double"&gt;1.044682&lt;/D&gt;&lt;/FQL&gt;&lt;FQL&gt;&lt;Q&gt;NVT-US^P_BETA_LOCIDX(44939,44767,,"SPX")&lt;/Q&gt;&lt;R&gt;1&lt;/R&gt;&lt;C&gt;1&lt;/C&gt;&lt;D xsi:type="xsd:double"&gt;1.0449045&lt;/D&gt;&lt;/FQL&gt;&lt;FQL&gt;&lt;Q&gt;NVT-US^P_BETA_LOCIDX(44938,44764,,"SPX")&lt;/Q&gt;&lt;R&gt;1&lt;/R&gt;&lt;C&gt;1&lt;/C&gt;&lt;D xsi:type="xsd:double"&gt;1.0425165&lt;/D&gt;&lt;/FQL&gt;&lt;FQL&gt;&lt;Q&gt;NVT-US^P_BETA_LOCIDX(44937,44763,,"SPX")&lt;/Q&gt;&lt;R&gt;1&lt;/R&gt;&lt;C&gt;1&lt;/C&gt;&lt;D xsi:type="xsd:double"&gt;1.0410981&lt;/D&gt;&lt;/FQL&gt;&lt;FQL&gt;&lt;Q&gt;NVT-US^P_BETA_LOCIDX(44936,44762,,"SPX")&lt;/Q&gt;&lt;R&gt;1&lt;/R&gt;&lt;C&gt;1&lt;/C&gt;&lt;D xsi:type="xsd:double"&gt;1.0484133&lt;/D&gt;&lt;/FQL&gt;&lt;FQL&gt;&lt;Q&gt;NVT-US^P_BETA_LOCIDX(44935,44761,,"SPX")&lt;/Q&gt;&lt;R&gt;1&lt;/R&gt;&lt;C&gt;1&lt;/C&gt;&lt;D xsi:type="xsd:double"&gt;1.0754261&lt;/D&gt;&lt;/FQL&gt;&lt;FQL&gt;&lt;Q&gt;NVT-US^P_BETA_LOCIDX(44932,44760,,"SPX")&lt;/Q&gt;&lt;R&gt;1&lt;/R&gt;&lt;C&gt;1&lt;/C&gt;&lt;D xsi:type="xsd:double"&gt;1.0770135&lt;/D&gt;&lt;/FQL&gt;&lt;FQL&gt;&lt;Q&gt;NVT-US^P_BETA_LOCIDX(44931,44757,,"SPX")&lt;/Q&gt;&lt;R&gt;1&lt;/R&gt;&lt;C&gt;1&lt;/C&gt;&lt;D xsi:type="xsd:double"&gt;1.0773567&lt;/D&gt;&lt;/FQL&gt;&lt;FQL&gt;&lt;Q&gt;NVT-US^P_BETA_LOCIDX(44930,44756,,"SPX")&lt;/Q&gt;&lt;R&gt;1&lt;/R&gt;&lt;C&gt;1&lt;/C&gt;&lt;D xsi:type="xsd:double"&gt;1.0744388&lt;/D&gt;&lt;/FQL&gt;&lt;FQL&gt;&lt;Q&gt;NVT-US^P_BETA_LOCIDX(44929,44755,,"SPX")&lt;/Q&gt;&lt;R&gt;1&lt;/R&gt;&lt;C&gt;1&lt;/C&gt;&lt;D xsi:type="xsd:double"&gt;1.0762984&lt;/D&gt;&lt;/FQL&gt;&lt;FQL&gt;&lt;Q&gt;NVT-US^P_BETA_LOCIDX(44925,44754,,"SPX")&lt;/Q&gt;&lt;R&gt;1&lt;/R&gt;&lt;C&gt;1&lt;/C&gt;&lt;D xsi:type="xsd:double"&gt;1.0778731&lt;/D&gt;&lt;/FQL&gt;&lt;FQL&gt;&lt;Q&gt;NVT-US^P_BETA_LOCIDX(44924,44753,,"SPX")&lt;/Q&gt;&lt;R&gt;1&lt;/R&gt;&lt;C&gt;1&lt;/C&gt;&lt;D xsi:type="xsd:double"&gt;1.074484&lt;/D&gt;&lt;/FQL&gt;&lt;FQL&gt;&lt;Q&gt;NVT-US^P_BETA_LOCIDX(44923,44750,,"SPX")&lt;/Q&gt;&lt;R&gt;1&lt;/R&gt;&lt;C&gt;1&lt;/C&gt;&lt;D xsi:type="xsd:double"&gt;1.0811415&lt;/D&gt;&lt;/FQL&gt;&lt;FQL&gt;&lt;Q&gt;NVT-US^P_BETA_LOCIDX(44922,44749,,"SPX")&lt;/Q&gt;&lt;R&gt;1&lt;/R&gt;&lt;C&gt;1&lt;/C&gt;&lt;D xsi:type="xsd:double"&gt;1.0773259&lt;/D&gt;&lt;/FQL&gt;&lt;FQL&gt;&lt;Q&gt;NVT-US^P_BETA_LOCIDX(44918,44748,,"SPX")&lt;/Q&gt;&lt;R&gt;1&lt;/R&gt;&lt;C&gt;1&lt;/C&gt;&lt;D xsi:type="xsd:double"&gt;1.0780236&lt;/D&gt;&lt;/FQL&gt;&lt;FQL&gt;&lt;Q&gt;NVT-US^P_BETA_LOCIDX(44917,44747,,"SPX")&lt;/Q&gt;&lt;R&gt;1&lt;/R&gt;&lt;C&gt;1&lt;/C&gt;&lt;D xsi:type="xsd:double"&gt;1.0772042&lt;/D&gt;&lt;/FQL&gt;&lt;FQL&gt;&lt;Q&gt;NVT-US^P_BETA_LOCIDX(44916,44743,,"SPX")&lt;/Q&gt;&lt;R&gt;1&lt;/R&gt;&lt;C&gt;1&lt;/C&gt;&lt;D xsi:type="xsd:double"&gt;1.0726&lt;/D&gt;&lt;/FQL&gt;&lt;FQL&gt;&lt;Q&gt;NVT-US^P_BETA_LOCIDX(44915,44742,,"SPX")&lt;/Q&gt;&lt;R&gt;1&lt;/R&gt;&lt;C&gt;1&lt;/C&gt;&lt;D xsi:type="xsd:double"&gt;1.0624259&lt;/D&gt;&lt;/FQL&gt;&lt;FQL&gt;&lt;Q&gt;NVT-US^P_BETA_LOCIDX(44914,44741,,"SPX")&lt;/Q&gt;&lt;R&gt;1&lt;/R&gt;&lt;C&gt;1&lt;/C&gt;&lt;D xsi:type="xsd:double"&gt;1.0626667&lt;/D&gt;&lt;/FQL&gt;&lt;FQL&gt;&lt;Q&gt;NVT-US^P_BETA_LOCIDX(44911,44740,,"SPX")&lt;/Q&gt;&lt;R&gt;1&lt;/R&gt;&lt;C&gt;1&lt;/C&gt;&lt;D xsi:type="xsd:double"&gt;1.0556246&lt;/D&gt;&lt;/FQL&gt;&lt;FQL&gt;&lt;Q&gt;NVT-US^P_BETA_LOCIDX(44910,44739,,"SPX")&lt;/Q&gt;&lt;R&gt;1&lt;/R&gt;&lt;C&gt;1&lt;/C&gt;&lt;D xsi:type="xsd:double"&gt;1.0535562&lt;/D&gt;&lt;/FQL&gt;&lt;FQL&gt;&lt;Q&gt;NVT-US^P_BETA_LOCIDX(44909,44736,,"SPX")&lt;/Q&gt;&lt;R&gt;1&lt;/R&gt;&lt;C&gt;1&lt;/C&gt;&lt;D xsi:type="xsd:double"&gt;1.0463096&lt;/D&gt;&lt;/FQL&gt;&lt;FQL&gt;&lt;Q&gt;NVT-US^P_BETA_LOCIDX(44908,44735,,"SPX")&lt;/Q&gt;&lt;R&gt;1&lt;/R&gt;&lt;C&gt;1&lt;/C&gt;&lt;D xsi:type="xsd:double"&gt;1.0339913&lt;/D&gt;&lt;/FQL&gt;&lt;FQL&gt;&lt;Q&gt;NVT-US^P_BETA_LOCIDX(44907,44734,,"SPX")&lt;/Q&gt;&lt;R&gt;1&lt;/R&gt;&lt;C&gt;1&lt;/C&gt;&lt;D xsi:type="xsd:double"&gt;1.0388312&lt;/D&gt;&lt;/FQL&gt;&lt;FQL&gt;&lt;Q&gt;NVT-US^P_BETA_LOCIDX(44904,44733,,"SPX")&lt;/Q&gt;&lt;R&gt;1&lt;/R&gt;&lt;C&gt;1&lt;/C&gt;&lt;D xsi:type="xsd:double"&gt;1.0231017&lt;/D&gt;&lt;/FQL&gt;&lt;FQL&gt;&lt;Q&gt;NVT-US^P_BETA_LOCIDX(44903,44729,,"SPX")&lt;/Q&gt;&lt;R&gt;1&lt;/R&gt;&lt;C&gt;1&lt;/C&gt;&lt;D xsi:type="xsd:double"&gt;1.0220978&lt;/D&gt;&lt;/FQL&gt;&lt;FQL&gt;&lt;Q&gt;NVT-US^P_BETA_LOCIDX(44902,44728,,"SPX")&lt;/Q&gt;&lt;R&gt;1&lt;/R&gt;&lt;C&gt;1&lt;/C&gt;&lt;D xsi:type="xsd:double"&gt;1.0561044&lt;/D&gt;&lt;/FQL&gt;&lt;FQL&gt;&lt;Q&gt;NVT-US^P_BETA_LOCIDX(44901,44727,,"SPX")&lt;/Q&gt;&lt;R&gt;1&lt;/R&gt;&lt;C&gt;1&lt;/C&gt;&lt;D xsi:type="xsd:double"&gt;1.050648&lt;/D&gt;&lt;/FQL&gt;&lt;FQL&gt;&lt;Q&gt;NVT-US^P_BETA_LOCIDX(44900,44726,,"SPX")&lt;/Q&gt;&lt;R&gt;1&lt;/R&gt;&lt;C&gt;1&lt;/C&gt;&lt;D xsi:type="xsd:double"&gt;1.0571678&lt;/D&gt;&lt;/FQL&gt;&lt;FQL&gt;&lt;Q&gt;NVT-US^P_BETA_LOCIDX(44897,44725,,"SPX")&lt;/Q&gt;&lt;R&gt;1&lt;/R&gt;&lt;C&gt;1&lt;/C&gt;&lt;D xsi:type="xsd:double"&gt;1.0601776&lt;/D&gt;&lt;/FQL&gt;&lt;FQL&gt;&lt;Q&gt;NVT-US^P_BETA_LOCIDX(44896,44722,,"SPX")&lt;/Q&gt;&lt;R&gt;1&lt;/R&gt;&lt;C&gt;1&lt;/C&gt;&lt;D xsi:type="xsd:double"&gt;1.0629679&lt;/D&gt;&lt;/FQL&gt;&lt;FQL&gt;&lt;Q&gt;NVT-US^P_BETA_LOCIDX(44895,44721,,"SPX")&lt;/Q&gt;&lt;R&gt;1&lt;/R&gt;&lt;C&gt;1&lt;/C&gt;&lt;D xsi:type="xsd:double"&gt;1.0568624&lt;/D&gt;&lt;/FQL&gt;&lt;FQL&gt;&lt;Q&gt;NVT-US^P_BETA_LOCIDX(44894,44720,,"SPX")&lt;/Q&gt;&lt;R&gt;1&lt;/R&gt;&lt;C&gt;1&lt;/C&gt;&lt;D xsi:type="xsd:double"&gt;1.0811249&lt;/D&gt;&lt;/FQL&gt;&lt;FQL&gt;&lt;Q&gt;NVT-US^P_BETA_LOCIDX(44893,44719,,"SPX")&lt;/Q&gt;&lt;R&gt;1&lt;/R&gt;&lt;C&gt;1&lt;/C&gt;&lt;D xsi:type="xsd:double"&gt;1.0856255&lt;/D&gt;&lt;/FQL&gt;&lt;FQL&gt;&lt;Q&gt;NVT-US^P_BETA_LOCIDX(44890,44718,,"SPX")&lt;/Q&gt;&lt;R&gt;1&lt;/R&gt;&lt;C&gt;1&lt;/C&gt;&lt;D xsi:type="xsd:double"&gt;1.0848411&lt;/D&gt;&lt;/FQL&gt;&lt;FQL&gt;&lt;Q&gt;NVT-US^P_BETA_LOCIDX(44888,44715,,"SPX")&lt;/Q&gt;&lt;R&gt;1&lt;/R&gt;&lt;C&gt;1&lt;/C&gt;&lt;D xsi:type="xsd:double"&gt;1.0778767&lt;/D&gt;&lt;/FQL&gt;&lt;FQL&gt;&lt;Q&gt;NVT-US^P_BETA_LOCIDX(44887,44714,,"SPX")&lt;/Q&gt;&lt;R&gt;1&lt;/R&gt;&lt;C&gt;1&lt;/C&gt;&lt;D xsi:type="xsd:double"&gt;1.0825223&lt;/D&gt;&lt;/FQL&gt;&lt;FQL&gt;&lt;Q&gt;NVT-US^P_BETA_LOCIDX(44886,44713,,"SPX")&lt;/Q&gt;&lt;R&gt;1&lt;/R&gt;&lt;C&gt;1&lt;/C&gt;&lt;D xsi:type="xsd:double"&gt;1.0792274&lt;/D&gt;&lt;/FQL&gt;&lt;FQL&gt;&lt;Q&gt;NVT-US^P_BETA_LOCIDX(44883,44712,,"SPX")&lt;/Q&gt;&lt;R&gt;1&lt;/R&gt;&lt;C&gt;1&lt;/C&gt;&lt;D xsi:type="xsd:double"&gt;1.0796378&lt;/D&gt;&lt;/FQL&gt;&lt;FQL&gt;&lt;Q&gt;NVT-US^P_BETA_LOCIDX(44882,44708,,"SPX")&lt;/Q&gt;&lt;R&gt;1&lt;/R&gt;&lt;C&gt;1&lt;/C&gt;&lt;D xsi:type="xsd:double"&gt;1.0727578&lt;/D&gt;&lt;/FQL&gt;&lt;FQL&gt;&lt;Q&gt;NVT-US^P_BETA_LOCIDX(44881,44707,,"SPX")&lt;/Q&gt;&lt;R&gt;1&lt;/R&gt;&lt;C&gt;1&lt;/C&gt;&lt;D xsi:type="xsd:double"&gt;1.0726653&lt;/D&gt;&lt;/FQL&gt;&lt;FQL&gt;&lt;Q&gt;NVT-US^P_BETA_LOCIDX(44880,44706,,"SPX")&lt;/Q&gt;&lt;R&gt;1&lt;/R&gt;&lt;C&gt;1&lt;/C&gt;&lt;D xsi:type="xsd:double"&gt;1.0748376&lt;/D&gt;&lt;/FQL&gt;&lt;FQL&gt;&lt;Q&gt;NVT-US^P_BETA_LOCIDX(44879,44705,,"SPX")&lt;/Q&gt;&lt;R&gt;1&lt;/R&gt;&lt;C&gt;1&lt;/C&gt;&lt;D xsi:type="xsd:double"&gt;1.0810865&lt;/D&gt;&lt;/FQL&gt;&lt;FQL&gt;&lt;Q&gt;NVT-US^P_BETA_LOCIDX(44876,44704,,"SPX")&lt;/Q&gt;&lt;R&gt;1&lt;/R&gt;&lt;C&gt;1&lt;/C&gt;&lt;D xsi:type="xsd:double"&gt;1.0838841&lt;/D&gt;&lt;/FQL&gt;&lt;FQL&gt;&lt;Q&gt;NVT-US^P_BETA_LOCIDX(44875,44701,,"SPX")&lt;/Q&gt;&lt;R&gt;1&lt;/R&gt;&lt;C&gt;1&lt;/C&gt;&lt;D xsi:type="xsd:double"&gt;1.0904597&lt;/D&gt;&lt;/FQL&gt;&lt;FQL&gt;&lt;Q&gt;NVT-US^P_BETA_LOCIDX(44874,44700,,"SPX")&lt;/Q&gt;&lt;R&gt;1&lt;/R&gt;&lt;C&gt;1&lt;/C&gt;&lt;D xsi:type="xsd:double"&gt;1.147299&lt;/D&gt;&lt;/FQL&gt;&lt;FQL&gt;&lt;Q&gt;NVT-US^P_BETA_LOCIDX(44873,44699,,"SPX")&lt;/Q&gt;&lt;R&gt;1&lt;/R&gt;&lt;C&gt;1&lt;/C&gt;&lt;D xsi:type="xsd:double"&gt;1.1365236&lt;/D&gt;&lt;/FQL&gt;&lt;FQL&gt;&lt;Q&gt;NVT-US^P_BETA_LOCIDX(44872,44698,,"SPX")&lt;/Q&gt;&lt;R&gt;1&lt;/R&gt;&lt;C&gt;1&lt;/C&gt;&lt;D xsi:type="xsd:double"&gt;1.1406605&lt;/D&gt;&lt;/FQL&gt;&lt;FQL&gt;&lt;Q&gt;NVT-US^P_BETA_LOCIDX(44869,44697,,"SPX")&lt;/Q&gt;&lt;R&gt;1&lt;/R&gt;&lt;C&gt;1&lt;/C&gt;&lt;D xsi:type="xsd:double"&gt;1.1481035&lt;/D&gt;&lt;/FQL&gt;&lt;FQL&gt;&lt;Q&gt;NVT-US^P_BETA_LOCIDX(44868,44694,,"SPX")&lt;/Q&gt;&lt;R&gt;1&lt;/R&gt;&lt;C&gt;1&lt;/C&gt;&lt;D xsi:type="xsd:double"&gt;1.1337928&lt;/D&gt;&lt;/FQL&gt;&lt;FQL&gt;&lt;Q&gt;NVT-US^P_BETA_LOCIDX(44867,44693,,"SPX")&lt;/Q&gt;&lt;R&gt;1&lt;/R&gt;&lt;C&gt;1&lt;/C&gt;&lt;D xsi:type="xsd:double"&gt;1.1379617&lt;/D&gt;&lt;/FQL&gt;&lt;FQL&gt;&lt;Q&gt;NVT-US^P_BETA_LOCIDX(44866,44692,,"SPX")&lt;/Q&gt;&lt;R&gt;1&lt;/R&gt;&lt;C&gt;1&lt;/C&gt;&lt;D xsi:type="xsd:double"&gt;1.1330636&lt;/D&gt;&lt;/FQL&gt;&lt;FQL&gt;&lt;Q&gt;NVT-US^P_BETA_LOCIDX(44865,44691,,"SPX")&lt;/Q&gt;&lt;R&gt;1&lt;/R&gt;&lt;C&gt;1&lt;/C&gt;&lt;D xsi:type="xsd:double"&gt;1.1347412&lt;/D&gt;&lt;/FQL&gt;&lt;FQL&gt;&lt;Q&gt;NVT-US^P_BETA_LOCIDX(44862,44690,,"SPX")&lt;/Q&gt;&lt;R&gt;1&lt;/R&gt;&lt;C&gt;1&lt;/C&gt;&lt;D xsi:type="xsd:double"&gt;1.1109802&lt;/D&gt;&lt;/FQL&gt;&lt;FQL&gt;&lt;Q&gt;NVT-US^P_BETA_LOCIDX(44861,44687,,"SPX")&lt;/Q&gt;&lt;R&gt;1&lt;/R&gt;&lt;C&gt;1&lt;/C&gt;&lt;D xsi:type="xsd:double"&gt;1.0772052&lt;/D&gt;&lt;/FQL&gt;&lt;FQL&gt;&lt;Q&gt;NVT-US^P_BETA_LOCIDX(44860,44686,,"SPX")&lt;/Q&gt;&lt;R&gt;1&lt;/R&gt;&lt;C&gt;1&lt;/C&gt;&lt;D xsi:type="xsd:double"&gt;1.059021&lt;/D&gt;&lt;/FQL&gt;&lt;FQL&gt;&lt;Q&gt;NVT-US^P_BETA_LOCIDX(44859,44685,,"SPX")&lt;/Q&gt;&lt;R&gt;1&lt;/R&gt;&lt;C&gt;1&lt;/C&gt;&lt;D xsi:type="xsd:double"&gt;1.045099&lt;/D&gt;&lt;/FQL&gt;&lt;FQL&gt;&lt;Q&gt;NVT-US^P_BETA_LOCIDX(44858,44684,,"SPX")&lt;/Q&gt;&lt;R&gt;1&lt;/R&gt;&lt;C&gt;1&lt;/C&gt;&lt;D xsi:type="xsd:double"&gt;1.0461019&lt;/D&gt;&lt;/FQL&gt;&lt;FQL&gt;&lt;Q&gt;NVT-US^P_BETA_LOCIDX(44855,44683,,"SPX")&lt;/Q&gt;&lt;R&gt;1&lt;/R&gt;&lt;C&gt;1&lt;/C&gt;&lt;D xsi:type="xsd:double"&gt;1.0457238&lt;/D&gt;&lt;/FQL&gt;&lt;FQL&gt;&lt;Q&gt;NVT-US^P_BETA_LOCIDX(44854,44680,,"SPX")&lt;/Q&gt;&lt;R&gt;1&lt;/R&gt;&lt;C&gt;1&lt;/C&gt;&lt;D xsi:type="xsd:double"&gt;1.0191988&lt;/D&gt;&lt;/FQL&gt;&lt;FQL&gt;&lt;Q&gt;NVT-US^P_BETA_LOCIDX(44853,44679,,"SPX")&lt;/Q&gt;&lt;R&gt;1&lt;/R&gt;&lt;C&gt;1&lt;/C&gt;&lt;D xsi:type="xsd:double"&gt;1.0089865&lt;/D&gt;&lt;/FQL&gt;&lt;FQL&gt;&lt;Q&gt;NVT-US^P_BETA_LOCIDX(44852,44678,,"SPX")&lt;/Q&gt;&lt;R&gt;1&lt;/R&gt;&lt;C&gt;1&lt;/C&gt;&lt;D xsi:type="xsd:double"&gt;1.0059627&lt;/D&gt;&lt;/FQL&gt;&lt;FQL&gt;&lt;Q&gt;NVT-US^P_BETA_LOCIDX(44851,44677,,"SPX")&lt;/Q&gt;&lt;R&gt;1&lt;/R&gt;&lt;C&gt;1&lt;/C&gt;&lt;D xsi:type="xsd:double"&gt;1.0061722&lt;/D&gt;&lt;/FQL&gt;&lt;FQL&gt;&lt;Q&gt;NVT-US^P_BETA_LOCIDX(44848,44676,,"SPX")&lt;/Q&gt;&lt;R&gt;1&lt;/R&gt;&lt;C&gt;1&lt;/C&gt;&lt;D xsi:type="xsd:double"&gt;1.0039984&lt;/D&gt;&lt;/FQL&gt;&lt;FQL&gt;&lt;Q&gt;NVT-US^P_BETA_LOCIDX(44847,44673,,"SPX")&lt;/Q&gt;&lt;R&gt;1&lt;/R&gt;&lt;C&gt;1&lt;/C&gt;&lt;D xsi:type="xsd:double"&gt;1.0097749&lt;/D&gt;&lt;/FQL&gt;&lt;FQL&gt;&lt;Q&gt;NVT-US^P_BETA_LOCIDX(44846,44672,,"SPX")&lt;/Q&gt;&lt;R&gt;1&lt;/R&gt;&lt;C&gt;1&lt;/C&gt;&lt;D xsi:type="xsd:double"&gt;0.9967744&lt;/D&gt;&lt;/FQL&gt;&lt;FQL&gt;&lt;Q&gt;NVT-US^P_BETA_LOCIDX(44845,44671,,"SPX")&lt;/Q&gt;&lt;R&gt;1&lt;/R&gt;&lt;C&gt;1&lt;/C&gt;&lt;D xsi:type="xsd:double"&gt;0.9973541&lt;/D&gt;&lt;/FQL&gt;&lt;FQL&gt;&lt;Q&gt;NVT-US^P_BETA_LOCIDX(44844,44670,,"SPX")&lt;/Q&gt;&lt;R&gt;1&lt;/R&gt;&lt;C&gt;1&lt;/C&gt;&lt;D xsi:type="xsd:double"&gt;1.0056903&lt;/D&gt;&lt;/FQL&gt;&lt;FQL&gt;&lt;Q&gt;NVT-US^P_BETA_LOCIDX(44841,44669,,"SPX")&lt;/Q&gt;&lt;R&gt;1&lt;/R&gt;&lt;C&gt;1&lt;/C&gt;&lt;D xsi:type="xsd:double"&gt;1.0060706&lt;/D&gt;&lt;/FQL&gt;&lt;FQL&gt;&lt;Q&gt;NVT-US^P_BETA_LOCIDX(44840,44665,,"SPX")&lt;/Q&gt;&lt;R&gt;1&lt;/R&gt;&lt;C&gt;1&lt;/C&gt;&lt;D xsi:type="xsd:double"&gt;0.99563336&lt;/D&gt;&lt;/FQL&gt;&lt;FQL&gt;&lt;Q&gt;NVT-US^P_BETA_LOCIDX(44839,44664,,"SPX")&lt;/Q&gt;&lt;R&gt;1&lt;/R&gt;&lt;C&gt;1&lt;/C&gt;&lt;D xsi:type="xsd:double"&gt;0.9976237&lt;/D&gt;&lt;/FQL&gt;&lt;FQL&gt;&lt;Q&gt;NVT-US^P_BETA_LOCIDX(44838,44663,,"SPX")&lt;/Q&gt;&lt;R&gt;1&lt;/R&gt;&lt;C&gt;1&lt;/C&gt;&lt;D xsi:type="xsd:double"&gt;0.99726754&lt;/D&gt;&lt;/FQL&gt;&lt;FQL&gt;&lt;Q&gt;NVT-US^P_BETA_LOCIDX(44837,44662,,"SPX")&lt;/Q&gt;&lt;R&gt;1&lt;/R&gt;&lt;C&gt;1&lt;/C&gt;&lt;D xsi:type="xsd:double"&gt;0.98805624&lt;/D&gt;&lt;/FQL&gt;&lt;FQL&gt;&lt;Q&gt;NVT-US^P_BETA_LOCIDX(44834,44659,,"SPX")&lt;/Q&gt;&lt;R&gt;1&lt;/R&gt;&lt;C&gt;1&lt;/C&gt;&lt;D xsi:type="xsd:double"&gt;0.98437726&lt;/D&gt;&lt;/FQL&gt;&lt;FQL&gt;&lt;Q&gt;NVT-US^P_BETA_LOCIDX(44833,44658,,"SPX")&lt;/Q&gt;&lt;R&gt;1&lt;/R&gt;&lt;C&gt;1&lt;/C&gt;&lt;D xsi:type="xsd:double"&gt;0.9921334&lt;/D&gt;&lt;/FQL&gt;&lt;FQL&gt;&lt;Q&gt;NVT-US^P_BETA_LOCIDX(44832,44657,,"SPX")&lt;/Q&gt;&lt;R&gt;1&lt;/R&gt;&lt;C&gt;1&lt;/C&gt;&lt;D xsi:type="xsd:double"&gt;0.9976957&lt;/D&gt;&lt;/FQL&gt;&lt;FQL&gt;&lt;Q&gt;NVT-US^P_BETA_LOCIDX(44831,44656,,"SPX")&lt;/Q&gt;&lt;R&gt;1&lt;/R&gt;&lt;C&gt;1&lt;/C&gt;&lt;D xsi:type="xsd:double"&gt;1.0011836&lt;/D&gt;&lt;/FQL&gt;&lt;FQL&gt;&lt;Q&gt;NVT-US^P_BETA_LOCIDX(44830,44655,,"SPX")&lt;/Q&gt;&lt;R&gt;1&lt;/R&gt;&lt;C&gt;1&lt;/C&gt;&lt;D xsi:type="xsd:double"&gt;0.9943062&lt;/D&gt;&lt;/FQL&gt;&lt;FQL&gt;&lt;Q&gt;NVT-US^P_BETA_LOCIDX(44827,44652,,"SPX")&lt;/Q&gt;&lt;R&gt;1&lt;/R&gt;&lt;C&gt;1&lt;/C&gt;&lt;D xsi:type="xsd:double"&gt;0.99441254&lt;/D&gt;&lt;/FQL&gt;&lt;FQL&gt;&lt;Q&gt;NVT-US^P_BETA_LOCIDX(44826,44651,,"SPX")&lt;/Q&gt;&lt;R&gt;1&lt;/R&gt;&lt;C&gt;1&lt;/C&gt;&lt;D xsi:type="xsd:double"&gt;1.0014528&lt;/D&gt;&lt;/FQL&gt;&lt;FQL&gt;&lt;Q&gt;NVT-US^P_BETA_LOCIDX(44825,44650,,"SPX")&lt;/Q&gt;&lt;R&gt;1&lt;/R&gt;&lt;C&gt;1&lt;/C&gt;&lt;D xsi:type="xsd:double"&gt;1.0011069&lt;/D&gt;&lt;/FQL&gt;&lt;FQL&gt;&lt;Q&gt;NVT-US^P_BETA_LOCIDX(44824,44649,,"SPX")&lt;/Q&gt;&lt;R&gt;1&lt;/R&gt;&lt;C&gt;1&lt;/C&gt;&lt;D xsi:type="xsd:double"&gt;1.005255&lt;/D&gt;&lt;/FQL&gt;&lt;FQL&gt;&lt;Q&gt;NVT-US^P_BETA_LOCIDX(44823,44648,,"SPX")&lt;/Q&gt;&lt;R&gt;1&lt;/R&gt;&lt;C&gt;1&lt;/C&gt;&lt;D xsi:type="xsd:double"&gt;1.0048566&lt;/D&gt;&lt;/FQL&gt;&lt;FQL&gt;&lt;Q&gt;NVT-US^P_BETA_LOCIDX(44820,44645,,"SPX")&lt;/Q&gt;&lt;R&gt;1&lt;/R&gt;&lt;C&gt;1&lt;/C&gt;&lt;D xsi:type="xsd:double"&gt;1.0022737&lt;/D&gt;&lt;/FQL&gt;&lt;FQL&gt;&lt;Q&gt;NVT-US^P_BETA_LOCIDX(44819,44644,,"SPX")&lt;/Q&gt;&lt;R&gt;1&lt;/R&gt;&lt;C&gt;1&lt;/C&gt;&lt;D xsi:type="xsd:double"&gt;0.98604167&lt;/D&gt;&lt;/FQL&gt;&lt;FQL&gt;&lt;Q&gt;NVT-US^P_BETA_LOCIDX(44818,44643,,"SPX")&lt;/Q&gt;&lt;R&gt;1&lt;/R&gt;&lt;C&gt;1&lt;/C&gt;&lt;D xsi:type="xsd:double"&gt;0.99443066&lt;/D&gt;&lt;/FQL&gt;&lt;FQL&gt;&lt;Q&gt;NVT-US^P_BETA_LOCIDX(44817,44642,,"SPX")&lt;/Q&gt;&lt;R&gt;1&lt;/R&gt;&lt;C&gt;1&lt;/C&gt;&lt;D xsi:type="xsd:double"&gt;0.98549235&lt;/D&gt;&lt;/FQL&gt;&lt;FQL&gt;&lt;Q&gt;NVT-US^P_BETA_LOCIDX(44816,44641,,"SPX")&lt;/Q&gt;&lt;R&gt;1&lt;/R&gt;&lt;C&gt;1&lt;/C&gt;&lt;D xsi:type="xsd:double"&gt;0.98711264&lt;/D&gt;&lt;/FQL&gt;&lt;FQL&gt;&lt;Q&gt;NVT-US^P_BETA_LOCIDX(44813,44638,,"SPX")&lt;/Q&gt;&lt;R&gt;1&lt;/R&gt;&lt;C&gt;1&lt;/C&gt;&lt;D xsi:type="xsd:double"&gt;0.98987573&lt;/D&gt;&lt;/FQL&gt;&lt;FQL&gt;&lt;Q&gt;NVT-US^P_BETA_LOCIDX(44812,44637,,"SPX")&lt;/Q&gt;&lt;R&gt;1&lt;/R&gt;&lt;C&gt;1&lt;/C&gt;&lt;D xsi:type="xsd:double"&gt;0.9827269&lt;/D&gt;&lt;/FQL&gt;&lt;FQL&gt;&lt;Q&gt;NVT-US^P_BETA_LOCIDX(44811,44636,,"SPX")&lt;/Q&gt;&lt;R&gt;1&lt;/R&gt;&lt;C&gt;1&lt;/C&gt;&lt;D xsi:type="xsd:double"&gt;0.9805938&lt;/D&gt;&lt;/FQL&gt;&lt;FQL&gt;&lt;Q&gt;NVT-US^P_BETA_LOCIDX(44810,44635,,"SPX")&lt;/Q&gt;&lt;R&gt;1&lt;/R&gt;&lt;C&gt;1&lt;/C&gt;&lt;D xsi:type="xsd:double"&gt;0.95362514&lt;/D&gt;&lt;/FQL&gt;&lt;FQL&gt;&lt;Q&gt;NVT-US^P_BETA_LOCIDX(44806,44634,,"SPX")&lt;/Q&gt;&lt;R&gt;1&lt;/R&gt;&lt;C&gt;1&lt;/C&gt;&lt;D xsi:type="xsd:double"&gt;0.9521171&lt;/D&gt;&lt;/FQL&gt;&lt;FQL&gt;&lt;Q&gt;NVT-US^P_BETA_LOCIDX(44805,44631,,"SPX")&lt;/Q&gt;&lt;R&gt;1&lt;/R&gt;&lt;C&gt;1&lt;/C&gt;&lt;D xsi:type="xsd:double"&gt;0.94743246&lt;/D&gt;&lt;/FQL&gt;&lt;FQL&gt;&lt;Q&gt;NVT-US^P_BETA_LOCIDX(44804,44630,,"SPX")&lt;/Q&gt;&lt;R&gt;1&lt;/R&gt;&lt;C&gt;1&lt;/C&gt;&lt;D xsi:type="xsd:double"&gt;0.9486634&lt;/D&gt;&lt;/FQL&gt;&lt;FQL&gt;&lt;Q&gt;NVT-US^P_BETA_LOCIDX(44803,44629,,"SPX")&lt;/Q&gt;&lt;R&gt;1&lt;/R&gt;&lt;C&gt;1&lt;/C&gt;&lt;D xsi:type="xsd:double"&gt;0.9630032&lt;/D&gt;&lt;/FQL&gt;&lt;FQL&gt;&lt;Q&gt;NVT-US^P_BETA_LOCIDX(44802,44628,,"SPX")&lt;/Q&gt;&lt;R&gt;1&lt;/R&gt;&lt;C&gt;1&lt;/C&gt;&lt;D xsi:type="xsd:double"&gt;0.957862&lt;/D&gt;&lt;/FQL&gt;&lt;FQL&gt;&lt;Q&gt;NVT-US^P_BETA_LOCIDX(44799,44627,,"SPX")&lt;/Q&gt;&lt;R&gt;1&lt;/R&gt;&lt;C&gt;1&lt;/C&gt;&lt;D xsi:type="xsd:double"&gt;0.95827717&lt;/D&gt;&lt;/FQL&gt;&lt;FQL&gt;&lt;Q&gt;NVT-US^P_BETA_LOCIDX(44798,44624,,"SPX")&lt;/Q&gt;&lt;R&gt;1&lt;/R&gt;&lt;C&gt;1&lt;/C&gt;&lt;D xsi:type="xsd:double"&gt;0.95257986&lt;/D&gt;&lt;/FQL&gt;&lt;FQL&gt;&lt;Q&gt;NVT-US^P_BETA_LOCIDX(44797,44623,,"SPX")&lt;/Q&gt;&lt;R&gt;1&lt;/R&gt;&lt;C&gt;1&lt;/C&gt;&lt;D xsi:type="xsd:double"&gt;0.9544888&lt;/D&gt;&lt;/FQL&gt;&lt;FQL&gt;&lt;Q&gt;NVT-US^P_BETA_LOCIDX(44796,44622,,"SPX")&lt;/Q&gt;&lt;R&gt;1&lt;/R&gt;&lt;C&gt;1&lt;/C&gt;&lt;D xsi:type="xsd:double"&gt;0.96323967&lt;/D&gt;&lt;/FQL&gt;&lt;FQL&gt;&lt;Q&gt;NVT-US^P_BETA_LOCIDX(44795,44621,,"SPX")&lt;/Q&gt;&lt;R&gt;1&lt;/R&gt;&lt;C&gt;1&lt;/C&gt;&lt;D xsi:type="xsd:double"&gt;0.9636392&lt;/D&gt;&lt;/FQL&gt;&lt;FQL&gt;&lt;Q&gt;NVT-US^P_BETA_LOCIDX(44792,44620,,"SPX")&lt;/Q&gt;&lt;R&gt;1&lt;/R&gt;&lt;C&gt;1&lt;/C&gt;&lt;D xsi:type="xsd:double"&gt;0.9592606&lt;/D&gt;&lt;/FQL&gt;&lt;FQL&gt;&lt;Q&gt;NVT-US^P_BETA_LOCIDX(44791,44617,,"SPX")&lt;/Q&gt;&lt;R&gt;1&lt;/R&gt;&lt;C&gt;1&lt;/C&gt;&lt;D xsi:type="xsd:double"&gt;0.9620491&lt;/D&gt;&lt;/FQL&gt;&lt;FQL&gt;&lt;Q&gt;NVT-US^P_BETA_LOCIDX(44790,44616,,"SPX")&lt;/Q&gt;&lt;R&gt;1&lt;/R&gt;&lt;C&gt;1&lt;/C&gt;&lt;D xsi:type="xsd:double"&gt;0.9601858&lt;/D&gt;&lt;/FQL&gt;&lt;FQL&gt;&lt;Q&gt;NVT-US^P_BETA_LOCIDX(44789,44615,,"SPX")&lt;/Q&gt;&lt;R&gt;1&lt;/R&gt;&lt;C&gt;1&lt;/C&gt;&lt;D xsi:type="xsd:double"&gt;0.95872533&lt;/D&gt;&lt;/FQL&gt;&lt;FQL&gt;&lt;Q&gt;NVT-US^P_BETA_LOCIDX(44788,44614,,"SPX")&lt;/Q&gt;&lt;R&gt;1&lt;/R&gt;&lt;C&gt;1&lt;/C&gt;&lt;D xsi:type="xsd:double"&gt;0.9608057&lt;/D&gt;&lt;/FQL&gt;&lt;FQL&gt;&lt;Q&gt;NVT-US^P_BETA_LOCIDX(44785,44610,,"SPX")&lt;/Q&gt;&lt;R&gt;1&lt;/R&gt;&lt;C&gt;1&lt;/C&gt;&lt;D xsi:type="xsd:double"&gt;0.9579723&lt;/D&gt;&lt;/FQL&gt;&lt;FQL&gt;&lt;Q&gt;NVT-US^P_BETA_LOCIDX(44784,44609,,"SPX")&lt;/Q&gt;&lt;R&gt;1&lt;/R&gt;&lt;C&gt;1&lt;/C&gt;&lt;D xsi:type="xsd:double"&gt;0.9723546&lt;/D&gt;&lt;/FQL&gt;&lt;FQL&gt;&lt;Q&gt;NVT-US^P_BETA_LOCIDX(44783,44608,,"SPX")&lt;/Q&gt;&lt;R&gt;1&lt;/R&gt;&lt;C&gt;1&lt;/C&gt;&lt;D xsi:type="xsd:double"&gt;0.9732128&lt;/D&gt;&lt;/FQL&gt;&lt;FQL&gt;&lt;Q&gt;NVT-US^P_BETA_LOCIDX(44782,44607,,"SPX")&lt;/Q&gt;&lt;R&gt;1&lt;/R&gt;&lt;C&gt;1&lt;/C&gt;&lt;D xsi:type="xsd:double"&gt;0.96885055&lt;/D&gt;&lt;/FQL&gt;&lt;FQL&gt;&lt;Q&gt;NVT-US^P_BETA_LOCIDX(44781,44606,,"SPX")&lt;/Q&gt;&lt;R&gt;1&lt;/R&gt;&lt;C&gt;1&lt;/C&gt;&lt;D xsi:type="xsd:double"&gt;0.968258&lt;/D&gt;&lt;/FQL&gt;&lt;FQL&gt;&lt;Q&gt;NVT-US^P_BETA_LOCIDX(44778,44603,,"SPX")&lt;/Q&gt;&lt;R&gt;1&lt;/R&gt;&lt;C&gt;1&lt;/C&gt;&lt;D xsi:type="xsd:double"&gt;0.977202&lt;/D&gt;&lt;/FQL&gt;&lt;FQL&gt;&lt;Q&gt;NVT-US^P_BETA_LOCIDX(44777,44602,,"SPX")&lt;/Q&gt;&lt;R&gt;1&lt;/R&gt;&lt;C&gt;1&lt;/C&gt;&lt;D xsi:type="xsd:double"&gt;0.9826619&lt;/D&gt;&lt;/FQL&gt;&lt;FQL&gt;&lt;Q&gt;NVT-US^P_BETA_LOCIDX(44776,44601,,"SPX")&lt;/Q&gt;&lt;R&gt;1&lt;/R&gt;&lt;C&gt;1&lt;/C&gt;&lt;D xsi:type="xsd:double"&gt;0.9926529&lt;/D&gt;&lt;/FQL&gt;&lt;FQL&gt;&lt;Q&gt;NVT-US^P_BETA_LOCIDX(44775,44600,,"SPX")&lt;/Q&gt;&lt;R&gt;1&lt;/R&gt;&lt;C&gt;1&lt;/C&gt;&lt;D xsi:type="xsd:double"&gt;0.99507785&lt;/D&gt;&lt;/FQL&gt;&lt;FQL&gt;&lt;Q&gt;NVT-US^P_BETA_LOCIDX(44774,44599,,"SPX")&lt;/Q&gt;&lt;R&gt;1&lt;/R&gt;&lt;C&gt;1&lt;/C&gt;&lt;D xsi:type="xsd:double"&gt;0.9902687&lt;/D&gt;&lt;/FQL&gt;&lt;FQL&gt;&lt;Q&gt;NVT-US^P_BETA_LOCIDX(45845,45670,,"SPX")&lt;/Q&gt;&lt;R&gt;1&lt;/R&gt;&lt;C&gt;1&lt;/C&gt;&lt;D xsi:type="xsd:double"&gt;1.654897&lt;/D&gt;&lt;/FQL&gt;&lt;FQL&gt;&lt;Q&gt;CRH-US^P_BETA_LOCIDX(45037,44861,,"SPX")&lt;/Q&gt;&lt;R&gt;1&lt;/R&gt;&lt;C&gt;1&lt;/C&gt;&lt;D xsi:type="xsd:double"&gt;1.1467484&lt;/D&gt;&lt;/FQL&gt;&lt;FQL&gt;&lt;Q&gt;CRH-US^P_BETA_LOCIDX(45806,45629,,"SPX")&lt;/Q&gt;&lt;R&gt;1&lt;/R&gt;&lt;C&gt;1&lt;/C&gt;&lt;D xsi:type="xsd:double"&gt;1.2661556&lt;/D&gt;&lt;/FQL&gt;&lt;FQL&gt;&lt;Q&gt;CRH-US^P_BETA_LOCIDX(45987,45818,,"SPX")&lt;/Q&gt;&lt;R&gt;1&lt;/R&gt;&lt;C&gt;1&lt;/C&gt;&lt;D xsi:type="xsd:double"&gt;1.1925155&lt;/D&gt;&lt;/FQL&gt;&lt;FQL&gt;&lt;Q&gt;CRH-US^P_BETA_LOCIDX(46029,45855,,"SPX")&lt;/Q&gt;&lt;R&gt;1&lt;/R&gt;&lt;C&gt;1&lt;/C&gt;&lt;D xsi:type="xsd:double"&gt;1.1525435&lt;/D&gt;&lt;/FQL&gt;&lt;FQL&gt;&lt;Q&gt;CRH-US^P_BETA_LOCIDX(45469,45294,,"SPX")&lt;/Q&gt;&lt;R&gt;1&lt;/R&gt;&lt;C&gt;1&lt;/C&gt;&lt;D xsi:type="xsd:double"&gt;1.3034714&lt;/D&gt;&lt;/FQL&gt;&lt;FQL&gt;&lt;Q&gt;CRH-US^P_BETA_LOCIDX(44957,44782,,"SPX")&lt;/Q&gt;&lt;R&gt;1&lt;/R&gt;&lt;C&gt;1&lt;/C&gt;&lt;D xsi:type="xsd:double"&gt;1.2034137&lt;/D&gt;&lt;/FQL&gt;&lt;FQL&gt;&lt;Q&gt;CRH-US^P_BETA_LOCIDX(45350,45175,,"SPX")&lt;/Q&gt;&lt;R&gt;1&lt;/R&gt;&lt;C&gt;1&lt;/C&gt;&lt;D xsi:type="xsd:double"&gt;1.1711973&lt;/D&gt;&lt;/FQL&gt;&lt;FQL&gt;&lt;Q&gt;CRH-US^P_BETA_LOCIDX(45175,45000,,"SPX")&lt;/Q&gt;&lt;R&gt;1&lt;/R&gt;&lt;C&gt;1&lt;/C&gt;&lt;D xsi:type="xsd:double"&gt;1.0347158&lt;/D&gt;&lt;/FQL&gt;&lt;FQL&gt;&lt;Q&gt;CRH-US^P_BETA_LOCIDX(45329,45154,,"SPX")&lt;/Q&gt;&lt;R&gt;1&lt;/R&gt;&lt;C&gt;1&lt;/C&gt;&lt;D xsi:type="xsd:double"&gt;1.2181412&lt;/D&gt;&lt;/FQL&gt;&lt;FQL&gt;&lt;Q&gt;CRH-US^P_BETA_LOCIDX(45062,44886,,"SPX")&lt;/Q&gt;&lt;R&gt;1&lt;/R&gt;&lt;C&gt;1&lt;/C&gt;&lt;D xsi:type="xsd:double"&gt;0.94419044&lt;/D&gt;&lt;/FQL&gt;&lt;FQL&gt;&lt;Q&gt;CRH-US^P_BETA_LOCIDX(45596,45422,,"SPX")&lt;/Q&gt;&lt;R&gt;1&lt;/R&gt;&lt;C&gt;1&lt;/C&gt;&lt;D xsi:type="xsd:double"&gt;1.2927893&lt;/D&gt;&lt;/FQL&gt;&lt;FQL&gt;&lt;Q&gt;CRH-US^P_BETA_LOCIDX(45447,45271,,"SPX")&lt;/Q&gt;&lt;R&gt;1&lt;/R&gt;&lt;C&gt;1&lt;/C&gt;&lt;D xsi:type="xsd:double"&gt;1.2691233&lt;/D&gt;&lt;/FQL&gt;&lt;FQL&gt;&lt;Q&gt;CRH-US^P_BETA_LOCIDX(46017,45846,,"SPX")&lt;/Q&gt;&lt;R&gt;1&lt;/R&gt;&lt;C&gt;1&lt;/C&gt;&lt;D xsi:type="xsd:double"&gt;1.1050442&lt;/D&gt;&lt;/FQL&gt;&lt;FQL&gt;&lt;Q&gt;CRH-US^P_BETA_LOCIDX(45456,45280,,"SPX")&lt;/Q&gt;&lt;R&gt;1&lt;/R&gt;&lt;C&gt;1&lt;/C&gt;&lt;D xsi:type="xsd:double"&gt;1.2647957&lt;/D&gt;&lt;/FQL&gt;&lt;FQL&gt;&lt;Q&gt;CRH-US^P_BETA_LOCIDX(45106,44931,,"SPX")&lt;/Q&gt;&lt;R&gt;1&lt;/R&gt;&lt;C&gt;1&lt;/C&gt;&lt;D xsi:type="xsd:double"&gt;1.0492228&lt;/D&gt;&lt;/FQL&gt;&lt;FQL&gt;&lt;Q&gt;CRH-US^P_BETA_LOCIDX(45250,45077,,"SPX")&lt;/Q&gt;&lt;R&gt;1&lt;/R&gt;&lt;C&gt;1&lt;/C&gt;&lt;D xsi:type="xsd:double"&gt;1.1818162&lt;/D&gt;&lt;/FQL&gt;&lt;FQL&gt;&lt;Q&gt;CRH-US^P_BETA_LOCIDX(45541,45366,,"SPX")&lt;/Q&gt;&lt;R&gt;1&lt;/R&gt;&lt;C&gt;1&lt;/C&gt;&lt;D xsi:type="xsd:double"&gt;1.3909978&lt;/D&gt;&lt;/FQL&gt;&lt;FQL&gt;&lt;Q&gt;CRH-US^P_BETA_LOCIDX(45356,45181,,"SPX")&lt;/Q&gt;&lt;R&gt;1&lt;/R&gt;&lt;C&gt;1&lt;/C&gt;&lt;D xsi:type="xsd:double"&gt;1.2176987&lt;/D&gt;&lt;/FQL&gt;&lt;FQL&gt;&lt;Q&gt;CRH-US^P_BETA_LOCIDX(45826,45649,,"SPX")&lt;/Q&gt;&lt;R&gt;1&lt;/R&gt;&lt;C&gt;1&lt;/C&gt;&lt;D xsi:type="xsd:double"&gt;1.2601137&lt;/D&gt;&lt;/FQL&gt;&lt;FQL&gt;&lt;Q&gt;CRH-US^P_BETA_LOCIDX(45680,45504,,"SPX")&lt;/Q&gt;&lt;R&gt;1&lt;/R&gt;&lt;C&gt;1&lt;/C&gt;&lt;D xsi:type="xsd:double"&gt;1.2444514&lt;/D&gt;&lt;/FQL&gt;&lt;FQL&gt;&lt;Q&gt;CRH-US^P_BETA_LOCIDX(45792,45615,,"SPX")&lt;/Q&gt;&lt;R&gt;1&lt;/R&gt;&lt;C&gt;1&lt;/C&gt;&lt;D xsi:type="xsd:double"&gt;1.2694018&lt;/D&gt;&lt;/FQL&gt;&lt;FQL&gt;&lt;Q&gt;CRH-US^P_BETA_LOCIDX(45114,44938,,"SPX")&lt;/Q&gt;&lt;R&gt;1&lt;/R&gt;&lt;C&gt;1&lt;/C&gt;&lt;D xsi:type="xsd:double"&gt;1.0384108&lt;/D&gt;&lt;/FQL&gt;&lt;FQL&gt;&lt;Q&gt;CRH-US^P_BETA_LOCIDX(45687,45511,,"SPX")&lt;/Q&gt;&lt;R&gt;1&lt;/R&gt;&lt;C&gt;1&lt;/C&gt;&lt;D xsi:type="xsd:double"&gt;1.1909468&lt;/D&gt;&lt;/FQL&gt;&lt;FQL&gt;&lt;Q&gt;CRH-US^P_BETA_LOCIDX(46022,45849,,"SPX")&lt;/Q&gt;&lt;R&gt;1&lt;/R&gt;&lt;C&gt;1&lt;/C&gt;&lt;D xsi:type="xsd:double"&gt;1.1138052&lt;/D&gt;&lt;/FQL&gt;&lt;FQL&gt;&lt;Q&gt;CRH-US^P_BETA_LOCIDX(45191,45016,,"SPX")&lt;/Q&gt;&lt;R&gt;1&lt;/R&gt;&lt;C&gt;1&lt;/C&gt;&lt;D xsi:type="xsd:double"&gt;1.0415081&lt;/D&gt;&lt;/FQL&gt;&lt;FQL&gt;&lt;Q&gt;CRH-US^P_BETA_LOCIDX(45685,45509,,"SPX")&lt;/Q&gt;&lt;R&gt;1&lt;/R&gt;&lt;C&gt;1&lt;/C&gt;&lt;D xsi:type="xsd:double"&gt;1.1654173&lt;/D&gt;&lt;/FQL&gt;&lt;FQL&gt;&lt;Q&gt;CRH-US^P_BETA_LOCIDX(45918,45744,,"SPX")&lt;/Q&gt;&lt;R&gt;1&lt;/R&gt;&lt;C&gt;1&lt;/C&gt;&lt;D xsi:type="xsd:double"&gt;1.2051576&lt;/D&gt;&lt;/FQL&gt;&lt;FQL&gt;&lt;Q&gt;CRH-US^P_BETA_LOCIDX(45212,45040,,"SPX")&lt;/Q&gt;&lt;R&gt;1&lt;/R&gt;&lt;C&gt;1&lt;/C&gt;&lt;D xsi:type="xsd:double"&gt;1.078494&lt;/D&gt;&lt;/FQL&gt;&lt;FQL&gt;&lt;Q&gt;CRH-US^P_BETA_LOCIDX(46010,45840,,"SPX")&lt;/Q&gt;&lt;R&gt;1&lt;/R&gt;&lt;C&gt;1&lt;/C&gt;&lt;D xsi:type="xsd:double"&gt;1.0980368&lt;/D&gt;&lt;/FQL&gt;&lt;FQL&gt;&lt;Q&gt;CRH-US^P_BETA_LOCIDX(45645,45474,,"SPX")&lt;/Q&gt;&lt;R&gt;1&lt;/R&gt;&lt;C&gt;1&lt;/C&gt;&lt;D xsi:type="xsd:double"&gt;1.249674&lt;/D&gt;&lt;/FQL&gt;&lt;FQL&gt;&lt;Q&gt;CRH-US^P_BETA_LOCIDX(45786,45609,,"SPX")&lt;/Q&gt;&lt;R&gt;1&lt;/R&gt;&lt;C&gt;1&lt;/C&gt;&lt;D xsi:type="xsd:double"&gt;1.2688586&lt;/D&gt;&lt;/FQL&gt;&lt;FQL&gt;&lt;Q&gt;CRH-US^P_BETA_LOCIDX(45299,45125,,"SPX")&lt;/Q&gt;&lt;R&gt;1&lt;/R&gt;&lt;C&gt;1&lt;/C&gt;&lt;D xsi:type="xsd:double"&gt;1.2333835&lt;/D&gt;&lt;/FQL&gt;&lt;FQL&gt;&lt;Q&gt;CRH-US^P_BETA_LOCIDX(45937,45764,,"SPX")&lt;/Q&gt;&lt;R&gt;1&lt;/R&gt;&lt;C&gt;1&lt;/C&gt;&lt;D xsi:type="xsd:double"&gt;1.3892074&lt;/D&gt;&lt;/FQL&gt;&lt;FQL&gt;&lt;Q&gt;CRH-US^P_BETA_LOCIDX(45000,44825,,"SPX")&lt;/Q&gt;&lt;R&gt;1&lt;/R&gt;&lt;C&gt;1&lt;/C&gt;&lt;D xsi:type="xsd:double"&gt;1.2334293&lt;/D&gt;&lt;/FQL&gt;&lt;FQL&gt;&lt;Q&gt;CRH-US^P_BETA_LOCIDX(45104,44929,,"SPX")&lt;/Q&gt;&lt;R&gt;1&lt;/R&gt;&lt;C&gt;1&lt;/C&gt;&lt;D xsi:type="xsd:double"&gt;1.0604861&lt;/D&gt;&lt;/FQL&gt;&lt;FQL&gt;&lt;Q&gt;CRH-US^P_BETA_LOCIDX(45433,45258,,"SPX")&lt;/Q&gt;&lt;R&gt;1&lt;/R&gt;&lt;C&gt;1&lt;/C&gt;&lt;D xsi:type="xsd:double"&gt;1.3209054&lt;/D&gt;&lt;/FQL&gt;&lt;FQL&gt;&lt;Q&gt;CRH-US^P_BETA_LOCIDX(45208,45034,,"SPX")&lt;/Q&gt;&lt;R&gt;1&lt;/R&gt;&lt;C&gt;1&lt;/C&gt;&lt;D xsi:type="xsd:double"&gt;1.0388464&lt;/D&gt;&lt;/FQL&gt;&lt;FQL&gt;&lt;Q&gt;CRH-US^P_BETA_LOCIDX(45399,45223,,"SPX")&lt;/Q&gt;&lt;R&gt;1&lt;/R&gt;&lt;C&gt;1&lt;/C&gt;&lt;D xsi:type="xsd:double"&gt;1.1226084&lt;/D&gt;&lt;/FQL&gt;&lt;FQL&gt;&lt;Q&gt;CRH-US^P_BETA_LOCIDX(45453,45275,,"SPX")&lt;/Q&gt;&lt;R&gt;1&lt;/R&gt;&lt;C&gt;1&lt;/C&gt;&lt;D xsi:type="xsd:double"&gt;1.2701056&lt;/D&gt;&lt;/FQL&gt;&lt;FQL&gt;&lt;Q&gt;CRH-US^P_BETA_LOCIDX(45897,45726,,"SPX")&lt;/Q&gt;&lt;R&gt;1&lt;/R&gt;&lt;C&gt;1&lt;/C&gt;&lt;D xsi:type="xsd:double"&gt;1.2534695&lt;/D&gt;&lt;/FQL&gt;&lt;FQL&gt;&lt;Q&gt;CRH-US^P_BETA_LOCIDX(45813,45636,,"SPX")&lt;/Q&gt;&lt;R&gt;1&lt;/R&gt;&lt;C&gt;1&lt;/C&gt;&lt;D xsi:type="xsd:double"&gt;1.2547243&lt;/D&gt;&lt;/FQL&gt;&lt;FQL&gt;&lt;Q&gt;CRH-US^P_BETA_LOCIDX(45517,45343,,"SPX")&lt;/Q&gt;&lt;R&gt;1&lt;/R&gt;&lt;C&gt;1&lt;/C&gt;&lt;D xsi:type="xsd:double"&gt;1.4023423&lt;/D&gt;&lt;/FQL&gt;&lt;FQL&gt;&lt;Q&gt;CRH-US^P_BETA_LOCIDX(46043,45875,,"SPX")&lt;/Q&gt;&lt;R&gt;1&lt;/R&gt;&lt;C&gt;1&lt;/C&gt;&lt;D xsi:type="xsd:double"&gt;1.190662&lt;/D&gt;&lt;/FQL&gt;&lt;FQL&gt;&lt;Q&gt;CRH-US^P_BETA_LOCIDX(45779,45602,,"SPX")&lt;/Q&gt;&lt;R&gt;1&lt;/R&gt;&lt;C&gt;1&lt;/C&gt;&lt;D xsi:type="xsd:double"&gt;1.2623476&lt;/D&gt;&lt;/FQL&gt;&lt;FQL&gt;&lt;Q&gt;CRH-US^P_BETA_LOCIDX(45737,45561,,"SPX")&lt;/Q&gt;&lt;R&gt;1&lt;/R&gt;&lt;C&gt;1&lt;/C&gt;&lt;D xsi:type="xsd:double"&gt;1.3175231&lt;/D&gt;&lt;/FQL&gt;&lt;FQL&gt;&lt;Q&gt;CRH-US^P_BETA_LOCIDX(45699,45523,,"SPX")&lt;/Q&gt;&lt;R&gt;1&lt;/R&gt;&lt;C&gt;1&lt;/C&gt;&lt;D xsi:type="xsd:double"&gt;1.0611274&lt;/D&gt;&lt;/FQL&gt;&lt;FQL&gt;&lt;Q&gt;CRH-US^P_BETA_LOCIDX(45202,45028,,"SPX")&lt;/Q&gt;&lt;R&gt;1&lt;/R&gt;&lt;C&gt;1&lt;/C&gt;&lt;D xsi:type="xsd:double"&gt;1.0044682&lt;/D&gt;&lt;/FQL&gt;&lt;FQL&gt;&lt;Q&gt;CRH-US^P_BETA_LOCIDX(46042,45874,,"SPX")&lt;/Q&gt;&lt;R&gt;1&lt;/R&gt;&lt;C&gt;1&lt;/C&gt;&lt;D xsi:type="xsd:double"&gt;1.2152036&lt;/D&gt;&lt;/FQL&gt;&lt;FQL&gt;&lt;Q&gt;CRH-US^P_BETA_LOCIDX(45246,45072,,"SPX")&lt;/Q&gt;&lt;R&gt;1&lt;/R&gt;&lt;C&gt;1&lt;/C&gt;&lt;D xsi:type="xsd:double"&gt;1.2000172&lt;/D&gt;&lt;/FQL&gt;&lt;FQL&gt;&lt;Q&gt;CRH-US^P_BETA_LOCIDX(45568,45394,,"SPX")&lt;/Q&gt;&lt;R&gt;1&lt;/R&gt;&lt;C&gt;1&lt;/C&gt;&lt;D xsi:type="xsd:double"&gt;1.404127&lt;/D&gt;&lt;/FQL&gt;&lt;FQL&gt;&lt;Q&gt;CRH-US^P_BETA_LOCIDX(45148,44973,,"SPX")&lt;/Q&gt;&lt;R&gt;1&lt;/R&gt;&lt;C&gt;1&lt;/C&gt;&lt;D xsi:type="xsd:double"&gt;1.0584737&lt;/D&gt;&lt;/FQL&gt;&lt;FQL&gt;&lt;Q&gt;CRH-US^P_BETA_LOCIDX(45905,45733,,"SPX")&lt;/Q&gt;&lt;R&gt;1&lt;/R&gt;&lt;C&gt;1&lt;/C&gt;&lt;D xsi:type="xsd:double"&gt;1.232708&lt;/D&gt;&lt;/FQL&gt;&lt;FQL&gt;&lt;Q&gt;CRH-US^P_BETA_LOCIDX(45328,45153,,"SPX")&lt;/Q&gt;&lt;R&gt;1&lt;/R&gt;&lt;C&gt;1&lt;/C&gt;&lt;D xsi:type="xsd:double"&gt;1.2072147&lt;/D&gt;&lt;/FQL&gt;&lt;FQL&gt;&lt;Q&gt;CRH-US^P_BETA_LOCIDX(45771,45594,,"SPX")&lt;/Q&gt;&lt;R&gt;1&lt;/R&gt;&lt;C&gt;1&lt;/C&gt;&lt;D xsi:type="xsd:double"&gt;1.2509499&lt;/D&gt;&lt;/FQL&gt;&lt;FQL&gt;&lt;Q&gt;CRH-US^P_BETA_LOCIDX(46024,45852,,"SPX")&lt;/Q&gt;&lt;R&gt;1&lt;/R&gt;&lt;C&gt;1&lt;/C&gt;&lt;D xsi:type="xsd:double"&gt;1.1123642&lt;/D&gt;&lt;/FQL&gt;&lt;FQL&gt;&lt;Q&gt;CRH-US^P_BETA_LOCIDX(45726,45548,,"SPX")&lt;/Q&gt;&lt;R&gt;1&lt;/R&gt;&lt;C&gt;1&lt;/C&gt;&lt;D xsi:type="xsd:double"&gt;1.284794&lt;/D&gt;&lt;/FQL&gt;&lt;FQL&gt;&lt;Q&gt;CRH-US^P_BETA_LOCIDX(45778,45601,,"SPX")&lt;/Q&gt;&lt;R&gt;1&lt;/R&gt;&lt;C&gt;1&lt;/C&gt;&lt;D xsi:type="xsd:double"&gt;1.2645713&lt;/D&gt;&lt;/FQL&gt;&lt;FQL&gt;&lt;Q&gt;CRH-US^P_BETA_LOCIDX(45176,45001,,"SPX")&lt;/Q&gt;&lt;R&gt;1&lt;/R&gt;&lt;C&gt;1&lt;/C&gt;&lt;D xsi:type="xsd:double"&gt;0.99267894&lt;/D&gt;&lt;/FQL&gt;&lt;FQL&gt;&lt;Q&gt;CRH-US^P_BETA_LOCIDX(45617,45446,,"SPX")&lt;/Q&gt;&lt;R&gt;1&lt;/R&gt;&lt;C&gt;1&lt;/C&gt;&lt;D xsi:type="xsd:double"&gt;1.2634947&lt;/D&gt;&lt;/FQL&gt;&lt;FQL&gt;&lt;Q&gt;CRH-US^P_BETA_LOCIDX(45610,45436,,"SPX")&lt;/Q&gt;&lt;R&gt;1&lt;/R&gt;&lt;C&gt;1&lt;/C&gt;&lt;D xsi:type="xsd:double"&gt;1.2650076&lt;/D&gt;&lt;/FQL&gt;&lt;FQL&gt;&lt;Q&gt;CRH-US^P_BETA_LOCIDX(45063,44887,,"SPX")&lt;/Q&gt;&lt;R&gt;1&lt;/R&gt;&lt;C&gt;1&lt;/C&gt;&lt;D xsi:type="xsd:double"&gt;0.94276386&lt;/D&gt;&lt;/FQL&gt;&lt;FQL&gt;&lt;Q&gt;CRH-US^P_BETA_LOCIDX(45986,45817,,"SPX")&lt;/Q&gt;&lt;R&gt;1&lt;/R&gt;&lt;C&gt;1&lt;/C&gt;&lt;D xsi:type="xsd:double"&gt;1.1721781&lt;/D&gt;&lt;/FQL&gt;&lt;FQL&gt;&lt;Q&gt;CRH-US^P_BETA_LOCIDX(45933,45762,,"SPX")&lt;/Q&gt;&lt;R&gt;1&lt;/R&gt;&lt;C&gt;1&lt;/C&gt;&lt;D xsi:type="xsd:double"&gt;1.3164868&lt;/D&gt;&lt;/FQL&gt;&lt;FQL&gt;&lt;Q&gt;CRH-US^P_BETA_LOCIDX(45100,44924,,"SPX")&lt;/Q&gt;&lt;R&gt;1&lt;/R&gt;&lt;C&gt;1&lt;/C&gt;&lt;D xsi:type="xsd:double"&gt;1.0335999&lt;/D&gt;&lt;/FQL&gt;&lt;FQL&gt;&lt;Q&gt;CRH-US^P_BETA_LOCIDX(45709,45532,,"SPX")&lt;/Q&gt;&lt;R&gt;1&lt;/R&gt;&lt;C&gt;1&lt;/C&gt;&lt;D xsi:type="xsd:double"&gt;1.0946146&lt;/D&gt;&lt;/FQL&gt;&lt;FQL&gt;&lt;Q&gt;CRH-US^P_BETA_LOCIDX(45972,45799,,"SPX")&lt;/Q&gt;&lt;R&gt;1&lt;/R&gt;&lt;C&gt;1&lt;/C&gt;&lt;D xsi:type="xsd:double"&gt;1.0704974&lt;/D&gt;&lt;/FQL&gt;&lt;FQL&gt;&lt;Q&gt;CRH-US^P_BETA_LOCIDX(44978,44802,,"SPX")&lt;/Q&gt;&lt;R&gt;1&lt;/R&gt;&lt;C&gt;1&lt;/C&gt;&lt;D xsi:type="xsd:double"&gt;1.2059841&lt;/D&gt;&lt;/FQL&gt;&lt;FQL&gt;&lt;Q&gt;CRH-US^P_BETA_LOCIDX(45427,45251,,"SPX")&lt;/Q&gt;&lt;R&gt;1&lt;/R&gt;&lt;C&gt;1&lt;/C&gt;&lt;D xsi:type="xsd:double"&gt;1.2747132&lt;/D&gt;&lt;/FQL&gt;&lt;FQL&gt;&lt;Q&gt;CRH-US^P_BETA_LOCIDX(45189,45014,,"SPX")&lt;/Q&gt;&lt;R&gt;1&lt;/R&gt;&lt;C&gt;1&lt;/C&gt;&lt;D xsi:type="xsd:double"&gt;1.011166&lt;/D&gt;&lt;/FQL&gt;&lt;FQL&gt;&lt;Q&gt;CRH-US^P_BETA_LOCIDX(45132,44957,,"SPX")&lt;/Q&gt;&lt;R&gt;1&lt;/R&gt;&lt;C&gt;1&lt;/C&gt;&lt;D xsi:type="xsd:double"&gt;1.0819862&lt;/D&gt;&lt;/FQL&gt;&lt;FQL&gt;&lt;Q&gt;CRH-US^P_BETA_LOCIDX(45467,45289,,"SPX")&lt;/Q&gt;&lt;R&gt;1&lt;/R&gt;&lt;C&gt;1&lt;/C&gt;&lt;D xsi:type="xsd:double"&gt;1.31279&lt;/D&gt;&lt;/FQL&gt;&lt;FQL&gt;&lt;Q&gt;CRH-US^P_BETA_LOCIDX(45377,45202,,"SPX")&lt;/Q&gt;&lt;R&gt;1&lt;/R&gt;&lt;C&gt;1&lt;/C&gt;&lt;D xsi:type="xsd:double"&gt;1.1966263&lt;/D&gt;&lt;/FQL&gt;&lt;FQL&gt;&lt;Q&gt;CRH-US^P_BETA_LOCIDX(45232,45058,,"SPX")&lt;/Q&gt;&lt;R&gt;1&lt;/R&gt;&lt;C&gt;1&lt;/C&gt;&lt;D xsi:type="xsd:double"&gt;1.2553385&lt;/D&gt;&lt;/FQL&gt;&lt;FQL&gt;&lt;Q&gt;CRH-US^P_BETA_LOCIDX(45435,45260,,"SPX")&lt;/Q&gt;&lt;R&gt;1&lt;/R&gt;&lt;C&gt;1&lt;/C&gt;&lt;D xsi:type="xsd:double"&gt;1.3147053&lt;/D&gt;&lt;/FQL&gt;&lt;FQL&gt;&lt;Q&gt;CRH-US^P_BETA_LOCIDX(45653,45482,,"SPX")&lt;/Q&gt;&lt;R&gt;1&lt;/R&gt;&lt;C&gt;1&lt;/C&gt;&lt;D xsi:type="xsd:double"&gt;1.2423143&lt;/D&gt;&lt;/FQL&gt;&lt;FQL&gt;&lt;Q&gt;CRH-US^P_BETA_LOCIDX(45432,45257,,"SPX")&lt;/Q&gt;&lt;R&gt;1&lt;/R&gt;&lt;C&gt;1&lt;/C&gt;&lt;D xsi:type="xsd:double"&gt;1.3206296&lt;/D&gt;&lt;/FQL&gt;&lt;FQL&gt;&lt;Q&gt;CRH-US^P_BETA_LOCIDX(45303,45131,,"SPX")&lt;/Q&gt;&lt;R&gt;1&lt;/R&gt;&lt;C&gt;1&lt;/C&gt;&lt;D xsi:type="xsd:double"&gt;1.2495285&lt;/D&gt;&lt;/FQL&gt;&lt;FQL&gt;&lt;Q&gt;CRH-US^P_BETA_LOCIDX(45145,44970,,"SPX")&lt;/Q&gt;&lt;R&gt;1&lt;/R&gt;&lt;C&gt;1&lt;/C&gt;&lt;D xsi:type="xsd:double"&gt;1.0607611&lt;/D&gt;&lt;/FQL&gt;&lt;FQL&gt;&lt;Q&gt;CRH-US^P_BETA_LOCIDX(45628,45454,,"SPX")&lt;/Q&gt;&lt;R&gt;1&lt;/R&gt;&lt;C&gt;1&lt;/C&gt;&lt;D xsi:type="xsd:double"&gt;1.2571218&lt;/D&gt;&lt;/FQL&gt;&lt;FQL&gt;&lt;Q&gt;CRH-US^P_BETA_LOCIDX(45985,45814,,"SPX")&lt;/Q&gt;&lt;R&gt;1&lt;/R&gt;&lt;C&gt;1&lt;/C&gt;&lt;D xsi:type="xsd:double"&gt;1.1186206&lt;/D&gt;&lt;/FQL&gt;&lt;FQL&gt;&lt;Q&gt;CRH-US^P_BETA_LOCIDX(45036,44860,,"SPX")&lt;/Q&gt;&lt;R&gt;1&lt;/R&gt;&lt;C&gt;1&lt;/C&gt;&lt;D xsi:type="xsd:double"&gt;1.1454285&lt;/D&gt;&lt;/FQL&gt;&lt;FQL&gt;&lt;Q&gt;CRH-US^P_BETA_LOCIDX(45707,45530,,"SPX")&lt;/Q&gt;&lt;R&gt;1&lt;/R&gt;&lt;C&gt;1&lt;/C&gt;&lt;D xsi:type="xsd:double"&gt;1.0625163&lt;/D&gt;&lt;/FQL&gt;&lt;FQL&gt;&lt;Q&gt;CRH-US^P_BETA_LOCIDX(45443,45267,,"SPX")&lt;/Q&gt;&lt;R&gt;1&lt;/R&gt;&lt;C&gt;1&lt;/C&gt;&lt;D xsi:type="xsd:double"&gt;1.2813843&lt;/D&gt;&lt;/FQL&gt;&lt;FQL&gt;&lt;Q&gt;CRH-US^P_BETA_LOCIDX(45510,45335,,"SPX")&lt;/Q&gt;&lt;R&gt;1&lt;/R&gt;&lt;C&gt;1&lt;/C&gt;&lt;D xsi:type="xsd:double"&gt;1.2781886&lt;/D&gt;&lt;/FQL&gt;&lt;FQL&gt;&lt;Q&gt;CRH-US^P_BETA_LOCIDX(45695,45519,,"SPX")&lt;/Q&gt;&lt;R&gt;1&lt;/R&gt;&lt;C&gt;1&lt;/C&gt;&lt;D xsi:type="xsd:double"&gt;1.0918164&lt;/D&gt;&lt;/FQL&gt;&lt;FQL&gt;&lt;Q&gt;CRH-US^P_BETA_LOCIDX(45009,44834,,"SPX")&lt;/Q&gt;&lt;R&gt;1&lt;/R&gt;&lt;C&gt;1&lt;/C&gt;&lt;D xsi:type="xsd:double"&gt;1.1987681&lt;/D&gt;&lt;/FQL&gt;&lt;FQL&gt;&lt;Q&gt;CRH-US^P_BETA_LOCIDX(44993,44818,,"SPX")&lt;/Q&gt;&lt;R&gt;1&lt;/R&gt;&lt;C&gt;1&lt;/C&gt;&lt;D xsi:type="xsd:double"&gt;1.2263613&lt;/D&gt;&lt;/FQL&gt;&lt;FQL&gt;&lt;Q&gt;CRH-US^P_BETA_LOCIDX(45982,45812,,"SPX")&lt;/Q&gt;&lt;R&gt;1&lt;/R&gt;&lt;C&gt;1&lt;/C&gt;&lt;D xsi:type="xsd:double"&gt;1.0781353&lt;/D&gt;&lt;/FQL&gt;&lt;FQL&gt;&lt;Q&gt;CRH-US^P_BETA_LOCIDX(46027,45853,,"SPX")&lt;/Q&gt;&lt;R&gt;1&lt;/R&gt;&lt;C&gt;1&lt;/C&gt;&lt;D xsi:type="xsd:double"&gt;1.1190208&lt;/D&gt;&lt;/FQL&gt;&lt;FQL&gt;&lt;Q&gt;CRH-US^P_BETA_LOCIDX(45632,45460,,"SPX")&lt;/Q&gt;&lt;R&gt;1&lt;/R&gt;&lt;C&gt;1&lt;/C&gt;&lt;D xsi:type="xsd:double"&gt;1.2516438&lt;/D&gt;&lt;/FQL&gt;&lt;FQL&gt;&lt;Q&gt;CRH-US^P_BETA_LOCIDX(45386,45210,,"SPX")&lt;/Q&gt;&lt;R&gt;1&lt;/R&gt;&lt;C&gt;1&lt;/C&gt;&lt;D xsi:type="xsd:double"&gt;1.1680964&lt;/D&gt;&lt;/FQL&gt;&lt;FQL&gt;&lt;Q&gt;CRH-US^P_BETA_LOCIDX(45933,45761,,"SPX")&lt;/Q&gt;&lt;R&gt;1&lt;/R&gt;&lt;C&gt;1&lt;/C&gt;&lt;D xsi:type="xsd:double"&gt;1.317536&lt;/D&gt;&lt;/FQL&gt;&lt;FQL&gt;&lt;Q&gt;CRH-US^P_BETA_LOCIDX(45418,45240,,"SPX")&lt;/Q&gt;&lt;R&gt;1&lt;/R&gt;&lt;C&gt;1&lt;/C&gt;&lt;D xsi:type="xsd:double"&gt;1.1521693&lt;/D&gt;&lt;/FQL&gt;&lt;FQL&gt;&lt;Q&gt;CRH-US^P_BETA_LOCIDX(45665,45491,,"SPX")&lt;/Q&gt;&lt;R&gt;1&lt;/R&gt;&lt;C&gt;1&lt;/C&gt;&lt;D xsi:type="xsd:double"&gt;1.2425377&lt;/D&gt;&lt;/FQL&gt;&lt;FQL&gt;&lt;Q&gt;CRH-US^P_BETA_LOCIDX(45607,45433,,"SPX")&lt;/Q&gt;&lt;R&gt;1&lt;/R&gt;&lt;C&gt;1&lt;/C&gt;&lt;D xsi:type="xsd:double"&gt;1.2583183&lt;/D&gt;&lt;/FQL&gt;&lt;FQL&gt;&lt;Q&gt;CRH-US^P_BETA_LOCIDX(45509,45334,,"SPX")&lt;/Q&gt;&lt;R&gt;1&lt;/R&gt;&lt;C&gt;1&lt;/C&gt;&lt;D xsi:type="xsd:double"&gt;1.2741976&lt;/D&gt;&lt;/FQL&gt;&lt;FQL&gt;&lt;Q&gt;CRH-US^P_BETA_LOCIDX(46030,45856,,"SPX")&lt;/Q&gt;&lt;R&gt;1&lt;/R&gt;&lt;C&gt;1&lt;/C&gt;&lt;D xsi:type="xsd:double"&gt;1.1565408&lt;/D&gt;&lt;/FQL&gt;&lt;FQL&gt;&lt;Q&gt;CRH-US^P_BETA_LOCIDX(45238,45064,,"SPX")&lt;/Q&gt;&lt;R&gt;1&lt;/R&gt;&lt;C&gt;1&lt;/C&gt;&lt;D xsi:type="xsd:double"&gt;1.2465093&lt;/D&gt;&lt;/FQL&gt;&lt;FQL&gt;&lt;Q&gt;CRH-US^P_BETA_LOCIDX(45413,45237,,"SPX")&lt;/Q&gt;&lt;R&gt;1&lt;/R&gt;&lt;C&gt;1&lt;/C&gt;&lt;D xsi:type="xsd:double"&gt;1.1251476&lt;/D&gt;&lt;/FQL&gt;&lt;FQL&gt;&lt;Q&gt;CRH-US^P_BETA_LOCIDX(45006,44831,,"SPX")&lt;/Q&gt;&lt;R&gt;1&lt;/R&gt;&lt;C&gt;1&lt;/C&gt;&lt;D xsi:type="xsd:double"&gt;1.2173358&lt;/D&gt;&lt;/FQL&gt;&lt;FQL&gt;&lt;Q&gt;CRH-US^P_BETA_LOCIDX(45139,44964,,"SPX")&lt;/Q&gt;&lt;R&gt;1&lt;/R&gt;&lt;C&gt;1&lt;/C&gt;&lt;D xsi:type="xsd:double"&gt;1.0457035&lt;/D&gt;&lt;/FQL&gt;&lt;FQL&gt;&lt;Q&gt;CRH-US^P_BETA_LOCIDX(45643,45470,,"SPX")&lt;/Q&gt;&lt;R&gt;1&lt;/R&gt;&lt;C&gt;1&lt;/C&gt;&lt;D xsi:type="xsd:double"&gt;1.2409788&lt;/D&gt;&lt;/FQL&gt;&lt;FQL&gt;&lt;Q&gt;CRH-US^P_BETA_LOCIDX(45883,45712,,"SPX")&lt;/Q&gt;&lt;R&gt;1&lt;/R&gt;&lt;C&gt;1&lt;/C&gt;&lt;D xsi:type="xsd:double"&gt;1.2776957&lt;/D&gt;&lt;/FQL&gt;&lt;FQL&gt;&lt;Q&gt;CRH-US^P_BETA_LOCIDX(45684,45506,,"SPX")&lt;/Q&gt;&lt;R&gt;1&lt;/R&gt;&lt;C&gt;1&lt;/C&gt;&lt;D xsi:type="xsd:double"&gt;1.2053747&lt;/D&gt;&lt;/FQL&gt;&lt;FQL&gt;&lt;Q&gt;CRH-US^P_BETA_LOCIDX(45040,44862,,"SPX")&lt;/Q&gt;&lt;R&gt;1&lt;/R&gt;&lt;C&gt;1&lt;/C&gt;&lt;D xsi:type="xsd:double"&gt;1.1466652&lt;/D&gt;&lt;/FQL&gt;&lt;FQL&gt;&lt;Q&gt;CRH-US^P_BETA_LOCIDX(45121,44946,,"SPX")&lt;/Q&gt;&lt;R&gt;1&lt;/R&gt;&lt;C&gt;1&lt;/C&gt;&lt;D xsi:type="xsd:double"&gt;1.0564905&lt;/D&gt;&lt;/FQL&gt;&lt;FQL&gt;&lt;Q&gt;CRH-US^P_BETA_LOCIDX(45047,44869,,"SPX")&lt;/Q&gt;&lt;R&gt;1&lt;/R&gt;&lt;C&gt;1&lt;/C&gt;&lt;D xsi:type="xsd:double"&gt;1.099257&lt;/D&gt;&lt;/FQL&gt;&lt;FQL&gt;&lt;Q&gt;CRH-US^P_BETA_LOCIDX(45769,45590,,"SPX")&lt;/Q&gt;&lt;R&gt;1&lt;/R&gt;&lt;C&gt;1&lt;/C&gt;&lt;D xsi:type="xsd:double"&gt;1.2404945&lt;/D&gt;&lt;/FQL&gt;&lt;FQL&gt;&lt;Q&gt;CRH-US^P_BETA_LOCIDX(45917,45743,,"SPX")&lt;/Q&gt;&lt;R&gt;1&lt;/R&gt;&lt;C&gt;1&lt;/C&gt;&lt;D xsi:type="xsd:double"&gt;1.2086127&lt;/D&gt;&lt;/FQL&gt;&lt;FQL&gt;&lt;Q&gt;CRH-US^P_BETA_LOCIDX(45575,45401,,"SPX")&lt;/Q&gt;&lt;R&gt;1&lt;/R&gt;&lt;C&gt;1&lt;/C&gt;&lt;D xsi:type="xsd:double"&gt;1.3675344&lt;/D&gt;&lt;/FQL&gt;&lt;FQL&gt;&lt;Q&gt;CRH-US^P_BETA_LOCIDX(45411,45233,,"SPX")&lt;/Q&gt;&lt;R&gt;1&lt;/R&gt;&lt;C&gt;1&lt;/C&gt;&lt;D xsi:type="xsd:double"&gt;1.1065147&lt;/D&gt;&lt;/FQL&gt;&lt;FQL&gt;&lt;Q&gt;CRH-US^P_BETA_LOCIDX(45926,45755,,"SPX")&lt;/Q&gt;&lt;R&gt;1&lt;/R&gt;&lt;C&gt;1&lt;/C&gt;&lt;D xsi:type="xsd:double"&gt;1.246161&lt;/D&gt;&lt;/FQL&gt;&lt;FQL&gt;&lt;Q&gt;CRH-US^P_BETA_LOCIDX(45324,45149,,"SPX")&lt;/Q&gt;&lt;R&gt;1&lt;/R&gt;&lt;C&gt;1&lt;/C&gt;&lt;D xsi:type="xsd:double"&gt;1.1992536&lt;/D&gt;&lt;/FQL&gt;&lt;FQL&gt;&lt;Q&gt;CRH-US^P_BETA_LOCIDX(45082,44904,,"SPX")&lt;/Q&gt;&lt;R&gt;1&lt;/R&gt;&lt;C&gt;1&lt;/C&gt;&lt;D xsi:type="xsd:double"&gt;1.0295401&lt;/D&gt;&lt;/FQL&gt;&lt;FQL&gt;&lt;Q&gt;CRH-US^P_BETA_LOCIDX(45334,45159,,"SPX")&lt;/Q&gt;&lt;R&gt;1&lt;/R&gt;&lt;C&gt;1&lt;/C&gt;&lt;D xsi:type="xsd:double"&gt;1.1983654&lt;/D&gt;&lt;/FQL&gt;&lt;FQL&gt;&lt;Q&gt;CRH-US^P_BETA_LOCIDX(45670,45495,,"SPX")&lt;/Q&gt;&lt;R&gt;1&lt;/R&gt;&lt;C&gt;1&lt;/C&gt;&lt;D xsi:type="xsd:double"&gt;1.2295859&lt;/D&gt;&lt;/FQL&gt;&lt;FQL&gt;&lt;Q&gt;CRH-US^P_BETA_LOCIDX(45363,45188,,"SPX")&lt;/Q&gt;&lt;R&gt;1&lt;/R&gt;&lt;C&gt;1&lt;/C&gt;&lt;D xsi:type="xsd:double"&gt;1.1680942&lt;/D&gt;&lt;/FQL&gt;&lt;FQL&gt;&lt;Q&gt;CRH-US^P_BETA_LOCIDX(45051,44875,,"SPX")&lt;/Q&gt;&lt;R&gt;1&lt;/R&gt;&lt;C&gt;1&lt;/C&gt;&lt;D xsi:type="xsd:double"&gt;1.0693961&lt;/D&gt;&lt;/FQL&gt;&lt;FQL&gt;&lt;Q&gt;CRH-US^P_BETA_LOCIDX(45905,45734,,"SPX")&lt;/Q&gt;&lt;R&gt;1&lt;/R&gt;&lt;C&gt;1&lt;/C&gt;&lt;D xsi:type="xsd:double"&gt;1.2336676&lt;/D&gt;&lt;/FQL&gt;&lt;FQL&gt;&lt;Q&gt;CRH-US^P_BETA_LOCIDX(45308,45133,,"SPX")&lt;/Q&gt;&lt;R&gt;1&lt;/R&gt;&lt;C&gt;1&lt;/C&gt;&lt;D xsi:type="xsd:double"&gt;1.2447531&lt;/D&gt;&lt;/FQL&gt;&lt;FQL&gt;&lt;Q&gt;CRH-US^P_BETA_LOCIDX(45932,45761,,"SPX")&lt;/Q&gt;&lt;R&gt;1&lt;/R&gt;&lt;C&gt;1&lt;/C&gt;&lt;D xsi:type="xsd:double"&gt;1.3149048&lt;/D&gt;&lt;/FQL&gt;&lt;FQL&gt;&lt;Q&gt;CRH-US^P_BETA_LOCIDX(45426,45250,,"SPX")&lt;/Q&gt;&lt;R&gt;1&lt;/R&gt;&lt;C&gt;1&lt;/C&gt;&lt;D xsi:type="xsd:double"&gt;1.1981306&lt;/D&gt;&lt;/FQL&gt;&lt;FQL&gt;&lt;Q&gt;CRH-US^P_BETA_LOCIDX(45085,44909,,"SPX")&lt;/Q&gt;&lt;R&gt;1&lt;/R&gt;&lt;C&gt;1&lt;/C&gt;&lt;D xsi:type="xsd:double"&gt;1.0516801&lt;/D&gt;&lt;/FQL&gt;&lt;FQL&gt;&lt;Q&gt;CRH-US^P_BETA_LOCIDX(45502,45327,,"SPX")&lt;/Q&gt;&lt;R&gt;1&lt;/R&gt;&lt;C&gt;1&lt;/C&gt;&lt;D xsi:type="xsd:double"&gt;1.2667125&lt;/D&gt;&lt;/FQL&gt;&lt;FQL&gt;&lt;Q&gt;CRH-US^P_BETA_LOCIDX(45394,45218,,"SPX")&lt;/Q&gt;&lt;R&gt;1&lt;/R&gt;&lt;C&gt;1&lt;/C&gt;&lt;D xsi:type="xsd:double"&gt;1.0537941&lt;/D&gt;&lt;/FQL&gt;&lt;FQL&gt;&lt;Q&gt;CRH-US^P_BETA_LOCIDX(45664,45490,,"SPX")&lt;/Q&gt;&lt;R&gt;1&lt;/R&gt;&lt;C&gt;1&lt;/C&gt;&lt;D xsi:type="xsd:double"&gt;1.2500031&lt;/D&gt;&lt;/FQL&gt;&lt;FQL&gt;&lt;Q&gt;CRH-US^P_BETA_LOCIDX(45343,45167,,"SPX")&lt;/Q&gt;&lt;R&gt;1&lt;/R&gt;&lt;C&gt;1&lt;/C&gt;&lt;D xsi:type="xsd:double"&gt;1.2300242&lt;/D&gt;&lt;/FQL&gt;&lt;FQL&gt;&lt;Q&gt;CRH-US^P_BETA_LOCIDX(45974,45804,,"SPX")&lt;/Q&gt;&lt;R&gt;1&lt;/R&gt;&lt;C&gt;1&lt;/C&gt;&lt;D xsi:type="xsd:double"&gt;1.0710665&lt;/D&gt;&lt;/FQL&gt;&lt;FQL&gt;&lt;Q&gt;CRH-US^P_BETA_LOCIDX(45946,45775,,"SPX")&lt;/Q&gt;&lt;R&gt;1&lt;/R&gt;&lt;C&gt;1&lt;/C&gt;&lt;D xsi:type="xsd:double"&gt;1.2310083&lt;/D&gt;&lt;/FQL&gt;&lt;FQL&gt;&lt;Q&gt;CRH-US^P_BETA_LOCIDX(45667,45492,,"SPX")&lt;/Q&gt;&lt;R&gt;1&lt;/R&gt;&lt;C&gt;1&lt;/C&gt;&lt;D xsi:type="xsd:double"&gt;1.2218786&lt;/D&gt;&lt;/FQL&gt;&lt;FQL&gt;&lt;Q&gt;CRH-US^P_BETA_LOCIDX(45931,45758,,"SPX")&lt;/Q&gt;&lt;R&gt;1&lt;/R&gt;&lt;C&gt;1&lt;/C&gt;&lt;D xsi:type="xsd:double"&gt;1.3026102&lt;/D&gt;&lt;/FQL&gt;&lt;FQL&gt;&lt;Q&gt;CRH-US^P_BETA_LOCIDX(45952,45779,,"SPX")&lt;/Q&gt;&lt;R&gt;1&lt;/R&gt;&lt;C&gt;1&lt;/C&gt;&lt;D xsi:type="xsd:double"&gt;1.2147791&lt;/D&gt;&lt;/FQL&gt;&lt;FQL&gt;&lt;Q&gt;CRH-US^P_BETA_LOCIDX(45589,45415,,"SPX")&lt;/Q&gt;&lt;R&gt;1&lt;/R&gt;&lt;C&gt;1&lt;/C&gt;&lt;D xsi:type="xsd:double"&gt;1.3467481&lt;/D&gt;&lt;/FQL&gt;&lt;FQL&gt;&lt;Q&gt;CRH-US^P_BETA_LOCIDX(45574,45400,,"SPX")&lt;/Q&gt;&lt;R&gt;1&lt;/R&gt;&lt;C&gt;1&lt;/C&gt;&lt;D xsi:type="xsd:double"&gt;1.3764238&lt;/D&gt;&lt;/FQL&gt;&lt;FQL&gt;&lt;Q&gt;CRH-US^P_BETA_LOCIDX(45323,45148,,"SPX")&lt;/Q&gt;&lt;R&gt;1&lt;/R&gt;&lt;C&gt;1&lt;/C&gt;&lt;D xsi:type="xsd:double"&gt;1.2190444&lt;/D&gt;&lt;/FQL&gt;&lt;FQL&gt;&lt;Q&gt;CRH-US^P_BETA_LOCIDX(46027,45859,,"SPX")&lt;/Q&gt;&lt;R&gt;1&lt;/R&gt;&lt;C&gt;1&lt;/C&gt;&lt;D xsi:type="xsd:double"&gt;1.1309792&lt;/D&gt;&lt;/FQL&gt;&lt;FQL&gt;&lt;Q&gt;CRH-US^P_BETA_LOCIDX(45964,45791,,"SPX")&lt;/Q&gt;&lt;R&gt;1&lt;/R&gt;&lt;C&gt;1&lt;/C&gt;&lt;D xsi:type="xsd:double"&gt;1.1405146&lt;/D&gt;&lt;/FQL&gt;&lt;FQL&gt;&lt;Q&gt;CRH-US^P_BETA_LOCIDX(45254,45082,,"SPX")&lt;/Q&gt;&lt;R&gt;1&lt;/R&gt;&lt;C&gt;1&lt;/C&gt;&lt;D xsi:type="xsd:double"&gt;1.1527077&lt;/D&gt;&lt;/FQL&gt;&lt;FQL&gt;&lt;Q&gt;CRH-US^P_BETA_LOCIDX(45470,45295,,"SPX")&lt;/Q&gt;&lt;R&gt;1&lt;/R&gt;&lt;C&gt;1&lt;/C&gt;&lt;D xsi:type="xsd:double"&gt;1.2726468&lt;/D&gt;&lt;/FQL&gt;&lt;FQL&gt;&lt;Q&gt;CRH-US^P_BETA_LOCIDX(45701,45525,,"SPX")&lt;/Q&gt;&lt;R&gt;1&lt;/R&gt;&lt;C&gt;1&lt;/C&gt;&lt;D xsi:type="xsd:double"&gt;1.070991&lt;/D&gt;&lt;/FQL&gt;&lt;FQL&gt;&lt;Q&gt;CRH-US^P_BETA_LOCIDX(44981,44805,,"SPX")&lt;/Q&gt;&lt;R&gt;1&lt;/R&gt;&lt;C&gt;1&lt;/C&gt;&lt;D xsi:type="xsd:double"&gt;1.2102734&lt;/D&gt;&lt;/FQL&gt;&lt;FQL&gt;&lt;Q&gt;CRH-US^P_BETA_LOCIDX(45461,45286,,"SPX")&lt;/Q&gt;&lt;R&gt;1&lt;/R&gt;&lt;C&gt;1&lt;/C&gt;&lt;D xsi:type="xsd:double"&gt;1.2880672&lt;/D&gt;&lt;/FQL&gt;&lt;FQL&gt;&lt;Q</t>
        </r>
      </text>
    </comment>
    <comment ref="A9" authorId="0" shapeId="0" xr:uid="{09920681-089A-4A20-931A-318474DEACAE}">
      <text>
        <r>
          <rPr>
            <b/>
            <sz val="9"/>
            <color indexed="81"/>
            <rFont val="Tahoma"/>
            <charset val="1"/>
          </rPr>
          <t>&gt;CRH-US^P_BETA_LOCIDX(45344,45168,,"SPX")&lt;/Q&gt;&lt;R&gt;1&lt;/R&gt;&lt;C&gt;1&lt;/C&gt;&lt;D xsi:type="xsd:double"&gt;1.1954439&lt;/D&gt;&lt;/FQL&gt;&lt;FQL&gt;&lt;Q&gt;CRH-US^P_BETA_LOCIDX(45856,45684,,"SPX")&lt;/Q&gt;&lt;R&gt;1&lt;/R&gt;&lt;C&gt;1&lt;/C&gt;&lt;D xsi:type="xsd:double"&gt;1.2721411&lt;/D&gt;&lt;/FQL&gt;&lt;FQL&gt;&lt;Q&gt;CRH-US^P_BETA_LOCIDX(45365,45190,,"SPX")&lt;/Q&gt;&lt;R&gt;1&lt;/R&gt;&lt;C&gt;1&lt;/C&gt;&lt;D xsi:type="xsd:double"&gt;1.2177387&lt;/D&gt;&lt;/FQL&gt;&lt;FQL&gt;&lt;Q&gt;CRH-US^P_BETA_LOCIDX(45259,45085,,"SPX")&lt;/Q&gt;&lt;R&gt;1&lt;/R&gt;&lt;C&gt;1&lt;/C&gt;&lt;D xsi:type="xsd:double"&gt;1.1520358&lt;/D&gt;&lt;/FQL&gt;&lt;FQL&gt;&lt;Q&gt;CRH-US^P_BETA_LOCIDX(46037,45869,,"SPX")&lt;/Q&gt;&lt;R&gt;1&lt;/R&gt;&lt;C&gt;1&lt;/C&gt;&lt;D xsi:type="xsd:double"&gt;1.2298682&lt;/D&gt;&lt;/FQL&gt;&lt;FQL&gt;&lt;Q&gt;CRH-US^P_BETA_LOCIDX(45807,45630,,"SPX")&lt;/Q&gt;&lt;R&gt;1&lt;/R&gt;&lt;C&gt;1&lt;/C&gt;&lt;D xsi:type="xsd:double"&gt;1.2661545&lt;/D&gt;&lt;/FQL&gt;&lt;FQL&gt;&lt;Q&gt;CRH-US^P_BETA_LOCIDX(45404,45226,,"SPX")&lt;/Q&gt;&lt;R&gt;1&lt;/R&gt;&lt;C&gt;1&lt;/C&gt;&lt;D xsi:type="xsd:double"&gt;1.1004086&lt;/D&gt;&lt;/FQL&gt;&lt;FQL&gt;&lt;Q&gt;CRH-US^P_BETA_LOCIDX(45345,45169,,"SPX")&lt;/Q&gt;&lt;R&gt;1&lt;/R&gt;&lt;C&gt;1&lt;/C&gt;&lt;D xsi:type="xsd:double"&gt;1.2000452&lt;/D&gt;&lt;/FQL&gt;&lt;FQL&gt;&lt;Q&gt;CRH-US^P_BETA_LOCIDX(45001,44826,,"SPX")&lt;/Q&gt;&lt;R&gt;1&lt;/R&gt;&lt;C&gt;1&lt;/C&gt;&lt;D xsi:type="xsd:double"&gt;1.2292584&lt;/D&gt;&lt;/FQL&gt;&lt;FQL&gt;&lt;Q&gt;CRH-US^P_BETA_LOCIDX(45369,45194,,"SPX")&lt;/Q&gt;&lt;R&gt;1&lt;/R&gt;&lt;C&gt;1&lt;/C&gt;&lt;D xsi:type="xsd:double"&gt;1.2137144&lt;/D&gt;&lt;/FQL&gt;&lt;FQL&gt;&lt;Q&gt;CRH-US^P_BETA_LOCIDX(45316,45141,,"SPX")&lt;/Q&gt;&lt;R&gt;1&lt;/R&gt;&lt;C&gt;1&lt;/C&gt;&lt;D xsi:type="xsd:double"&gt;1.2465115&lt;/D&gt;&lt;/FQL&gt;&lt;FQL&gt;&lt;Q&gt;CRH-US^P_BETA_LOCIDX(45245,45071,,"SPX")&lt;/Q&gt;&lt;R&gt;1&lt;/R&gt;&lt;C&gt;1&lt;/C&gt;&lt;D xsi:type="xsd:double"&gt;1.1907623&lt;/D&gt;&lt;/FQL&gt;&lt;FQL&gt;&lt;Q&gt;CRH-US^P_BETA_LOCIDX(45958,45785,,"SPX")&lt;/Q&gt;&lt;R&gt;1&lt;/R&gt;&lt;C&gt;1&lt;/C&gt;&lt;D xsi:type="xsd:double"&gt;1.1637114&lt;/D&gt;&lt;/FQL&gt;&lt;FQL&gt;&lt;Q&gt;CRH-US^P_BETA_LOCIDX(46036,45868,,"SPX")&lt;/Q&gt;&lt;R&gt;1&lt;/R&gt;&lt;C&gt;1&lt;/C&gt;&lt;D xsi:type="xsd:double"&gt;1.232016&lt;/D&gt;&lt;/FQL&gt;&lt;FQL&gt;&lt;Q&gt;CRH-US^P_BETA_LOCIDX(45981,45812,,"SPX")&lt;/Q&gt;&lt;R&gt;1&lt;/R&gt;&lt;C&gt;1&lt;/C&gt;&lt;D xsi:type="xsd:double"&gt;1.0699297&lt;/D&gt;&lt;/FQL&gt;&lt;FQL&gt;&lt;Q&gt;CRH-US^P_BETA_LOCIDX(45922,45748,,"SPX")&lt;/Q&gt;&lt;R&gt;1&lt;/R&gt;&lt;C&gt;1&lt;/C&gt;&lt;D xsi:type="xsd:double"&gt;1.1900238&lt;/D&gt;&lt;/FQL&gt;&lt;FQL&gt;&lt;Q&gt;CRH-US^P_BETA_LOCIDX(45999,45826,,"SPX")&lt;/Q&gt;&lt;R&gt;1&lt;/R&gt;&lt;C&gt;1&lt;/C&gt;&lt;D xsi:type="xsd:double"&gt;1.1035126&lt;/D&gt;&lt;/FQL&gt;&lt;FQL&gt;&lt;Q&gt;CRH-US^P_BETA_LOCIDX(44966,44791,,"SPX")&lt;/Q&gt;&lt;R&gt;1&lt;/R&gt;&lt;C&gt;1&lt;/C&gt;&lt;D xsi:type="xsd:double"&gt;1.2155098&lt;/D&gt;&lt;/FQL&gt;&lt;FQL&gt;&lt;Q&gt;CRH-US^P_BETA_LOCIDX(45929,45755,,"SPX")&lt;/Q&gt;&lt;R&gt;1&lt;/R&gt;&lt;C&gt;1&lt;/C&gt;&lt;D xsi:type="xsd:double"&gt;1.2462329&lt;/D&gt;&lt;/FQL&gt;&lt;FQL&gt;&lt;Q&gt;CRH-US^P_BETA_LOCIDX(45485,45310,,"SPX")&lt;/Q&gt;&lt;R&gt;1&lt;/R&gt;&lt;C&gt;1&lt;/C&gt;&lt;D xsi:type="xsd:double"&gt;1.1268424&lt;/D&gt;&lt;/FQL&gt;&lt;FQL&gt;&lt;Q&gt;CRH-US^P_BETA_LOCIDX(45911,45737,,"SPX")&lt;/Q&gt;&lt;R&gt;1&lt;/R&gt;&lt;C&gt;1&lt;/C&gt;&lt;D xsi:type="xsd:double"&gt;1.231917&lt;/D&gt;&lt;/FQL&gt;&lt;FQL&gt;&lt;Q&gt;CRH-US^P_BETA_LOCIDX(45586,45412,,"SPX")&lt;/Q&gt;&lt;R&gt;1&lt;/R&gt;&lt;C&gt;1&lt;/C&gt;&lt;D xsi:type="xsd:double"&gt;1.3585376&lt;/D&gt;&lt;/FQL&gt;&lt;FQL&gt;&lt;Q&gt;CRH-US^P_BETA_LOCIDX(45504,45329,,"SPX")&lt;/Q&gt;&lt;R&gt;1&lt;/R&gt;&lt;C&gt;1&lt;/C&gt;&lt;D xsi:type="xsd:double"&gt;1.2374852&lt;/D&gt;&lt;/FQL&gt;&lt;FQL&gt;&lt;Q&gt;CRH-US^P_BETA_LOCIDX(44980,44804,,"SPX")&lt;/Q&gt;&lt;R&gt;1&lt;/R&gt;&lt;C&gt;1&lt;/C&gt;&lt;D xsi:type="xsd:double"&gt;1.2103488&lt;/D&gt;&lt;/FQL&gt;&lt;FQL&gt;&lt;Q&gt;CRH-US^P_BETA_LOCIDX(45796,45617,,"SPX")&lt;/Q&gt;&lt;R&gt;1&lt;/R&gt;&lt;C&gt;1&lt;/C&gt;&lt;D xsi:type="xsd:double"&gt;1.2703854&lt;/D&gt;&lt;/FQL&gt;&lt;FQL&gt;&lt;Q&gt;CRH-US^P_BETA_LOCIDX(45777,45600,,"SPX")&lt;/Q&gt;&lt;R&gt;1&lt;/R&gt;&lt;C&gt;1&lt;/C&gt;&lt;D xsi:type="xsd:double"&gt;1.2654859&lt;/D&gt;&lt;/FQL&gt;&lt;FQL&gt;&lt;Q&gt;CRH-US^P_BETA_LOCIDX(45979,45807,,"SPX")&lt;/Q&gt;&lt;R&gt;1&lt;/R&gt;&lt;C&gt;1&lt;/C&gt;&lt;D xsi:type="xsd:double"&gt;1.0581583&lt;/D&gt;&lt;/FQL&gt;&lt;FQL&gt;&lt;Q&gt;CRH-US^P_BETA_LOCIDX(45398,45222,,"SPX")&lt;/Q&gt;&lt;R&gt;1&lt;/R&gt;&lt;C&gt;1&lt;/C&gt;&lt;D xsi:type="xsd:double"&gt;1.1203907&lt;/D&gt;&lt;/FQL&gt;&lt;FQL&gt;&lt;Q&gt;CRH-US^P_BETA_LOCIDX(45929,45756,,"SPX")&lt;/Q&gt;&lt;R&gt;1&lt;/R&gt;&lt;C&gt;1&lt;/C&gt;&lt;D xsi:type="xsd:double"&gt;1.2552687&lt;/D&gt;&lt;/FQL&gt;&lt;FQL&gt;&lt;Q&gt;CRH-US^P_BETA_LOCIDX(45555,45383,,"SPX")&lt;/Q&gt;&lt;R&gt;1&lt;/R&gt;&lt;C&gt;1&lt;/C&gt;&lt;D xsi:type="xsd:double"&gt;1.3808448&lt;/D&gt;&lt;/FQL&gt;&lt;FQL&gt;&lt;Q&gt;CRH-US^P_BETA_LOCIDX(45996,45825,,"SPX")&lt;/Q&gt;&lt;R&gt;1&lt;/R&gt;&lt;C&gt;1&lt;/C&gt;&lt;D xsi:type="xsd:double"&gt;1.1536996&lt;/D&gt;&lt;/FQL&gt;&lt;FQL&gt;&lt;Q&gt;CRH-US^P_BETA_LOCIDX(45784,45607,,"SPX")&lt;/Q&gt;&lt;R&gt;1&lt;/R&gt;&lt;C&gt;1&lt;/C&gt;&lt;D xsi:type="xsd:double"&gt;1.2677717&lt;/D&gt;&lt;/FQL&gt;&lt;FQL&gt;&lt;Q&gt;CRH-US^P_BETA_LOCIDX(44998,44823,,"SPX")&lt;/Q&gt;&lt;R&gt;1&lt;/R&gt;&lt;C&gt;1&lt;/C&gt;&lt;D xsi:type="xsd:double"&gt;1.2365371&lt;/D&gt;&lt;/FQL&gt;&lt;FQL&gt;&lt;Q&gt;CRH-US^P_BETA_LOCIDX(45496,45321,,"SPX")&lt;/Q&gt;&lt;R&gt;1&lt;/R&gt;&lt;C&gt;1&lt;/C&gt;&lt;D xsi:type="xsd:double"&gt;1.1786374&lt;/D&gt;&lt;/FQL&gt;&lt;FQL&gt;&lt;Q&gt;CRH-US^P_BETA_LOCIDX(45293,45119,,"SPX")&lt;/Q&gt;&lt;R&gt;1&lt;/R&gt;&lt;C&gt;1&lt;/C&gt;&lt;D xsi:type="xsd:double"&gt;1.19124&lt;/D&gt;&lt;/FQL&gt;&lt;FQL&gt;&lt;Q&gt;CRH-US^P_BETA_LOCIDX(45142,44967,,"SPX")&lt;/Q&gt;&lt;R&gt;1&lt;/R&gt;&lt;C&gt;1&lt;/C&gt;&lt;D xsi:type="xsd:double"&gt;1.0564644&lt;/D&gt;&lt;/FQL&gt;&lt;FQL&gt;&lt;Q&gt;CRH-US^P_BETA_LOCIDX(45072,44897,,"SPX")&lt;/Q&gt;&lt;R&gt;1&lt;/R&gt;&lt;C&gt;1&lt;/C&gt;&lt;D xsi:type="xsd:double"&gt;1.0025606&lt;/D&gt;&lt;/FQL&gt;&lt;FQL&gt;&lt;Q&gt;CRH-US^P_BETA_LOCIDX(45275,45104,,"SPX")&lt;/Q&gt;&lt;R&gt;1&lt;/R&gt;&lt;C&gt;1&lt;/C&gt;&lt;D xsi:type="xsd:double"&gt;1.2293382&lt;/D&gt;&lt;/FQL&gt;&lt;FQL&gt;&lt;Q&gt;CRH-US^P_BETA_LOCIDX(45286,45113,,"SPX")&lt;/Q&gt;&lt;R&gt;1&lt;/R&gt;&lt;C&gt;1&lt;/C&gt;&lt;D xsi:type="xsd:double"&gt;1.2233421&lt;/D&gt;&lt;/FQL&gt;&lt;FQL&gt;&lt;Q&gt;CRH-US^P_BETA_LOCIDX(45371,45196,,"SPX")&lt;/Q&gt;&lt;R&gt;1&lt;/R&gt;&lt;C&gt;1&lt;/C&gt;&lt;D xsi:type="xsd:double"&gt;1.2213234&lt;/D&gt;&lt;/FQL&gt;&lt;FQL&gt;&lt;Q&gt;CRH-US^P_BETA_LOCIDX(45980,45811,,"SPX")&lt;/Q&gt;&lt;R&gt;1&lt;/R&gt;&lt;C&gt;1&lt;/C&gt;&lt;D xsi:type="xsd:double"&gt;1.0641295&lt;/D&gt;&lt;/FQL&gt;&lt;FQL&gt;&lt;Q&gt;CRH-US^P_BETA_LOCIDX(45463,45287,,"SPX")&lt;/Q&gt;&lt;R&gt;1&lt;/R&gt;&lt;C&gt;1&lt;/C&gt;&lt;D xsi:type="xsd:double"&gt;1.2999719&lt;/D&gt;&lt;/FQL&gt;&lt;FQL&gt;&lt;Q&gt;CRH-US^P_BETA_LOCIDX(45441,45265,,"SPX")&lt;/Q&gt;&lt;R&gt;1&lt;/R&gt;&lt;C&gt;1&lt;/C&gt;&lt;D xsi:type="xsd:double"&gt;1.3029869&lt;/D&gt;&lt;/FQL&gt;&lt;FQL&gt;&lt;Q&gt;CRH-US^P_BETA_LOCIDX(45428,45252,,"SPX")&lt;/Q&gt;&lt;R&gt;1&lt;/R&gt;&lt;C&gt;1&lt;/C&gt;&lt;D xsi:type="xsd:double"&gt;1.317088&lt;/D&gt;&lt;/FQL&gt;&lt;FQL&gt;&lt;Q&gt;CRH-US^P_BETA_LOCIDX(45776,45597,,"SPX")&lt;/Q&gt;&lt;R&gt;1&lt;/R&gt;&lt;C&gt;1&lt;/C&gt;&lt;D xsi:type="xsd:double"&gt;1.2642058&lt;/D&gt;&lt;/FQL&gt;&lt;FQL&gt;&lt;Q&gt;CRH-US^P_BETA_LOCIDX(45783,45604,,"SPX")&lt;/Q&gt;&lt;R&gt;1&lt;/R&gt;&lt;C&gt;1&lt;/C&gt;&lt;D xsi:type="xsd:double"&gt;1.2718598&lt;/D&gt;&lt;/FQL&gt;&lt;FQL&gt;&lt;Q&gt;CRH-US^P_BETA_LOCIDX(45362,45187,,"SPX")&lt;/Q&gt;&lt;R&gt;1&lt;/R&gt;&lt;C&gt;1&lt;/C&gt;&lt;D xsi:type="xsd:double"&gt;1.1642342&lt;/D&gt;&lt;/FQL&gt;&lt;FQL&gt;&lt;Q&gt;CRH-US^P_BETA_LOCIDX(45195,45020,,"SPX")&lt;/Q&gt;&lt;R&gt;1&lt;/R&gt;&lt;C&gt;1&lt;/C&gt;&lt;D xsi:type="xsd:double"&gt;1.0453635&lt;/D&gt;&lt;/FQL&gt;&lt;FQL&gt;&lt;Q&gt;CRH-US^P_BETA_LOCIDX(45775,45596,,"SPX")&lt;/Q&gt;&lt;R&gt;1&lt;/R&gt;&lt;C&gt;1&lt;/C&gt;&lt;D xsi:type="xsd:double"&gt;1.2535596&lt;/D&gt;&lt;/FQL&gt;&lt;FQL&gt;&lt;Q&gt;CRH-US^P_BETA_LOCIDX(45947,45776,,"SPX")&lt;/Q&gt;&lt;R&gt;1&lt;/R&gt;&lt;C&gt;1&lt;/C&gt;&lt;D xsi:type="xsd:double"&gt;1.2304933&lt;/D&gt;&lt;/FQL&gt;&lt;FQL&gt;&lt;Q&gt;CRH-US^P_BETA_LOCIDX(45223,45049,,"SPX")&lt;/Q&gt;&lt;R&gt;1&lt;/R&gt;&lt;C&gt;1&lt;/C&gt;&lt;D xsi:type="xsd:double"&gt;1.1882529&lt;/D&gt;&lt;/FQL&gt;&lt;FQL&gt;&lt;Q&gt;CRH-US^P_BETA_LOCIDX(45656,45483,,"SPX")&lt;/Q&gt;&lt;R&gt;1&lt;/R&gt;&lt;C&gt;1&lt;/C&gt;&lt;D xsi:type="xsd:double"&gt;1.2418407&lt;/D&gt;&lt;/FQL&gt;&lt;FQL&gt;&lt;Q&gt;CRH-US^P_BETA_LOCIDX(45637,45464,,"SPX")&lt;/Q&gt;&lt;R&gt;1&lt;/R&gt;&lt;C&gt;1&lt;/C&gt;&lt;D xsi:type="xsd:double"&gt;1.2429066&lt;/D&gt;&lt;/FQL&gt;&lt;FQL&gt;&lt;Q&gt;CRH-US^P_BETA_LOCIDX(45076,44900,,"SPX")&lt;/Q&gt;&lt;R&gt;1&lt;/R&gt;&lt;C&gt;1&lt;/C&gt;&lt;D xsi:type="xsd:double"&gt;1.0032964&lt;/D&gt;&lt;/FQL&gt;&lt;FQL&gt;&lt;Q&gt;CRH-US^P_BETA_LOCIDX(45489,45314,,"SPX")&lt;/Q&gt;&lt;R&gt;1&lt;/R&gt;&lt;C&gt;1&lt;/C&gt;&lt;D xsi:type="xsd:double"&gt;1.1668271&lt;/D&gt;&lt;/FQL&gt;&lt;FQL&gt;&lt;Q&gt;CRH-US^P_BETA_LOCIDX(45544,45369,,"SPX")&lt;/Q&gt;&lt;R&gt;1&lt;/R&gt;&lt;C&gt;1&lt;/C&gt;&lt;D xsi:type="xsd:double"&gt;1.3526437&lt;/D&gt;&lt;/FQL&gt;&lt;FQL&gt;&lt;Q&gt;CRH-US^P_BETA_LOCIDX(45310,45135,,"SPX")&lt;/Q&gt;&lt;R&gt;1&lt;/R&gt;&lt;C&gt;1&lt;/C&gt;&lt;D xsi:type="xsd:double"&gt;1.2455766&lt;/D&gt;&lt;/FQL&gt;&lt;FQL&gt;&lt;Q&gt;CRH-US^P_BETA_LOCIDX(46035,45867,,"SPX")&lt;/Q&gt;&lt;R&gt;1&lt;/R&gt;&lt;C&gt;1&lt;/C&gt;&lt;D xsi:type="xsd:double"&gt;1.198672&lt;/D&gt;&lt;/FQL&gt;&lt;FQL&gt;&lt;Q&gt;CRH-US^P_BETA_LOCIDX(45979,45810,,"SPX")&lt;/Q&gt;&lt;R&gt;1&lt;/R&gt;&lt;C&gt;1&lt;/C&gt;&lt;D xsi:type="xsd:double"&gt;1.0563526&lt;/D&gt;&lt;/FQL&gt;&lt;FQL&gt;&lt;Q&gt;CRH-US^P_BETA_LOCIDX(45817,45638,,"SPX")&lt;/Q&gt;&lt;R&gt;1&lt;/R&gt;&lt;C&gt;1&lt;/C&gt;&lt;D xsi:type="xsd:double"&gt;1.252074&lt;/D&gt;&lt;/FQL&gt;&lt;FQL&gt;&lt;Q&gt;CRH-US^P_BETA_LOCIDX(45314,45139,,"SPX")&lt;/Q&gt;&lt;R&gt;1&lt;/R&gt;&lt;C&gt;1&lt;/C&gt;&lt;D xsi:type="xsd:double"&gt;1.2411435&lt;/D&gt;&lt;/FQL&gt;&lt;FQL&gt;&lt;Q&gt;CRH-US^P_BETA_LOCIDX(45980,45810,,"SPX")&lt;/Q&gt;&lt;R&gt;1&lt;/R&gt;&lt;C&gt;1&lt;/C&gt;&lt;D xsi:type="xsd:double"&gt;1.0600805&lt;/D&gt;&lt;/FQL&gt;&lt;FQL&gt;&lt;Q&gt;CRH-US^P_BETA_LOCIDX(45978,45807,,"SPX")&lt;/Q&gt;&lt;R&gt;1&lt;/R&gt;&lt;C&gt;1&lt;/C&gt;&lt;D xsi:type="xsd:double"&gt;1.0667363&lt;/D&gt;&lt;/FQL&gt;&lt;FQL&gt;&lt;Q&gt;CRH-US^P_BETA_LOCIDX(45748,45572,,"SPX")&lt;/Q&gt;&lt;R&gt;1&lt;/R&gt;&lt;C&gt;1&lt;/C&gt;&lt;D xsi:type="xsd:double"&gt;1.4025308&lt;/D&gt;&lt;/FQL&gt;&lt;FQL&gt;&lt;Q&gt;CRH-US^P_BETA_LOCIDX(45782,45603,,"SPX")&lt;/Q&gt;&lt;R&gt;1&lt;/R&gt;&lt;C&gt;1&lt;/C&gt;&lt;D xsi:type="xsd:double"&gt;1.2620817&lt;/D&gt;&lt;/FQL&gt;&lt;FQL&gt;&lt;Q&gt;CRH-US^P_BETA_LOCIDX(45321,45146,,"SPX")&lt;/Q&gt;&lt;R&gt;1&lt;/R&gt;&lt;C&gt;1&lt;/C&gt;&lt;D xsi:type="xsd:double"&gt;1.2587105&lt;/D&gt;&lt;/FQL&gt;&lt;FQL&gt;&lt;Q&gt;CRH-US^P_BETA_LOCIDX(45128,44953,,"SPX")&lt;/Q&gt;&lt;R&gt;1&lt;/R&gt;&lt;C&gt;1&lt;/C&gt;&lt;D xsi:type="xsd:double"&gt;1.0694078&lt;/D&gt;&lt;/FQL&gt;&lt;FQL&gt;&lt;Q&gt;CRH-US^P_BETA_LOCIDX(45015,44840,,"SPX")&lt;/Q&gt;&lt;R&gt;1&lt;/R&gt;&lt;C&gt;1&lt;/C&gt;&lt;D xsi:type="xsd:double"&gt;1.1757007&lt;/D&gt;&lt;/FQL&gt;&lt;FQL&gt;&lt;Q&gt;CRH-US^P_BETA_LOCIDX(45742,45566,,"SPX")&lt;/Q&gt;&lt;R&gt;1&lt;/R&gt;&lt;C&gt;1&lt;/C&gt;&lt;D xsi:type="xsd:double"&gt;1.3684103&lt;/D&gt;&lt;/FQL&gt;&lt;FQL&gt;&lt;Q&gt;CRH-US^P_BETA_LOCIDX(45527,45355,,"SPX")&lt;/Q&gt;&lt;R&gt;1&lt;/R&gt;&lt;C&gt;1&lt;/C&gt;&lt;D xsi:type="xsd:double"&gt;1.4483496&lt;/D&gt;&lt;/FQL&gt;&lt;FQL&gt;&lt;Q&gt;CRH-US^P_BETA_LOCIDX(45287,45114,,"SPX")&lt;/Q&gt;&lt;R&gt;1&lt;/R&gt;&lt;C&gt;1&lt;/C&gt;&lt;D xsi:type="xsd:double"&gt;1.2006061&lt;/D&gt;&lt;/FQL&gt;&lt;FQL&gt;&lt;Q&gt;CRH-US^P_BETA_LOCIDX(45166,44992,,"SPX")&lt;/Q&gt;&lt;R&gt;1&lt;/R&gt;&lt;C&gt;1&lt;/C&gt;&lt;D xsi:type="xsd:double"&gt;1.0443211&lt;/D&gt;&lt;/FQL&gt;&lt;FQL&gt;&lt;Q&gt;CRH-US^P_BETA_LOCIDX(45768,45589,,"SPX")&lt;/Q&gt;&lt;R&gt;1&lt;/R&gt;&lt;C&gt;1&lt;/C&gt;&lt;D xsi:type="xsd:double"&gt;1.2366406&lt;/D&gt;&lt;/FQL&gt;&lt;FQL&gt;&lt;Q&gt;CRH-US^P_BETA_LOCIDX(45181,45006,,"SPX")&lt;/Q&gt;&lt;R&gt;1&lt;/R&gt;&lt;C&gt;1&lt;/C&gt;&lt;D xsi:type="xsd:double"&gt;0.9769607&lt;/D&gt;&lt;/FQL&gt;&lt;FQL&gt;&lt;Q&gt;CRH-US^P_BETA_LOCIDX(45300,45126,,"SPX")&lt;/Q&gt;&lt;R&gt;1&lt;/R&gt;&lt;C&gt;1&lt;/C&gt;&lt;D xsi:type="xsd:double"&gt;1.2335467&lt;/D&gt;&lt;/FQL&gt;&lt;FQL&gt;&lt;Q&gt;CRH-US^P_BETA_LOCIDX(45957,45785,,"SPX")&lt;/Q&gt;&lt;R&gt;1&lt;/R&gt;&lt;C&gt;1&lt;/C&gt;&lt;D xsi:type="xsd:double"&gt;1.1648157&lt;/D&gt;&lt;/FQL&gt;&lt;FQL&gt;&lt;Q&gt;CRH-US^P_BETA_LOCIDX(45912,45740,,"SPX")&lt;/Q&gt;&lt;R&gt;1&lt;/R&gt;&lt;C&gt;1&lt;/C&gt;&lt;D xsi:type="xsd:double"&gt;1.2319039&lt;/D&gt;&lt;/FQL&gt;&lt;FQL&gt;&lt;Q&gt;CRH-US^P_BETA_LOCIDX(44985,44810,,"SPX")&lt;/Q&gt;&lt;R&gt;1&lt;/R&gt;&lt;C&gt;1&lt;/C&gt;&lt;D xsi:type="xsd:double"&gt;1.2236028&lt;/D&gt;&lt;/FQL&gt;&lt;FQL&gt;&lt;Q&gt;CRH-US^P_BETA_LOCIDX(45110,44935,,"SPX")&lt;/Q&gt;&lt;R&gt;1&lt;/R&gt;&lt;C&gt;1&lt;/C&gt;&lt;D xsi:type="xsd:double"&gt;1.01951&lt;/D&gt;&lt;/FQL&gt;&lt;FQL&gt;&lt;Q&gt;CRH-US^P_BETA_LOCIDX(46015,45845,,"SPX")&lt;/Q&gt;&lt;R&gt;1&lt;/R&gt;&lt;C&gt;1&lt;/C&gt;&lt;D xsi:type="xsd:double"&gt;1.1060007&lt;/D&gt;&lt;/FQL&gt;&lt;FQL&gt;&lt;Q&gt;CRH-US^P_BETA_LOCIDX(45884,45713,,"SPX")&lt;/Q&gt;&lt;R&gt;1&lt;/R&gt;&lt;C&gt;1&lt;/C&gt;&lt;D xsi:type="xsd:double"&gt;1.279606&lt;/D&gt;&lt;/FQL&gt;&lt;FQL&gt;&lt;Q&gt;CRH-US^P_BETA_LOCIDX(44999,44824,,"SPX")&lt;/Q&gt;&lt;R&gt;1&lt;/R&gt;&lt;C&gt;1&lt;/C&gt;&lt;D xsi:type="xsd:double"&gt;1.2380956&lt;/D&gt;&lt;/FQL&gt;&lt;FQL&gt;&lt;Q&gt;CRH-US^P_BETA_LOCIDX(45616,45443,,"SPX")&lt;/Q&gt;&lt;R&gt;1&lt;/R&gt;&lt;C&gt;1&lt;/C&gt;&lt;D xsi:type="xsd:double"&gt;1.2748514&lt;/D&gt;&lt;/FQL&gt;&lt;FQL&gt;&lt;Q&gt;CRH-US^P_BETA_LOCIDX(45083,44907,,"SPX")&lt;/Q&gt;&lt;R&gt;1&lt;/R&gt;&lt;C&gt;1&lt;/C&gt;&lt;D xsi:type="xsd:double"&gt;1.0395476&lt;/D&gt;&lt;/FQL&gt;&lt;FQL&gt;&lt;Q&gt;CRH-US^P_BETA_LOCIDX(45821,45644,,"SPX")&lt;/Q&gt;&lt;R&gt;1&lt;/R&gt;&lt;C&gt;1&lt;/C&gt;&lt;D xsi:type="xsd:double"&gt;1.2591455&lt;/D&gt;&lt;/FQL&gt;&lt;FQL&gt;&lt;Q&gt;CRH-US^P_BETA_LOCIDX(45601,45427,,"SPX")&lt;/Q&gt;&lt;R&gt;1&lt;/R&gt;&lt;C&gt;1&lt;/C&gt;&lt;D xsi:type="xsd:double"&gt;1.3042831&lt;/D&gt;&lt;/FQL&gt;&lt;FQL&gt;&lt;Q&gt;CRH-US^P_BETA_LOCIDX(45646,45475,,"SPX")&lt;/Q&gt;&lt;R&gt;1&lt;/R&gt;&lt;C&gt;1&lt;/C&gt;&lt;D xsi:type="xsd:double"&gt;1.2472116&lt;/D&gt;&lt;/FQL&gt;&lt;FQL&gt;&lt;Q&gt;CRH-US^P_BETA_LOCIDX(46034,45860,,"SPX")&lt;/Q&gt;&lt;R&gt;1&lt;/R&gt;&lt;C&gt;1&lt;/C&gt;&lt;D xsi:type="xsd:double"&gt;1.2017654&lt;/D&gt;&lt;/FQL&gt;&lt;FQL&gt;&lt;Q&gt;CRH-US^P_BETA_LOCIDX(45216,45042,,"SPX")&lt;/Q&gt;&lt;R&gt;1&lt;/R&gt;&lt;C&gt;1&lt;/C&gt;&lt;D xsi:type="xsd:double"&gt;1.1161679&lt;/D&gt;&lt;/FQL&gt;&lt;FQL&gt;&lt;Q&gt;CRH-US^P_BETA_LOCIDX(46008,45838,,"SPX")&lt;/Q&gt;&lt;R&gt;1&lt;/R&gt;&lt;C&gt;1&lt;/C&gt;&lt;D xsi:type="xsd:double"&gt;1.1071297&lt;/D&gt;&lt;/FQL&gt;&lt;FQL&gt;&lt;Q&gt;CRH-US^P_BETA_LOCIDX(45272,45099,,"SPX")&lt;/Q&gt;&lt;R&gt;1&lt;/R&gt;&lt;C&gt;1&lt;/C&gt;&lt;D xsi:type="xsd:double"&gt;1.2059784&lt;/D&gt;&lt;/FQL&gt;&lt;FQL&gt;&lt;Q&gt;CRH-US^P_BETA_LOCIDX(45877,45706,,"SPX")&lt;/Q&gt;&lt;R&gt;1&lt;/R&gt;&lt;C&gt;1&lt;/C&gt;&lt;D xsi:type="xsd:double"&gt;1.2674158&lt;/D&gt;&lt;/FQL&gt;&lt;FQL&gt;&lt;Q&gt;CRH-US^P_BETA_LOCIDX(45649,45476,,"SPX")&lt;/Q&gt;&lt;R&gt;1&lt;/R&gt;&lt;C&gt;1&lt;/C&gt;&lt;D xsi:type="xsd:double"&gt;1.2564888&lt;/D&gt;&lt;/FQL&gt;&lt;FQL&gt;&lt;Q&gt;CRH-US^P_BETA_LOCIDX(45481,45303,,"SPX")&lt;/Q&gt;&lt;R&gt;1&lt;/R&gt;&lt;C&gt;1&lt;/C&gt;&lt;D xsi:type="xsd:double"&gt;1.2140172&lt;/D&gt;&lt;/FQL&gt;&lt;FQL&gt;&lt;Q&gt;CRH-US^P_BETA_LOCIDX(45692,45516,,"SPX")&lt;/Q&gt;&lt;R&gt;1&lt;/R&gt;&lt;C&gt;1&lt;/C&gt;&lt;D xsi:type="xsd:double"&gt;1.0600512&lt;/D&gt;&lt;/FQL&gt;&lt;FQL&gt;&lt;Q&gt;CRH-US^P_BETA_LOCIDX(45730,45554,,"SPX")&lt;/Q&gt;&lt;R&gt;1&lt;/R&gt;&lt;C&gt;1&lt;/C&gt;&lt;D xsi:type="xsd:double"&gt;1.3130234&lt;/D&gt;&lt;/FQL&gt;&lt;FQL&gt;&lt;Q&gt;CRH-US^P_BETA_LOCIDX(45924,45750,,"SPX")&lt;/Q&gt;&lt;R&gt;1&lt;/R&gt;&lt;C&gt;1&lt;/C&gt;&lt;D xsi:type="xsd:double"&gt;1.1886938&lt;/D&gt;&lt;/FQL&gt;&lt;FQL&gt;&lt;Q&gt;CRH-US^P_BETA_LOCIDX(45971,45799,,"SPX")&lt;/Q&gt;&lt;R&gt;1&lt;/R&gt;&lt;C&gt;1&lt;/C&gt;&lt;D xsi:type="xsd:double"&gt;1.0724528&lt;/D&gt;&lt;/FQL&gt;&lt;FQL&gt;&lt;Q&gt;CRH-US^P_BETA_LOCIDX(45925,45754,,"SPX")&lt;/Q&gt;&lt;R&gt;1&lt;/R&gt;&lt;C&gt;1&lt;/C&gt;&lt;D xsi:type="xsd:double"&gt;1.2424138&lt;/D&gt;&lt;/FQL&gt;&lt;FQL&gt;&lt;Q&gt;CRH-US^P_BETA_LOCIDX(45663,45489,,"SPX")&lt;/Q&gt;&lt;R&gt;1&lt;/R&gt;&lt;C&gt;1&lt;/C&gt;&lt;D xsi:type="xsd:double"&gt;1.2664154&lt;/D&gt;&lt;/FQL&gt;&lt;FQL&gt;&lt;Q&gt;CRH-US^P_BETA_LOCIDX(45230,45056,,"SPX")&lt;/Q&gt;&lt;R&gt;1&lt;/R&gt;&lt;C&gt;1&lt;/C&gt;&lt;D xsi:type="xsd:double"&gt;1.2462314&lt;/D&gt;&lt;/FQL&gt;&lt;FQL&gt;&lt;Q&gt;CRH-US^P_BETA_LOCIDX(45301,45127,,"SPX")&lt;/Q&gt;&lt;R&gt;1&lt;/R&gt;&lt;C&gt;1&lt;/C&gt;&lt;D xsi:type="xsd:double"&gt;1.2303388&lt;/D&gt;&lt;/FQL&gt;&lt;FQL&gt;&lt;Q&gt;CRH-US^P_BETA_LOCIDX(45741,45565,,"SPX")&lt;/Q&gt;&lt;R&gt;1&lt;/R&gt;&lt;C&gt;1&lt;/C&gt;&lt;D xsi:type="xsd:double"&gt;1.3369216&lt;/D&gt;&lt;/FQL&gt;&lt;FQL&gt;&lt;Q&gt;CRH-US^P_BETA_LOCIDX(45079,44903,,"SPX")&lt;/Q&gt;&lt;R&gt;1&lt;/R&gt;&lt;C&gt;1&lt;/C&gt;&lt;D xsi:type="xsd:double"&gt;1.0204965&lt;/D&gt;&lt;/FQL&gt;&lt;FQL&gt;&lt;Q&gt;CRH-US^P_BETA_LOCIDX(45455,45279,,"SPX")&lt;/Q&gt;&lt;R&gt;1&lt;/R&gt;&lt;C&gt;1&lt;/C&gt;&lt;D xsi:type="xsd:double"&gt;1.278786&lt;/D&gt;&lt;/FQL&gt;&lt;FQL&gt;&lt;Q&gt;CRH-US^P_BETA_LOCIDX(45975,45805,,"SPX")&lt;/Q&gt;&lt;R&gt;1&lt;/R&gt;&lt;C&gt;1&lt;/C&gt;&lt;D xsi:type="xsd:double"&gt;1.1133782&lt;/D&gt;&lt;/FQL&gt;&lt;FQL&gt;&lt;Q&gt;CRH-US^P_BETA_LOCIDX(45722,45546,,"SPX")&lt;/Q&gt;&lt;R&gt;1&lt;/R&gt;&lt;C&gt;1&lt;/C&gt;&lt;D xsi:type="xsd:double"&gt;1.2652023&lt;/D&gt;&lt;/FQL&gt;&lt;FQL&gt;&lt;Q&gt;CRH-US^P_BETA_LOCIDX(46014,45842,,"SPX")&lt;/Q&gt;&lt;R&gt;1&lt;/R&gt;&lt;C&gt;1&lt;/C&gt;&lt;D xsi:type="xsd:double"&gt;1.097476&lt;/D&gt;&lt;/FQL&gt;&lt;FQL&gt;&lt;Q&gt;CRH-US^P_BETA_LOCIDX(45740,45562,,"SPX")&lt;/Q&gt;&lt;R&gt;1&lt;/R&gt;&lt;C&gt;1&lt;/C&gt;&lt;D xsi:type="xsd:double"&gt;1.3375041&lt;/D&gt;&lt;/FQL&gt;&lt;FQL&gt;&lt;Q&gt;CRH-US^P_BETA_LOCIDX(45513,45338,,"SPX")&lt;/Q&gt;&lt;R&gt;1&lt;/R&gt;&lt;C&gt;1&lt;/C&gt;&lt;D xsi:type="xsd:double"&gt;1.3866124&lt;/D&gt;&lt;/FQL&gt;&lt;FQL&gt;&lt;Q&gt;CRH-US^P_BETA_LOCIDX(45519,45345,,"SPX")&lt;/Q&gt;&lt;R&gt;1&lt;/R&gt;&lt;C&gt;1&lt;/C&gt;&lt;D xsi:type="xsd:double"&gt;1.4683983&lt;/D&gt;&lt;/FQL&gt;&lt;FQL&gt;&lt;Q&gt;CRH-US^P_BETA_LOCIDX(45761,45583,,"SPX")&lt;/Q&gt;&lt;R&gt;1&lt;/R&gt;&lt;C&gt;1&lt;/C&gt;&lt;D xsi:type="xsd:double"&gt;1.2539715&lt;/D&gt;&lt;/FQL&gt;&lt;FQL&gt;&lt;Q&gt;CRH-US^P_BETA_LOCIDX(45958,45786,,"SPX")&lt;/Q&gt;&lt;R&gt;1&lt;/R&gt;&lt;C&gt;1&lt;/C&gt;&lt;D xsi:type="xsd:double"&gt;1.1527575&lt;/D&gt;&lt;/FQL&gt;&lt;FQL&gt;&lt;Q&gt;CRH-US^P_BETA_LOCIDX(45474,45299,,"SPX")&lt;/Q&gt;&lt;R&gt;1&lt;/R&gt;&lt;C&gt;1&lt;/C&gt;&lt;D xsi:type="xsd:double"&gt;1.2545211&lt;/D&gt;&lt;/FQL&gt;&lt;FQL&gt;&lt;Q&gt;CRH-US^P_BETA_LOCIDX(45188,45013,,"SPX")&lt;/Q&gt;&lt;R&gt;1&lt;/R&gt;&lt;C&gt;1&lt;/C&gt;&lt;D xsi:type="xsd:double"&gt;1.0612564&lt;/D&gt;&lt;/FQL&gt;&lt;FQL&gt;&lt;Q&gt;CRH-US^P_BETA_LOCIDX(45631,45457,,"SPX")&lt;/Q&gt;&lt;R&gt;1&lt;/R&gt;&lt;C&gt;1&lt;/C&gt;&lt;D xsi:type="xsd:double"&gt;1.2574686&lt;/D&gt;&lt;/FQL&gt;&lt;FQL&gt;&lt;Q&gt;CRH-US^P_BETA_LOCIDX(46020,45852,,"SPX")&lt;/Q&gt;&lt;R&gt;1&lt;/R&gt;&lt;C&gt;1&lt;/C&gt;&lt;D xsi:type="xsd:double"&gt;1.103625&lt;/D&gt;&lt;/FQL&gt;&lt;FQL&gt;&lt;Q&gt;CRH-US^P_BETA_LOCIDX(45917,45744,,"SPX")&lt;/Q&gt;&lt;R&gt;1&lt;/R&gt;&lt;C&gt;1&lt;/C&gt;&lt;D xsi:type="xsd:double"&gt;1.2044785&lt;/D&gt;&lt;/FQL&gt;&lt;FQL&gt;&lt;Q&gt;CRH-US^P_BETA_LOCIDX(45800,45623,,"SPX")&lt;/Q&gt;&lt;R&gt;1&lt;/R&gt;&lt;C&gt;1&lt;/C&gt;&lt;D xsi:type="xsd:double"&gt;1.2711664&lt;/D&gt;&lt;/FQL&gt;&lt;FQL&gt;&lt;Q&gt;CRH-US^P_BETA_LOCIDX(45902,45728,,"SPX")&lt;/Q&gt;&lt;R&gt;1&lt;/R&gt;&lt;C&gt;1&lt;/C&gt;&lt;D xsi:type="xsd:double"&gt;1.2549554&lt;/D&gt;&lt;/FQL&gt;&lt;FQL&gt;&lt;Q&gt;CRH-US^P_BETA_LOCIDX(45336,45161,,"SPX")&lt;/Q&gt;&lt;R&gt;1&lt;/R&gt;&lt;C&gt;1&lt;/C&gt;&lt;D xsi:type="xsd:double"&gt;1.2441001&lt;/D&gt;&lt;/FQL&gt;&lt;FQL&gt;&lt;Q&gt;CRH-US^P_BETA_LOCIDX(45635,45461,,"SPX")&lt;/Q&gt;&lt;R&gt;1&lt;/R&gt;&lt;C&gt;1&lt;/C&gt;&lt;D xsi:type="xsd:double"&gt;1.255707&lt;/D&gt;&lt;/FQL&gt;&lt;FQL&gt;&lt;Q&gt;CRH-US^P_BETA_LOCIDX(45331,45156,,"SPX")&lt;/Q&gt;&lt;R&gt;1&lt;/R&gt;&lt;C&gt;1&lt;/C&gt;&lt;D xsi:type="xsd:double"&gt;1.1983715&lt;/D&gt;&lt;/FQL&gt;&lt;FQL&gt;&lt;Q&gt;CRH-US^P_BETA_LOCIDX(45013,44838,,"SPX")&lt;/Q&gt;&lt;R&gt;1&lt;/R&gt;&lt;C&gt;1&lt;/C&gt;&lt;D xsi:type="xsd:double"&gt;1.2229611&lt;/D&gt;&lt;/FQL&gt;&lt;FQL&gt;&lt;Q&gt;CRH-US^P_BETA_LOCIDX(45257,45083,,"SPX")&lt;/Q&gt;&lt;R&gt;1&lt;/R&gt;&lt;C&gt;1&lt;/C&gt;&lt;D xsi:type="xsd:double"&gt;1.1459246&lt;/D&gt;&lt;/FQL&gt;&lt;FQL&gt;&lt;Q&gt;CRH-US^P_BETA_LOCIDX(45281,45110,,"SPX")&lt;/Q&gt;&lt;R&gt;1&lt;/R&gt;&lt;C&gt;1&lt;/C&gt;&lt;D xsi:type="xsd:double"&gt;1.2298425&lt;/D&gt;&lt;/FQL&gt;&lt;FQL&gt;&lt;Q&gt;CRH-US^P_BETA_LOCIDX(46001,45831,,"SPX")&lt;/Q&gt;&lt;R&gt;1&lt;/R&gt;&lt;C&gt;1&lt;/C&gt;&lt;D xsi:type="xsd:double"&gt;1.1063921&lt;/D&gt;&lt;/FQL&gt;&lt;FQL&gt;&lt;Q&gt;CRH-US^P_BETA_LOCIDX(45342,45166,,"SPX")&lt;/Q&gt;&lt;R&gt;1&lt;/R&gt;&lt;C&gt;1&lt;/C&gt;&lt;D xsi:type="xsd:double"&gt;1.2254316&lt;/D&gt;&lt;/FQL&gt;&lt;FQL&gt;&lt;Q&gt;CRH-US^P_BETA_LOCIDX(45294,45120,,"SPX")&lt;/Q&gt;&lt;R&gt;1&lt;/R&gt;&lt;C&gt;1&lt;/C&gt;&lt;D xsi:type="xsd:double"&gt;1.2074538&lt;/D&gt;&lt;/FQL&gt;&lt;FQL&gt;&lt;Q&gt;CRH-US^P_BETA_LOCIDX(45421,45245,,"SPX")&lt;/Q&gt;&lt;R&gt;1&lt;/R&gt;&lt;C&gt;1&lt;/C&gt;&lt;D xsi:type="xsd:double"&gt;1.1898906&lt;/D&gt;&lt;/FQL&gt;&lt;FQL&gt;&lt;Q&gt;CRH-US^P_BETA_LOCIDX(45911,45740,,"SPX")&lt;/Q&gt;&lt;R&gt;1&lt;/R&gt;&lt;C&gt;1&lt;/C&gt;&lt;D xsi:type="xsd:double"&gt;1.2312409&lt;/D&gt;&lt;/FQL&gt;&lt;FQL&gt;&lt;Q&gt;CRH-US^P_BETA_LOCIDX(45035,44859,,"SPX")&lt;/Q&gt;&lt;R&gt;1&lt;/R&gt;&lt;C&gt;1&lt;/C&gt;&lt;D xsi:type="xsd:double"&gt;1.1522436&lt;/D&gt;&lt;/FQL&gt;&lt;FQL&gt;&lt;Q&gt;CRH-US^P_BETA_LOCIDX(45210,45036,,"SPX")&lt;/Q&gt;&lt;R&gt;1&lt;/R&gt;&lt;C&gt;1&lt;/C&gt;&lt;D xsi:type="xsd:double"&gt;1.0568644&lt;/D&gt;&lt;/FQL&gt;&lt;FQL&gt;&lt;Q&gt;CRH-US^P_BETA_LOCIDX(45107,44932,,"SPX")&lt;/Q&gt;&lt;R&gt;1&lt;/R&gt;&lt;C&gt;1&lt;/C&gt;&lt;D xsi:type="xsd:double"&gt;1.0401314&lt;/D&gt;&lt;/FQL&gt;&lt;FQL&gt;&lt;Q&gt;CRH-US^P_BETA_LOCIDX(45870,45698,,"SPX")&lt;/Q&gt;&lt;R&gt;1&lt;/R&gt;&lt;C&gt;1&lt;/C&gt;&lt;D xsi:type="xsd:double"&gt;1.2618698&lt;/D&gt;&lt;/FQL&gt;&lt;FQL&gt;&lt;Q&gt;CRH-US^P_BETA_LOCIDX(46008,45840,,"SPX")&lt;/Q&gt;&lt;R&gt;1&lt;/R&gt;&lt;C&gt;1&lt;/C&gt;&lt;D xsi:type="xsd:double"&gt;1.1157913&lt;/D&gt;&lt;/FQL&gt;&lt;FQL&gt;&lt;Q&gt;CRH-US^P_BETA_LOCIDX(46017,45849,,"SPX")&lt;/Q&gt;&lt;R&gt;1&lt;/R&gt;&lt;C&gt;1&lt;/C&gt;&lt;D xsi:type="xsd:double"&gt;1.0993215&lt;/D&gt;&lt;/FQL&gt;&lt;FQL&gt;&lt;Q&gt;CRH-US^P_BETA_LOCIDX(45965,45793,,"SPX")&lt;/Q&gt;&lt;R&gt;1&lt;/R&gt;&lt;C&gt;1&lt;/C&gt;&lt;D xsi:type="xsd:double"&gt;1.1311829&lt;/D&gt;&lt;/FQL&gt;&lt;FQL&gt;&lt;Q&gt;CRH-US^P_BETA_LOCIDX(45511,45336,,"SPX")&lt;/Q&gt;&lt;R&gt;1&lt;/R&gt;&lt;C&gt;1&lt;/C&gt;&lt;D xsi:type="xsd:double"&gt;1.2960197&lt;/D&gt;&lt;/FQL&gt;&lt;FQL&gt;&lt;Q&gt;CRH-US^P_BETA_LOCIDX(45590,45418,,"SPX")&lt;/Q&gt;&lt;R&gt;1&lt;/R&gt;&lt;C&gt;1&lt;/C&gt;&lt;D xsi:type="xsd:double"&gt;1.3531644&lt;/D&gt;&lt;/FQL&gt;&lt;FQL&gt;&lt;Q&gt;CRH-US^P_BETA_LOCIDX(45098,44922,,"SPX")&lt;/Q&gt;&lt;R&gt;1&lt;/R&gt;&lt;C&gt;1&lt;/C&gt;&lt;D xsi:type="xsd:double"&gt;1.044133&lt;/D&gt;&lt;/FQL&gt;&lt;FQL&gt;&lt;Q&gt;CRH-US^P_BETA_LOCIDX(45089,44911,,"SPX")&lt;/Q&gt;&lt;R&gt;1&lt;/R&gt;&lt;C&gt;1&lt;/C&gt;&lt;D xsi:type="xsd:double"&gt;1.0341191&lt;/D&gt;&lt;/FQL&gt;&lt;FQL&gt;&lt;Q&gt;CRH-US^P_BETA_LOCIDX(45609,45435,,"SPX")&lt;/Q&gt;&lt;R&gt;1&lt;/R&gt;&lt;C&gt;1&lt;/C&gt;&lt;D xsi:type="xsd:double"&gt;1.2660263&lt;/D&gt;&lt;/FQL&gt;&lt;FQL&gt;&lt;Q&gt;CRH-US^P_BETA_LOCIDX(45155,44981,,"SPX")&lt;/Q&gt;&lt;R&gt;1&lt;/R&gt;&lt;C&gt;1&lt;/C&gt;&lt;D xsi:type="xsd:double"&gt;1.0820175&lt;/D&gt;&lt;/FQL&gt;&lt;FQL&gt;&lt;Q&gt;CRH-US^P_BETA_LOCIDX(45468,45293,,"SPX")&lt;/Q&gt;&lt;R&gt;1&lt;/R&gt;&lt;C&gt;1&lt;/C&gt;&lt;D xsi:type="xsd:double"&gt;1.309338&lt;/D&gt;&lt;/FQL&gt;&lt;FQL&gt;&lt;Q&gt;CRH-US^P_BETA_LOCIDX(45623,45450,,"SPX")&lt;/Q&gt;&lt;R&gt;1&lt;/R&gt;&lt;C&gt;1&lt;/C&gt;&lt;D xsi:type="xsd:double"&gt;1.2614638&lt;/D&gt;&lt;/FQL&gt;&lt;FQL&gt;&lt;Q&gt;CRH-US^P_BETA_LOCIDX(45383,45205,,"SPX")&lt;/Q&gt;&lt;R&gt;1&lt;/R&gt;&lt;C&gt;1&lt;/C&gt;&lt;D xsi:type="xsd:double"&gt;1.1825858&lt;/D&gt;&lt;/FQL&gt;&lt;FQL&gt;&lt;Q&gt;CRH-US^P_BETA_LOCIDX(45484,45309,,"SPX")&lt;/Q&gt;&lt;R&gt;1&lt;/R&gt;&lt;C&gt;1&lt;/C&gt;&lt;D xsi:type="xsd:double"&gt;1.1449318&lt;/D&gt;&lt;/FQL&gt;&lt;FQL&gt;&lt;Q&gt;CRH-US^P_BETA_LOCIDX(45916,45743,,"SPX")&lt;/Q&gt;&lt;R&gt;1&lt;/R&gt;&lt;C&gt;1&lt;/C&gt;&lt;D xsi:type="xsd:double"&gt;1.2076571&lt;/D&gt;&lt;/FQL&gt;&lt;FQL&gt;&lt;Q&gt;CRH-US^P_BETA_LOCIDX(45540,45365,,"SPX")&lt;/Q&gt;&lt;R&gt;1&lt;/R&gt;&lt;C&gt;1&lt;/C&gt;&lt;D xsi:type="xsd:double"&gt;1.4631866&lt;/D&gt;&lt;/FQL&gt;&lt;FQL&gt;&lt;Q&gt;CRH-US^P_BETA_LOCIDX(46042,45867,,"SPX")&lt;/Q&gt;&lt;R&gt;1&lt;/R&gt;&lt;C&gt;1&lt;/C&gt;&lt;D xsi:type="xsd:double"&gt;1.2137986&lt;/D&gt;&lt;/FQL&gt;&lt;FQL&gt;&lt;Q&gt;CRH-US^P_BETA_LOCIDX(45405,45229,,"SPX")&lt;/Q&gt;&lt;R&gt;1&lt;/R&gt;&lt;C&gt;1&lt;/C&gt;&lt;D xsi:type="xsd:double"&gt;1.1064627&lt;/D&gt;&lt;/FQL&gt;&lt;FQL&gt;&lt;Q&gt;CRH-US^P_BETA_LOCIDX(45021,44846,,"SPX")&lt;/Q&gt;&lt;R&gt;1&lt;/R&gt;&lt;C&gt;1&lt;/C&gt;&lt;D xsi:type="xsd:double"&gt;1.178384&lt;/D&gt;&lt;/FQL&gt;&lt;FQL&gt;&lt;Q&gt;CRH-US^P_BETA_LOCIDX(45700,45524,,"SPX")&lt;/Q&gt;&lt;R&gt;1&lt;/R&gt;&lt;C&gt;1&lt;/C&gt;&lt;D xsi:type="xsd:double"&gt;1.0569855&lt;/D&gt;&lt;/FQL&gt;&lt;FQL&gt;&lt;Q&gt;CRH-US^P_BETA_LOCIDX(45600,45426,,"SPX")&lt;/Q&gt;&lt;R&gt;1&lt;/R&gt;&lt;C&gt;1&lt;/C&gt;&lt;D xsi:type="xsd:double"&gt;1.2900577&lt;/D&gt;&lt;/FQL&gt;&lt;FQL&gt;&lt;Q&gt;CRH-US^P_BETA_LOCIDX(45044,44868,,"SPX")&lt;/Q&gt;&lt;R&gt;1&lt;/R&gt;&lt;C&gt;1&lt;/C&gt;&lt;D xsi:type="xsd:double"&gt;1.078693&lt;/D&gt;&lt;/FQL&gt;&lt;FQL&gt;&lt;Q&gt;CRH-US^P_BETA_LOCIDX(45400,45224,,"SPX")&lt;/Q&gt;&lt;R&gt;1&lt;/R&gt;&lt;C&gt;1&lt;/C&gt;&lt;D xsi:type="xsd:double"&gt;1.1470966&lt;/D&gt;&lt;/FQL&gt;&lt;FQL&gt;&lt;Q&gt;CRH-US^P_BETA_LOCIDX(45092,44916,,"SPX")&lt;/Q&gt;&lt;R&gt;1&lt;/R&gt;&lt;C&gt;1&lt;/C&gt;&lt;D xsi:type="xsd:double"&gt;1.0505544&lt;/D&gt;&lt;/FQL&gt;&lt;FQL&gt;&lt;Q&gt;CRH-US^P_BETA_LOCIDX(46009,45841,,"SPX")&lt;/Q&gt;&lt;R&gt;1&lt;/R&gt;&lt;C&gt;1&lt;/C&gt;&lt;D xsi:type="xsd:double"&gt;1.1410084&lt;/D&gt;&lt;/FQL&gt;&lt;FQL&gt;&lt;Q&gt;CRH-US^P_BETA_LOCIDX(45190,45015,,"SPX")&lt;/Q&gt;&lt;R&gt;1&lt;/R&gt;&lt;C&gt;1&lt;/C&gt;&lt;D xsi:type="xsd:double"&gt;1.0550693&lt;/D&gt;&lt;/FQL&gt;&lt;FQL&gt;&lt;Q&gt;CRH-US^P_BETA_LOCIDX(45940,45769,,"SPX")&lt;/Q&gt;&lt;R&gt;1&lt;/R&gt;&lt;C&gt;1&lt;/C&gt;&lt;D xsi:type="xsd:double"&gt;1.3204246&lt;/D&gt;&lt;/FQL&gt;&lt;FQL&gt;&lt;Q&gt;CRH-US^P_BETA_LOCIDX(45133,44958,,"SPX")&lt;/Q&gt;&lt;R&gt;1&lt;/R&gt;&lt;C&gt;1&lt;/C&gt;&lt;D xsi:type="xsd:double"&gt;1.0805902&lt;/D&gt;&lt;/FQL&gt;&lt;FQL&gt;&lt;Q&gt;CRH-US^P_BETA_LOCIDX(46015,45847,,"SPX")&lt;/Q&gt;&lt;R&gt;1&lt;/R&gt;&lt;C&gt;1&lt;/C&gt;&lt;D xsi:type="xsd:double"&gt;1.1078169&lt;/D&gt;&lt;/FQL&gt;&lt;FQL&gt;&lt;Q&gt;CRH-US^P_BETA_LOCIDX(45848,45673,,"SPX")&lt;/Q&gt;&lt;R&gt;1&lt;/R&gt;&lt;C&gt;1&lt;/C&gt;&lt;D xsi:type="xsd:double"&gt;1.2782538&lt;/D&gt;&lt;/FQL&gt;&lt;FQL&gt;&lt;Q&gt;CRH-US^P_BETA_LOCIDX(45869,45695,,"SPX")&lt;/Q&gt;&lt;R&gt;1&lt;/R&gt;&lt;C&gt;1&lt;/C&gt;&lt;D xsi:type="xsd:double"&gt;1.2748377&lt;/D&gt;&lt;/FQL&gt;&lt;FQL&gt;&lt;Q&gt;CRH-US^P_BETA_LOCIDX(45671,45496,,"SPX")&lt;/Q&gt;&lt;R&gt;1&lt;/R&gt;&lt;C&gt;1&lt;/C&gt;&lt;D xsi:type="xsd:double"&gt;1.2178737&lt;/D&gt;&lt;/FQL&gt;&lt;FQL&gt;&lt;Q&gt;CRH-US^P_BETA_LOCIDX(45960,45790,,"SPX")&lt;/Q&gt;&lt;R&gt;1&lt;/R&gt;&lt;C&gt;1&lt;/C&gt;&lt;D xsi:type="xsd:double"&gt;1.1216061&lt;/D&gt;&lt;/FQL&gt;&lt;FQL&gt;&lt;Q&gt;CRH-US^P_BETA_LOCIDX(44974,44799,,"SPX")&lt;/Q&gt;&lt;R&gt;1&lt;/R&gt;&lt;C&gt;1&lt;/C&gt;&lt;D xsi:type="xsd:double"&gt;1.2050666&lt;/D&gt;&lt;/FQL&gt;&lt;FQL&gt;&lt;Q&gt;CRH-US^P_BETA_LOCIDX(45855,45681,,"SPX")&lt;/Q&gt;&lt;R&gt;1&lt;/R&gt;&lt;C&gt;1&lt;/C&gt;&lt;D xsi:type="xsd:double"&gt;1.2709956&lt;/D&gt;&lt;/FQL&gt;&lt;FQL&gt;&lt;Q&gt;CRH-US^P_BETA_LOCIDX(45105,44930,,"SPX")&lt;/Q&gt;&lt;R&gt;1&lt;/R&gt;&lt;C&gt;1&lt;/C&gt;&lt;D xsi:type="xsd:double"&gt;1.0766315&lt;/D&gt;&lt;/FQL&gt;&lt;FQL&gt;&lt;Q&gt;CRH-US^P_BETA_LOCIDX(45978,45806,,"SPX")&lt;/Q&gt;&lt;R&gt;1&lt;/R&gt;&lt;C&gt;1&lt;/C&gt;&lt;D xsi:type="xsd:double"&gt;1.0640669&lt;/D&gt;&lt;/FQL&gt;&lt;FQL&gt;&lt;Q&gt;CRH-US^P_BETA_LOCIDX(45378,45203,,"SPX")&lt;/Q&gt;&lt;R&gt;1&lt;/R&gt;&lt;C&gt;1&lt;/C&gt;&lt;D xsi:type="xsd:double"&gt;1.1743757&lt;/D&gt;&lt;/FQL&gt;&lt;FQL&gt;&lt;Q&gt;CRH-US^P_BETA_LOCIDX(45252,45079,,"SPX")&lt;/Q&gt;&lt;R&gt;1&lt;/R&gt;&lt;C&gt;1&lt;/C&gt;&lt;D xsi:type="xsd:double"&gt;1.1482956&lt;/D&gt;&lt;/FQL&gt;&lt;FQL&gt;&lt;Q&gt;CRH-US^P_BETA_LOCIDX(45681,45505,,"SPX")&lt;/Q&gt;&lt;R&gt;1&lt;/R&gt;&lt;C&gt;1&lt;/C&gt;&lt;D xsi:type="xsd:double"&gt;1.241128&lt;/D&gt;&lt;/FQL&gt;&lt;FQL&gt;&lt;Q&gt;CRH-US^P_BETA_LOCIDX(45007,44832,,"SPX")&lt;/Q&gt;&lt;R&gt;1&lt;/R&gt;&lt;C&gt;1&lt;/C&gt;&lt;D xsi:type="xsd:double"&gt;1.2060325&lt;/D&gt;&lt;/FQL&gt;&lt;FQL&gt;&lt;Q&gt;CRH-US^P_BETA_LOCIDX(45211,45037,,"SPX")&lt;/Q&gt;&lt;R&gt;1&lt;/R&gt;&lt;C&gt;1&lt;/C&gt;&lt;D xsi:type="xsd:double"&gt;1.073059&lt;/D&gt;&lt;/FQL&gt;&lt;FQL&gt;&lt;Q&gt;CRH-US^P_BETA_LOCIDX(46013,45845,,"SPX")&lt;/Q&gt;&lt;R&gt;1&lt;/R&gt;&lt;C&gt;1&lt;/C&gt;&lt;D xsi:type="xsd:double"&gt;1.107492&lt;/D&gt;&lt;/FQL&gt;&lt;FQL&gt;&lt;Q&gt;CRH-US^P_BETA_LOCIDX(45124,44949,,"SPX")&lt;/Q&gt;&lt;R&gt;1&lt;/R&gt;&lt;C&gt;1&lt;/C&gt;&lt;D xsi:type="xsd:double"&gt;1.0721232&lt;/D&gt;&lt;/FQL&gt;&lt;FQL&gt;&lt;Q&gt;CRH-US^P_BETA_LOCIDX(45134,44959,,"SPX")&lt;/Q&gt;&lt;R&gt;1&lt;/R&gt;&lt;C&gt;1&lt;/C&gt;&lt;D xsi:type="xsd:double"&gt;1.0665368&lt;/D&gt;&lt;/FQL&gt;&lt;FQL&gt;&lt;Q&gt;CRH-US^P_BETA_LOCIDX(45895,45722,,"SPX")&lt;/Q&gt;&lt;R&gt;1&lt;/R&gt;&lt;C&gt;1&lt;/C&gt;&lt;D xsi:type="xsd:double"&gt;1.2625364&lt;/D&gt;&lt;/FQL&gt;&lt;FQL&gt;&lt;Q&gt;CRH-US^P_BETA_LOCIDX(45625,45453,,"SPX")&lt;/Q&gt;&lt;R&gt;1&lt;/R&gt;&lt;C&gt;1&lt;/C&gt;&lt;D xsi:type="xsd:double"&gt;1.2603458&lt;/D&gt;&lt;/FQL&gt;&lt;FQL&gt;&lt;Q&gt;CRH-US^P_BETA_LOCIDX(45953,45782,,"SPX")&lt;/Q&gt;&lt;R&gt;1&lt;/R&gt;&lt;C&gt;1&lt;/C&gt;&lt;D xsi:type="xsd:double"&gt;1.2034507&lt;/D&gt;&lt;/FQL&gt;&lt;FQL&gt;&lt;Q&gt;CRH-US^P_BETA_LOCIDX(45099,44923,,"SPX")&lt;/Q&gt;&lt;R&gt;1&lt;/R&gt;&lt;C&gt;1&lt;/C&gt;&lt;D xsi:type="xsd:double"&gt;1.0439327&lt;/D&gt;&lt;/FQL&gt;&lt;FQL&gt;&lt;Q&gt;CRH-US^P_BETA_LOCIDX(46044,45869,,"SPX")&lt;/Q&gt;&lt;R&gt;1&lt;/R&gt;&lt;C&gt;1&lt;/C&gt;&lt;D xsi:type="xsd:double"&gt;1.1968359&lt;/D&gt;&lt;/FQL&gt;&lt;FQL&gt;&lt;Q&gt;CRH-US^P_BETA_LOCIDX(46010,45842,,"SPX")&lt;/Q&gt;&lt;R&gt;1&lt;/R&gt;&lt;C&gt;1&lt;/C&gt;&lt;D xsi:type="xsd:double"&gt;1.0941168&lt;/D&gt;&lt;/FQL&gt;&lt;FQL&gt;&lt;Q&gt;CRH-US^P_BETA_LOCIDX(45959,45789,,"SPX")&lt;/Q&gt;&lt;R&gt;1&lt;/R&gt;&lt;C&gt;1&lt;/C&gt;&lt;D xsi:type="xsd:double"&gt;1.1592863&lt;/D&gt;&lt;/FQL&gt;&lt;FQL&gt;&lt;Q&gt;CRH-US^P_BETA_LOCIDX(45908,45735,,"SPX")&lt;/Q&gt;&lt;R&gt;1&lt;/R&gt;&lt;C&gt;1&lt;/C&gt;&lt;D xsi:type="xsd:double"&gt;1.2339557&lt;/D&gt;&lt;/FQL&gt;&lt;FQL&gt;&lt;Q&gt;CRH-US^P_BETA_LOCIDX(45033,44855,,"SPX")&lt;/Q&gt;&lt;R&gt;1&lt;/R&gt;&lt;C&gt;1&lt;/C&gt;&lt;D xsi:type="xsd:double"&gt;1.1369928&lt;/D&gt;&lt;/FQL&gt;&lt;FQL&gt;&lt;Q&gt;CRH-US^P_BETA_LOCIDX(45366,45191,,"SPX")&lt;/Q&gt;&lt;R&gt;1&lt;/R&gt;&lt;C&gt;1&lt;/C&gt;&lt;D xsi:type="xsd:double"&gt;1.2009146&lt;/D&gt;&lt;/FQL&gt;&lt;FQL&gt;&lt;Q&gt;CRH-US^P_BETA_LOCIDX(44959,44784,,"SPX")&lt;/Q&gt;&lt;R&gt;1&lt;/R&gt;&lt;C&gt;1&lt;/C&gt;&lt;D xsi:type="xsd:double"&gt;1.2051743&lt;/D&gt;&lt;/FQL&gt;&lt;FQL&gt;&lt;Q&gt;CRH-US^P_BETA_LOCIDX(45919,45747,,"SPX")&lt;/Q&gt;&lt;R&gt;1&lt;/R&gt;&lt;C&gt;1&lt;/C&gt;&lt;D xsi:type="xsd:double"&gt;1.1875238&lt;/D&gt;&lt;/FQL&gt;&lt;FQL&gt;&lt;Q&gt;CRH-US^P_BETA_LOCIDX(45876,45702,,"SPX")&lt;/Q&gt;&lt;R&gt;1&lt;/R&gt;&lt;C&gt;1&lt;/C&gt;&lt;D xsi:type="xsd:double"&gt;1.263783&lt;/D&gt;&lt;/FQL&gt;&lt;FQL&gt;&lt;Q&gt;CRH-US^P_BETA_LOCIDX(45891,45720,,"SPX")&lt;/Q&gt;&lt;R&gt;1&lt;/R&gt;&lt;C&gt;1&lt;/C&gt;&lt;D xsi:type="xsd:double"&gt;1.2913039&lt;/D&gt;&lt;/FQL&gt;&lt;FQL&gt;&lt;Q&gt;CRH-US^P_BETA_LOCIDX(46038,45866,,"SPX")&lt;/Q&gt;&lt;R&gt;1&lt;/R&gt;&lt;C&gt;1&lt;/C&gt;&lt;D xsi:type="xsd:double"&gt;1.240099&lt;/D&gt;&lt;/FQL&gt;&lt;FQL&gt;&lt;Q&gt;CRH-US^P_BETA_LOCIDX(45152,44978,,"SPX")&lt;/Q&gt;&lt;R&gt;1&lt;/R&gt;&lt;C&gt;1&lt;/C&gt;&lt;D xsi:type="xsd:double"&gt;1.0488411&lt;/D&gt;&lt;/FQL&gt;&lt;FQL&gt;&lt;Q&gt;CRH-US^P_BETA_LOCIDX(45050,44874,,"SPX")&lt;/Q&gt;&lt;R&gt;1&lt;/R&gt;&lt;C&gt;1&lt;/C&gt;&lt;D xsi:type="xsd:double"&gt;1.0695003&lt;/D&gt;&lt;/FQL&gt;&lt;FQL&gt;&lt;Q&gt;CRH-US^P_BETA_LOCIDX(45135,44960,,"SPX")&lt;/Q&gt;&lt;R&gt;1&lt;/R&gt;&lt;C&gt;1&lt;/C&gt;&lt;D xsi:type="xsd:double"&gt;1.0747455&lt;/D&gt;&lt;/FQL&gt;&lt;FQL&gt;&lt;Q&gt;CRH-US^P_BETA_LOCIDX(45478,45302,,"SPX")&lt;/Q&gt;&lt;R&gt;1&lt;/R&gt;&lt;C&gt;1&lt;/C&gt;&lt;D xsi:type="xsd:double"&gt;1.2169518&lt;/D&gt;&lt;/FQL&gt;&lt;FQL&gt;&lt;Q&gt;CRH-US^P_BETA_LOCIDX(45034,44858,,"SPX")&lt;/Q&gt;&lt;R&gt;1&lt;/R&gt;&lt;C&gt;1&lt;/C&gt;&lt;D xsi:type="xsd:double"&gt;1.1533867&lt;/D&gt;&lt;/FQL&gt;&lt;FQL&gt;&lt;Q&gt;CRH-US^P_BETA_LOCIDX(45385,45209,,"SPX")&lt;/Q&gt;&lt;R&gt;1&lt;/R&gt;&lt;C&gt;1&lt;/C&gt;&lt;D xsi:type="xsd:double"&gt;1.1723015&lt;/D&gt;&lt;/FQL&gt;&lt;FQL&gt;&lt;Q&gt;CRH-US^P_BETA_LOCIDX(44984,44806,,"SPX")&lt;/Q&gt;&lt;R&gt;1&lt;/R&gt;&lt;C&gt;1&lt;/C&gt;&lt;D xsi:type="xsd:double"&gt;1.2149395&lt;/D&gt;&lt;/FQL&gt;&lt;FQL&gt;&lt;Q&gt;CRH-US^P_BETA_LOCIDX(45961,45790,,"SPX")&lt;/Q&gt;&lt;R&gt;1&lt;/R&gt;&lt;C&gt;1&lt;/C&gt;&lt;D xsi:type="xsd:double"&gt;1.1248122&lt;/D&gt;&lt;/FQL&gt;&lt;FQL&gt;&lt;Q&gt;CRH-US^P_BETA_LOCIDX(45562,45390,,"SPX")&lt;/Q&gt;&lt;R&gt;1&lt;/R&gt;&lt;C&gt;1&lt;/C&gt;&lt;D xsi:type="xsd:double"&gt;1.3772471&lt;/D&gt;&lt;/FQL&gt;&lt;FQL&gt;&lt;Q&gt;CRH-US^P_BETA_LOCIDX(46043,45868,,"SPX")&lt;/Q&gt;&lt;R&gt;1&lt;/R&gt;&lt;C&gt;1&lt;/C&gt;&lt;D xsi:type="xsd:double"&gt;1.1830719&lt;/D&gt;&lt;/FQL&gt;&lt;FQL&gt;&lt;Q&gt;CRH-US^P_BETA_LOCIDX(45894,45721,,"SPX")&lt;/Q&gt;&lt;R&gt;1&lt;/R&gt;&lt;C&gt;1&lt;/C&gt;&lt;D xsi:type="xsd:double"&gt;1.2812357&lt;/D&gt;&lt;/FQL&gt;&lt;FQL&gt;&lt;Q&gt;CRH-US^P_BETA_LOCIDX(45790,45611,,"SPX")&lt;/Q&gt;&lt;R&gt;1&lt;/R&gt;&lt;C&gt;1&lt;/C&gt;&lt;D xsi:type="xsd:double"&gt;1.270629&lt;/D&gt;&lt;/FQL&gt;&lt;FQL&gt;&lt;Q&gt;CRH-US^P_BETA_LOCIDX(45954,45784,,"SPX")&lt;/Q&gt;&lt;R&gt;1&lt;/R&gt;&lt;C&gt;1&lt;/C&gt;&lt;D xsi:type="xsd:double"&gt;1.1668383&lt;/D&gt;&lt;/FQL&gt;&lt;FQL&gt;&lt;Q&gt;CRH-US^P_BETA_LOCIDX(45103,44925,,"SPX")&lt;/Q&gt;&lt;R&gt;1&lt;/R&gt;&lt;C&gt;1&lt;/C&gt;&lt;D xsi:type="xsd:double"&gt;1.04547&lt;/D&gt;&lt;/FQL&gt;&lt;FQL&gt;&lt;Q&gt;CRH-US^P_BETA_LOCIDX(45936,45762,,"SPX")&lt;/Q&gt;&lt;R&gt;1&lt;/R&gt;&lt;C&gt;1&lt;/C&gt;&lt;D xsi:type="xsd:double"&gt;1.3114882&lt;/D&gt;&lt;/FQL&gt;&lt;FQL&gt;&lt;Q&gt;CRH-US^P_BETA_LOCIDX(45814,45637,,"SPX")&lt;/Q&gt;&lt;R&gt;1&lt;/R&gt;&lt;C&gt;1&lt;/C&gt;&lt;D xsi:type="xsd:double"&gt;1.2485728&lt;/D&gt;&lt;/FQL&gt;&lt;FQL&gt;&lt;Q&gt;CRH-US^P_BETA_LOCIDX(45020,44845,,"SPX")&lt;/Q&gt;&lt;R&gt;1&lt;/R&gt;&lt;C&gt;1&lt;/C&gt;&lt;D xsi:type="xsd:double"&gt;1.1703464&lt;/D&gt;&lt;/FQL&gt;&lt;FQL&gt;&lt;Q&gt;CRH-US^P_BETA_LOCIDX(45832,45653,,"SPX")&lt;/Q&gt;&lt;R&gt;1&lt;/R&gt;&lt;C&gt;1&lt;/C&gt;&lt;D xsi:type="xsd:double"&gt;1.2685536&lt;/D&gt;&lt;/FQL&gt;&lt;FQL&gt;&lt;Q&gt;CRH-US^P_BETA_LOCIDX(45735,45559,,"SPX")&lt;/Q&gt;&lt;R&gt;1&lt;/R&gt;&lt;C&gt;1&lt;/C&gt;&lt;D xsi:type="xsd:double"&gt;1.3145459&lt;/D&gt;&lt;/FQL&gt;&lt;FQL&gt;&lt;Q&gt;CRH-US^P_BETA_LOCIDX(45196,45021,,"SPX")&lt;/Q&gt;&lt;R&gt;1&lt;/R&gt;&lt;C&gt;1&lt;/C&gt;&lt;D xsi:type="xsd:double"&gt;1.0376799&lt;/D&gt;&lt;/FQL&gt;&lt;FQL&gt;&lt;Q&gt;CRH-US^P_BETA_LOCIDX(45902,45729,,"SPX")&lt;/Q&gt;&lt;R&gt;1&lt;/R&gt;&lt;C&gt;1&lt;/C&gt;&lt;D xsi:type="xsd:double"&gt;1.2502292&lt;/D&gt;&lt;/FQL&gt;&lt;FQL&gt;&lt;Q&gt;CRH-US^P_BETA_LOCIDX(45770,45593,,"SPX")&lt;/Q&gt;&lt;R&gt;1&lt;/R&gt;&lt;C&gt;1&lt;/C&gt;&lt;D xsi:type="xsd:double"&gt;1.2423481&lt;/D&gt;&lt;/FQL&gt;&lt;FQL&gt;&lt;Q&gt;CRH-US^P_BETA_LOCIDX(45261,45089,,"SPX")&lt;/Q&gt;&lt;R&gt;1&lt;/R&gt;&lt;C&gt;1&lt;/C&gt;&lt;D xsi:type="xsd:double"&gt;1.158936&lt;/D&gt;&lt;/FQL&gt;&lt;FQL&gt;&lt;Q&gt;CRH-US^P_BETA_LOCIDX(45721,45545,,"SPX")&lt;/Q&gt;&lt;R&gt;1&lt;/R&gt;&lt;C&gt;1&lt;/C&gt;&lt;D xsi:type="xsd:double"&gt;1.2304136&lt;/D&gt;&lt;/FQL&gt;&lt;FQL&gt;&lt;Q&gt;CRH-US^P_BETA_LOCIDX(45491,45316,,"SPX")&lt;/Q&gt;&lt;R&gt;1&lt;/R&gt;&lt;C&gt;1&lt;/C&gt;&lt;D xsi:type="xsd:double"&gt;1.1958573&lt;/D&gt;&lt;/FQL&gt;&lt;FQL&gt;&lt;Q&gt;CRH-US^P_BETA_LOCIDX(45572,45398,,"SPX")&lt;/Q&gt;&lt;R&gt;1&lt;/R&gt;&lt;C&gt;1&lt;/C&gt;&lt;D xsi:type="xsd:double"&gt;1.3880974&lt;/D&gt;&lt;/FQL&gt;&lt;FQL&gt;&lt;Q&gt;CRH-US^P_BETA_LOCIDX(45688,45512,,"SPX")&lt;/Q&gt;&lt;R&gt;1&lt;/R&gt;&lt;C&gt;1&lt;/C&gt;&lt;D xsi:type="xsd:double"&gt;1.170132&lt;/D&gt;&lt;/FQL&gt;&lt;FQL&gt;&lt;Q&gt;CRH-US^P_BETA_LOCIDX(45763,45587,,"SPX")&lt;/Q&gt;&lt;R&gt;1&lt;/R&gt;&lt;C&gt;1&lt;/C&gt;&lt;D xsi:type="xsd:double"&gt;1.2408952&lt;/D&gt;&lt;/FQL&gt;&lt;FQL&gt;&lt;Q&gt;CRH-US^P_BETA_LOCIDX(45686,45510,,"SPX")&lt;/Q&gt;&lt;R&gt;1&lt;/R&gt;&lt;C&gt;1&lt;/C&gt;&lt;D xsi:type="xsd:double"&gt;1.1943549&lt;/D&gt;&lt;/FQL&gt;&lt;FQL&gt;&lt;Q&gt;CRH-US^P_BETA_LOCIDX(45177,45002,,"SPX")&lt;/Q&gt;&lt;R&gt;1&lt;/R&gt;&lt;C&gt;1&lt;/C&gt;&lt;D xsi:type="xsd:double"&gt;1.000398&lt;/D&gt;&lt;/FQL&gt;&lt;FQL&gt;&lt;Q&gt;CRH-US^P_BETA_LOCIDX(45397,45219,,"SPX")&lt;/Q&gt;&lt;R&gt;1&lt;/R&gt;&lt;C&gt;1&lt;/C&gt;&lt;D xsi:type="xsd:double"&gt;1.0695499&lt;/D&gt;&lt;/FQL&gt;&lt;FQL&gt;&lt;Q&gt;CRH-US^P_BETA_LOCIDX(45841,45665,,"SPX")&lt;/Q&gt;&lt;R&gt;1&lt;/R&gt;&lt;C&gt;1&lt;/C&gt;&lt;D xsi:type="xsd:double"&gt;1.2775475&lt;/D&gt;&lt;/FQL&gt;&lt;FQL&gt;&lt;Q&gt;CRH-US^P_BETA_LOCIDX(45938,45764,,"SPX")&lt;/Q&gt;&lt;R&gt;1&lt;/R&gt;&lt;C&gt;1&lt;/C&gt;&lt;D xsi:type="xsd:double"&gt;1.3919513&lt;/D&gt;&lt;/FQL&gt;&lt;FQL&gt;&lt;Q&gt;CRH-US^P_BETA_LOCIDX(45042,44866,,"SPX")&lt;/Q&gt;&lt;R&gt;1&lt;/R&gt;&lt;C&gt;1&lt;/C&gt;&lt;D xsi:type="xsd:double"&gt;1.1274925&lt;/D&gt;&lt;/FQL&gt;&lt;FQL&gt;&lt;Q&gt;CRH-US^P_BETA_LOCIDX(45951,45778,,"SPX")&lt;/Q&gt;&lt;R&gt;1&lt;/R&gt;&lt;C&gt;1&lt;/C&gt;&lt;D xsi:type="xsd:double"&gt;1.2111359&lt;/D&gt;&lt;/FQL&gt;&lt;FQL&gt;&lt;Q&gt;CRH-US^P_BETA_LOCIDX(45169,44995,,"SPX")&lt;/Q&gt;&lt;R&gt;1&lt;/R&gt;&lt;C&gt;1&lt;/C&gt;&lt;D xsi:type="xsd:double"&gt;1.0466709&lt;/D&gt;&lt;/FQL&gt;&lt;FQL&gt;&lt;Q&gt;CRH-US^P_BETA_LOCIDX(45279,45106,,"SPX")&lt;/Q&gt;&lt;R&gt;1&lt;/R&gt;&lt;C&gt;1&lt;/C&gt;&lt;D xsi:type="xsd:double"&gt;1.2142689&lt;/D&gt;&lt;/FQL&gt;&lt;FQL&gt;&lt;Q&gt;CRH-US^P_BETA_LOCIDX(45629,45455,,"SPX")&lt;/Q&gt;&lt;R&gt;1&lt;/R&gt;&lt;C&gt;1&lt;/C&gt;&lt;D xsi:type="xsd:double"&gt;1.2610521&lt;/D&gt;&lt;/FQL&gt;&lt;FQL&gt;&lt;Q&gt;CRH-US^P_BETA_LOCIDX(45716,45540,,"SPX")&lt;/Q&gt;&lt;R&gt;1&lt;/R&gt;&lt;C&gt;1&lt;/C&gt;&lt;D xsi:type="xsd:double"&gt;1.0053046&lt;/D&gt;&lt;/FQL&gt;&lt;FQL&gt;&lt;Q&gt;CRH-US^P_BETA_LOCIDX(44963,44788,,"SPX")&lt;/Q&gt;&lt;R&gt;1&lt;/R&gt;&lt;C&gt;1&lt;/C&gt;&lt;D xsi:type="xsd:double"&gt;1.2231069&lt;/D&gt;&lt;/FQL&gt;&lt;FQL&gt;&lt;Q&gt;CRH-US^P_BETA_LOCIDX(44973,44798,,"SPX")&lt;/Q&gt;&lt;R&gt;1&lt;/R&gt;&lt;C&gt;1&lt;/C&gt;&lt;D xsi:type="xsd:double"&gt;1.2148652&lt;/D&gt;&lt;/FQL&gt;&lt;FQL&gt;&lt;Q&gt;CRH-US^P_BETA_LOCIDX(45125,44950,,"SPX")&lt;/Q&gt;&lt;R&gt;1&lt;/R&gt;&lt;C&gt;1&lt;/C&gt;&lt;D xsi:type="xsd:double"&gt;1.0816295&lt;/D&gt;&lt;/FQL&gt;&lt;FQL&gt;&lt;Q&gt;CRH-US^P_BETA_LOCIDX(45904,45733,,"SPX")&lt;/Q&gt;&lt;R&gt;1&lt;/R&gt;&lt;C&gt;1&lt;/C&gt;&lt;D xsi:type="xsd:double"&gt;1.2346036&lt;/D&gt;&lt;/FQL&gt;&lt;FQL&gt;&lt;Q&gt;CRH-US^P_BETA_LOCIDX(45638,45467,,"SPX")&lt;/Q&gt;&lt;R&gt;1&lt;/R&gt;&lt;C&gt;1&lt;/C&gt;&lt;D xsi:type="xsd:double"&gt;1.2389534&lt;/D&gt;&lt;/FQL&gt;&lt;FQL&gt;&lt;Q&gt;CRH-US^P_BETA_LOCIDX(45055,44879,,"SPX")&lt;/Q&gt;&lt;R&gt;1&lt;/R&gt;&lt;C&gt;1&lt;/C&gt;&lt;D xsi:type="xsd:double"&gt;0.96355635&lt;/D&gt;&lt;/FQL&gt;&lt;FQL&gt;&lt;Q&gt;CRH-US^P_BETA_LOCIDX(45355,45180,,"SPX")&lt;/Q&gt;&lt;R&gt;1&lt;/R&gt;&lt;C&gt;1&lt;/C&gt;&lt;D xsi:type="xsd:double"&gt;1.1853461&lt;/D&gt;&lt;/FQL&gt;&lt;FQL&gt;&lt;Q&gt;CRH-US^P_BETA_LOCIDX(45359,45184,,"SPX")&lt;/Q&gt;&lt;R&gt;1&lt;/R&gt;&lt;C&gt;1&lt;/C&gt;&lt;D xsi:type="xsd:double"&gt;1.177443&lt;/D&gt;&lt;/FQL&gt;&lt;FQL&gt;&lt;Q&gt;CRH-US^P_BETA_LOCIDX(45153,44979,,"SPX")&lt;/Q&gt;&lt;R&gt;1&lt;/R&gt;&lt;C&gt;1&lt;/C&gt;&lt;D xsi:type="xsd:double"&gt;1.0812668&lt;/D&gt;&lt;/FQL&gt;&lt;FQL&gt;&lt;Q&gt;CRH-US^P_BETA_LOCIDX(45357,45182,,"SPX")&lt;/Q&gt;&lt;R&gt;1&lt;/R&gt;&lt;C&gt;1&lt;/C&gt;&lt;D xsi:type="xsd:double"&gt;1.205291&lt;/D&gt;&lt;/FQL&gt;&lt;FQL&gt;&lt;Q&gt;CRH-US^P_BETA_LOCIDX(45393,45217,,"SPX")&lt;/Q&gt;&lt;R&gt;1&lt;/R&gt;&lt;C&gt;1&lt;/C&gt;&lt;D xsi:type="xsd:double"&gt;1.1273607&lt;/D&gt;&lt;/FQL&gt;&lt;FQL&gt;&lt;Q&gt;CRH-US^P_BETA_LOCIDX(45446,45268,,"SPX")&lt;/Q&gt;&lt;R&gt;1&lt;/R&gt;&lt;C&gt;1&lt;/C&gt;&lt;D xsi:type="xsd:double"&gt;1.2753972&lt;/D&gt;&lt;/FQL&gt;&lt;FQL&gt;&lt;Q&gt;CRH-US^P_BETA_LOCIDX(45260,45086,,"SPX")&lt;/Q&gt;&lt;R&gt;1&lt;/R&gt;&lt;C&gt;1&lt;/C&gt;&lt;D xsi:type="xsd:double"&gt;1.1416739&lt;/D&gt;&lt;/FQL&gt;&lt;FQL&gt;&lt;Q&gt;CRH-US^P_BETA_LOCIDX(45804,45625,,"SPX")&lt;/Q&gt;&lt;R&gt;1&lt;/R&gt;&lt;C&gt;1&lt;/C&gt;&lt;D xsi:type="xsd:double"&gt;1.2610774&lt;/D&gt;&lt;/FQL&gt;&lt;FQL&gt;&lt;Q&gt;CRH-US^P_BETA_LOCIDX(45243,45069,,"SPX")&lt;/Q&gt;&lt;R&gt;1&lt;/R&gt;&lt;C&gt;1&lt;/C&gt;&lt;D xsi:type="xsd:double"&gt;1.2652432&lt;/D&gt;&lt;/FQL&gt;&lt;FQL&gt;&lt;Q&gt;CRH-US^P_BETA_LOCIDX(45449,45273,,"SPX")&lt;/Q&gt;&lt;R&gt;1&lt;/R&gt;&lt;C&gt;1&lt;/C&gt;&lt;D xsi:type="xsd:double"&gt;1.2799757&lt;/D&gt;&lt;/FQL&gt;&lt;FQL&gt;&lt;Q&gt;CRH-US^P_BETA_LOCIDX(45069,44894,,"SPX")&lt;/Q&gt;&lt;R&gt;1&lt;/R&gt;&lt;C&gt;1&lt;/C&gt;&lt;D xsi:type="xsd:double"&gt;0.9494421&lt;/D&gt;&lt;/FQL&gt;&lt;FQL&gt;&lt;Q&gt;CRH-US^P_BETA_LOCIDX(45141,44966,,"SPX")&lt;/Q&gt;&lt;R&gt;1&lt;/R&gt;&lt;C&gt;1&lt;/C&gt;&lt;D xsi:type="xsd:double"&gt;1.0553287&lt;/D&gt;&lt;/FQL&gt;&lt;FQL&gt;&lt;Q&gt;CRH-US^P_BETA_LOCIDX(45201,45027,,"SPX")&lt;/Q&gt;&lt;R&gt;1&lt;/R&gt;&lt;C&gt;1&lt;/C&gt;&lt;D xsi:type="xsd:double"&gt;1.0076528&lt;/D&gt;&lt;/FQL&gt;&lt;FQL&gt;&lt;Q&gt;CRH-US^P_BETA_LOCIDX(45313,45138,,"SPX")&lt;/Q&gt;&lt;R&gt;1&lt;/R&gt;&lt;C&gt;1&lt;/C&gt;&lt;D xsi:type="xsd:double"&gt;1.2476798&lt;/D&gt;&lt;/FQL&gt;&lt;FQL&gt;&lt;Q&gt;CRH-US^P_BETA_LOCIDX(45679,45503,,"SPX")&lt;/Q&gt;&lt;R&gt;1&lt;/R&gt;&lt;C&gt;1&lt;/C&gt;&lt;D xsi:type="xsd:double"&gt;1.232695&lt;/D&gt;&lt;/FQL&gt;&lt;FQL&gt;&lt;Q&gt;CRH-US^P_BETA_LOCIDX(45903,45730,,"SPX")&lt;/Q&gt;&lt;R&gt;1&lt;/R&gt;&lt;C&gt;1&lt;/C&gt;&lt;D xsi:type="xsd:double"&gt;1.2376868&lt;/D&gt;&lt;/FQL&gt;&lt;FQL&gt;&lt;Q&gt;CRH-US^P_BETA_LOCIDX(45309,45134,,"SPX")&lt;/Q&gt;&lt;R&gt;1&lt;/R&gt;&lt;C&gt;1&lt;/C&gt;&lt;D xsi:type="xsd:double"&gt;1.2525743&lt;/D&gt;&lt;/FQL&gt;&lt;FQL&gt;&lt;Q&gt;CRH-US^P_BETA_LOCIDX(45043,44867,,"SPX")&lt;/Q&gt;&lt;R&gt;1&lt;/R&gt;&lt;C&gt;1&lt;/C&gt;&lt;D xsi:type="xsd:double"&gt;1.1090306&lt;/D&gt;&lt;/FQL&gt;&lt;FQL&gt;&lt;Q&gt;CRH-US^P_BETA_LOCIDX(45785,45608,,"SPX")&lt;/Q&gt;&lt;R&gt;1&lt;/R&gt;&lt;C&gt;1&lt;/C&gt;&lt;D xsi:type="xsd:double"&gt;1.2705206&lt;/D&gt;&lt;/FQL&gt;&lt;FQL&gt;&lt;Q&gt;CRH-US^P_BETA_LOCIDX(45867,45693,,"SPX")&lt;/Q&gt;&lt;R&gt;1&lt;/R&gt;&lt;C&gt;1&lt;/C&gt;&lt;D xsi:type="xsd:double"&gt;1.2804394&lt;/D&gt;&lt;/FQL&gt;&lt;FQL&gt;&lt;Q&gt;CRH-US^P_BETA_LOCIDX(45580,45406,,"SPX")&lt;/Q&gt;&lt;R&gt;1&lt;/R&gt;&lt;C&gt;1&lt;/C&gt;&lt;D xsi:type="xsd:double"&gt;1.3667758&lt;/D&gt;&lt;/FQL&gt;&lt;FQL&gt;&lt;Q&gt;CRH-US^P_BETA_LOCIDX(45180,45005,,"SPX")&lt;/Q&gt;&lt;R&gt;1&lt;/R&gt;&lt;C&gt;1&lt;/C&gt;&lt;D xsi:type="xsd:double"&gt;0.98278624&lt;/D&gt;&lt;/FQL&gt;&lt;FQL&gt;&lt;Q&gt;CRH-US^P_BETA_LOCIDX(45204,45030,,"SPX")&lt;/Q&gt;&lt;R&gt;1&lt;/R&gt;&lt;C&gt;1&lt;/C&gt;&lt;D xsi:type="xsd:double"&gt;1.0265663&lt;/D&gt;&lt;/FQL&gt;&lt;FQL&gt;&lt;Q&gt;CRH-US^P_BETA_LOCIDX(45229,45055,,"SPX")&lt;/Q&gt;&lt;R&gt;1&lt;/R&gt;&lt;C&gt;1&lt;/C&gt;&lt;D xsi:type="xsd:double"&gt;1.2485715&lt;/D&gt;&lt;/FQL&gt;&lt;FQL&gt;&lt;Q&gt;CRH-US^P_BETA_LOCIDX(45950,45777,,"SPX")&lt;/Q&gt;&lt;R&gt;1&lt;/R&gt;&lt;C&gt;1&lt;/C&gt;&lt;D xsi:type="xsd:double"&gt;1.2124856&lt;/D&gt;&lt;/FQL&gt;&lt;FQL&gt;&lt;Q&gt;CRH-US^P_BETA_LOCIDX(45419,45243,,"SPX")&lt;/Q&gt;&lt;R&gt;1&lt;/R&gt;&lt;C&gt;1&lt;/C&gt;&lt;D xsi:type="xsd:double"&gt;1.1380119&lt;/D&gt;&lt;/FQL&gt;&lt;FQL&gt;&lt;Q&gt;CRH-US^P_BETA_LOCIDX(46037,45863,,"SPX")&lt;/Q&gt;&lt;R&gt;1&lt;/R&gt;&lt;C&gt;1&lt;/C&gt;&lt;D xsi:type="xsd:double"&gt;1.2542275&lt;/D&gt;&lt;/FQL&gt;&lt;FQL&gt;&lt;Q&gt;CRH-US^P_BETA_LOCIDX(44964,44789,,"SPX")&lt;/Q&gt;&lt;R&gt;1&lt;/R&gt;&lt;C&gt;1&lt;/C&gt;&lt;D xsi:type="xsd:double"&gt;1.2235464&lt;/D&gt;&lt;/FQL&gt;&lt;FQL&gt;&lt;Q&gt;CRH-US^P_BETA_LOCIDX(45839,45663,,"SPX")&lt;/Q&gt;&lt;R&gt;1&lt;/R&gt;&lt;C&gt;1&lt;/C&gt;&lt;D xsi:type="xsd:double"&gt;1.2772586&lt;/D&gt;&lt;/FQL&gt;&lt;FQL&gt;&lt;Q&gt;CRH-US^P_BETA_LOCIDX(45140,44965,,"SPX")&lt;/Q&gt;&lt;R&gt;1&lt;/R&gt;&lt;C&gt;1&lt;/C&gt;&lt;D xsi:type="xsd:double"&gt;1.054042&lt;/D&gt;&lt;/FQL&gt;&lt;FQL&gt;&lt;Q&gt;CRH-US^P_BETA_LOCIDX(45327,45152,,"SPX")&lt;/Q&gt;&lt;R&gt;1&lt;/R&gt;&lt;C&gt;1&lt;/C&gt;&lt;D xsi:type="xsd:double"&gt;1.2012508&lt;/D&gt;&lt;/FQL&gt;&lt;FQL&gt;&lt;Q&gt;CRH-US^P_BETA_LOCIDX(45335,45160,,"SPX")&lt;/Q&gt;&lt;R&gt;1&lt;/R&gt;&lt;C&gt;1&lt;/C&gt;&lt;D xsi:type="xsd:double"&gt;1.2124374&lt;/D&gt;&lt;/FQL&gt;&lt;FQL&gt;&lt;Q&gt;CRH-US^P_BETA_LOCIDX(45440,45264,,"SPX")&lt;/Q&gt;&lt;R&gt;1&lt;/R&gt;&lt;C&gt;1&lt;/C&gt;&lt;D xsi:type="xsd:double"&gt;1.3147686&lt;/D&gt;&lt;/FQL&gt;&lt;FQL&gt;&lt;Q&gt;CRH-US^P_BETA_LOCIDX(45226,45054,,"SPX")&lt;/Q&gt;&lt;R&gt;1&lt;/R&gt;&lt;C&gt;1&lt;/C&gt;&lt;D xsi:type="xsd:double"&gt;1.2365043&lt;/D&gt;&lt;/FQL&gt;&lt;FQL&gt;&lt;Q&gt;CRH-US^P_BETA_LOCIDX(44972,44797,,"SPX")&lt;/Q&gt;&lt;R&gt;1&lt;/R&gt;&lt;C&gt;1&lt;/C&gt;&lt;D xsi:type="xsd:double"&gt;1.2109053&lt;/D&gt;&lt;/FQL&gt;&lt;FQL&gt;&lt;Q&gt;CRH-US^P_BETA_LOCIDX(46031,45859,,"SPX")&lt;/Q&gt;&lt;R&gt;1&lt;/R&gt;&lt;C&gt;1&lt;/C&gt;&lt;D xsi:type="xsd:double"&gt;1.2020928&lt;/D&gt;&lt;/FQL&gt;&lt;FQL&gt;&lt;Q&gt;CRH-US^P_BETA_LOCIDX(45791,45614,,"SPX")&lt;/Q&gt;&lt;R&gt;1&lt;/R&gt;&lt;C&gt;1&lt;/C&gt;&lt;D xsi:type="xsd:double"&gt;1.2707672&lt;/D&gt;&lt;/FQL&gt;&lt;FQL&gt;&lt;Q&gt;CRH-US^P_BETA_LOCIDX(45197,45022,,"SPX")&lt;/Q&gt;&lt;R&gt;1&lt;/R&gt;&lt;C&gt;1&lt;/C&gt;&lt;D xsi:type="xsd:double"&gt;1.000379&lt;/D&gt;&lt;/FQL&gt;&lt;FQL&gt;&lt;Q&gt;CRH-US^P_BETA_LOCIDX(45028,44852,,"SPX")&lt;/Q&gt;&lt;R&gt;1&lt;/R&gt;&lt;C&gt;1&lt;/C&gt;&lt;D xsi:type="xsd:double"&gt;1.1426725&lt;/D&gt;&lt;/FQL&gt;&lt;FQL&gt;&lt;Q&gt;CRH-US^P_BETA_LOCIDX(45454,45278,,"SPX")&lt;/Q&gt;&lt;R&gt;1&lt;/R&gt;&lt;C&gt;1&lt;/C&gt;&lt;D xsi:type="xsd:double"&gt;1.2637664&lt;/D&gt;&lt;/FQL&gt;&lt;FQL&gt;&lt;Q&gt;CRH-US^P_BETA_LOCIDX(45728,45552,,"SPX")&lt;/Q&gt;&lt;R&gt;1&lt;/R&gt;&lt;C&gt;1&lt;/C&gt;&lt;D xsi:type="xsd:double"&gt;1.2837346&lt;/D&gt;&lt;/FQL&gt;&lt;FQL&gt;&lt;Q&gt;CRH-US^P_BETA_LOCIDX(45915,45741,,"SPX")&lt;/Q&gt;&lt;R&gt;1&lt;/R&gt;&lt;C&gt;1&lt;/C&gt;&lt;D xsi:type="xsd:double"&gt;1.2209971&lt;/D&gt;&lt;/FQL&gt;&lt;FQL&gt;&lt;Q&gt;CRH-US^P_BETA_LOCIDX(45630,45456,,"SPX")&lt;/Q&gt;&lt;R&gt;1&lt;/R&gt;&lt;C&gt;1&lt;/C&gt;&lt;D xsi:type="xsd:double"&gt;1.2546688&lt;/D&gt;&lt;/FQL&gt;&lt;FQL&gt;&lt;Q&gt;CRH-US^P_BETA_LOCIDX(45567,45393,,"SPX")&lt;/Q&gt;&lt;R&gt;1&lt;/R&gt;&lt;C&gt;1&lt;/C&gt;&lt;D xsi:type="xsd:double"&gt;1.3946474&lt;/D&gt;&lt;/FQL&gt;&lt;FQL&gt;&lt;Q&gt;CRH-US^P_BETA_LOCIDX(45182,45007,,"SPX")&lt;/Q&gt;&lt;R&gt;1&lt;/R&gt;&lt;C&gt;1&lt;/C&gt;&lt;D xsi:type="xsd:double"&gt;0.9570064&lt;/D&gt;&lt;/FQL&gt;&lt;FQL&gt;&lt;Q&gt;CRH-US^P_BETA_LOCIDX(45520,45348,,"SPX")&lt;/Q&gt;&lt;R&gt;1&lt;/R&gt;&lt;C&gt;1&lt;/C&gt;&lt;D xsi:type="xsd:double"&gt;1.4659654&lt;/D&gt;&lt;/FQL&gt;&lt;FQL&gt;&lt;Q&gt;CRH-US^P_BETA_LOCIDX(45434,45259,,"SPX")&lt;/Q&gt;&lt;R&gt;1&lt;/R&gt;&lt;C&gt;1&lt;/C&gt;&lt;D xsi:type="xsd:double"&gt;1.3258418&lt;/D&gt;&lt;/FQL&gt;&lt;FQL&gt;&lt;Q&gt;CRH-US^P_BETA_LOCIDX(45170,44998,,"SPX")&lt;/Q&gt;&lt;R&gt;1&lt;/R&gt;&lt;C&gt;1&lt;/C&gt;&lt;D xsi:type="xsd:double"&gt;1.0499427&lt;/D&gt;&lt;/FQL&gt;&lt;FQL&gt;&lt;Q&gt;CRH-US^P_BETA_LOCIDX(45525,45351,,"SPX")&lt;/Q&gt;&lt;R&gt;1&lt;/R&gt;&lt;C&gt;1&lt;/C&gt;&lt;D xsi:type="xsd:double"&gt;1.4785701&lt;/D&gt;&lt;/FQL&gt;&lt;FQL&gt;&lt;Q&gt;CRH-US^P_BETA_LOCIDX(45996,45828,,"SPX")&lt;/Q&gt;&lt;R&gt;1&lt;/R&gt;&lt;C&gt;1&lt;/C&gt;&lt;D xsi:type="xsd:double"&gt;1.1523645&lt;/D&gt;&lt;/FQL&gt;&lt;FQL&gt;&lt;Q&gt;CRH-US^P_BETA_LOCIDX(45706,45527,,"SPX")&lt;/Q&gt;&lt;R&gt;1&lt;/R&gt;&lt;C&gt;1&lt;/C&gt;&lt;D xsi:type="xsd:double"&gt;1.0859075&lt;/D&gt;&lt;/FQL&gt;&lt;FQL&gt;&lt;Q&gt;CRH-US^P_BETA_LOCIDX(45923,45749,,"SPX")&lt;/Q&gt;&lt;R&gt;1&lt;/R&gt;&lt;C&gt;1&lt;/C&gt;&lt;D xsi:type="xsd:double"&gt;1.1893994&lt;/D&gt;&lt;/FQL&gt;&lt;FQL&gt;&lt;Q&gt;CRH-US^P_BETA_LOCIDX(45992,45819,,"SPX")&lt;/Q&gt;&lt;R&gt;1&lt;/R&gt;&lt;C&gt;1&lt;/C&gt;&lt;D xsi:type="xsd:double"&gt;1.1936033&lt;/D&gt;&lt;/FQL&gt;&lt;FQL&gt;&lt;Q&gt;CRH-US^P_BETA_LOCIDX(45370,45195,,"SPX")&lt;/Q&gt;&lt;R&gt;1&lt;/R&gt;&lt;C&gt;1&lt;/C&gt;&lt;D xsi:type="xsd:double"&gt;1.202607</t>
        </r>
      </text>
    </comment>
    <comment ref="A10" authorId="0" shapeId="0" xr:uid="{0DD9DF96-CAA1-459D-B045-C7FF6B5A5D58}">
      <text>
        <r>
          <rPr>
            <b/>
            <sz val="9"/>
            <color indexed="81"/>
            <rFont val="Tahoma"/>
            <charset val="1"/>
          </rPr>
          <t>9&lt;/D&gt;&lt;/FQL&gt;&lt;FQL&gt;&lt;Q&gt;CRH-US^P_BETA_LOCIDX(46013,45841,,"SPX")&lt;/Q&gt;&lt;R&gt;1&lt;/R&gt;&lt;C&gt;1&lt;/C&gt;&lt;D xsi:type="xsd:double"&gt;1.0997784&lt;/D&gt;&lt;/FQL&gt;&lt;FQL&gt;&lt;Q&gt;CRH-US^P_BETA_LOCIDX(45733,45555,,"SPX")&lt;/Q&gt;&lt;R&gt;1&lt;/R&gt;&lt;C&gt;1&lt;/C&gt;&lt;D xsi:type="xsd:double"&gt;1.2961973&lt;/D&gt;&lt;/FQL&gt;&lt;FQL&gt;&lt;Q&gt;CRH-US^P_BETA_LOCIDX(45818,45639,,"SPX")&lt;/Q&gt;&lt;R&gt;1&lt;/R&gt;&lt;C&gt;1&lt;/C&gt;&lt;D xsi:type="xsd:double"&gt;1.2514861&lt;/D&gt;&lt;/FQL&gt;&lt;FQL&gt;&lt;Q&gt;CRH-US^P_BETA_LOCIDX(45239,45065,,"SPX")&lt;/Q&gt;&lt;R&gt;1&lt;/R&gt;&lt;C&gt;1&lt;/C&gt;&lt;D xsi:type="xsd:double"&gt;1.2537434&lt;/D&gt;&lt;/FQL&gt;&lt;FQL&gt;&lt;Q&gt;CRH-US^P_BETA_LOCIDX(45049,44873,,"SPX")&lt;/Q&gt;&lt;R&gt;1&lt;/R&gt;&lt;C&gt;1&lt;/C&gt;&lt;D xsi:type="xsd:double"&gt;1.0756124&lt;/D&gt;&lt;/FQL&gt;&lt;FQL&gt;&lt;Q&gt;CRH-US^P_BETA_LOCIDX(45736,45560,,"SPX")&lt;/Q&gt;&lt;R&gt;1&lt;/R&gt;&lt;C&gt;1&lt;/C&gt;&lt;D xsi:type="xsd:double"&gt;1.3192586&lt;/D&gt;&lt;/FQL&gt;&lt;FQL&gt;&lt;Q&gt;CRH-US^P_BETA_LOCIDX(46007,45839,,"SPX")&lt;/Q&gt;&lt;R&gt;1&lt;/R&gt;&lt;C&gt;1&lt;/C&gt;&lt;D xsi:type="xsd:double"&gt;1.0666536&lt;/D&gt;&lt;/FQL&gt;&lt;FQL&gt;&lt;Q&gt;CRH-US^P_BETA_LOCIDX(45943,45771,,"SPX")&lt;/Q&gt;&lt;R&gt;1&lt;/R&gt;&lt;C&gt;1&lt;/C&gt;&lt;D xsi:type="xsd:double"&gt;1.2879112&lt;/D&gt;&lt;/FQL&gt;&lt;FQL&gt;&lt;Q&gt;CRH-US^P_BETA_LOCIDX(45999,45831,,"SPX")&lt;/Q&gt;&lt;R&gt;1&lt;/R&gt;&lt;C&gt;1&lt;/C&gt;&lt;D xsi:type="xsd:double"&gt;1.0951933&lt;/D&gt;&lt;/FQL&gt;&lt;FQL&gt;&lt;Q&gt;CRH-US^P_BETA_LOCIDX(45994,45825,,"SPX")&lt;/Q&gt;&lt;R&gt;1&lt;/R&gt;&lt;C&gt;1&lt;/C&gt;&lt;D xsi:type="xsd:double"&gt;1.1561034&lt;/D&gt;&lt;/FQL&gt;&lt;FQL&gt;&lt;Q&gt;CRH-US^P_BETA_LOCIDX(45916,45742,,"SPX")&lt;/Q&gt;&lt;R&gt;1&lt;/R&gt;&lt;C&gt;1&lt;/C&gt;&lt;D xsi:type="xsd:double"&gt;1.221424&lt;/D&gt;&lt;/FQL&gt;&lt;FQL&gt;&lt;Q&gt;CRH-US^P_BETA_LOCIDX(45406,45230,,"SPX")&lt;/Q&gt;&lt;R&gt;1&lt;/R&gt;&lt;C&gt;1&lt;/C&gt;&lt;D xsi:type="xsd:double"&gt;1.0985289&lt;/D&gt;&lt;/FQL&gt;&lt;FQL&gt;&lt;Q&gt;CRH-US^P_BETA_LOCIDX(45401,45225,,"SPX")&lt;/Q&gt;&lt;R&gt;1&lt;/R&gt;&lt;C&gt;1&lt;/C&gt;&lt;D xsi:type="xsd:double"&gt;1.1291672&lt;/D&gt;&lt;/FQL&gt;&lt;FQL&gt;&lt;Q&gt;CRH-US^P_BETA_LOCIDX(45799,45622,,"SPX")&lt;/Q&gt;&lt;R&gt;1&lt;/R&gt;&lt;C&gt;1&lt;/C&gt;&lt;D xsi:type="xsd:double"&gt;1.2693324&lt;/D&gt;&lt;/FQL&gt;&lt;FQL&gt;&lt;Q&gt;CRH-US^P_BETA_LOCIDX(45289,45118,,"SPX")&lt;/Q&gt;&lt;R&gt;1&lt;/R&gt;&lt;C&gt;1&lt;/C&gt;&lt;D xsi:type="xsd:double"&gt;1.1997889&lt;/D&gt;&lt;/FQL&gt;&lt;FQL&gt;&lt;Q&gt;CRH-US^P_BETA_LOCIDX(45993,45820,,"SPX")&lt;/Q&gt;&lt;R&gt;1&lt;/R&gt;&lt;C&gt;1&lt;/C&gt;&lt;D xsi:type="xsd:double"&gt;1.1792523&lt;/D&gt;&lt;/FQL&gt;&lt;FQL&gt;&lt;Q&gt;CRH-US^P_BETA_LOCIDX(45953,45783,,"SPX")&lt;/Q&gt;&lt;R&gt;1&lt;/R&gt;&lt;C&gt;1&lt;/C&gt;&lt;D xsi:type="xsd:double"&gt;1.2102294&lt;/D&gt;&lt;/FQL&gt;&lt;FQL&gt;&lt;Q&gt;CRH-US^P_BETA_LOCIDX(45408,45232,,"SPX")&lt;/Q&gt;&lt;R&gt;1&lt;/R&gt;&lt;C&gt;1&lt;/C&gt;&lt;D xsi:type="xsd:double"&gt;1.0450113&lt;/D&gt;&lt;/FQL&gt;&lt;FQL&gt;&lt;Q&gt;CRH-US^P_BETA_LOCIDX(45539,45364,,"SPX")&lt;/Q&gt;&lt;R&gt;1&lt;/R&gt;&lt;C&gt;1&lt;/C&gt;&lt;D xsi:type="xsd:double"&gt;1.4578234&lt;/D&gt;&lt;/FQL&gt;&lt;FQL&gt;&lt;Q&gt;CRH-US^P_BETA_LOCIDX(45198,45026,,"SPX")&lt;/Q&gt;&lt;R&gt;1&lt;/R&gt;&lt;C&gt;1&lt;/C&gt;&lt;D xsi:type="xsd:double"&gt;1.0074145&lt;/D&gt;&lt;/FQL&gt;&lt;FQL&gt;&lt;Q&gt;CRH-US^P_BETA_LOCIDX(45723,45547,,"SPX")&lt;/Q&gt;&lt;R&gt;1&lt;/R&gt;&lt;C&gt;1&lt;/C&gt;&lt;D xsi:type="xsd:double"&gt;1.2751284&lt;/D&gt;&lt;/FQL&gt;&lt;FQL&gt;&lt;Q&gt;CRH-US^P_BETA_LOCIDX(45008,44833,,"SPX")&lt;/Q&gt;&lt;R&gt;1&lt;/R&gt;&lt;C&gt;1&lt;/C&gt;&lt;D xsi:type="xsd:double"&gt;1.1978712&lt;/D&gt;&lt;/FQL&gt;&lt;FQL&gt;&lt;Q&gt;CRH-US^P_BETA_LOCIDX(45553,45378,,"SPX")&lt;/Q&gt;&lt;R&gt;1&lt;/R&gt;&lt;C&gt;1&lt;/C&gt;&lt;D xsi:type="xsd:double"&gt;1.3472294&lt;/D&gt;&lt;/FQL&gt;&lt;FQL&gt;&lt;Q&gt;CRH-US^P_BETA_LOCIDX(45952,45782,,"SPX")&lt;/Q&gt;&lt;R&gt;1&lt;/R&gt;&lt;C&gt;1&lt;/C&gt;&lt;D xsi:type="xsd:double"&gt;1.202948&lt;/D&gt;&lt;/FQL&gt;&lt;FQL&gt;&lt;Q&gt;CRH-US^P_BETA_LOCIDX(44958,44783,,"SPX")&lt;/Q&gt;&lt;R&gt;1&lt;/R&gt;&lt;C&gt;1&lt;/C&gt;&lt;D xsi:type="xsd:double"&gt;1.204923&lt;/D&gt;&lt;/FQL&gt;&lt;FQL&gt;&lt;Q&gt;CRH-US^P_BETA_LOCIDX(45149,44974,,"SPX")&lt;/Q&gt;&lt;R&gt;1&lt;/R&gt;&lt;C&gt;1&lt;/C&gt;&lt;D xsi:type="xsd:double"&gt;1.052433&lt;/D&gt;&lt;/FQL&gt;&lt;FQL&gt;&lt;Q&gt;CRH-US^P_BETA_LOCIDX(45554,45379,,"SPX")&lt;/Q&gt;&lt;R&gt;1&lt;/R&gt;&lt;C&gt;1&lt;/C&gt;&lt;D xsi:type="xsd:double"&gt;1.382266&lt;/D&gt;&lt;/FQL&gt;&lt;FQL&gt;&lt;Q&gt;CRH-US^P_BETA_LOCIDX(45391,45215,,"SPX")&lt;/Q&gt;&lt;R&gt;1&lt;/R&gt;&lt;C&gt;1&lt;/C&gt;&lt;D xsi:type="xsd:double"&gt;1.1515815&lt;/D&gt;&lt;/FQL&gt;&lt;FQL&gt;&lt;Q&gt;CRH-US^P_BETA_LOCIDX(45187,45012,,"SPX")&lt;/Q&gt;&lt;R&gt;1&lt;/R&gt;&lt;C&gt;1&lt;/C&gt;&lt;D xsi:type="xsd:double"&gt;1.0641016&lt;/D&gt;&lt;/FQL&gt;&lt;FQL&gt;&lt;Q&gt;CRH-US^P_BETA_LOCIDX(45764,45588,,"SPX")&lt;/Q&gt;&lt;R&gt;1&lt;/R&gt;&lt;C&gt;1&lt;/C&gt;&lt;D xsi:type="xsd:double"&gt;1.2405285&lt;/D&gt;&lt;/FQL&gt;&lt;FQL&gt;&lt;Q&gt;CRH-US^P_BETA_LOCIDX(45944,45772,,"SPX")&lt;/Q&gt;&lt;R&gt;1&lt;/R&gt;&lt;C&gt;1&lt;/C&gt;&lt;D xsi:type="xsd:double"&gt;1.2323623&lt;/D&gt;&lt;/FQL&gt;&lt;FQL&gt;&lt;Q&gt;CRH-US^P_BETA_LOCIDX(45548,45373,,"SPX")&lt;/Q&gt;&lt;R&gt;1&lt;/R&gt;&lt;C&gt;1&lt;/C&gt;&lt;D xsi:type="xsd:double"&gt;1.3414888&lt;/D&gt;&lt;/FQL&gt;&lt;FQL&gt;&lt;Q&gt;CRH-US^P_BETA_LOCIDX(45621,45448,,"SPX")&lt;/Q&gt;&lt;R&gt;1&lt;/R&gt;&lt;C&gt;1&lt;/C&gt;&lt;D xsi:type="xsd:double"&gt;1.2683314&lt;/D&gt;&lt;/FQL&gt;&lt;FQL&gt;&lt;Q&gt;CRH-US^P_BETA_LOCIDX(45939,45768,,"SPX")&lt;/Q&gt;&lt;R&gt;1&lt;/R&gt;&lt;C&gt;1&lt;/C&gt;&lt;D xsi:type="xsd:double"&gt;1.3901172&lt;/D&gt;&lt;/FQL&gt;&lt;FQL&gt;&lt;Q&gt;CRH-US^P_BETA_LOCIDX(45819,45642,,"SPX")&lt;/Q&gt;&lt;R&gt;1&lt;/R&gt;&lt;C&gt;1&lt;/C&gt;&lt;D xsi:type="xsd:double"&gt;1.2529701&lt;/D&gt;&lt;/FQL&gt;&lt;FQL&gt;&lt;Q&gt;CRS-US^P_BETA_LOCIDX(46028,45856,,"SPX")&lt;/Q&gt;&lt;R&gt;1&lt;/R&gt;&lt;C&gt;1&lt;/C&gt;&lt;D xsi:type="xsd:double"&gt;1.2648057&lt;/D&gt;&lt;/FQL&gt;&lt;FQL&gt;&lt;Q&gt;CRS-US^P_BETA_LOCIDX(46002,45831,,"SPX")&lt;/Q&gt;&lt;R&gt;1&lt;/R&gt;&lt;C&gt;1&lt;/C&gt;&lt;D xsi:type="xsd:double"&gt;1.3050616&lt;/D&gt;&lt;/FQL&gt;&lt;FQL&gt;&lt;Q&gt;CRS-US^P_BETA_LOCIDX(45979,45806,,"SPX")&lt;/Q&gt;&lt;R&gt;1&lt;/R&gt;&lt;C&gt;1&lt;/C&gt;&lt;D xsi:type="xsd:double"&gt;1.0698507&lt;/D&gt;&lt;/FQL&gt;&lt;FQL&gt;&lt;Q&gt;CRS-US^P_BETA_LOCIDX(45957,45783,,"SPX")&lt;/Q&gt;&lt;R&gt;1&lt;/R&gt;&lt;C&gt;1&lt;/C&gt;&lt;D xsi:type="xsd:double"&gt;1.0901287&lt;/D&gt;&lt;/FQL&gt;&lt;FQL&gt;&lt;Q&gt;CRS-US^P_BETA_LOCIDX(45933,45758,,"SPX")&lt;/Q&gt;&lt;R&gt;1&lt;/R&gt;&lt;C&gt;1&lt;/C&gt;&lt;D xsi:type="xsd:double"&gt;1.1560559&lt;/D&gt;&lt;/FQL&gt;&lt;FQL&gt;&lt;Q&gt;CRS-US^P_BETA_LOCIDX(45911,45736,,"SPX")&lt;/Q&gt;&lt;R&gt;1&lt;/R&gt;&lt;C&gt;1&lt;/C&gt;&lt;D xsi:type="xsd:double"&gt;1.5215828&lt;/D&gt;&lt;/FQL&gt;&lt;FQL&gt;&lt;Q&gt;CRS-US^P_BETA_LOCIDX(45888,45714,,"SPX")&lt;/Q&gt;&lt;R&gt;1&lt;/R&gt;&lt;C&gt;1&lt;/C&gt;&lt;D xsi:type="xsd:double"&gt;1.5669516&lt;/D&gt;&lt;/FQL&gt;&lt;FQL&gt;&lt;Q&gt;CRS-US^P_BETA_LOCIDX(45866,45691,,"SPX")&lt;/Q&gt;&lt;R&gt;1&lt;/R&gt;&lt;C&gt;1&lt;/C&gt;&lt;D xsi:type="xsd:double"&gt;1.6258212&lt;/D&gt;&lt;/FQL&gt;&lt;FQL&gt;&lt;Q&gt;CRS-US^P_BETA_LOCIDX(45841,45665,,"SPX")&lt;/Q&gt;&lt;R&gt;1&lt;/R&gt;&lt;C&gt;1&lt;/C&gt;&lt;D xsi:type="xsd:double"&gt;1.6103954&lt;/D&gt;&lt;/FQL&gt;&lt;FQL&gt;&lt;Q&gt;CRS-US^P_BETA_LOCIDX(45818,45639,,"SPX")&lt;/Q&gt;&lt;R&gt;1&lt;/R&gt;&lt;C&gt;1&lt;/C&gt;&lt;D xsi:type="xsd:double"&gt;1.6181633&lt;/D&gt;&lt;/FQL&gt;&lt;FQL&gt;&lt;Q&gt;CRS-US^P_BETA_LOCIDX(45793,45616,,"SPX")&lt;/Q&gt;&lt;R&gt;1&lt;/R&gt;&lt;C&gt;1&lt;/C&gt;&lt;D xsi:type="xsd:double"&gt;1.6430769&lt;/D&gt;&lt;/FQL&gt;&lt;FQL&gt;&lt;Q&gt;CRS-US^P_BETA_LOCIDX(45771,45594,,"SPX")&lt;/Q&gt;&lt;R&gt;1&lt;/R&gt;&lt;C&gt;1&lt;/C&gt;&lt;D xsi:type="xsd:double"&gt;1.7467673&lt;/D&gt;&lt;/FQL&gt;&lt;FQL&gt;&lt;Q&gt;CRS-US^P_BETA_LOCIDX(45748,45572,,"SPX")&lt;/Q&gt;&lt;R&gt;1&lt;/R&gt;&lt;C&gt;1&lt;/C&gt;&lt;D xsi:type="xsd:double"&gt;1.7965697&lt;/D&gt;&lt;/FQL&gt;&lt;FQL&gt;&lt;Q&gt;CRS-US^P_BETA_LOCIDX(45726,45548,,"SPX")&lt;/Q&gt;&lt;R&gt;1&lt;/R&gt;&lt;C&gt;1&lt;/C&gt;&lt;D xsi:type="xsd:double"&gt;1.7879415&lt;/D&gt;&lt;/FQL&gt;&lt;FQL&gt;&lt;Q&gt;CRS-US^P_BETA_LOCIDX(45701,45525,,"SPX")&lt;/Q&gt;&lt;R&gt;1&lt;/R&gt;&lt;C&gt;1&lt;/C&gt;&lt;D xsi:type="xsd:double"&gt;1.8099275&lt;/D&gt;&lt;/FQL&gt;&lt;FQL&gt;&lt;Q&gt;CRS-US^P_BETA_LOCIDX(45679,45503,,"SPX")&lt;/Q&gt;&lt;R&gt;1&lt;/R&gt;&lt;C&gt;1&lt;/C&gt;&lt;D xsi:type="xsd:double"&gt;1.7310483&lt;/D&gt;&lt;/FQL&gt;&lt;FQL&gt;&lt;Q&gt;CRS-US^P_BETA_LOCIDX(46027,45855,,"SPX")&lt;/Q&gt;&lt;R&gt;1&lt;/R&gt;&lt;C&gt;1&lt;/C&gt;&lt;D xsi:type="xsd:double"&gt;1.301538&lt;/D&gt;&lt;/FQL&gt;&lt;FQL&gt;&lt;Q&gt;CRS-US^P_BETA_LOCIDX(46001,45828,,"SPX")&lt;/Q&gt;&lt;R&gt;1&lt;/R&gt;&lt;C&gt;1&lt;/C&gt;&lt;D xsi:type="xsd:double"&gt;1.2887601&lt;/D&gt;&lt;/FQL&gt;&lt;FQL&gt;&lt;Q&gt;CRS-US^P_BETA_LOCIDX(45978,45805,,"SPX")&lt;/Q&gt;&lt;R&gt;1&lt;/R&gt;&lt;C&gt;1&lt;/C&gt;&lt;D xsi:type="xsd:double"&gt;1.0376434&lt;/D&gt;&lt;/FQL&gt;&lt;FQL&gt;&lt;Q&gt;CRS-US^P_BETA_LOCIDX(46024,45854,,"SPX")&lt;/Q&gt;&lt;R&gt;1&lt;/R&gt;&lt;C&gt;1&lt;/C&gt;&lt;D xsi:type="xsd:double"&gt;1.303247&lt;/D&gt;&lt;/FQL&gt;&lt;FQL&gt;&lt;Q&gt;CRS-US^P_BETA_LOCIDX(46000,45826,,"SPX")&lt;/Q&gt;&lt;R&gt;1&lt;/R&gt;&lt;C&gt;1&lt;/C&gt;&lt;D xsi:type="xsd:double"&gt;1.2863973&lt;/D&gt;&lt;/FQL&gt;&lt;FQL&gt;&lt;Q&gt;CRS-US^P_BETA_LOCIDX(46021,45849,,"SPX")&lt;/Q&gt;&lt;R&gt;1&lt;/R&gt;&lt;C&gt;1&lt;/C&gt;&lt;D xsi:type="xsd:double"&gt;1.2751157&lt;/D&gt;&lt;/FQL&gt;&lt;FQL&gt;&lt;Q&gt;CRS-US^P_BETA_LOCIDX(45996,45824,,"SPX")&lt;/Q&gt;&lt;R&gt;1&lt;/R&gt;&lt;C&gt;1&lt;/C&gt;&lt;D xsi:type="xsd:double"&gt;1.2304047&lt;/D&gt;&lt;/FQL&gt;&lt;FQL&gt;&lt;Q&gt;CRS-US^P_BETA_LOCIDX(45973,45799,,"SPX")&lt;/Q&gt;&lt;R&gt;1&lt;/R&gt;&lt;C&gt;1&lt;/C&gt;&lt;D xsi:type="xsd:double"&gt;1.060309&lt;/D&gt;&lt;/FQL&gt;&lt;FQL&gt;&lt;Q&gt;CRS-US^P_BETA_LOCIDX(46020,45848,,"SPX")&lt;/Q&gt;&lt;R&gt;1&lt;/R&gt;&lt;C&gt;1&lt;/C&gt;&lt;D xsi:type="xsd:double"&gt;1.2659242&lt;/D&gt;&lt;/FQL&gt;&lt;FQL&gt;&lt;Q&gt;CRS-US^P_BETA_LOCIDX(45995,45821,,"SPX")&lt;/Q&gt;&lt;R&gt;1&lt;/R&gt;&lt;C&gt;1&lt;/C&gt;&lt;D xsi:type="xsd:double"&gt;1.2044796&lt;/D&gt;&lt;/FQL&gt;&lt;FQL&gt;&lt;Q&gt;CRS-US^P_BETA_LOCIDX(45972,45798,,"SPX")&lt;/Q&gt;&lt;R&gt;1&lt;/R&gt;&lt;C&gt;1&lt;/C&gt;&lt;D xsi:type="xsd:double"&gt;1.0803355&lt;/D&gt;&lt;/FQL&gt;&lt;FQL&gt;&lt;Q&gt;CRS-US^P_BETA_LOCIDX(46043,45873,,"SPX")&lt;/Q&gt;&lt;R&gt;1&lt;/R&gt;&lt;C&gt;1&lt;/C&gt;&lt;D xsi:type="xsd:double"&gt;1.2975065&lt;/D&gt;&lt;/FQL&gt;&lt;FQL&gt;&lt;Q&gt;CRS-US^P_BETA_LOCIDX(46017,45847,,"SPX")&lt;/Q&gt;&lt;R&gt;1&lt;/R&gt;&lt;C&gt;1&lt;/C&gt;&lt;D xsi:type="xsd:double"&gt;1.2444278&lt;/D&gt;&lt;/FQL&gt;&lt;FQL&gt;&lt;Q&gt;CRS-US^P_BETA_LOCIDX(45994,45820,,"SPX")&lt;/Q&gt;&lt;R&gt;1&lt;/R&gt;&lt;C&gt;1&lt;/C&gt;&lt;D xsi:type="xsd:double"&gt;1.2082405&lt;/D&gt;&lt;/FQL&gt;&lt;FQL&gt;&lt;Q&gt;CRS-US^P_BETA_LOCIDX(45971,45797,,"SPX")&lt;/Q&gt;&lt;R&gt;1&lt;/R&gt;&lt;C&gt;1&lt;/C&gt;&lt;D xsi:type="xsd:double"&gt;1.0833372&lt;/D&gt;&lt;/FQL&gt;&lt;FQL&gt;&lt;Q&gt;CRS-US^P_BETA_LOCIDX(46037,45867,,"SPX")&lt;/Q&gt;&lt;R&gt;1&lt;/R&gt;&lt;C&gt;1&lt;/C&gt;&lt;D xsi:type="xsd:double"&gt;1.2873317&lt;/D&gt;&lt;/FQL&gt;&lt;FQL&gt;&lt;Q&gt;CRS-US^P_BETA_LOCIDX(46013,45840,,"SPX")&lt;/Q&gt;&lt;R&gt;1&lt;/R&gt;&lt;C&gt;1&lt;/C&gt;&lt;D xsi:type="xsd:double"&gt;1.2431414&lt;/D&gt;&lt;/FQL&gt;&lt;FQL&gt;&lt;Q&gt;CRS-US^P_BETA_LOCIDX(45989,45817,,"SPX")&lt;/Q&gt;&lt;R&gt;1&lt;/R&gt;&lt;C&gt;1&lt;/C&gt;&lt;D xsi:type="xsd:double"&gt;1.1879402&lt;/D&gt;&lt;/FQL&gt;&lt;FQL&gt;&lt;Q&gt;CRS-US^P_BETA_LOCIDX(45966,45792,,"SPX")&lt;/Q&gt;&lt;R&gt;1&lt;/R&gt;&lt;C&gt;1&lt;/C&gt;&lt;D xsi:type="xsd:double"&gt;1.155765&lt;/D&gt;&lt;/FQL&gt;&lt;FQL&gt;&lt;Q&gt;CRS-US^P_BETA_LOCIDX(45944,45770,,"SPX")&lt;/Q&gt;&lt;R&gt;1&lt;/R&gt;&lt;C&gt;1&lt;/C&gt;&lt;D xsi:type="xsd:double"&gt;1.1625789&lt;/D&gt;&lt;/FQL&gt;&lt;FQL&gt;&lt;Q&gt;CRS-US^P_BETA_LOCIDX(45922,45747,,"SPX")&lt;/Q&gt;&lt;R&gt;1&lt;/R&gt;&lt;C&gt;1&lt;/C&gt;&lt;D xsi:type="xsd:double"&gt;1.4840959&lt;/D&gt;&lt;/FQL&gt;&lt;FQL&gt;&lt;Q&gt;CRS-US^P_BETA_LOCIDX(45897,45723,,"SPX")&lt;/Q&gt;&lt;R&gt;1&lt;/R&gt;&lt;C&gt;1&lt;/C&gt;&lt;D xsi:type="xsd:double"&gt;1.5385072&lt;/D&gt;&lt;/FQL&gt;&lt;FQL&gt;&lt;Q&gt;CRS-US^P_BETA_LOCIDX(45875,45700,,"SPX")&lt;/Q&gt;&lt;R&gt;1&lt;/R&gt;&lt;C&gt;1&lt;/C&gt;&lt;D xsi:type="xsd:double"&gt;1.5789652&lt;/D&gt;&lt;/FQL&gt;&lt;FQL&gt;&lt;Q&gt;CRS-US^P_BETA_LOCIDX(45853,45678,,"SPX")&lt;/Q&gt;&lt;R&gt;1&lt;/R&gt;&lt;C&gt;1&lt;/C&gt;&lt;D xsi:type="xsd:double"&gt;1.6312416&lt;/D&gt;&lt;/FQL&gt;&lt;FQL&gt;&lt;Q&gt;CRS-US^P_BETA_LOCIDX(45828,45650,,"SPX")&lt;/Q&gt;&lt;R&gt;1&lt;/R&gt;&lt;C&gt;1&lt;/C&gt;&lt;D xsi:type="xsd:double"&gt;1.6081451&lt;/D&gt;&lt;/FQL&gt;&lt;FQL&gt;&lt;Q&gt;CRS-US^P_BETA_LOCIDX(45805,45628,,"SPX")&lt;/Q&gt;&lt;R&gt;1&lt;/R&gt;&lt;C&gt;1&lt;/C&gt;&lt;D xsi:type="xsd:double"&gt;1.6337216&lt;/D&gt;&lt;/FQL&gt;&lt;FQL&gt;&lt;Q&gt;CRS-US^P_BETA_LOCIDX(45782,45603,,"SPX")&lt;/Q&gt;&lt;R&gt;1&lt;/R&gt;&lt;C&gt;1&lt;/C&gt;&lt;D xsi:type="xsd:double"&gt;1.6641226&lt;/D&gt;&lt;/FQL&gt;&lt;FQL&gt;&lt;Q&gt;CRS-US^P_BETA_LOCIDX(45757,45581,,"SPX")&lt;/Q&gt;&lt;R&gt;1&lt;/R&gt;&lt;C&gt;1&lt;/C&gt;&lt;D xsi:type="xsd:double"&gt;1.7512926&lt;/D&gt;&lt;/FQL&gt;&lt;FQL&gt;&lt;Q&gt;CRS-US^P_BETA_LOCIDX(45735,45559,,"SPX")&lt;/Q&gt;&lt;R&gt;1&lt;/R&gt;&lt;C&gt;1&lt;/C&gt;&lt;D xsi:type="xsd:double"&gt;1.7388883&lt;/D&gt;&lt;/FQL&gt;&lt;FQL&gt;&lt;Q&gt;CRS-US^P_BETA_LOCIDX(45713,45534,,"SPX")&lt;/Q&gt;&lt;R&gt;1&lt;/R&gt;&lt;C&gt;1&lt;/C&gt;&lt;D xsi:type="xsd:double"&gt;1.8789072&lt;/D&gt;&lt;/FQL&gt;&lt;FQL&gt;&lt;Q&gt;CRS-US^P_BETA_LOCIDX(45688,45512,,"SPX")&lt;/Q&gt;&lt;R&gt;1&lt;/R&gt;&lt;C&gt;1&lt;/C&gt;&lt;D xsi:type="xsd:double"&gt;1.7877952&lt;/D&gt;&lt;/FQL&gt;&lt;FQL&gt;&lt;Q&gt;CRS-US^P_BETA_LOCIDX(45664,45490,,"SPX")&lt;/Q&gt;&lt;R&gt;1&lt;/R&gt;&lt;C&gt;1&lt;/C&gt;&lt;D xsi:type="xsd:double"&gt;1.7375575&lt;/D&gt;&lt;/FQL&gt;&lt;FQL&gt;&lt;Q&gt;CRS-US^P_BETA_LOCIDX(45638,45467,,"SPX")&lt;/Q&gt;&lt;R&gt;1&lt;/R&gt;&lt;C&gt;1&lt;/C&gt;&lt;D xsi:type="xsd:double"&gt;1.7399622&lt;/D&gt;&lt;/FQL&gt;&lt;FQL&gt;&lt;Q&gt;CRS-US^P_BETA_LOCIDX(45615,45442,,"SPX")&lt;/Q&gt;&lt;R&gt;1&lt;/R&gt;&lt;C&gt;1&lt;/C&gt;&lt;D xsi:type="xsd:double"&gt;1.7220366&lt;/D&gt;&lt;/FQL&gt;&lt;FQL&gt;&lt;Q&gt;CRS-US^P_BETA_LOCIDX(45593,45419,,"SPX")&lt;/Q&gt;&lt;R&gt;1&lt;/R&gt;&lt;C&gt;1&lt;/C&gt;&lt;D xsi:type="xsd:double"&gt;1.492525&lt;/D&gt;&lt;/FQL&gt;&lt;FQL&gt;&lt;Q&gt;CRS-US^P_BETA_LOCIDX(45569,45397,,"SPX")&lt;/Q&gt;&lt;R&gt;1&lt;/R&gt;&lt;C&gt;1&lt;/C&gt;&lt;D xsi:type="xsd:double"&gt;1.3764284&lt;/D&gt;&lt;/FQL&gt;&lt;FQL&gt;&lt;Q&gt;CRS-US^P_BETA_LOCIDX(45547,45372,,"SPX")&lt;/Q&gt;&lt;R&gt;1&lt;/R&gt;&lt;C&gt;1&lt;/C&gt;&lt;D xsi:type="xsd:double"&gt;1.2926344&lt;/D&gt;&lt;/FQL&gt;&lt;FQL&gt;&lt;Q&gt;CRS-US^P_BETA_LOCIDX(45524,45350,,"SPX")&lt;/Q&gt;&lt;R&gt;1&lt;/R&gt;&lt;C&gt;1&lt;/C&gt;&lt;D xsi:type="xsd:double"&gt;1.0612924&lt;/D&gt;&lt;/FQL&gt;&lt;FQL&gt;&lt;Q&gt;CRS-US^P_BETA_LOCIDX(45502,45327,,"SPX")&lt;/Q&gt;&lt;R&gt;1&lt;/R&gt;&lt;C&gt;1&lt;/C&gt;&lt;D xsi:type="xsd:double"&gt;1.0138464&lt;/D&gt;&lt;/FQL&gt;&lt;FQL&gt;&lt;Q&gt;CRS-US^P_BETA_LOCIDX(45478,45302,,"SPX")&lt;/Q&gt;&lt;R&gt;1&lt;/R&gt;&lt;C&gt;1&lt;/C&gt;&lt;D xsi:type="xsd:double"&gt;0.9900128&lt;/D&gt;&lt;/FQL&gt;&lt;FQL&gt;&lt;Q&gt;CRS-US^P_BETA_LOCIDX(45454,45278,,"SPX")&lt;/Q&gt;&lt;R&gt;1&lt;/R&gt;&lt;C&gt;1&lt;/C&gt;&lt;D xsi:type="xsd:double"&gt;1.0402321&lt;/D&gt;&lt;/FQL&gt;&lt;FQL&gt;&lt;Q&gt;CRS-US^P_BETA_LOCIDX(45429,45254,,"SPX")&lt;/Q&gt;&lt;R&gt;1&lt;/R&gt;&lt;C&gt;1&lt;/C&gt;&lt;D xsi:type="xsd:double"&gt;0.9737793&lt;/D&gt;&lt;/FQL&gt;&lt;FQL&gt;&lt;Q&gt;CRS-US^P_BETA_LOCIDX(45407,45231,,"SPX")&lt;/Q&gt;&lt;R&gt;1&lt;/R&gt;&lt;C&gt;1&lt;/C&gt;&lt;D xsi:type="xsd:double"&gt;1.1367234&lt;/D&gt;&lt;/FQL&gt;&lt;FQL&gt;&lt;Q&gt;CRS-US^P_BETA_LOCIDX(45385,45209,,"SPX")&lt;/Q&gt;&lt;R&gt;1&lt;/R&gt;&lt;C&gt;1&lt;/C&gt;&lt;D xsi:type="xsd:double"&gt;1.2608446&lt;/D&gt;&lt;/FQL&gt;&lt;FQL&gt;&lt;Q&gt;CRS-US^P_BETA_LOCIDX(45362,45187,,"SPX")&lt;/Q&gt;&lt;R&gt;1&lt;/R&gt;&lt;C&gt;1&lt;/C&gt;&lt;D xsi:type="xsd:double"&gt;1.3320701&lt;/D&gt;&lt;/FQL&gt;&lt;FQL&gt;&lt;Q&gt;CRS-US^P_BETA_LOCIDX(45337,45162,,"SPX")&lt;/Q&gt;&lt;R&gt;1&lt;/R&gt;&lt;C&gt;1&lt;/C&gt;&lt;D xsi:type="xsd:double"&gt;1.3799134&lt;/D&gt;&lt;/FQL&gt;&lt;FQL&gt;&lt;Q&gt;CRS-US^P_BETA_LOCIDX(45315,45140,,"SPX")&lt;/Q&gt;&lt;R&gt;1&lt;/R&gt;&lt;C&gt;1&lt;/C&gt;&lt;D xsi:type="xsd:double"&gt;1.376317&lt;/D&gt;&lt;/FQL&gt;&lt;FQL&gt;&lt;Q&gt;CRS-US^P_BETA_LOCIDX(45289,45118,,"SPX")&lt;/Q&gt;&lt;R&gt;1&lt;/R&gt;&lt;C&gt;1&lt;/C&gt;&lt;D xsi:type="xsd:double"&gt;1.2717074&lt;/D&gt;&lt;/FQL&gt;&lt;FQL&gt;&lt;Q&gt;CRS-US^P_BETA_LOCIDX(45266,45092,,"SPX")&lt;/Q&gt;&lt;R&gt;1&lt;/R&gt;&lt;C&gt;1&lt;/C&gt;&lt;D xsi:type="xsd:double"&gt;1.2988478&lt;/D&gt;&lt;/FQL&gt;&lt;FQL&gt;&lt;Q&gt;CRS-US^P_BETA_LOCIDX(45243,45069,,"SPX")&lt;/Q&gt;&lt;R&gt;1&lt;/R&gt;&lt;C&gt;1&lt;/C&gt;&lt;D xsi:type="xsd:double"&gt;1.3504416&lt;/D&gt;&lt;/FQL&gt;&lt;FQL&gt;&lt;Q&gt;CRS-US^P_BETA_LOCIDX(45219,45047,,"SPX")&lt;/Q&gt;&lt;R&gt;1&lt;/R&gt;&lt;C&gt;1&lt;/C&gt;&lt;D xsi:type="xsd:double"&gt;1.5282216&lt;/D&gt;&lt;/FQL&gt;&lt;FQL&gt;&lt;Q&gt;CRS-US^P_BETA_LOCIDX(45197,45022,,"SPX")&lt;/Q&gt;&lt;R&gt;1&lt;/R&gt;&lt;C&gt;1&lt;/C&gt;&lt;D xsi:type="xsd:double"&gt;1.5817611&lt;/D&gt;&lt;/FQL&gt;&lt;FQL&gt;&lt;Q&gt;CRS-US^P_BETA_LOCIDX(45175,45000,,"SPX")&lt;/Q&gt;&lt;R&gt;1&lt;/R&gt;&lt;C&gt;1&lt;/C&gt;&lt;D xsi:type="xsd:double"&gt;1.8826338&lt;/D&gt;&lt;/FQL&gt;&lt;FQL&gt;&lt;Q&gt;CRS-US^P_BETA_LOCIDX(45152,44978,,"SPX")&lt;/Q&gt;&lt;R&gt;1&lt;/R&gt;&lt;C&gt;1&lt;/C&gt;&lt;D xsi:type="xsd:double"&gt;1.8720039&lt;/D&gt;&lt;/FQL&gt;&lt;FQL&gt;&lt;Q&gt;CRS-US^P_BETA_LOCIDX(45128,44953,,"SPX")&lt;/Q&gt;&lt;R&gt;1&lt;/R&gt;&lt;C&gt;1&lt;/C&gt;&lt;D xsi:type="xsd:double"&gt;1.8087938&lt;/D&gt;&lt;/FQL&gt;&lt;FQL&gt;&lt;Q&gt;CRS-US^P_BETA_LOCIDX(45105,44930,,"SPX")&lt;/Q&gt;&lt;R&gt;1&lt;/R&gt;&lt;C&gt;1&lt;/C&gt;&lt;D xsi:type="xsd:double"&gt;1.7760983&lt;/D&gt;&lt;/FQL&gt;&lt;FQL&gt;&lt;Q&gt;CRS-US^P_BETA_LOCIDX(45082,44904,,"SPX")&lt;/Q&gt;&lt;R&gt;1&lt;/R&gt;&lt;C&gt;1&lt;/C&gt;&lt;D xsi:type="xsd:double"&gt;1.8768299&lt;/D&gt;&lt;/FQL&gt;&lt;FQL&gt;&lt;Q&gt;CRS-US^P_BETA_LOCIDX(45057,44881,,"SPX")&lt;/Q&gt;&lt;R&gt;1&lt;/R&gt;&lt;C&gt;1&lt;/C&gt;&lt;D xsi:type="xsd:double"&gt;1.6627429&lt;/D&gt;&lt;/FQL&gt;&lt;FQL&gt;&lt;Q&gt;CRS-US^P_BETA_LOCIDX(45035,44859,,"SPX")&lt;/Q&gt;&lt;R&gt;1&lt;/R&gt;&lt;C&gt;1&lt;/C&gt;&lt;D xsi:type="xsd:double"&gt;1.4040858&lt;/D&gt;&lt;/FQL&gt;&lt;FQL&gt;&lt;Q&gt;CRS-US^P_BETA_LOCIDX(45012,44837,,"SPX")&lt;/Q&gt;&lt;R&gt;1&lt;/R&gt;&lt;C&gt;1&lt;/C&gt;&lt;D xsi:type="xsd:double"&gt;1.39792&lt;/D&gt;&lt;/FQL&gt;&lt;FQL&gt;&lt;Q&gt;CRS-US^P_BETA_LOCIDX(44988,44813,,"SPX")&lt;/Q&gt;&lt;R&gt;1&lt;/R&gt;&lt;C&gt;1&lt;/C&gt;&lt;D xsi:type="xsd:double"&gt;1.4113886&lt;/D&gt;&lt;/FQL&gt;&lt;FQL&gt;&lt;Q&gt;CRS-US^P_BETA_LOCIDX(44965,44790,,"SPX")&lt;/Q&gt;&lt;R&gt;1&lt;/R&gt;&lt;C&gt;1&lt;/C&gt;&lt;D xsi:type="xsd:double"&gt;1.4434607&lt;/D&gt;&lt;/FQL&gt;&lt;FQL&gt;&lt;Q&gt;CRS-US^P_BETA_LOCIDX(46035,45863,,"SPX")&lt;/Q&gt;&lt;R&gt;1&lt;/R&gt;&lt;C&gt;1&lt;/C&gt;&lt;D xsi:type="xsd:double"&gt;1.2913332&lt;/D&gt;&lt;/FQL&gt;&lt;FQL&gt;&lt;Q&gt;CRS-US^P_BETA_LOCIDX(46009,45838,,"SPX")&lt;/Q&gt;&lt;R&gt;1&lt;/R&gt;&lt;C&gt;1&lt;/C&gt;&lt;D xsi:type="xsd:double"&gt;1.2297117&lt;/D&gt;&lt;/FQL&gt;&lt;FQL&gt;&lt;Q&gt;CRS-US^P_BETA_LOCIDX(45986,45813,,"SPX")&lt;/Q&gt;&lt;R&gt;1&lt;/R&gt;&lt;C&gt;1&lt;/C&gt;&lt;D xsi:type="xsd:double"&gt;1.197782&lt;/D&gt;&lt;/FQL&gt;&lt;FQL&gt;&lt;Q&gt;CRS-US^P_BETA_LOCIDX(45964,45790,,"SPX")&lt;/Q&gt;&lt;R&gt;1&lt;/R&gt;&lt;C&gt;1&lt;/C&gt;&lt;D xsi:type="xsd:double"&gt;1.1689502&lt;/D&gt;&lt;/FQL&gt;&lt;FQL&gt;&lt;Q&gt;CRS-US^P_BETA_LOCIDX(45940,45768,,"SPX")&lt;/Q&gt;&lt;R&gt;1&lt;/R&gt;&lt;C&gt;1&lt;/C&gt;&lt;D xsi:type="xsd:double"&gt;1.2400753&lt;/D&gt;&lt;/FQL&gt;&lt;FQL&gt;&lt;Q&gt;CRS-US^P_BETA_LOCIDX(45918,45743,,"SPX")&lt;/Q&gt;&lt;R&gt;1&lt;/R&gt;&lt;C&gt;1&lt;/C&gt;&lt;D xsi:type="xsd:double"&gt;1.4872347&lt;/D&gt;&lt;/FQL&gt;&lt;FQL&gt;&lt;Q&gt;CRS-US^P_BETA_LOCIDX(45895,45721,,"SPX")&lt;/Q&gt;&lt;R&gt;1&lt;/R&gt;&lt;C&gt;1&lt;/C&gt;&lt;D xsi:type="xsd:double"&gt;1.5759178&lt;/D&gt;&lt;/FQL&gt;&lt;FQL&gt;&lt;Q&gt;CRS-US^P_BETA_LOCIDX(45873,45698,,"SPX")&lt;/Q&gt;&lt;R&gt;1&lt;/R&gt;&lt;C&gt;1&lt;/C&gt;&lt;D xsi:type="xsd:double"&gt;1.5911106&lt;/D&gt;&lt;/FQL&gt;&lt;FQL&gt;&lt;Q&gt;CRS-US^P_BETA_LOCIDX(45849,45673,,"SPX")&lt;/Q&gt;&lt;R&gt;1&lt;/R&gt;&lt;C&gt;1&lt;/C&gt;&lt;D xsi:type="xsd:double"&gt;1.6343886&lt;/D&gt;&lt;/FQL&gt;&lt;FQL&gt;&lt;Q&gt;CRS-US^P_BETA_LOCIDX(45825,45646,,"SPX")&lt;/Q&gt;&lt;R&gt;1&lt;/R&gt;&lt;C&gt;1&lt;/C&gt;&lt;D xsi:type="xsd:double"&gt;1.6020576&lt;/D&gt;&lt;/FQL&gt;&lt;FQL&gt;&lt;Q&gt;CRS-US^P_BETA_LOCIDX(45800,45623,,"SPX")&lt;/Q&gt;&lt;R&gt;1&lt;/R&gt;&lt;C&gt;1&lt;/C&gt;&lt;D xsi:type="xsd:double"&gt;1.6311896&lt;/D&gt;&lt;/FQL&gt;&lt;FQL&gt;&lt;Q&gt;CRS-US^P_BETA_LOCIDX(45778,45601,,"SPX")&lt;/Q&gt;&lt;R&gt;1&lt;/R&gt;&lt;C&gt;1&lt;/C&gt;&lt;D xsi:type="xsd:double"&gt;1.7147583&lt;/D&gt;&lt;/FQL&gt;&lt;FQL&gt;&lt;Q&gt;CRS-US^P_BETA_LOCIDX(45755,45579,,"SPX")&lt;/Q&gt;&lt;R&gt;1&lt;/R&gt;&lt;C&gt;1&lt;/C&gt;&lt;D xsi:type="xsd:double"&gt;1.8336852&lt;/D&gt;&lt;/FQL&gt;&lt;FQL&gt;&lt;Q&gt;CRS-US^P_BETA_LOCIDX(45733,45555,,"SPX")&lt;/Q&gt;&lt;R&gt;1&lt;/R&gt;&lt;C&gt;1&lt;/C&gt;&lt;D xsi:type="xsd:double"&gt;1.7055384&lt;/D&gt;&lt;/FQL&gt;&lt;FQL&gt;&lt;Q&gt;CRS-US^P_BETA_LOCIDX(45709,45532,,"SPX")&lt;/Q&gt;&lt;R&gt;1&lt;/R&gt;&lt;C&gt;1&lt;/C&gt;&lt;D xsi:type="xsd:double"&gt;1.9130188&lt;/D&gt;&lt;/FQL&gt;&lt;FQL&gt;&lt;Q&gt;CRS-US^P_BETA_LOCIDX(45686,45510,,"SPX")&lt;/Q&gt;&lt;R&gt;1&lt;/R&gt;&lt;C&gt;1&lt;/C&gt;&lt;D xsi:type="xsd:double"&gt;1.860447&lt;/D&gt;&lt;/FQL&gt;&lt;FQL&gt;&lt;Q&gt;CRS-US^P_BETA_LOCIDX(45660,45488,,"SPX")&lt;/Q&gt;&lt;R&gt;1&lt;/R&gt;&lt;C&gt;1&lt;/C&gt;&lt;D xsi:type="xsd:double"&gt;1.7562697&lt;/D&gt;&lt;/FQL&gt;&lt;FQL&gt;&lt;Q&gt;CRS-US^P_BETA_LOCIDX(45636,45463,,"SPX")&lt;/Q&gt;&lt;R&gt;1&lt;/R&gt;&lt;C&gt;1&lt;/C&gt;&lt;D xsi:type="xsd:double"&gt;1.7520853&lt;/D&gt;&lt;/FQL&gt;&lt;FQL&gt;&lt;Q&gt;CRS-US^P_BETA_LOCIDX(45611,45440,,"SPX")&lt;/Q&gt;&lt;R&gt;1&lt;/R&gt;&lt;C&gt;1&lt;/C&gt;&lt;D xsi:type="xsd:double"&gt;1.7067574&lt;/D&gt;&lt;/FQL&gt;&lt;FQL&gt;&lt;Q&gt;CRS-US^P_BETA_LOCIDX(45589,45415,,"SPX")&lt;/Q&gt;&lt;R&gt;1&lt;/R&gt;&lt;C&gt;1&lt;/C&gt;&lt;D xsi:type="xsd:double"&gt;1.4645985&lt;/D&gt;&lt;/FQL&gt;&lt;FQL&gt;&lt;Q&gt;CRS-US^P_BETA_LOCIDX(45567,45393,,"SPX")&lt;/Q&gt;&lt;R&gt;1&lt;/R&gt;&lt;C&gt;1&lt;/C&gt;&lt;D xsi:type="xsd:double"&gt;1.3578401&lt;/D&gt;&lt;/FQL&gt;&lt;FQL&gt;&lt;Q&gt;CRS-US^P_BETA_LOCIDX(45545,45370,,"SPX")&lt;/Q&gt;&lt;R&gt;1&lt;/R&gt;&lt;C&gt;1&lt;/C&gt;&lt;D xsi:type="xsd:double"&gt;1.2927696&lt;/D&gt;&lt;/FQL&gt;&lt;FQL&gt;&lt;Q&gt;CRS-US^P_BETA_LOCIDX(45520,45348,,"SPX")&lt;/Q&gt;&lt;R&gt;1&lt;/R&gt;&lt;C&gt;1&lt;/C&gt;&lt;D xsi:type="xsd:double"&gt;1.0661911&lt;/D&gt;&lt;/FQL&gt;&lt;FQL&gt;&lt;Q&gt;CRS-US^P_BETA_LOCIDX(45498,45323,,"SPX")&lt;/Q&gt;&lt;R&gt;1&lt;/R&gt;&lt;C&gt;1&lt;/C&gt;&lt;D xsi:type="xsd:double"&gt;0.88343155&lt;/D&gt;&lt;/FQL&gt;&lt;FQL&gt;&lt;Q&gt;CRS-US^P_BETA_LOCIDX(45475,45300,,"SPX")&lt;/Q&gt;&lt;R&gt;1&lt;/R&gt;&lt;C&gt;1&lt;/C&gt;&lt;D xsi:type="xsd:double"&gt;1.0537505&lt;/D&gt;&lt;/FQL&gt;&lt;FQL&gt;&lt;Q&gt;CRS-US^P_BETA_LOCIDX(45450,45274,,"SPX")&lt;/Q&gt;&lt;R&gt;1&lt;/R&gt;&lt;C&gt;1&lt;/C&gt;&lt;D xsi:type="xsd:double"&gt;1.047145&lt;/D&gt;&lt;/FQL&gt;&lt;FQL&gt;&lt;Q&gt;CRS-US^P_BETA_LOCIDX(45427,45251,,"SPX")&lt;/Q&gt;&lt;R&gt;1&lt;/R&gt;&lt;C&gt;1&lt;/C&gt;&lt;D xsi:type="xsd:double"&gt;0.9815661&lt;/D&gt;&lt;/FQL&gt;&lt;FQL&gt;&lt;Q&gt;CRS-US^P_BETA_LOCIDX(45405,45229,,"SPX")&lt;/Q&gt;&lt;R&gt;1&lt;/R&gt;&lt;C&gt;1&lt;/C&gt;&lt;D xsi:type="xsd:double"&gt;1.1385478&lt;/D&gt;&lt;/FQL&gt;&lt;FQL&gt;&lt;Q&gt;CRS-US^P_BETA_LOCIDX(45953,45779,,"SPX")&lt;/Q&gt;&lt;R&gt;1&lt;/R&gt;&lt;C&gt;1&lt;/C&gt;&lt;D xsi:type="xsd:double"&gt;1.1302869&lt;/D&gt;&lt;/FQL&gt;&lt;FQL&gt;&lt;Q&gt;CRS-US^P_BETA_LOCIDX(45919,45744,,"SPX")&lt;/Q&gt;&lt;R&gt;1&lt;/R&gt;&lt;C&gt;1&lt;/C&gt;&lt;D xsi:type="xsd:double"&gt;1.4796042&lt;/D&gt;&lt;/FQL&gt;&lt;FQL&gt;&lt;Q&gt;CRS-US^P_BETA_LOCIDX(45884,45712,,"SPX")&lt;/Q&gt;&lt;R&gt;1&lt;/R&gt;&lt;C&gt;1&lt;/C&gt;&lt;D xsi:type="xsd:double"&gt;1.5572336&lt;/D&gt;&lt;/FQL&gt;&lt;FQL&gt;&lt;Q&gt;CRS-US^P_BETA_LOCIDX(45817,45638,,"SPX")&lt;/Q&gt;&lt;R&gt;1&lt;/R&gt;&lt;C&gt;1&lt;/C&gt;&lt;D xsi:type="xsd:double"&gt;1.6284186&lt;/D&gt;&lt;/FQL&gt;&lt;FQL&gt;&lt;Q&gt;CRS-US^P_BETA_LOCIDX(45645,45474,,"SPX")&lt;/Q&gt;&lt;R&gt;1&lt;/R&gt;&lt;C&gt;1&lt;/C&gt;&lt;D xsi:type="xsd:double"&gt;1.7240055&lt;/D&gt;&lt;/FQL&gt;&lt;FQL&gt;&lt;Q&gt;CRS-US^P_BETA_LOCIDX(45581,45407,,"SPX")&lt;/Q&gt;&lt;R&gt;1&lt;/R&gt;&lt;C&gt;1&lt;/C&gt;&lt;D xsi:type="xsd:double"&gt;1.310192&lt;/D&gt;&lt;/FQL&gt;&lt;FQL&gt;&lt;Q&gt;CRS-US^P_BETA_LOCIDX(45551,45376,,"SPX")&lt;/Q&gt;&lt;R&gt;1&lt;/R&gt;&lt;C&gt;1&lt;/C&gt;&lt;D xsi:type="xsd:double"&gt;1.2933166&lt;/D&gt;&lt;/FQL&gt;&lt;FQL&gt;&lt;Q&gt;CRS-US^P_BETA_LOCIDX(45453,45275,,"SPX")&lt;/Q&gt;&lt;R&gt;1&lt;/R&gt;&lt;C&gt;1&lt;/C&gt;&lt;D xsi:type="xsd:double"&gt;1.0455656&lt;/D&gt;&lt;/FQL&gt;&lt;FQL&gt;&lt;Q&gt;CRS-US^P_BETA_LOCIDX(45420,45244,,"SPX")&lt;/Q&gt;&lt;R&gt;1&lt;/R&gt;&lt;C&gt;1&lt;/C&gt;&lt;D xsi:type="xsd:double"&gt;0.91877556&lt;/D&gt;&lt;/FQL&gt;&lt;FQL&gt;&lt;Q&gt;CRS-US^P_BETA_LOCIDX(45357,45182,,"SPX")&lt;/Q&gt;&lt;R&gt;1&lt;/R&gt;&lt;C&gt;1&lt;/C&gt;&lt;D xsi:type="xsd:double"&gt;1.3189267&lt;/D&gt;&lt;/FQL&gt;&lt;FQL&gt;&lt;Q&gt;CRS-US^P_BETA_LOCIDX(45328,45153,,"SPX")&lt;/Q&gt;&lt;R&gt;1&lt;/R&gt;&lt;C&gt;1&lt;/C&gt;&lt;D xsi:type="xsd:double"&gt;1.2303073&lt;/D&gt;&lt;/FQL&gt;&lt;FQL&gt;&lt;Q&gt;CRS-US^P_BETA_LOCIDX(45299,45125,,"SPX")&lt;/Q&gt;&lt;R&gt;1&lt;/R&gt;&lt;C&gt;1&lt;/C&gt;&lt;D xsi:type="xsd:double"&gt;1.2364544&lt;/D&gt;&lt;/FQL&gt;&lt;FQL&gt;&lt;Q&gt;CRS-US^P_BETA_LOCIDX(45238,45064,,"SPX")&lt;/Q&gt;&lt;R&gt;1&lt;/R&gt;&lt;C&gt;1&lt;/C&gt;&lt;D xsi:type="xsd:double"&gt;1.395448&lt;/D&gt;&lt;/FQL&gt;&lt;FQL&gt;&lt;Q&gt;CRS-US^P_BETA_LOCIDX(45184,45009,,"SPX")&lt;/Q&gt;&lt;R&gt;1&lt;/R&gt;&lt;C&gt;1&lt;/C&gt;&lt;D xsi:type="xsd:double"&gt;1.7495294&lt;/D&gt;&lt;/FQL&gt;&lt;FQL&gt;&lt;Q&gt;CRS-US^P_BETA_LOCIDX(45132,44957,,"SPX")&lt;/Q&gt;&lt;R&gt;1&lt;/R&gt;&lt;C&gt;1&lt;/C&gt;&lt;D xsi:type="xsd:double"&gt;1.8123233&lt;/D&gt;&lt;/FQL&gt;&lt;FQL&gt;&lt;Q&gt;CRS-US^P_BETA_LOCIDX(45103,44925,,"SPX")&lt;/Q&gt;&lt;R&gt;1&lt;/R&gt;&lt;C&gt;1&lt;/C&gt;&lt;D xsi:type="xsd:double"&gt;1.8007922&lt;/D&gt;&lt;/FQL&gt;&lt;FQL&gt;&lt;Q&gt;CRS-US^P_BETA_LOCIDX(45047,44869,,"SPX")&lt;/Q&gt;&lt;R&gt;1&lt;/R&gt;&lt;C&gt;1&lt;/C&gt;&lt;D xsi:type="xsd:double"&gt;1.521753&lt;/D&gt;&lt;/FQL&gt;&lt;FQL&gt;&lt;Q&gt;CRS-US^P_BETA_LOCIDX(44993,44818,,"SPX")&lt;/Q&gt;&lt;R&gt;1&lt;/R&gt;&lt;C&gt;1&lt;/C&gt;&lt;D xsi:type="xsd:double"&gt;1.3871686&lt;/D&gt;&lt;/FQL&gt;&lt;FQL&gt;&lt;Q&gt;CRS-US^P_BETA_LOCIDX(45356,45181,,"SPX")&lt;/Q&gt;&lt;R&gt;1&lt;/R&gt;&lt;C&gt;1&lt;/C&gt;&lt;D xsi:type="xsd:double"&gt;1.294468&lt;/D&gt;&lt;/FQL&gt;&lt;FQL&gt;&lt;Q&gt;CRS-US^P_BETA_LOCIDX(45100,44924,,"SPX")&lt;/Q&gt;&lt;R&gt;1&lt;/R&gt;&lt;C&gt;1&lt;/C&gt;&lt;D xsi:type="xsd:double"&gt;1.7915926&lt;/D&gt;&lt;/FQL&gt;&lt;FQL&gt;&lt;Q&gt;CRS-US^P_BETA_LOCIDX(46042,45870,,"SPX")&lt;/Q&gt;&lt;R&gt;1&lt;/R&gt;&lt;C&gt;1&lt;/C&gt;&lt;D xsi:type="xsd:double"&gt;1.1613673&lt;/D&gt;&lt;/FQL&gt;&lt;FQL&gt;&lt;Q&gt;CRS-US^P_BETA_LOCIDX(45993,45819,,"SPX")&lt;/Q&gt;&lt;R&gt;1&lt;/R&gt;&lt;C&gt;1&lt;/C&gt;&lt;D xsi:type="xsd:double"&gt;1.211959&lt;/D&gt;&lt;/FQL&gt;&lt;FQL&gt;&lt;Q&gt;CRS-US^P_BETA_LOCIDX(45952,45778,,"SPX")&lt;/Q&gt;&lt;R&gt;1&lt;/R&gt;&lt;C&gt;1&lt;/C&gt;&lt;D xsi:type="xsd:double"&gt;0.9994827&lt;/D&gt;&lt;/FQL&gt;&lt;FQL&gt;&lt;Q&gt;CRS-US^P_BETA_LOCIDX(45883,45709,,"SPX")&lt;/Q&gt;&lt;R&gt;1&lt;/R&gt;&lt;C&gt;1&lt;/C&gt;&lt;D xsi:type="xsd:double"&gt;1.5788236&lt;/D&gt;&lt;/FQL&gt;&lt;FQL&gt;&lt;Q&gt;CRS-US^P_BETA_LOCIDX(45852,45674,,"SPX")&lt;/Q&gt;&lt;R&gt;1&lt;/R&gt;&lt;C&gt;1&lt;/C&gt;&lt;D xsi:type="xsd:double"&gt;1.6355202&lt;/D&gt;&lt;/FQL&gt;&lt;FQL&gt;&lt;Q&gt;CRS-US^P_BETA_LOCIDX(45783,45604,,"SPX")&lt;/Q&gt;&lt;R&gt;1&lt;/R&gt;&lt;C&gt;1&lt;/C&gt;&lt;D xsi:type="xsd:double"&gt;1.6761218&lt;/D&gt;&lt;/FQL&gt;&lt;FQL&gt;&lt;Q&gt;CRS-US^P_BETA_LOCIDX(45749,45573,,"SPX")&lt;/Q&gt;&lt;R&gt;1&lt;/R&gt;&lt;C&gt;1&lt;/C&gt;&lt;D xsi:type="xsd:double"&gt;1.8192981&lt;/D&gt;&lt;/FQL&gt;&lt;FQL&gt;&lt;Q&gt;CRS-US^P_BETA_LOCIDX(45715,45539,,"SPX")&lt;/Q&gt;&lt;R&gt;1&lt;/R&gt;&lt;C&gt;1&lt;/C&gt;&lt;D xsi:type="xsd:double"&gt;1.7289436&lt;/D&gt;&lt;/FQL&gt;&lt;FQL&gt;&lt;Q&gt;CRS-US^P_BETA_LOCIDX(45681,45505,,"SPX")&lt;/Q&gt;&lt;R&gt;1&lt;/R&gt;&lt;C&gt;1&lt;/C&gt;&lt;D xsi:type="xsd:double"&gt;1.7427506&lt;/D&gt;&lt;/FQL&gt;&lt;FQL&gt;&lt;Q&gt;CRS-US^P_BETA_LOCIDX(45644,45471,,"SPX")&lt;/Q&gt;&lt;R&gt;1&lt;/R&gt;&lt;C&gt;1&lt;/C&gt;&lt;D xsi:type="xsd:double"&gt;1.7144614&lt;/D&gt;&lt;/FQL&gt;&lt;FQL&gt;&lt;Q&gt;CRS-US^P_BETA_LOCIDX(45610,45436,,"SPX")&lt;/Q&gt;&lt;R&gt;1&lt;/R&gt;&lt;C&gt;1&lt;/C&gt;&lt;D xsi:type="xsd:double"&gt;1.7696395&lt;/D&gt;&lt;/FQL&gt;&lt;FQL&gt;&lt;Q&gt;CRS-US^P_BETA_LOCIDX(45517,45343,,"SPX")&lt;/Q&gt;&lt;R&gt;1&lt;/R&gt;&lt;C&gt;1&lt;/C&gt;&lt;D xsi:type="xsd:double"&gt;1.0414313&lt;/D&gt;&lt;/FQL&gt;&lt;FQL&gt;&lt;Q&gt;CRH-US^P_BETA_LOCIDX(44956,44781,,"SPX")&lt;/Q&gt;&lt;R&gt;1&lt;/R&gt;&lt;C&gt;1&lt;/C&gt;&lt;D xsi:type="xsd:double"&gt;1.2042937&lt;/D&gt;&lt;/FQL&gt;&lt;FQL&gt;&lt;Q&gt;CRH-US^P_BETA_LOCIDX(44953,44778,,"SPX")&lt;/Q&gt;&lt;R&gt;1&lt;/R&gt;&lt;C&gt;1&lt;/C&gt;&lt;D xsi:type="xsd:double"&gt;1.2089975&lt;/D&gt;&lt;/FQL&gt;&lt;FQL&gt;&lt;Q&gt;CRH-US^P_BETA_LOCIDX(44952,44777,,"SPX")&lt;/Q&gt;&lt;R&gt;1&lt;/R&gt;&lt;C&gt;1&lt;/C&gt;&lt;D xsi:type="xsd:double"&gt;1.2084668&lt;/D&gt;&lt;/FQL&gt;&lt;FQL&gt;&lt;Q&gt;CRH-US^P_BETA_LOCIDX(44951,44776,,"SPX")&lt;/Q&gt;&lt;R&gt;1&lt;/R&gt;&lt;C&gt;1&lt;/C&gt;&lt;D xsi:type="xsd:double"&gt;1.2097951&lt;/D&gt;&lt;/FQL&gt;&lt;FQL&gt;&lt;Q&gt;CRH-US^P_BETA_LOCIDX(44950,44775,,"SPX")&lt;/Q&gt;&lt;R&gt;1&lt;/R&gt;&lt;C&gt;1&lt;/C&gt;&lt;D xsi:type="xsd:double"&gt;1.2145661&lt;/D&gt;&lt;/FQL&gt;&lt;FQL&gt;&lt;Q&gt;CRH-US^P_BETA_LOCIDX(44949,44774,,"SPX")&lt;/Q&gt;&lt;R&gt;1&lt;/R&gt;&lt;C&gt;1&lt;/C&gt;&lt;D xsi:type="xsd:double"&gt;1.2151493&lt;/D&gt;&lt;/FQL&gt;&lt;FQL&gt;&lt;Q&gt;CRH-US^P_BETA_LOCIDX(44946,44771,,"SPX")&lt;/Q&gt;&lt;R&gt;1&lt;/R&gt;&lt;C&gt;1&lt;/C&gt;&lt;D xsi:type="xsd:double"&gt;1.21901&lt;/D&gt;&lt;/FQL&gt;&lt;FQL&gt;&lt;Q&gt;CRH-US^P_BETA_LOCIDX(44945,44770,,"SPX")&lt;/Q&gt;&lt;R&gt;1&lt;/R&gt;&lt;C&gt;1&lt;/C&gt;&lt;D xsi:type="xsd:double"&gt;1.230016&lt;/D&gt;&lt;/FQL&gt;&lt;FQL&gt;&lt;Q&gt;CRH-US^P_BETA_LOCIDX(44944,44769,,"SPX")&lt;/Q&gt;&lt;R&gt;1&lt;/R&gt;&lt;C&gt;1&lt;/C&gt;&lt;D xsi:type="xsd:double"&gt;1.2392237&lt;/D&gt;&lt;/FQL&gt;&lt;FQL&gt;&lt;Q&gt;CRH-US^P_BETA_LOCIDX(44943,44768,,"SPX")&lt;/Q&gt;&lt;R&gt;1&lt;/R&gt;&lt;C&gt;1&lt;/C&gt;&lt;D xsi:type="xsd:double"&gt;1.2449257&lt;/D&gt;&lt;/FQL&gt;&lt;FQL&gt;&lt;Q&gt;CRH-US^P_BETA_LOCIDX(44939,44767,,"SPX")&lt;/Q&gt;&lt;R&gt;1&lt;/R&gt;&lt;C&gt;1&lt;/C&gt;&lt;D xsi:type="xsd:double"&gt;1.2446722&lt;/D&gt;&lt;/FQL&gt;&lt;FQL&gt;&lt;Q&gt;CRH-US^P_BETA_LOCIDX(44938,44764,,"SPX")&lt;/Q&gt;&lt;R&gt;1&lt;/R&gt;&lt;C&gt;1&lt;/C&gt;&lt;D xsi:type="xsd:double"&gt;1.2408336&lt;/D&gt;&lt;/FQL&gt;&lt;FQL&gt;&lt;Q&gt;CRH-US^P_BETA_LOCIDX(44937,44763,,"SPX")&lt;/Q&gt;&lt;R&gt;1&lt;/R&gt;&lt;C&gt;1&lt;/C&gt;&lt;D xsi:type="xsd:double"&gt;1.240657&lt;/D&gt;&lt;/FQL&gt;&lt;FQL&gt;&lt;Q&gt;CRH-US^P_BETA_LOCIDX(44936,44762,,"SPX")&lt;/Q&gt;&lt;R&gt;1&lt;/R&gt;&lt;C&gt;1&lt;/C&gt;&lt;D xsi:type="xsd:double"&gt;1.2318437&lt;/D&gt;&lt;/FQL&gt;&lt;FQL&gt;&lt;Q&gt;CRH-US^P_BETA_LOCIDX(44935,44761,,"SPX")&lt;/Q&gt;&lt;R&gt;1&lt;/R&gt;&lt;C&gt;1&lt;/C&gt;&lt;D xsi:type="xsd:double"&gt;1.2450085&lt;/D&gt;&lt;/FQL&gt;&lt;FQL&gt;&lt;Q&gt;CRH-US^P_BETA_LOCIDX(44932,44760,,"SPX")&lt;/Q&gt;&lt;R&gt;1&lt;/R&gt;&lt;C&gt;1&lt;/C&gt;&lt;D xsi:type="xsd:double"&gt;1.241188&lt;/D&gt;&lt;/FQL&gt;&lt;FQL&gt;&lt;Q&gt;CRH-US^P_BETA_LOCIDX(44931,44757,,"SPX")&lt;/Q&gt;&lt;R&gt;1&lt;/R&gt;&lt;C&gt;1&lt;/C&gt;&lt;D xsi:type="xsd:double"&gt;1.2311411&lt;/D&gt;&lt;/FQL&gt;&lt;FQL&gt;&lt;Q&gt;CRH-US^P_BETA_LOCIDX(44930,44756,,"SPX")&lt;/Q&gt;&lt;R&gt;1&lt;/R&gt;&lt;C&gt;1&lt;/C&gt;&lt;D xsi:type="xsd:double"&gt;1.2286605&lt;/D&gt;&lt;/FQL&gt;&lt;FQL&gt;&lt;Q&gt;CRH-US^P_BETA_LOCIDX(44929,44755,,"SPX")&lt;/Q&gt;&lt;R&gt;1&lt;/R&gt;&lt;C&gt;1&lt;/C&gt;&lt;D xsi:type="xsd:double"&gt;1.2191637&lt;/D&gt;&lt;/FQL&gt;&lt;FQL&gt;&lt;Q&gt;CRH-US^P_BETA_LOCIDX(44925,44754,,"SPX")&lt;/Q&gt;&lt;R&gt;1&lt;/R&gt;&lt;C&gt;1&lt;/C&gt;&lt;D xsi:type="xsd:double"&gt;1.2192043&lt;/D&gt;&lt;/FQL&gt;&lt;FQL&gt;&lt;Q&gt;CRH-US^P_BETA_LOCIDX(44924,44753,,"SPX")&lt;/Q&gt;&lt;R&gt;1&lt;/R&gt;&lt;C&gt;1&lt;/C&gt;&lt;D xsi:type="xsd:double"&gt;1.2176385&lt;/D&gt;&lt;/FQL&gt;&lt;FQL&gt;&lt;Q&gt;CRH-US^P_BETA_LOCIDX(44923,44750,,"SPX")&lt;/Q&gt;&lt;R&gt;1&lt;/R&gt;&lt;C&gt;1&lt;/C&gt;&lt;D xsi:type="xsd:double"&gt;1.2232583&lt;/D&gt;&lt;/FQL&gt;&lt;FQL&gt;&lt;Q&gt;CRH-US^P_BETA_LOCIDX(44922,44749,,"SPX")&lt;/Q&gt;&lt;R&gt;1&lt;/R&gt;&lt;C&gt;1&lt;/C&gt;&lt;D xsi:type="xsd:double"&gt;1.2182051&lt;/D&gt;&lt;/FQL&gt;&lt;FQL&gt;&lt;Q&gt;CRH-US^P_BETA_LOCIDX(44918,44748,,"SPX")&lt;/Q&gt;&lt;R&gt;1&lt;/R&gt;&lt;C&gt;1&lt;/C&gt;&lt;D xsi:type="xsd:double"&gt;1.2192385&lt;/D&gt;&lt;/FQL&gt;&lt;FQL&gt;&lt;Q&gt;CRH-US^P_BETA_LOCIDX(44917,44747,,"SPX")&lt;/Q&gt;&lt;R&gt;1&lt;/R&gt;&lt;C&gt;1&lt;/C&gt;&lt;D xsi:type="xsd:double"&gt;1.21713&lt;/D&gt;&lt;/FQL&gt;&lt;FQL&gt;&lt;Q&gt;CRH-US^P_BETA_LOCIDX(44916,44743,,"SPX")&lt;/Q&gt;&lt;R&gt;1&lt;/R&gt;&lt;C&gt;1&lt;/C&gt;&lt;D xsi:type="xsd:double"&gt;1.2176254&lt;/D&gt;&lt;/FQL&gt;&lt;FQL&gt;&lt;Q&gt;CRH-US^P_BETA_LOCIDX(44915,44742,,"SPX")&lt;/Q&gt;&lt;R&gt;1&lt;/R&gt;&lt;C&gt;1&lt;/C&gt;&lt;D xsi:type="xsd:double"&gt;1.2146719&lt;/D&gt;&lt;/FQL&gt;&lt;FQL&gt;&lt;Q&gt;CRH-US^P_BETA_LOCIDX(44914,44741,,"SPX")&lt;/Q&gt;&lt;R&gt;1&lt;/R&gt;&lt;C&gt;1&lt;/C&gt;&lt;D xsi:type="xsd:double"&gt;1.2144513&lt;/D&gt;&lt;/FQL&gt;&lt;FQL&gt;&lt;Q&gt;CRH-US^P_BETA_LOCIDX(44911,44740,,"SPX")&lt;/Q&gt;&lt;R&gt;1&lt;/R&gt;&lt;C&gt;1&lt;/C&gt;&lt;D xsi:type="xsd:double"&gt;1.2174065&lt;/D&gt;&lt;/FQL&gt;&lt;FQL&gt;&lt;Q&gt;CRH-US^P_BETA_LOCIDX(44910,44739,,"SPX")&lt;/Q&gt;&lt;R&gt;1&lt;/R&gt;&lt;C&gt;1&lt;/C&gt;&lt;D xsi:type="xsd:double"&gt;1.2212427&lt;/D&gt;&lt;/FQL&gt;&lt;FQL&gt;&lt;Q&gt;CRH-US^P_BETA_LOCIDX(44909,44736,,"SPX")&lt;/Q&gt;&lt;R&gt;1&lt;/R&gt;&lt;C&gt;1&lt;/C&gt;&lt;D xsi:type="xsd:double"&gt;1.2025504&lt;/D&gt;&lt;/FQL&gt;&lt;FQL&gt;&lt;Q&gt;CRH-US^P_BETA_LOCIDX(44908,44735,,"SPX")&lt;/Q&gt;&lt;R&gt;1&lt;/R&gt;&lt;C&gt;1&lt;/C&gt;&lt;D xsi:type="xsd:double"&gt;1.1995728&lt;/D&gt;&lt;/FQL&gt;&lt;FQL&gt;&lt;Q&gt;CRH-US^P_BETA_LOCIDX(44907,44734,,"SPX")&lt;/Q&gt;&lt;R&gt;1&lt;/R&gt;&lt;C&gt;1&lt;/C&gt;&lt;D xsi:type="xsd:double"&gt;1.1983807&lt;/D&gt;&lt;/FQL&gt;&lt;FQL&gt;&lt;Q&gt;CRH-US^P_BETA_LOCIDX(44904,44733,,"SPX")&lt;/Q&gt;&lt;R&gt;1&lt;/R&gt;&lt;C&gt;1&lt;/C&gt;&lt;D xsi:type="xsd:double"&gt;1.159505&lt;/D&gt;&lt;/FQL&gt;&lt;FQL&gt;&lt;Q&gt;CRH-US^P_BETA_LOCIDX(44903,44729,,"SPX")&lt;/Q&gt;&lt;R&gt;1&lt;/R&gt;&lt;C&gt;1&lt;/C&gt;&lt;D xsi:type="xsd:double"&gt;1.1647305&lt;/D&gt;&lt;/FQL&gt;&lt;FQL&gt;&lt;Q&gt;CRH-US^P_BETA_LOCIDX(44902,44728,,"SPX")&lt;/Q&gt;&lt;R&gt;1&lt;/R&gt;&lt;C&gt;1&lt;/C&gt;&lt;D xsi:type="xsd:double"&gt;1.142582&lt;/D&gt;&lt;/FQL&gt;&lt;FQL&gt;&lt;Q&gt;CRH-US^P_BETA_LOCIDX(44901,44727,,"SPX")&lt;/Q&gt;&lt;R&gt;1&lt;/R&gt;&lt;C&gt;1&lt;/C&gt;&lt;D xsi:type="xsd:double"&gt;1.1440921&lt;/D&gt;&lt;/FQL&gt;&lt;FQL&gt;&lt;Q&gt;CRH-US^P_BETA_LOCIDX(44900,44726,,"SPX")&lt;/Q&gt;&lt;R&gt;1&lt;/R&gt;&lt;C&gt;1&lt;/C&gt;&lt;D xsi:type="xsd:double"&gt;1.1501566&lt;/D&gt;&lt;/FQL&gt;&lt;FQL&gt;&lt;Q&gt;CRH-US^P_BETA_LOCIDX(44897,44725,,"SPX")&lt;/Q&gt;&lt;R&gt;1&lt;/R&gt;&lt;C&gt;1&lt;/C&gt;&lt;D xsi:type="xsd:double"&gt;1.1401099&lt;/D&gt;&lt;/FQL&gt;&lt;FQL&gt;&lt;Q&gt;CRH-US^P_BETA_LOCIDX(44896,44722,,"SPX")&lt;/Q&gt;&lt;R&gt;1&lt;/R&gt;&lt;C&gt;1&lt;/C&gt;&lt;D xsi:type="xsd:double"&gt;1.174956&lt;/D&gt;&lt;/FQL&gt;&lt;FQL&gt;&lt;Q&gt;CRH-US^P_BETA_LOCIDX(44895,44721,,"SPX")&lt;/Q&gt;&lt;R&gt;1&lt;/R&gt;&lt;C&gt;1&lt;/C&gt;&lt;D xsi:type="xsd:double"&gt;1.1651534&lt;/D&gt;&lt;/FQL&gt;&lt;FQL&gt;&lt;Q&gt;CRH-US^P_BETA_LOCIDX(44894,44720,,"SPX")&lt;/Q&gt;&lt;R&gt;1&lt;/R&gt;&lt;C&gt;1&lt;/C&gt;&lt;D xsi:type="xsd:double"&gt;1.2032325&lt;/D&gt;&lt;/FQL&gt;&lt;FQL&gt;&lt;Q&gt;CRH-US^P_BETA_LOCIDX(44893,44719,,"SPX")&lt;/Q&gt;&lt;R&gt;1&lt;/R&gt;&lt;C&gt;1&lt;/C&gt;&lt;D xsi:type="xsd:double"&gt;1.2019415&lt;/D&gt;&lt;/FQL&gt;&lt;FQL&gt;&lt;Q&gt;CRH-US^P_BETA_LOCIDX(44890,44718,,"SPX")&lt;/Q&gt;&lt;R&gt;1&lt;/R&gt;&lt;C&gt;1&lt;/C&gt;&lt;D xsi:type="xsd:double"&gt;1.1977583&lt;/D&gt;&lt;/FQL&gt;&lt;FQL&gt;&lt;Q&gt;CRH-US^P_BETA_LOCIDX(44888,44715,,"SPX")&lt;/Q&gt;&lt;R&gt;1&lt;/R&gt;&lt;C&gt;1&lt;/C&gt;&lt;D xsi:type="xsd:double"&gt;1.1950003&lt;/D&gt;&lt;/FQL&gt;&lt;FQL&gt;&lt;Q&gt;CRH-US^P_BETA_LOCIDX(44887,44714,,"SPX")&lt;/Q&gt;&lt;R&gt;1&lt;/R&gt;&lt;C&gt;1&lt;/C&gt;&lt;D xsi:type="xsd:double"&gt;1.1969725&lt;/D&gt;&lt;/FQL&gt;&lt;FQL&gt;&lt;Q&gt;CRH-US^P_BETA_LOCIDX(44886,44713,,"SPX")&lt;/Q&gt;&lt;R&gt;1&lt;/R&gt;&lt;C&gt;1&lt;/C&gt;&lt;D xsi:type="xsd:double"&gt;1.2047358&lt;/D&gt;&lt;/FQL&gt;&lt;FQL&gt;&lt;Q&gt;CRH-US^P_BETA_LOCIDX(44883,44712,,"SPX")&lt;/Q&gt;&lt;R&gt;1&lt;/R&gt;&lt;C&gt;1&lt;/C&gt;&lt;D xsi:type="xsd:double"&gt;1.2053725&lt;/D&gt;&lt;/FQL&gt;&lt;FQL&gt;&lt;Q&gt;CRH-US^P_BETA_LOCIDX(44882,44708,,"SPX")&lt;/Q&gt;&lt;R&gt;1&lt;/R&gt;&lt;C&gt;1&lt;/C&gt;&lt;D xsi:type="xsd:double"&gt;1.191661&lt;/D&gt;&lt;/FQL&gt;&lt;FQL&gt;&lt;Q&gt;CRH-US^P_BETA_LOCIDX(44881,44707,,"SPX")&lt;/Q&gt;&lt;R&gt;1&lt;/R&gt;&lt;C&gt;1&lt;/C&gt;&lt;D xsi:type="xsd:double"&gt;1.184524&lt;/D&gt;&lt;/FQL&gt;&lt;FQL&gt;&lt;Q&gt;CRH-US^P_BETA_LOCIDX(44880,44706,,"SPX")&lt;/Q&gt;&lt;R&gt;1&lt;/R&gt;&lt;C&gt;1&lt;/C&gt;&lt;D xsi:type="xsd:double"&gt;1.1833975&lt;/D&gt;&lt;/FQL&gt;&lt;FQL&gt;&lt;Q&gt;CRH-US^P_BETA_LOCIDX(44879,44705,,"SPX")&lt;/Q&gt;&lt;R&gt;1&lt;/R&gt;&lt;C&gt;1&lt;/C&gt;&lt;D xsi:type="xsd:double"&gt;1.1811571&lt;/D&gt;&lt;/FQL&gt;&lt;FQL&gt;&lt;Q&gt;CRH-US^P_BETA_LOCIDX(44876,44704,,"SPX")&lt;/Q&gt;&lt;R&gt;1&lt;/R&gt;&lt;C&gt;1&lt;/C&gt;&lt;D xsi:type="xsd:double"&gt;1.1746646&lt;/D&gt;&lt;/FQL&gt;&lt;FQL&gt;&lt;Q&gt;CRH-US^P_BETA_LOCIDX(44875,44701,,"SPX")&lt;/Q&gt;&lt;R&gt;1&lt;/R&gt;&lt;C&gt;1&lt;/C&gt;&lt;D xsi:type="xsd:double"&gt;1.1689473&lt;/D&gt;&lt;/FQL&gt;&lt;FQL&gt;&lt;Q&gt;CRH-US^P_BETA_LOCIDX(44874,44700,,"SPX")&lt;/Q&gt;&lt;R&gt;1&lt;/R&gt;&lt;C&gt;1&lt;/C&gt;&lt;D xsi:type="xsd:double"&gt;1.1312919&lt;/D&gt;&lt;/FQL&gt;&lt;FQL&gt;&lt;Q&gt;CRH-US^P_BETA_LOCIDX(44873,44699,,"SPX")&lt;/Q&gt;&lt;R&gt;1&lt;/R&gt;&lt;C&gt;1&lt;/C&gt;&lt;D xsi:type="xsd:double"&gt;1.1186848&lt;/D&gt;&lt;/FQL&gt;&lt;FQL&gt;&lt;Q&gt;CRH-US^P_BETA_LOCIDX(44872,44698,,"SPX")&lt;/Q&gt;&lt;R&gt;1&lt;/R&gt;&lt;C&gt;1&lt;/C&gt;&lt;D xsi:type="xsd:double"&gt;1.1346861&lt;/D&gt;&lt;/FQL&gt;&lt;FQL&gt;&lt;Q&gt;CRH-US^P_BETA_LOCIDX(44869,44697,,"SPX")&lt;/Q&gt;&lt;R&gt;1&lt;/R&gt;&lt;C&gt;1&lt;/C&gt;&lt;D xsi:type="xsd:double"&gt;1.1385483&lt;/D&gt;&lt;/FQL&gt;&lt;FQL&gt;&lt;Q&gt;CRH-US^P_BETA_LOCIDX(44868,44694,,"SPX")&lt;/Q&gt;&lt;R&gt;1&lt;/R&gt;&lt;C&gt;1&lt;/C&gt;&lt;D xsi:type="xsd:double"&gt;1.1216245&lt;/D&gt;&lt;/FQL&gt;&lt;FQL&gt;&lt;Q&gt;CRH-US^P_BETA_LOCIDX(44867,44693,,"SPX")&lt;/Q&gt;&lt;R&gt;1&lt;/R&gt;&lt;C&gt;1&lt;/C&gt;&lt;D xsi:type="xsd:double"&gt;1.1314542&lt;/D&gt;&lt;/FQL&gt;&lt;FQL&gt;&lt;Q&gt;CRH-US^P_BETA_LOCIDX(44866,44692,,"SPX")&lt;/Q&gt;&lt;R&gt;1&lt;/R&gt;&lt;C&gt;1&lt;/C&gt;&lt;D xsi:type="xsd:double"&gt;1.1180162&lt;/D&gt;&lt;/FQL&gt;&lt;FQL&gt;&lt;Q&gt;CRH-US^P_BETA_LOCIDX(44865,44691,,"SPX")&lt;/Q&gt;&lt;R&gt;1&lt;/R&gt;&lt;C&gt;1&lt;/C&gt;&lt;D xsi:type="xsd:double"&gt;1.1179757&lt;/D&gt;&lt;/FQL&gt;&lt;FQL&gt;&lt;Q&gt;CRH-US^P_BETA_LOCIDX(44862,44690,,"SPX")&lt;/Q&gt;&lt;R&gt;1&lt;/R&gt;&lt;C&gt;1&lt;/C&gt;&lt;D xsi:type="xsd:double"&gt;1.1028931&lt;/D&gt;&lt;/FQL&gt;&lt;FQL&gt;&lt;Q&gt;CRH-US^P_BETA_LOCIDX(44861,44687,,"SPX")&lt;/Q&gt;&lt;R&gt;1&lt;/R&gt;&lt;C&gt;1&lt;/C&gt;&lt;D xsi:type="xsd:double"&gt;1.0933615&lt;/D&gt;&lt;/FQL&gt;&lt;FQL&gt;&lt;Q&gt;CRH-US^P_BETA_LOCIDX(44860,44686,,"SPX")&lt;/Q&gt;&lt;R&gt;1&lt;/R&gt;&lt;C&gt;1&lt;/C&gt;&lt;D xsi:type="xsd:double"&gt;1.0998174&lt;/D&gt;&lt;/FQL&gt;&lt;FQL&gt;&lt;Q&gt;CRH-US^P_BETA_LOCIDX(44859,44685,,"SPX")&lt;/Q&gt;&lt;R&gt;1&lt;/R&gt;&lt;C&gt;1&lt;/C&gt;&lt;D xsi:type="xsd:double"&gt;1.090981&lt;/D&gt;&lt;/FQL&gt;&lt;FQL&gt;&lt;Q&gt;CRH-US^P_BETA_LOCIDX(44858,44684,,"SPX")&lt;/Q&gt;&lt;R&gt;1&lt;/R&gt;&lt;C&gt;1&lt;/C&gt;&lt;D xsi:type="xsd:double"&gt;1.0883456&lt;/D&gt;&lt;/FQL&gt;&lt;FQL&gt;&lt;Q&gt;CRH-US^P_BETA_LOCIDX(44855,44683,,"SPX")&lt;/Q&gt;&lt;R&gt;1&lt;/R&gt;&lt;C&gt;1&lt;/C&gt;&lt;D xsi:type="xsd:double"&gt;1.085933&lt;/D&gt;&lt;/FQL&gt;&lt;FQL&gt;&lt;Q&gt;CRH-US^P_BETA_LOCIDX(44854,44680,,"SPX")&lt;/Q&gt;&lt;R&gt;1&lt;/R&gt;&lt;C&gt;1&lt;/C&gt;&lt;D xsi:type="xsd:double"&gt;1.0728747&lt;/D&gt;&lt;/FQL&gt;&lt;FQL&gt;&lt;Q&gt;CRH-US^P_BETA_LOCIDX(44853,44679,,"SPX")&lt;/Q&gt;&lt;R&gt;1&lt;/R&gt;&lt;C&gt;1&lt;/C&gt;&lt;D xsi:type="xsd:double"&gt;1.0662199&lt;/D&gt;&lt;/FQL&gt;&lt;FQL&gt;&lt;Q&gt;CRH-US^P_BETA_LOCIDX(44852,44678,,"SPX")&lt;/Q&gt;&lt;R&gt;1&lt;/R&gt;&lt;C&gt;1&lt;/C&gt;&lt;D xsi:type="xsd:double"&gt;1.0653558&lt;/D&gt;&lt;/FQL&gt;&lt;FQL&gt;&lt;Q&gt;CRH-US^P_BETA_LOCIDX(44851,44677,,"SPX")&lt;/Q&gt;&lt;R&gt;1&lt;/R&gt;&lt;C&gt;1&lt;/C&gt;&lt;D xsi:type="xsd:double"&gt;1.0656173&lt;/D&gt;&lt;/FQL&gt;&lt;FQL&gt;&lt;Q&gt;CRH-US^P_BETA_LOCIDX(44848,44676,,"SPX")&lt;/Q&gt;&lt;R&gt;1&lt;/R&gt;&lt;C&gt;1&lt;/C&gt;&lt;D xsi:type="xsd:double"&gt;1.0503478&lt;/D&gt;&lt;/FQL&gt;&lt;FQL&gt;&lt;Q&gt;CRH-US^P_BETA_LOCIDX(44847,44673,,"SPX")&lt;/Q&gt;&lt;R&gt;1&lt;/R&gt;&lt;C&gt;1&lt;/C&gt;&lt;D xsi:type="xsd:double"&gt;1.0367146&lt;/D&gt;&lt;/FQL&gt;&lt;FQL&gt;&lt;Q&gt;CRH-US^P_BETA_LOCIDX(44846,44672,,"SPX")&lt;/Q&gt;&lt;R&gt;1&lt;/R&gt;&lt;C&gt;1&lt;/C&gt;&lt;D xsi:type="xsd:double"&gt;1.0324999&lt;/D&gt;&lt;/FQL&gt;&lt;FQL&gt;&lt;Q&gt;CRH-US^P_BETA_LOCIDX(44845,44671,,"SPX")&lt;/Q&gt;&lt;R&gt;1&lt;/R&gt;&lt;C&gt;1&lt;/C&gt;&lt;D xsi:type="xsd:double"&gt;1.0344895&lt;/D&gt;&lt;/FQL&gt;&lt;FQL&gt;&lt;Q&gt;CRH-US^P_BETA_LOCIDX(44844,44670,,"SPX")&lt;/Q&gt;&lt;R&gt;1&lt;/R&gt;&lt;C&gt;1&lt;/C&gt;&lt;D xsi:type="xsd:double"&gt;1.0361428&lt;/D&gt;&lt;/FQL&gt;&lt;FQL&gt;&lt;Q&gt;CRH-US^P_BETA_LOCIDX(44841,44669,,"SPX")&lt;/Q&gt;&lt;R&gt;1&lt;/R&gt;&lt;C&gt;1&lt;/C&gt;&lt;D xsi:type="xsd:double"&gt;1.0395468&lt;/D&gt;&lt;/FQL&gt;&lt;FQL&gt;&lt;Q&gt;CRH-US^P_BETA_LOCIDX(44840,44665,,"SPX")&lt;/Q&gt;&lt;R&gt;1&lt;/R&gt;&lt;C&gt;1&lt;/C&gt;&lt;D xsi:type="xsd:double"&gt;1.0372854&lt;/D&gt;&lt;/FQL&gt;&lt;FQL&gt;&lt;Q&gt;CRH-US^P_BETA_LOCIDX(44839,44664,,"SPX")&lt;/Q&gt;&lt;R&gt;1&lt;/R&gt;&lt;C&gt;1&lt;/C&gt;&lt;D xsi:type="xsd:double"&gt;1.0373172&lt;/D&gt;&lt;/FQL&gt;&lt;FQL&gt;&lt;Q&gt;CRH-US^P_BETA_LOCIDX(44838,44663,,"SPX")&lt;/Q&gt;&lt;R&gt;1&lt;/R&gt;&lt;C&gt;1&lt;/C&gt;&lt;D xsi:type="xsd:double"&gt;1.0376346&lt;/D&gt;&lt;/FQL&gt;&lt;FQL&gt;&lt;Q&gt;CRH-US^P_BETA_LOCIDX(44837,44662,,"SPX")&lt;/Q&gt;&lt;R&gt;1&lt;/R&gt;&lt;C&gt;1&lt;/C&gt;&lt;D xsi:type="xsd:double"&gt;0.9944604&lt;/D&gt;&lt;/FQL&gt;&lt;FQL&gt;&lt;Q&gt;CRH-US^P_BETA_LOCIDX(44834,44659,,"SPX")&lt;/Q&gt;&lt;R&gt;1&lt;/R&gt;&lt;C&gt;1&lt;/C&gt;&lt;D xsi:type="xsd:double"&gt;0.9970993&lt;/D&gt;&lt;/FQL&gt;&lt;FQL&gt;&lt;Q&gt;CRH-US^P_BETA_LOCIDX(44833,44658,,"SPX")&lt;/Q&gt;&lt;R&gt;1&lt;/R&gt;&lt;C&gt;1&lt;/C&gt;&lt;D xsi:type="xsd:double"&gt;1.0048599&lt;/D&gt;&lt;/FQL&gt;&lt;FQL&gt;&lt;Q&gt;CRH-US^P_BETA_LOCIDX(44832,44657,,"SPX")&lt;/Q&gt;&lt;R&gt;1&lt;/R&gt;&lt;C&gt;1&lt;/C&gt;&lt;D xsi:type="xsd:double"&gt;1.0127366&lt;/D&gt;&lt;/FQL&gt;&lt;FQL&gt;&lt;Q&gt;CRH-US^P_BETA_LOCIDX(44831,44656,,"SPX")&lt;/Q&gt;&lt;R&gt;1&lt;/R&gt;&lt;C&gt;1&lt;/C&gt;&lt;D xsi:type="xsd:double"&gt;1.0105476&lt;/D&gt;&lt;/FQL&gt;&lt;FQL&gt;&lt;Q&gt;CRH-US^P_BETA_LOCIDX(44830,44655,,"SPX")&lt;/Q&gt;&lt;R&gt;1&lt;/R&gt;&lt;C&gt;1&lt;/C&gt;&lt;D xsi:type="xsd:double"&gt;1.0079198&lt;/D&gt;&lt;/FQL&gt;&lt;FQL&gt;&lt;Q&gt;CRH-US^P_BETA_LOCIDX(44827,44652,,"SPX")&lt;/Q&gt;&lt;R&gt;1&lt;/R&gt;&lt;C&gt;1&lt;/C&gt;&lt;D xsi:type="xsd:double"&gt;1.008234&lt;/D&gt;&lt;/FQL&gt;&lt;FQL&gt;&lt;Q&gt;CRH-US^P_BETA_LOCIDX(44826,44651,,"SPX")&lt;/Q&gt;&lt;R&gt;1&lt;/R&gt;&lt;C&gt;1&lt;/C&gt;&lt;D xsi:type="xsd:double"&gt;0.9979099&lt;/D&gt;&lt;/FQL&gt;&lt;FQL&gt;&lt;Q&gt;CRH-US^P_BETA_LOCIDX(44825,44650,,"SPX")&lt;/Q&gt;&lt;R&gt;1&lt;/R&gt;&lt;C&gt;1&lt;/C&gt;&lt;D xsi:type="xsd:double"&gt;1.0028472&lt;/D&gt;&lt;/FQL&gt;&lt;FQL&gt;&lt;Q&gt;CRH-US^P_BETA_LOCIDX(44824,44649,,"SPX")&lt;/Q&gt;&lt;R&gt;1&lt;/R&gt;&lt;C&gt;1&lt;/C&gt;&lt;D xsi:type="xsd:double"&gt;1.0114475&lt;/D&gt;&lt;/FQL&gt;&lt;FQL&gt;&lt;Q&gt;CRH-US^P_BETA_LOCIDX(44823,44648,,"SPX")&lt;/Q&gt;&lt;R&gt;1&lt;/R&gt;&lt;C&gt;1&lt;/C&gt;&lt;D xsi:type="xsd:double"&gt;0.9939856&lt;/D&gt;&lt;/FQL&gt;&lt;FQL&gt;&lt;Q&gt;CRH-US^P_BETA_LOCIDX(44820,44645,,"SPX")&lt;/Q&gt;&lt;R&gt;1&lt;/R&gt;&lt;C&gt;1&lt;/C&gt;&lt;D xsi:type="xsd:double"&gt;0.9887608&lt;/D&gt;&lt;/FQL&gt;&lt;FQL&gt;&lt;Q&gt;CRH-US^P_BETA_LOCIDX(44819,44644,,"SPX")&lt;/Q&gt;&lt;R&gt;1&lt;/R&gt;&lt;C&gt;1&lt;/C&gt;&lt;D xsi:type="xsd:double"&gt;0.98686343&lt;/D&gt;&lt;/FQL&gt;&lt;FQL&gt;&lt;Q&gt;CRH-US^P_BETA_LOCIDX(44818,44643,,"SPX")&lt;/Q&gt;&lt;R&gt;1&lt;/R&gt;&lt;C&gt;1&lt;/C&gt;&lt;D xsi:type="xsd:double"&gt;0.9963186&lt;/D&gt;&lt;/FQL&gt;&lt;FQL&gt;&lt;Q&gt;CRH-US^P_BETA_LOCIDX(44817,44642,,"SPX")&lt;/Q&gt;&lt;R&gt;1&lt;/R&gt;&lt;C&gt;1&lt;/C&gt;&lt;D xsi:type="xsd:double"&gt;0.9887781&lt;/D&gt;&lt;/FQL&gt;&lt;FQL&gt;&lt;Q&gt;CRH-US^P_BETA_LOCIDX(44816,44641,,"SPX")&lt;/Q&gt;&lt;R&gt;1&lt;/R&gt;&lt;C&gt;1&lt;/C&gt;&lt;D xsi:type="xsd:double"&gt;0.98210824&lt;/D&gt;&lt;/FQL&gt;&lt;FQL&gt;&lt;Q&gt;CRH-US^P_BETA_LOCIDX(44813,44638,,"SPX")&lt;/Q&gt;&lt;R&gt;1&lt;/R&gt;&lt;C&gt;1&lt;/C&gt;&lt;D xsi:type="xsd:double"&gt;0.97851217&lt;/D&gt;&lt;/FQL&gt;&lt;FQL&gt;&lt;Q&gt;CRH-US^P_BETA_LOCIDX(44812,44637,,"SPX")&lt;/Q&gt;&lt;R&gt;1&lt;/R&gt;&lt;C&gt;1&lt;/C&gt;&lt;D xsi:type="xsd:double"&gt;0.9797669&lt;/D&gt;&lt;/FQL&gt;&lt;FQL&gt;&lt;Q&gt;CRH-US^P_BETA_LOCIDX(44811,44636,,"SPX")&lt;/Q&gt;&lt;R&gt;1&lt;/R&gt;&lt;C&gt;1&lt;/C&gt;&lt;D xsi:type="xsd:double"&gt;0.97059286&lt;/D&gt;&lt;/FQL&gt;&lt;FQL&gt;&lt;Q&gt;CRH-US^P_BETA_LOCIDX(44810,44635,,"SPX")&lt;/Q&gt;&lt;R&gt;1&lt;/R&gt;&lt;C&gt;1&lt;/C&gt;&lt;D xsi:type="xsd:double"&gt;0.96702296&lt;/D&gt;&lt;/FQL&gt;&lt;FQL&gt;&lt;Q&gt;CRH-US^P_BETA_LOCIDX(44806,44634,,"SPX")&lt;/Q&gt;&lt;R&gt;1&lt;/R&gt;&lt;C&gt;1&lt;/C&gt;&lt;D xsi:type="xsd:double"&gt;0.9556221&lt;/D&gt;&lt;/FQL&gt;&lt;FQL&gt;&lt;Q&gt;CRH-US^P_BETA_LOCIDX(44805,44631,,"SPX")&lt;/Q&gt;&lt;R&gt;1&lt;/R&gt;&lt;C&gt;1&lt;/C&gt;&lt;D xsi:type="xsd:double"&gt;0.9470356&lt;/D&gt;&lt;/FQL&gt;&lt;FQL&gt;&lt;Q&gt;CRH-US^P_BETA_LOCIDX(44804,44630,,"SPX")&lt;/Q&gt;&lt;R&gt;1&lt;/R&gt;&lt;C&gt;1&lt;/C&gt;&lt;D xsi:type="xsd:double"&gt;0.9554127&lt;/D&gt;&lt;/FQL&gt;&lt;FQL&gt;&lt;Q&gt;CRH-US^P_BETA_LOCIDX(44803,44629,,"SPX")&lt;/Q&gt;&lt;R&gt;1&lt;/R&gt;&lt;C&gt;1&lt;/C&gt;&lt;D xsi:type="xsd:double"&gt;1.0086937&lt;/D&gt;&lt;/FQL&gt;&lt;FQL&gt;&lt;Q&gt;CRH-US^P_BETA_LOCIDX(44802,44628,,"SPX")&lt;/Q&gt;&lt;R&gt;1&lt;/R&gt;&lt;C&gt;1&lt;/C&gt;&lt;D xsi:type="xsd:double"&gt;1.003762&lt;/D&gt;&lt;/FQL&gt;&lt;FQL&gt;&lt;Q&gt;CRH-US^P_BETA_LOCIDX(44799,44627,,"SPX")&lt;/Q&gt;&lt;R&gt;1&lt;/R&gt;&lt;C&gt;1&lt;/C&gt;&lt;D xsi:type="xsd:double"&gt;1.0065306&lt;/D&gt;&lt;/FQL&gt;&lt;FQL&gt;&lt;Q&gt;CRH-US^P_BETA_LOCIDX(44798,44624,,"SPX")&lt;/Q&gt;&lt;R&gt;1&lt;/R&gt;&lt;C&gt;1&lt;/C&gt;&lt;D xsi:type="xsd:double"&gt;1.0315439&lt;/D&gt;&lt;/FQL&gt;&lt;FQL&gt;&lt;Q&gt;CRH-US^P_BETA_LOCIDX(44797,44623,,"SPX")&lt;/Q&gt;&lt;R&gt;1&lt;/R&gt;&lt;C&gt;1&lt;/C&gt;&lt;D xsi:type="xsd:double"&gt;1.0224309&lt;/D&gt;&lt;/FQL&gt;&lt;FQL&gt;&lt;Q&gt;CRH-US^P_BETA_LOCIDX(44796,44622,,"SPX")&lt;/Q&gt;&lt;R&gt;1&lt;/R&gt;&lt;C&gt;1&lt;/C&gt;&lt;D xsi:type="xsd:double"&gt;1.0277593&lt;/D&gt;&lt;/FQL&gt;&lt;FQL&gt;&lt;Q&gt;CRH-US^P_BETA_LOCIDX(44795,44621,,"SPX")&lt;/Q&gt;&lt;R&gt;1&lt;/R&gt;&lt;C&gt;1&lt;/C&gt;&lt;D xsi:type="xsd:double"&gt;1.0381908&lt;/D&gt;&lt;/FQL&gt;&lt;FQL&gt;&lt;Q&gt;CRH-US^P_BETA_LOCIDX(44792,44620,,"SPX")&lt;/Q&gt;&lt;R&gt;1&lt;/R&gt;&lt;C&gt;1&lt;/C&gt;&lt;D xsi:type="xsd:double"&gt;1.0332258&lt;/D&gt;&lt;/FQL&gt;&lt;FQL&gt;&lt;Q&gt;CRH-US^P_BETA_LOCIDX(44791,44617,,"SPX")&lt;/Q&gt;&lt;R&gt;1&lt;/R&gt;&lt;C&gt;1&lt;/C&gt;&lt;D xsi:type="xsd:double"&gt;1.0424881&lt;/D&gt;&lt;/FQL&gt;&lt;FQL&gt;&lt;Q&gt;CRH-US^P_BETA_LOCIDX(44790,44616,,"SPX")&lt;/Q&gt;&lt;R&gt;1&lt;/R&gt;&lt;C&gt;1&lt;/C&gt;&lt;D xsi:type="xsd:double"&gt;1.0131687&lt;/D&gt;&lt;/FQL&gt;&lt;FQL&gt;&lt;Q&gt;CRH-US^P_BETA_LOCIDX(44789,44615,,"SPX")&lt;/Q&gt;&lt;R&gt;1&lt;/R&gt;&lt;C&gt;1&lt;/C&gt;&lt;D xsi:type="xsd:double"&gt;1.0227185&lt;/D&gt;&lt;/FQL&gt;&lt;FQL&gt;&lt;Q&gt;CRH-US^P_BETA_LOCIDX(44788,44614,,"SPX")&lt;/Q&gt;&lt;R&gt;1&lt;/R&gt;&lt;C&gt;1&lt;/C&gt;&lt;D xsi:type="xsd:double"&gt;1.0242217&lt;/D&gt;&lt;/FQL&gt;&lt;FQL&gt;&lt;Q&gt;CRH-US^P_BETA_LOCIDX(44785,44610,,"SPX")&lt;/Q&gt;&lt;R&gt;1&lt;/R&gt;&lt;C&gt;1&lt;/C&gt;&lt;D xsi:type="xsd:double"&gt;1.023994&lt;/D&gt;&lt;/FQL&gt;&lt;FQL&gt;&lt;Q&gt;CRH-US^P_BETA_LOCIDX(44784,44609,,"SPX")&lt;/Q&gt;&lt;R&gt;1&lt;/R&gt;&lt;C&gt;1&lt;/C&gt;&lt;D xsi:type="xsd:double"&gt;1.0310898&lt;/D&gt;&lt;/FQL&gt;&lt;FQL&gt;&lt;Q&gt;CRH-US^P_BETA_LOCIDX(44783,44608,,"SPX")&lt;/Q&gt;&lt;R&gt;1&lt;/R&gt;&lt;C&gt;1&lt;/C&gt;&lt;D xsi:type="xsd:double"&gt;1.0317174&lt;/D&gt;&lt;/FQL&gt;&lt;FQL&gt;&lt;Q&gt;CRH-US^P_BETA_LOCIDX(44782,44607,,"SPX")&lt;/Q&gt;&lt;R&gt;1&lt;/R&gt;&lt;C&gt;1&lt;/C&gt;&lt;D xsi:type="x</t>
        </r>
      </text>
    </comment>
    <comment ref="A11" authorId="0" shapeId="0" xr:uid="{C313F277-5DD1-4DF7-A799-40BB2A6BA234}">
      <text>
        <r>
          <rPr>
            <b/>
            <sz val="9"/>
            <color indexed="81"/>
            <rFont val="Tahoma"/>
            <charset val="1"/>
          </rPr>
          <t>sd:double"&gt;1.032944&lt;/D&gt;&lt;/FQL&gt;&lt;FQL&gt;&lt;Q&gt;CRH-US^P_BETA_LOCIDX(44781,44606,,"SPX")&lt;/Q&gt;&lt;R&gt;1&lt;/R&gt;&lt;C&gt;1&lt;/C&gt;&lt;D xsi:type="xsd:double"&gt;1.0348355&lt;/D&gt;&lt;/FQL&gt;&lt;FQL&gt;&lt;Q&gt;CRH-US^P_BETA_LOCIDX(44778,44603,,"SPX")&lt;/Q&gt;&lt;R&gt;1&lt;/R&gt;&lt;C&gt;1&lt;/C&gt;&lt;D xsi:type="xsd:double"&gt;1.0327667&lt;/D&gt;&lt;/FQL&gt;&lt;FQL&gt;&lt;Q&gt;CRH-US^P_BETA_LOCIDX(44777,44602,,"SPX")&lt;/Q&gt;&lt;R&gt;1&lt;/R&gt;&lt;C&gt;1&lt;/C&gt;&lt;D xsi:type="xsd:double"&gt;1.0265245&lt;/D&gt;&lt;/FQL&gt;&lt;FQL&gt;&lt;Q&gt;CRH-US^P_BETA_LOCIDX(44776,44601,,"SPX")&lt;/Q&gt;&lt;R&gt;1&lt;/R&gt;&lt;C&gt;1&lt;/C&gt;&lt;D xsi:type="xsd:double"&gt;1.0284907&lt;/D&gt;&lt;/FQL&gt;&lt;FQL&gt;&lt;Q&gt;CRH-US^P_BETA_LOCIDX(44775,44600,,"SPX")&lt;/Q&gt;&lt;R&gt;1&lt;/R&gt;&lt;C&gt;1&lt;/C&gt;&lt;D xsi:type="xsd:double"&gt;1.0252016&lt;/D&gt;&lt;/FQL&gt;&lt;FQL&gt;&lt;Q&gt;CRH-US^P_BETA_LOCIDX(44774,44599,,"SPX")&lt;/Q&gt;&lt;R&gt;1&lt;/R&gt;&lt;C&gt;1&lt;/C&gt;&lt;D xsi:type="xsd:double"&gt;1.0222028&lt;/D&gt;&lt;/FQL&gt;&lt;FQL&gt;&lt;Q&gt;CRH-US^P_BETA_LOCIDX(45113,44937,,"SPX")&lt;/Q&gt;&lt;R&gt;1&lt;/R&gt;&lt;C&gt;1&lt;/C&gt;&lt;D xsi:type="xsd:double"&gt;1.0493939&lt;/D&gt;&lt;/FQL&gt;&lt;FQL&gt;&lt;Q&gt;VMI-US^P_BETA_LOCIDX(45841,45665,,"SPX")&lt;/Q&gt;&lt;R&gt;1&lt;/R&gt;&lt;C&gt;1&lt;/C&gt;&lt;D xsi:type="xsd:double"&gt;1.0332437&lt;/D&gt;&lt;/FQL&gt;&lt;FQL&gt;&lt;Q&gt;VMI-US^P_BETA_LOCIDX(45840,45664,,"SPX")&lt;/Q&gt;&lt;R&gt;1&lt;/R&gt;&lt;C&gt;1&lt;/C&gt;&lt;D xsi:type="xsd:double"&gt;1.0312144&lt;/D&gt;&lt;/FQL&gt;&lt;FQL&gt;&lt;Q&gt;VMI-US^P_BETA_LOCIDX(45839,45663,,"SPX")&lt;/Q&gt;&lt;R&gt;1&lt;/R&gt;&lt;C&gt;1&lt;/C&gt;&lt;D xsi:type="xsd:double"&gt;1.027056&lt;/D&gt;&lt;/FQL&gt;&lt;FQL&gt;&lt;Q&gt;VMI-US^P_BETA_LOCIDX(45838,45660,,"SPX")&lt;/Q&gt;&lt;R&gt;1&lt;/R&gt;&lt;C&gt;1&lt;/C&gt;&lt;D xsi:type="xsd:double"&gt;1.0293741&lt;/D&gt;&lt;/FQL&gt;&lt;FQL&gt;&lt;Q&gt;VMI-US^P_BETA_LOCIDX(45835,45659,,"SPX")&lt;/Q&gt;&lt;R&gt;1&lt;/R&gt;&lt;C&gt;1&lt;/C&gt;&lt;D xsi:type="xsd:double"&gt;1.034087&lt;/D&gt;&lt;/FQL&gt;&lt;FQL&gt;&lt;Q&gt;VMI-US^P_BETA_LOCIDX(45834,45657,,"SPX")&lt;/Q&gt;&lt;R&gt;1&lt;/R&gt;&lt;C&gt;1&lt;/C&gt;&lt;D xsi:type="xsd:double"&gt;1.0335081&lt;/D&gt;&lt;/FQL&gt;&lt;FQL&gt;&lt;Q&gt;VMI-US^P_BETA_LOCIDX(45833,45656,,"SPX")&lt;/Q&gt;&lt;R&gt;1&lt;/R&gt;&lt;C&gt;1&lt;/C&gt;&lt;D xsi:type="xsd:double"&gt;1.0264711&lt;/D&gt;&lt;/FQL&gt;&lt;FQL&gt;&lt;Q&gt;VMI-US^P_BETA_LOCIDX(45832,45653,,"SPX")&lt;/Q&gt;&lt;R&gt;1&lt;/R&gt;&lt;C&gt;1&lt;/C&gt;&lt;D xsi:type="xsd:double"&gt;1.0272031&lt;/D&gt;&lt;/FQL&gt;&lt;FQL&gt;&lt;Q&gt;VMI-US^P_BETA_LOCIDX(45831,45652,,"SPX")&lt;/Q&gt;&lt;R&gt;1&lt;/R&gt;&lt;C&gt;1&lt;/C&gt;&lt;D xsi:type="xsd:double"&gt;1.029665&lt;/D&gt;&lt;/FQL&gt;&lt;FQL&gt;&lt;Q&gt;VMI-US^P_BETA_LOCIDX(45828,45650,,"SPX")&lt;/Q&gt;&lt;R&gt;1&lt;/R&gt;&lt;C&gt;1&lt;/C&gt;&lt;D xsi:type="xsd:double"&gt;1.0272971&lt;/D&gt;&lt;/FQL&gt;&lt;FQL&gt;&lt;Q&gt;VMI-US^P_BETA_LOCIDX(45826,45649,,"SPX")&lt;/Q&gt;&lt;R&gt;1&lt;/R&gt;&lt;C&gt;1&lt;/C&gt;&lt;D xsi:type="xsd:double"&gt;1.0252104&lt;/D&gt;&lt;/FQL&gt;&lt;FQL&gt;&lt;Q&gt;VMI-US^P_BETA_LOCIDX(45825,45646,,"SPX")&lt;/Q&gt;&lt;R&gt;1&lt;/R&gt;&lt;C&gt;1&lt;/C&gt;&lt;D xsi:type="xsd:double"&gt;1.0233301&lt;/D&gt;&lt;/FQL&gt;&lt;FQL&gt;&lt;Q&gt;VMI-US^P_BETA_LOCIDX(45824,45645,,"SPX")&lt;/Q&gt;&lt;R&gt;1&lt;/R&gt;&lt;C&gt;1&lt;/C&gt;&lt;D xsi:type="xsd:double"&gt;1.0232575&lt;/D&gt;&lt;/FQL&gt;&lt;FQL&gt;&lt;Q&gt;VMI-US^P_BETA_LOCIDX(45821,45644,,"SPX")&lt;/Q&gt;&lt;R&gt;1&lt;/R&gt;&lt;C&gt;1&lt;/C&gt;&lt;D xsi:type="xsd:double"&gt;1.036006&lt;/D&gt;&lt;/FQL&gt;&lt;FQL&gt;&lt;Q&gt;VMI-US^P_BETA_LOCIDX(45820,45643,,"SPX")&lt;/Q&gt;&lt;R&gt;1&lt;/R&gt;&lt;C&gt;1&lt;/C&gt;&lt;D xsi:type="xsd:double"&gt;1.0379559&lt;/D&gt;&lt;/FQL&gt;&lt;FQL&gt;&lt;Q&gt;VMI-US^P_BETA_LOCIDX(45819,45642,,"SPX")&lt;/Q&gt;&lt;R&gt;1&lt;/R&gt;&lt;C&gt;1&lt;/C&gt;&lt;D xsi:type="xsd:double"&gt;1.038364&lt;/D&gt;&lt;/FQL&gt;&lt;FQL&gt;&lt;Q&gt;VMI-US^P_BETA_LOCIDX(45818,45639,,"SPX")&lt;/Q&gt;&lt;R&gt;1&lt;/R&gt;&lt;C&gt;1&lt;/C&gt;&lt;D xsi:type="xsd:double"&gt;1.038567&lt;/D&gt;&lt;/FQL&gt;&lt;FQL&gt;&lt;Q&gt;VMI-US^P_BETA_LOCIDX(45817,45638,,"SPX")&lt;/Q&gt;&lt;R&gt;1&lt;/R&gt;&lt;C&gt;1&lt;/C&gt;&lt;D xsi:type="xsd:double"&gt;1.0404565&lt;/D&gt;&lt;/FQL&gt;&lt;FQL&gt;&lt;Q&gt;VMI-US^P_BETA_LOCIDX(45814,45637,,"SPX")&lt;/Q&gt;&lt;R&gt;1&lt;/R&gt;&lt;C&gt;1&lt;/C&gt;&lt;D xsi:type="xsd:double"&gt;1.0376675&lt;/D&gt;&lt;/FQL&gt;&lt;FQL&gt;&lt;Q&gt;VMI-US^P_BETA_LOCIDX(45813,45636,,"SPX")&lt;/Q&gt;&lt;R&gt;1&lt;/R&gt;&lt;C&gt;1&lt;/C&gt;&lt;D xsi:type="xsd:double"&gt;1.0392234&lt;/D&gt;&lt;/FQL&gt;&lt;FQL&gt;&lt;Q&gt;VMI-US^P_BETA_LOCIDX(45812,45635,,"SPX")&lt;/Q&gt;&lt;R&gt;1&lt;/R&gt;&lt;C&gt;1&lt;/C&gt;&lt;D xsi:type="xsd:double"&gt;1.0398465&lt;/D&gt;&lt;/FQL&gt;&lt;FQL&gt;&lt;Q&gt;VMI-US^P_BETA_LOCIDX(45811,45632,,"SPX")&lt;/Q&gt;&lt;R&gt;1&lt;/R&gt;&lt;C&gt;1&lt;/C&gt;&lt;D xsi:type="xsd:double"&gt;1.0379317&lt;/D&gt;&lt;/FQL&gt;&lt;FQL&gt;&lt;Q&gt;VMI-US^P_BETA_LOCIDX(45810,45631,,"SPX")&lt;/Q&gt;&lt;R&gt;1&lt;/R&gt;&lt;C&gt;1&lt;/C&gt;&lt;D xsi:type="xsd:double"&gt;1.0358933&lt;/D&gt;&lt;/FQL&gt;&lt;FQL&gt;&lt;Q&gt;VMI-US^P_BETA_LOCIDX(45807,45630,,"SPX")&lt;/Q&gt;&lt;R&gt;1&lt;/R&gt;&lt;C&gt;1&lt;/C&gt;&lt;D xsi:type="xsd:double"&gt;1.0371457&lt;/D&gt;&lt;/FQL&gt;&lt;FQL&gt;&lt;Q&gt;VMI-US^P_BETA_LOCIDX(45806,45629,,"SPX")&lt;/Q&gt;&lt;R&gt;1&lt;/R&gt;&lt;C&gt;1&lt;/C&gt;&lt;D xsi:type="xsd:double"&gt;1.0370345&lt;/D&gt;&lt;/FQL&gt;&lt;FQL&gt;&lt;Q&gt;VMI-US^P_BETA_LOCIDX(45805,45628,,"SPX")&lt;/Q&gt;&lt;R&gt;1&lt;/R&gt;&lt;C&gt;1&lt;/C&gt;&lt;D xsi:type="xsd:double"&gt;1.0378578&lt;/D&gt;&lt;/FQL&gt;&lt;FQL&gt;&lt;Q&gt;VMI-US^P_BETA_LOCIDX(45804,45625,,"SPX")&lt;/Q&gt;&lt;R&gt;1&lt;/R&gt;&lt;C&gt;1&lt;/C&gt;&lt;D xsi:type="xsd:double"&gt;1.0340028&lt;/D&gt;&lt;/FQL&gt;&lt;FQL&gt;&lt;Q&gt;VMI-US^P_BETA_LOCIDX(45800,45623,,"SPX")&lt;/Q&gt;&lt;R&gt;1&lt;/R&gt;&lt;C&gt;1&lt;/C&gt;&lt;D xsi:type="xsd:double"&gt;1.0299306&lt;/D&gt;&lt;/FQL&gt;&lt;FQL&gt;&lt;Q&gt;VMI-US^P_BETA_LOCIDX(45799,45622,,"SPX")&lt;/Q&gt;&lt;R&gt;1&lt;/R&gt;&lt;C&gt;1&lt;/C&gt;&lt;D xsi:type="xsd:double"&gt;1.0314119&lt;/D&gt;&lt;/FQL&gt;&lt;FQL&gt;&lt;Q&gt;VMI-US^P_BETA_LOCIDX(45798,45621,,"SPX")&lt;/Q&gt;&lt;R&gt;1&lt;/R&gt;&lt;C&gt;1&lt;/C&gt;&lt;D xsi:type="xsd:double"&gt;1.0335886&lt;/D&gt;&lt;/FQL&gt;&lt;FQL&gt;&lt;Q&gt;VMI-US^P_BETA_LOCIDX(45797,45618,,"SPX")&lt;/Q&gt;&lt;R&gt;1&lt;/R&gt;&lt;C&gt;1&lt;/C&gt;&lt;D xsi:type="xsd:double"&gt;1.0323552&lt;/D&gt;&lt;/FQL&gt;&lt;FQL&gt;&lt;Q&gt;VMI-US^P_BETA_LOCIDX(45796,45617,,"SPX")&lt;/Q&gt;&lt;R&gt;1&lt;/R&gt;&lt;C&gt;1&lt;/C&gt;&lt;D xsi:type="xsd:double"&gt;1.0299757&lt;/D&gt;&lt;/FQL&gt;&lt;FQL&gt;&lt;Q&gt;VMI-US^P_BETA_LOCIDX(45793,45616,,"SPX")&lt;/Q&gt;&lt;R&gt;1&lt;/R&gt;&lt;C&gt;1&lt;/C&gt;&lt;D xsi:type="xsd:double"&gt;1.0301683&lt;/D&gt;&lt;/FQL&gt;&lt;FQL&gt;&lt;Q&gt;VMI-US^P_BETA_LOCIDX(45792,45615,,"SPX")&lt;/Q&gt;&lt;R&gt;1&lt;/R&gt;&lt;C&gt;1&lt;/C&gt;&lt;D xsi:type="xsd:double"&gt;1.0266252&lt;/D&gt;&lt;/FQL&gt;&lt;FQL&gt;&lt;Q&gt;VMI-US^P_BETA_LOCIDX(45791,45614,,"SPX")&lt;/Q&gt;&lt;R&gt;1&lt;/R&gt;&lt;C&gt;1&lt;/C&gt;&lt;D xsi:type="xsd:double"&gt;1.0270052&lt;/D&gt;&lt;/FQL&gt;&lt;FQL&gt;&lt;Q&gt;VMI-US^P_BETA_LOCIDX(45790,45611,,"SPX")&lt;/Q&gt;&lt;R&gt;1&lt;/R&gt;&lt;C&gt;1&lt;/C&gt;&lt;D xsi:type="xsd:double"&gt;1.0238575&lt;/D&gt;&lt;/FQL&gt;&lt;FQL&gt;&lt;Q&gt;VMI-US^P_BETA_LOCIDX(45789,45610,,"SPX")&lt;/Q&gt;&lt;R&gt;1&lt;/R&gt;&lt;C&gt;1&lt;/C&gt;&lt;D xsi:type="xsd:double"&gt;1.0248822&lt;/D&gt;&lt;/FQL&gt;&lt;FQL&gt;&lt;Q&gt;VMI-US^P_BETA_LOCIDX(45786,45609,,"SPX")&lt;/Q&gt;&lt;R&gt;1&lt;/R&gt;&lt;C&gt;1&lt;/C&gt;&lt;D xsi:type="xsd:double"&gt;1.0164919&lt;/D&gt;&lt;/FQL&gt;&lt;FQL&gt;&lt;Q&gt;VMI-US^P_BETA_LOCIDX(45785,45608,,"SPX")&lt;/Q&gt;&lt;R&gt;1&lt;/R&gt;&lt;C&gt;1&lt;/C&gt;&lt;D xsi:type="xsd:double"&gt;1.0170116&lt;/D&gt;&lt;/FQL&gt;&lt;FQL&gt;&lt;Q&gt;VMI-US^P_BETA_LOCIDX(45784,45607,,"SPX")&lt;/Q&gt;&lt;R&gt;1&lt;/R&gt;&lt;C&gt;1&lt;/C&gt;&lt;D xsi:type="xsd:double"&gt;1.0132401&lt;/D&gt;&lt;/FQL&gt;&lt;FQL&gt;&lt;Q&gt;VMI-US^P_BETA_LOCIDX(45783,45604,,"SPX")&lt;/Q&gt;&lt;R&gt;1&lt;/R&gt;&lt;C&gt;1&lt;/C&gt;&lt;D xsi:type="xsd:double"&gt;1.0141987&lt;/D&gt;&lt;/FQL&gt;&lt;FQL&gt;&lt;Q&gt;VMI-US^P_BETA_LOCIDX(45782,45603,,"SPX")&lt;/Q&gt;&lt;R&gt;1&lt;/R&gt;&lt;C&gt;1&lt;/C&gt;&lt;D xsi:type="xsd:double"&gt;1.00536&lt;/D&gt;&lt;/FQL&gt;&lt;FQL&gt;&lt;Q&gt;VMI-US^P_BETA_LOCIDX(45779,45602,,"SPX")&lt;/Q&gt;&lt;R&gt;1&lt;/R&gt;&lt;C&gt;1&lt;/C&gt;&lt;D xsi:type="xsd:double"&gt;1.045961&lt;/D&gt;&lt;/FQL&gt;&lt;FQL&gt;&lt;Q&gt;VMI-US^P_BETA_LOCIDX(45778,45601,,"SPX")&lt;/Q&gt;&lt;R&gt;1&lt;/R&gt;&lt;C&gt;1&lt;/C&gt;&lt;D xsi:type="xsd:double"&gt;1.0426321&lt;/D&gt;&lt;/FQL&gt;&lt;FQL&gt;&lt;Q&gt;VMI-US^P_BETA_LOCIDX(45777,45600,,"SPX")&lt;/Q&gt;&lt;R&gt;1&lt;/R&gt;&lt;C&gt;1&lt;/C&gt;&lt;D xsi:type="xsd:double"&gt;1.0385895&lt;/D&gt;&lt;/FQL&gt;&lt;FQL&gt;&lt;Q&gt;VMI-US^P_BETA_LOCIDX(45776,45597,,"SPX")&lt;/Q&gt;&lt;R&gt;1&lt;/R&gt;&lt;C&gt;1&lt;/C&gt;&lt;D xsi:type="xsd:double"&gt;1.0405785&lt;/D&gt;&lt;/FQL&gt;&lt;FQL&gt;&lt;Q&gt;VMI-US^P_BETA_LOCIDX(45775,45596,,"SPX")&lt;/Q&gt;&lt;R&gt;1&lt;/R&gt;&lt;C&gt;1&lt;/C&gt;&lt;D xsi:type="xsd:double"&gt;1.0359133&lt;/D&gt;&lt;/FQL&gt;&lt;FQL&gt;&lt;Q&gt;VMI-US^P_BETA_LOCIDX(45772,45595,,"SPX")&lt;/Q&gt;&lt;R&gt;1&lt;/R&gt;&lt;C&gt;1&lt;/C&gt;&lt;D xsi:type="xsd:double"&gt;1.0368774&lt;/D&gt;&lt;/FQL&gt;&lt;FQL&gt;&lt;Q&gt;VMI-US^P_BETA_LOCIDX(45771,45594,,"SPX")&lt;/Q&gt;&lt;R&gt;1&lt;/R&gt;&lt;C&gt;1&lt;/C&gt;&lt;D xsi:type="xsd:double"&gt;1.0408769&lt;/D&gt;&lt;/FQL&gt;&lt;FQL&gt;&lt;Q&gt;VMI-US^P_BETA_LOCIDX(45770,45593,,"SPX")&lt;/Q&gt;&lt;R&gt;1&lt;/R&gt;&lt;C&gt;1&lt;/C&gt;&lt;D xsi:type="xsd:double"&gt;1.0345361&lt;/D&gt;&lt;/FQL&gt;&lt;FQL&gt;&lt;Q&gt;VMI-US^P_BETA_LOCIDX(45769,45590,,"SPX")&lt;/Q&gt;&lt;R&gt;1&lt;/R&gt;&lt;C&gt;1&lt;/C&gt;&lt;D xsi:type="xsd:double"&gt;1.025946&lt;/D&gt;&lt;/FQL&gt;&lt;FQL&gt;&lt;Q&gt;VMI-US^P_BETA_LOCIDX(45768,45589,,"SPX")&lt;/Q&gt;&lt;R&gt;1&lt;/R&gt;&lt;C&gt;1&lt;/C&gt;&lt;D xsi:type="xsd:double"&gt;1.0176128&lt;/D&gt;&lt;/FQL&gt;&lt;FQL&gt;&lt;Q&gt;VMI-US^P_BETA_LOCIDX(45764,45588,,"SPX")&lt;/Q&gt;&lt;R&gt;1&lt;/R&gt;&lt;C&gt;1&lt;/C&gt;&lt;D xsi:type="xsd:double"&gt;0.9772877&lt;/D&gt;&lt;/FQL&gt;&lt;FQL&gt;&lt;Q&gt;VMI-US^P_BETA_LOCIDX(45763,45587,,"SPX")&lt;/Q&gt;&lt;R&gt;1&lt;/R&gt;&lt;C&gt;1&lt;/C&gt;&lt;D xsi:type="xsd:double"&gt;0.97809833&lt;/D&gt;&lt;/FQL&gt;&lt;FQL&gt;&lt;Q&gt;VMI-US^P_BETA_LOCIDX(45762,45586,,"SPX")&lt;/Q&gt;&lt;R&gt;1&lt;/R&gt;&lt;C&gt;1&lt;/C&gt;&lt;D xsi:type="xsd:double"&gt;0.9920797&lt;/D&gt;&lt;/FQL&gt;&lt;FQL&gt;&lt;Q&gt;VMI-US^P_BETA_LOCIDX(45761,45583,,"SPX")&lt;/Q&gt;&lt;R&gt;1&lt;/R&gt;&lt;C&gt;1&lt;/C&gt;&lt;D xsi:type="xsd:double"&gt;0.98839426&lt;/D&gt;&lt;/FQL&gt;&lt;FQL&gt;&lt;Q&gt;VMI-US^P_BETA_LOCIDX(45758,45582,,"SPX")&lt;/Q&gt;&lt;R&gt;1&lt;/R&gt;&lt;C&gt;1&lt;/C&gt;&lt;D xsi:type="xsd:double"&gt;0.99072105&lt;/D&gt;&lt;/FQL&gt;&lt;FQL&gt;&lt;Q&gt;VMI-US^P_BETA_LOCIDX(45757,45581,,"SPX")&lt;/Q&gt;&lt;R&gt;1&lt;/R&gt;&lt;C&gt;1&lt;/C&gt;&lt;D xsi:type="xsd:double"&gt;0.9938087&lt;/D&gt;&lt;/FQL&gt;&lt;FQL&gt;&lt;Q&gt;VMI-US^P_BETA_LOCIDX(45756,45580,,"SPX")&lt;/Q&gt;&lt;R&gt;1&lt;/R&gt;&lt;C&gt;1&lt;/C&gt;&lt;D xsi:type="xsd:double"&gt;1.0051446&lt;/D&gt;&lt;/FQL&gt;&lt;FQL&gt;&lt;Q&gt;VMI-US^P_BETA_LOCIDX(45755,45579,,"SPX")&lt;/Q&gt;&lt;R&gt;1&lt;/R&gt;&lt;C&gt;1&lt;/C&gt;&lt;D xsi:type="xsd:double"&gt;1.1227586&lt;/D&gt;&lt;/FQL&gt;&lt;FQL&gt;&lt;Q&gt;VMI-US^P_BETA_LOCIDX(45754,45576,,"SPX")&lt;/Q&gt;&lt;R&gt;1&lt;/R&gt;&lt;C&gt;1&lt;/C&gt;&lt;D xsi:type="xsd:double"&gt;1.150212&lt;/D&gt;&lt;/FQL&gt;&lt;FQL&gt;&lt;Q&gt;VMI-US^P_BETA_LOCIDX(45751,45575,,"SPX")&lt;/Q&gt;&lt;R&gt;1&lt;/R&gt;&lt;C&gt;1&lt;/C&gt;&lt;D xsi:type="xsd:double"&gt;1.1495415&lt;/D&gt;&lt;/FQL&gt;&lt;FQL&gt;&lt;Q&gt;VMI-US^P_BETA_LOCIDX(45750,45574,,"SPX")&lt;/Q&gt;&lt;R&gt;1&lt;/R&gt;&lt;C&gt;1&lt;/C&gt;&lt;D xsi:type="xsd:double"&gt;1.2487236&lt;/D&gt;&lt;/FQL&gt;&lt;FQL&gt;&lt;Q&gt;VMI-US^P_BETA_LOCIDX(45749,45573,,"SPX")&lt;/Q&gt;&lt;R&gt;1&lt;/R&gt;&lt;C&gt;1&lt;/C&gt;&lt;D xsi:type="xsd:double"&gt;1.2176671&lt;/D&gt;&lt;/FQL&gt;&lt;FQL&gt;&lt;Q&gt;VMI-US^P_BETA_LOCIDX(45748,45572,,"SPX")&lt;/Q&gt;&lt;R&gt;1&lt;/R&gt;&lt;C&gt;1&lt;/C&gt;&lt;D xsi:type="xsd:double"&gt;1.1818615&lt;/D&gt;&lt;/FQL&gt;&lt;FQL&gt;&lt;Q&gt;VMI-US^P_BETA_LOCIDX(45747,45569,,"SPX")&lt;/Q&gt;&lt;R&gt;1&lt;/R&gt;&lt;C&gt;1&lt;/C&gt;&lt;D xsi:type="xsd:double"&gt;1.1792045&lt;/D&gt;&lt;/FQL&gt;&lt;FQL&gt;&lt;Q&gt;VMI-US^P_BETA_LOCIDX(45744,45568,,"SPX")&lt;/Q&gt;&lt;R&gt;1&lt;/R&gt;&lt;C&gt;1&lt;/C&gt;&lt;D xsi:type="xsd:double"&gt;1.1906844&lt;/D&gt;&lt;/FQL&gt;&lt;FQL&gt;&lt;Q&gt;VMI-US^P_BETA_LOCIDX(45743,45567,,"SPX")&lt;/Q&gt;&lt;R&gt;1&lt;/R&gt;&lt;C&gt;1&lt;/C&gt;&lt;D xsi:type="xsd:double"&gt;1.1717875&lt;/D&gt;&lt;/FQL&gt;&lt;FQL&gt;&lt;Q&gt;VMI-US^P_BETA_LOCIDX(45742,45566,,"SPX")&lt;/Q&gt;&lt;R&gt;1&lt;/R&gt;&lt;C&gt;1&lt;/C&gt;&lt;D xsi:type="xsd:double"&gt;1.169442&lt;/D&gt;&lt;/FQL&gt;&lt;FQL&gt;&lt;Q&gt;VMI-US^P_BETA_LOCIDX(45741,45565,,"SPX")&lt;/Q&gt;&lt;R&gt;1&lt;/R&gt;&lt;C&gt;1&lt;/C&gt;&lt;D xsi:type="xsd:double"&gt;1.1875374&lt;/D&gt;&lt;/FQL&gt;&lt;FQL&gt;&lt;Q&gt;VMI-US^P_BETA_LOCIDX(45740,45562,,"SPX")&lt;/Q&gt;&lt;R&gt;1&lt;/R&gt;&lt;C&gt;1&lt;/C&gt;&lt;D xsi:type="xsd:double"&gt;1.1875821&lt;/D&gt;&lt;/FQL&gt;&lt;FQL&gt;&lt;Q&gt;VMI-US^P_BETA_LOCIDX(45737,45561,,"SPX")&lt;/Q&gt;&lt;R&gt;1&lt;/R&gt;&lt;C&gt;1&lt;/C&gt;&lt;D xsi:type="xsd:double"&gt;1.143723&lt;/D&gt;&lt;/FQL&gt;&lt;FQL&gt;&lt;Q&gt;VMI-US^P_BETA_LOCIDX(45736,45560,,"SPX")&lt;/Q&gt;&lt;R&gt;1&lt;/R&gt;&lt;C&gt;1&lt;/C&gt;&lt;D xsi:type="xsd:double"&gt;1.1564232&lt;/D&gt;&lt;/FQL&gt;&lt;FQL&gt;&lt;Q&gt;VMI-US^P_BETA_LOCIDX(45735,45559,,"SPX")&lt;/Q&gt;&lt;R&gt;1&lt;/R&gt;&lt;C&gt;1&lt;/C&gt;&lt;D xsi:type="xsd:double"&gt;1.1526618&lt;/D&gt;&lt;/FQL&gt;&lt;FQL&gt;&lt;Q&gt;VMI-US^P_BETA_LOCIDX(45734,45558,,"SPX")&lt;/Q&gt;&lt;R&gt;1&lt;/R&gt;&lt;C&gt;1&lt;/C&gt;&lt;D xsi:type="xsd:double"&gt;1.1422229&lt;/D&gt;&lt;/FQL&gt;&lt;FQL&gt;&lt;Q&gt;VMI-US^P_BETA_LOCIDX(45733,45555,,"SPX")&lt;/Q&gt;&lt;R&gt;1&lt;/R&gt;&lt;C&gt;1&lt;/C&gt;&lt;D xsi:type="xsd:double"&gt;1.1399263&lt;/D&gt;&lt;/FQL&gt;&lt;FQL&gt;&lt;Q&gt;VMI-US^P_BETA_LOCIDX(45730,45554,,"SPX")&lt;/Q&gt;&lt;R&gt;1&lt;/R&gt;&lt;C&gt;1&lt;/C&gt;&lt;D xsi:type="xsd:double"&gt;1.1408291&lt;/D&gt;&lt;/FQL&gt;&lt;FQL&gt;&lt;Q&gt;VMI-US^P_BETA_LOCIDX(45729,45553,,"SPX")&lt;/Q&gt;&lt;R&gt;1&lt;/R&gt;&lt;C&gt;1&lt;/C&gt;&lt;D xsi:type="xsd:double"&gt;1.1395323&lt;/D&gt;&lt;/FQL&gt;&lt;FQL&gt;&lt;Q&gt;VMI-US^P_BETA_LOCIDX(45728,45552,,"SPX")&lt;/Q&gt;&lt;R&gt;1&lt;/R&gt;&lt;C&gt;1&lt;/C&gt;&lt;D xsi:type="xsd:double"&gt;1.1266888&lt;/D&gt;&lt;/FQL&gt;&lt;FQL&gt;&lt;Q&gt;VMI-US^P_BETA_LOCIDX(45727,45551,,"SPX")&lt;/Q&gt;&lt;R&gt;1&lt;/R&gt;&lt;C&gt;1&lt;/C&gt;&lt;D xsi:type="xsd:double"&gt;1.1218637&lt;/D&gt;&lt;/FQL&gt;&lt;FQL&gt;&lt;Q&gt;VMI-US^P_BETA_LOCIDX(45726,45548,,"SPX")&lt;/Q&gt;&lt;R&gt;1&lt;/R&gt;&lt;C&gt;1&lt;/C&gt;&lt;D xsi:type="xsd:double"&gt;1.1367557&lt;/D&gt;&lt;/FQL&gt;&lt;FQL&gt;&lt;Q&gt;VMI-US^P_BETA_LOCIDX(45723,45547,,"SPX")&lt;/Q&gt;&lt;R&gt;1&lt;/R&gt;&lt;C&gt;1&lt;/C&gt;&lt;D xsi:type="xsd:double"&gt;1.1338407&lt;/D&gt;&lt;/FQL&gt;&lt;FQL&gt;&lt;Q&gt;VMI-US^P_BETA_LOCIDX(45722,45546,,"SPX")&lt;/Q&gt;&lt;R&gt;1&lt;/R&gt;&lt;C&gt;1&lt;/C&gt;&lt;D xsi:type="xsd:double"&gt;1.133297&lt;/D&gt;&lt;/FQL&gt;&lt;FQL&gt;&lt;Q&gt;VMI-US^P_BETA_LOCIDX(45721,45545,,"SPX")&lt;/Q&gt;&lt;R&gt;1&lt;/R&gt;&lt;C&gt;1&lt;/C&gt;&lt;D xsi:type="xsd:double"&gt;1.1145911&lt;/D&gt;&lt;/FQL&gt;&lt;FQL&gt;&lt;Q&gt;VMI-US^P_BETA_LOCIDX(45720,45544,,"SPX")&lt;/Q&gt;&lt;R&gt;1&lt;/R&gt;&lt;C&gt;1&lt;/C&gt;&lt;D xsi:type="xsd:double"&gt;1.093387&lt;/D&gt;&lt;/FQL&gt;&lt;FQL&gt;&lt;Q&gt;VMI-US^P_BETA_LOCIDX(45719,45541,,"SPX")&lt;/Q&gt;&lt;R&gt;1&lt;/R&gt;&lt;C&gt;1&lt;/C&gt;&lt;D xsi:type="xsd:double"&gt;1.0561506&lt;/D&gt;&lt;/FQL&gt;&lt;FQL&gt;&lt;Q&gt;VMI-US^P_BETA_LOCIDX(45716,45540,,"SPX")&lt;/Q&gt;&lt;R&gt;1&lt;/R&gt;&lt;C&gt;1&lt;/C&gt;&lt;D xsi:type="xsd:double"&gt;1.0160755&lt;/D&gt;&lt;/FQL&gt;&lt;FQL&gt;&lt;Q&gt;VMI-US^P_BETA_LOCIDX(45715,45539,,"SPX")&lt;/Q&gt;&lt;R&gt;1&lt;/R&gt;&lt;C&gt;1&lt;/C&gt;&lt;D xsi:type="xsd:double"&gt;1.0237275&lt;/D&gt;&lt;/FQL&gt;&lt;FQL&gt;&lt;Q&gt;VMI-US^P_BETA_LOCIDX(45714,45538,,"SPX")&lt;/Q&gt;&lt;R&gt;1&lt;/R&gt;&lt;C&gt;1&lt;/C&gt;&lt;D xsi:type="xsd:double"&gt;1.0565538&lt;/D&gt;&lt;/FQL&gt;&lt;FQL&gt;&lt;Q&gt;VMI-US^P_BETA_LOCIDX(45713,45534,,"SPX")&lt;/Q&gt;&lt;R&gt;1&lt;/R&gt;&lt;C&gt;1&lt;/C&gt;&lt;D xsi:type="xsd:double"&gt;1.0527375&lt;/D&gt;&lt;/FQL&gt;&lt;FQL&gt;&lt;Q&gt;VMI-US^P_BETA_LOCIDX(45712,45533,,"SPX")&lt;/Q&gt;&lt;R&gt;1&lt;/R&gt;&lt;C&gt;1&lt;/C&gt;&lt;D xsi:type="xsd:double"&gt;1.0640676&lt;/D&gt;&lt;/FQL&gt;&lt;FQL&gt;&lt;Q&gt;VMI-US^P_BETA_LOCIDX(45709,45532,,"SPX")&lt;/Q&gt;&lt;R&gt;1&lt;/R&gt;&lt;C&gt;1&lt;/C&gt;&lt;D xsi:type="xsd:double"&gt;1.0620983&lt;/D&gt;&lt;/FQL&gt;&lt;FQL&gt;&lt;Q&gt;VMI-US^P_BETA_LOCIDX(45708,45531,,"SPX")&lt;/Q&gt;&lt;R&gt;1&lt;/R&gt;&lt;C&gt;1&lt;/C&gt;&lt;D xsi:type="xsd:double"&gt;1.0104483&lt;/D&gt;&lt;/FQL&gt;&lt;FQL&gt;&lt;Q&gt;VMI-US^P_BETA_LOCIDX(45707,45530,,"SPX")&lt;/Q&gt;&lt;R&gt;1&lt;/R&gt;&lt;C&gt;1&lt;/C&gt;&lt;D xsi:type="xsd:double"&gt;1.0065895&lt;/D&gt;&lt;/FQL&gt;&lt;FQL&gt;&lt;Q&gt;VMI-US^P_BETA_LOCIDX(45706,45527,,"SPX")&lt;/Q&gt;&lt;R&gt;1&lt;/R&gt;&lt;C&gt;1&lt;/C&gt;&lt;D xsi:type="xsd:double"&gt;1.0218564&lt;/D&gt;&lt;/FQL&gt;&lt;FQL&gt;&lt;Q&gt;VMI-US^P_BETA_LOCIDX(45702,45526,,"SPX")&lt;/Q&gt;&lt;R&gt;1&lt;/R&gt;&lt;C&gt;1&lt;/C&gt;&lt;D xsi:type="xsd:double"&gt;0.9813473&lt;/D&gt;&lt;/FQL&gt;&lt;FQL&gt;&lt;Q&gt;VMI-US^P_BETA_LOCIDX(45701,45525,,"SPX")&lt;/Q&gt;&lt;R&gt;1&lt;/R&gt;&lt;C&gt;1&lt;/C&gt;&lt;D xsi:type="xsd:double"&gt;0.98509735&lt;/D&gt;&lt;/FQL&gt;&lt;FQL&gt;&lt;Q&gt;VMI-US^P_BETA_LOCIDX(45700,45524,,"SPX")&lt;/Q&gt;&lt;R&gt;1&lt;/R&gt;&lt;C&gt;1&lt;/C&gt;&lt;D xsi:type="xsd:double"&gt;1.000429&lt;/D&gt;&lt;/FQL&gt;&lt;FQL&gt;&lt;Q&gt;VMI-US^P_BETA_LOCIDX(45699,45523,,"SPX")&lt;/Q&gt;&lt;R&gt;1&lt;/R&gt;&lt;C&gt;1&lt;/C&gt;&lt;D xsi:type="xsd:double"&gt;0.99365354&lt;/D&gt;&lt;/FQL&gt;&lt;FQL&gt;&lt;Q&gt;VMI-US^P_BETA_LOCIDX(45698,45520,,"SPX")&lt;/Q&gt;&lt;R&gt;1&lt;/R&gt;&lt;C&gt;1&lt;/C&gt;&lt;D xsi:type="xsd:double"&gt;0.9915073&lt;/D&gt;&lt;/FQL&gt;&lt;FQL&gt;&lt;Q&gt;VMI-US^P_BETA_LOCIDX(45695,45519,,"SPX")&lt;/Q&gt;&lt;R&gt;1&lt;/R&gt;&lt;C&gt;1&lt;/C&gt;&lt;D xsi:type="xsd:double"&gt;0.97392756&lt;/D&gt;&lt;/FQL&gt;&lt;FQL&gt;&lt;Q&gt;VMI-US^P_BETA_LOCIDX(45694,45518,,"SPX")&lt;/Q&gt;&lt;R&gt;1&lt;/R&gt;&lt;C&gt;1&lt;/C&gt;&lt;D xsi:type="xsd:double"&gt;0.9753207&lt;/D&gt;&lt;/FQL&gt;&lt;FQL&gt;&lt;Q&gt;VMI-US^P_BETA_LOCIDX(45693,45517,,"SPX")&lt;/Q&gt;&lt;R&gt;1&lt;/R&gt;&lt;C&gt;1&lt;/C&gt;&lt;D xsi:type="xsd:double"&gt;0.95319366&lt;/D&gt;&lt;/FQL&gt;&lt;FQL&gt;&lt;Q&gt;VMI-US^P_BETA_LOCIDX(45692,45516,,"SPX")&lt;/Q&gt;&lt;R&gt;1&lt;/R&gt;&lt;C&gt;1&lt;/C&gt;&lt;D xsi:type="xsd:double"&gt;0.9529639&lt;/D&gt;&lt;/FQL&gt;&lt;FQL&gt;&lt;Q&gt;VMI-US^P_BETA_LOCIDX(45691,45513,,"SPX")&lt;/Q&gt;&lt;R&gt;1&lt;/R&gt;&lt;C&gt;1&lt;/C&gt;&lt;D xsi:type="xsd:double"&gt;0.9498379&lt;/D&gt;&lt;/FQL&gt;&lt;FQL&gt;&lt;Q&gt;VMI-US^P_BETA_LOCIDX(45688,45512,,"SPX")&lt;/Q&gt;&lt;R&gt;1&lt;/R&gt;&lt;C&gt;1&lt;/C&gt;&lt;D xsi:type="xsd:double"&gt;0.9198197&lt;/D&gt;&lt;/FQL&gt;&lt;FQL&gt;&lt;Q&gt;VMI-US^P_BETA_LOCIDX(45687,45511,,"SPX")&lt;/Q&gt;&lt;R&gt;1&lt;/R&gt;&lt;C&gt;1&lt;/C&gt;&lt;D xsi:type="xsd:double"&gt;0.9161418&lt;/D&gt;&lt;/FQL&gt;&lt;FQL&gt;&lt;Q&gt;VMI-US^P_BETA_LOCIDX(45686,45510,,"SPX")&lt;/Q&gt;&lt;R&gt;1&lt;/R&gt;&lt;C&gt;1&lt;/C&gt;&lt;D xsi:type="xsd:double"&gt;0.90072066&lt;/D&gt;&lt;/FQL&gt;&lt;FQL&gt;&lt;Q&gt;VMI-US^P_BETA_LOCIDX(45685,45509,,"SPX")&lt;/Q&gt;&lt;R&gt;1&lt;/R&gt;&lt;C&gt;1&lt;/C&gt;&lt;D xsi:type="xsd:double"&gt;0.9052677&lt;/D&gt;&lt;/FQL&gt;&lt;FQL&gt;&lt;Q&gt;VMI-US^P_BETA_LOCIDX(45684,45506,,"SPX")&lt;/Q&gt;&lt;R&gt;1&lt;/R&gt;&lt;C&gt;1&lt;/C&gt;&lt;D xsi:type="xsd:double"&gt;0.92468363&lt;/D&gt;&lt;/FQL&gt;&lt;FQL&gt;&lt;Q&gt;VMI-US^P_BETA_LOCIDX(45681,45505,,"SPX")&lt;/Q&gt;&lt;R&gt;1&lt;/R&gt;&lt;C&gt;1&lt;/C&gt;&lt;D xsi:type="xsd:double"&gt;0.8990093&lt;/D&gt;&lt;/FQL&gt;&lt;FQL&gt;&lt;Q&gt;VMI-US^P_BETA_LOCIDX(45680,45504,,"SPX")&lt;/Q&gt;&lt;R&gt;1&lt;/R&gt;&lt;C&gt;1&lt;/C&gt;&lt;D xsi:type="xsd:double"&gt;0.86761576&lt;/D&gt;&lt;/FQL&gt;&lt;FQL&gt;&lt;Q&gt;VMI-US^P_BETA_LOCIDX(45679,45503,,"SPX")&lt;/Q&gt;&lt;R&gt;1&lt;/R&gt;&lt;C&gt;1&lt;/C&gt;&lt;D xsi:type="xsd:double"&gt;0.8618613&lt;/D&gt;&lt;/FQL&gt;&lt;FQL&gt;&lt;Q&gt;VMI-US^P_BETA_LOCIDX(45678,45502,,"SPX")&lt;/Q&gt;&lt;R&gt;1&lt;/R&gt;&lt;C&gt;1&lt;/C&gt;&lt;D xsi:type="xsd:double"&gt;0.86860245&lt;/D&gt;&lt;/FQL&gt;&lt;FQL&gt;&lt;Q&gt;VMI-US^P_BETA_LOCIDX(45674,45499,,"SPX")&lt;/Q&gt;&lt;R&gt;1&lt;/R&gt;&lt;C&gt;1&lt;/C&gt;&lt;D xsi:type="xsd:double"&gt;0.85945785&lt;/D&gt;&lt;/FQL&gt;&lt;FQL&gt;&lt;Q&gt;VMI-US^P_BETA_LOCIDX(45673,45498,,"SPX")&lt;/Q&gt;&lt;R&gt;1&lt;/R&gt;&lt;C&gt;1&lt;/C&gt;&lt;D xsi:type="xsd:double"&gt;0.8006218&lt;/D&gt;&lt;/FQL&gt;&lt;FQL&gt;&lt;Q&gt;VMI-US^P_BETA_LOCIDX(45672,45497,,"SPX")&lt;/Q&gt;&lt;R&gt;1&lt;/R&gt;&lt;C&gt;1&lt;/C&gt;&lt;D xsi:type="xsd:double"&gt;0.81708676&lt;/D&gt;&lt;/FQL&gt;&lt;FQL&gt;&lt;Q&gt;VMI-US^P_BETA_LOCIDX(45671,45496,,"SPX")&lt;/Q&gt;&lt;R&gt;1&lt;/R&gt;&lt;C&gt;1&lt;/C&gt;&lt;D xsi:type="xsd:double"&gt;0.781018&lt;/D&gt;&lt;/FQL&gt;&lt;FQL&gt;&lt;Q&gt;VMI-US^P_BETA_LOCIDX(45670,45495,,"SPX")&lt;/Q&gt;&lt;R&gt;1&lt;/R&gt;&lt;C&gt;1&lt;/C&gt;&lt;D xsi:type="xsd:double"&gt;0.7763169&lt;/D&gt;&lt;/FQL&gt;&lt;FQL&gt;&lt;Q&gt;VMI-US^P_BETA_LOCIDX(45667,45492,,"SPX")&lt;/Q&gt;&lt;R&gt;1&lt;/R&gt;&lt;C&gt;1&lt;/C&gt;&lt;D xsi:type="xsd:double"&gt;0.7852376&lt;/D&gt;&lt;/FQL&gt;&lt;FQL&gt;&lt;Q&gt;VMI-US^P_BETA_LOCIDX(45665,45491,,"SPX")&lt;/Q&gt;&lt;R&gt;1&lt;/R&gt;&lt;C&gt;1&lt;/C&gt;&lt;D xsi:type="xsd:double"&gt;0.78067696&lt;/D&gt;&lt;/FQL&gt;&lt;FQL&gt;&lt;Q&gt;VMI-US^P_BETA_LOCIDX(45664,45490,,"SPX")&lt;/Q&gt;&lt;R&gt;1&lt;/R&gt;&lt;C&gt;1&lt;/C&gt;&lt;D xsi:type="xsd:double"&gt;0.74946105&lt;/D&gt;&lt;/FQL&gt;&lt;FQL&gt;&lt;Q&gt;VMI-US^P_BETA_LOCIDX(45663,45489,,"SPX")&lt;/Q&gt;&lt;R&gt;1&lt;/R&gt;&lt;C&gt;1&lt;/C&gt;&lt;D xsi:type="xsd:double"&gt;0.7720277&lt;/D&gt;&lt;/FQL&gt;&lt;FQL&gt;&lt;Q&gt;VMI-US^P_BETA_LOCIDX(45660,45488,,"SPX")&lt;/Q&gt;&lt;R&gt;1&lt;/R&gt;&lt;C&gt;1&lt;/C&gt;&lt;D xsi:type="xsd:double"&gt;0.7759619&lt;/D&gt;&lt;/FQL&gt;&lt;FQL&gt;&lt;Q&gt;VMI-US^P_BETA_LOCIDX(45659,45485,,"SPX")&lt;/Q&gt;&lt;R&gt;1&lt;/R&gt;&lt;C&gt;1&lt;/C&gt;&lt;D xsi:type="xsd:double"&gt;0.77909887&lt;/D&gt;&lt;/FQL&gt;&lt;FQL&gt;&lt;Q&gt;VMI-US^P_BETA_LOCIDX(45657,45484,,"SPX")&lt;/Q&gt;&lt;R&gt;1&lt;/R&gt;&lt;C&gt;1&lt;/C&gt;&lt;D xsi:type="xsd:double"&gt;0.7498067&lt;/D&gt;&lt;/FQL&gt;&lt;FQL&gt;&lt;Q&gt;VMI-US^P_BETA_LOCIDX(45656,45483,,"SPX")&lt;/Q&gt;&lt;R&gt;1&lt;/R&gt;&lt;C&gt;1&lt;/C&gt;&lt;D xsi:type="xsd:double"&gt;0.7574245&lt;/D&gt;&lt;/FQL&gt;&lt;FQL&gt;&lt;Q&gt;VMI-US^P_BETA_LOCIDX(45653,45482,,"SPX")&lt;/Q&gt;&lt;R&gt;1&lt;/R&gt;&lt;C&gt;1&lt;/C&gt;&lt;D xsi:type="xsd:double"&gt;0.76068544&lt;/D&gt;&lt;/FQL&gt;&lt;FQL&gt;&lt;Q&gt;VMI-US^P_BETA_LOCIDX(45652,45481,,"SPX")&lt;/Q&gt;&lt;R&gt;1&lt;/R&gt;&lt;C&gt;1&lt;/C&gt;&lt;D xsi:type="xsd:double"&gt;0.7548668&lt;/D&gt;&lt;/FQL&gt;&lt;FQL&gt;&lt;Q&gt;VMI-US^P_BETA_LOCIDX(45650,45478,,"SPX")&lt;/Q&gt;&lt;R&gt;1&lt;/R&gt;&lt;C&gt;1&lt;/C&gt;&lt;D xsi:type="xsd:double"&gt;0.75035125&lt;/D&gt;&lt;/FQL&gt;&lt;FQL&gt;&lt;Q&gt;VMI-US^P_BETA_LOCIDX(45649,45476,,"SPX")&lt;/Q&gt;&lt;R&gt;1&lt;/R&gt;&lt;C&gt;1&lt;/C&gt;&lt;D xsi:type="xsd:double"&gt;0.74362&lt;/D&gt;&lt;/FQL&gt;&lt;FQL&gt;&lt;Q&gt;VMI-US^P_BETA_LOCIDX(45646,45475,,"SPX")&lt;/Q&gt;&lt;R&gt;1&lt;/R&gt;&lt;C&gt;1&lt;/C&gt;&lt;D xsi:type="xsd:double"&gt;0.74473304&lt;/D&gt;&lt;/FQL&gt;&lt;FQL&gt;&lt;Q&gt;VMI-US^P_BETA_LOCIDX(45645,45474,,"SPX")&lt;/Q&gt;&lt;R&gt;1&lt;/R&gt;&lt;C&gt;1&lt;/C&gt;&lt;D xsi:type="xsd:double"&gt;0.74142456&lt;/D&gt;&lt;/FQL&gt;&lt;FQL&gt;&lt;Q&gt;VMI-US^P_BETA_LOCIDX(45644,45471,,"SPX")&lt;/Q&gt;&lt;R&gt;1&lt;/R&gt;&lt;C&gt;1&lt;/C&gt;&lt;D xsi:type="xsd:double"&gt;0.7375488&lt;/D&gt;&lt;/FQL&gt;&lt;FQL&gt;&lt;Q&gt;VMI-US^P_BETA_LOCIDX(45643,45470,,"SPX")&lt;/Q&gt;&lt;R&gt;1&lt;/R&gt;&lt;C&gt;1&lt;/C&gt;&lt;D xsi:type="xsd:double"&gt;0.65863746&lt;/D&gt;&lt;/FQL&gt;&lt;FQL&gt;&lt;Q&gt;VMI-US^P_BETA_LOCIDX(45642,45469,,"SPX")&lt;/Q&gt;&lt;R&gt;1&lt;/R&gt;&lt;C&gt;1&lt;/C&gt;&lt;D xsi:type="xsd:double"&gt;0.6506958&lt;/D&gt;&lt;/FQL&gt;&lt;FQL&gt;&lt;Q&gt;VMI-US^P_BETA_LOCIDX(45639,45468,,"SPX")&lt;/Q&gt;&lt;R&gt;1&lt;/R&gt;&lt;C&gt;1&lt;/C&gt;&lt;D xsi:type="xsd:double"&gt;0.64680797&lt;/D&gt;&lt;/FQL&gt;&lt;FQL&gt;&lt;Q&gt;VMI-US^P_BETA_LOCIDX(45638,45467,,"SPX")&lt;/Q&gt;&lt;R&gt;1&lt;/R&gt;&lt;C&gt;1&lt;/C&gt;&lt;D xsi:type="xsd:double"&gt;0.6474844&lt;/D&gt;&lt;/FQL&gt;&lt;FQL&gt;&lt;Q&gt;VMI-US^P_BETA_LOCIDX(45637,45464,,"SPX")&lt;/Q&gt;&lt;R&gt;1&lt;/R&gt;&lt;C&gt;1&lt;/C&gt;&lt;D xsi:type="xsd:double"&gt;0.6431852&lt;/D&gt;&lt;/FQL&gt;&lt;FQL&gt;&lt;Q&gt;VMI-US^P_BETA_LOCIDX(45636,45463,,"SPX")&lt;/Q&gt;&lt;R&gt;1&lt;/R&gt;&lt;C&gt;1&lt;/C&gt;&lt;D xsi:type="xsd:double"&gt;0.65761095&lt;/D&gt;&lt;/FQL&gt;&lt;FQL&gt;&lt;Q&gt;VMI-US^P_BETA_LOCIDX(45635,45461,,"SPX")&lt;/Q&gt;&lt;R&gt;1&lt;/R&gt;&lt;C&gt;1&lt;/C&gt;&lt;D xsi:type="xsd:double"&gt;0.65274566&lt;/D&gt;&lt;/FQL&gt;&lt;FQL&gt;&lt;Q&gt;VMI-US^P_BETA_LOCIDX(45632,45460,,"SPX")&lt;/Q&gt;&lt;R&gt;1&lt;/R&gt;&lt;C&gt;1&lt;/C&gt;&lt;D xsi:type="xsd:double"&gt;0.6458346&lt;/D&gt;&lt;/FQL&gt;&lt;FQL&gt;&lt;Q&gt;VMI-US^P_BETA_LOCIDX(45631,45457,,"SPX")&lt;/Q&gt;&lt;R&gt;1&lt;/R&gt;&lt;C&gt;1&lt;/C&gt;&lt;D xsi:type="xsd:double"&gt;0.6503125&lt;/D&gt;&lt;/FQL&gt;&lt;FQL&gt;&lt;Q&gt;VMI-US^P_BETA_LOCIDX(45630,45456,,"SPX")&lt;/Q&gt;&lt;R&gt;1&lt;/R&gt;&lt;C&gt;1&lt;/C&gt;&lt;D xsi:type="xsd:double"&gt;0.64748144&lt;/D&gt;&lt;/FQL&gt;&lt;FQL&gt;&lt;Q&gt;VMI-US^P_BETA_LOCIDX(45629,45455,,"SPX")&lt;/Q&gt;&lt;R&gt;1&lt;/R&gt;&lt;C&gt;1&lt;/C&gt;&lt;D xsi:type="xsd:double"&gt;0.6652611&lt;/D&gt;&lt;/FQL&gt;&lt;FQL&gt;&lt;Q&gt;VMI-US^P_BETA_LOCIDX(45628,45454,,"SPX")&lt;/Q&gt;&lt;R&gt;1&lt;/R&gt;&lt;C&gt;1&lt;/C&gt;&lt;D xsi:type="xsd:double"&gt;0.6620478&lt;/D&gt;&lt;/FQL&gt;&lt;FQL&gt;&lt;Q&gt;VMI-US^P_BETA_LOCIDX(45625,45453,,"SPX")&lt;/Q&gt;&lt;R&gt;1&lt;/R&gt;&lt;C&gt;1&lt;/C&gt;&lt;D xsi:type="xsd:double"&gt;0.66723454&lt;/D&gt;&lt;/FQL&gt;&lt;FQL&gt;&lt;Q&gt;VMI-US^P_BETA_LOCIDX(45623,45450,,"SPX")&lt;/Q&gt;&lt;R&gt;1&lt;/R&gt;&lt;C&gt;1&lt;/C&gt;&lt;D xsi:type="xsd:double"&gt;0.6746111&lt;/D&gt;&lt;/FQL&gt;&lt;FQL&gt;&lt;Q&gt;VMI-US^P_BETA_LOCIDX(45622,45449,,"SPX")&lt;/Q&gt;&lt;R&gt;1&lt;/R&gt;&lt;C&gt;1&lt;/C&gt;&lt;D xsi:type="xsd:double"&gt;0.67348087&lt;/D&gt;&lt;/FQL&gt;&lt;FQL&gt;&lt;Q&gt;VMI-US^P_BETA_LOCIDX(45621,45448,,"SPX")&lt;/Q&gt;&lt;R&gt;1&lt;/R&gt;&lt;C&gt;1&lt;/C&gt;&lt;D xsi:type="xsd:double"&gt;0.6791765&lt;/D&gt;&lt;/FQL&gt;&lt;FQL&gt;&lt;Q&gt;VMI-US^P_BETA_LOCIDX(45618,45447,,"SPX")&lt;/Q&gt;&lt;R&gt;1&lt;/R&gt;&lt;C&gt;1&lt;/C&gt;&lt;D xsi:type="xsd:double"&gt;0.6741102&lt;/D&gt;&lt;/FQL&gt;&lt;FQL&gt;&lt;Q&gt;VMI-US^P_BETA_LOCIDX(45617,45446,,"SPX")&lt;/Q&gt;&lt;R&gt;1&lt;/R&gt;&lt;C&gt;1&lt;/C&gt;&lt;D xsi:type="xsd:double"&gt;0.67250746&lt;/D&gt;&lt;/FQL&gt;&lt;FQL&gt;&lt;Q&gt;VMI-US^P_BETA_LOCIDX(45616,45443,,"SPX")&lt;/Q&gt;&lt;R&gt;1&lt;/R&gt;&lt;C&gt;1&lt;/C&gt;&lt;D xsi:type="xsd:double"&gt;0.66981995&lt;/D&gt;&lt;/FQL&gt;&lt;FQL&gt;&lt;Q&gt;VMI-US^P_BETA_LOCIDX(45615,45442,,"SPX")&lt;/Q&gt;&lt;R&gt;1&lt;/R&gt;&lt;C&gt;1&lt;/C&gt;&lt;D xsi:type="xsd:double"&gt;0.6599789&lt;/D&gt;&lt;/FQL&gt;&lt;FQL&gt;&lt;Q&gt;VMI-US^P_BETA_LOCIDX(45614,45441,,"SPX")&lt;/Q&gt;&lt;R&gt;1&lt;/R&gt;&lt;C&gt;1&lt;/C&gt;&lt;D xsi:type="xsd:double"&gt;0.66729885&lt;/D&gt;&lt;/FQL&gt;&lt;FQL&gt;&lt;Q&gt;VMI-US^P_BETA_LOCIDX(45611,45440,,"SPX")&lt;/Q&gt;&lt;R&gt;1&lt;/R&gt;&lt;C&gt;1&lt;/C&gt;&lt;D xsi:type="xsd:double"&gt;0.6671968&lt;/D&gt;&lt;/FQL&gt;&lt;FQL&gt;&lt;Q&gt;VMI-US^P_BETA_LOCIDX(45610,45436,,"SPX")&lt;/Q&gt;&lt;R&gt;1&lt;/R&gt;&lt;C&gt;1&lt;/C&gt;&lt;D xsi:type="xsd:double"&gt;0.66144097&lt;/D&gt;&lt;/FQL&gt;&lt;FQL&gt;&lt;Q&gt;VMI-US^P_BETA_LOCIDX(45609,45435,,"SPX")&lt;/Q&gt;&lt;R&gt;1&lt;/R&gt;&lt;C&gt;1&lt;/C&gt;&lt;D xsi:type="xsd:double"&gt;0.6751593&lt;/D&gt;&lt;/FQL&gt;&lt;FQL&gt;&lt;Q&gt;VMI-US^P_BETA_LOCIDX(45608,45434,,"SPX")&lt;/Q&gt;&lt;R&gt;1&lt;/R&gt;&lt;C&gt;1&lt;/C&gt;&lt;D xsi:type="xsd:double"&gt;0.6708365&lt;/D&gt;&lt;/FQL&gt;&lt;FQL&gt;&lt;Q&gt;VMI-US^P_BETA_LOCIDX(45607,45433,,"SPX")&lt;/Q&gt;&lt;R&gt;1&lt;/R&gt;&lt;C&gt;1&lt;/C&gt;&lt;D xsi:type="xsd:double"&gt;0.66486573&lt;/D&gt;&lt;/FQL&gt;&lt;FQL&gt;&lt;Q&gt;VMI-US^P_BETA_LOCIDX(45604,45432,,"SPX")&lt;/Q&gt;&lt;R&gt;1&lt;/R&gt;&lt;C&gt;1&lt;/C&gt;&lt;D xsi:type="xsd:double"&gt;0.6650154&lt;/D&gt;&lt;/FQL&gt;&lt;FQL&gt;&lt;Q&gt;VMI-US^P_BETA_LOCIDX(45603,45429,,"SPX")&lt;/Q&gt;&lt;R&gt;1&lt;/R&gt;&lt;C&gt;1&lt;/C&gt;&lt;D xsi:type="xsd:double"&gt;0.66723806&lt;/D&gt;&lt;/FQL&gt;&lt;FQL&gt;&lt;Q&gt;VMI-US^P_BETA_LOCIDX(45602,45428,,"SPX")&lt;/Q&gt;&lt;R&gt;1&lt;/R&gt;&lt;C&gt;1&lt;/C&gt;&lt;D xsi:type="xsd:double"&gt;0.68869984&lt;/D&gt;&lt;/FQL&gt;&lt;FQL&gt;&lt;Q&gt;VMI-US^P_BETA_LOCIDX(45601,45427,,"SPX")&lt;/Q&gt;&lt;R&gt;1&lt;/R&gt;&lt;C&gt;1&lt;/C&gt;&lt;D xsi:type="xsd:double"&gt;0.52849406&lt;/D&gt;&lt;/FQL&gt;&lt;FQL&gt;&lt;Q&gt;VMI-US^P_BETA_LOCIDX(45600,45426,,"SPX")&lt;/Q&gt;&lt;R&gt;1&lt;/R&gt;&lt;C&gt;1&lt;/C&gt;&lt;D xsi:type="xsd:double"&gt;0.50714&lt;/D&gt;&lt;/FQL&gt;&lt;FQL&gt;&lt;Q&gt;VMI-US^P_BETA_LOCIDX(45597,45425,,"SPX")&lt;/Q&gt;&lt;R&gt;1&lt;/R&gt;&lt;C&gt;1&lt;/C&gt;&lt;D xsi:type="xsd:double"&gt;0.5121092&lt;/D&gt;&lt;/FQL&gt;&lt;FQL&gt;&lt;Q&gt;VMI-US^P_BETA_LOCIDX(45596,45422,,"SPX")&lt;/Q&gt;&lt;R&gt;1&lt;/R&gt;&lt;C&gt;1&lt;/C&gt;&lt;D xsi:type="xsd:double"&gt;0.509474&lt;/D&gt;&lt;/FQL&gt;&lt;FQL&gt;&lt;Q&gt;VMI-US^P_BETA_LOCIDX(45595,45421,,"SPX")&lt;/Q&gt;&lt;R&gt;1&lt;/R&gt;&lt;C&gt;1&lt;/C&gt;&lt;D xsi:type="xsd:double"&gt;0.50075406&lt;/D&gt;&lt;/FQL&gt;&lt;FQL&gt;&lt;Q&gt;VMI-US^P_BETA_LOCIDX(45594,45420,,"SPX")&lt;/Q&gt;&lt;R&gt;1&lt;/R&gt;&lt;C&gt;1&lt;/C&gt;&lt;D xsi:type="xsd:double"&gt;0.49041194&lt;/D&gt;&lt;/FQL&gt;&lt;FQL&gt;&lt;Q&gt;VMI-US^P_BETA_LOCIDX(45593,45419,,"SPX")&lt;/Q&gt;&lt;R&gt;1&lt;/R&gt;&lt;C&gt;1&lt;/C&gt;&lt;D xsi:type="xsd:double"&gt;0.49169987&lt;/D&gt;&lt;/FQL&gt;&lt;FQL&gt;&lt;Q&gt;VMI-US^P_BETA_LOCIDX(45590,45418,,"SPX")&lt;/Q&gt;&lt;R&gt;1&lt;/R&gt;&lt;C&gt;1&lt;/C&gt;&lt;D xsi:type="xsd:double"&gt;0.48597407&lt;/D&gt;&lt;/FQL&gt;&lt;FQL&gt;&lt;Q&gt;VMI-US^P_BETA_LOCIDX(45589,45415,,"SPX")&lt;/Q&gt;&lt;R&gt;1&lt;/R&gt;&lt;C&gt;1&lt;/C&gt;&lt;D xsi:type="xsd:double"&gt;0.4820689&lt;/D&gt;&lt;/FQL&gt;&lt;FQL&gt;&lt;Q&gt;VMI-US^P_BETA_LOCIDX(45588,45414,,"SPX")&lt;/Q&gt;&lt;R&gt;1&lt;/R&gt;&lt;C&gt;1&lt;/C&gt;&lt;D xsi:type="xsd:double"&gt;0.6516416&lt;/D&gt;&lt;/FQL&gt;&lt;FQL&gt;&lt;Q&gt;VMI-US^P_BETA_LOCIDX(45587,45413,,"SPX")&lt;/Q&gt;&lt;R&gt;1&lt;/R&gt;&lt;C&gt;1&lt;/C&gt;&lt;D xsi:type="xsd:double"&gt;0.78364265&lt;/D&gt;&lt;/FQL&gt;&lt;FQL&gt;&lt;Q&gt;VMI-US^P_BETA_LOCIDX(45586,45412,,"SPX")&lt;/Q&gt;&lt;R&gt;1&lt;/R&gt;&lt;C&gt;1&lt;/C&gt;&lt;D xsi:type="xsd:double"&gt;0.8014908&lt;/D&gt;&lt;/FQL&gt;&lt;FQL&gt;&lt;Q&gt;VMI-US^P_BETA_LOCIDX(45583,45411,,"SPX")&lt;/Q&gt;&lt;R&gt;1&lt;/R&gt;&lt;C&gt;1&lt;/C&gt;&lt;D xsi:type="xsd:double"&gt;0.7951783&lt;/D&gt;&lt;/FQL&gt;&lt;FQL&gt;&lt;Q&gt;VMI-US^P_BETA_LOCIDX(45582,45408,,"SPX")&lt;/Q&gt;&lt;R&gt;1&lt;/R&gt;&lt;C&gt;1&lt;/C&gt;&lt;D xsi:type="xsd:double"&gt;0.7932952&lt;/D&gt;&lt;/FQL&gt;&lt;FQL&gt;&lt;Q&gt;VMI-US^P_BETA_LOCIDX(45581,45407,,"SPX")&lt;/Q&gt;&lt;R&gt;1&lt;/R&gt;&lt;C&gt;1&lt;/C&gt;&lt;D xsi:type="xsd:double"&gt;0.801813&lt;/D&gt;&lt;/FQL&gt;&lt;FQL&gt;&lt;Q&gt;VMI-US^P_BETA_LOCIDX(45580,45406,,"SPX")&lt;/Q&gt;&lt;R&gt;1&lt;/R&gt;&lt;C&gt;1&lt;/C&gt;&lt;D xsi:type="xsd:double"&gt;0.7952963&lt;/D&gt;&lt;/FQL&gt;&lt;FQL&gt;&lt;Q&gt;VMI-US^P_BETA_LOCIDX(45579,45405,,"SPX")&lt;/Q&gt;&lt;R&gt;1&lt;/R&gt;&lt;C&gt;1&lt;/C&gt;&lt;D xsi:type="xsd:double"&gt;0.79700446&lt;/D&gt;&lt;/FQL&gt;&lt;FQL&gt;&lt;Q&gt;VMI-US^P_BETA_LOCIDX(45576,45404,,"SPX")&lt;/Q&gt;&lt;R&gt;1&lt;/R&gt;&lt;C&gt;1&lt;/C&gt;&lt;D xsi:type="xsd:double"&gt;0.7838863&lt;/D&gt;&lt;/FQL&gt;&lt;FQL&gt;&lt;Q&gt;VMI-US^P_BETA_LOCIDX(45575,45401,,"SPX")&lt;/Q&gt;&lt;R&gt;1&lt;/R&gt;&lt;C&gt;1&lt;/C&gt;&lt;D xsi:type="xsd:double"&gt;0.74736863&lt;/D&gt;&lt;/FQL&gt;&lt;FQL&gt;&lt;Q&gt;VMI-US^P_BETA_LOCIDX(45574,45400,,"SPX")&lt;/Q&gt;&lt;R&gt;1&lt;/R&gt;&lt;C&gt;1&lt;/C&gt;&lt;D xsi:type="xsd:double"&gt;0.75173134&lt;/D&gt;&lt;/FQL&gt;&lt;FQL&gt;&lt;Q&gt;VMI-US^P_BETA_LOCIDX(45573,45399,,"SPX")&lt;/Q&gt;&lt;R&gt;1&lt;/R&gt;&lt;C&gt;1&lt;/C&gt;&lt;D xsi:type="xsd:double"&gt;0.7632127&lt;/D&gt;&lt;/FQL&gt;&lt;FQL&gt;&lt;Q&gt;VMI-US^P_BETA_LOCIDX(45572,45398,,"SPX")&lt;/Q&gt;&lt;R&gt;1&lt;/R&gt;&lt;C&gt;1&lt;/C&gt;&lt;D xsi:type="xsd:double"&gt;0.786249&lt;/D&gt;&lt;/FQL&gt;&lt;FQL&gt;&lt;Q&gt;VMI-US^P_BETA_LOCIDX(45569,45397,,"SPX")&lt;/Q&gt;&lt;R&gt;1&lt;/R&gt;&lt;C&gt;1&lt;/C&gt;&lt;D xsi:type="xsd:double"&gt;0.8085006&lt;/D&gt;&lt;/FQL&gt;&lt;FQL&gt;&lt;Q&gt;VMI-US^P_BETA_LOCIDX(45568,45394,,"SPX")&lt;/Q&gt;&lt;R&gt;1&lt;/R&gt;&lt;C&gt;1&lt;/C&gt;&lt;D xsi:type="xsd:double"&gt;0.8257748&lt;/D&gt;&lt;/FQL&gt;&lt;FQL&gt;&lt;Q&gt;VMI-US^P_BETA_LOCIDX(45567,45393,,"SPX")&lt;/Q&gt;&lt;R&gt;1&lt;/R&gt;&lt;C&gt;1&lt;/C&gt;&lt;D xsi:type="xsd:double"&gt;0.81891483&lt;/D&gt;&lt;/FQL&gt;&lt;FQL&gt;&lt;Q&gt;VMI-US^P_BETA_LOCIDX(45566,45392,,"SPX")&lt;/Q&gt;&lt;R&gt;1&lt;/R&gt;&lt;C&gt;1&lt;/C&gt;&lt;D xsi:type="xsd:double"&gt;0.8224315&lt;/D&gt;&lt;/FQL&gt;&lt;FQL&gt;&lt;Q&gt;VMI-US^P_BETA_LOCIDX(45565,45391,,"SPX")&lt;/Q&gt;&lt;R&gt;1&lt;/R&gt;&lt;C&gt;1&lt;/C&gt;&lt;D xsi:type="xsd:double"&gt;0.81913495&lt;/D&gt;&lt;/FQL&gt;&lt;FQL&gt;&lt;Q&gt;VMI-US^P_BETA_LOCIDX(45562,45390,,"SPX")&lt;/Q&gt;&lt;R&gt;1&lt;/R&gt;&lt;C&gt;1&lt;/C&gt;&lt;D xsi:type="xsd:double"&gt;0.8192209&lt;/D&gt;&lt;/FQL&gt;&lt;FQL&gt;&lt;Q&gt;VMI-US^P_BETA_LOCIDX(45561,45387,,"SPX")&lt;/Q&gt;&lt;R&gt;1&lt;/R&gt;&lt;C&gt;1&lt;/C&gt;&lt;D xsi:type="xsd:double"&gt;0.82462245&lt;/D&gt;&lt;/FQL&gt;&lt;FQL&gt;&lt;Q&gt;VMI-US^P_BETA_LOCIDX(45560,45386,,"SPX")&lt;/Q&gt;&lt;R&gt;1&lt;/R&gt;&lt;C&gt;1&lt;/C&gt;&lt;D xsi:type="xsd:double"&gt;0.80594784&lt;/D&gt;&lt;/FQL&gt;&lt;FQL&gt;&lt;Q&gt;VMI-US^P_BETA_LOCIDX(45559,45385,,"SPX")&lt;/Q&gt;&lt;R&gt;1&lt;/R&gt;&lt;C&gt;1&lt;/C&gt;&lt;D xsi:type="xsd:double"&gt;0.80425113&lt;/D&gt;&lt;/FQL&gt;&lt;FQL&gt;&lt;Q&gt;VMI-US^P_BETA_LOCIDX(45558,45384,,"SPX")&lt;/Q&gt;&lt;R&gt;1&lt;/R&gt;&lt;C&gt;1&lt;/C&gt;&lt;D xsi:type="xsd:double"&gt;0.82758063&lt;/D&gt;&lt;/FQL&gt;&lt;FQL&gt;&lt;Q&gt;VMI-US^P_BETA_LOCIDX(45555,45383,,"SPX")&lt;/Q&gt;&lt;R&gt;1&lt;/R&gt;&lt;C&gt;1&lt;/C&gt;&lt;D xsi:type="xsd:double"&gt;0.82828933&lt;/D&gt;&lt;/FQL&gt;&lt;FQL&gt;&lt;Q&gt;VMI-US^P_BETA_LOCIDX(45554,45379,,"SPX")&lt;/Q&gt;&lt;R&gt;1&lt;/R&gt;&lt;C&gt;1&lt;/C&gt;&lt;D xsi:type="xsd:double"&gt;0.8264211&lt;/D&gt;&lt;/FQL&gt;&lt;FQL&gt;&lt;Q&gt;VMI-US^P_BETA_LOCIDX(45553,45378,,"SPX")&lt;/Q&gt;&lt;R&gt;1&lt;/R&gt;&lt;C&gt;1&lt;/C&gt;&lt;D xsi:type="xsd:double"&gt;0.8370713&lt;/D&gt;&lt;/FQL&gt;&lt;FQL&gt;&lt;Q&gt;VMI-US^P_BETA_LOCIDX(45552,45377,,"SPX")&lt;/Q&gt;&lt;R&gt;1&lt;/R&gt;&lt;C&gt;1&lt;/C&gt;&lt;D xsi:type="xsd:double"&gt;0.8348739&lt;/D&gt;&lt;/FQL&gt;&lt;FQL&gt;&lt;Q&gt;VMI-US^P_BETA_LOCIDX(45551,45376,,"SPX")&lt;/Q&gt;&lt;R&gt;1&lt;/R&gt;&lt;C&gt;1&lt;/C&gt;&lt;D xsi:type="xsd:double"&gt;0.83812106&lt;/D&gt;&lt;/FQL&gt;&lt;FQL&gt;&lt;Q&gt;VMI-US^P_BETA_LOCIDX(45548,45373,,"SPX")&lt;/Q&gt;&lt;R&gt;1&lt;/R&gt;&lt;C&gt;1&lt;/C&gt;&lt;D xsi:type="xsd:double"&gt;0.8369723&lt;/D&gt;&lt;/FQL&gt;&lt;FQL&gt;&lt;Q&gt;VMI-US^P_BETA_LOCIDX(45547,45372,,"SPX")&lt;/Q&gt;&lt;R&gt;1&lt;/R&gt;&lt;C&gt;1&lt;/C&gt;&lt;D xsi:type="xsd:double"&gt;0.83807105&lt;/D&gt;&lt;/FQL&gt;&lt;FQL&gt;&lt;Q&gt;VMI-US^P_BETA_LOCIDX(45546,45371,,"SPX")&lt;/Q&gt;&lt;R&gt;1&lt;/R&gt;&lt;C&gt;1&lt;/C&gt;&lt;D xsi:type="xsd:double"&gt;0.8391493&lt;/D&gt;&lt;/FQL&gt;&lt;FQL&gt;&lt;Q&gt;VMI-US^P_BETA_LOCIDX(45545,45370,,"SPX")&lt;/Q&gt;&lt;R&gt;1&lt;/R&gt;&lt;C&gt;1&lt;/C&gt;&lt;D xsi:type="xsd:double"&gt;0.84519935&lt;/D&gt;&lt;/FQL&gt;&lt;FQL&gt;&lt;Q&gt;VMI-US^P_BETA_LOCIDX(45544,45369,,"SPX")&lt;/Q&gt;&lt;R&gt;1&lt;/R&gt;&lt;C&gt;1&lt;/C&gt;&lt;D xsi:type="xsd:double"&gt;0.83582383&lt;/D&gt;&lt;/FQL&gt;&lt;FQL&gt;&lt;Q&gt;VMI-US^P_BETA_LOCIDX(45541,45366,,"SPX")&lt;/Q&gt;&lt;R&gt;1&lt;/R&gt;&lt;C&gt;1&lt;/C&gt;&lt;D xsi:type="xsd:double"&gt;0.834376&lt;/D&gt;&lt;/FQL&gt;&lt;FQL&gt;&lt;Q&gt;VMI-US^P_BETA_LOCIDX(45540,45365,,"SPX")&lt;/Q&gt;&lt;R&gt;1&lt;/R&gt;&lt;C&gt;1&lt;/C&gt;&lt;D xsi:type="xsd:double"&gt;0.8756094&lt;/D&gt;&lt;/FQL&gt;&lt;FQL&gt;&lt;Q&gt;VMI-US^P_BETA_LOCIDX(45539,45364,,"SPX")&lt;/Q&gt;&lt;R&gt;1&lt;/R&gt;&lt;C&gt;1&lt;/C&gt;&lt;D xsi:type="xsd:double"&gt;0.8654629&lt;/D&gt;&lt;/FQL&gt;&lt;FQL&gt;&lt;Q&gt;VMI-US^P_BETA_LOCIDX(45538,45363,,"SPX")&lt;/Q&gt;&lt;R&gt;1&lt;/R&gt;&lt;C&gt;1&lt;/C&gt;&lt;D xsi:type="xsd:double"&gt;0.84215754&lt;/D&gt;&lt;/FQL&gt;&lt;FQL&gt;&lt;Q&gt;VMI-US^P_BETA_LOCIDX(45534,45362,,"SPX")&lt;/Q&gt;&lt;R&gt;1&lt;/R&gt;&lt;C&gt;1&lt;/C&gt;&lt;D xsi:type="xsd:double"&gt;0.79777116&lt;/D&gt;&lt;/FQL&gt;&lt;FQL&gt;&lt;Q&gt;VMI-US^P_BETA_LOCIDX(45533,45359,,"SPX")&lt;/Q&gt;&lt;R&gt;1&lt;/R&gt;&lt;C&gt;1&lt;/C&gt;&lt;D xsi:type="xsd:double"&gt;0.7847781&lt;/D&gt;&lt;/FQL&gt;&lt;FQL&gt;&lt;Q&gt;VMI-US^P_BETA_LOCIDX(45532,45358,,"SPX")&lt;/Q&gt;&lt;R&gt;1&lt;/R&gt;&lt;C&gt;1&lt;/C&gt;&lt;D xsi:type="xsd:double"&gt;0.7966169&lt;/D&gt;&lt;/FQL&gt;&lt;FQL&gt;&lt;Q&gt;VMI-US^P_BETA_LOCIDX(45531,45357,,"SPX")&lt;/Q&gt;&lt;R&gt;1&lt;/R&gt;&lt;C&gt;1&lt;/C&gt;&lt;D xsi:type="xsd:double"&gt;0.7881093&lt;/D&gt;&lt;/FQL&gt;&lt;FQL&gt;&lt;Q&gt;VMI-US^P_BETA_LOCIDX(45530,45356,,"SPX")&lt;/Q&gt;&lt;R&gt;1&lt;/R&gt;&lt;C&gt;1&lt;/C&gt;&lt;D xsi:type="xsd:double"&gt;0.8037408&lt;/D&gt;&lt;/FQL&gt;&lt;FQL&gt;&lt;Q&gt;VMI-US^P_BETA_LOCIDX(45527,45355,,"SPX")&lt;/Q&gt;&lt;R&gt;1&lt;/R&gt;&lt;C&gt;1&lt;/C&gt;&lt;D xsi:type="xsd:double"&gt;0.8026349&lt;/D&gt;&lt;/FQL&gt;&lt;FQL&gt;&lt;Q&gt;VMI-US^P_BETA_LOCIDX(45526,45352,,"SPX")&lt;/Q&gt;&lt;R&gt;1&lt;/R&gt;&lt;C&gt;1&lt;/C&gt;&lt;D xsi:type="xsd:double"&gt;0.7803809&lt;/D&gt;&lt;/FQL&gt;&lt;FQL&gt;&lt;Q&gt;VMI-US^P_BETA_LOCIDX(45525,45351,,"SPX")&lt;/Q&gt;&lt;R&gt;1&lt;/R&gt;&lt;C&gt;1&lt;/C&gt;&lt;D xsi:type="xsd:double"&gt;0.7766202&lt;/D&gt;&lt;/FQL&gt;&lt;FQL&gt;&lt;Q&gt;VMI-US^P_BETA_LOCIDX(45524,45350,,"SPX")&lt;/Q&gt;&lt;R&gt;1&lt;/R&gt;&lt;C&gt;1&lt;/C&gt;&lt;D xsi:type="xsd:double"&gt;0.77359134&lt;/D&gt;&lt;/FQL&gt;&lt;FQL&gt;&lt;Q&gt;VMI-US^P_BETA_LOCIDX(45523,45349,,"SPX")&lt;/Q&gt;&lt;R&gt;1&lt;/R&gt;&lt;C&gt;1&lt;/C&gt;&lt;D xsi:type="xsd:double"&gt;0.76874065&lt;/D&gt;&lt;/FQL&gt;&lt;FQL&gt;&lt;Q&gt;VMI-US^P_BETA_LOCIDX(45520,45348,,"SPX")&lt;/Q&gt;&lt;R&gt;1&lt;/R&gt;&lt;C&gt;1&lt;/C&gt;&lt;D xsi:type="xsd:double"&gt;0.7822118&lt;/D&gt;&lt;/FQL&gt;&lt;FQL&gt;&lt;Q&gt;VMI-US^P_BETA_LOCIDX(45519,45345,,"SPX")&lt;/Q&gt;&lt;R&gt;1&lt;/R&gt;&lt;C&gt;1&lt;/C&gt;&lt;D xsi:type="xsd:double"&gt;0.7840064&lt;/D&gt;&lt;/FQL&gt;&lt;FQL&gt;&lt;Q&gt;VMI-US^P_BETA_LOCIDX(45518,45344,,"SPX")&lt;/Q&gt;&lt;R&gt;1&lt;/R&gt;&lt;C&gt;1&lt;/C&gt;&lt;D xsi:type="xsd:double"&gt;0.6691056&lt;/D&gt;&lt;/FQL&gt;&lt;FQL&gt;&lt;Q&gt;VMI-US^P_BETA_LOCIDX(45517,45343,,"SPX")&lt;/Q&gt;&lt;R&gt;1&lt;/R&gt;&lt;C&gt;1&lt;/C&gt;&lt;D xsi:type="xsd:double"&gt;0.6683984&lt;/D&gt;&lt;/FQL&gt;&lt;FQL&gt;&lt;Q&gt;VMI-US^P_BETA_LOCIDX(45516,45342,,"SPX")&lt;/Q&gt;&lt;R&gt;1&lt;/R&gt;&lt;C&gt;1&lt;/C&gt;&lt;D xsi:type="xsd:double"&gt;0.6863015&lt;/D&gt;&lt;/FQL&gt;&lt;FQL&gt;&lt;Q&gt;VMI-US^P_BETA_LOCIDX(45513,45338,,"SPX")&lt;/Q&gt;&lt;R&gt;1&lt;/R&gt;&lt;C&gt;1&lt;/C&gt;&lt;D xsi:type="xsd:double"&gt;0.69387424&lt;/D&gt;&lt;/FQL&gt;&lt;FQL&gt;&lt;Q&gt;VMI-US^P_BETA_LOCIDX(45512,45337,,"SPX")&lt;/Q&gt;&lt;R&gt;1&lt;/R&gt;&lt;C&gt;1&lt;/C&gt;&lt;D xsi:type="xsd:double"&gt;0.687529&lt;/D&gt;&lt;/FQL&gt;&lt;FQL&gt;&lt;Q&gt;VMI-US^P_BETA_LOCIDX(45511,45336,,"SPX")&lt;/Q&gt;&lt;R&gt;1&lt;/R&gt;&lt;C&gt;1&lt;/C&gt;&lt;D xsi:type="xsd:double"&gt;0.69277763&lt;/D&gt;&lt;/FQL&gt;&lt;FQL&gt;&lt;Q&gt;VMI-US^P_BETA_LOCIDX(45510,45335,,"SPX")&lt;/Q&gt;&lt;R&gt;1&lt;/R&gt;&lt;C&gt;1&lt;/C&gt;&lt;D xsi:type="xsd:double"&gt;0.73377955&lt;/D&gt;&lt;/FQL&gt;&lt;FQL&gt;&lt;Q&gt;VMI-US^P_BETA_LOCIDX(45509,45334,,"SPX")&lt;/Q&gt;&lt;R&gt;1&lt;/R&gt;&lt;C&gt;1&lt;/C&gt;&lt;D xsi:type="xsd:double"&gt;0.74614424&lt;/D&gt;&lt;/FQL&gt;&lt;FQL&gt;&lt;Q&gt;VMI-US^P_BETA_LOCIDX(45506,45331,,"SPX")&lt;/Q&gt;&lt;R&gt;1&lt;/R&gt;&lt;C&gt;1&lt;/C&gt;&lt;D xsi:type="xsd:double"&gt;0.72539043&lt;/D&gt;&lt;/FQL&gt;&lt;FQL&gt;&lt;Q&gt;VMI-US^P_BETA_LOCIDX(45505,45330,,"SPX")&lt;/Q&gt;&lt;R&gt;1&lt;/R&gt;&lt;C&gt;1&lt;/C&gt;&lt;D xsi:type="xsd:double"&gt;0.7014568&lt;/D&gt;&lt;/FQL&gt;&lt;FQL&gt;&lt;Q&gt;VMI-US^P_BETA_LOCIDX(45504,45329,,"SPX")&lt;/Q&gt;&lt;R&gt;1&lt;/R&gt;&lt;C&gt;1&lt;/C&gt;&lt;D xsi:type="xsd:double"&gt;0.6842816&lt;/D&gt;&lt;/FQL&gt;&lt;FQL&gt;&lt;Q&gt;VMI-US^P_BETA_LOCIDX(45503,45328,,"SPX")&lt;/Q&gt;&lt;R&gt;1&lt;/R&gt;&lt;C&gt;1&lt;/C&gt;&lt;D xsi:type="xsd:double"&gt;0.73725873&lt;/D&gt;&lt;/FQL&gt;&lt;FQL&gt;&lt;Q&gt;VMI-US^P_BETA_LOCIDX(45502,45327,,"SPX")&lt;/Q&gt;&lt;R&gt;1&lt;/R&gt;&lt;C&gt;1&lt;/C&gt;&lt;D xsi:type="xsd:double"&gt;0.75072914&lt;/D&gt;&lt;/FQL&gt;&lt;FQL&gt;&lt;Q&gt;VMI-US^P_BETA_LOCIDX(45499,45324,,"SPX")&lt;/Q&gt;&lt;R&gt;1&lt;/R&gt;&lt;C&gt;1&lt;/C&gt;&lt;D xsi:type="xsd:double"&gt;0.7207612&lt;/D&gt;&lt;/FQL&gt;&lt;FQL&gt;&lt;Q&gt;VMI-US^P_BETA_LOCIDX(45498,45323,,"SPX")&lt;/Q&gt;&lt;R&gt;1&lt;/R&gt;&lt;C&gt;1&lt;/C&gt;&lt;D xsi:type="xsd:double"&gt;0.73578644&lt;/D&gt;&lt;/FQL&gt;&lt;FQL&gt;&lt;Q&gt;VMI-US^P_BETA_LOCIDX(45497,45322,,"SPX")&lt;/Q&gt;&lt;R&gt;1&lt;/R&gt;&lt;C&gt;1&lt;/C&gt;&lt;D xsi:type="xsd:double"&gt;0.85796696&lt;/D&gt;&lt;/FQL&gt;&lt;FQL&gt;&lt;Q&gt;VMI-US^P_BETA_LOCIDX(45496,45321,,"SPX")&lt;/Q&gt;&lt;R&gt;1&lt;/R&gt;&lt;C&gt;1&lt;/C&gt;&lt;D xsi:type="xsd:double"&gt;0.8548162&lt;/D&gt;&lt;/FQL&gt;&lt;FQL&gt;&lt;Q&gt;VMI-US^P_BETA_LOCIDX(45495,45320,,"SPX")&lt;/Q&gt;&lt;R&gt;1&lt;/R&gt;&lt;C&gt;1&lt;/C&gt;&lt;D xsi:type="xsd:double"&gt;0.84791994&lt;/D&gt;&lt;/FQL&gt;&lt;FQL&gt;&lt;Q&gt;VMI-US^P_BETA_LOCIDX(45492,45317,,"SPX")&lt;/Q&gt;&lt;R&gt;1&lt;/R&gt;&lt;C&gt;1&lt;/C&gt;&lt;D xsi:type="xsd:double"&gt;0.8546455&lt;/D&gt;&lt;/FQL&gt;&lt;FQL&gt;&lt;Q&gt;VMI-US^P_BETA_LOCIDX(45491,45316,,"SPX")&lt;/Q&gt;&lt;R&gt;1&lt;/R&gt;&lt;C&gt;1&lt;/C&gt;&lt;D xsi:type="xsd:double"&gt;0.8388359&lt;/D&gt;&lt;/FQL&gt;&lt;FQL&gt;&lt;Q&gt;VMI-US^P_BETA_LOCIDX(45490,45315,,"SPX")&lt;/Q&gt;&lt;R&gt;1&lt;/R&gt;&lt;C&gt;1&lt;/C&gt;&lt;D xsi:type="xsd:double"&gt;0.8314529&lt;/D&gt;&lt;/FQL&gt;&lt;FQL&gt;&lt;Q&gt;VMI-US^P_BETA_LOCIDX(45489,45314,,"SPX")&lt;/Q&gt;&lt;R&gt;1&lt;/R&gt;&lt;C&gt;1&lt;/C&gt;&lt;D xsi:type="xsd:double"&gt;0.89480966&lt;/D&gt;&lt;/FQL&gt;&lt;FQL&gt;&lt;Q&gt;VMI-US^P_BETA_LOCIDX(45488,45313,,"SPX")&lt;/Q&gt;&lt;R&gt;1&lt;/R&gt;&lt;C&gt;1&lt;/C&gt;&lt;D xsi:type="xsd:double"&gt;0.8730475&lt;/D&gt;&lt;/FQL&gt;&lt;FQL&gt;&lt;Q&gt;VMI-US^P_BETA_LOCIDX(45485,45310,,"SPX")&lt;/Q&gt;&lt;R&gt;1&lt;/R&gt;&lt;C&gt;1&lt;/C&gt;&lt;D xsi:type="xsd:double"&gt;0.8542492&lt;/D&gt;&lt;/FQL&gt;&lt;FQL&gt;&lt;Q&gt;VMI-US^P_BETA_LOCIDX(45484,45309,,"SPX")&lt;/Q&gt;&lt;R&gt;1&lt;/R&gt;&lt;C&gt;1&lt;/C&gt;&lt;D xsi:type="xsd:double"&gt;0.846202&lt;/D&gt;&lt;/FQL&gt;&lt;FQL&gt;&lt;Q&gt;VMI-US^P_BETA_LOCIDX(45483,45308,,"SPX")&lt;/Q&gt;&lt;R&gt;1&lt;/R&gt;&lt;C&gt;1&lt;/C&gt;&lt;D xsi:type="xsd:double"&gt;0.90860754&lt;/D&gt;&lt;/FQL&gt;&lt;FQL&gt;&lt;Q&gt;VMI-US^P_BETA_LOCIDX(45482,45307,,"SPX")&lt;/Q&gt;&lt;R&gt;1&lt;/R&gt;&lt;C&gt;1&lt;/C&gt;&lt;D xsi:type="xsd:double"&gt;0.9047618&lt;/D&gt;&lt;/FQL&gt;&lt;FQL&gt;&lt;Q&gt;VMI-US^P_BETA_LOCIDX(45481,45303,,"SPX")&lt;/Q&gt;&lt;R&gt;1&lt;/R&gt;&lt;C&gt;1&lt;/C&gt;&lt;D xsi:type="xsd:double"&gt;0.90271366&lt;/D&gt;&lt;/FQL&gt;&lt;FQL&gt;&lt;Q&gt;VMI-US^P_BETA_LOCIDX(45478,45302,,"SPX")&lt;/Q&gt;&lt;R&gt;1&lt;/R&gt;&lt;C&gt;1&lt;/C&gt;&lt;D xsi:type="xsd:double"&gt;0.9028802&lt;/D&gt;&lt;/FQL&gt;&lt;FQL&gt;&lt;Q&gt;VMI-US^P_BETA_LOCIDX(45476,45301,,"SPX")&lt;/Q&gt;&lt;R&gt;1&lt;/R&gt;&lt;C&gt;1&lt;/C&gt;&lt;D xsi:type="xsd:double"&gt;0.9205181&lt;/D&gt;&lt;/FQL&gt;&lt;FQL&gt;&lt;Q&gt;VMI-US^P_BETA_LOCIDX(45475,45300,,"SPX")&lt;/Q&gt;&lt;R&gt;1&lt;/R&gt;&lt;C&gt;1&lt;/C&gt;&lt;D xsi:type="xsd:double"&gt;0.93896776&lt;/D&gt;&lt;/FQL&gt;&lt;FQL&gt;&lt;Q&gt;VMI-US^P_BETA_LOCIDX(45474,45299,,"SPX")&lt;/Q&gt;&lt;R&gt;1&lt;/R&gt;&lt;C&gt;1&lt;/C&gt;&lt;D xsi:type="xsd:double"&gt;0.91781986&lt;/D&gt;&lt;/FQL&gt;&lt;FQL&gt;&lt;Q&gt;VMI-US^P_BETA_LOCIDX(45471,45296,,"SPX")&lt;/Q&gt;&lt;R&gt;1&lt;/R&gt;&lt;C&gt;1&lt;/C&gt;&lt;D xsi:type="xsd:double"&gt;0.9261274&lt;/D&gt;&lt;/FQL&gt;&lt;FQL&gt;&lt;Q&gt;VMI-US^P_BETA_LOCIDX(45470,45295,,"SPX")&lt;/Q&gt;&lt;R&gt;1&lt;/R&gt;&lt;C&gt;1&lt;/C&gt;&lt;D xsi:type="xsd:double"&gt;0.9275052&lt;/D&gt;&lt;/FQL&gt;&lt;FQL&gt;&lt;Q&gt;VMI-US^P_BETA_LOCIDX(45469,45294,,"SPX")&lt;/Q&gt;&lt;R&gt;1&lt;/R&gt;&lt;C&gt;1&lt;/C&gt;&lt;D xsi:type="xsd:double"&gt;0.9800916&lt;/D&gt;&lt;/FQL&gt;&lt;FQL&gt;&lt;Q&gt;VMI-US^P_BETA_LOCIDX(45468,45293,,"SPX")&lt;/Q&gt;&lt;R&gt;1&lt;/R&gt;&lt;C&gt;1&lt;/C&gt;&lt;D xsi:type="xsd:double"&gt;0.9686268&lt;/D&gt;&lt;/FQL&gt;&lt;FQL&gt;&lt;Q&gt;VMI-US^P_BETA_LOCIDX(45467,45289,,"SPX")&lt;/Q&gt;&lt;R&gt;1&lt;/R&gt;&lt;C&gt;1&lt;/C&gt;&lt;D xsi:type="xsd:double"&gt;0.9710917&lt;/D&gt;&lt;/FQL&gt;&lt;FQL&gt;&lt;Q&gt;VMI-US^P_BETA_LOCIDX(45464,45288,,"SPX")&lt;/Q&gt;&lt;R&gt;1&lt;/R&gt;&lt;C&gt;1&lt;/C&gt;&lt;D xsi:type="xsd:double"&gt;0.9706743&lt;/D&gt;&lt;/FQL&gt;&lt;FQL&gt;&lt;Q&gt;VMI-US^P_BETA_LOCIDX(45463,45287,,"SPX")&lt;/Q&gt;&lt;R&gt;1&lt;/R&gt;&lt;C&gt;1&lt;/C&gt;&lt;D xsi:type="xsd:double"&gt;0.9762062&lt;/D&gt;&lt;/FQL&gt;&lt;FQL&gt;&lt;Q&gt;VMI-US^P_BETA_LOCIDX(45461,45286,,"SPX")&lt;/Q&gt;&lt;R&gt;1&lt;/R&gt;&lt;C&gt;1&lt;/C&gt;&lt;D xsi:type="xsd:double"&gt;0.9679588&lt;/D&gt;&lt;/FQL&gt;&lt;FQL&gt;&lt;Q&gt;VMI-US^P_BETA_LOCIDX(45460,45282,,"SPX")&lt;/Q&gt;&lt;R&gt;1&lt;/R&gt;&lt;C&gt;1&lt;/C&gt;&lt;D xsi:type="xsd:double"&gt;0.96530455&lt;/D&gt;&lt;/FQL&gt;&lt;FQL&gt;&lt;Q&gt;VMI-US^P_BETA_LOCIDX(45457,45281,,"SPX")&lt;/Q&gt;&lt;R&gt;1&lt;/R&gt;&lt;C&gt;1&lt;/C&gt;&lt;D xsi:type="xsd:double"&gt;0.9841266&lt;/D&gt;&lt;/FQL&gt;&lt;FQL&gt;&lt;Q&gt;VMI-US^P_BETA_LOCIDX(45456,45280,,"SPX")&lt;/Q&gt;&lt;R&gt;1&lt;/R&gt;&lt;C&gt;1&lt;/C&gt;&lt;D xsi:type="xsd:double"&gt;0.9871355&lt;/D&gt;&lt;/FQL&gt;&lt;FQL&gt;&lt;Q&gt;VMI-US^P_BETA_LOCIDX(45455,45279,,"SPX")&lt;/Q&gt;&lt;R&gt;1&lt;/R&gt;&lt;C&gt;1&lt;/C&gt;&lt;D xsi:type="xsd:double"&gt;1.0005851&lt;/D&gt;&lt;/FQL&gt;&lt;FQL&gt;&lt;Q&gt;VMI-US^P_BETA_LOCIDX(45454,45278,,"SPX")&lt;/Q&gt;&lt;R&gt;1&lt;/R&gt;&lt;C&gt;1&lt;/C&gt;&lt;D xsi:type="xsd:double"&gt;0.97355056&lt;/D&gt;&lt;/FQL&gt;&lt;FQL&gt;&lt;Q&gt;VMI-US^P_BETA_LOCIDX(45453,45275,,"SPX")&lt;/Q&gt;&lt;R&gt;1&lt;/R&gt;&lt;C&gt;1&lt;/C&gt;&lt;D xsi:type="xsd:double"&gt;0.98010045&lt;/D&gt;&lt;/FQL&gt;&lt;FQL&gt;&lt;Q&gt;VMI-US^P_BETA_LOCIDX(45450,45274,,"SPX")&lt;/Q&gt;&lt;R&gt;1&lt;/R&gt;&lt;C&gt;1&lt;/C&gt;&lt;D xsi:type="xsd:double"&gt;0.9811094&lt;/D&gt;&lt;/FQL&gt;&lt;FQL&gt;&lt;Q&gt;VMI-US^P_BETA_LOCIDX(45449,45273,,"SPX")&lt;/Q&gt;&lt;R&gt;1&lt;/R&gt;&lt;C&gt;1&lt;/C&gt;&lt;D xsi:type="xsd:double"&gt;0.9396394&lt;/D&gt;&lt;/FQL&gt;&lt;FQL&gt;&lt;Q&gt;VMI-US^P_BETA_LOCIDX(45448,45272,,"SPX")&lt;/Q&gt;&lt;R&gt;1&lt;/R&gt;&lt;C&gt;1&lt;/C&gt;&lt;D xsi:type="xsd:double"&gt;0.93535393&lt;/D&gt;&lt;/FQL&gt;&lt;FQL&gt;&lt;Q&gt;VMI-US^P_BETA_LOCIDX(45447,45271,,"SPX")&lt;/Q&gt;&lt;R&gt;1&lt;/R&gt;&lt;C&gt;1&lt;/C&gt;&lt;D xsi:type="xsd:double"&gt;0.93389755&lt;/D&gt;&lt;/FQL&gt;&lt;FQL&gt;&lt;Q&gt;VMI-US^P_BETA_LOCIDX(45446,45268,,"SPX")&lt;/Q&gt;&lt;R&gt;1&lt;/R&gt;&lt;C&gt;1&lt;/C&gt;&lt;D xsi:type="xsd:double"&gt;0.9360519&lt;/D&gt;&lt;/FQL&gt;&lt;FQL&gt;&lt;Q&gt;VMI-US^P_BETA_LOCIDX(45443,45267,,"SPX")&lt;/Q&gt;&lt;R&gt;1&lt;/R&gt;&lt;C&gt;1&lt;/C&gt;&lt;D xsi:type="xsd:double"&gt;0.92628145&lt;/D&gt;&lt;/FQL&gt;&lt;FQL&gt;&lt;Q&gt;VMI-US^P_BETA_LOCIDX(45442,45266,,"SPX")&lt;/Q&gt;&lt;R&gt;1&lt;/R&gt;&lt;C&gt;1&lt;/C&gt;&lt;D xsi:type="xsd:double"&gt;0.94043976&lt;/D&gt;&lt;/FQL&gt;&lt;FQL&gt;&lt;Q&gt;VMI-US^P_BETA_LOCIDX(45441,45265,,"SPX")&lt;/Q&gt;&lt;R&gt;1&lt;/R&gt;&lt;C&gt;1&lt;/C&gt;&lt;D xsi:type="xsd:double"&gt;0.96403825&lt;/D&gt;&lt;/FQL&gt;&lt;FQL&gt;&lt;Q&gt;VMI-US^P_BETA_LOCIDX(45440,45264,,"SPX")&lt;/Q&gt;&lt;R&gt;1&lt;/R&gt;&lt;C&gt;1&lt;/C&gt;&lt;D xsi:type="xsd:double"&gt;0.9590399&lt;/D&gt;&lt;/FQL&gt;&lt;FQL&gt;&lt;Q&gt;VMI-US^P_BETA_LOCIDX(45436,45261,,"SPX")&lt;/Q&gt;&lt;R&gt;1&lt;/R&gt;&lt;C&gt;1&lt;/C&gt;&lt;D xsi:type="xsd:double"&gt;0.9684773&lt;/D&gt;&lt;/FQL&gt;&lt;FQL&gt;&lt;Q&gt;VMI-US^P_BETA_LOCIDX(45435,45260,,"SPX")&lt;/Q&gt;&lt;R&gt;1&lt;/R&gt;&lt;C&gt;1&lt;/C&gt;&lt;D xsi:type="xsd:double"&gt;0.9882356&lt;/D&gt;&lt;/FQL&gt;&lt;FQL&gt;&lt;Q&gt;VMI-US^P_BETA_LOCIDX(45434,45259,,"SPX")&lt;/Q&gt;&lt;R&gt;1&lt;/R&gt;&lt;C&gt;1&lt;/C&gt;&lt;D xsi:type="xsd:double"&gt;0.95094335&lt;/D&gt;&lt;/FQL&gt;&lt;FQL&gt;&lt;Q&gt;VMI-US^P_BETA_LOCIDX(45433,45258,,"SPX")&lt;/Q&gt;&lt;R&gt;1&lt;/R&gt;&lt;C&gt;1&lt;/C&gt;&lt;D xsi:type="xsd:double"&gt;0.9582426&lt;/D&gt;&lt;/FQL&gt;&lt;FQL&gt;&lt;Q&gt;VMI-US^P_BETA_LOCIDX(45432,45257,,"SPX")&lt;/Q&gt;&lt;R&gt;1&lt;/R&gt;&lt;C&gt;1&lt;/C&gt;&lt;D xsi:type="xsd:double"&gt;0.97279394&lt;/D&gt;&lt;/FQL&gt;&lt;FQL&gt;&lt;Q&gt;VMI-US^P_BETA_LOCIDX(45429,45254,,"SPX")&lt;/Q&gt;&lt;R&gt;1&lt;/R&gt;&lt;C&gt;1&lt;/C&gt;&lt;D xsi:type="xsd:double"&gt;0.97222966&lt;/D&gt;&lt;/FQL&gt;&lt;FQL&gt;&lt;Q&gt;VMI-US^P_BETA_LOCIDX(45428,45252,,"SPX")&lt;/Q&gt;&lt;R&gt;1&lt;/R&gt;&lt;C&gt;1&lt;/C&gt;&lt;D xsi:type="xsd:double"&gt;0.97110987&lt;/D&gt;&lt;/FQL&gt;&lt;FQL&gt;&lt;Q&gt;VMI-US^P_BETA_LOCIDX(45427,45251,,"SPX")&lt;/Q&gt;&lt;R&gt;1&lt;/R&gt;&lt;C&gt;1&lt;/C&gt;&lt;D xsi:type="xsd:double"&gt;0.98157847&lt;/D&gt;&lt;/FQL&gt;&lt;FQL&gt;&lt;Q&gt;VMI-US^P_BETA_LOCIDX(45426,45250,,"SPX")&lt;/Q&gt;&lt;R&gt;1&lt;/R&gt;&lt;C&gt;1&lt;/C&gt;&lt;D xsi:type="xsd:d</t>
        </r>
      </text>
    </comment>
    <comment ref="A12" authorId="0" shapeId="0" xr:uid="{D545C30B-4359-4455-B273-49E4F9AB1BE1}">
      <text>
        <r>
          <rPr>
            <b/>
            <sz val="9"/>
            <color indexed="81"/>
            <rFont val="Tahoma"/>
            <charset val="1"/>
          </rPr>
          <t>ouble"&gt;0.99540925&lt;/D&gt;&lt;/FQL&gt;&lt;FQL&gt;&lt;Q&gt;VMI-US^P_BETA_LOCIDX(45425,45247,,"SPX")&lt;/Q&gt;&lt;R&gt;1&lt;/R&gt;&lt;C&gt;1&lt;/C&gt;&lt;D xsi:type="xsd:double"&gt;0.9992897&lt;/D&gt;&lt;/FQL&gt;&lt;FQL&gt;&lt;Q&gt;VMI-US^P_BETA_LOCIDX(45422,45246,,"SPX")&lt;/Q&gt;&lt;R&gt;1&lt;/R&gt;&lt;C&gt;1&lt;/C&gt;&lt;D xsi:type="xsd:double"&gt;0.99897784&lt;/D&gt;&lt;/FQL&gt;&lt;FQL&gt;&lt;Q&gt;VMI-US^P_BETA_LOCIDX(45421,45245,,"SPX")&lt;/Q&gt;&lt;R&gt;1&lt;/R&gt;&lt;C&gt;1&lt;/C&gt;&lt;D xsi:type="xsd:double"&gt;0.99868107&lt;/D&gt;&lt;/FQL&gt;&lt;FQL&gt;&lt;Q&gt;VMI-US^P_BETA_LOCIDX(45420,45244,,"SPX")&lt;/Q&gt;&lt;R&gt;1&lt;/R&gt;&lt;C&gt;1&lt;/C&gt;&lt;D xsi:type="xsd:double"&gt;1.0846186&lt;/D&gt;&lt;/FQL&gt;&lt;FQL&gt;&lt;Q&gt;VMI-US^P_BETA_LOCIDX(45419,45243,,"SPX")&lt;/Q&gt;&lt;R&gt;1&lt;/R&gt;&lt;C&gt;1&lt;/C&gt;&lt;D xsi:type="xsd:double"&gt;1.0918932&lt;/D&gt;&lt;/FQL&gt;&lt;FQL&gt;&lt;Q&gt;VMI-US^P_BETA_LOCIDX(45418,45240,,"SPX")&lt;/Q&gt;&lt;R&gt;1&lt;/R&gt;&lt;C&gt;1&lt;/C&gt;&lt;D xsi:type="xsd:double"&gt;1.1032104&lt;/D&gt;&lt;/FQL&gt;&lt;FQL&gt;&lt;Q&gt;VMI-US^P_BETA_LOCIDX(45415,45239,,"SPX")&lt;/Q&gt;&lt;R&gt;1&lt;/R&gt;&lt;C&gt;1&lt;/C&gt;&lt;D xsi:type="xsd:double"&gt;1.0798254&lt;/D&gt;&lt;/FQL&gt;&lt;FQL&gt;&lt;Q&gt;VMI-US^P_BETA_LOCIDX(45414,45238,,"SPX")&lt;/Q&gt;&lt;R&gt;1&lt;/R&gt;&lt;C&gt;1&lt;/C&gt;&lt;D xsi:type="xsd:double"&gt;1.0942072&lt;/D&gt;&lt;/FQL&gt;&lt;FQL&gt;&lt;Q&gt;VMI-US^P_BETA_LOCIDX(45413,45237,,"SPX")&lt;/Q&gt;&lt;R&gt;1&lt;/R&gt;&lt;C&gt;1&lt;/C&gt;&lt;D xsi:type="xsd:double"&gt;0.86778677&lt;/D&gt;&lt;/FQL&gt;&lt;FQL&gt;&lt;Q&gt;VMI-US^P_BETA_LOCIDX(45412,45236,,"SPX")&lt;/Q&gt;&lt;R&gt;1&lt;/R&gt;&lt;C&gt;1&lt;/C&gt;&lt;D xsi:type="xsd:double"&gt;0.879936&lt;/D&gt;&lt;/FQL&gt;&lt;FQL&gt;&lt;Q&gt;VMI-US^P_BETA_LOCIDX(45411,45233,,"SPX")&lt;/Q&gt;&lt;R&gt;1&lt;/R&gt;&lt;C&gt;1&lt;/C&gt;&lt;D xsi:type="xsd:double"&gt;0.864924&lt;/D&gt;&lt;/FQL&gt;&lt;FQL&gt;&lt;Q&gt;VMI-US^P_BETA_LOCIDX(45408,45232,,"SPX")&lt;/Q&gt;&lt;R&gt;1&lt;/R&gt;&lt;C&gt;1&lt;/C&gt;&lt;D xsi:type="xsd:double"&gt;0.84224135&lt;/D&gt;&lt;/FQL&gt;&lt;FQL&gt;&lt;Q&gt;VMI-US^P_BETA_LOCIDX(45407,45231,,"SPX")&lt;/Q&gt;&lt;R&gt;1&lt;/R&gt;&lt;C&gt;1&lt;/C&gt;&lt;D xsi:type="xsd:double"&gt;0.85220397&lt;/D&gt;&lt;/FQL&gt;&lt;FQL&gt;&lt;Q&gt;VMI-US^P_BETA_LOCIDX(45406,45230,,"SPX")&lt;/Q&gt;&lt;R&gt;1&lt;/R&gt;&lt;C&gt;1&lt;/C&gt;&lt;D xsi:type="xsd:double"&gt;0.85437465&lt;/D&gt;&lt;/FQL&gt;&lt;FQL&gt;&lt;Q&gt;VMI-US^P_BETA_LOCIDX(45405,45229,,"SPX")&lt;/Q&gt;&lt;R&gt;1&lt;/R&gt;&lt;C&gt;1&lt;/C&gt;&lt;D xsi:type="xsd:double"&gt;0.874433&lt;/D&gt;&lt;/FQL&gt;&lt;FQL&gt;&lt;Q&gt;VMI-US^P_BETA_LOCIDX(45404,45226,,"SPX")&lt;/Q&gt;&lt;R&gt;1&lt;/R&gt;&lt;C&gt;1&lt;/C&gt;&lt;D xsi:type="xsd:double"&gt;0.92634034&lt;/D&gt;&lt;/FQL&gt;&lt;FQL&gt;&lt;Q&gt;VMI-US^P_BETA_LOCIDX(45401,45225,,"SPX")&lt;/Q&gt;&lt;R&gt;1&lt;/R&gt;&lt;C&gt;1&lt;/C&gt;&lt;D xsi:type="xsd:double"&gt;1.2158875&lt;/D&gt;&lt;/FQL&gt;&lt;FQL&gt;&lt;Q&gt;VMI-US^P_BETA_LOCIDX(45400,45224,,"SPX")&lt;/Q&gt;&lt;R&gt;1&lt;/R&gt;&lt;C&gt;1&lt;/C&gt;&lt;D xsi:type="xsd:double"&gt;1.2001916&lt;/D&gt;&lt;/FQL&gt;&lt;FQL&gt;&lt;Q&gt;VMI-US^P_BETA_LOCIDX(45399,45223,,"SPX")&lt;/Q&gt;&lt;R&gt;1&lt;/R&gt;&lt;C&gt;1&lt;/C&gt;&lt;D xsi:type="xsd:double"&gt;1.1832137&lt;/D&gt;&lt;/FQL&gt;&lt;FQL&gt;&lt;Q&gt;VMI-US^P_BETA_LOCIDX(45398,45222,,"SPX")&lt;/Q&gt;&lt;R&gt;1&lt;/R&gt;&lt;C&gt;1&lt;/C&gt;&lt;D xsi:type="xsd:double"&gt;1.1782018&lt;/D&gt;&lt;/FQL&gt;&lt;FQL&gt;&lt;Q&gt;VMI-US^P_BETA_LOCIDX(45397,45219,,"SPX")&lt;/Q&gt;&lt;R&gt;1&lt;/R&gt;&lt;C&gt;1&lt;/C&gt;&lt;D xsi:type="xsd:double"&gt;1.1862489&lt;/D&gt;&lt;/FQL&gt;&lt;FQL&gt;&lt;Q&gt;VMI-US^P_BETA_LOCIDX(45394,45218,,"SPX")&lt;/Q&gt;&lt;R&gt;1&lt;/R&gt;&lt;C&gt;1&lt;/C&gt;&lt;D xsi:type="xsd:double"&gt;1.091601&lt;/D&gt;&lt;/FQL&gt;&lt;FQL&gt;&lt;Q&gt;VMI-US^P_BETA_LOCIDX(45393,45217,,"SPX")&lt;/Q&gt;&lt;R&gt;1&lt;/R&gt;&lt;C&gt;1&lt;/C&gt;&lt;D xsi:type="xsd:double"&gt;1.2251762&lt;/D&gt;&lt;/FQL&gt;&lt;FQL&gt;&lt;Q&gt;VMI-US^P_BETA_LOCIDX(45392,45216,,"SPX")&lt;/Q&gt;&lt;R&gt;1&lt;/R&gt;&lt;C&gt;1&lt;/C&gt;&lt;D xsi:type="xsd:double"&gt;1.2265904&lt;/D&gt;&lt;/FQL&gt;&lt;FQL&gt;&lt;Q&gt;VMI-US^P_BETA_LOCIDX(45391,45215,,"SPX")&lt;/Q&gt;&lt;R&gt;1&lt;/R&gt;&lt;C&gt;1&lt;/C&gt;&lt;D xsi:type="xsd:double"&gt;1.2566406&lt;/D&gt;&lt;/FQL&gt;&lt;FQL&gt;&lt;Q&gt;VMI-US^P_BETA_LOCIDX(45390,45212,,"SPX")&lt;/Q&gt;&lt;R&gt;1&lt;/R&gt;&lt;C&gt;1&lt;/C&gt;&lt;D xsi:type="xsd:double"&gt;1.2643495&lt;/D&gt;&lt;/FQL&gt;&lt;FQL&gt;&lt;Q&gt;VMI-US^P_BETA_LOCIDX(45387,45211,,"SPX")&lt;/Q&gt;&lt;R&gt;1&lt;/R&gt;&lt;C&gt;1&lt;/C&gt;&lt;D xsi:type="xsd:double"&gt;1.27312&lt;/D&gt;&lt;/FQL&gt;&lt;FQL&gt;&lt;Q&gt;VMI-US^P_BETA_LOCIDX(45386,45210,,"SPX")&lt;/Q&gt;&lt;R&gt;1&lt;/R&gt;&lt;C&gt;1&lt;/C&gt;&lt;D xsi:type="xsd:double"&gt;1.2650592&lt;/D&gt;&lt;/FQL&gt;&lt;FQL&gt;&lt;Q&gt;VMI-US^P_BETA_LOCIDX(45385,45209,,"SPX")&lt;/Q&gt;&lt;R&gt;1&lt;/R&gt;&lt;C&gt;1&lt;/C&gt;&lt;D xsi:type="xsd:double"&gt;1.3053291&lt;/D&gt;&lt;/FQL&gt;&lt;FQL&gt;&lt;Q&gt;VMI-US^P_BETA_LOCIDX(45384,45208,,"SPX")&lt;/Q&gt;&lt;R&gt;1&lt;/R&gt;&lt;C&gt;1&lt;/C&gt;&lt;D xsi:type="xsd:double"&gt;1.304615&lt;/D&gt;&lt;/FQL&gt;&lt;FQL&gt;&lt;Q&gt;VMI-US^P_BETA_LOCIDX(45383,45205,,"SPX")&lt;/Q&gt;&lt;R&gt;1&lt;/R&gt;&lt;C&gt;1&lt;/C&gt;&lt;D xsi:type="xsd:double"&gt;1.2941816&lt;/D&gt;&lt;/FQL&gt;&lt;FQL&gt;&lt;Q&gt;VMI-US^P_BETA_LOCIDX(45379,45204,,"SPX")&lt;/Q&gt;&lt;R&gt;1&lt;/R&gt;&lt;C&gt;1&lt;/C&gt;&lt;D xsi:type="xsd:double"&gt;1.2920655&lt;/D&gt;&lt;/FQL&gt;&lt;FQL&gt;&lt;Q&gt;VMI-US^P_BETA_LOCIDX(45378,45203,,"SPX")&lt;/Q&gt;&lt;R&gt;1&lt;/R&gt;&lt;C&gt;1&lt;/C&gt;&lt;D xsi:type="xsd:double"&gt;1.2792333&lt;/D&gt;&lt;/FQL&gt;&lt;FQL&gt;&lt;Q&gt;VMI-US^P_BETA_LOCIDX(45377,45202,,"SPX")&lt;/Q&gt;&lt;R&gt;1&lt;/R&gt;&lt;C&gt;1&lt;/C&gt;&lt;D xsi:type="xsd:double"&gt;1.2314168&lt;/D&gt;&lt;/FQL&gt;&lt;FQL&gt;&lt;Q&gt;VMI-US^P_BETA_LOCIDX(45376,45201,,"SPX")&lt;/Q&gt;&lt;R&gt;1&lt;/R&gt;&lt;C&gt;1&lt;/C&gt;&lt;D xsi:type="xsd:double"&gt;1.2430352&lt;/D&gt;&lt;/FQL&gt;&lt;FQL&gt;&lt;Q&gt;VMI-US^P_BETA_LOCIDX(45373,45198,,"SPX")&lt;/Q&gt;&lt;R&gt;1&lt;/R&gt;&lt;C&gt;1&lt;/C&gt;&lt;D xsi:type="xsd:double"&gt;1.2451521&lt;/D&gt;&lt;/FQL&gt;&lt;FQL&gt;&lt;Q&gt;VMI-US^P_BETA_LOCIDX(45372,45197,,"SPX")&lt;/Q&gt;&lt;R&gt;1&lt;/R&gt;&lt;C&gt;1&lt;/C&gt;&lt;D xsi:type="xsd:double"&gt;1.2471341&lt;/D&gt;&lt;/FQL&gt;&lt;FQL&gt;&lt;Q&gt;VMI-US^P_BETA_LOCIDX(45371,45196,,"SPX")&lt;/Q&gt;&lt;R&gt;1&lt;/R&gt;&lt;C&gt;1&lt;/C&gt;&lt;D xsi:type="xsd:double"&gt;1.2400144&lt;/D&gt;&lt;/FQL&gt;&lt;FQL&gt;&lt;Q&gt;VMI-US^P_BETA_LOCIDX(45370,45195,,"SPX")&lt;/Q&gt;&lt;R&gt;1&lt;/R&gt;&lt;C&gt;1&lt;/C&gt;&lt;D xsi:type="xsd:double"&gt;1.1892679&lt;/D&gt;&lt;/FQL&gt;&lt;FQL&gt;&lt;Q&gt;VMI-US^P_BETA_LOCIDX(45369,45194,,"SPX")&lt;/Q&gt;&lt;R&gt;1&lt;/R&gt;&lt;C&gt;1&lt;/C&gt;&lt;D xsi:type="xsd:double"&gt;1.1865913&lt;/D&gt;&lt;/FQL&gt;&lt;FQL&gt;&lt;Q&gt;VMI-US^P_BETA_LOCIDX(45366,45191,,"SPX")&lt;/Q&gt;&lt;R&gt;1&lt;/R&gt;&lt;C&gt;1&lt;/C&gt;&lt;D xsi:type="xsd:double"&gt;1.1989683&lt;/D&gt;&lt;/FQL&gt;&lt;FQL&gt;&lt;Q&gt;VMI-US^P_BETA_LOCIDX(45365,45190,,"SPX")&lt;/Q&gt;&lt;R&gt;1&lt;/R&gt;&lt;C&gt;1&lt;/C&gt;&lt;D xsi:type="xsd:double"&gt;1.2344552&lt;/D&gt;&lt;/FQL&gt;&lt;FQL&gt;&lt;Q&gt;VMI-US^P_BETA_LOCIDX(45364,45189,,"SPX")&lt;/Q&gt;&lt;R&gt;1&lt;/R&gt;&lt;C&gt;1&lt;/C&gt;&lt;D xsi:type="xsd:double"&gt;1.1956744&lt;/D&gt;&lt;/FQL&gt;&lt;FQL&gt;&lt;Q&gt;VMI-US^P_BETA_LOCIDX(45363,45188,,"SPX")&lt;/Q&gt;&lt;R&gt;1&lt;/R&gt;&lt;C&gt;1&lt;/C&gt;&lt;D xsi:type="xsd:double"&gt;1.1912333&lt;/D&gt;&lt;/FQL&gt;&lt;FQL&gt;&lt;Q&gt;VMI-US^P_BETA_LOCIDX(45362,45187,,"SPX")&lt;/Q&gt;&lt;R&gt;1&lt;/R&gt;&lt;C&gt;1&lt;/C&gt;&lt;D xsi:type="xsd:double"&gt;1.2115821&lt;/D&gt;&lt;/FQL&gt;&lt;FQL&gt;&lt;Q&gt;VMI-US^P_BETA_LOCIDX(45359,45184,,"SPX")&lt;/Q&gt;&lt;R&gt;1&lt;/R&gt;&lt;C&gt;1&lt;/C&gt;&lt;D xsi:type="xsd:double"&gt;1.2061992&lt;/D&gt;&lt;/FQL&gt;&lt;FQL&gt;&lt;Q&gt;VMI-US^P_BETA_LOCIDX(45358,45183,,"SPX")&lt;/Q&gt;&lt;R&gt;1&lt;/R&gt;&lt;C&gt;1&lt;/C&gt;&lt;D xsi:type="xsd:double"&gt;1.231996&lt;/D&gt;&lt;/FQL&gt;&lt;FQL&gt;&lt;Q&gt;VMI-US^P_BETA_LOCIDX(45357,45182,,"SPX")&lt;/Q&gt;&lt;R&gt;1&lt;/R&gt;&lt;C&gt;1&lt;/C&gt;&lt;D xsi:type="xsd:double"&gt;1.2193093&lt;/D&gt;&lt;/FQL&gt;&lt;FQL&gt;&lt;Q&gt;VMI-US^P_BETA_LOCIDX(45356,45181,,"SPX")&lt;/Q&gt;&lt;R&gt;1&lt;/R&gt;&lt;C&gt;1&lt;/C&gt;&lt;D xsi:type="xsd:double"&gt;1.2099409&lt;/D&gt;&lt;/FQL&gt;&lt;FQL&gt;&lt;Q&gt;VMI-US^P_BETA_LOCIDX(45355,45180,,"SPX")&lt;/Q&gt;&lt;R&gt;1&lt;/R&gt;&lt;C&gt;1&lt;/C&gt;&lt;D xsi:type="xsd:double"&gt;1.2056737&lt;/D&gt;&lt;/FQL&gt;&lt;FQL&gt;&lt;Q&gt;VMI-US^P_BETA_LOCIDX(45352,45177,,"SPX")&lt;/Q&gt;&lt;R&gt;1&lt;/R&gt;&lt;C&gt;1&lt;/C&gt;&lt;D xsi:type="xsd:double"&gt;1.2051882&lt;/D&gt;&lt;/FQL&gt;&lt;FQL&gt;&lt;Q&gt;VMI-US^P_BETA_LOCIDX(45351,45176,,"SPX")&lt;/Q&gt;&lt;R&gt;1&lt;/R&gt;&lt;C&gt;1&lt;/C&gt;&lt;D xsi:type="xsd:double"&gt;1.2184216&lt;/D&gt;&lt;/FQL&gt;&lt;FQL&gt;&lt;Q&gt;VMI-US^P_BETA_LOCIDX(45350,45175,,"SPX")&lt;/Q&gt;&lt;R&gt;1&lt;/R&gt;&lt;C&gt;1&lt;/C&gt;&lt;D xsi:type="xsd:double"&gt;1.223943&lt;/D&gt;&lt;/FQL&gt;&lt;FQL&gt;&lt;Q&gt;VMI-US^P_BETA_LOCIDX(45349,45174,,"SPX")&lt;/Q&gt;&lt;R&gt;1&lt;/R&gt;&lt;C&gt;1&lt;/C&gt;&lt;D xsi:type="xsd:double"&gt;1.2471987&lt;/D&gt;&lt;/FQL&gt;&lt;FQL&gt;&lt;Q&gt;VMI-US^P_BETA_LOCIDX(45348,45170,,"SPX")&lt;/Q&gt;&lt;R&gt;1&lt;/R&gt;&lt;C&gt;1&lt;/C&gt;&lt;D xsi:type="xsd:double"&gt;1.2495005&lt;/D&gt;&lt;/FQL&gt;&lt;FQL&gt;&lt;Q&gt;VMI-US^P_BETA_LOCIDX(45345,45169,,"SPX")&lt;/Q&gt;&lt;R&gt;1&lt;/R&gt;&lt;C&gt;1&lt;/C&gt;&lt;D xsi:type="xsd:double"&gt;1.2407385&lt;/D&gt;&lt;/FQL&gt;&lt;FQL&gt;&lt;Q&gt;VMI-US^P_BETA_LOCIDX(45344,45168,,"SPX")&lt;/Q&gt;&lt;R&gt;1&lt;/R&gt;&lt;C&gt;1&lt;/C&gt;&lt;D xsi:type="xsd:double"&gt;1.2420845&lt;/D&gt;&lt;/FQL&gt;&lt;FQL&gt;&lt;Q&gt;VMI-US^P_BETA_LOCIDX(45343,45167,,"SPX")&lt;/Q&gt;&lt;R&gt;1&lt;/R&gt;&lt;C&gt;1&lt;/C&gt;&lt;D xsi:type="xsd:double"&gt;1.4120507&lt;/D&gt;&lt;/FQL&gt;&lt;FQL&gt;&lt;Q&gt;VMI-US^P_BETA_LOCIDX(45342,45166,,"SPX")&lt;/Q&gt;&lt;R&gt;1&lt;/R&gt;&lt;C&gt;1&lt;/C&gt;&lt;D xsi:type="xsd:double"&gt;1.4163771&lt;/D&gt;&lt;/FQL&gt;&lt;FQL&gt;&lt;Q&gt;VMI-US^P_BETA_LOCIDX(45338,45163,,"SPX")&lt;/Q&gt;&lt;R&gt;1&lt;/R&gt;&lt;C&gt;1&lt;/C&gt;&lt;D xsi:type="xsd:double"&gt;1.424898&lt;/D&gt;&lt;/FQL&gt;&lt;FQL&gt;&lt;Q&gt;VMI-US^P_BETA_LOCIDX(45337,45162,,"SPX")&lt;/Q&gt;&lt;R&gt;1&lt;/R&gt;&lt;C&gt;1&lt;/C&gt;&lt;D xsi:type="xsd:double"&gt;1.4138943&lt;/D&gt;&lt;/FQL&gt;&lt;FQL&gt;&lt;Q&gt;VMI-US^P_BETA_LOCIDX(45336,45161,,"SPX")&lt;/Q&gt;&lt;R&gt;1&lt;/R&gt;&lt;C&gt;1&lt;/C&gt;&lt;D xsi:type="xsd:double"&gt;1.3874594&lt;/D&gt;&lt;/FQL&gt;&lt;FQL&gt;&lt;Q&gt;VMI-US^P_BETA_LOCIDX(45335,45160,,"SPX")&lt;/Q&gt;&lt;R&gt;1&lt;/R&gt;&lt;C&gt;1&lt;/C&gt;&lt;D xsi:type="xsd:double"&gt;1.3786838&lt;/D&gt;&lt;/FQL&gt;&lt;FQL&gt;&lt;Q&gt;VMI-US^P_BETA_LOCIDX(45334,45159,,"SPX")&lt;/Q&gt;&lt;R&gt;1&lt;/R&gt;&lt;C&gt;1&lt;/C&gt;&lt;D xsi:type="xsd:double"&gt;1.3357788&lt;/D&gt;&lt;/FQL&gt;&lt;FQL&gt;&lt;Q&gt;VMI-US^P_BETA_LOCIDX(45331,45156,,"SPX")&lt;/Q&gt;&lt;R&gt;1&lt;/R&gt;&lt;C&gt;1&lt;/C&gt;&lt;D xsi:type="xsd:double"&gt;1.3307261&lt;/D&gt;&lt;/FQL&gt;&lt;FQL&gt;&lt;Q&gt;VMI-US^P_BETA_LOCIDX(45330,45155,,"SPX")&lt;/Q&gt;&lt;R&gt;1&lt;/R&gt;&lt;C&gt;1&lt;/C&gt;&lt;D xsi:type="xsd:double"&gt;1.3029795&lt;/D&gt;&lt;/FQL&gt;&lt;FQL&gt;&lt;Q&gt;VMI-US^P_BETA_LOCIDX(45329,45154,,"SPX")&lt;/Q&gt;&lt;R&gt;1&lt;/R&gt;&lt;C&gt;1&lt;/C&gt;&lt;D xsi:type="xsd:double"&gt;1.2808464&lt;/D&gt;&lt;/FQL&gt;&lt;FQL&gt;&lt;Q&gt;VMI-US^P_BETA_LOCIDX(45328,45153,,"SPX")&lt;/Q&gt;&lt;R&gt;1&lt;/R&gt;&lt;C&gt;1&lt;/C&gt;&lt;D xsi:type="xsd:double"&gt;1.2644361&lt;/D&gt;&lt;/FQL&gt;&lt;FQL&gt;&lt;Q&gt;VMI-US^P_BETA_LOCIDX(45327,45152,,"SPX")&lt;/Q&gt;&lt;R&gt;1&lt;/R&gt;&lt;C&gt;1&lt;/C&gt;&lt;D xsi:type="xsd:double"&gt;1.2547507&lt;/D&gt;&lt;/FQL&gt;&lt;FQL&gt;&lt;Q&gt;VMI-US^P_BETA_LOCIDX(45324,45149,,"SPX")&lt;/Q&gt;&lt;R&gt;1&lt;/R&gt;&lt;C&gt;1&lt;/C&gt;&lt;D xsi:type="xsd:double"&gt;1.2515175&lt;/D&gt;&lt;/FQL&gt;&lt;FQL&gt;&lt;Q&gt;VMI-US^P_BETA_LOCIDX(45323,45148,,"SPX")&lt;/Q&gt;&lt;R&gt;1&lt;/R&gt;&lt;C&gt;1&lt;/C&gt;&lt;D xsi:type="xsd:double"&gt;1.2819885&lt;/D&gt;&lt;/FQL&gt;&lt;FQL&gt;&lt;Q&gt;VMI-US^P_BETA_LOCIDX(45322,45147,,"SPX")&lt;/Q&gt;&lt;R&gt;1&lt;/R&gt;&lt;C&gt;1&lt;/C&gt;&lt;D xsi:type="xsd:double"&gt;1.2579116&lt;/D&gt;&lt;/FQL&gt;&lt;FQL&gt;&lt;Q&gt;VMI-US^P_BETA_LOCIDX(45321,45146,,"SPX")&lt;/Q&gt;&lt;R&gt;1&lt;/R&gt;&lt;C&gt;1&lt;/C&gt;&lt;D xsi:type="xsd:double"&gt;1.2827594&lt;/D&gt;&lt;/FQL&gt;&lt;FQL&gt;&lt;Q&gt;VMI-US^P_BETA_LOCIDX(45320,45145,,"SPX")&lt;/Q&gt;&lt;R&gt;1&lt;/R&gt;&lt;C&gt;1&lt;/C&gt;&lt;D xsi:type="xsd:double"&gt;1.2738096&lt;/D&gt;&lt;/FQL&gt;&lt;FQL&gt;&lt;Q&gt;VMI-US^P_BETA_LOCIDX(45317,45142,,"SPX")&lt;/Q&gt;&lt;R&gt;1&lt;/R&gt;&lt;C&gt;1&lt;/C&gt;&lt;D xsi:type="xsd:double"&gt;1.2672626&lt;/D&gt;&lt;/FQL&gt;&lt;FQL&gt;&lt;Q&gt;VMI-US^P_BETA_LOCIDX(45316,45141,,"SPX")&lt;/Q&gt;&lt;R&gt;1&lt;/R&gt;&lt;C&gt;1&lt;/C&gt;&lt;D xsi:type="xsd:double"&gt;1.2790519&lt;/D&gt;&lt;/FQL&gt;&lt;FQL&gt;&lt;Q&gt;VMI-US^P_BETA_LOCIDX(45315,45140,,"SPX")&lt;/Q&gt;&lt;R&gt;1&lt;/R&gt;&lt;C&gt;1&lt;/C&gt;&lt;D xsi:type="xsd:double"&gt;1.2636107&lt;/D&gt;&lt;/FQL&gt;&lt;FQL&gt;&lt;Q&gt;VMI-US^P_BETA_LOCIDX(45314,45139,,"SPX")&lt;/Q&gt;&lt;R&gt;1&lt;/R&gt;&lt;C&gt;1&lt;/C&gt;&lt;D xsi:type="xsd:double"&gt;1.2620071&lt;/D&gt;&lt;/FQL&gt;&lt;FQL&gt;&lt;Q&gt;VMI-US^P_BETA_LOCIDX(45313,45138,,"SPX")&lt;/Q&gt;&lt;R&gt;1&lt;/R&gt;&lt;C&gt;1&lt;/C&gt;&lt;D xsi:type="xsd:double"&gt;1.2652628&lt;/D&gt;&lt;/FQL&gt;&lt;FQL&gt;&lt;Q&gt;VMI-US^P_BETA_LOCIDX(45310,45135,,"SPX")&lt;/Q&gt;&lt;R&gt;1&lt;/R&gt;&lt;C&gt;1&lt;/C&gt;&lt;D xsi:type="xsd:double"&gt;1.2590438&lt;/D&gt;&lt;/FQL&gt;&lt;FQL&gt;&lt;Q&gt;VMI-US^P_BETA_LOCIDX(45309,45134,,"SPX")&lt;/Q&gt;&lt;R&gt;1&lt;/R&gt;&lt;C&gt;1&lt;/C&gt;&lt;D xsi:type="xsd:double"&gt;1.3497367&lt;/D&gt;&lt;/FQL&gt;&lt;FQL&gt;&lt;Q&gt;VMI-US^P_BETA_LOCIDX(45308,45133,,"SPX")&lt;/Q&gt;&lt;R&gt;1&lt;/R&gt;&lt;C&gt;1&lt;/C&gt;&lt;D xsi:type="xsd:double"&gt;1.3473384&lt;/D&gt;&lt;/FQL&gt;&lt;FQL&gt;&lt;Q&gt;VMI-US^P_BETA_LOCIDX(45307,45132,,"SPX")&lt;/Q&gt;&lt;R&gt;1&lt;/R&gt;&lt;C&gt;1&lt;/C&gt;&lt;D xsi:type="xsd:double"&gt;1.3519728&lt;/D&gt;&lt;/FQL&gt;&lt;FQL&gt;&lt;Q&gt;VMI-US^P_BETA_LOCIDX(45303,45131,,"SPX")&lt;/Q&gt;&lt;R&gt;1&lt;/R&gt;&lt;C&gt;1&lt;/C&gt;&lt;D xsi:type="xsd:double"&gt;1.361118&lt;/D&gt;&lt;/FQL&gt;&lt;FQL&gt;&lt;Q&gt;VMI-US^P_BETA_LOCIDX(45302,45128,,"SPX")&lt;/Q&gt;&lt;R&gt;1&lt;/R&gt;&lt;C&gt;1&lt;/C&gt;&lt;D xsi:type="xsd:double"&gt;1.3615093&lt;/D&gt;&lt;/FQL&gt;&lt;FQL&gt;&lt;Q&gt;VMI-US^P_BETA_LOCIDX(45301,45127,,"SPX")&lt;/Q&gt;&lt;R&gt;1&lt;/R&gt;&lt;C&gt;1&lt;/C&gt;&lt;D xsi:type="xsd:double"&gt;1.3490642&lt;/D&gt;&lt;/FQL&gt;&lt;FQL&gt;&lt;Q&gt;VMI-US^P_BETA_LOCIDX(45300,45126,,"SPX")&lt;/Q&gt;&lt;R&gt;1&lt;/R&gt;&lt;C&gt;1&lt;/C&gt;&lt;D xsi:type="xsd:double"&gt;1.3365284&lt;/D&gt;&lt;/FQL&gt;&lt;FQL&gt;&lt;Q&gt;VMI-US^P_BETA_LOCIDX(45299,45125,,"SPX")&lt;/Q&gt;&lt;R&gt;1&lt;/R&gt;&lt;C&gt;1&lt;/C&gt;&lt;D xsi:type="xsd:double"&gt;1.3397028&lt;/D&gt;&lt;/FQL&gt;&lt;FQL&gt;&lt;Q&gt;VMI-US^P_BETA_LOCIDX(45296,45124,,"SPX")&lt;/Q&gt;&lt;R&gt;1&lt;/R&gt;&lt;C&gt;1&lt;/C&gt;&lt;D xsi:type="xsd:double"&gt;1.3653563&lt;/D&gt;&lt;/FQL&gt;&lt;FQL&gt;&lt;Q&gt;VMI-US^P_BETA_LOCIDX(45295,45121,,"SPX")&lt;/Q&gt;&lt;R&gt;1&lt;/R&gt;&lt;C&gt;1&lt;/C&gt;&lt;D xsi:type="xsd:double"&gt;1.3632867&lt;/D&gt;&lt;/FQL&gt;&lt;FQL&gt;&lt;Q&gt;VMI-US^P_BETA_LOCIDX(45294,45120,,"SPX")&lt;/Q&gt;&lt;R&gt;1&lt;/R&gt;&lt;C&gt;1&lt;/C&gt;&lt;D xsi:type="xsd:double"&gt;1.3188632&lt;/D&gt;&lt;/FQL&gt;&lt;FQL&gt;&lt;Q&gt;VMI-US^P_BETA_LOCIDX(45293,45119,,"SPX")&lt;/Q&gt;&lt;R&gt;1&lt;/R&gt;&lt;C&gt;1&lt;/C&gt;&lt;D xsi:type="xsd:double"&gt;1.3082905&lt;/D&gt;&lt;/FQL&gt;&lt;FQL&gt;&lt;Q&gt;VMI-US^P_BETA_LOCIDX(45289,45118,,"SPX")&lt;/Q&gt;&lt;R&gt;1&lt;/R&gt;&lt;C&gt;1&lt;/C&gt;&lt;D xsi:type="xsd:double"&gt;1.2924788&lt;/D&gt;&lt;/FQL&gt;&lt;FQL&gt;&lt;Q&gt;VMI-US^P_BETA_LOCIDX(45288,45117,,"SPX")&lt;/Q&gt;&lt;R&gt;1&lt;/R&gt;&lt;C&gt;1&lt;/C&gt;&lt;D xsi:type="xsd:double"&gt;1.2954575&lt;/D&gt;&lt;/FQL&gt;&lt;FQL&gt;&lt;Q&gt;VMI-US^P_BETA_LOCIDX(45287,45114,,"SPX")&lt;/Q&gt;&lt;R&gt;1&lt;/R&gt;&lt;C&gt;1&lt;/C&gt;&lt;D xsi:type="xsd:double"&gt;1.2841352&lt;/D&gt;&lt;/FQL&gt;&lt;FQL&gt;&lt;Q&gt;VMI-US^P_BETA_LOCIDX(45286,45113,,"SPX")&lt;/Q&gt;&lt;R&gt;1&lt;/R&gt;&lt;C&gt;1&lt;/C&gt;&lt;D xsi:type="xsd:double"&gt;1.2734329&lt;/D&gt;&lt;/FQL&gt;&lt;FQL&gt;&lt;Q&gt;VMI-US^P_BETA_LOCIDX(45282,45112,,"SPX")&lt;/Q&gt;&lt;R&gt;1&lt;/R&gt;&lt;C&gt;1&lt;/C&gt;&lt;D xsi:type="xsd:double"&gt;1.2780614&lt;/D&gt;&lt;/FQL&gt;&lt;FQL&gt;&lt;Q&gt;VMI-US^P_BETA_LOCIDX(45281,45110,,"SPX")&lt;/Q&gt;&lt;R&gt;1&lt;/R&gt;&lt;C&gt;1&lt;/C&gt;&lt;D xsi:type="xsd:double"&gt;1.277006&lt;/D&gt;&lt;/FQL&gt;&lt;FQL&gt;&lt;Q&gt;VMI-US^P_BETA_LOCIDX(45280,45107,,"SPX")&lt;/Q&gt;&lt;R&gt;1&lt;/R&gt;&lt;C&gt;1&lt;/C&gt;&lt;D xsi:type="xsd:double"&gt;1.2434409&lt;/D&gt;&lt;/FQL&gt;&lt;FQL&gt;&lt;Q&gt;VMI-US^P_BETA_LOCIDX(45279,45106,,"SPX")&lt;/Q&gt;&lt;R&gt;1&lt;/R&gt;&lt;C&gt;1&lt;/C&gt;&lt;D xsi:type="xsd:double"&gt;1.2422017&lt;/D&gt;&lt;/FQL&gt;&lt;FQL&gt;&lt;Q&gt;VMI-US^P_BETA_LOCIDX(45278,45105,,"SPX")&lt;/Q&gt;&lt;R&gt;1&lt;/R&gt;&lt;C&gt;1&lt;/C&gt;&lt;D xsi:type="xsd:double"&gt;1.2277045&lt;/D&gt;&lt;/FQL&gt;&lt;FQL&gt;&lt;Q&gt;VMI-US^P_BETA_LOCIDX(45275,45104,,"SPX")&lt;/Q&gt;&lt;R&gt;1&lt;/R&gt;&lt;C&gt;1&lt;/C&gt;&lt;D xsi:type="xsd:double"&gt;1.2514871&lt;/D&gt;&lt;/FQL&gt;&lt;FQL&gt;&lt;Q&gt;VMI-US^P_BETA_LOCIDX(45274,45103,,"SPX")&lt;/Q&gt;&lt;R&gt;1&lt;/R&gt;&lt;C&gt;1&lt;/C&gt;&lt;D xsi:type="xsd:double"&gt;1.245958&lt;/D&gt;&lt;/FQL&gt;&lt;FQL&gt;&lt;Q&gt;VMI-US^P_BETA_LOCIDX(45273,45100,,"SPX")&lt;/Q&gt;&lt;R&gt;1&lt;/R&gt;&lt;C&gt;1&lt;/C&gt;&lt;D xsi:type="xsd:double"&gt;1.2111117&lt;/D&gt;&lt;/FQL&gt;&lt;FQL&gt;&lt;Q&gt;VMI-US^P_BETA_LOCIDX(45272,45099,,"SPX")&lt;/Q&gt;&lt;R&gt;1&lt;/R&gt;&lt;C&gt;1&lt;/C&gt;&lt;D xsi:type="xsd:double"&gt;1.246086&lt;/D&gt;&lt;/FQL&gt;&lt;FQL&gt;&lt;Q&gt;VMI-US^P_BETA_LOCIDX(45271,45098,,"SPX")&lt;/Q&gt;&lt;R&gt;1&lt;/R&gt;&lt;C&gt;1&lt;/C&gt;&lt;D xsi:type="xsd:double"&gt;1.1962475&lt;/D&gt;&lt;/FQL&gt;&lt;FQL&gt;&lt;Q&gt;VMI-US^P_BETA_LOCIDX(45268,45097,,"SPX")&lt;/Q&gt;&lt;R&gt;1&lt;/R&gt;&lt;C&gt;1&lt;/C&gt;&lt;D xsi:type="xsd:double"&gt;1.1911297&lt;/D&gt;&lt;/FQL&gt;&lt;FQL&gt;&lt;Q&gt;VMI-US^P_BETA_LOCIDX(45267,45093,,"SPX")&lt;/Q&gt;&lt;R&gt;1&lt;/R&gt;&lt;C&gt;1&lt;/C&gt;&lt;D xsi:type="xsd:double"&gt;1.1865426&lt;/D&gt;&lt;/FQL&gt;&lt;FQL&gt;&lt;Q&gt;VMI-US^P_BETA_LOCIDX(45266,45092,,"SPX")&lt;/Q&gt;&lt;R&gt;1&lt;/R&gt;&lt;C&gt;1&lt;/C&gt;&lt;D xsi:type="xsd:double"&gt;1.2059034&lt;/D&gt;&lt;/FQL&gt;&lt;FQL&gt;&lt;Q&gt;VMI-US^P_BETA_LOCIDX(45265,45091,,"SPX")&lt;/Q&gt;&lt;R&gt;1&lt;/R&gt;&lt;C&gt;1&lt;/C&gt;&lt;D xsi:type="xsd:double"&gt;1.2058872&lt;/D&gt;&lt;/FQL&gt;&lt;FQL&gt;&lt;Q&gt;VMI-US^P_BETA_LOCIDX(45264,45090,,"SPX")&lt;/Q&gt;&lt;R&gt;1&lt;/R&gt;&lt;C&gt;1&lt;/C&gt;&lt;D xsi:type="xsd:double"&gt;1.2067014&lt;/D&gt;&lt;/FQL&gt;&lt;FQL&gt;&lt;Q&gt;VMI-US^P_BETA_LOCIDX(45261,45089,,"SPX")&lt;/Q&gt;&lt;R&gt;1&lt;/R&gt;&lt;C&gt;1&lt;/C&gt;&lt;D xsi:type="xsd:double"&gt;1.2181256&lt;/D&gt;&lt;/FQL&gt;&lt;FQL&gt;&lt;Q&gt;VMI-US^P_BETA_LOCIDX(45260,45086,,"SPX")&lt;/Q&gt;&lt;R&gt;1&lt;/R&gt;&lt;C&gt;1&lt;/C&gt;&lt;D xsi:type="xsd:double"&gt;1.2059152&lt;/D&gt;&lt;/FQL&gt;&lt;FQL&gt;&lt;Q&gt;VMI-US^P_BETA_LOCIDX(45259,45085,,"SPX")&lt;/Q&gt;&lt;R&gt;1&lt;/R&gt;&lt;C&gt;1&lt;/C&gt;&lt;D xsi:type="xsd:double"&gt;1.1884857&lt;/D&gt;&lt;/FQL&gt;&lt;FQL&gt;&lt;Q&gt;VMI-US^P_BETA_LOCIDX(45258,45084,,"SPX")&lt;/Q&gt;&lt;R&gt;1&lt;/R&gt;&lt;C&gt;1&lt;/C&gt;&lt;D xsi:type="xsd:double"&gt;1.1880002&lt;/D&gt;&lt;/FQL&gt;&lt;FQL&gt;&lt;Q&gt;VMI-US^P_BETA_LOCIDX(45257,45083,,"SPX")&lt;/Q&gt;&lt;R&gt;1&lt;/R&gt;&lt;C&gt;1&lt;/C&gt;&lt;D xsi:type="xsd:double"&gt;1.1950071&lt;/D&gt;&lt;/FQL&gt;&lt;FQL&gt;&lt;Q&gt;VMI-US^P_BETA_LOCIDX(45254,45082,,"SPX")&lt;/Q&gt;&lt;R&gt;1&lt;/R&gt;&lt;C&gt;1&lt;/C&gt;&lt;D xsi:type="xsd:double"&gt;1.1956617&lt;/D&gt;&lt;/FQL&gt;&lt;FQL&gt;&lt;Q&gt;VMI-US^P_BETA_LOCIDX(45252,45079,,"SPX")&lt;/Q&gt;&lt;R&gt;1&lt;/R&gt;&lt;C&gt;1&lt;/C&gt;&lt;D xsi:type="xsd:double"&gt;1.2826266&lt;/D&gt;&lt;/FQL&gt;&lt;FQL&gt;&lt;Q&gt;VMI-US^P_BETA_LOCIDX(45251,45078,,"SPX")&lt;/Q&gt;&lt;R&gt;1&lt;/R&gt;&lt;C&gt;1&lt;/C&gt;&lt;D xsi:type="xsd:double"&gt;1.2769797&lt;/D&gt;&lt;/FQL&gt;&lt;FQL&gt;&lt;Q&gt;VMI-US^P_BETA_LOCIDX(45250,45077,,"SPX")&lt;/Q&gt;&lt;R&gt;1&lt;/R&gt;&lt;C&gt;1&lt;/C&gt;&lt;D xsi:type="xsd:double"&gt;1.2944919&lt;/D&gt;&lt;/FQL&gt;&lt;FQL&gt;&lt;Q&gt;VMI-US^P_BETA_LOCIDX(45247,45076,,"SPX")&lt;/Q&gt;&lt;R&gt;1&lt;/R&gt;&lt;C&gt;1&lt;/C&gt;&lt;D xsi:type="xsd:double"&gt;1.301462&lt;/D&gt;&lt;/FQL&gt;&lt;FQL&gt;&lt;Q&gt;VMI-US^P_BETA_LOCIDX(45246,45072,,"SPX")&lt;/Q&gt;&lt;R&gt;1&lt;/R&gt;&lt;C&gt;1&lt;/C&gt;&lt;D xsi:type="xsd:double"&gt;1.281725&lt;/D&gt;&lt;/FQL&gt;&lt;FQL&gt;&lt;Q&gt;VMI-US^P_BETA_LOCIDX(45245,45071,,"SPX")&lt;/Q&gt;&lt;R&gt;1&lt;/R&gt;&lt;C&gt;1&lt;/C&gt;&lt;D xsi:type="xsd:double"&gt;1.3005563&lt;/D&gt;&lt;/FQL&gt;&lt;FQL&gt;&lt;Q&gt;VMI-US^P_BETA_LOCIDX(45244,45070,,"SPX")&lt;/Q&gt;&lt;R&gt;1&lt;/R&gt;&lt;C&gt;1&lt;/C&gt;&lt;D xsi:type="xsd:double"&gt;1.3101549&lt;/D&gt;&lt;/FQL&gt;&lt;FQL&gt;&lt;Q&gt;VMI-US^P_BETA_LOCIDX(45243,45069,,"SPX")&lt;/Q&gt;&lt;R&gt;1&lt;/R&gt;&lt;C&gt;1&lt;/C&gt;&lt;D xsi:type="xsd:double"&gt;1.2498243&lt;/D&gt;&lt;/FQL&gt;&lt;FQL&gt;&lt;Q&gt;VMI-US^P_BETA_LOCIDX(45240,45068,,"SPX")&lt;/Q&gt;&lt;R&gt;1&lt;/R&gt;&lt;C&gt;1&lt;/C&gt;&lt;D xsi:type="xsd:double"&gt;1.2499193&lt;/D&gt;&lt;/FQL&gt;&lt;FQL&gt;&lt;Q&gt;VMI-US^P_BETA_LOCIDX(45239,45065,,"SPX")&lt;/Q&gt;&lt;R&gt;1&lt;/R&gt;&lt;C&gt;1&lt;/C&gt;&lt;D xsi:type="xsd:double"&gt;1.2376413&lt;/D&gt;&lt;/FQL&gt;&lt;FQL&gt;&lt;Q&gt;VMI-US^P_BETA_LOCIDX(45238,45064,,"SPX")&lt;/Q&gt;&lt;R&gt;1&lt;/R&gt;&lt;C&gt;1&lt;/C&gt;&lt;D xsi:type="xsd:double"&gt;1.2583297&lt;/D&gt;&lt;/FQL&gt;&lt;FQL&gt;&lt;Q&gt;VMI-US^P_BETA_LOCIDX(45237,45063,,"SPX")&lt;/Q&gt;&lt;R&gt;1&lt;/R&gt;&lt;C&gt;1&lt;/C&gt;&lt;D xsi:type="xsd:double"&gt;1.2644204&lt;/D&gt;&lt;/FQL&gt;&lt;FQL&gt;&lt;Q&gt;VMI-US^P_BETA_LOCIDX(45236,45062,,"SPX")&lt;/Q&gt;&lt;R&gt;1&lt;/R&gt;&lt;C&gt;1&lt;/C&gt;&lt;D xsi:type="xsd:double"&gt;1.2835557&lt;/D&gt;&lt;/FQL&gt;&lt;FQL&gt;&lt;Q&gt;VMI-US^P_BETA_LOCIDX(45233,45061,,"SPX")&lt;/Q&gt;&lt;R&gt;1&lt;/R&gt;&lt;C&gt;1&lt;/C&gt;&lt;D xsi:type="xsd:double"&gt;1.2920403&lt;/D&gt;&lt;/FQL&gt;&lt;FQL&gt;&lt;Q&gt;VMI-US^P_BETA_LOCIDX(45232,45058,,"SPX")&lt;/Q&gt;&lt;R&gt;1&lt;/R&gt;&lt;C&gt;1&lt;/C&gt;&lt;D xsi:type="xsd:double"&gt;1.285365&lt;/D&gt;&lt;/FQL&gt;&lt;FQL&gt;&lt;Q&gt;VMI-US^P_BETA_LOCIDX(45231,45057,,"SPX")&lt;/Q&gt;&lt;R&gt;1&lt;/R&gt;&lt;C&gt;1&lt;/C&gt;&lt;D xsi:type="xsd:double"&gt;1.3290391&lt;/D&gt;&lt;/FQL&gt;&lt;FQL&gt;&lt;Q&gt;VMI-US^P_BETA_LOCIDX(45230,45056,,"SPX")&lt;/Q&gt;&lt;R&gt;1&lt;/R&gt;&lt;C&gt;1&lt;/C&gt;&lt;D xsi:type="xsd:double"&gt;1.3364835&lt;/D&gt;&lt;/FQL&gt;&lt;FQL&gt;&lt;Q&gt;VMI-US^P_BETA_LOCIDX(45229,45055,,"SPX")&lt;/Q&gt;&lt;R&gt;1&lt;/R&gt;&lt;C&gt;1&lt;/C&gt;&lt;D xsi:type="xsd:double"&gt;1.315294&lt;/D&gt;&lt;/FQL&gt;&lt;FQL&gt;&lt;Q&gt;VMI-US^P_BETA_LOCIDX(45226,45054,,"SPX")&lt;/Q&gt;&lt;R&gt;1&lt;/R&gt;&lt;C&gt;1&lt;/C&gt;&lt;D xsi:type="xsd:double"&gt;1.295995&lt;/D&gt;&lt;/FQL&gt;&lt;FQL&gt;&lt;Q&gt;VMI-US^P_BETA_LOCIDX(45225,45051,,"SPX")&lt;/Q&gt;&lt;R&gt;1&lt;/R&gt;&lt;C&gt;1&lt;/C&gt;&lt;D xsi:type="xsd:double"&gt;1.2686543&lt;/D&gt;&lt;/FQL&gt;&lt;FQL&gt;&lt;Q&gt;VMI-US^P_BETA_LOCIDX(45224,45050,,"SPX")&lt;/Q&gt;&lt;R&gt;1&lt;/R&gt;&lt;C&gt;1&lt;/C&gt;&lt;D xsi:type="xsd:double"&gt;1.0625776&lt;/D&gt;&lt;/FQL&gt;&lt;FQL&gt;&lt;Q&gt;VMI-US^P_BETA_LOCIDX(45223,45049,,"SPX")&lt;/Q&gt;&lt;R&gt;1&lt;/R&gt;&lt;C&gt;1&lt;/C&gt;&lt;D xsi:type="xsd:double"&gt;1.0895972&lt;/D&gt;&lt;/FQL&gt;&lt;FQL&gt;&lt;Q&gt;VMI-US^P_BETA_LOCIDX(45222,45048,,"SPX")&lt;/Q&gt;&lt;R&gt;1&lt;/R&gt;&lt;C&gt;1&lt;/C&gt;&lt;D xsi:type="xsd:double"&gt;1.1049843&lt;/D&gt;&lt;/FQL&gt;&lt;FQL&gt;&lt;Q&gt;VMI-US^P_BETA_LOCIDX(45219,45047,,"SPX")&lt;/Q&gt;&lt;R&gt;1&lt;/R&gt;&lt;C&gt;1&lt;/C&gt;&lt;D xsi:type="xsd:double"&gt;1.1056358&lt;/D&gt;&lt;/FQL&gt;&lt;FQL&gt;&lt;Q&gt;VMI-US^P_BETA_LOCIDX(45218,45044,,"SPX")&lt;/Q&gt;&lt;R&gt;1&lt;/R&gt;&lt;C&gt;1&lt;/C&gt;&lt;D xsi:type="xsd:double"&gt;1.0754356&lt;/D&gt;&lt;/FQL&gt;&lt;FQL&gt;&lt;Q&gt;VMI-US^P_BETA_LOCIDX(45217,45043,,"SPX")&lt;/Q&gt;&lt;R&gt;1&lt;/R&gt;&lt;C&gt;1&lt;/C&gt;&lt;D xsi:type="xsd:double"&gt;1.1582114&lt;/D&gt;&lt;/FQL&gt;&lt;FQL&gt;&lt;Q&gt;VMI-US^P_BETA_LOCIDX(45216,45042,,"SPX")&lt;/Q&gt;&lt;R&gt;1&lt;/R&gt;&lt;C&gt;1&lt;/C&gt;&lt;D xsi:type="xsd:double"&gt;1.0348246&lt;/D&gt;&lt;/FQL&gt;&lt;FQL&gt;&lt;Q&gt;VMI-US^P_BETA_LOCIDX(45215,45041,,"SPX")&lt;/Q&gt;&lt;R&gt;1&lt;/R&gt;&lt;C&gt;1&lt;/C&gt;&lt;D xsi:type="xsd:double"&gt;1.0606619&lt;/D&gt;&lt;/FQL&gt;&lt;FQL&gt;&lt;Q&gt;VMI-US^P_BETA_LOCIDX(45212,45040,,"SPX")&lt;/Q&gt;&lt;R&gt;1&lt;/R&gt;&lt;C&gt;1&lt;/C&gt;&lt;D xsi:type="xsd:double"&gt;1.0321667&lt;/D&gt;&lt;/FQL&gt;&lt;FQL&gt;&lt;Q&gt;VMI-US^P_BETA_LOCIDX(45211,45037,,"SPX")&lt;/Q&gt;&lt;R&gt;1&lt;/R&gt;&lt;C&gt;1&lt;/C&gt;&lt;D xsi:type="xsd:double"&gt;1.0262169&lt;/D&gt;&lt;/FQL&gt;&lt;FQL&gt;&lt;Q&gt;VMI-US^P_BETA_LOCIDX(45210,45036,,"SPX")&lt;/Q&gt;&lt;R&gt;1&lt;/R&gt;&lt;C&gt;1&lt;/C&gt;&lt;D xsi:type="xsd:double"&gt;0.9880258&lt;/D&gt;&lt;/FQL&gt;&lt;FQL&gt;&lt;Q&gt;VMI-US^P_BETA_LOCIDX(45209,45035,,"SPX")&lt;/Q&gt;&lt;R&gt;1&lt;/R&gt;&lt;C&gt;1&lt;/C&gt;&lt;D xsi:type="xsd:double"&gt;0.9917055&lt;/D&gt;&lt;/FQL&gt;&lt;FQL&gt;&lt;Q&gt;VMI-US^P_BETA_LOCIDX(45208,45034,,"SPX")&lt;/Q&gt;&lt;R&gt;1&lt;/R&gt;&lt;C&gt;1&lt;/C&gt;&lt;D xsi:type="xsd:double"&gt;0.99502707&lt;/D&gt;&lt;/FQL&gt;&lt;FQL&gt;&lt;Q&gt;VMI-US^P_BETA_LOCIDX(45205,45033,,"SPX")&lt;/Q&gt;&lt;R&gt;1&lt;/R&gt;&lt;C&gt;1&lt;/C&gt;&lt;D xsi:type="xsd:double"&gt;0.9913482&lt;/D&gt;&lt;/FQL&gt;&lt;FQL&gt;&lt;Q&gt;VMI-US^P_BETA_LOCIDX(45204,45030,,"SPX")&lt;/Q&gt;&lt;R&gt;1&lt;/R&gt;&lt;C&gt;1&lt;/C&gt;&lt;D xsi:type="xsd:double"&gt;0.96618503&lt;/D&gt;&lt;/FQL&gt;&lt;FQL&gt;&lt;Q&gt;VMI-US^P_BETA_LOCIDX(45203,45029,,"SPX")&lt;/Q&gt;&lt;R&gt;1&lt;/R&gt;&lt;C&gt;1&lt;/C&gt;&lt;D xsi:type="xsd:double"&gt;0.96334994&lt;/D&gt;&lt;/FQL&gt;&lt;FQL&gt;&lt;Q&gt;VMI-US^P_BETA_LOCIDX(45202,45028,,"SPX")&lt;/Q&gt;&lt;R&gt;1&lt;/R&gt;&lt;C&gt;1&lt;/C&gt;&lt;D xsi:type="xsd:double"&gt;0.9677677&lt;/D&gt;&lt;/FQL&gt;&lt;FQL&gt;&lt;Q&gt;VMI-US^P_BETA_LOCIDX(45201,45027,,"SPX")&lt;/Q&gt;&lt;R&gt;1&lt;/R&gt;&lt;C&gt;1&lt;/C&gt;&lt;D xsi:type="xsd:double"&gt;0.9863664&lt;/D&gt;&lt;/FQL&gt;&lt;FQL&gt;&lt;Q&gt;VMI-US^P_BETA_LOCIDX(45198,45026,,"SPX")&lt;/Q&gt;&lt;R&gt;1&lt;/R&gt;&lt;C&gt;1&lt;/C&gt;&lt;D xsi:type="xsd:double"&gt;0.9879403&lt;/D&gt;&lt;/FQL&gt;&lt;FQL&gt;&lt;Q&gt;VMI-US^P_BETA_LOCIDX(45197,45022,,"SPX")&lt;/Q&gt;&lt;R&gt;1&lt;/R&gt;&lt;C&gt;1&lt;/C&gt;&lt;D xsi:type="xsd:double"&gt;0.98505896&lt;/D&gt;&lt;/FQL&gt;&lt;FQL&gt;&lt;Q&gt;VMI-US^P_BETA_LOCIDX(45196,45021,,"SPX")&lt;/Q&gt;&lt;R&gt;1&lt;/R&gt;&lt;C&gt;1&lt;/C&gt;&lt;D xsi:type="xsd:double"&gt;0.9972429&lt;/D&gt;&lt;/FQL&gt;&lt;FQL&gt;&lt;Q&gt;VMI-US^P_BETA_LOCIDX(45195,45020,,"SPX")&lt;/Q&gt;&lt;R&gt;1&lt;/R&gt;&lt;C&gt;1&lt;/C&gt;&lt;D xsi:type="xsd:double"&gt;1.047823&lt;/D&gt;&lt;/FQL&gt;&lt;FQL&gt;&lt;Q&gt;VMI-US^P_BETA_LOCIDX(45194,45019,,"SPX")&lt;/Q&gt;&lt;R&gt;1&lt;/R&gt;&lt;C&gt;1&lt;/C&gt;&lt;D xsi:type="xsd:double"&gt;1.0839155&lt;/D&gt;&lt;/FQL&gt;&lt;FQL&gt;&lt;Q&gt;VMI-US^P_BETA_LOCIDX(45191,45016,,"SPX")&lt;/Q&gt;&lt;R&gt;1&lt;/R&gt;&lt;C&gt;1&lt;/C&gt;&lt;D xsi:type="xsd:double"&gt;1.0733992&lt;/D&gt;&lt;/FQL&gt;&lt;FQL&gt;&lt;Q&gt;VMI-US^P_BETA_LOCIDX(45190,45015,,"SPX")&lt;/Q&gt;&lt;R&gt;1&lt;/R&gt;&lt;C&gt;1&lt;/C&gt;&lt;D xsi:type="xsd:double"&gt;1.0694177&lt;/D&gt;&lt;/FQL&gt;&lt;FQL&gt;&lt;Q&gt;VMI-US^P_BETA_LOCIDX(45189,45014,,"SPX")&lt;/Q&gt;&lt;R&gt;1&lt;/R&gt;&lt;C&gt;1&lt;/C&gt;&lt;D xsi:type="xsd:double"&gt;1.0415481&lt;/D&gt;&lt;/FQL&gt;&lt;FQL&gt;&lt;Q&gt;VMI-US^P_BETA_LOCIDX(45188,45013,,"SPX")&lt;/Q&gt;&lt;R&gt;1&lt;/R&gt;&lt;C&gt;1&lt;/C&gt;&lt;D xsi:type="xsd:double"&gt;1.0687531&lt;/D&gt;&lt;/FQL&gt;&lt;FQL&gt;&lt;Q&gt;VMI-US^P_BETA_LOCIDX(45187,45012,,"SPX")&lt;/Q&gt;&lt;R&gt;1&lt;/R&gt;&lt;C&gt;1&lt;/C&gt;&lt;D xsi:type="xsd:double"&gt;1.0764259&lt;/D&gt;&lt;/FQL&gt;&lt;FQL&gt;&lt;Q&gt;VMI-US^P_BETA_LOCIDX(45184,45009,,"SPX")&lt;/Q&gt;&lt;R&gt;1&lt;/R&gt;&lt;C&gt;1&lt;/C&gt;&lt;D xsi:type="xsd:double"&gt;1.0819885&lt;/D&gt;&lt;/FQL&gt;&lt;FQL&gt;&lt;Q&gt;VMI-US^P_BETA_LOCIDX(45183,45008,,"SPX")&lt;/Q&gt;&lt;R&gt;1&lt;/R&gt;&lt;C&gt;1&lt;/C&gt;&lt;D xsi:type="xsd:double"&gt;1.090057&lt;/D&gt;&lt;/FQL&gt;&lt;FQL&gt;&lt;Q&gt;VMI-US^P_BETA_LOCIDX(45182,45007,,"SPX")&lt;/Q&gt;&lt;R&gt;1&lt;/R&gt;&lt;C&gt;1&lt;/C&gt;&lt;D xsi:type="xsd:double"&gt;1.0920279&lt;/D&gt;&lt;/FQL&gt;&lt;FQL&gt;&lt;Q&gt;VMI-US^P_BETA_LOCIDX(45181,45006,,"SPX")&lt;/Q&gt;&lt;R&gt;1&lt;/R&gt;&lt;C&gt;1&lt;/C&gt;&lt;D xsi:type="xsd:double"&gt;1.1081583&lt;/D&gt;&lt;/FQL&gt;&lt;FQL&gt;&lt;Q&gt;VMI-US^P_BETA_LOCIDX(45180,45005,,"SPX")&lt;/Q&gt;&lt;R&gt;1&lt;/R&gt;&lt;C&gt;1&lt;/C&gt;&lt;D xsi:type="xsd:double"&gt;1.1415211&lt;/D&gt;&lt;/FQL&gt;&lt;FQL&gt;&lt;Q&gt;VMI-US^P_BETA_LOCIDX(45177,45002,,"SPX")&lt;/Q&gt;&lt;R&gt;1&lt;/R&gt;&lt;C&gt;1&lt;/C&gt;&lt;D xsi:type="xsd:double"&gt;1.1438496&lt;/D&gt;&lt;/FQL&gt;&lt;FQL&gt;&lt;Q&gt;VMI-US^P_BETA_LOCIDX(45176,45001,,"SPX")&lt;/Q&gt;&lt;R&gt;1&lt;/R&gt;&lt;C&gt;1&lt;/C&gt;&lt;D xsi:type="xsd:double"&gt;1.1421044&lt;/D&gt;&lt;/FQL&gt;&lt;FQL&gt;&lt;Q&gt;VMI-US^P_BETA_LOCIDX(45175,45000,,"SPX")&lt;/Q&gt;&lt;R&gt;1&lt;/R&gt;&lt;C&gt;1&lt;/C&gt;&lt;D xsi:type="xsd:double"&gt;1.1621686&lt;/D&gt;&lt;/FQL&gt;&lt;FQL&gt;&lt;Q&gt;VMI-US^P_BETA_LOCIDX(45174,44999,,"SPX")&lt;/Q&gt;&lt;R&gt;1&lt;/R&gt;&lt;C&gt;1&lt;/C&gt;&lt;D xsi:type="xsd:double"&gt;1.1753693&lt;/D&gt;&lt;/FQL&gt;&lt;FQL&gt;&lt;Q&gt;VMI-US^P_BETA_LOCIDX(45170,44998,,"SPX")&lt;/Q&gt;&lt;R&gt;1&lt;/R&gt;&lt;C&gt;1&lt;/C&gt;&lt;D xsi:type="xsd:double"&gt;1.1557803&lt;/D&gt;&lt;/FQL&gt;&lt;FQL&gt;&lt;Q&gt;VMI-US^P_BETA_LOCIDX(45169,44995,,"SPX")&lt;/Q&gt;&lt;R&gt;1&lt;/R&gt;&lt;C&gt;1&lt;/C&gt;&lt;D xsi:type="xsd:double"&gt;1.1718409&lt;/D&gt;&lt;/FQL&gt;&lt;FQL&gt;&lt;Q&gt;VMI-US^P_BETA_LOCIDX(45168,44994,,"SPX")&lt;/Q&gt;&lt;R&gt;1&lt;/R&gt;&lt;C&gt;1&lt;/C&gt;&lt;D xsi:type="xsd:double"&gt;1.1578152&lt;/D&gt;&lt;/FQL&gt;&lt;FQL&gt;&lt;Q&gt;VMI-US^P_BETA_LOCIDX(45167,44993,,"SPX")&lt;/Q&gt;&lt;R&gt;1&lt;/R&gt;&lt;C&gt;1&lt;/C&gt;&lt;D xsi:type="xsd:double"&gt;1.1564856&lt;/D&gt;&lt;/FQL&gt;&lt;FQL&gt;&lt;Q&gt;VMI-US^P_BETA_LOCIDX(45166,44992,,"SPX")&lt;/Q&gt;&lt;R&gt;1&lt;/R&gt;&lt;C&gt;1&lt;/C&gt;&lt;D xsi:type="xsd:double"&gt;1.1625804&lt;/D&gt;&lt;/FQL&gt;&lt;FQL&gt;&lt;Q&gt;VMI-US^P_BETA_LOCIDX(45163,44991,,"SPX")&lt;/Q&gt;&lt;R&gt;1&lt;/R&gt;&lt;C&gt;1&lt;/C&gt;&lt;D xsi:type="xsd:double"&gt;1.1567186&lt;/D&gt;&lt;/FQL&gt;&lt;FQL&gt;&lt;Q&gt;VMI-US^P_BETA_LOCIDX(45162,44988,,"SPX")&lt;/Q&gt;&lt;R&gt;1&lt;/R&gt;&lt;C&gt;1&lt;/C&gt;&lt;D xsi:type="xsd:double"&gt;1.163747&lt;/D&gt;&lt;/FQL&gt;&lt;FQL&gt;&lt;Q&gt;VMI-US^P_BETA_LOCIDX(45161,44987,,"SPX")&lt;/Q&gt;&lt;R&gt;1&lt;/R&gt;&lt;C&gt;1&lt;/C&gt;&lt;D xsi:type="xsd:double"&gt;1.163499&lt;/D&gt;&lt;/FQL&gt;&lt;FQL&gt;&lt;Q&gt;VMI-US^P_BETA_LOCIDX(45160,44986,,"SPX")&lt;/Q&gt;&lt;R&gt;1&lt;/R&gt;&lt;C&gt;1&lt;/C&gt;&lt;D xsi:type="xsd:double"&gt;1.170389&lt;/D&gt;&lt;/FQL&gt;&lt;FQL&gt;&lt;Q&gt;VMI-US^P_BETA_LOCIDX(45159,44985,,"SPX")&lt;/Q&gt;&lt;R&gt;1&lt;/R&gt;&lt;C&gt;1&lt;/C&gt;&lt;D xsi:type="xsd:double"&gt;1.1637207&lt;/D&gt;&lt;/FQL&gt;&lt;FQL&gt;&lt;Q&gt;VMI-US^P_BETA_LOCIDX(45156,44984,,"SPX")&lt;/Q&gt;&lt;R&gt;1&lt;/R&gt;&lt;C&gt;1&lt;/C&gt;&lt;D xsi:type="xsd:double"&gt;1.180084&lt;/D&gt;&lt;/FQL&gt;&lt;FQL&gt;&lt;Q&gt;VMI-US^P_BETA_LOCIDX(45155,44981,,"SPX")&lt;/Q&gt;&lt;R&gt;1&lt;/R&gt;&lt;C&gt;1&lt;/C&gt;&lt;D xsi:type="xsd:double"&gt;1.0998707&lt;/D&gt;&lt;/FQL&gt;&lt;FQL&gt;&lt;Q&gt;VMI-US^P_BETA_LOCIDX(45154,44980,,"SPX")&lt;/Q&gt;&lt;R&gt;1&lt;/R&gt;&lt;C&gt;1&lt;/C&gt;&lt;D xsi:type="xsd:double"&gt;1.079664&lt;/D&gt;&lt;/FQL&gt;&lt;FQL&gt;&lt;Q&gt;VMI-US^P_BETA_LOCIDX(45153,44979,,"SPX")&lt;/Q&gt;&lt;R&gt;1&lt;/R&gt;&lt;C&gt;1&lt;/C&gt;&lt;D xsi:type="xsd:double"&gt;1.0990449&lt;/D&gt;&lt;/FQL&gt;&lt;FQL&gt;&lt;Q&gt;VMI-US^P_BETA_LOCIDX(45152,44978,,"SPX")&lt;/Q&gt;&lt;R&gt;1&lt;/R&gt;&lt;C&gt;1&lt;/C&gt;&lt;D xsi:type="xsd:double"&gt;1.0898044&lt;/D&gt;&lt;/FQL&gt;&lt;FQL&gt;&lt;Q&gt;VMI-US^P_BETA_LOCIDX(45149,44974,,"SPX")&lt;/Q&gt;&lt;R&gt;1&lt;/R&gt;&lt;C&gt;1&lt;/C&gt;&lt;D xsi:type="xsd:double"&gt;1.0913011&lt;/D&gt;&lt;/FQL&gt;&lt;FQL&gt;&lt;Q&gt;VMI-US^P_BETA_LOCIDX(45148,44973,,"SPX")&lt;/Q&gt;&lt;R&gt;1&lt;/R&gt;&lt;C&gt;1&lt;/C&gt;&lt;D xsi:type="xsd:double"&gt;1.0448474&lt;/D&gt;&lt;/FQL&gt;&lt;FQL&gt;&lt;Q&gt;VMI-US^P_BETA_LOCIDX(45147,44972,,"SPX")&lt;/Q&gt;&lt;R&gt;1&lt;/R&gt;&lt;C&gt;1&lt;/C&gt;&lt;D xsi:type="xsd:double"&gt;1.0436375&lt;/D&gt;&lt;/FQL&gt;&lt;FQL&gt;&lt;Q&gt;VMI-US^P_BETA_LOCIDX(45146,44971,,"SPX")&lt;/Q&gt;&lt;R&gt;1&lt;/R&gt;&lt;C&gt;1&lt;/C&gt;&lt;D xsi:type="xsd:double"&gt;1.0572021&lt;/D&gt;&lt;/FQL&gt;&lt;FQL&gt;&lt;Q&gt;VMI-US^P_BETA_LOCIDX(45145,44970,,"SPX")&lt;/Q&gt;&lt;R&gt;1&lt;/R&gt;&lt;C&gt;1&lt;/C&gt;&lt;D xsi:type="xsd:double"&gt;1.0602412&lt;/D&gt;&lt;/FQL&gt;&lt;FQL&gt;&lt;Q&gt;VMI-US^P_BETA_LOCIDX(45142,44967,,"SPX")&lt;/Q&gt;&lt;R&gt;1&lt;/R&gt;&lt;C&gt;1&lt;/C&gt;&lt;D xsi:type="xsd:double"&gt;1.0622953&lt;/D&gt;&lt;/FQL&gt;&lt;FQL&gt;&lt;Q&gt;VMI-US^P_BETA_LOCIDX(45141,44966,,"SPX")&lt;/Q&gt;&lt;R&gt;1&lt;/R&gt;&lt;C&gt;1&lt;/C&gt;&lt;D xsi:type="xsd:double"&gt;1.0630741&lt;/D&gt;&lt;/FQL&gt;&lt;FQL&gt;&lt;Q&gt;VMI-US^P_BETA_LOCIDX(45140,44965,,"SPX")&lt;/Q&gt;&lt;R&gt;1&lt;/R&gt;&lt;C&gt;1&lt;/C&gt;&lt;D xsi:type="xsd:double"&gt;1.0401055&lt;/D&gt;&lt;/FQL&gt;&lt;FQL&gt;&lt;Q&gt;VMI-US^P_BETA_LOCIDX(45139,44964,,"SPX")&lt;/Q&gt;&lt;R&gt;1&lt;/R&gt;&lt;C&gt;1&lt;/C&gt;&lt;D xsi:type="xsd:double"&gt;1.0362448&lt;/D&gt;&lt;/FQL&gt;&lt;FQL&gt;&lt;Q&gt;VMI-US^P_BETA_LOCIDX(45138,44963,,"SPX")&lt;/Q&gt;&lt;R&gt;1&lt;/R&gt;&lt;C&gt;1&lt;/C&gt;&lt;D xsi:type="xsd:double"&gt;1.0412517&lt;/D&gt;&lt;/FQL&gt;&lt;FQL&gt;&lt;Q&gt;VMI-US^P_BETA_LOCIDX(45135,44960,,"SPX")&lt;/Q&gt;&lt;R&gt;1&lt;/R&gt;&lt;C&gt;1&lt;/C&gt;&lt;D xsi:type="xsd:double"&gt;1.0197074&lt;/D&gt;&lt;/FQL&gt;&lt;FQL&gt;&lt;Q&gt;VMI-US^P_BETA_LOCIDX(45134,44959,,"SPX")&lt;/Q&gt;&lt;R&gt;1&lt;/R&gt;&lt;C&gt;1&lt;/C&gt;&lt;D xsi:type="xsd:double"&gt;0.95889574&lt;/D&gt;&lt;/FQL&gt;&lt;FQL&gt;&lt;Q&gt;VMI-US^P_BETA_LOCIDX(45133,44958,,"SPX")&lt;/Q&gt;&lt;R&gt;1&lt;/R&gt;&lt;C&gt;1&lt;/C&gt;&lt;D xsi:type="xsd:double"&gt;0.89504236&lt;/D&gt;&lt;/FQL&gt;&lt;FQL&gt;&lt;Q&gt;VMI-US^P_BETA_LOCIDX(45132,44957,,"SPX")&lt;/Q&gt;&lt;R&gt;1&lt;/R&gt;&lt;C&gt;1&lt;/C&gt;&lt;D xsi:type="xsd:double"&gt;0.9275991&lt;/D&gt;&lt;/FQL&gt;&lt;FQL&gt;&lt;Q&gt;VMI-US^P_BETA_LOCIDX(45131,44956,,"SPX")&lt;/Q&gt;&lt;R&gt;1&lt;/R&gt;&lt;C&gt;1&lt;/C&gt;&lt;D xsi:type="xsd:double"&gt;0.93453455&lt;/D&gt;&lt;/FQL&gt;&lt;FQL&gt;&lt;Q&gt;VMI-US^P_BETA_LOCIDX(45128,44953,,"SPX")&lt;/Q&gt;&lt;R&gt;1&lt;/R&gt;&lt;C&gt;1&lt;/C&gt;&lt;D xsi:type="xsd:double"&gt;0.9263663&lt;/D&gt;&lt;/FQL&gt;&lt;FQL&gt;&lt;Q&gt;VMI-US^P_BETA_LOCIDX(45127,44952,,"SPX")&lt;/Q&gt;&lt;R&gt;1&lt;/R&gt;&lt;C&gt;1&lt;/C&gt;&lt;D xsi:type="xsd:double"&gt;0.9167537&lt;/D&gt;&lt;/FQL&gt;&lt;FQL&gt;&lt;Q&gt;VMI-US^P_BETA_LOCIDX(45126,44951,,"SPX")&lt;/Q&gt;&lt;R&gt;1&lt;/R&gt;&lt;C&gt;1&lt;/C&gt;&lt;D xsi:type="xsd:double"&gt;0.92332554&lt;/D&gt;&lt;/FQL&gt;&lt;FQL&gt;&lt;Q&gt;VMI-US^P_BETA_LOCIDX(45125,44950,,"SPX")&lt;/Q&gt;&lt;R&gt;1&lt;/R&gt;&lt;C&gt;1&lt;/C&gt;&lt;D xsi:type="xsd:double"&gt;0.92224723&lt;/D&gt;&lt;/FQL&gt;&lt;FQL&gt;&lt;Q&gt;VMI-US^P_BETA_LOCIDX(45124,44949,,"SPX")&lt;/Q&gt;&lt;R&gt;1&lt;/R&gt;&lt;C&gt;1&lt;/C&gt;&lt;D xsi:type="xsd:double"&gt;0.8932564&lt;/D&gt;&lt;/FQL&gt;&lt;FQL&gt;&lt;Q&gt;VMI-US^P_BETA_LOCIDX(45121,44946,,"SPX")&lt;/Q&gt;&lt;R&gt;1&lt;/R&gt;&lt;C&gt;1&lt;/C&gt;&lt;D xsi:type="xsd:double"&gt;0.9090275&lt;/D&gt;&lt;/FQL&gt;&lt;FQL&gt;&lt;Q&gt;VMI-US^P_BETA_LOCIDX(45120,44945,,"SPX")&lt;/Q&gt;&lt;R&gt;1&lt;/R&gt;&lt;C&gt;1&lt;/C&gt;&lt;D xsi:type="xsd:double"&gt;0.92993957&lt;/D&gt;&lt;/FQL&gt;&lt;FQL&gt;&lt;Q&gt;VMI-US^P_BETA_LOCIDX(45119,44944,,"SPX")&lt;/Q&gt;&lt;R&gt;1&lt;/R&gt;&lt;C&gt;1&lt;/C&gt;&lt;D xsi:type="xsd:double"&gt;0.9489647&lt;/D&gt;&lt;/FQL&gt;&lt;FQL&gt;&lt;Q&gt;VMI-US^P_BETA_LOCIDX(45118,44943,,"SPX")&lt;/Q&gt;&lt;R&gt;1&lt;/R&gt;&lt;C&gt;1&lt;/C&gt;&lt;D xsi:type="xsd:double"&gt;0.9353017&lt;/D&gt;&lt;/FQL&gt;&lt;FQL&gt;&lt;Q&gt;VMI-US^P_BETA_LOCIDX(45117,44939,,"SPX")&lt;/Q&gt;&lt;R&gt;1&lt;/R&gt;&lt;C&gt;1&lt;/C&gt;&lt;D xsi:type="xsd:double"&gt;0.95268035&lt;/D&gt;&lt;/FQL&gt;&lt;FQL&gt;&lt;Q&gt;VMI-US^P_BETA_LOCIDX(45114,44938,,"SPX")&lt;/Q&gt;&lt;R&gt;1&lt;/R&gt;&lt;C&gt;1&lt;/C&gt;&lt;D xsi:type="xsd:double"&gt;0.95887524&lt;/D&gt;&lt;/FQL&gt;&lt;FQL&gt;&lt;Q&gt;VMI-US^P_BETA_LOCIDX(45113,44937,,"SPX")&lt;/Q&gt;&lt;R&gt;1&lt;/R&gt;&lt;C&gt;1&lt;/C&gt;&lt;D xsi:type="xsd:double"&gt;0.96451354&lt;/D&gt;&lt;/FQL&gt;&lt;FQL&gt;&lt;Q&gt;VMI-US^P_BETA_LOCIDX(45112,44936,,"SPX")&lt;/Q&gt;&lt;R&gt;1&lt;/R&gt;&lt;C&gt;1&lt;/C&gt;&lt;D xsi:type="xsd:double"&gt;0.97423375&lt;/D&gt;&lt;/FQL&gt;&lt;FQL&gt;&lt;Q&gt;VMI-US^P_BETA_LOCIDX(45110,44935,,"SPX")&lt;/Q&gt;&lt;R&gt;1&lt;/R&gt;&lt;C&gt;1&lt;/C&gt;&lt;D xsi:type="xsd:double"&gt;0.9680308&lt;/D&gt;&lt;/FQL&gt;&lt;FQL&gt;&lt;Q&gt;VMI-US^P_BETA_LOCIDX(45107,44932,,"SPX")&lt;/Q&gt;&lt;R&gt;1&lt;/R&gt;&lt;C&gt;1&lt;/C&gt;&lt;D xsi:type="xsd:double"&gt;0.9821564&lt;/D&gt;&lt;/FQL&gt;&lt;FQL&gt;&lt;Q&gt;VMI-US^P_BETA_LOCIDX(45106,44931,,"SPX")&lt;/Q&gt;&lt;R&gt;1&lt;/R&gt;&lt;C&gt;1&lt;/C&gt;&lt;D xsi:type="xsd:double"&gt;0.99576974&lt;/D&gt;&lt;/FQL&gt;&lt;FQL&gt;&lt;Q&gt;VMI-US^P_BETA_LOCIDX(45105,44930,,"SPX")&lt;/Q&gt;&lt;R&gt;1&lt;/R&gt;&lt;C&gt;1&lt;/C&gt;&lt;D xsi:type="xsd:double"&gt;0.9949325&lt;/D&gt;&lt;/FQL&gt;&lt;FQL&gt;&lt;Q&gt;VMI-US^P_BETA_LOCIDX(45104,44929,,"SPX")&lt;/Q&gt;&lt;R&gt;1&lt;/R&gt;&lt;C&gt;1&lt;/C&gt;&lt;D xsi:type="xsd:double"&gt;0.9998667&lt;/D&gt;&lt;/FQL&gt;&lt;FQL&gt;&lt;Q&gt;VMI-US^P_BETA_LOCIDX(45103,44925,,"SPX")&lt;/Q&gt;&lt;R&gt;1&lt;/R&gt;&lt;C&gt;1&lt;/C&gt;&lt;D xsi:type="xsd:double"&gt;0.98495054&lt;/D&gt;&lt;/FQL&gt;&lt;FQL&gt;&lt;Q&gt;VMI-US^P_BETA_LOCIDX(45100,44924,,"SPX")&lt;/Q&gt;&lt;R&gt;1&lt;/R&gt;&lt;C&gt;1&lt;/C&gt;&lt;D xsi:type="xsd:double"&gt;0.9692882&lt;/D&gt;&lt;/FQL&gt;&lt;FQL&gt;&lt;Q&gt;VMI-US^P_BETA_LOCIDX(45099,44923,,"SPX")&lt;/Q&gt;&lt;R&gt;1&lt;/R&gt;&lt;C&gt;1&lt;/C&gt;&lt;D xsi:type="xsd:double"&gt;0.9873001&lt;/D&gt;&lt;/FQL&gt;&lt;FQL&gt;&lt;Q&gt;VMI-US^P_BETA_LOCIDX(45098,44922,,"SPX")&lt;/Q&gt;&lt;R&gt;1&lt;/R&gt;&lt;C&gt;1&lt;/C&gt;&lt;D xsi:type="xsd:double"&gt;0.9846477&lt;/D&gt;&lt;/FQL&gt;&lt;FQL&gt;&lt;Q&gt;VMI-US^P_BETA_LOCIDX(45097,44918,,"SPX")&lt;/Q&gt;&lt;R&gt;1&lt;/R&gt;&lt;C&gt;1&lt;/C&gt;&lt;D xsi:type="xsd:double"&gt;1.0250502&lt;/D&gt;&lt;/FQL&gt;&lt;FQL&gt;&lt;Q&gt;VMI-US^P_BETA_LOCIDX(45093,44917,,"SPX")&lt;/Q&gt;&lt;R&gt;1&lt;/R&gt;&lt;C&gt;1&lt;/C&gt;&lt;D xsi:type="xsd:double"&gt;1.0018678&lt;/D&gt;&lt;/FQL&gt;&lt;FQL&gt;&lt;Q&gt;VMI-US^P_BETA_LOCIDX(45092,44916,,"SPX")&lt;/Q&gt;&lt;R&gt;1&lt;/R&gt;&lt;C&gt;1&lt;/C&gt;&lt;D xsi:type="xsd:double"&gt;1.0083212&lt;/D&gt;&lt;/FQL&gt;&lt;FQL&gt;&lt;Q&gt;VMI-US^P_BETA_LOCIDX(45091,44915,,"SPX")&lt;/Q&gt;&lt;R&gt;1&lt;/R&gt;&lt;C&gt;1&lt;/C&gt;&lt;D xsi:type="xsd:double"&gt;1.0002539&lt;/D&gt;&lt;/FQL&gt;&lt;FQL&gt;&lt;Q&gt;VMI-US^P_BETA_LOCIDX(45090,44914,,"SPX")&lt;/Q&gt;&lt;R&gt;1&lt;/R&gt;&lt;C&gt;1&lt;/C&gt;&lt;D xsi:type="xsd:double"&gt;0.983994&lt;/D&gt;&lt;/FQL&gt;&lt;FQL&gt;&lt;Q&gt;VMI-US^P_BETA_LOCIDX(45089,44911,,"SPX")&lt;/Q&gt;&lt;R&gt;1&lt;/R&gt;&lt;C&gt;1&lt;/C&gt;&lt;D xsi:type="xsd:double"&gt;0.9675451&lt;/D&gt;&lt;/FQL&gt;&lt;FQL&gt;&lt;Q&gt;VMI-US^P_BETA_LOCIDX(45086,44910,,"SPX")&lt;/Q&gt;&lt;R&gt;1&lt;/R&gt;&lt;C&gt;1&lt;/C&gt;&lt;D xsi:type="xsd:double"&gt;0.97190833&lt;/D&gt;&lt;/FQL&gt;&lt;FQL&gt;&lt;Q&gt;VMI-US^P_BETA_LOCIDX(45085,44909,,"SPX")&lt;/Q&gt;&lt;R&gt;1&lt;/R&gt;&lt;C&gt;1&lt;/C&gt;&lt;D xsi:type="xsd:double"&gt;0.96575785&lt;/D&gt;&lt;/FQL&gt;&lt;FQL&gt;&lt;Q&gt;VMI-US^P_BETA_LOCIDX(45084,44908,,"SPX")&lt;/Q&gt;&lt;R&gt;1&lt;/R&gt;&lt;C&gt;1&lt;/C&gt;&lt;D xsi:type="xsd:double"&gt;0.9671914&lt;/D&gt;&lt;/FQL&gt;&lt;FQL&gt;&lt;Q&gt;VMI-US^P_BETA_LOCIDX(45083,44907,,"SPX")&lt;/Q&gt;&lt;R&gt;1&lt;/R&gt;&lt;C&gt;1&lt;/C&gt;&lt;D xsi:type="xsd:double"&gt;0.96104795&lt;/D&gt;&lt;/FQL&gt;&lt;FQL&gt;&lt;Q&gt;VMI-US^P_BETA_LOCIDX(45082,44904,,"SPX")&lt;/Q&gt;&lt;R&gt;1&lt;/R&gt;&lt;C&gt;1&lt;/C&gt;&lt;D xsi:type="xsd:double"&gt;0.9460394&lt;/D&gt;&lt;/FQL&gt;&lt;FQL&gt;&lt;Q&gt;VMI-US^P_BETA_LOCIDX(45079,44903,,"SPX")&lt;/Q&gt;&lt;R&gt;1&lt;/R&gt;&lt;C&gt;1&lt;/C&gt;&lt;D xsi:type="xsd:double"&gt;0.9415241&lt;/D&gt;&lt;/FQL&gt;&lt;FQL&gt;&lt;Q&gt;VMI-US^P_BETA_LOCIDX(45078,44902,,"SPX")&lt;/Q&gt;&lt;R&gt;1&lt;/R&gt;&lt;C&gt;1&lt;/C&gt;&lt;D xsi:type="xsd:double"&gt;0.888103&lt;/D&gt;&lt;/FQL&gt;&lt;FQL&gt;&lt;Q&gt;VMI-US^P_BETA_LOCIDX(45077,44901,,"SPX")&lt;/Q&gt;&lt;R&gt;1&lt;/R&gt;&lt;C&gt;1&lt;/C&gt;&lt;D xsi:type="xsd:double"&gt;0.8589816&lt;/D&gt;&lt;/FQL&gt;&lt;FQL&gt;&lt;Q&gt;VMI-US^P_BETA_LOCIDX(45076,44900,,"SPX")&lt;/Q&gt;&lt;R&gt;1&lt;/R&gt;&lt;C&gt;1&lt;/C&gt;&lt;D xsi:type="xsd:double"&gt;0.8963263&lt;/D&gt;&lt;/FQL&gt;&lt;FQL&gt;&lt;Q&gt;VMI-US^P_BETA_LOCIDX(45072,44897,,"SPX")&lt;/Q&gt;&lt;R&gt;1&lt;/R&gt;&lt;C&gt;1&lt;/C&gt;&lt;D xsi:type="xsd:double"&gt;0.8942137&lt;/D&gt;&lt;/FQL&gt;&lt;FQL&gt;&lt;Q&gt;VMI-US^P_BETA_LOCIDX(45071,44896,,"SPX")&lt;/Q&gt;&lt;R&gt;1&lt;/R&gt;&lt;C&gt;1&lt;/C&gt;&lt;D xsi:type="xsd:double"&gt;0.8994673&lt;/D&gt;&lt;/FQL&gt;&lt;FQL&gt;&lt;Q&gt;VMI-US^P_BETA_LOCIDX(45070,44895,,"SPX")&lt;/Q&gt;&lt;R&gt;1&lt;/R&gt;&lt;C&gt;1&lt;/C&gt;&lt;D xsi:type="xsd:double"&gt;0.90088737&lt;/D&gt;&lt;/FQL&gt;&lt;FQL&gt;&lt;Q&gt;VMI-US^P_BETA_LOCIDX(45069,44894,,"SPX")&lt;/Q&gt;&lt;R&gt;1&lt;/R&gt;&lt;C&gt;1&lt;/C&gt;&lt;D xsi:type="xsd:double"&gt;0.894007&lt;/D&gt;&lt;/FQL&gt;&lt;FQL&gt;&lt;Q&gt;VMI-US^P_BETA_LOCIDX(45068,44893,,"SPX")&lt;/Q&gt;&lt;R&gt;1&lt;/R&gt;&lt;C&gt;1&lt;/C&gt;&lt;D xsi:type="xsd:double"&gt;0.88921696&lt;/D&gt;&lt;/FQL&gt;&lt;FQL&gt;&lt;Q&gt;VMI-US^P_BETA_LOCIDX(45065,44890,,"SPX")&lt;/Q&gt;&lt;R&gt;1&lt;/R&gt;&lt;C&gt;1&lt;/C&gt;&lt;D xsi:type="xsd:double"&gt;0.88854676&lt;/D&gt;&lt;/FQL&gt;&lt;FQL&gt;&lt;Q&gt;VMI-US^P_BETA_LOCIDX(45064,44888,,"SPX")&lt;/Q&gt;&lt;R&gt;1&lt;/R&gt;&lt;C&gt;1&lt;/C&gt;&lt;D xsi:type="xsd:double"&gt;0.8879515&lt;/D&gt;&lt;/FQL&gt;&lt;FQL&gt;&lt;Q&gt;VMI-US^P_BETA_LOCIDX(45063,44887,,"SPX")&lt;/Q&gt;&lt;R&gt;1&lt;/R&gt;&lt;C&gt;1&lt;/C&gt;&lt;D xsi:type="xsd:double"&gt;0.9015551&lt;/D&gt;&lt;/FQL&gt;&lt;FQL&gt;&lt;Q&gt;VMI-US^P_BETA_LOCIDX(45062,44886,,"SPX")&lt;/Q&gt;&lt;R&gt;1&lt;/R&gt;&lt;C&gt;1&lt;/C&gt;&lt;D xsi:type="xsd:double"&gt;0.8941916&lt;/D&gt;&lt;/FQL&gt;&lt;FQL&gt;&lt;Q&gt;VMI-US^P_BETA_LOCIDX(45061,44883,,"SPX")&lt;/Q&gt;&lt;R&gt;1&lt;/R&gt;&lt;C&gt;1&lt;/C&gt;&lt;D xsi:type="xsd:double"&gt;0.8850294&lt;/D&gt;&lt;/FQL&gt;&lt;FQL&gt;&lt;Q&gt;VMI-US^P_BETA_LOCIDX(45058,44882,,"SPX")&lt;/Q&gt;&lt;R&gt;1&lt;/R&gt;&lt;C&gt;1&lt;/C&gt;&lt;D xsi:type="xsd:double"&gt;0.8769536&lt;/D&gt;&lt;/FQL&gt;&lt;FQL&gt;&lt;Q&gt;VMI-US^P_BETA_LOCIDX(45057,44881,,"SPX")&lt;/Q&gt;&lt;R&gt;1&lt;/R&gt;&lt;C&gt;1&lt;/C&gt;&lt;D xsi:type="xsd:double"&gt;0.8743959&lt;/D&gt;&lt;/FQL&gt;&lt;FQL&gt;&lt;Q&gt;VMI-US^P_BETA_LOCIDX(45056,44880,,"SPX")&lt;/Q&gt;&lt;R&gt;1&lt;/R&gt;&lt;C&gt;1&lt;/C&gt;&lt;D xsi:type="xsd:double"&gt;0.87108576&lt;/D&gt;&lt;/FQL&gt;&lt;FQL&gt;&lt;Q&gt;VMI-US^P_BETA_LOCIDX(45055,44879,,"SPX")&lt;/Q&gt;&lt;R&gt;1&lt;/R&gt;&lt;C&gt;1&lt;/C&gt;&lt;D xsi:type="xsd:double"&gt;0.8583921&lt;/D&gt;&lt;/FQL&gt;&lt;FQL&gt;&lt;Q&gt;VMI-US^P_BETA_LOCIDX(45054,44876,,"SPX")&lt;/Q&gt;&lt;R&gt;1&lt;/R&gt;&lt;C&gt;1&lt;/C&gt;&lt;D xsi:type="xsd:double"&gt;0.84447277&lt;/D&gt;&lt;/FQL&gt;&lt;FQL&gt;&lt;Q&gt;VMI-US^P_BETA_LOCIDX(45051,44875,,"SPX")&lt;/Q&gt;&lt;R&gt;1&lt;/R&gt;&lt;C&gt;1&lt;/C&gt;&lt;D xsi:type="xsd:double"&gt;0.7882902&lt;/D&gt;&lt;/FQL&gt;&lt;FQL&gt;&lt;Q&gt;VMI-US^P_BETA_LOCIDX(45050,44874,,"SPX")&lt;/Q&gt;&lt;R&gt;1&lt;/R&gt;&lt;C&gt;1&lt;/C&gt;&lt;D xsi:type="xsd:double"&gt;0.7683908&lt;/D&gt;&lt;/FQL&gt;&lt;FQL&gt;&lt;Q&gt;VMI-US^P_BETA_LOCIDX(45049,44873,,"SPX")&lt;/Q&gt;&lt;R&gt;1&lt;/R&gt;&lt;C&gt;1&lt;/C&gt;&lt;D xsi:type="xsd:double"&gt;0.7573338&lt;/D&gt;&lt;/FQL&gt;&lt;FQL&gt;&lt;Q&gt;VMI-US^P_BETA_LOCIDX(45048,44872,,"SPX")&lt;/Q&gt;&lt;R&gt;1&lt;/R&gt;&lt;C&gt;1&lt;/C&gt;&lt;D xsi:type="xsd:double"&gt;0.76097035&lt;/D&gt;&lt;/FQL&gt;&lt;FQL&gt;&lt;Q&gt;VMI-US^P_BETA_LOCIDX(45047,44869,,"SPX")&lt;/Q&gt;&lt;R&gt;1&lt;/R&gt;&lt;C&gt;1&lt;/C&gt;&lt;D xsi:type="xsd:double"&gt;0.76249796&lt;/D&gt;&lt;/FQL&gt;&lt;FQL&gt;&lt;Q&gt;VMI-US^P_BETA_LOCIDX(45044,44868,,"SPX")&lt;/Q&gt;&lt;R&gt;1&lt;/R&gt;&lt;C&gt;1&lt;/C&gt;&lt;D xsi:type="xsd:double"&gt;0.7502336&lt;/D&gt;&lt;/FQL&gt;&lt;FQL&gt;&lt;Q&gt;VMI-US^P_BETA_LOCIDX(45043,44867,,"SPX")&lt;/Q&gt;&lt;R&gt;1&lt;/R&gt;&lt;C&gt;1&lt;/C&gt;&lt;D xsi:type="xsd:double"&gt;0.7672128&lt;/D&gt;&lt;/FQL&gt;&lt;FQL&gt;&lt;Q&gt;VMI-US^P_BETA_LOCIDX(45042,44866,,"SPX")&lt;/Q&gt;&lt;R&gt;1&lt;/R&gt;&lt;C&gt;1&lt;/C&gt;&lt;D xsi:type="xsd:double"&gt;0.7650038&lt;/D&gt;&lt;/FQL&gt;&lt;FQL&gt;&lt;Q&gt;VMI-US^P_BETA_LOCIDX(45041,44865,,"SPX")&lt;/Q&gt;&lt;R&gt;1&lt;/R&gt;&lt;C&gt;1&lt;/C&gt;&lt;D xsi:type="xsd:double"&gt;0.7557477&lt;/D&gt;&lt;/FQL&gt;&lt;FQL&gt;&lt;Q&gt;VMI-US^P_BETA_LOCIDX(45040,44862,,"SPX")&lt;/Q&gt;&lt;R&gt;1&lt;/R&gt;&lt;C&gt;1&lt;/C&gt;&lt;D xsi:type="xsd:double"&gt;0.7353353&lt;/D&gt;&lt;/FQL&gt;&lt;FQL&gt;&lt;Q&gt;VMI-US^P_BETA_LOCIDX(45037,44861,,"SPX")&lt;/Q&gt;&lt;R&gt;1&lt;/R&gt;&lt;C&gt;1&lt;/C&gt;&lt;D xsi:type="xsd:double"&gt;0.7221784&lt;/D&gt;&lt;/FQL&gt;&lt;FQL&gt;&lt;Q&gt;VMI-US^P_BETA_LOCIDX(45036,44860,,"SPX")&lt;/Q&gt;&lt;R&gt;1&lt;/R&gt;&lt;C&gt;1&lt;/C&gt;&lt;D xsi:type="xsd:double"&gt;0.7236122&lt;/D&gt;&lt;/FQL&gt;&lt;FQL&gt;&lt;Q&gt;VMI-US^P_BETA_LOCIDX(45035,44859,,"SPX")&lt;/Q&gt;&lt;R&gt;1&lt;/R&gt;&lt;C&gt;1&lt;/C&gt;&lt;D xsi:type="xsd:double"&gt;0.7397224&lt;/D&gt;&lt;/FQL&gt;&lt;FQL&gt;&lt;Q&gt;VMI-US^P_BETA_LOCIDX(45034,44858,,"SPX")&lt;/Q&gt;&lt;R&gt;1&lt;/R&gt;&lt;C&gt;1&lt;/C&gt;&lt;D xsi:type="xsd:double"&gt;0.7468603&lt;/D&gt;&lt;/FQL&gt;&lt;FQL&gt;&lt;Q&gt;VMI-US^P_BETA_LOCIDX(45033,44855,,"SPX")&lt;/Q&gt;&lt;R&gt;1&lt;/R&gt;&lt;C&gt;1&lt;/C&gt;&lt;D xsi:type="xsd:double"&gt;0.7646476&lt;/D&gt;&lt;/FQL&gt;&lt;FQL&gt;&lt;Q&gt;VMI-US^P_BETA_LOCIDX(45030,44854,,"SPX")&lt;/Q&gt;&lt;R&gt;1&lt;/R&gt;&lt;C&gt;1&lt;/C&gt;&lt;D xsi:type="xsd:double"&gt;0.77273834&lt;/D&gt;&lt;/FQL&gt;&lt;FQL&gt;&lt;Q&gt;VMI-US^P_BETA_LOCIDX(45029,44853,,"SPX")&lt;/Q&gt;&lt;R&gt;1&lt;/R&gt;&lt;C&gt;1&lt;/C&gt;&lt;D xsi:type="xsd:double"&gt;0.7723606&lt;/D&gt;&lt;/FQL&gt;&lt;FQL&gt;&lt;Q&gt;VMI-US^P_BETA_LOCIDX(45028,44852,,"SPX")&lt;/Q&gt;&lt;R&gt;1&lt;/R&gt;&lt;C&gt;1&lt;/C&gt;&lt;D xsi:type="xsd:double"&gt;0.771165&lt;/D&gt;&lt;/FQL&gt;&lt;FQL&gt;&lt;Q&gt;VMI-US^P_BETA_LOCIDX(45027,44851,,"SPX")&lt;/Q&gt;&lt;R&gt;1&lt;/R&gt;&lt;C&gt;1&lt;/C&gt;&lt;D xsi:type="xsd:double"&gt;0.80478907&lt;/D&gt;&lt;/FQL&gt;&lt;FQL&gt;&lt;Q&gt;VMI-US^P_BETA_LOCIDX(45026,44848,,"SPX")&lt;/Q&gt;&lt;R&gt;1&lt;/R&gt;&lt;C&gt;1&lt;/C&gt;&lt;D xsi:type="xsd:double"&gt;0.81324&lt;/D&gt;&lt;/FQL&gt;&lt;FQL&gt;&lt;Q&gt;VMI-US^P_BETA_LOCIDX(45022,44847,,"SPX")&lt;/Q&gt;&lt;R&gt;1&lt;/R&gt;&lt;C&gt;1&lt;/C&gt;&lt;D xsi:type="xsd:double"&gt;0.8041943&lt;/D&gt;&lt;/FQL&gt;&lt;FQL&gt;&lt;Q&gt;VMI-US^P_BETA_LOCIDX(45021,44846,,"SPX")&lt;/Q&gt;&lt;R&gt;1&lt;/R&gt;&lt;C&gt;1&lt;/C&gt;&lt;D xsi:type="xsd:double"&gt;0.8074354&lt;/D&gt;&lt;/FQL&gt;&lt;FQL&gt;&lt;Q&gt;VMI-US^P_BETA_LOCIDX(45020,44845,,"SPX")&lt;/Q&gt;&lt;R&gt;1&lt;/R&gt;&lt;C&gt;1&lt;/C&gt;&lt;D xsi:type="xsd:double"&gt;0.7929969&lt;/D&gt;&lt;/FQL&gt;&lt;FQL&gt;&lt;Q&gt;VMI-US^P_BETA_LOCIDX(45019,44844,,"SPX")&lt;/Q&gt;&lt;R&gt;1&lt;/R&gt;&lt;C&gt;1&lt;/C&gt;&lt;D xsi:type="xsd:double"&gt;0.7706594&lt;/D&gt;&lt;/FQL&gt;&lt;FQL&gt;&lt;Q&gt;VMI-US^P_BETA_LOCIDX(45016,44841,,"SPX")&lt;/Q&gt;&lt;R&gt;1&lt;/R&gt;&lt;C&gt;1&lt;/C&gt;&lt;D xsi:type="xsd:double"&gt;0.77529925&lt;/D&gt;&lt;/FQL&gt;&lt;FQL&gt;&lt;Q&gt;VMI-US^P_BETA_LOCIDX(45015,44840,,"SPX")&lt;/Q&gt;&lt;R&gt;1&lt;/R&gt;&lt;C&gt;1&lt;/C&gt;&lt;D xsi:type="xsd:double"&gt;0.77423245&lt;/D&gt;&lt;/FQL&gt;&lt;FQL&gt;&lt;Q&gt;VMI-US^P_BETA_LOCIDX(45014,44839,,"SPX")&lt;/Q&gt;&lt;R&gt;1&lt;/R&gt;&lt;C&gt;1&lt;/C&gt;&lt;D xsi:type="xsd:double"&gt;0.7746775&lt;/D&gt;&lt;/FQL&gt;&lt;FQL&gt;&lt;Q&gt;VMI-US^P_BETA_LOCIDX(45013,44838,,"SPX")&lt;/Q&gt;&lt;R&gt;1&lt;/R&gt;&lt;C&gt;1&lt;/C&gt;&lt;D xsi:type="xsd:double"&gt;0.7691137&lt;/D&gt;&lt;/FQL&gt;&lt;FQL&gt;&lt;Q&gt;VMI-US^P_BETA_LOCIDX(45012,44837,,"SPX")&lt;/Q&gt;&lt;R&gt;1&lt;/R&gt;&lt;C&gt;1&lt;/C&gt;&lt;D xsi:type="xsd:double"&gt;0.80929077&lt;/D&gt;&lt;/FQL&gt;&lt;FQL&gt;&lt;Q&gt;VMI-US^P_BETA_LOCIDX(45009,44834,,"SPX")&lt;/Q&gt;&lt;R&gt;1&lt;/R&gt;&lt;C&gt;1&lt;/C&gt;&lt;D xsi:type="xsd:double"&gt;0.805682&lt;/D&gt;&lt;/FQL&gt;&lt;FQL&gt;&lt;Q&gt;VMI-US^P_BETA_LOCIDX(45008,44833,,"SPX")&lt;/Q&gt;&lt;R&gt;1&lt;/R&gt;&lt;C&gt;1&lt;/C&gt;&lt;D xsi:type="xsd:double"&gt;0.78852046&lt;/D&gt;&lt;/FQL&gt;&lt;FQL&gt;&lt;Q&gt;VMI-US^P_BETA_LOCIDX(45007,44832,,"SPX")&lt;/Q&gt;&lt;R&gt;1&lt;/R&gt;&lt;C&gt;1&lt;/C&gt;&lt;D xsi:type="xsd:double"&gt;0.7977908&lt;/D&gt;&lt;/FQL&gt;&lt;FQL&gt;&lt;Q&gt;VMI-US^P_BETA_LOCIDX(45006,44831,,"SPX")&lt;/Q&gt;&lt;R&gt;1&lt;/R&gt;&lt;C&gt;1&lt;/C&gt;&lt;D xsi:type="xsd:double"&gt;0.78695124&lt;/D&gt;&lt;/FQL&gt;&lt;FQL&gt;&lt;Q&gt;VMI-US^P_BETA_LOCIDX(45005,44830,,"SPX")&lt;/Q&gt;&lt;R&gt;1&lt;/R&gt;&lt;C&gt;1&lt;/C&gt;&lt;D xsi:type="xsd:double"&gt;0.77632135&lt;/D&gt;&lt;/FQL&gt;&lt;FQL&gt;&lt;Q&gt;VMI-US^P_BETA_LOCIDX(45002,44827,,"SPX")&lt;/Q&gt;&lt;R&gt;1&lt;/R&gt;&lt;C&gt;1&lt;/C&gt;&lt;D xsi:type="xsd:double"&gt;0.7849092&lt;/D&gt;&lt;/FQL&gt;&lt;FQL&gt;&lt;Q&gt;VMI-US^P_BETA_LOCIDX(45001,44826,,"SPX")&lt;/Q&gt;&lt;R&gt;1&lt;/R&gt;&lt;C&gt;1&lt;/C&gt;&lt;D xsi:type="xsd:double"&gt;0.78005683&lt;/D&gt;&lt;/FQL&gt;&lt;FQL&gt;&lt;Q&gt;VMI-US^P_BETA_LOCI</t>
        </r>
      </text>
    </comment>
    <comment ref="A13" authorId="0" shapeId="0" xr:uid="{1DA21F45-9959-48BF-B3DB-BDE826931EDF}">
      <text>
        <r>
          <rPr>
            <b/>
            <sz val="9"/>
            <color indexed="81"/>
            <rFont val="Tahoma"/>
            <charset val="1"/>
          </rPr>
          <t>DX(45000,44825,,"SPX")&lt;/Q&gt;&lt;R&gt;1&lt;/R&gt;&lt;C&gt;1&lt;/C&gt;&lt;D xsi:type="xsd:double"&gt;0.7729527&lt;/D&gt;&lt;/FQL&gt;&lt;FQL&gt;&lt;Q&gt;VMI-US^P_BETA_LOCIDX(44999,44824,,"SPX")&lt;/Q&gt;&lt;R&gt;1&lt;/R&gt;&lt;C&gt;1&lt;/C&gt;&lt;D xsi:type="xsd:double"&gt;0.7723987&lt;/D&gt;&lt;/FQL&gt;&lt;FQL&gt;&lt;Q&gt;VMI-US^P_BETA_LOCIDX(44998,44823,,"SPX")&lt;/Q&gt;&lt;R&gt;1&lt;/R&gt;&lt;C&gt;1&lt;/C&gt;&lt;D xsi:type="xsd:double"&gt;0.7658739&lt;/D&gt;&lt;/FQL&gt;&lt;FQL&gt;&lt;Q&gt;VMI-US^P_BETA_LOCIDX(44995,44820,,"SPX")&lt;/Q&gt;&lt;R&gt;1&lt;/R&gt;&lt;C&gt;1&lt;/C&gt;&lt;D xsi:type="xsd:double"&gt;0.7679823&lt;/D&gt;&lt;/FQL&gt;&lt;FQL&gt;&lt;Q&gt;VMI-US^P_BETA_LOCIDX(44994,44819,,"SPX")&lt;/Q&gt;&lt;R&gt;1&lt;/R&gt;&lt;C&gt;1&lt;/C&gt;&lt;D xsi:type="xsd:double"&gt;0.75960726&lt;/D&gt;&lt;/FQL&gt;&lt;FQL&gt;&lt;Q&gt;VMI-US^P_BETA_LOCIDX(44993,44818,,"SPX")&lt;/Q&gt;&lt;R&gt;1&lt;/R&gt;&lt;C&gt;1&lt;/C&gt;&lt;D xsi:type="xsd:double"&gt;0.753147&lt;/D&gt;&lt;/FQL&gt;&lt;FQL&gt;&lt;Q&gt;VMI-US^P_BETA_LOCIDX(44992,44817,,"SPX")&lt;/Q&gt;&lt;R&gt;1&lt;/R&gt;&lt;C&gt;1&lt;/C&gt;&lt;D xsi:type="xsd:double"&gt;0.7334068&lt;/D&gt;&lt;/FQL&gt;&lt;FQL&gt;&lt;Q&gt;VMI-US^P_BETA_LOCIDX(44991,44816,,"SPX")&lt;/Q&gt;&lt;R&gt;1&lt;/R&gt;&lt;C&gt;1&lt;/C&gt;&lt;D xsi:type="xsd:double"&gt;0.7245194&lt;/D&gt;&lt;/FQL&gt;&lt;FQL&gt;&lt;Q&gt;VMI-US^P_BETA_LOCIDX(44988,44813,,"SPX")&lt;/Q&gt;&lt;R&gt;1&lt;/R&gt;&lt;C&gt;1&lt;/C&gt;&lt;D xsi:type="xsd:double"&gt;0.725426&lt;/D&gt;&lt;/FQL&gt;&lt;FQL&gt;&lt;Q&gt;VMI-US^P_BETA_LOCIDX(44987,44812,,"SPX")&lt;/Q&gt;&lt;R&gt;1&lt;/R&gt;&lt;C&gt;1&lt;/C&gt;&lt;D xsi:type="xsd:double"&gt;0.7178501&lt;/D&gt;&lt;/FQL&gt;&lt;FQL&gt;&lt;Q&gt;VMI-US^P_BETA_LOCIDX(44986,44811,,"SPX")&lt;/Q&gt;&lt;R&gt;1&lt;/R&gt;&lt;C&gt;1&lt;/C&gt;&lt;D xsi:type="xsd:double"&gt;0.73519206&lt;/D&gt;&lt;/FQL&gt;&lt;FQL&gt;&lt;Q&gt;VMI-US^P_BETA_LOCIDX(44985,44810,,"SPX")&lt;/Q&gt;&lt;R&gt;1&lt;/R&gt;&lt;C&gt;1&lt;/C&gt;&lt;D xsi:type="xsd:double"&gt;0.73938966&lt;/D&gt;&lt;/FQL&gt;&lt;FQL&gt;&lt;Q&gt;VMI-US^P_BETA_LOCIDX(44984,44806,,"SPX")&lt;/Q&gt;&lt;R&gt;1&lt;/R&gt;&lt;C&gt;1&lt;/C&gt;&lt;D xsi:type="xsd:double"&gt;0.7463984&lt;/D&gt;&lt;/FQL&gt;&lt;FQL&gt;&lt;Q&gt;VMI-US^P_BETA_LOCIDX(44981,44805,,"SPX")&lt;/Q&gt;&lt;R&gt;1&lt;/R&gt;&lt;C&gt;1&lt;/C&gt;&lt;D xsi:type="xsd:double"&gt;0.74548274&lt;/D&gt;&lt;/FQL&gt;&lt;FQL&gt;&lt;Q&gt;VMI-US^P_BETA_LOCIDX(44980,44804,,"SPX")&lt;/Q&gt;&lt;R&gt;1&lt;/R&gt;&lt;C&gt;1&lt;/C&gt;&lt;D xsi:type="xsd:double"&gt;0.76849926&lt;/D&gt;&lt;/FQL&gt;&lt;FQL&gt;&lt;Q&gt;VMI-US^P_BETA_LOCIDX(44979,44803,,"SPX")&lt;/Q&gt;&lt;R&gt;1&lt;/R&gt;&lt;C&gt;1&lt;/C&gt;&lt;D xsi:type="xsd:double"&gt;0.78241104&lt;/D&gt;&lt;/FQL&gt;&lt;FQL&gt;&lt;Q&gt;VMI-US^P_BETA_LOCIDX(44978,44802,,"SPX")&lt;/Q&gt;&lt;R&gt;1&lt;/R&gt;&lt;C&gt;1&lt;/C&gt;&lt;D xsi:type="xsd:double"&gt;0.78427577&lt;/D&gt;&lt;/FQL&gt;&lt;FQL&gt;&lt;Q&gt;VMI-US^P_BETA_LOCIDX(44974,44799,,"SPX")&lt;/Q&gt;&lt;R&gt;1&lt;/R&gt;&lt;C&gt;1&lt;/C&gt;&lt;D xsi:type="xsd:double"&gt;0.76697004&lt;/D&gt;&lt;/FQL&gt;&lt;FQL&gt;&lt;Q&gt;VMI-US^P_BETA_LOCIDX(44973,44798,,"SPX")&lt;/Q&gt;&lt;R&gt;1&lt;/R&gt;&lt;C&gt;1&lt;/C&gt;&lt;D xsi:type="xsd:double"&gt;0.7649578&lt;/D&gt;&lt;/FQL&gt;&lt;FQL&gt;&lt;Q&gt;VMI-US^P_BETA_LOCIDX(44972,44797,,"SPX")&lt;/Q&gt;&lt;R&gt;1&lt;/R&gt;&lt;C&gt;1&lt;/C&gt;&lt;D xsi:type="xsd:double"&gt;0.7747055&lt;/D&gt;&lt;/FQL&gt;&lt;FQL&gt;&lt;Q&gt;VMI-US^P_BETA_LOCIDX(44971,44796,,"SPX")&lt;/Q&gt;&lt;R&gt;1&lt;/R&gt;&lt;C&gt;1&lt;/C&gt;&lt;D xsi:type="xsd:double"&gt;0.77380115&lt;/D&gt;&lt;/FQL&gt;&lt;FQL&gt;&lt;Q&gt;VMI-US^P_BETA_LOCIDX(44970,44795,,"SPX")&lt;/Q&gt;&lt;R&gt;1&lt;/R&gt;&lt;C&gt;1&lt;/C&gt;&lt;D xsi:type="xsd:double"&gt;0.7759105&lt;/D&gt;&lt;/FQL&gt;&lt;FQL&gt;&lt;Q&gt;VMI-US^P_BETA_LOCIDX(44967,44792,,"SPX")&lt;/Q&gt;&lt;R&gt;1&lt;/R&gt;&lt;C&gt;1&lt;/C&gt;&lt;D xsi:type="xsd:double"&gt;0.7705488&lt;/D&gt;&lt;/FQL&gt;&lt;FQL&gt;&lt;Q&gt;VMI-US^P_BETA_LOCIDX(44966,44791,,"SPX")&lt;/Q&gt;&lt;R&gt;1&lt;/R&gt;&lt;C&gt;1&lt;/C&gt;&lt;D xsi:type="xsd:double"&gt;0.7723304&lt;/D&gt;&lt;/FQL&gt;&lt;FQL&gt;&lt;Q&gt;VMI-US^P_BETA_LOCIDX(44965,44790,,"SPX")&lt;/Q&gt;&lt;R&gt;1&lt;/R&gt;&lt;C&gt;1&lt;/C&gt;&lt;D xsi:type="xsd:double"&gt;0.77316976&lt;/D&gt;&lt;/FQL&gt;&lt;FQL&gt;&lt;Q&gt;VMI-US^P_BETA_LOCIDX(44964,44789,,"SPX")&lt;/Q&gt;&lt;R&gt;1&lt;/R&gt;&lt;C&gt;1&lt;/C&gt;&lt;D xsi:type="xsd:double"&gt;0.77391344&lt;/D&gt;&lt;/FQL&gt;&lt;FQL&gt;&lt;Q&gt;VMI-US^P_BETA_LOCIDX(44963,44788,,"SPX")&lt;/Q&gt;&lt;R&gt;1&lt;/R&gt;&lt;C&gt;1&lt;/C&gt;&lt;D xsi:type="xsd:double"&gt;0.77555037&lt;/D&gt;&lt;/FQL&gt;&lt;FQL&gt;&lt;Q&gt;VMI-US^P_BETA_LOCIDX(44960,44785,,"SPX")&lt;/Q&gt;&lt;R&gt;1&lt;/R&gt;&lt;C&gt;1&lt;/C&gt;&lt;D xsi:type="xsd:double"&gt;0.78008825&lt;/D&gt;&lt;/FQL&gt;&lt;FQL&gt;&lt;Q&gt;VMI-US^P_BETA_LOCIDX(44959,44784,,"SPX")&lt;/Q&gt;&lt;R&gt;1&lt;/R&gt;&lt;C&gt;1&lt;/C&gt;&lt;D xsi:type="xsd:double"&gt;0.7835276&lt;/D&gt;&lt;/FQL&gt;&lt;FQL&gt;&lt;Q&gt;VMI-US^P_BETA_LOCIDX(44958,44783,,"SPX")&lt;/Q&gt;&lt;R&gt;1&lt;/R&gt;&lt;C&gt;1&lt;/C&gt;&lt;D xsi:type="xsd:double"&gt;0.809755&lt;/D&gt;&lt;/FQL&gt;&lt;FQL&gt;&lt;Q&gt;VMI-US^P_BETA_LOCIDX(44957,44782,,"SPX")&lt;/Q&gt;&lt;R&gt;1&lt;/R&gt;&lt;C&gt;1&lt;/C&gt;&lt;D xsi:type="xsd:double"&gt;0.81215584&lt;/D&gt;&lt;/FQL&gt;&lt;FQL&gt;&lt;Q&gt;VMI-US^P_BETA_LOCIDX(44956,44781,,"SPX")&lt;/Q&gt;&lt;R&gt;1&lt;/R&gt;&lt;C&gt;1&lt;/C&gt;&lt;D xsi:type="xsd:double"&gt;0.8013297&lt;/D&gt;&lt;/FQL&gt;&lt;FQL&gt;&lt;Q&gt;VMI-US^P_BETA_LOCIDX(44953,44778,,"SPX")&lt;/Q&gt;&lt;R&gt;1&lt;/R&gt;&lt;C&gt;1&lt;/C&gt;&lt;D xsi:type="xsd:double"&gt;0.7961024&lt;/D&gt;&lt;/FQL&gt;&lt;FQL&gt;&lt;Q&gt;VMI-US^P_BETA_LOCIDX(44952,44777,,"SPX")&lt;/Q&gt;&lt;R&gt;1&lt;/R&gt;&lt;C&gt;1&lt;/C&gt;&lt;D xsi:type="xsd:double"&gt;0.79742664&lt;/D&gt;&lt;/FQL&gt;&lt;FQL&gt;&lt;Q&gt;VMI-US^P_BETA_LOCIDX(44951,44776,,"SPX")&lt;/Q&gt;&lt;R&gt;1&lt;/R&gt;&lt;C&gt;1&lt;/C&gt;&lt;D xsi:type="xsd:double"&gt;0.7958091&lt;/D&gt;&lt;/FQL&gt;&lt;FQL&gt;&lt;Q&gt;VMI-US^P_BETA_LOCIDX(44950,44775,,"SPX")&lt;/Q&gt;&lt;R&gt;1&lt;/R&gt;&lt;C&gt;1&lt;/C&gt;&lt;D xsi:type="xsd:double"&gt;0.7982402&lt;/D&gt;&lt;/FQL&gt;&lt;FQL&gt;&lt;Q&gt;VMI-US^P_BETA_LOCIDX(44949,44774,,"SPX")&lt;/Q&gt;&lt;R&gt;1&lt;/R&gt;&lt;C&gt;1&lt;/C&gt;&lt;D xsi:type="xsd:double"&gt;0.7978024&lt;/D&gt;&lt;/FQL&gt;&lt;FQL&gt;&lt;Q&gt;VMI-US^P_BETA_LOCIDX(44946,44771,,"SPX")&lt;/Q&gt;&lt;R&gt;1&lt;/R&gt;&lt;C&gt;1&lt;/C&gt;&lt;D xsi:type="xsd:double"&gt;0.80542797&lt;/D&gt;&lt;/FQL&gt;&lt;FQL&gt;&lt;Q&gt;VMI-US^P_BETA_LOCIDX(44945,44770,,"SPX")&lt;/Q&gt;&lt;R&gt;1&lt;/R&gt;&lt;C&gt;1&lt;/C&gt;&lt;D xsi:type="xsd:double"&gt;0.81697977&lt;/D&gt;&lt;/FQL&gt;&lt;FQL&gt;&lt;Q&gt;VMI-US^P_BETA_LOCIDX(44944,44769,,"SPX")&lt;/Q&gt;&lt;R&gt;1&lt;/R&gt;&lt;C&gt;1&lt;/C&gt;&lt;D xsi:type="xsd:double"&gt;0.7904984&lt;/D&gt;&lt;/FQL&gt;&lt;FQL&gt;&lt;Q&gt;VMI-US^P_BETA_LOCIDX(44943,44768,,"SPX")&lt;/Q&gt;&lt;R&gt;1&lt;/R&gt;&lt;C&gt;1&lt;/C&gt;&lt;D xsi:type="xsd:double"&gt;0.7795692&lt;/D&gt;&lt;/FQL&gt;&lt;FQL&gt;&lt;Q&gt;VMI-US^P_BETA_LOCIDX(44939,44767,,"SPX")&lt;/Q&gt;&lt;R&gt;1&lt;/R&gt;&lt;C&gt;1&lt;/C&gt;&lt;D xsi:type="xsd:double"&gt;0.7786461&lt;/D&gt;&lt;/FQL&gt;&lt;FQL&gt;&lt;Q&gt;VMI-US^P_BETA_LOCIDX(44938,44764,,"SPX")&lt;/Q&gt;&lt;R&gt;1&lt;/R&gt;&lt;C&gt;1&lt;/C&gt;&lt;D xsi:type="xsd:double"&gt;0.7795569&lt;/D&gt;&lt;/FQL&gt;&lt;FQL&gt;&lt;Q&gt;VMI-US^P_BETA_LOCIDX(44937,44763,,"SPX")&lt;/Q&gt;&lt;R&gt;1&lt;/R&gt;&lt;C&gt;1&lt;/C&gt;&lt;D xsi:type="xsd:double"&gt;0.79575515&lt;/D&gt;&lt;/FQL&gt;&lt;FQL&gt;&lt;Q&gt;VMI-US^P_BETA_LOCIDX(44936,44762,,"SPX")&lt;/Q&gt;&lt;R&gt;1&lt;/R&gt;&lt;C&gt;1&lt;/C&gt;&lt;D xsi:type="xsd:double"&gt;0.8000386&lt;/D&gt;&lt;/FQL&gt;&lt;FQL&gt;&lt;Q&gt;VMI-US^P_BETA_LOCIDX(44935,44761,,"SPX")&lt;/Q&gt;&lt;R&gt;1&lt;/R&gt;&lt;C&gt;1&lt;/C&gt;&lt;D xsi:type="xsd:double"&gt;0.815352&lt;/D&gt;&lt;/FQL&gt;&lt;FQL&gt;&lt;Q&gt;VMI-US^P_BETA_LOCIDX(44932,44760,,"SPX")&lt;/Q&gt;&lt;R&gt;1&lt;/R&gt;&lt;C&gt;1&lt;/C&gt;&lt;D xsi:type="xsd:double"&gt;0.815437&lt;/D&gt;&lt;/FQL&gt;&lt;FQL&gt;&lt;Q&gt;VMI-US^P_BETA_LOCIDX(44931,44757,,"SPX")&lt;/Q&gt;&lt;R&gt;1&lt;/R&gt;&lt;C&gt;1&lt;/C&gt;&lt;D xsi:type="xsd:double"&gt;0.81779444&lt;/D&gt;&lt;/FQL&gt;&lt;FQL&gt;&lt;Q&gt;VMI-US^P_BETA_LOCIDX(44930,44756,,"SPX")&lt;/Q&gt;&lt;R&gt;1&lt;/R&gt;&lt;C&gt;1&lt;/C&gt;&lt;D xsi:type="xsd:double"&gt;0.8147872&lt;/D&gt;&lt;/FQL&gt;&lt;FQL&gt;&lt;Q&gt;VMI-US^P_BETA_LOCIDX(44929,44755,,"SPX")&lt;/Q&gt;&lt;R&gt;1&lt;/R&gt;&lt;C&gt;1&lt;/C&gt;&lt;D xsi:type="xsd:double"&gt;0.82055324&lt;/D&gt;&lt;/FQL&gt;&lt;FQL&gt;&lt;Q&gt;VMI-US^P_BETA_LOCIDX(44925,44754,,"SPX")&lt;/Q&gt;&lt;R&gt;1&lt;/R&gt;&lt;C&gt;1&lt;/C&gt;&lt;D xsi:type="xsd:double"&gt;0.8251923&lt;/D&gt;&lt;/FQL&gt;&lt;FQL&gt;&lt;Q&gt;VMI-US^P_BETA_LOCIDX(44924,44753,,"SPX")&lt;/Q&gt;&lt;R&gt;1&lt;/R&gt;&lt;C&gt;1&lt;/C&gt;&lt;D xsi:type="xsd:double"&gt;0.8235722&lt;/D&gt;&lt;/FQL&gt;&lt;FQL&gt;&lt;Q&gt;VMI-US^P_BETA_LOCIDX(44923,44750,,"SPX")&lt;/Q&gt;&lt;R&gt;1&lt;/R&gt;&lt;C&gt;1&lt;/C&gt;&lt;D xsi:type="xsd:double"&gt;0.8324402&lt;/D&gt;&lt;/FQL&gt;&lt;FQL&gt;&lt;Q&gt;VMI-US^P_BETA_LOCIDX(44922,44749,,"SPX")&lt;/Q&gt;&lt;R&gt;1&lt;/R&gt;&lt;C&gt;1&lt;/C&gt;&lt;D xsi:type="xsd:double"&gt;0.8308008&lt;/D&gt;&lt;/FQL&gt;&lt;FQL&gt;&lt;Q&gt;VMI-US^P_BETA_LOCIDX(44918,44748,,"SPX")&lt;/Q&gt;&lt;R&gt;1&lt;/R&gt;&lt;C&gt;1&lt;/C&gt;&lt;D xsi:type="xsd:double"&gt;0.83065873&lt;/D&gt;&lt;/FQL&gt;&lt;FQL&gt;&lt;Q&gt;VMI-US^P_BETA_LOCIDX(44917,44747,,"SPX")&lt;/Q&gt;&lt;R&gt;1&lt;/R&gt;&lt;C&gt;1&lt;/C&gt;&lt;D xsi:type="xsd:double"&gt;0.8297745&lt;/D&gt;&lt;/FQL&gt;&lt;FQL&gt;&lt;Q&gt;VMI-US^P_BETA_LOCIDX(44916,44743,,"SPX")&lt;/Q&gt;&lt;R&gt;1&lt;/R&gt;&lt;C&gt;1&lt;/C&gt;&lt;D xsi:type="xsd:double"&gt;0.83231825&lt;/D&gt;&lt;/FQL&gt;&lt;FQL&gt;&lt;Q&gt;VMI-US^P_BETA_LOCIDX(44915,44742,,"SPX")&lt;/Q&gt;&lt;R&gt;1&lt;/R&gt;&lt;C&gt;1&lt;/C&gt;&lt;D xsi:type="xsd:double"&gt;0.8261918&lt;/D&gt;&lt;/FQL&gt;&lt;FQL&gt;&lt;Q&gt;VMI-US^P_BETA_LOCIDX(44914,44741,,"SPX")&lt;/Q&gt;&lt;R&gt;1&lt;/R&gt;&lt;C&gt;1&lt;/C&gt;&lt;D xsi:type="xsd:double"&gt;0.82639533&lt;/D&gt;&lt;/FQL&gt;&lt;FQL&gt;&lt;Q&gt;VMI-US^P_BETA_LOCIDX(44911,44740,,"SPX")&lt;/Q&gt;&lt;R&gt;1&lt;/R&gt;&lt;C&gt;1&lt;/C&gt;&lt;D xsi:type="xsd:double"&gt;0.84078324&lt;/D&gt;&lt;/FQL&gt;&lt;FQL&gt;&lt;Q&gt;VMI-US^P_BETA_LOCIDX(44910,44739,,"SPX")&lt;/Q&gt;&lt;R&gt;1&lt;/R&gt;&lt;C&gt;1&lt;/C&gt;&lt;D xsi:type="xsd:double"&gt;0.8418374&lt;/D&gt;&lt;/FQL&gt;&lt;FQL&gt;&lt;Q&gt;VMI-US^P_BETA_LOCIDX(44909,44736,,"SPX")&lt;/Q&gt;&lt;R&gt;1&lt;/R&gt;&lt;C&gt;1&lt;/C&gt;&lt;D xsi:type="xsd:double"&gt;0.84024185&lt;/D&gt;&lt;/FQL&gt;&lt;FQL&gt;&lt;Q&gt;VMI-US^P_BETA_LOCIDX(44908,44735,,"SPX")&lt;/Q&gt;&lt;R&gt;1&lt;/R&gt;&lt;C&gt;1&lt;/C&gt;&lt;D xsi:type="xsd:double"&gt;0.83336556&lt;/D&gt;&lt;/FQL&gt;&lt;FQL&gt;&lt;Q&gt;VMI-US^P_BETA_LOCIDX(44907,44734,,"SPX")&lt;/Q&gt;&lt;R&gt;1&lt;/R&gt;&lt;C&gt;1&lt;/C&gt;&lt;D xsi:type="xsd:double"&gt;0.8359863&lt;/D&gt;&lt;/FQL&gt;&lt;FQL&gt;&lt;Q&gt;VMI-US^P_BETA_LOCIDX(44904,44733,,"SPX")&lt;/Q&gt;&lt;R&gt;1&lt;/R&gt;&lt;C&gt;1&lt;/C&gt;&lt;D xsi:type="xsd:double"&gt;0.8431091&lt;/D&gt;&lt;/FQL&gt;&lt;FQL&gt;&lt;Q&gt;VMI-US^P_BETA_LOCIDX(44903,44729,,"SPX")&lt;/Q&gt;&lt;R&gt;1&lt;/R&gt;&lt;C&gt;1&lt;/C&gt;&lt;D xsi:type="xsd:double"&gt;0.8455157&lt;/D&gt;&lt;/FQL&gt;&lt;FQL&gt;&lt;Q&gt;VMI-US^P_BETA_LOCIDX(44902,44728,,"SPX")&lt;/Q&gt;&lt;R&gt;1&lt;/R&gt;&lt;C&gt;1&lt;/C&gt;&lt;D xsi:type="xsd:double"&gt;0.88955337&lt;/D&gt;&lt;/FQL&gt;&lt;FQL&gt;&lt;Q&gt;VMI-US^P_BETA_LOCIDX(44901,44727,,"SPX")&lt;/Q&gt;&lt;R&gt;1&lt;/R&gt;&lt;C&gt;1&lt;/C&gt;&lt;D xsi:type="xsd:double"&gt;0.8797148&lt;/D&gt;&lt;/FQL&gt;&lt;FQL&gt;&lt;Q&gt;VMI-US^P_BETA_LOCIDX(44900,44726,,"SPX")&lt;/Q&gt;&lt;R&gt;1&lt;/R&gt;&lt;C&gt;1&lt;/C&gt;&lt;D xsi:type="xsd:double"&gt;0.889469&lt;/D&gt;&lt;/FQL&gt;&lt;FQL&gt;&lt;Q&gt;VMI-US^P_BETA_LOCIDX(44897,44725,,"SPX")&lt;/Q&gt;&lt;R&gt;1&lt;/R&gt;&lt;C&gt;1&lt;/C&gt;&lt;D xsi:type="xsd:double"&gt;0.88419867&lt;/D&gt;&lt;/FQL&gt;&lt;FQL&gt;&lt;Q&gt;VMI-US^P_BETA_LOCIDX(44896,44722,,"SPX")&lt;/Q&gt;&lt;R&gt;1&lt;/R&gt;&lt;C&gt;1&lt;/C&gt;&lt;D xsi:type="xsd:double"&gt;0.890743&lt;/D&gt;&lt;/FQL&gt;&lt;FQL&gt;&lt;Q&gt;VMI-US^P_BETA_LOCIDX(44895,44721,,"SPX")&lt;/Q&gt;&lt;R&gt;1&lt;/R&gt;&lt;C&gt;1&lt;/C&gt;&lt;D xsi:type="xsd:double"&gt;0.88624865&lt;/D&gt;&lt;/FQL&gt;&lt;FQL&gt;&lt;Q&gt;VMI-US^P_BETA_LOCIDX(44894,44720,,"SPX")&lt;/Q&gt;&lt;R&gt;1&lt;/R&gt;&lt;C&gt;1&lt;/C&gt;&lt;D xsi:type="xsd:double"&gt;0.88863075&lt;/D&gt;&lt;/FQL&gt;&lt;FQL&gt;&lt;Q&gt;VMI-US^P_BETA_LOCIDX(44893,44719,,"SPX")&lt;/Q&gt;&lt;R&gt;1&lt;/R&gt;&lt;C&gt;1&lt;/C&gt;&lt;D xsi:type="xsd:double"&gt;0.88539916&lt;/D&gt;&lt;/FQL&gt;&lt;FQL&gt;&lt;Q&gt;VMI-US^P_BETA_LOCIDX(44890,44718,,"SPX")&lt;/Q&gt;&lt;R&gt;1&lt;/R&gt;&lt;C&gt;1&lt;/C&gt;&lt;D xsi:type="xsd:double"&gt;0.8800681&lt;/D&gt;&lt;/FQL&gt;&lt;FQL&gt;&lt;Q&gt;VMI-US^P_BETA_LOCIDX(44888,44715,,"SPX")&lt;/Q&gt;&lt;R&gt;1&lt;/R&gt;&lt;C&gt;1&lt;/C&gt;&lt;D xsi:type="xsd:double"&gt;0.8697917&lt;/D&gt;&lt;/FQL&gt;&lt;FQL&gt;&lt;Q&gt;VMI-US^P_BETA_LOCIDX(44887,44714,,"SPX")&lt;/Q&gt;&lt;R&gt;1&lt;/R&gt;&lt;C&gt;1&lt;/C&gt;&lt;D xsi:type="xsd:double"&gt;0.87561196&lt;/D&gt;&lt;/FQL&gt;&lt;FQL&gt;&lt;Q&gt;VMI-US^P_BETA_LOCIDX(44886,44713,,"SPX")&lt;/Q&gt;&lt;R&gt;1&lt;/R&gt;&lt;C&gt;1&lt;/C&gt;&lt;D xsi:type="xsd:double"&gt;0.87661684&lt;/D&gt;&lt;/FQL&gt;&lt;FQL&gt;&lt;Q&gt;VMI-US^P_BETA_LOCIDX(44883,44712,,"SPX")&lt;/Q&gt;&lt;R&gt;1&lt;/R&gt;&lt;C&gt;1&lt;/C&gt;&lt;D xsi:type="xsd:double"&gt;0.8821597&lt;/D&gt;&lt;/FQL&gt;&lt;FQL&gt;&lt;Q&gt;VMI-US^P_BETA_LOCIDX(44882,44708,,"SPX")&lt;/Q&gt;&lt;R&gt;1&lt;/R&gt;&lt;C&gt;1&lt;/C&gt;&lt;D xsi:type="xsd:double"&gt;0.8825804&lt;/D&gt;&lt;/FQL&gt;&lt;FQL&gt;&lt;Q&gt;VMI-US^P_BETA_LOCIDX(44881,44707,,"SPX")&lt;/Q&gt;&lt;R&gt;1&lt;/R&gt;&lt;C&gt;1&lt;/C&gt;&lt;D xsi:type="xsd:double"&gt;0.8756329&lt;/D&gt;&lt;/FQL&gt;&lt;FQL&gt;&lt;Q&gt;VMI-US^P_BETA_LOCIDX(44880,44706,,"SPX")&lt;/Q&gt;&lt;R&gt;1&lt;/R&gt;&lt;C&gt;1&lt;/C&gt;&lt;D xsi:type="xsd:double"&gt;0.8781978&lt;/D&gt;&lt;/FQL&gt;&lt;FQL&gt;&lt;Q&gt;VMI-US^P_BETA_LOCIDX(44879,44705,,"SPX")&lt;/Q&gt;&lt;R&gt;1&lt;/R&gt;&lt;C&gt;1&lt;/C&gt;&lt;D xsi:type="xsd:double"&gt;0.8796688&lt;/D&gt;&lt;/FQL&gt;&lt;FQL&gt;&lt;Q&gt;VMI-US^P_BETA_LOCIDX(44876,44704,,"SPX")&lt;/Q&gt;&lt;R&gt;1&lt;/R&gt;&lt;C&gt;1&lt;/C&gt;&lt;D xsi:type="xsd:double"&gt;0.8869954&lt;/D&gt;&lt;/FQL&gt;&lt;FQL&gt;&lt;Q&gt;VMI-US^P_BETA_LOCIDX(44875,44701,,"SPX")&lt;/Q&gt;&lt;R&gt;1&lt;/R&gt;&lt;C&gt;1&lt;/C&gt;&lt;D xsi:type="xsd:double"&gt;0.89468384&lt;/D&gt;&lt;/FQL&gt;&lt;FQL&gt;&lt;Q&gt;VMI-US^P_BETA_LOCIDX(44874,44700,,"SPX")&lt;/Q&gt;&lt;R&gt;1&lt;/R&gt;&lt;C&gt;1&lt;/C&gt;&lt;D xsi:type="xsd:double"&gt;0.9389362&lt;/D&gt;&lt;/FQL&gt;&lt;FQL&gt;&lt;Q&gt;VMI-US^P_BETA_LOCIDX(44873,44699,,"SPX")&lt;/Q&gt;&lt;R&gt;1&lt;/R&gt;&lt;C&gt;1&lt;/C&gt;&lt;D xsi:type="xsd:double"&gt;0.9155308&lt;/D&gt;&lt;/FQL&gt;&lt;FQL&gt;&lt;Q&gt;VMI-US^P_BETA_LOCIDX(44872,44698,,"SPX")&lt;/Q&gt;&lt;R&gt;1&lt;/R&gt;&lt;C&gt;1&lt;/C&gt;&lt;D xsi:type="xsd:double"&gt;0.91486174&lt;/D&gt;&lt;/FQL&gt;&lt;FQL&gt;&lt;Q&gt;VMI-US^P_BETA_LOCIDX(44869,44697,,"SPX")&lt;/Q&gt;&lt;R&gt;1&lt;/R&gt;&lt;C&gt;1&lt;/C&gt;&lt;D xsi:type="xsd:double"&gt;0.9169415&lt;/D&gt;&lt;/FQL&gt;&lt;FQL&gt;&lt;Q&gt;VMI-US^P_BETA_LOCIDX(44868,44694,,"SPX")&lt;/Q&gt;&lt;R&gt;1&lt;/R&gt;&lt;C&gt;1&lt;/C&gt;&lt;D xsi:type="xsd:double"&gt;0.9019705&lt;/D&gt;&lt;/FQL&gt;&lt;FQL&gt;&lt;Q&gt;VMI-US^P_BETA_LOCIDX(44867,44693,,"SPX")&lt;/Q&gt;&lt;R&gt;1&lt;/R&gt;&lt;C&gt;1&lt;/C&gt;&lt;D xsi:type="xsd:double"&gt;0.9075203&lt;/D&gt;&lt;/FQL&gt;&lt;FQL&gt;&lt;Q&gt;VMI-US^P_BETA_LOCIDX(44866,44692,,"SPX")&lt;/Q&gt;&lt;R&gt;1&lt;/R&gt;&lt;C&gt;1&lt;/C&gt;&lt;D xsi:type="xsd:double"&gt;0.89151955&lt;/D&gt;&lt;/FQL&gt;&lt;FQL&gt;&lt;Q&gt;VMI-US^P_BETA_LOCIDX(44865,44691,,"SPX")&lt;/Q&gt;&lt;R&gt;1&lt;/R&gt;&lt;C&gt;1&lt;/C&gt;&lt;D xsi:type="xsd:double"&gt;0.8904278&lt;/D&gt;&lt;/FQL&gt;&lt;FQL&gt;&lt;Q&gt;VMI-US^P_BETA_LOCIDX(44862,44690,,"SPX")&lt;/Q&gt;&lt;R&gt;1&lt;/R&gt;&lt;C&gt;1&lt;/C&gt;&lt;D xsi:type="xsd:double"&gt;0.8984533&lt;/D&gt;&lt;/FQL&gt;&lt;FQL&gt;&lt;Q&gt;VMI-US^P_BETA_LOCIDX(44861,44687,,"SPX")&lt;/Q&gt;&lt;R&gt;1&lt;/R&gt;&lt;C&gt;1&lt;/C&gt;&lt;D xsi:type="xsd:double"&gt;0.90685815&lt;/D&gt;&lt;/FQL&gt;&lt;FQL&gt;&lt;Q&gt;VMI-US^P_BETA_LOCIDX(44860,44686,,"SPX")&lt;/Q&gt;&lt;R&gt;1&lt;/R&gt;&lt;C&gt;1&lt;/C&gt;&lt;D xsi:type="xsd:double"&gt;0.90851015&lt;/D&gt;&lt;/FQL&gt;&lt;FQL&gt;&lt;Q&gt;VMI-US^P_BETA_LOCIDX(44859,44685,,"SPX")&lt;/Q&gt;&lt;R&gt;1&lt;/R&gt;&lt;C&gt;1&lt;/C&gt;&lt;D xsi:type="xsd:double"&gt;0.9023417&lt;/D&gt;&lt;/FQL&gt;&lt;FQL&gt;&lt;Q&gt;VMI-US^P_BETA_LOCIDX(44858,44684,,"SPX")&lt;/Q&gt;&lt;R&gt;1&lt;/R&gt;&lt;C&gt;1&lt;/C&gt;&lt;D xsi:type="xsd:double"&gt;0.9027292&lt;/D&gt;&lt;/FQL&gt;&lt;FQL&gt;&lt;Q&gt;VMI-US^P_BETA_LOCIDX(44855,44683,,"SPX")&lt;/Q&gt;&lt;R&gt;1&lt;/R&gt;&lt;C&gt;1&lt;/C&gt;&lt;D xsi:type="xsd:double"&gt;0.9000867&lt;/D&gt;&lt;/FQL&gt;&lt;FQL&gt;&lt;Q&gt;VMI-US^P_BETA_LOCIDX(44854,44680,,"SPX")&lt;/Q&gt;&lt;R&gt;1&lt;/R&gt;&lt;C&gt;1&lt;/C&gt;&lt;D xsi:type="xsd:double"&gt;0.8767805&lt;/D&gt;&lt;/FQL&gt;&lt;FQL&gt;&lt;Q&gt;VMI-US^P_BETA_LOCIDX(44853,44679,,"SPX")&lt;/Q&gt;&lt;R&gt;1&lt;/R&gt;&lt;C&gt;1&lt;/C&gt;&lt;D xsi:type="xsd:double"&gt;0.85406786&lt;/D&gt;&lt;/FQL&gt;&lt;FQL&gt;&lt;Q&gt;VMI-US^P_BETA_LOCIDX(44852,44678,,"SPX")&lt;/Q&gt;&lt;R&gt;1&lt;/R&gt;&lt;C&gt;1&lt;/C&gt;&lt;D xsi:type="xsd:double"&gt;0.85303664&lt;/D&gt;&lt;/FQL&gt;&lt;FQL&gt;&lt;Q&gt;VMI-US^P_BETA_LOCIDX(44851,44677,,"SPX")&lt;/Q&gt;&lt;R&gt;1&lt;/R&gt;&lt;C&gt;1&lt;/C&gt;&lt;D xsi:type="xsd:double"&gt;0.86407375&lt;/D&gt;&lt;/FQL&gt;&lt;FQL&gt;&lt;Q&gt;VMI-US^P_BETA_LOCIDX(44848,44676,,"SPX")&lt;/Q&gt;&lt;R&gt;1&lt;/R&gt;&lt;C&gt;1&lt;/C&gt;&lt;D xsi:type="xsd:double"&gt;0.84735477&lt;/D&gt;&lt;/FQL&gt;&lt;FQL&gt;&lt;Q&gt;VMI-US^P_BETA_LOCIDX(44847,44673,,"SPX")&lt;/Q&gt;&lt;R&gt;1&lt;/R&gt;&lt;C&gt;1&lt;/C&gt;&lt;D xsi:type="xsd:double"&gt;0.8260285&lt;/D&gt;&lt;/FQL&gt;&lt;FQL&gt;&lt;Q&gt;VMI-US^P_BETA_LOCIDX(44846,44672,,"SPX")&lt;/Q&gt;&lt;R&gt;1&lt;/R&gt;&lt;C&gt;1&lt;/C&gt;&lt;D xsi:type="xsd:double"&gt;0.8040255&lt;/D&gt;&lt;/FQL&gt;&lt;FQL&gt;&lt;Q&gt;VMI-US^P_BETA_LOCIDX(44845,44671,,"SPX")&lt;/Q&gt;&lt;R&gt;1&lt;/R&gt;&lt;C&gt;1&lt;/C&gt;&lt;D xsi:type="xsd:double"&gt;0.80334127&lt;/D&gt;&lt;/FQL&gt;&lt;FQL&gt;&lt;Q&gt;VMI-US^P_BETA_LOCIDX(44844,44670,,"SPX")&lt;/Q&gt;&lt;R&gt;1&lt;/R&gt;&lt;C&gt;1&lt;/C&gt;&lt;D xsi:type="xsd:double"&gt;0.8098673&lt;/D&gt;&lt;/FQL&gt;&lt;FQL&gt;&lt;Q&gt;VMI-US^P_BETA_LOCIDX(44841,44669,,"SPX")&lt;/Q&gt;&lt;R&gt;1&lt;/R&gt;&lt;C&gt;1&lt;/C&gt;&lt;D xsi:type="xsd:double"&gt;0.8106415&lt;/D&gt;&lt;/FQL&gt;&lt;FQL&gt;&lt;Q&gt;VMI-US^P_BETA_LOCIDX(44840,44665,,"SPX")&lt;/Q&gt;&lt;R&gt;1&lt;/R&gt;&lt;C&gt;1&lt;/C&gt;&lt;D xsi:type="xsd:double"&gt;0.80756456&lt;/D&gt;&lt;/FQL&gt;&lt;FQL&gt;&lt;Q&gt;VMI-US^P_BETA_LOCIDX(44839,44664,,"SPX")&lt;/Q&gt;&lt;R&gt;1&lt;/R&gt;&lt;C&gt;1&lt;/C&gt;&lt;D xsi:type="xsd:double"&gt;0.8058027&lt;/D&gt;&lt;/FQL&gt;&lt;FQL&gt;&lt;Q&gt;VMI-US^P_BETA_LOCIDX(44838,44663,,"SPX")&lt;/Q&gt;&lt;R&gt;1&lt;/R&gt;&lt;C&gt;1&lt;/C&gt;&lt;D xsi:type="xsd:double"&gt;0.8051405&lt;/D&gt;&lt;/FQL&gt;&lt;FQL&gt;&lt;Q&gt;VMI-US^P_BETA_LOCIDX(44837,44662,,"SPX")&lt;/Q&gt;&lt;R&gt;1&lt;/R&gt;&lt;C&gt;1&lt;/C&gt;&lt;D xsi:type="xsd:double"&gt;0.80629754&lt;/D&gt;&lt;/FQL&gt;&lt;FQL&gt;&lt;Q&gt;VMI-US^P_BETA_LOCIDX(44834,44659,,"SPX")&lt;/Q&gt;&lt;R&gt;1&lt;/R&gt;&lt;C&gt;1&lt;/C&gt;&lt;D xsi:type="xsd:double"&gt;0.77881575&lt;/D&gt;&lt;/FQL&gt;&lt;FQL&gt;&lt;Q&gt;VMI-US^P_BETA_LOCIDX(44833,44658,,"SPX")&lt;/Q&gt;&lt;R&gt;1&lt;/R&gt;&lt;C&gt;1&lt;/C&gt;&lt;D xsi:type="xsd:double"&gt;0.7839358&lt;/D&gt;&lt;/FQL&gt;&lt;FQL&gt;&lt;Q&gt;VMI-US^P_BETA_LOCIDX(44832,44657,,"SPX")&lt;/Q&gt;&lt;R&gt;1&lt;/R&gt;&lt;C&gt;1&lt;/C&gt;&lt;D xsi:type="xsd:double"&gt;0.79540473&lt;/D&gt;&lt;/FQL&gt;&lt;FQL&gt;&lt;Q&gt;VMI-US^P_BETA_LOCIDX(44831,44656,,"SPX")&lt;/Q&gt;&lt;R&gt;1&lt;/R&gt;&lt;C&gt;1&lt;/C&gt;&lt;D xsi:type="xsd:double"&gt;0.8012879&lt;/D&gt;&lt;/FQL&gt;&lt;FQL&gt;&lt;Q&gt;VMI-US^P_BETA_LOCIDX(44830,44655,,"SPX")&lt;/Q&gt;&lt;R&gt;1&lt;/R&gt;&lt;C&gt;1&lt;/C&gt;&lt;D xsi:type="xsd:double"&gt;0.7956079&lt;/D&gt;&lt;/FQL&gt;&lt;FQL&gt;&lt;Q&gt;VMI-US^P_BETA_LOCIDX(44827,44652,,"SPX")&lt;/Q&gt;&lt;R&gt;1&lt;/R&gt;&lt;C&gt;1&lt;/C&gt;&lt;D xsi:type="xsd:double"&gt;0.80366015&lt;/D&gt;&lt;/FQL&gt;&lt;FQL&gt;&lt;Q&gt;VMI-US^P_BETA_LOCIDX(44826,44651,,"SPX")&lt;/Q&gt;&lt;R&gt;1&lt;/R&gt;&lt;C&gt;1&lt;/C&gt;&lt;D xsi:type="xsd:double"&gt;0.786019&lt;/D&gt;&lt;/FQL&gt;&lt;FQL&gt;&lt;Q&gt;VMI-US^P_BETA_LOCIDX(44825,44650,,"SPX")&lt;/Q&gt;&lt;R&gt;1&lt;/R&gt;&lt;C&gt;1&lt;/C&gt;&lt;D xsi:type="xsd:double"&gt;0.7884544&lt;/D&gt;&lt;/FQL&gt;&lt;FQL&gt;&lt;Q&gt;VMI-US^P_BETA_LOCIDX(44824,44649,,"SPX")&lt;/Q&gt;&lt;R&gt;1&lt;/R&gt;&lt;C&gt;1&lt;/C&gt;&lt;D xsi:type="xsd:double"&gt;0.7851377&lt;/D&gt;&lt;/FQL&gt;&lt;FQL&gt;&lt;Q&gt;VMI-US^P_BETA_LOCIDX(44823,44648,,"SPX")&lt;/Q&gt;&lt;R&gt;1&lt;/R&gt;&lt;C&gt;1&lt;/C&gt;&lt;D xsi:type="xsd:double"&gt;0.7778154&lt;/D&gt;&lt;/FQL&gt;&lt;FQL&gt;&lt;Q&gt;VMI-US^P_BETA_LOCIDX(44820,44645,,"SPX")&lt;/Q&gt;&lt;R&gt;1&lt;/R&gt;&lt;C&gt;1&lt;/C&gt;&lt;D xsi:type="xsd:double"&gt;0.7772321&lt;/D&gt;&lt;/FQL&gt;&lt;FQL&gt;&lt;Q&gt;VMI-US^P_BETA_LOCIDX(44819,44644,,"SPX")&lt;/Q&gt;&lt;R&gt;1&lt;/R&gt;&lt;C&gt;1&lt;/C&gt;&lt;D xsi:type="xsd:double"&gt;0.76672566&lt;/D&gt;&lt;/FQL&gt;&lt;FQL&gt;&lt;Q&gt;VMI-US^P_BETA_LOCIDX(44818,44643,,"SPX")&lt;/Q&gt;&lt;R&gt;1&lt;/R&gt;&lt;C&gt;1&lt;/C&gt;&lt;D xsi:type="xsd:double"&gt;0.7706627&lt;/D&gt;&lt;/FQL&gt;&lt;FQL&gt;&lt;Q&gt;VMI-US^P_BETA_LOCIDX(44817,44642,,"SPX")&lt;/Q&gt;&lt;R&gt;1&lt;/R&gt;&lt;C&gt;1&lt;/C&gt;&lt;D xsi:type="xsd:double"&gt;0.7737832&lt;/D&gt;&lt;/FQL&gt;&lt;FQL&gt;&lt;Q&gt;VMI-US^P_BETA_LOCIDX(44816,44641,,"SPX")&lt;/Q&gt;&lt;R&gt;1&lt;/R&gt;&lt;C&gt;1&lt;/C&gt;&lt;D xsi:type="xsd:double"&gt;0.7904485&lt;/D&gt;&lt;/FQL&gt;&lt;FQL&gt;&lt;Q&gt;VMI-US^P_BETA_LOCIDX(44813,44638,,"SPX")&lt;/Q&gt;&lt;R&gt;1&lt;/R&gt;&lt;C&gt;1&lt;/C&gt;&lt;D xsi:type="xsd:double"&gt;0.7937588&lt;/D&gt;&lt;/FQL&gt;&lt;FQL&gt;&lt;Q&gt;VMI-US^P_BETA_LOCIDX(44812,44637,,"SPX")&lt;/Q&gt;&lt;R&gt;1&lt;/R&gt;&lt;C&gt;1&lt;/C&gt;&lt;D xsi:type="xsd:double"&gt;0.79526097&lt;/D&gt;&lt;/FQL&gt;&lt;FQL&gt;&lt;Q&gt;VMI-US^P_BETA_LOCIDX(44811,44636,,"SPX")&lt;/Q&gt;&lt;R&gt;1&lt;/R&gt;&lt;C&gt;1&lt;/C&gt;&lt;D xsi:type="xsd:double"&gt;0.8005281&lt;/D&gt;&lt;/FQL&gt;&lt;FQL&gt;&lt;Q&gt;VMI-US^P_BETA_LOCIDX(44810,44635,,"SPX")&lt;/Q&gt;&lt;R&gt;1&lt;/R&gt;&lt;C&gt;1&lt;/C&gt;&lt;D xsi:type="xsd:double"&gt;0.7857548&lt;/D&gt;&lt;/FQL&gt;&lt;FQL&gt;&lt;Q&gt;VMI-US^P_BETA_LOCIDX(44806,44634,,"SPX")&lt;/Q&gt;&lt;R&gt;1&lt;/R&gt;&lt;C&gt;1&lt;/C&gt;&lt;D xsi:type="xsd:double"&gt;0.78781945&lt;/D&gt;&lt;/FQL&gt;&lt;FQL&gt;&lt;Q&gt;VMI-US^P_BETA_LOCIDX(44805,44631,,"SPX")&lt;/Q&gt;&lt;R&gt;1&lt;/R&gt;&lt;C&gt;1&lt;/C&gt;&lt;D xsi:type="xsd:double"&gt;0.7822366&lt;/D&gt;&lt;/FQL&gt;&lt;FQL&gt;&lt;Q&gt;VMI-US^P_BETA_LOCIDX(44804,44630,,"SPX")&lt;/Q&gt;&lt;R&gt;1&lt;/R&gt;&lt;C&gt;1&lt;/C&gt;&lt;D xsi:type="xsd:double"&gt;0.782065&lt;/D&gt;&lt;/FQL&gt;&lt;FQL&gt;&lt;Q&gt;VMI-US^P_BETA_LOCIDX(44803,44629,,"SPX")&lt;/Q&gt;&lt;R&gt;1&lt;/R&gt;&lt;C&gt;1&lt;/C&gt;&lt;D xsi:type="xsd:double"&gt;0.77482265&lt;/D&gt;&lt;/FQL&gt;&lt;FQL&gt;&lt;Q&gt;VMI-US^P_BETA_LOCIDX(44802,44628,,"SPX")&lt;/Q&gt;&lt;R&gt;1&lt;/R&gt;&lt;C&gt;1&lt;/C&gt;&lt;D xsi:type="xsd:double"&gt;0.7682529&lt;/D&gt;&lt;/FQL&gt;&lt;FQL&gt;&lt;Q&gt;VMI-US^P_BETA_LOCIDX(44799,44627,,"SPX")&lt;/Q&gt;&lt;R&gt;1&lt;/R&gt;&lt;C&gt;1&lt;/C&gt;&lt;D xsi:type="xsd:double"&gt;0.7397139&lt;/D&gt;&lt;/FQL&gt;&lt;FQL&gt;&lt;Q&gt;VMI-US^P_BETA_LOCIDX(44798,44624,,"SPX")&lt;/Q&gt;&lt;R&gt;1&lt;/R&gt;&lt;C&gt;1&lt;/C&gt;&lt;D xsi:type="xsd:double"&gt;0.7510895&lt;/D&gt;&lt;/FQL&gt;&lt;FQL&gt;&lt;Q&gt;VMI-US^P_BETA_LOCIDX(44797,44623,,"SPX")&lt;/Q&gt;&lt;R&gt;1&lt;/R&gt;&lt;C&gt;1&lt;/C&gt;&lt;D xsi:type="xsd:double"&gt;0.7527552&lt;/D&gt;&lt;/FQL&gt;&lt;FQL&gt;&lt;Q&gt;VMI-US^P_BETA_LOCIDX(44796,44622,,"SPX")&lt;/Q&gt;&lt;R&gt;1&lt;/R&gt;&lt;C&gt;1&lt;/C&gt;&lt;D xsi:type="xsd:double"&gt;0.77100694&lt;/D&gt;&lt;/FQL&gt;&lt;FQL&gt;&lt;Q&gt;VMI-US^P_BETA_LOCIDX(44795,44621,,"SPX")&lt;/Q&gt;&lt;R&gt;1&lt;/R&gt;&lt;C&gt;1&lt;/C&gt;&lt;D xsi:type="xsd:double"&gt;0.78534925&lt;/D&gt;&lt;/FQL&gt;&lt;FQL&gt;&lt;Q&gt;VMI-US^P_BETA_LOCIDX(44792,44620,,"SPX")&lt;/Q&gt;&lt;R&gt;1&lt;/R&gt;&lt;C&gt;1&lt;/C&gt;&lt;D xsi:type="xsd:double"&gt;0.7832853&lt;/D&gt;&lt;/FQL&gt;&lt;FQL&gt;&lt;Q&gt;VMI-US^P_BETA_LOCIDX(44791,44617,,"SPX")&lt;/Q&gt;&lt;R&gt;1&lt;/R&gt;&lt;C&gt;1&lt;/C&gt;&lt;D xsi:type="xsd:double"&gt;0.77992934&lt;/D&gt;&lt;/FQL&gt;&lt;FQL&gt;&lt;Q&gt;VMI-US^P_BETA_LOCIDX(44790,44616,,"SPX")&lt;/Q&gt;&lt;R&gt;1&lt;/R&gt;&lt;C&gt;1&lt;/C&gt;&lt;D xsi:type="xsd:double"&gt;0.78367066&lt;/D&gt;&lt;/FQL&gt;&lt;FQL&gt;&lt;Q&gt;VMI-US^P_BETA_LOCIDX(44789,44615,,"SPX")&lt;/Q&gt;&lt;R&gt;1&lt;/R&gt;&lt;C&gt;1&lt;/C&gt;&lt;D xsi:type="xsd:double"&gt;0.78998566&lt;/D&gt;&lt;/FQL&gt;&lt;FQL&gt;&lt;Q&gt;VMI-US^P_BETA_LOCIDX(44788,44614,,"SPX")&lt;/Q&gt;&lt;R&gt;1&lt;/R&gt;&lt;C&gt;1&lt;/C&gt;&lt;D xsi:type="xsd:double"&gt;0.7900322&lt;/D&gt;&lt;/FQL&gt;&lt;FQL&gt;&lt;Q&gt;VMI-US^P_BETA_LOCIDX(44785,44610,,"SPX")&lt;/Q&gt;&lt;R&gt;1&lt;/R&gt;&lt;C&gt;1&lt;/C&gt;&lt;D xsi:type="xsd:double"&gt;0.7957688&lt;/D&gt;&lt;/FQL&gt;&lt;FQL&gt;&lt;Q&gt;VMI-US^P_BETA_LOCIDX(44784,44609,,"SPX")&lt;/Q&gt;&lt;R&gt;1&lt;/R&gt;&lt;C&gt;1&lt;/C&gt;&lt;D xsi:type="xsd:double"&gt;0.79172975&lt;/D&gt;&lt;/FQL&gt;&lt;FQL&gt;&lt;Q&gt;VMI-US^P_BETA_LOCIDX(44783,44608,,"SPX")&lt;/Q&gt;&lt;R&gt;1&lt;/R&gt;&lt;C&gt;1&lt;/C&gt;&lt;D xsi:type="xsd:double"&gt;0.7917951&lt;/D&gt;&lt;/FQL&gt;&lt;FQL&gt;&lt;Q&gt;VMI-US^P_BETA_LOCIDX(44782,44607,,"SPX")&lt;/Q&gt;&lt;R&gt;1&lt;/R&gt;&lt;C&gt;1&lt;/C&gt;&lt;D xsi:type="xsd:double"&gt;0.7989376&lt;/D&gt;&lt;/FQL&gt;&lt;FQL&gt;&lt;Q&gt;VMI-US^P_BETA_LOCIDX(44781,44606,,"SPX")&lt;/Q&gt;&lt;R&gt;1&lt;/R&gt;&lt;C&gt;1&lt;/C&gt;&lt;D xsi:type="xsd:double"&gt;0.79799753&lt;/D&gt;&lt;/FQL&gt;&lt;FQL&gt;&lt;Q&gt;VMI-US^P_BETA_LOCIDX(44778,44603,,"SPX")&lt;/Q&gt;&lt;R&gt;1&lt;/R&gt;&lt;C&gt;1&lt;/C&gt;&lt;D xsi:type="xsd:double"&gt;0.7967641&lt;/D&gt;&lt;/FQL&gt;&lt;FQL&gt;&lt;Q&gt;VMI-US^P_BETA_LOCIDX(44777,44602,,"SPX")&lt;/Q&gt;&lt;R&gt;1&lt;/R&gt;&lt;C&gt;1&lt;/C&gt;&lt;D xsi:type="xsd:double"&gt;0.79935694&lt;/D&gt;&lt;/FQL&gt;&lt;FQL&gt;&lt;Q&gt;VMI-US^P_BETA_LOCIDX(44776,44601,,"SPX")&lt;/Q&gt;&lt;R&gt;1&lt;/R&gt;&lt;C&gt;1&lt;/C&gt;&lt;D xsi:type="xsd:double"&gt;0.807957&lt;/D&gt;&lt;/FQL&gt;&lt;FQL&gt;&lt;Q&gt;VMI-US^P_BETA_LOCIDX(44775,44600,,"SPX")&lt;/Q&gt;&lt;R&gt;1&lt;/R&gt;&lt;C&gt;1&lt;/C&gt;&lt;D xsi:type="xsd:double"&gt;0.81659675&lt;/D&gt;&lt;/FQL&gt;&lt;FQL&gt;&lt;Q&gt;VMI-US^P_BETA_LOCIDX(44774,44599,,"SPX")&lt;/Q&gt;&lt;R&gt;1&lt;/R&gt;&lt;C&gt;1&lt;/C&gt;&lt;D xsi:type="xsd:double"&gt;0.81523633&lt;/D&gt;&lt;/FQL&gt;&lt;FQL&gt;&lt;Q&gt;VMI-US^P_BETA_LOCIDX(45845,45670,,"SPX")&lt;/Q&gt;&lt;R&gt;1&lt;/R&gt;&lt;C&gt;1&lt;/C&gt;&lt;D xsi:type="xsd:double"&gt;1.0332052&lt;/D&gt;&lt;/FQL&gt;&lt;FQL&gt;&lt;Q&gt;AYI-US^P_BETA_LOCIDX(45841,45665,,"SPX")&lt;/Q&gt;&lt;R&gt;1&lt;/R&gt;&lt;C&gt;1&lt;/C&gt;&lt;D xsi:type="xsd:double"&gt;1.1982236&lt;/D&gt;&lt;/FQL&gt;&lt;FQL&gt;&lt;Q&gt;AYI-US^P_BETA_LOCIDX(45840,45664,,"SPX")&lt;/Q&gt;&lt;R&gt;1&lt;/R&gt;&lt;C&gt;1&lt;/C&gt;&lt;D xsi:type="xsd:double"&gt;1.2007276&lt;/D&gt;&lt;/FQL&gt;&lt;FQL&gt;&lt;Q&gt;AYI-US^P_BETA_LOCIDX(45839,45663,,"SPX")&lt;/Q&gt;&lt;R&gt;1&lt;/R&gt;&lt;C&gt;1&lt;/C&gt;&lt;D xsi:type="xsd:double"&gt;1.2041556&lt;/D&gt;&lt;/FQL&gt;&lt;FQL&gt;&lt;Q&gt;AYI-US^P_BETA_LOCIDX(45838,45660,,"SPX")&lt;/Q&gt;&lt;R&gt;1&lt;/R&gt;&lt;C&gt;1&lt;/C&gt;&lt;D xsi:type="xsd:double"&gt;1.2039014&lt;/D&gt;&lt;/FQL&gt;&lt;FQL&gt;&lt;Q&gt;AYI-US^P_BETA_LOCIDX(45835,45659,,"SPX")&lt;/Q&gt;&lt;R&gt;1&lt;/R&gt;&lt;C&gt;1&lt;/C&gt;&lt;D xsi:type="xsd:double"&gt;1.2051163&lt;/D&gt;&lt;/FQL&gt;&lt;FQL&gt;&lt;Q&gt;AYI-US^P_BETA_LOCIDX(45834,45657,,"SPX")&lt;/Q&gt;&lt;R&gt;1&lt;/R&gt;&lt;C&gt;1&lt;/C&gt;&lt;D xsi:type="xsd:double"&gt;1.2068954&lt;/D&gt;&lt;/FQL&gt;&lt;FQL&gt;&lt;Q&gt;AYI-US^P_BETA_LOCIDX(45833,45656,,"SPX")&lt;/Q&gt;&lt;R&gt;1&lt;/R&gt;&lt;C&gt;1&lt;/C&gt;&lt;D xsi:type="xsd:double"&gt;1.1935973&lt;/D&gt;&lt;/FQL&gt;&lt;FQL&gt;&lt;Q&gt;AYI-US^P_BETA_LOCIDX(45832,45653,,"SPX")&lt;/Q&gt;&lt;R&gt;1&lt;/R&gt;&lt;C&gt;1&lt;/C&gt;&lt;D xsi:type="xsd:double"&gt;1.1951578&lt;/D&gt;&lt;/FQL&gt;&lt;FQL&gt;&lt;Q&gt;AYI-US^P_BETA_LOCIDX(45831,45652,,"SPX")&lt;/Q&gt;&lt;R&gt;1&lt;/R&gt;&lt;C&gt;1&lt;/C&gt;&lt;D xsi:type="xsd:double"&gt;1.1951448&lt;/D&gt;&lt;/FQL&gt;&lt;FQL&gt;&lt;Q&gt;AYI-US^P_BETA_LOCIDX(45828,45650,,"SPX")&lt;/Q&gt;&lt;R&gt;1&lt;/R&gt;&lt;C&gt;1&lt;/C&gt;&lt;D xsi:type="xsd:double"&gt;1.1856611&lt;/D&gt;&lt;/FQL&gt;&lt;FQL&gt;&lt;Q&gt;AYI-US^P_BETA_LOCIDX(45826,45649,,"SPX")&lt;/Q&gt;&lt;R&gt;1&lt;/R&gt;&lt;C&gt;1&lt;/C&gt;&lt;D xsi:type="xsd:double"&gt;1.1824071&lt;/D&gt;&lt;/FQL&gt;&lt;FQL&gt;&lt;Q&gt;AYI-US^P_BETA_LOCIDX(45825,45646,,"SPX")&lt;/Q&gt;&lt;R&gt;1&lt;/R&gt;&lt;C&gt;1&lt;/C&gt;&lt;D xsi:type="xsd:double"&gt;1.1783092&lt;/D&gt;&lt;/FQL&gt;&lt;FQL&gt;&lt;Q&gt;AYI-US^P_BETA_LOCIDX(45824,45645,,"SPX")&lt;/Q&gt;&lt;R&gt;1&lt;/R&gt;&lt;C&gt;1&lt;/C&gt;&lt;D xsi:type="xsd:double"&gt;1.1840444&lt;/D&gt;&lt;/FQL&gt;&lt;FQL&gt;&lt;Q&gt;AYI-US^P_BETA_LOCIDX(45821,45644,,"SPX")&lt;/Q&gt;&lt;R&gt;1&lt;/R&gt;&lt;C&gt;1&lt;/C&gt;&lt;D xsi:type="xsd:double"&gt;1.1873641&lt;/D&gt;&lt;/FQL&gt;&lt;FQL&gt;&lt;Q&gt;AYI-US^P_BETA_LOCIDX(45820,45643,,"SPX")&lt;/Q&gt;&lt;R&gt;1&lt;/R&gt;&lt;C&gt;1&lt;/C&gt;&lt;D xsi:type="xsd:double"&gt;1.1891646&lt;/D&gt;&lt;/FQL&gt;&lt;FQL&gt;&lt;Q&gt;AYI-US^P_BETA_LOCIDX(45819,45642,,"SPX")&lt;/Q&gt;&lt;R&gt;1&lt;/R&gt;&lt;C&gt;1&lt;/C&gt;&lt;D xsi:type="xsd:double"&gt;1.1916214999999999&lt;/D&gt;&lt;/FQL&gt;&lt;FQL&gt;&lt;Q&gt;AYI-US^P_BETA_LOCIDX(45818,45639,,"SPX")&lt;/Q&gt;&lt;R&gt;1&lt;/R&gt;&lt;C&gt;1&lt;/C&gt;&lt;D xsi:type="xsd:double"&gt;1.1913953&lt;/D&gt;&lt;/FQL&gt;&lt;FQL&gt;&lt;Q&gt;AYI-US^P_BETA_LOCIDX(45817,45638,,"SPX")&lt;/Q&gt;&lt;R&gt;1&lt;/R&gt;&lt;C&gt;1&lt;/C&gt;&lt;D xsi:type="xsd:double"&gt;1.1868324&lt;/D&gt;&lt;/FQL&gt;&lt;FQL&gt;&lt;Q&gt;AYI-US^P_BETA_LOCIDX(45814,45637,,"SPX")&lt;/Q&gt;&lt;R&gt;1&lt;/R&gt;&lt;C&gt;1&lt;/C&gt;&lt;D xsi:type="xsd:double"&gt;1.1881894&lt;/D&gt;&lt;/FQL&gt;&lt;FQL&gt;&lt;Q&gt;AYI-US^P_BETA_LOCIDX(45813,45636,,"SPX")&lt;/Q&gt;&lt;R&gt;1&lt;/R&gt;&lt;C&gt;1&lt;/C&gt;&lt;D xsi:type="xsd:double"&gt;1.1859473&lt;/D&gt;&lt;/FQL&gt;&lt;FQL&gt;&lt;Q&gt;AYI-US^P_BETA_LOCIDX(45812,45635,,"SPX")&lt;/Q&gt;&lt;R&gt;1&lt;/R&gt;&lt;C&gt;1&lt;/C&gt;&lt;D xsi:type="xsd:double"&gt;1.1886083&lt;/D&gt;&lt;/FQL&gt;&lt;FQL&gt;&lt;Q&gt;AYI-US^P_BETA_LOCIDX(45811,45632,,"SPX")&lt;/Q&gt;&lt;R&gt;1&lt;/R&gt;&lt;C&gt;1&lt;/C&gt;&lt;D xsi:type="xsd:double"&gt;1.188818&lt;/D&gt;&lt;/FQL&gt;&lt;FQL&gt;&lt;Q&gt;AYI-US^P_BETA_LOCIDX(45810,45631,,"SPX")&lt;/Q&gt;&lt;R&gt;1&lt;/R&gt;&lt;C&gt;1&lt;/C&gt;&lt;D xsi:type="xsd:double"&gt;1.1841216&lt;/D&gt;&lt;/FQL&gt;&lt;FQL&gt;&lt;Q&gt;AYI-US^P_BETA_LOCIDX(45807,45630,,"SPX")&lt;/Q&gt;&lt;R&gt;1&lt;/R&gt;&lt;C&gt;1&lt;/C&gt;&lt;D xsi:type="xsd:double"&gt;1.1876265&lt;/D&gt;&lt;/FQL&gt;&lt;FQL&gt;&lt;Q&gt;AYI-US^P_BETA_LOCIDX(45806,45629,,"SPX")&lt;/Q&gt;&lt;R&gt;1&lt;/R&gt;&lt;C&gt;1&lt;/C&gt;&lt;D xsi:type="xsd:double"&gt;1.1877939&lt;/D&gt;&lt;/FQL&gt;&lt;FQL&gt;&lt;Q&gt;AYI-US^P_BETA_LOCIDX(45805,45628,,"SPX")&lt;/Q&gt;&lt;R&gt;1&lt;/R&gt;&lt;C&gt;1&lt;/C&gt;&lt;D xsi:type="xsd:double"&gt;1.1884811&lt;/D&gt;&lt;/FQL&gt;&lt;FQL&gt;&lt;Q&gt;AYI-US^P_BETA_LOCIDX(45804,45625,,"SPX")&lt;/Q&gt;&lt;R&gt;1&lt;/R&gt;&lt;C&gt;1&lt;/C&gt;&lt;D xsi:type="xsd:double"&gt;1.1875517&lt;/D&gt;&lt;/FQL&gt;&lt;FQL&gt;&lt;Q&gt;AYI-US^P_BETA_LOCIDX(45800,45623,,"SPX")&lt;/Q&gt;&lt;R&gt;1&lt;/R&gt;&lt;C&gt;1&lt;/C&gt;&lt;D xsi:type="xsd:double"&gt;1.1934011&lt;/D&gt;&lt;/FQL&gt;&lt;FQL&gt;&lt;Q&gt;AYI-US^P_BETA_LOCIDX(45799,45622,,"SPX")&lt;/Q&gt;&lt;R&gt;1&lt;/R&gt;&lt;C&gt;1&lt;/C&gt;&lt;D xsi:type="xsd:double"&gt;1.18861&lt;/D&gt;&lt;/FQL&gt;&lt;FQL&gt;&lt;Q&gt;AYI-US^P_BETA_LOCIDX(45798,45621,,"SPX")&lt;/Q&gt;&lt;R&gt;1&lt;/R&gt;&lt;C&gt;1&lt;/C&gt;&lt;D xsi:type="xsd:double"&gt;1.1896149&lt;/D&gt;&lt;/FQL&gt;&lt;FQL&gt;&lt;Q&gt;AYI-US^P_BETA_LOCIDX(45797,45618,,"SPX")&lt;/Q&gt;&lt;R&gt;1&lt;/R&gt;&lt;C&gt;1&lt;/C&gt;&lt;D xsi:type="xsd:double"&gt;1.1859405&lt;/D&gt;&lt;/FQL&gt;&lt;FQL&gt;&lt;Q&gt;AYI-US^P_BETA_LOCIDX(45796,45617,,"SPX")&lt;/Q&gt;&lt;R&gt;1&lt;/R&gt;&lt;C&gt;1&lt;/C&gt;&lt;D xsi:type="xsd:double"&gt;1.1878507&lt;/D&gt;&lt;/FQL&gt;&lt;FQL&gt;&lt;Q&gt;AYI-US^P_BETA_LOCIDX(45793,45616,,"SPX")&lt;/Q&gt;&lt;R&gt;1&lt;/R&gt;&lt;C&gt;1&lt;/C&gt;&lt;D xsi:type="xsd:double"&gt;1.1880486&lt;/D&gt;&lt;/FQL&gt;&lt;FQL&gt;&lt;Q&gt;AYI-US^P_BETA_LOCIDX(45792,45615,,"SPX")&lt;/Q&gt;&lt;R&gt;1&lt;/R&gt;&lt;C&gt;1&lt;/C&gt;&lt;D xsi:type="xsd:double"&gt;1.1854908&lt;/D&gt;&lt;/FQL&gt;&lt;FQL&gt;&lt;Q&gt;AYI-US^P_BETA_LOCIDX(45791,45614,,"SPX")&lt;/Q&gt;&lt;R&gt;1&lt;/R&gt;&lt;C&gt;1&lt;/C&gt;&lt;D xsi:type="xsd:double"&gt;1.1847136&lt;/D&gt;&lt;/FQL&gt;&lt;FQL&gt;&lt;Q&gt;AYI-US^P_BETA_LOCIDX(45790,45611,,"SPX")&lt;/Q&gt;&lt;R&gt;1&lt;/R&gt;&lt;C&gt;1&lt;/C&gt;&lt;D xsi:type="xsd:double"&gt;1.182389&lt;/D&gt;&lt;/FQL&gt;&lt;FQL&gt;&lt;Q&gt;AYI-US^P_BETA_LOCIDX(45789,45610,,"SPX")&lt;/Q&gt;&lt;R&gt;1&lt;/R&gt;&lt;C&gt;1&lt;/C&gt;&lt;D xsi:type="xsd:double"&gt;1.1806812&lt;/D&gt;&lt;/FQL&gt;&lt;FQL&gt;&lt;Q&gt;AYI-US^P_BETA_LOCIDX(45786,45609,,"SPX")&lt;/Q&gt;&lt;R&gt;1&lt;/R&gt;&lt;C&gt;1&lt;/C&gt;&lt;D xsi:type="xsd:double"&gt;1.1564243&lt;/D&gt;&lt;/FQL&gt;&lt;FQL&gt;&lt;Q&gt;AYI-US^P_BETA_LOCIDX(45785,45608,,"SPX")&lt;/Q&gt;&lt;R&gt;1&lt;/R&gt;&lt;C&gt;1&lt;/C&gt;&lt;D xsi:type="xsd:double"&gt;1.1564553&lt;/D&gt;&lt;/FQL&gt;&lt;FQL&gt;&lt;Q&gt;AYI-US^P_BETA_LOCIDX(45784,45607,,"SPX")&lt;/Q&gt;&lt;R&gt;1&lt;/R&gt;&lt;C&gt;1&lt;/C&gt;&lt;D xsi:type="xsd:double"&gt;1.1535614&lt;/D&gt;&lt;/FQL&gt;&lt;FQL&gt;&lt;Q&gt;AYI-US^P_BETA_LOCIDX(45783,45604,,"SPX")&lt;/Q&gt;&lt;R&gt;1&lt;/R&gt;&lt;C&gt;1&lt;/C&gt;&lt;D xsi:type="xsd:double"&gt;1.1556643&lt;/D&gt;&lt;/FQL&gt;&lt;FQL&gt;&lt;Q&gt;AYI-US^P_BETA_LOCIDX(45782,45603,,"SPX")&lt;/Q&gt;&lt;R&gt;1&lt;/R&gt;&lt;C&gt;1&lt;/C&gt;&lt;D xsi:type="xsd:double"&gt;1.1572019&lt;/D&gt;&lt;/FQL&gt;&lt;FQL&gt;&lt;Q&gt;AYI-US^P_BETA_LOCIDX(45779,45602,,"SPX")&lt;/Q&gt;&lt;R&gt;1&lt;/R&gt;&lt;C&gt;1&lt;/C&gt;&lt;D xsi:type="xsd:double"&gt;1.1513946&lt;/D&gt;&lt;/FQL&gt;&lt;FQL&gt;&lt;Q&gt;AYI-US^P_BETA_LOCIDX(45778,45601,,"SPX")&lt;/Q&gt;&lt;R&gt;1&lt;/R&gt;&lt;C&gt;1&lt;/C&gt;&lt;D xsi:type="xsd:double"&gt;1.1410142&lt;/D&gt;&lt;/FQL&gt;&lt;FQL&gt;&lt;Q&gt;AYI-US^P_BETA_LOCIDX(45777,45600,,"SPX")&lt;/Q&gt;&lt;R&gt;1&lt;/R&gt;&lt;C&gt;1&lt;/C&gt;&lt;D xsi:type="xsd:double"&gt;1.1432165&lt;/D&gt;&lt;/FQL&gt;&lt;FQL&gt;&lt;Q&gt;AYI-US^P_BETA_LOCIDX(45776,45597,,"SPX")&lt;/Q&gt;&lt;R&gt;1&lt;/R&gt;&lt;C&gt;1&lt;/C&gt;&lt;D xsi:type="xsd:double"&gt;1.1451066&lt;/D&gt;&lt;/FQL&gt;&lt;FQL&gt;&lt;Q&gt;AYI-US^P_BETA_LOCIDX(45775,45596,,"SPX")&lt;/Q&gt;&lt;R&gt;1&lt;/R&gt;&lt;C&gt;1&lt;/C&gt;&lt;D xsi:type="xsd:double"&gt;1.1349244&lt;/D&gt;&lt;/FQL&gt;&lt;FQL&gt;&lt;Q&gt;AYI-US^P_BETA_LOCIDX(45772,45595,,"SPX")&lt;/Q&gt;&lt;R&gt;1&lt;/R&gt;&lt;C&gt;1&lt;/C&gt;&lt;D xsi:type="xsd:double"&gt;1.1350092&lt;/D&gt;&lt;/FQL&gt;&lt;FQL&gt;&lt;Q&gt;AYI-US^P_BETA_LOCIDX(45771,45594,,"SPX")&lt;/Q&gt;&lt;R&gt;1&lt;/R&gt;&lt;C&gt;1&lt;/C&gt;&lt;D xsi:type="xsd:double"&gt;1.13698&lt;/D&gt;&lt;/FQL&gt;&lt;FQL&gt;&lt;Q&gt;AYI-US^P_BETA_LOCIDX(45770,45593,,"SPX")&lt;/Q&gt;&lt;R&gt;1&lt;/R&gt;&lt;C&gt;1&lt;/C&gt;&lt;D xsi:type="xsd:double"&gt;1.1249497&lt;/D&gt;&lt;/FQL&gt;&lt;FQL&gt;&lt;Q&gt;AYI-US^P_BETA_LOCIDX(45769,45590,,"SPX")&lt;/Q&gt;&lt;R&gt;1&lt;/R&gt;&lt;C&gt;1&lt;/C&gt;&lt;D xsi:type="xsd:double"&gt;1.1301066&lt;/D&gt;&lt;/FQL&gt;&lt;FQL&gt;&lt;Q&gt;AYI-US^P_BETA_LOCIDX(45768,45589,,"SPX")&lt;/Q&gt;&lt;R&gt;1&lt;/R&gt;&lt;C&gt;1&lt;/C&gt;&lt;D xsi:type="xsd:double"&gt;1.1434065&lt;/D&gt;&lt;/FQL&gt;&lt;FQL&gt;&lt;Q&gt;AYI-US^P_BETA_LOCIDX(45764,45588,,"SPX")&lt;/Q&gt;&lt;R&gt;1&lt;/R&gt;&lt;C&gt;1&lt;/C&gt;&lt;D xsi:type="xsd:double"&gt;1.1613889&lt;/D&gt;&lt;/FQL&gt;&lt;FQL&gt;&lt;Q&gt;AYI-US^P_BETA_LOCIDX(45763,45587,,"SPX")&lt;/Q&gt;&lt;R&gt;1&lt;/R&gt;&lt;C&gt;1&lt;/C&gt;&lt;D xsi:type="xsd:double"&gt;1.161038&lt;/D&gt;&lt;/FQL&gt;&lt;FQL&gt;&lt;Q&gt;AYI-US^P_BETA_LOCIDX(45762,45586,,"SPX")&lt;/Q&gt;&lt;R&gt;1&lt;/R&gt;&lt;C&gt;1&lt;/C&gt;&lt;D xsi:type="xsd:double"&gt;1.1590738&lt;/D&gt;&lt;/FQL&gt;&lt;FQL&gt;&lt;Q&gt;AYI-US^P_BETA_LOCIDX(45761,45583,,"SPX")&lt;/Q&gt;&lt;R&gt;1&lt;/R&gt;&lt;C&gt;1&lt;/C&gt;&lt;D xsi:type="xsd:double"&gt;1.1585971&lt;/D&gt;&lt;/FQL&gt;&lt;FQL&gt;&lt;Q&gt;AYI-US^P_BETA_LOCIDX(45758,45582,,"SPX")&lt;/Q&gt;&lt;R&gt;1&lt;/R&gt;&lt;C&gt;1&lt;/C&gt;&lt;D xsi:type="xsd:double"&gt;1.1624832&lt;/D&gt;&lt;/FQL&gt;&lt;FQL&gt;&lt;Q&gt;AYI-US^P_BETA_LOCIDX(45757,45581,,"SPX")&lt;/Q&gt;&lt;R&gt;1&lt;/R&gt;&lt;C&gt;1&lt;/C&gt;&lt;D xsi:type="xsd:double"&gt;1.1579674&lt;/D&gt;&lt;/FQL&gt;&lt;FQL&gt;&lt;Q&gt;AYI-US^P_BETA_LOCIDX(45756,45580,,"SPX")&lt;/Q&gt;&lt;R&gt;1&lt;/R&gt;&lt;C&gt;1&lt;/C&gt;&lt;D xsi:type="xsd:double"&gt;1.1483964&lt;/D&gt;&lt;/FQL&gt;&lt;FQL&gt;&lt;Q&gt;AYI-US^P_BETA_LOCIDX(45755,45579,,"SPX")&lt;/Q&gt;&lt;R&gt;1&lt;/R&gt;&lt;C&gt;1&lt;/C&gt;&lt;D xsi:type="xsd:double"&gt;1.188709&lt;/D&gt;&lt;/FQL&gt;&lt;FQL&gt;&lt;Q&gt;AYI-US^P_BETA_LOCIDX(45754,45576,,"SPX")&lt;/Q&gt;&lt;R&gt;1&lt;/R&gt;&lt;C&gt;1&lt;/C&gt;&lt;D xsi:type="xsd:double"&gt;1.2003672&lt;/D&gt;&lt;/FQL&gt;&lt;FQL&gt;&lt;Q&gt;AYI-US^P_BETA_LOCIDX(45751,45575,,"SPX")&lt;/Q&gt;&lt;R&gt;1&lt;/R&gt;&lt;C&gt;1&lt;/C&gt;&lt;D xsi:type="xsd:double"&gt;1.1994443&lt;/D&gt;&lt;/FQL&gt;&lt;FQL&gt;&lt;Q&gt;AYI-US^P_BETA_LOCIDX(45750,45574,,"SPX")&lt;/Q&gt;&lt;R&gt;1&lt;/R&gt;&lt;C&gt;1&lt;/C&gt;&lt;D xsi:type="xsd:double"&gt;1.0996646&lt;/D&gt;&lt;/FQL&gt;&lt;FQL&gt;&lt;Q&gt;AYI-US^P_BETA_LOCIDX(45749,45573,,"SPX")&lt;/Q&gt;&lt;R&gt;1&lt;/R&gt;&lt;C&gt;1&lt;/C&gt;&lt;D xsi:type="xsd:double"&gt;1.1767403&lt;/D&gt;&lt;/FQL&gt;&lt;FQL&gt;&lt;Q&gt;AYI-US^P_BETA_LOCIDX(45748,45572,,"SPX")&lt;/Q&gt;&lt;R&gt;1&lt;/R&gt;&lt;C&gt;1&lt;/C&gt;&lt;D xsi:type="xsd:double"&gt;1.1595341&lt;/D&gt;&lt;/FQL&gt;&lt;FQL&gt;&lt;Q&gt;AYI-US^P_BETA_LOCIDX(45747,45569,,"SPX")&lt;/Q&gt;&lt;R&gt;1&lt;/R&gt;&lt;C&gt;1&lt;/C&gt;&lt;D xsi:type="xsd:double"&gt;1.1782131&lt;/D&gt;&lt;/FQL&gt;&lt;FQL&gt;&lt;Q&gt;AYI-US^P_BETA_LOCIDX(45744,45568,,"SPX")&lt;/Q&gt;&lt;R&gt;1&lt;/R&gt;&lt;C&gt;1&lt;/C&gt;&lt;D xsi:type="xsd:double"&gt;1.1791586&lt;/D&gt;&lt;/FQL&gt;&lt;FQL&gt;&lt;Q&gt;AYI-US^P_BETA_LOCIDX(45743,45567,,"SPX")&lt;/Q&gt;&lt;R&gt;1&lt;/R&gt;&lt;C&gt;1&lt;/C&gt;&lt;D xsi:type="xsd:double"&gt;1.1837218&lt;/D&gt;&lt;/FQL&gt;&lt;FQL&gt;&lt;Q&gt;AYI-US^P_BETA_LOCIDX(45742,45566,,"SPX")&lt;/Q&gt;&lt;R&gt;1&lt;/R&gt;&lt;C&gt;1&lt;/C&gt;&lt;D xsi:type="xsd:double"&gt;1.0878607&lt;/D&gt;&lt;/FQL&gt;&lt;FQL&gt;&lt;Q&gt;AYI-US^P_BETA_LOCIDX(45741,45565,,"SPX")&lt;/Q&gt;&lt;R&gt;1&lt;/R&gt;&lt;C&gt;1&lt;/C&gt;&lt;D xsi:type="xsd:double"&gt;1.0908285&lt;/D&gt;&lt;/FQL&gt;&lt;FQL&gt;&lt;Q&gt;AYI-US^P_BETA_LOCIDX(45740,45562,,"SPX")&lt;/Q&gt;&lt;R&gt;1&lt;/R&gt;&lt;C&gt;1&lt;/C&gt;&lt;D xsi:type="xsd:double"&gt;1.0908105&lt;/D&gt;&lt;/FQL&gt;&lt;FQL&gt;&lt;Q&gt;AYI-US^P_BETA_LOCIDX(45737,45561,,"SPX")&lt;/Q&gt;&lt;R&gt;1&lt;/R&gt;&lt;C&gt;1&lt;/C&gt;&lt;D xsi:type="xsd:double"&gt;1.0481731&lt;/D&gt;&lt;/FQL&gt;&lt;FQL&gt;&lt;Q&gt;AYI-US^P_BETA_LOCIDX(45736,45560,,"SPX")&lt;/Q&gt;&lt;R&gt;1&lt;/R&gt;&lt;C&gt;1&lt;/C&gt;&lt;D xsi:type="xsd:double"&gt;1.0519414&lt;/D&gt;&lt;/FQL&gt;&lt;FQL&gt;&lt;Q&gt;AYI-US^P_BETA_LOCIDX(45735,45559,,"SPX")&lt;/Q&gt;&lt;R&gt;1&lt;/R&gt;&lt;C&gt;1&lt;/C&gt;&lt;D xsi:type="xsd:double"&gt;1.0528806&lt;/D&gt;&lt;/FQL&gt;&lt;FQL&gt;&lt;Q&gt;AYI-US^P_BETA_LOCIDX(45734,45558,,"SPX")&lt;/Q&gt;&lt;R&gt;1&lt;/R&gt;&lt;C&gt;1&lt;/C&gt;&lt;D xsi:type="xsd:double"&gt;1.0523851&lt;/D&gt;&lt;/FQL&gt;&lt;FQL&gt;&lt;Q&gt;AYI-US^P_BETA_LOCIDX(45733,45555,,"SPX")&lt;/Q&gt;&lt;R&gt;1&lt;/R&gt;&lt;C&gt;1&lt;/C&gt;&lt;D xsi:type="xsd:double"&gt;1.0515746&lt;/D&gt;&lt;/FQL&gt;&lt;FQL&gt;&lt;Q&gt;AYI-US^P_BETA_LOCIDX(45730,45554,,"SPX")&lt;/Q&gt;&lt;R&gt;1&lt;/R&gt;&lt;C&gt;1&lt;/C&gt;&lt;D xsi:type="xsd:double"&gt;1.0399365&lt;/D&gt;&lt;/FQL&gt;&lt;FQL&gt;&lt;Q&gt;AYI-US^P_BETA_LOCIDX(45729,45553,,"SPX")&lt;/Q&gt;&lt;R&gt;1&lt;/R&gt;&lt;C&gt;1&lt;/C&gt;&lt;D xsi:type="xsd:double"&gt;1.0424712&lt;/D&gt;&lt;/FQL&gt;&lt;FQL&gt;&lt;Q&gt;AYI-US^P_BETA_LOCIDX(45728,45552,,"SPX")&lt;/Q&gt;&lt;R&gt;1&lt;/R&gt;&lt;C&gt;1&lt;/C&gt;&lt;D xsi:type="xsd:double"&gt;1.0287406&lt;/D&gt;&lt;/FQL&gt;&lt;FQL&gt;&lt;Q&gt;AYI-US^P_BETA_LOCIDX(45727,45551,,"SPX")&lt;/Q&gt;&lt;R&gt;1&lt;/R&gt;&lt;C&gt;1&lt;/C&gt;&lt;D xsi:type="xsd:double"&gt;1.0425382&lt;/D&gt;&lt;/FQL&gt;&lt;FQL&gt;&lt;Q&gt;AYI-US^P_BETA_LOCIDX(45726,45548,,"SPX")&lt;/Q&gt;&lt;R&gt;1&lt;/R&gt;&lt;C&gt;1&lt;/C&gt;&lt;D xsi:type="xsd:double"&gt;1.0553426&lt;/D&gt;&lt;/FQL&gt;&lt;FQL&gt;&lt;Q&gt;AYI-US^P_BETA_LOCIDX(45723,45547,,"SPX")&lt;/Q&gt;&lt;R&gt;1&lt;/R&gt;&lt;C&gt;1&lt;/C&gt;&lt;D xsi:type="xsd:double"&gt;0.99070543&lt;/D&gt;&lt;/FQL&gt;&lt;FQL&gt;&lt;Q&gt;AYI-US^P_BETA_LOCIDX(45722,45546,,"SPX")&lt;/Q&gt;&lt;R&gt;1&lt;/R&gt;&lt;C&gt;1&lt;/C&gt;&lt;D xsi:type="xsd:double"&gt;0.9594136&lt;/D&gt;&lt;/FQL&gt;&lt;FQL&gt;&lt;Q&gt;AYI-US^P_BETA_LOCIDX(45721,45545,,"SPX")&lt;/Q&gt;&lt;R&gt;1&lt;/R&gt;&lt;C&gt;1&lt;/C&gt;&lt;D xsi:type="xsd:double"&gt;1.0308044&lt;/D&gt;&lt;/FQL&gt;&lt;FQL&gt;&lt;Q&gt;AYI-US^P_BETA_LOCIDX(45720,45544,,"SPX")&lt;/Q&gt;&lt;R&gt;1&lt;/R&gt;&lt;C&gt;1&lt;/C&gt;&lt;D xsi:type="xsd:double"&gt;1.0523573&lt;/D&gt;&lt;/FQL&gt;&lt;FQL&gt;&lt;Q&gt;AYI-US^P_BETA_LOCIDX(45719,45541,,"SPX")&lt;/Q&gt;&lt;R&gt;1&lt;/R&gt;&lt;C&gt;1&lt;/C&gt;&lt;D xsi:type="xsd:double"&gt;0.95861626&lt;/D&gt;&lt;/FQL&gt;&lt;FQL&gt;&lt;Q&gt;AYI-US^P_BETA_LOCIDX(45716,45540,,"SPX")&lt;/Q&gt;&lt;R&gt;1&lt;/R&gt;&lt;C&gt;1&lt;/C&gt;&lt;D xsi:type="xsd:double"&gt;0.91055185&lt;/D&gt;&lt;/FQL&gt;&lt;FQL&gt;&lt;Q&gt;AYI-US^P_BETA_LOCIDX(45715,45539,,"SPX")&lt;/Q&gt;&lt;R&gt;1&lt;/R&gt;&lt;C&gt;1&lt;/C&gt;&lt;D xsi:type="xsd:double"&gt;0.9546549&lt;/D&gt;&lt;/FQL&gt;&lt;FQL&gt;&lt;Q&gt;AYI-US^P_BETA_LOCIDX(45714,45538,,"SPX")&lt;/Q&gt;&lt;R&gt;1&lt;/R&gt;&lt;C&gt;1&lt;/C&gt;&lt;D xsi:type="xsd:double"&gt;0.9517462&lt;/D&gt;&lt;/FQL&gt;&lt;FQL&gt;&lt;Q&gt;AYI-US^P_BETA_LOCIDX(45713,45534,,"SPX")&lt;/Q&gt;&lt;R&gt;1&lt;/R&gt;&lt;C&gt;1&lt;/C&gt;&lt;D xsi:type="xsd:double"&gt;0.9624787&lt;/D&gt;&lt;/FQL&gt;&lt;FQL&gt;&lt;Q&gt;AYI-US^P_BETA_LOCIDX(45712,45533,,"SPX")&lt;/Q&gt;&lt;R&gt;1&lt;/R&gt;&lt;C&gt;1&lt;/C&gt;&lt;D xsi:type="xsd:double"&gt;0.968891&lt;/D&gt;&lt;/FQL&gt;&lt;FQL&gt;&lt;Q&gt;AYI-US^P_BETA_LOCIDX(45709,45532,,"SPX")&lt;/Q&gt;&lt;R&gt;1&lt;/R&gt;&lt;C&gt;1&lt;/C&gt;&lt;D xsi:type="xsd:double"&gt;0.9652744&lt;/D&gt;&lt;/FQL&gt;&lt;FQL&gt;&lt;Q&gt;AYI-US^P_BETA_LOCIDX(45708,45531,,"SPX")&lt;/Q&gt;&lt;R&gt;1&lt;/R&gt;&lt;C&gt;1&lt;/C&gt;&lt;D xsi:type="xsd:double"&gt;0.9113774&lt;/D&gt;&lt;/FQL&gt;&lt;FQL&gt;&lt;Q&gt;AYI-US^P_BETA_LOCIDX(45707,45530,,"SPX")&lt;/Q&gt;&lt;R&gt;1&lt;/R&gt;&lt;C&gt;1&lt;/C&gt;&lt;D xsi:type="xsd:double"&gt;0.8949756&lt;/D&gt;&lt;/FQL&gt;&lt;FQL&gt;&lt;Q&gt;AYI-US^P_BETA_LOCIDX(45706,45527,,"SPX")&lt;/Q&gt;&lt;R&gt;1&lt;/R&gt;&lt;C&gt;1&lt;/C&gt;&lt;D xsi:type="xsd:double"&gt;0.92497945&lt;/D&gt;&lt;/FQL&gt;&lt;FQL&gt;&lt;Q&gt;AYI-US^P_BETA_LOCIDX(45702,45526,,"SPX")&lt;/Q&gt;&lt;R&gt;1&lt;/R&gt;&lt;C&gt;1&lt;/C&gt;&lt;D xsi:type="xsd:double"&gt;0.9172729&lt;/D&gt;&lt;/FQL&gt;&lt;FQL&gt;&lt;Q&gt;AYI-US^P_BETA_LOCIDX(45701,45525,,"SPX")&lt;/Q&gt;&lt;R&gt;1&lt;/R&gt;&lt;C&gt;1&lt;/C&gt;&lt;D xsi:type="xsd:double"&gt;0.9225314&lt;/D&gt;&lt;/FQL&gt;&lt;FQL&gt;&lt;Q&gt;AYI-US^P_BETA_LOCIDX(45700,45524,,"SPX")&lt;/Q&gt;&lt;R&gt;1&lt;/R&gt;&lt;C&gt;1&lt;/C&gt;&lt;D xsi:type="xsd:double"&gt;0.9322169&lt;/D&gt;&lt;/FQL&gt;&lt;FQL&gt;&lt;Q&gt;AYI-US^P_BETA_LOCIDX(45699,45523,,"SPX")&lt;/Q&gt;&lt;R&gt;1&lt;/R&gt;&lt;C&gt;1&lt;/C&gt;&lt;D xsi:type="xsd:double"&gt;0.9351678&lt;/D&gt;&lt;/FQL&gt;&lt;FQL&gt;&lt;Q&gt;AYI-US^P_BETA_LOCIDX(45698,45520,,"SPX")&lt;/Q&gt;&lt;R&gt;1&lt;/R&gt;&lt;C&gt;1&lt;/C&gt;&lt;D xsi:type="xsd:double"&gt;0.93557894&lt;/D&gt;&lt;/FQL&gt;&lt;FQL&gt;&lt;Q&gt;AYI-US^P_BETA_LOCIDX(45695,45519,,"SPX")&lt;/Q&gt;&lt;R&gt;1&lt;/R&gt;&lt;C&gt;1&lt;/C&gt;&lt;D xsi:type="xsd:double"&gt;0.9578652&lt;/D&gt;&lt;/FQL&gt;&lt;FQL&gt;&lt;Q&gt;AYI-US^P_BETA_LOCIDX(45694,45518,,"SPX")&lt;/Q&gt;&lt;R&gt;1&lt;/R&gt;&lt;C&gt;1&lt;/C&gt;&lt;D xsi:type="xsd:double"&gt;0.9428508&lt;/D&gt;&lt;/FQL&gt;&lt;FQL&gt;&lt;Q&gt;AYI-US^P_BETA_LOCIDX(45693,45517,,"SPX")&lt;/Q&gt;&lt;R&gt;1&lt;/R&gt;&lt;C&gt;1&lt;/C&gt;&lt;D xsi:type="xsd:double"&gt;0.9592908&lt;/D&gt;&lt;/FQL&gt;&lt;FQL&gt;&lt;Q&gt;AYI-US^P_BETA_LOCIDX(45692,45516,,"SPX")&lt;/Q&gt;&lt;R&gt;1&lt;/R&gt;&lt;C&gt;1&lt;/C&gt;&lt;D xsi:type="xsd:double"&gt;0.95520306&lt;/D&gt;&lt;/FQL&gt;&lt;FQL&gt;&lt;Q&gt;AYI-US^P_BETA_LOCIDX(45691,45513,,"SPX")&lt;/Q&gt;&lt;R&gt;1&lt;/R&gt;&lt;C&gt;1&lt;/C&gt;&lt;D xsi:type="xsd:double"&gt;0.9582225&lt;/D&gt;&lt;/FQL&gt;&lt;FQL&gt;&lt;Q&gt;AYI-US^P_BETA_LOCIDX(45688,45512,,"SPX")&lt;/Q&gt;&lt;R&gt;1&lt;/R&gt;&lt;C&gt;1&lt;/C&gt;&lt;D xsi:type="xsd:double"&gt;0.9140753&lt;/D&gt;&lt;/FQL&gt;&lt;FQL&gt;&lt;Q&gt;AYI-US^P_BETA_LOCIDX(45687,45511,,"SPX")&lt;/Q&gt;&lt;R&gt;1&lt;/R&gt;&lt;C&gt;1&lt;/C&gt;&lt;D xsi:type="xsd:double"&gt;0.9132161&lt;/D&gt;&lt;/FQL&gt;&lt;FQL&gt;&lt;Q&gt;AYI-US^P_BETA_LOCIDX(45686,45510,,"SPX")&lt;/Q&gt;&lt;R&gt;1&lt;/R&gt;&lt;C&gt;1&lt;/C&gt;&lt;D xsi:type="xsd:double"&gt;0.89921373&lt;/D&gt;&lt;/FQL&gt;&lt;FQL&gt;&lt;Q&gt;AYI-US^P_BETA_LOCIDX(45685,45509,,"SPX")&lt;/Q&gt;&lt;R&gt;1&lt;/R&gt;&lt;C&gt;1&lt;/C&gt;&lt;D xsi:type="xsd:double"&gt;0.9148511&lt;/D&gt;&lt;/FQL&gt;&lt;FQL&gt;&lt;Q&gt;AYI-US^P_BETA_LOCIDX(45684,45506,,"SPX")&lt;/Q&gt;&lt;R&gt;1&lt;/R&gt;&lt;C&gt;1&lt;/C&gt;&lt;D xsi:type="xsd:double"&gt;0.97381157&lt;/D&gt;&lt;/FQL&gt;&lt;FQL&gt;&lt;Q&gt;AYI-US^P_BETA_LOCIDX(45681,45505,,"SPX")&lt;/Q&gt;&lt;R&gt;1&lt;/R&gt;&lt;C&gt;1&lt;/C&gt;&lt;D xsi:type="xsd:double"&gt;1.0182732&lt;/D&gt;&lt;/FQL&gt;&lt;FQL&gt;&lt;Q&gt;AYI-US^P_BETA_LOCIDX(45680,45504,,"SPX")&lt;/Q&gt;&lt;R&gt;1&lt;/R&gt;&lt;C&gt;1&lt;/C&gt;&lt;D xsi:type="xsd:double"&gt;1.0038553&lt;/D&gt;&lt;/FQL&gt;&lt;FQL&gt;&lt;Q&gt;AYI-US^P_BETA_LOCIDX(45679,45503,,"SPX")&lt;/Q&gt;&lt;R&gt;1&lt;/R&gt;&lt;C&gt;1&lt;/C&gt;&lt;D xsi:type="xsd:double"&gt;1.004492&lt;/D&gt;&lt;/FQL&gt;&lt;FQL&gt;&lt;Q&gt;AYI-US^P_BETA_LOCIDX(45678,45502,,"SPX")&lt;/Q&gt;&lt;R&gt;1&lt;/R&gt;&lt;C&gt;1&lt;/C&gt;&lt;D xsi:type="xsd:double"&gt;1.006988&lt;/D&gt;&lt;/FQL&gt;&lt;FQL&gt;&lt;Q&gt;AYI-US^P_BETA_LOCIDX(45674,45499,,"SPX")&lt;/Q&gt;&lt;R&gt;1&lt;/R&gt;&lt;C&gt;1&lt;/C&gt;&lt;D xsi:type="xsd:double"&gt;1.0027643&lt;/D&gt;&lt;/FQL&gt;&lt;FQL&gt;&lt;Q&gt;AYI-US^P_BETA_LOCIDX(45673,45498,,"SPX")&lt;/Q&gt;&lt;R&gt;1&lt;/R&gt;&lt;C&gt;1&lt;/C&gt;&lt;D xsi:type="xsd:double"&gt;1.0155436&lt;/D&gt;&lt;/FQL&gt;&lt;FQL&gt;&lt;Q&gt;AYI-US^P_BETA_LOCIDX(45672,45497,,"SPX")&lt;/Q&gt;&lt;R&gt;1&lt;/R&gt;&lt;C&gt;1&lt;/C&gt;&lt;D xsi:type="xsd:double"&gt;1.070455&lt;/D&gt;&lt;/FQL&gt;&lt;FQL&gt;&lt;Q&gt;AYI-US^P_BETA_LOCIDX(45671,45496,,"SPX")&lt;/Q&gt;&lt;R&gt;1&lt;/R&gt;&lt;C&gt;1&lt;/C&gt;&lt;D xsi:type="xsd:double"&gt;1.0836234&lt;/D&gt;&lt;/FQL&gt;&lt;FQL&gt;&lt;Q&gt;AYI-US^P_BETA_LOCIDX(45670,45495,,"SPX")&lt;/Q&gt;&lt;R&gt;1&lt;/R&gt;&lt;C&gt;1&lt;/C&gt;&lt;D xsi:type="xsd:double"&gt;1.0756012&lt;/D&gt;&lt;/FQL&gt;&lt;FQL&gt;&lt;Q&gt;AYI-US^P_BETA_LOCIDX(45667,45492,,"SPX")&lt;/Q&gt;&lt;R&gt;1&lt;/R&gt;&lt;C&gt;1&lt;/C&gt;&lt;D xsi:type="xsd:double"&gt;1.0789671&lt;/D&gt;&lt;/FQL&gt;&lt;FQL&gt;&lt;Q&gt;AYI-US^P_BETA_LOCIDX(45665,45491,,"SPX")&lt;/Q&gt;&lt;R&gt;1&lt;/R&gt;&lt;C&gt;1&lt;/C&gt;&lt;D xsi:type="xsd:double"&gt;1.0606053&lt;/D&gt;&lt;/FQL&gt;&lt;FQL&gt;&lt;Q&gt;AYI-US^P_BETA_LOCIDX(45664,45490,,"SPX")&lt;/Q&gt;&lt;R&gt;1&lt;/R&gt;&lt;C&gt;1&lt;/C&gt;&lt;D xsi:type="xsd:double"&gt;1.0967246&lt;/D&gt;&lt;/FQL&gt;&lt;FQL&gt;&lt;Q&gt;AYI-US^P_BETA_LOCIDX(45663,45489,,"SPX")&lt;/Q&gt;&lt;R&gt;1&lt;/R&gt;&lt;C&gt;1&lt;/C&gt;&lt;D xsi:type="xsd:double"&gt;1.1385083&lt;/D&gt;&lt;/FQL&gt;&lt;FQL&gt;&lt;Q&gt;AYI-US^P_BETA_LOCIDX(45660,45488,,"SPX")&lt;/Q&gt;&lt;R&gt;1&lt;/R&gt;&lt;C&gt;1&lt;/C&gt;&lt;D xsi:type="xsd:double"&gt;1.1365166&lt;/D&gt;&lt;/FQL&gt;&lt;FQL&gt;&lt;Q&gt;AYI-US^P_BETA_LOCIDX(45659,45485,,"SPX")&lt;/Q&gt;&lt;R&gt;1&lt;/R&gt;&lt;C&gt;1&lt;/C&gt;&lt;D xsi:type="xsd:double"&gt;1.141459&lt;/D&gt;&lt;/FQL&gt;&lt;FQL&gt;&lt;Q&gt;AYI-US^P_BETA_LOCIDX(45657,45484,,"SPX")&lt;/Q&gt;&lt;R&gt;1&lt;/R&gt;&lt;C&gt;1&lt;/C&gt;&lt;D xsi:type="xsd:double"&gt;1.1221672&lt;/D&gt;&lt;/FQL&gt;&lt;FQL&gt;&lt;Q&gt;AYI-US^P_BETA_LOCIDX(45656,45483,,"SPX")&lt;/Q&gt;&lt;R&gt;1&lt;/R&gt;&lt;C&gt;1&lt;/C&gt;&lt;D xsi:type="xsd:double"&gt;1.1181904&lt;/D&gt;&lt;/FQL&gt;&lt;FQL&gt;&lt;Q&gt;AYI-US^P_BETA_LOCIDX(45653,45482,,"SPX")&lt;/Q&gt;&lt;R&gt;1&lt;/R&gt;&lt;C&gt;1&lt;/C&gt;&lt;D xsi:type="xsd:double"&gt;1.1164724&lt;/D&gt;&lt;/FQL&gt;&lt;FQL&gt;&lt;Q&gt;AYI-US^P_BETA_LOCIDX(45652,45481,,"SPX")&lt;/Q&gt;&lt;R&gt;1&lt;/R&gt;&lt;C&gt;1&lt;/C&gt;&lt;D xsi:type="xsd:double"&gt;1.1087838&lt;/D&gt;&lt;/FQL&gt;&lt;FQL&gt;&lt;Q&gt;AYI-US^P_BETA_LOCIDX(45650,45478,,"SPX")&lt;/Q&gt;&lt;R&gt;1&lt;/R&gt;&lt;C&gt;1&lt;/C&gt;&lt;D xsi:type="xsd:double"&gt;1.0970856&lt;/D&gt;&lt;/FQL&gt;&lt;FQL&gt;&lt;Q&gt;AYI-US^P_BETA_LOCIDX(45649,45476,,"SPX")&lt;/Q&gt;&lt;R&gt;1&lt;/R&gt;&lt;C&gt;1&lt;/C&gt;&lt;D xsi:type="xsd:double"&gt;1.1043317&lt;/D&gt;&lt;/FQL&gt;&lt;FQL&gt;&lt;Q&gt;AYI-US^P_BETA_LOCIDX(45646,45475,,"SPX")&lt;/Q&gt;&lt;R&gt;1&lt;/R&gt;&lt;C&gt;1&lt;/C&gt;&lt;D xsi:type="xsd:double"&gt;1.1122334&lt;/D&gt;&lt;/FQL&gt;&lt;FQL&gt;&lt;Q&gt;AYI-US^P_BETA_LOCIDX(45645,45474,,"SPX")&lt;/Q&gt;&lt;R&gt;1&lt;/R&gt;&lt;C&gt;1&lt;/C&gt;&lt;D xsi:type="xsd:double"&gt;1.1257888&lt;/D&gt;&lt;/FQL&gt;&lt;FQL&gt;&lt;Q&gt;AYI-US^P_BETA_LOCIDX(45644,45471,,"SPX")&lt;/Q&gt;&lt;R&gt;1&lt;/R&gt;&lt;C&gt;1&lt;/C&gt;&lt;D xsi:type="xsd:double"&gt;1.1274728999999999&lt;/D&gt;&lt;/FQL&gt;&lt;FQL&gt;&lt;Q&gt;AYI-US^P_BETA_L</t>
        </r>
      </text>
    </comment>
    <comment ref="A14" authorId="0" shapeId="0" xr:uid="{F966CE93-B78A-4209-9F13-96CE164D07DC}">
      <text>
        <r>
          <rPr>
            <b/>
            <sz val="9"/>
            <color indexed="81"/>
            <rFont val="Tahoma"/>
            <charset val="1"/>
          </rPr>
          <t>OCIDX(45643,45470,,"SPX")&lt;/Q&gt;&lt;R&gt;1&lt;/R&gt;&lt;C&gt;1&lt;/C&gt;&lt;D xsi:type="xsd:double"&gt;1.1015902&lt;/D&gt;&lt;/FQL&gt;&lt;FQL&gt;&lt;Q&gt;AYI-US^P_BETA_LOCIDX(45642,45469,,"SPX")&lt;/Q&gt;&lt;R&gt;1&lt;/R&gt;&lt;C&gt;1&lt;/C&gt;&lt;D xsi:type="xsd:double"&gt;1.095068&lt;/D&gt;&lt;/FQL&gt;&lt;FQL&gt;&lt;Q&gt;AYI-US^P_BETA_LOCIDX(45639,45468,,"SPX")&lt;/Q&gt;&lt;R&gt;1&lt;/R&gt;&lt;C&gt;1&lt;/C&gt;&lt;D xsi:type="xsd:double"&gt;1.0890666&lt;/D&gt;&lt;/FQL&gt;&lt;FQL&gt;&lt;Q&gt;AYI-US^P_BETA_LOCIDX(45638,45467,,"SPX")&lt;/Q&gt;&lt;R&gt;1&lt;/R&gt;&lt;C&gt;1&lt;/C&gt;&lt;D xsi:type="xsd:double"&gt;1.0811778&lt;/D&gt;&lt;/FQL&gt;&lt;FQL&gt;&lt;Q&gt;AYI-US^P_BETA_LOCIDX(45637,45464,,"SPX")&lt;/Q&gt;&lt;R&gt;1&lt;/R&gt;&lt;C&gt;1&lt;/C&gt;&lt;D xsi:type="xsd:double"&gt;1.0901084&lt;/D&gt;&lt;/FQL&gt;&lt;FQL&gt;&lt;Q&gt;AYI-US^P_BETA_LOCIDX(45636,45463,,"SPX")&lt;/Q&gt;&lt;R&gt;1&lt;/R&gt;&lt;C&gt;1&lt;/C&gt;&lt;D xsi:type="xsd:double"&gt;1.0941774&lt;/D&gt;&lt;/FQL&gt;&lt;FQL&gt;&lt;Q&gt;AYI-US^P_BETA_LOCIDX(45635,45461,,"SPX")&lt;/Q&gt;&lt;R&gt;1&lt;/R&gt;&lt;C&gt;1&lt;/C&gt;&lt;D xsi:type="xsd:double"&gt;1.0845894&lt;/D&gt;&lt;/FQL&gt;&lt;FQL&gt;&lt;Q&gt;AYI-US^P_BETA_LOCIDX(45632,45460,,"SPX")&lt;/Q&gt;&lt;R&gt;1&lt;/R&gt;&lt;C&gt;1&lt;/C&gt;&lt;D xsi:type="xsd:double"&gt;1.0944312&lt;/D&gt;&lt;/FQL&gt;&lt;FQL&gt;&lt;Q&gt;AYI-US^P_BETA_LOCIDX(45631,45457,,"SPX")&lt;/Q&gt;&lt;R&gt;1&lt;/R&gt;&lt;C&gt;1&lt;/C&gt;&lt;D xsi:type="xsd:double"&gt;1.098609&lt;/D&gt;&lt;/FQL&gt;&lt;FQL&gt;&lt;Q&gt;AYI-US^P_BETA_LOCIDX(45630,45456,,"SPX")&lt;/Q&gt;&lt;R&gt;1&lt;/R&gt;&lt;C&gt;1&lt;/C&gt;&lt;D xsi:type="xsd:double"&gt;1.0950893&lt;/D&gt;&lt;/FQL&gt;&lt;FQL&gt;&lt;Q&gt;AYI-US^P_BETA_LOCIDX(45629,45455,,"SPX")&lt;/Q&gt;&lt;R&gt;1&lt;/R&gt;&lt;C&gt;1&lt;/C&gt;&lt;D xsi:type="xsd:double"&gt;1.1060109&lt;/D&gt;&lt;/FQL&gt;&lt;FQL&gt;&lt;Q&gt;AYI-US^P_BETA_LOCIDX(45628,45454,,"SPX")&lt;/Q&gt;&lt;R&gt;1&lt;/R&gt;&lt;C&gt;1&lt;/C&gt;&lt;D xsi:type="xsd:double"&gt;1.1029892&lt;/D&gt;&lt;/FQL&gt;&lt;FQL&gt;&lt;Q&gt;AYI-US^P_BETA_LOCIDX(45625,45453,,"SPX")&lt;/Q&gt;&lt;R&gt;1&lt;/R&gt;&lt;C&gt;1&lt;/C&gt;&lt;D xsi:type="xsd:double"&gt;1.1045545&lt;/D&gt;&lt;/FQL&gt;&lt;FQL&gt;&lt;Q&gt;AYI-US^P_BETA_LOCIDX(45623,45450,,"SPX")&lt;/Q&gt;&lt;R&gt;1&lt;/R&gt;&lt;C&gt;1&lt;/C&gt;&lt;D xsi:type="xsd:double"&gt;1.1083142&lt;/D&gt;&lt;/FQL&gt;&lt;FQL&gt;&lt;Q&gt;AYI-US^P_BETA_LOCIDX(45622,45449,,"SPX")&lt;/Q&gt;&lt;R&gt;1&lt;/R&gt;&lt;C&gt;1&lt;/C&gt;&lt;D xsi:type="xsd:double"&gt;1.106696&lt;/D&gt;&lt;/FQL&gt;&lt;FQL&gt;&lt;Q&gt;AYI-US^P_BETA_LOCIDX(45621,45448,,"SPX")&lt;/Q&gt;&lt;R&gt;1&lt;/R&gt;&lt;C&gt;1&lt;/C&gt;&lt;D xsi:type="xsd:double"&gt;1.1446991&lt;/D&gt;&lt;/FQL&gt;&lt;FQL&gt;&lt;Q&gt;AYI-US^P_BETA_LOCIDX(45618,45447,,"SPX")&lt;/Q&gt;&lt;R&gt;1&lt;/R&gt;&lt;C&gt;1&lt;/C&gt;&lt;D xsi:type="xsd:double"&gt;1.1420829&lt;/D&gt;&lt;/FQL&gt;&lt;FQL&gt;&lt;Q&gt;AYI-US^P_BETA_LOCIDX(45617,45446,,"SPX")&lt;/Q&gt;&lt;R&gt;1&lt;/R&gt;&lt;C&gt;1&lt;/C&gt;&lt;D xsi:type="xsd:double"&gt;1.1381706&lt;/D&gt;&lt;/FQL&gt;&lt;FQL&gt;&lt;Q&gt;AYI-US^P_BETA_LOCIDX(45616,45443,,"SPX")&lt;/Q&gt;&lt;R&gt;1&lt;/R&gt;&lt;C&gt;1&lt;/C&gt;&lt;D xsi:type="xsd:double"&gt;1.1343739&lt;/D&gt;&lt;/FQL&gt;&lt;FQL&gt;&lt;Q&gt;AYI-US^P_BETA_LOCIDX(45615,45442,,"SPX")&lt;/Q&gt;&lt;R&gt;1&lt;/R&gt;&lt;C&gt;1&lt;/C&gt;&lt;D xsi:type="xsd:double"&gt;1.1178104&lt;/D&gt;&lt;/FQL&gt;&lt;FQL&gt;&lt;Q&gt;AYI-US^P_BETA_LOCIDX(45614,45441,,"SPX")&lt;/Q&gt;&lt;R&gt;1&lt;/R&gt;&lt;C&gt;1&lt;/C&gt;&lt;D xsi:type="xsd:double"&gt;1.1199516&lt;/D&gt;&lt;/FQL&gt;&lt;FQL&gt;&lt;Q&gt;AYI-US^P_BETA_LOCIDX(45611,45440,,"SPX")&lt;/Q&gt;&lt;R&gt;1&lt;/R&gt;&lt;C&gt;1&lt;/C&gt;&lt;D xsi:type="xsd:double"&gt;1.1269621&lt;/D&gt;&lt;/FQL&gt;&lt;FQL&gt;&lt;Q&gt;AYI-US^P_BETA_LOCIDX(45610,45436,,"SPX")&lt;/Q&gt;&lt;R&gt;1&lt;/R&gt;&lt;C&gt;1&lt;/C&gt;&lt;D xsi:type="xsd:double"&gt;1.1249745&lt;/D&gt;&lt;/FQL&gt;&lt;FQL&gt;&lt;Q&gt;AYI-US^P_BETA_LOCIDX(45609,45435,,"SPX")&lt;/Q&gt;&lt;R&gt;1&lt;/R&gt;&lt;C&gt;1&lt;/C&gt;&lt;D xsi:type="xsd:double"&gt;1.1220907&lt;/D&gt;&lt;/FQL&gt;&lt;FQL&gt;&lt;Q&gt;AYI-US^P_BETA_LOCIDX(45608,45434,,"SPX")&lt;/Q&gt;&lt;R&gt;1&lt;/R&gt;&lt;C&gt;1&lt;/C&gt;&lt;D xsi:type="xsd:double"&gt;1.1232269&lt;/D&gt;&lt;/FQL&gt;&lt;FQL&gt;&lt;Q&gt;AYI-US^P_BETA_LOCIDX(45607,45433,,"SPX")&lt;/Q&gt;&lt;R&gt;1&lt;/R&gt;&lt;C&gt;1&lt;/C&gt;&lt;D xsi:type="xsd:double"&gt;1.123496&lt;/D&gt;&lt;/FQL&gt;&lt;FQL&gt;&lt;Q&gt;AYI-US^P_BETA_LOCIDX(45604,45432,,"SPX")&lt;/Q&gt;&lt;R&gt;1&lt;/R&gt;&lt;C&gt;1&lt;/C&gt;&lt;D xsi:type="xsd:double"&gt;1.1234636&lt;/D&gt;&lt;/FQL&gt;&lt;FQL&gt;&lt;Q&gt;AYI-US^P_BETA_LOCIDX(45603,45429,,"SPX")&lt;/Q&gt;&lt;R&gt;1&lt;/R&gt;&lt;C&gt;1&lt;/C&gt;&lt;D xsi:type="xsd:double"&gt;1.119235&lt;/D&gt;&lt;/FQL&gt;&lt;FQL&gt;&lt;Q&gt;AYI-US^P_BETA_LOCIDX(45602,45428,,"SPX")&lt;/Q&gt;&lt;R&gt;1&lt;/R&gt;&lt;C&gt;1&lt;/C&gt;&lt;D xsi:type="xsd:double"&gt;1.1194493&lt;/D&gt;&lt;/FQL&gt;&lt;FQL&gt;&lt;Q&gt;AYI-US^P_BETA_LOCIDX(45601,45427,,"SPX")&lt;/Q&gt;&lt;R&gt;1&lt;/R&gt;&lt;C&gt;1&lt;/C&gt;&lt;D xsi:type="xsd:double"&gt;1.1482335&lt;/D&gt;&lt;/FQL&gt;&lt;FQL&gt;&lt;Q&gt;AYI-US^P_BETA_LOCIDX(45600,45426,,"SPX")&lt;/Q&gt;&lt;R&gt;1&lt;/R&gt;&lt;C&gt;1&lt;/C&gt;&lt;D xsi:type="xsd:double"&gt;1.1339169&lt;/D&gt;&lt;/FQL&gt;&lt;FQL&gt;&lt;Q&gt;AYI-US^P_BETA_LOCIDX(45597,45425,,"SPX")&lt;/Q&gt;&lt;R&gt;1&lt;/R&gt;&lt;C&gt;1&lt;/C&gt;&lt;D xsi:type="xsd:double"&gt;1.1373897&lt;/D&gt;&lt;/FQL&gt;&lt;FQL&gt;&lt;Q&gt;AYI-US^P_BETA_LOCIDX(45596,45422,,"SPX")&lt;/Q&gt;&lt;R&gt;1&lt;/R&gt;&lt;C&gt;1&lt;/C&gt;&lt;D xsi:type="xsd:double"&gt;1.1309794&lt;/D&gt;&lt;/FQL&gt;&lt;FQL&gt;&lt;Q&gt;AYI-US^P_BETA_LOCIDX(45595,45421,,"SPX")&lt;/Q&gt;&lt;R&gt;1&lt;/R&gt;&lt;C&gt;1&lt;/C&gt;&lt;D xsi:type="xsd:double"&gt;1.177439&lt;/D&gt;&lt;/FQL&gt;&lt;FQL&gt;&lt;Q&gt;AYI-US^P_BETA_LOCIDX(45594,45420,,"SPX")&lt;/Q&gt;&lt;R&gt;1&lt;/R&gt;&lt;C&gt;1&lt;/C&gt;&lt;D xsi:type="xsd:double"&gt;1.1756849&lt;/D&gt;&lt;/FQL&gt;&lt;FQL&gt;&lt;Q&gt;AYI-US^P_BETA_LOCIDX(45593,45419,,"SPX")&lt;/Q&gt;&lt;R&gt;1&lt;/R&gt;&lt;C&gt;1&lt;/C&gt;&lt;D xsi:type="xsd:double"&gt;1.1766611&lt;/D&gt;&lt;/FQL&gt;&lt;FQL&gt;&lt;Q&gt;AYI-US^P_BETA_LOCIDX(45590,45418,,"SPX")&lt;/Q&gt;&lt;R&gt;1&lt;/R&gt;&lt;C&gt;1&lt;/C&gt;&lt;D xsi:type="xsd:double"&gt;1.1825229&lt;/D&gt;&lt;/FQL&gt;&lt;FQL&gt;&lt;Q&gt;AYI-US^P_BETA_LOCIDX(45589,45415,,"SPX")&lt;/Q&gt;&lt;R&gt;1&lt;/R&gt;&lt;C&gt;1&lt;/C&gt;&lt;D xsi:type="xsd:double"&gt;1.1857421&lt;/D&gt;&lt;/FQL&gt;&lt;FQL&gt;&lt;Q&gt;AYI-US^P_BETA_LOCIDX(45588,45414,,"SPX")&lt;/Q&gt;&lt;R&gt;1&lt;/R&gt;&lt;C&gt;1&lt;/C&gt;&lt;D xsi:type="xsd:double"&gt;1.1919122&lt;/D&gt;&lt;/FQL&gt;&lt;FQL&gt;&lt;Q&gt;AYI-US^P_BETA_LOCIDX(45587,45413,,"SPX")&lt;/Q&gt;&lt;R&gt;1&lt;/R&gt;&lt;C&gt;1&lt;/C&gt;&lt;D xsi:type="xsd:double"&gt;1.2139351&lt;/D&gt;&lt;/FQL&gt;&lt;FQL&gt;&lt;Q&gt;AYI-US^P_BETA_LOCIDX(45586,45412,,"SPX")&lt;/Q&gt;&lt;R&gt;1&lt;/R&gt;&lt;C&gt;1&lt;/C&gt;&lt;D xsi:type="xsd:double"&gt;1.216277&lt;/D&gt;&lt;/FQL&gt;&lt;FQL&gt;&lt;Q&gt;AYI-US^P_BETA_LOCIDX(45583,45411,,"SPX")&lt;/Q&gt;&lt;R&gt;1&lt;/R&gt;&lt;C&gt;1&lt;/C&gt;&lt;D xsi:type="xsd:double"&gt;1.211932&lt;/D&gt;&lt;/FQL&gt;&lt;FQL&gt;&lt;Q&gt;AYI-US^P_BETA_LOCIDX(45582,45408,,"SPX")&lt;/Q&gt;&lt;R&gt;1&lt;/R&gt;&lt;C&gt;1&lt;/C&gt;&lt;D xsi:type="xsd:double"&gt;1.2007132&lt;/D&gt;&lt;/FQL&gt;&lt;FQL&gt;&lt;Q&gt;AYI-US^P_BETA_LOCIDX(45581,45407,,"SPX")&lt;/Q&gt;&lt;R&gt;1&lt;/R&gt;&lt;C&gt;1&lt;/C&gt;&lt;D xsi:type="xsd:double"&gt;1.2016913&lt;/D&gt;&lt;/FQL&gt;&lt;FQL&gt;&lt;Q&gt;AYI-US^P_BETA_LOCIDX(45580,45406,,"SPX")&lt;/Q&gt;&lt;R&gt;1&lt;/R&gt;&lt;C&gt;1&lt;/C&gt;&lt;D xsi:type="xsd:double"&gt;1.2045145&lt;/D&gt;&lt;/FQL&gt;&lt;FQL&gt;&lt;Q&gt;AYI-US^P_BETA_LOCIDX(45579,45405,,"SPX")&lt;/Q&gt;&lt;R&gt;1&lt;/R&gt;&lt;C&gt;1&lt;/C&gt;&lt;D xsi:type="xsd:double"&gt;1.2088007&lt;/D&gt;&lt;/FQL&gt;&lt;FQL&gt;&lt;Q&gt;AYI-US^P_BETA_LOCIDX(45576,45404,,"SPX")&lt;/Q&gt;&lt;R&gt;1&lt;/R&gt;&lt;C&gt;1&lt;/C&gt;&lt;D xsi:type="xsd:double"&gt;1.2134316&lt;/D&gt;&lt;/FQL&gt;&lt;FQL&gt;&lt;Q&gt;AYI-US^P_BETA_LOCIDX(45575,45401,,"SPX")&lt;/Q&gt;&lt;R&gt;1&lt;/R&gt;&lt;C&gt;1&lt;/C&gt;&lt;D xsi:type="xsd:double"&gt;1.1888525&lt;/D&gt;&lt;/FQL&gt;&lt;FQL&gt;&lt;Q&gt;AYI-US^P_BETA_LOCIDX(45574,45400,,"SPX")&lt;/Q&gt;&lt;R&gt;1&lt;/R&gt;&lt;C&gt;1&lt;/C&gt;&lt;D xsi:type="xsd:double"&gt;1.1847442&lt;/D&gt;&lt;/FQL&gt;&lt;FQL&gt;&lt;Q&gt;AYI-US^P_BETA_LOCIDX(45573,45399,,"SPX")&lt;/Q&gt;&lt;R&gt;1&lt;/R&gt;&lt;C&gt;1&lt;/C&gt;&lt;D xsi:type="xsd:double"&gt;1.1971027&lt;/D&gt;&lt;/FQL&gt;&lt;FQL&gt;&lt;Q&gt;AYI-US^P_BETA_LOCIDX(45572,45398,,"SPX")&lt;/Q&gt;&lt;R&gt;1&lt;/R&gt;&lt;C&gt;1&lt;/C&gt;&lt;D xsi:type="xsd:double"&gt;1.21776&lt;/D&gt;&lt;/FQL&gt;&lt;FQL&gt;&lt;Q&gt;AYI-US^P_BETA_LOCIDX(45569,45397,,"SPX")&lt;/Q&gt;&lt;R&gt;1&lt;/R&gt;&lt;C&gt;1&lt;/C&gt;&lt;D xsi:type="xsd:double"&gt;1.2448399&lt;/D&gt;&lt;/FQL&gt;&lt;FQL&gt;&lt;Q&gt;AYI-US^P_BETA_LOCIDX(45568,45394,,"SPX")&lt;/Q&gt;&lt;R&gt;1&lt;/R&gt;&lt;C&gt;1&lt;/C&gt;&lt;D xsi:type="xsd:double"&gt;1.2461439&lt;/D&gt;&lt;/FQL&gt;&lt;FQL&gt;&lt;Q&gt;AYI-US^P_BETA_LOCIDX(45567,45393,,"SPX")&lt;/Q&gt;&lt;R&gt;1&lt;/R&gt;&lt;C&gt;1&lt;/C&gt;&lt;D xsi:type="xsd:double"&gt;1.234589&lt;/D&gt;&lt;/FQL&gt;&lt;FQL&gt;&lt;Q&gt;AYI-US^P_BETA_LOCIDX(45566,45392,,"SPX")&lt;/Q&gt;&lt;R&gt;1&lt;/R&gt;&lt;C&gt;1&lt;/C&gt;&lt;D xsi:type="xsd:double"&gt;1.222392&lt;/D&gt;&lt;/FQL&gt;&lt;FQL&gt;&lt;Q&gt;AYI-US^P_BETA_LOCIDX(45565,45391,,"SPX")&lt;/Q&gt;&lt;R&gt;1&lt;/R&gt;&lt;C&gt;1&lt;/C&gt;&lt;D xsi:type="xsd:double"&gt;1.3369111&lt;/D&gt;&lt;/FQL&gt;&lt;FQL&gt;&lt;Q&gt;AYI-US^P_BETA_LOCIDX(45562,45390,,"SPX")&lt;/Q&gt;&lt;R&gt;1&lt;/R&gt;&lt;C&gt;1&lt;/C&gt;&lt;D xsi:type="xsd:double"&gt;1.3329425&lt;/D&gt;&lt;/FQL&gt;&lt;FQL&gt;&lt;Q&gt;AYI-US^P_BETA_LOCIDX(45561,45387,,"SPX")&lt;/Q&gt;&lt;R&gt;1&lt;/R&gt;&lt;C&gt;1&lt;/C&gt;&lt;D xsi:type="xsd:double"&gt;1.3501867&lt;/D&gt;&lt;/FQL&gt;&lt;FQL&gt;&lt;Q&gt;AYI-US^P_BETA_LOCIDX(45560,45386,,"SPX")&lt;/Q&gt;&lt;R&gt;1&lt;/R&gt;&lt;C&gt;1&lt;/C&gt;&lt;D xsi:type="xsd:double"&gt;1.3252426&lt;/D&gt;&lt;/FQL&gt;&lt;FQL&gt;&lt;Q&gt;AYI-US^P_BETA_LOCIDX(45559,45385,,"SPX")&lt;/Q&gt;&lt;R&gt;1&lt;/R&gt;&lt;C&gt;1&lt;/C&gt;&lt;D xsi:type="xsd:double"&gt;1.3218368&lt;/D&gt;&lt;/FQL&gt;&lt;FQL&gt;&lt;Q&gt;AYI-US^P_BETA_LOCIDX(45558,45384,,"SPX")&lt;/Q&gt;&lt;R&gt;1&lt;/R&gt;&lt;C&gt;1&lt;/C&gt;&lt;D xsi:type="xsd:double"&gt;1.3237586&lt;/D&gt;&lt;/FQL&gt;&lt;FQL&gt;&lt;Q&gt;AYI-US^P_BETA_LOCIDX(45555,45383,,"SPX")&lt;/Q&gt;&lt;R&gt;1&lt;/R&gt;&lt;C&gt;1&lt;/C&gt;&lt;D xsi:type="xsd:double"&gt;1.3279716&lt;/D&gt;&lt;/FQL&gt;&lt;FQL&gt;&lt;Q&gt;AYI-US^P_BETA_LOCIDX(45554,45379,,"SPX")&lt;/Q&gt;&lt;R&gt;1&lt;/R&gt;&lt;C&gt;1&lt;/C&gt;&lt;D xsi:type="xsd:double"&gt;1.3293434&lt;/D&gt;&lt;/FQL&gt;&lt;FQL&gt;&lt;Q&gt;AYI-US^P_BETA_LOCIDX(45553,45378,,"SPX")&lt;/Q&gt;&lt;R&gt;1&lt;/R&gt;&lt;C&gt;1&lt;/C&gt;&lt;D xsi:type="xsd:double"&gt;1.3310751&lt;/D&gt;&lt;/FQL&gt;&lt;FQL&gt;&lt;Q&gt;AYI-US^P_BETA_LOCIDX(45552,45377,,"SPX")&lt;/Q&gt;&lt;R&gt;1&lt;/R&gt;&lt;C&gt;1&lt;/C&gt;&lt;D xsi:type="xsd:double"&gt;1.3333172&lt;/D&gt;&lt;/FQL&gt;&lt;FQL&gt;&lt;Q&gt;AYI-US^P_BETA_LOCIDX(45551,45376,,"SPX")&lt;/Q&gt;&lt;R&gt;1&lt;/R&gt;&lt;C&gt;1&lt;/C&gt;&lt;D xsi:type="xsd:double"&gt;1.3343885&lt;/D&gt;&lt;/FQL&gt;&lt;FQL&gt;&lt;Q&gt;AYI-US^P_BETA_LOCIDX(45548,45373,,"SPX")&lt;/Q&gt;&lt;R&gt;1&lt;/R&gt;&lt;C&gt;1&lt;/C&gt;&lt;D xsi:type="xsd:double"&gt;1.3336922&lt;/D&gt;&lt;/FQL&gt;&lt;FQL&gt;&lt;Q&gt;AYI-US^P_BETA_LOCIDX(45547,45372,,"SPX")&lt;/Q&gt;&lt;R&gt;1&lt;/R&gt;&lt;C&gt;1&lt;/C&gt;&lt;D xsi:type="xsd:double"&gt;1.3317498&lt;/D&gt;&lt;/FQL&gt;&lt;FQL&gt;&lt;Q&gt;AYI-US^P_BETA_LOCIDX(45546,45371,,"SPX")&lt;/Q&gt;&lt;R&gt;1&lt;/R&gt;&lt;C&gt;1&lt;/C&gt;&lt;D xsi:type="xsd:double"&gt;1.3189716&lt;/D&gt;&lt;/FQL&gt;&lt;FQL&gt;&lt;Q&gt;AYI-US^P_BETA_LOCIDX(45545,45370,,"SPX")&lt;/Q&gt;&lt;R&gt;1&lt;/R&gt;&lt;C&gt;1&lt;/C&gt;&lt;D xsi:type="xsd:double"&gt;1.3468559&lt;/D&gt;&lt;/FQL&gt;&lt;FQL&gt;&lt;Q&gt;AYI-US^P_BETA_LOCIDX(45544,45369,,"SPX")&lt;/Q&gt;&lt;R&gt;1&lt;/R&gt;&lt;C&gt;1&lt;/C&gt;&lt;D xsi:type="xsd:double"&gt;1.3493396&lt;/D&gt;&lt;/FQL&gt;&lt;FQL&gt;&lt;Q&gt;AYI-US^P_BETA_LOCIDX(45541,45366,,"SPX")&lt;/Q&gt;&lt;R&gt;1&lt;/R&gt;&lt;C&gt;1&lt;/C&gt;&lt;D xsi:type="xsd:double"&gt;1.3221711&lt;/D&gt;&lt;/FQL&gt;&lt;FQL&gt;&lt;Q&gt;AYI-US^P_BETA_LOCIDX(45540,45365,,"SPX")&lt;/Q&gt;&lt;R&gt;1&lt;/R&gt;&lt;C&gt;1&lt;/C&gt;&lt;D xsi:type="xsd:double"&gt;1.3855823&lt;/D&gt;&lt;/FQL&gt;&lt;FQL&gt;&lt;Q&gt;AYI-US^P_BETA_LOCIDX(45539,45364,,"SPX")&lt;/Q&gt;&lt;R&gt;1&lt;/R&gt;&lt;C&gt;1&lt;/C&gt;&lt;D xsi:type="xsd:double"&gt;1.3771783&lt;/D&gt;&lt;/FQL&gt;&lt;FQL&gt;&lt;Q&gt;AYI-US^P_BETA_LOCIDX(45538,45363,,"SPX")&lt;/Q&gt;&lt;R&gt;1&lt;/R&gt;&lt;C&gt;1&lt;/C&gt;&lt;D xsi:type="xsd:double"&gt;1.3800277&lt;/D&gt;&lt;/FQL&gt;&lt;FQL&gt;&lt;Q&gt;AYI-US^P_BETA_LOCIDX(45534,45362,,"SPX")&lt;/Q&gt;&lt;R&gt;1&lt;/R&gt;&lt;C&gt;1&lt;/C&gt;&lt;D xsi:type="xsd:double"&gt;1.3689412&lt;/D&gt;&lt;/FQL&gt;&lt;FQL&gt;&lt;Q&gt;AYI-US^P_BETA_LOCIDX(45533,45359,,"SPX")&lt;/Q&gt;&lt;R&gt;1&lt;/R&gt;&lt;C&gt;1&lt;/C&gt;&lt;D xsi:type="xsd:double"&gt;1.3628222&lt;/D&gt;&lt;/FQL&gt;&lt;FQL&gt;&lt;Q&gt;AYI-US^P_BETA_LOCIDX(45532,45358,,"SPX")&lt;/Q&gt;&lt;R&gt;1&lt;/R&gt;&lt;C&gt;1&lt;/C&gt;&lt;D xsi:type="xsd:double"&gt;1.3322836&lt;/D&gt;&lt;/FQL&gt;&lt;FQL&gt;&lt;Q&gt;AYI-US^P_BETA_LOCIDX(45531,45357,,"SPX")&lt;/Q&gt;&lt;R&gt;1&lt;/R&gt;&lt;C&gt;1&lt;/C&gt;&lt;D xsi:type="xsd:double"&gt;1.3397245&lt;/D&gt;&lt;/FQL&gt;&lt;FQL&gt;&lt;Q&gt;AYI-US^P_BETA_LOCIDX(45530,45356,,"SPX")&lt;/Q&gt;&lt;R&gt;1&lt;/R&gt;&lt;C&gt;1&lt;/C&gt;&lt;D xsi:type="xsd:double"&gt;1.3248719&lt;/D&gt;&lt;/FQL&gt;&lt;FQL&gt;&lt;Q&gt;AYI-US^P_BETA_LOCIDX(45527,45355,,"SPX")&lt;/Q&gt;&lt;R&gt;1&lt;/R&gt;&lt;C&gt;1&lt;/C&gt;&lt;D xsi:type="xsd:double"&gt;1.3269445&lt;/D&gt;&lt;/FQL&gt;&lt;FQL&gt;&lt;Q&gt;AYI-US^P_BETA_LOCIDX(45526,45352,,"SPX")&lt;/Q&gt;&lt;R&gt;1&lt;/R&gt;&lt;C&gt;1&lt;/C&gt;&lt;D xsi:type="xsd:double"&gt;1.2971375&lt;/D&gt;&lt;/FQL&gt;&lt;FQL&gt;&lt;Q&gt;AYI-US^P_BETA_LOCIDX(45525,45351,,"SPX")&lt;/Q&gt;&lt;R&gt;1&lt;/R&gt;&lt;C&gt;1&lt;/C&gt;&lt;D xsi:type="xsd:double"&gt;1.3124111&lt;/D&gt;&lt;/FQL&gt;&lt;FQL&gt;&lt;Q&gt;AYI-US^P_BETA_LOCIDX(45524,45350,,"SPX")&lt;/Q&gt;&lt;R&gt;1&lt;/R&gt;&lt;C&gt;1&lt;/C&gt;&lt;D xsi:type="xsd:double"&gt;1.3068955&lt;/D&gt;&lt;/FQL&gt;&lt;FQL&gt;&lt;Q&gt;AYI-US^P_BETA_LOCIDX(45523,45349,,"SPX")&lt;/Q&gt;&lt;R&gt;1&lt;/R&gt;&lt;C&gt;1&lt;/C&gt;&lt;D xsi:type="xsd:double"&gt;1.3097388&lt;/D&gt;&lt;/FQL&gt;&lt;FQL&gt;&lt;Q&gt;AYI-US^P_BETA_LOCIDX(45520,45348,,"SPX")&lt;/Q&gt;&lt;R&gt;1&lt;/R&gt;&lt;C&gt;1&lt;/C&gt;&lt;D xsi:type="xsd:double"&gt;1.3050545&lt;/D&gt;&lt;/FQL&gt;&lt;FQL&gt;&lt;Q&gt;AYI-US^P_BETA_LOCIDX(45519,45345,,"SPX")&lt;/Q&gt;&lt;R&gt;1&lt;/R&gt;&lt;C&gt;1&lt;/C&gt;&lt;D xsi:type="xsd:double"&gt;1.3042705&lt;/D&gt;&lt;/FQL&gt;&lt;FQL&gt;&lt;Q&gt;AYI-US^P_BETA_LOCIDX(45518,45344,,"SPX")&lt;/Q&gt;&lt;R&gt;1&lt;/R&gt;&lt;C&gt;1&lt;/C&gt;&lt;D xsi:type="xsd:double"&gt;1.2794508&lt;/D&gt;&lt;/FQL&gt;&lt;FQL&gt;&lt;Q&gt;AYI-US^P_BETA_LOCIDX(45517,45343,,"SPX")&lt;/Q&gt;&lt;R&gt;1&lt;/R&gt;&lt;C&gt;1&lt;/C&gt;&lt;D xsi:type="xsd:double"&gt;1.2822063&lt;/D&gt;&lt;/FQL&gt;&lt;FQL&gt;&lt;Q&gt;AYI-US^P_BETA_LOCIDX(45516,45342,,"SPX")&lt;/Q&gt;&lt;R&gt;1&lt;/R&gt;&lt;C&gt;1&lt;/C&gt;&lt;D xsi:type="xsd:double"&gt;1.2614207&lt;/D&gt;&lt;/FQL&gt;&lt;FQL&gt;&lt;Q&gt;AYI-US^P_BETA_LOCIDX(45513,45338,,"SPX")&lt;/Q&gt;&lt;R&gt;1&lt;/R&gt;&lt;C&gt;1&lt;/C&gt;&lt;D xsi:type="xsd:double"&gt;1.2610065&lt;/D&gt;&lt;/FQL&gt;&lt;FQL&gt;&lt;Q&gt;AYI-US^P_BETA_LOCIDX(45512,45337,,"SPX")&lt;/Q&gt;&lt;R&gt;1&lt;/R&gt;&lt;C&gt;1&lt;/C&gt;&lt;D xsi:type="xsd:double"&gt;1.2564576&lt;/D&gt;&lt;/FQL&gt;&lt;FQL&gt;&lt;Q&gt;AYI-US^P_BETA_LOCIDX(45511,45336,,"SPX")&lt;/Q&gt;&lt;R&gt;1&lt;/R&gt;&lt;C&gt;1&lt;/C&gt;&lt;D xsi:type="xsd:double"&gt;1.2917129&lt;/D&gt;&lt;/FQL&gt;&lt;FQL&gt;&lt;Q&gt;AYI-US^P_BETA_LOCIDX(45510,45335,,"SPX")&lt;/Q&gt;&lt;R&gt;1&lt;/R&gt;&lt;C&gt;1&lt;/C&gt;&lt;D xsi:type="xsd:double"&gt;1.3097979&lt;/D&gt;&lt;/FQL&gt;&lt;FQL&gt;&lt;Q&gt;AYI-US^P_BETA_LOCIDX(45509,45334,,"SPX")&lt;/Q&gt;&lt;R&gt;1&lt;/R&gt;&lt;C&gt;1&lt;/C&gt;&lt;D xsi:type="xsd:double"&gt;1.3204263&lt;/D&gt;&lt;/FQL&gt;&lt;FQL&gt;&lt;Q&gt;AYI-US^P_BETA_LOCIDX(45506,45331,,"SPX")&lt;/Q&gt;&lt;R&gt;1&lt;/R&gt;&lt;C&gt;1&lt;/C&gt;&lt;D xsi:type="xsd:double"&gt;1.3646538&lt;/D&gt;&lt;/FQL&gt;&lt;FQL&gt;&lt;Q&gt;AYI-US^P_BETA_LOCIDX(45505,45330,,"SPX")&lt;/Q&gt;&lt;R&gt;1&lt;/R&gt;&lt;C&gt;1&lt;/C&gt;&lt;D xsi:type="xsd:double"&gt;1.3271621&lt;/D&gt;&lt;/FQL&gt;&lt;FQL&gt;&lt;Q&gt;AYI-US^P_BETA_LOCIDX(45504,45329,,"SPX")&lt;/Q&gt;&lt;R&gt;1&lt;/R&gt;&lt;C&gt;1&lt;/C&gt;&lt;D xsi:type="xsd:double"&gt;1.2553915&lt;/D&gt;&lt;/FQL&gt;&lt;FQL&gt;&lt;Q&gt;AYI-US^P_BETA_LOCIDX(45503,45328,,"SPX")&lt;/Q&gt;&lt;R&gt;1&lt;/R&gt;&lt;C&gt;1&lt;/C&gt;&lt;D xsi:type="xsd:double"&gt;1.2776629&lt;/D&gt;&lt;/FQL&gt;&lt;FQL&gt;&lt;Q&gt;AYI-US^P_BETA_LOCIDX(45502,45327,,"SPX")&lt;/Q&gt;&lt;R&gt;1&lt;/R&gt;&lt;C&gt;1&lt;/C&gt;&lt;D xsi:type="xsd:double"&gt;1.2882111&lt;/D&gt;&lt;/FQL&gt;&lt;FQL&gt;&lt;Q&gt;AYI-US^P_BETA_LOCIDX(45499,45324,,"SPX")&lt;/Q&gt;&lt;R&gt;1&lt;/R&gt;&lt;C&gt;1&lt;/C&gt;&lt;D xsi:type="xsd:double"&gt;1.2607313&lt;/D&gt;&lt;/FQL&gt;&lt;FQL&gt;&lt;Q&gt;AYI-US^P_BETA_LOCIDX(45498,45323,,"SPX")&lt;/Q&gt;&lt;R&gt;1&lt;/R&gt;&lt;C&gt;1&lt;/C&gt;&lt;D xsi:type="xsd:double"&gt;1.2477648&lt;/D&gt;&lt;/FQL&gt;&lt;FQL&gt;&lt;Q&gt;AYI-US^P_BETA_LOCIDX(45497,45322,,"SPX")&lt;/Q&gt;&lt;R&gt;1&lt;/R&gt;&lt;C&gt;1&lt;/C&gt;&lt;D xsi:type="xsd:double"&gt;1.2473799&lt;/D&gt;&lt;/FQL&gt;&lt;FQL&gt;&lt;Q&gt;AYI-US^P_BETA_LOCIDX(45496,45321,,"SPX")&lt;/Q&gt;&lt;R&gt;1&lt;/R&gt;&lt;C&gt;1&lt;/C&gt;&lt;D xsi:type="xsd:double"&gt;1.1830916&lt;/D&gt;&lt;/FQL&gt;&lt;FQL&gt;&lt;Q&gt;AYI-US^P_BETA_LOCIDX(45495,45320,,"SPX")&lt;/Q&gt;&lt;R&gt;1&lt;/R&gt;&lt;C&gt;1&lt;/C&gt;&lt;D xsi:type="xsd:double"&gt;1.1856062&lt;/D&gt;&lt;/FQL&gt;&lt;FQL&gt;&lt;Q&gt;AYI-US^P_BETA_LOCIDX(45492,45317,,"SPX")&lt;/Q&gt;&lt;R&gt;1&lt;/R&gt;&lt;C&gt;1&lt;/C&gt;&lt;D xsi:type="xsd:double"&gt;1.1893768&lt;/D&gt;&lt;/FQL&gt;&lt;FQL&gt;&lt;Q&gt;AYI-US^P_BETA_LOCIDX(45491,45316,,"SPX")&lt;/Q&gt;&lt;R&gt;1&lt;/R&gt;&lt;C&gt;1&lt;/C&gt;&lt;D xsi:type="xsd:double"&gt;1.20714&lt;/D&gt;&lt;/FQL&gt;&lt;FQL&gt;&lt;Q&gt;AYI-US^P_BETA_LOCIDX(45490,45315,,"SPX")&lt;/Q&gt;&lt;R&gt;1&lt;/R&gt;&lt;C&gt;1&lt;/C&gt;&lt;D xsi:type="xsd:double"&gt;1.2130089&lt;/D&gt;&lt;/FQL&gt;&lt;FQL&gt;&lt;Q&gt;AYI-US^P_BETA_LOCIDX(45489,45314,,"SPX")&lt;/Q&gt;&lt;R&gt;1&lt;/R&gt;&lt;C&gt;1&lt;/C&gt;&lt;D xsi:type="xsd:double"&gt;1.1391356&lt;/D&gt;&lt;/FQL&gt;&lt;FQL&gt;&lt;Q&gt;AYI-US^P_BETA_LOCIDX(45488,45313,,"SPX")&lt;/Q&gt;&lt;R&gt;1&lt;/R&gt;&lt;C&gt;1&lt;/C&gt;&lt;D xsi:type="xsd:double"&gt;1.0677874&lt;/D&gt;&lt;/FQL&gt;&lt;FQL&gt;&lt;Q&gt;AYI-US^P_BETA_LOCIDX(45485,45310,,"SPX")&lt;/Q&gt;&lt;R&gt;1&lt;/R&gt;&lt;C&gt;1&lt;/C&gt;&lt;D xsi:type="xsd:double"&gt;1.0738647&lt;/D&gt;&lt;/FQL&gt;&lt;FQL&gt;&lt;Q&gt;AYI-US^P_BETA_LOCIDX(45484,45309,,"SPX")&lt;/Q&gt;&lt;R&gt;1&lt;/R&gt;&lt;C&gt;1&lt;/C&gt;&lt;D xsi:type="xsd:double"&gt;1.075703&lt;/D&gt;&lt;/FQL&gt;&lt;FQL&gt;&lt;Q&gt;AYI-US^P_BETA_LOCIDX(45483,45308,,"SPX")&lt;/Q&gt;&lt;R&gt;1&lt;/R&gt;&lt;C&gt;1&lt;/C&gt;&lt;D xsi:type="xsd:double"&gt;1.1228831&lt;/D&gt;&lt;/FQL&gt;&lt;FQL&gt;&lt;Q&gt;AYI-US^P_BETA_LOCIDX(45482,45307,,"SPX")&lt;/Q&gt;&lt;R&gt;1&lt;/R&gt;&lt;C&gt;1&lt;/C&gt;&lt;D xsi:type="xsd:double"&gt;1.1195723&lt;/D&gt;&lt;/FQL&gt;&lt;FQL&gt;&lt;Q&gt;AYI-US^P_BETA_LOCIDX(45481,45303,,"SPX")&lt;/Q&gt;&lt;R&gt;1&lt;/R&gt;&lt;C&gt;1&lt;/C&gt;&lt;D xsi:type="xsd:double"&gt;1.1186656&lt;/D&gt;&lt;/FQL&gt;&lt;FQL&gt;&lt;Q&gt;AYI-US^P_BETA_LOCIDX(45478,45302,,"SPX")&lt;/Q&gt;&lt;R&gt;1&lt;/R&gt;&lt;C&gt;1&lt;/C&gt;&lt;D xsi:type="xsd:double"&gt;1.1262347&lt;/D&gt;&lt;/FQL&gt;&lt;FQL&gt;&lt;Q&gt;AYI-US^P_BETA_LOCIDX(45476,45301,,"SPX")&lt;/Q&gt;&lt;R&gt;1&lt;/R&gt;&lt;C&gt;1&lt;/C&gt;&lt;D xsi:type="xsd:double"&gt;1.1461335&lt;/D&gt;&lt;/FQL&gt;&lt;FQL&gt;&lt;Q&gt;AYI-US^P_BETA_LOCIDX(45475,45300,,"SPX")&lt;/Q&gt;&lt;R&gt;1&lt;/R&gt;&lt;C&gt;1&lt;/C&gt;&lt;D xsi:type="xsd:double"&gt;1.0913694&lt;/D&gt;&lt;/FQL&gt;&lt;FQL&gt;&lt;Q&gt;AYI-US^P_BETA_LOCIDX(45474,45299,,"SPX")&lt;/Q&gt;&lt;R&gt;1&lt;/R&gt;&lt;C&gt;1&lt;/C&gt;&lt;D xsi:type="xsd:double"&gt;1.0422657&lt;/D&gt;&lt;/FQL&gt;&lt;FQL&gt;&lt;Q&gt;AYI-US^P_BETA_LOCIDX(45471,45296,,"SPX")&lt;/Q&gt;&lt;R&gt;1&lt;/R&gt;&lt;C&gt;1&lt;/C&gt;&lt;D xsi:type="xsd:double"&gt;1.043759&lt;/D&gt;&lt;/FQL&gt;&lt;FQL&gt;&lt;Q&gt;AYI-US^P_BETA_LOCIDX(45470,45295,,"SPX")&lt;/Q&gt;&lt;R&gt;1&lt;/R&gt;&lt;C&gt;1&lt;/C&gt;&lt;D xsi:type="xsd:double"&gt;1.0304961&lt;/D&gt;&lt;/FQL&gt;&lt;FQL&gt;&lt;Q&gt;AYI-US^P_BETA_LOCIDX(45469,45294,,"SPX")&lt;/Q&gt;&lt;R&gt;1&lt;/R&gt;&lt;C&gt;1&lt;/C&gt;&lt;D xsi:type="xsd:double"&gt;1.0316259&lt;/D&gt;&lt;/FQL&gt;&lt;FQL&gt;&lt;Q&gt;AYI-US^P_BETA_LOCIDX(45468,45293,,"SPX")&lt;/Q&gt;&lt;R&gt;1&lt;/R&gt;&lt;C&gt;1&lt;/C&gt;&lt;D xsi:type="xsd:double"&gt;1.0359036&lt;/D&gt;&lt;/FQL&gt;&lt;FQL&gt;&lt;Q&gt;AYI-US^P_BETA_LOCIDX(45467,45289,,"SPX")&lt;/Q&gt;&lt;R&gt;1&lt;/R&gt;&lt;C&gt;1&lt;/C&gt;&lt;D xsi:type="xsd:double"&gt;1.0455828&lt;/D&gt;&lt;/FQL&gt;&lt;FQL&gt;&lt;Q&gt;AYI-US^P_BETA_LOCIDX(45464,45288,,"SPX")&lt;/Q&gt;&lt;R&gt;1&lt;/R&gt;&lt;C&gt;1&lt;/C&gt;&lt;D xsi:type="xsd:double"&gt;1.0572404&lt;/D&gt;&lt;/FQL&gt;&lt;FQL&gt;&lt;Q&gt;AYI-US^P_BETA_LOCIDX(45463,45287,,"SPX")&lt;/Q&gt;&lt;R&gt;1&lt;/R&gt;&lt;C&gt;1&lt;/C&gt;&lt;D xsi:type="xsd:double"&gt;1.0451645&lt;/D&gt;&lt;/FQL&gt;&lt;FQL&gt;&lt;Q&gt;AYI-US^P_BETA_LOCIDX(45461,45286,,"SPX")&lt;/Q&gt;&lt;R&gt;1&lt;/R&gt;&lt;C&gt;1&lt;/C&gt;&lt;D xsi:type="xsd:double"&gt;1.0355954&lt;/D&gt;&lt;/FQL&gt;&lt;FQL&gt;&lt;Q&gt;AYI-US^P_BETA_LOCIDX(45460,45282,,"SPX")&lt;/Q&gt;&lt;R&gt;1&lt;/R&gt;&lt;C&gt;1&lt;/C&gt;&lt;D xsi:type="xsd:double"&gt;1.0450239&lt;/D&gt;&lt;/FQL&gt;&lt;FQL&gt;&lt;Q&gt;AYI-US^P_BETA_LOCIDX(45457,45281,,"SPX")&lt;/Q&gt;&lt;R&gt;1&lt;/R&gt;&lt;C&gt;1&lt;/C&gt;&lt;D xsi:type="xsd:double"&gt;0.9949092&lt;/D&gt;&lt;/FQL&gt;&lt;FQL&gt;&lt;Q&gt;AYI-US^P_BETA_LOCIDX(45456,45280,,"SPX")&lt;/Q&gt;&lt;R&gt;1&lt;/R&gt;&lt;C&gt;1&lt;/C&gt;&lt;D xsi:type="xsd:double"&gt;0.94923455&lt;/D&gt;&lt;/FQL&gt;&lt;FQL&gt;&lt;Q&gt;AYI-US^P_BETA_LOCIDX(45455,45279,,"SPX")&lt;/Q&gt;&lt;R&gt;1&lt;/R&gt;&lt;C&gt;1&lt;/C&gt;&lt;D xsi:type="xsd:double"&gt;0.94390553&lt;/D&gt;&lt;/FQL&gt;&lt;FQL&gt;&lt;Q&gt;AYI-US^P_BETA_LOCIDX(45454,45278,,"SPX")&lt;/Q&gt;&lt;R&gt;1&lt;/R&gt;&lt;C&gt;1&lt;/C&gt;&lt;D xsi:type="xsd:double"&gt;0.9181266&lt;/D&gt;&lt;/FQL&gt;&lt;FQL&gt;&lt;Q&gt;AYI-US^P_BETA_LOCIDX(45453,45275,,"SPX")&lt;/Q&gt;&lt;R&gt;1&lt;/R&gt;&lt;C&gt;1&lt;/C&gt;&lt;D xsi:type="xsd:double"&gt;0.9242679&lt;/D&gt;&lt;/FQL&gt;&lt;FQL&gt;&lt;Q&gt;AYI-US^P_BETA_LOCIDX(45450,45274,,"SPX")&lt;/Q&gt;&lt;R&gt;1&lt;/R&gt;&lt;C&gt;1&lt;/C&gt;&lt;D xsi:type="xsd:double"&gt;0.9341652&lt;/D&gt;&lt;/FQL&gt;&lt;FQL&gt;&lt;Q&gt;AYI-US^P_BETA_LOCIDX(45449,45273,,"SPX")&lt;/Q&gt;&lt;R&gt;1&lt;/R&gt;&lt;C&gt;1&lt;/C&gt;&lt;D xsi:type="xsd:double"&gt;0.9544552&lt;/D&gt;&lt;/FQL&gt;&lt;FQL&gt;&lt;Q&gt;AYI-US^P_BETA_LOCIDX(45448,45272,,"SPX")&lt;/Q&gt;&lt;R&gt;1&lt;/R&gt;&lt;C&gt;1&lt;/C&gt;&lt;D xsi:type="xsd:double"&gt;0.94760716&lt;/D&gt;&lt;/FQL&gt;&lt;FQL&gt;&lt;Q&gt;AYI-US^P_BETA_LOCIDX(45447,45271,,"SPX")&lt;/Q&gt;&lt;R&gt;1&lt;/R&gt;&lt;C&gt;1&lt;/C&gt;&lt;D xsi:type="xsd:double"&gt;0.9117478&lt;/D&gt;&lt;/FQL&gt;&lt;FQL&gt;&lt;Q&gt;AYI-US^P_BETA_LOCIDX(45446,45268,,"SPX")&lt;/Q&gt;&lt;R&gt;1&lt;/R&gt;&lt;C&gt;1&lt;/C&gt;&lt;D xsi:type="xsd:double"&gt;0.9126698&lt;/D&gt;&lt;/FQL&gt;&lt;FQL&gt;&lt;Q&gt;AYI-US^P_BETA_LOCIDX(45443,45267,,"SPX")&lt;/Q&gt;&lt;R&gt;1&lt;/R&gt;&lt;C&gt;1&lt;/C&gt;&lt;D xsi:type="xsd:double"&gt;0.91192126&lt;/D&gt;&lt;/FQL&gt;&lt;FQL&gt;&lt;Q&gt;AYI-US^P_BETA_LOCIDX(45442,45266,,"SPX")&lt;/Q&gt;&lt;R&gt;1&lt;/R&gt;&lt;C&gt;1&lt;/C&gt;&lt;D xsi:type="xsd:double"&gt;0.89182633&lt;/D&gt;&lt;/FQL&gt;&lt;FQL&gt;&lt;Q&gt;AYI-US^P_BETA_LOCIDX(45441,45265,,"SPX")&lt;/Q&gt;&lt;R&gt;1&lt;/R&gt;&lt;C&gt;1&lt;/C&gt;&lt;D xsi:type="xsd:double"&gt;0.9179243&lt;/D&gt;&lt;/FQL&gt;&lt;FQL&gt;&lt;Q&gt;AYI-US^P_BETA_LOCIDX(45440,45264,,"SPX")&lt;/Q&gt;&lt;R&gt;1&lt;/R&gt;&lt;C&gt;1&lt;/C&gt;&lt;D xsi:type="xsd:double"&gt;0.91256833&lt;/D&gt;&lt;/FQL&gt;&lt;FQL&gt;&lt;Q&gt;AYI-US^P_BETA_LOCIDX(45436,45261,,"SPX")&lt;/Q&gt;&lt;R&gt;1&lt;/R&gt;&lt;C&gt;1&lt;/C&gt;&lt;D xsi:type="xsd:double"&gt;0.91622543&lt;/D&gt;&lt;/FQL&gt;&lt;FQL&gt;&lt;Q&gt;AYI-US^P_BETA_LOCIDX(45435,45260,,"SPX")&lt;/Q&gt;&lt;R&gt;1&lt;/R&gt;&lt;C&gt;1&lt;/C&gt;&lt;D xsi:type="xsd:double"&gt;0.92670345&lt;/D&gt;&lt;/FQL&gt;&lt;FQL&gt;&lt;Q&gt;AYI-US^P_BETA_LOCIDX(45434,45259,,"SPX")&lt;/Q&gt;&lt;R&gt;1&lt;/R&gt;&lt;C&gt;1&lt;/C&gt;&lt;D xsi:type="xsd:double"&gt;0.9307422&lt;/D&gt;&lt;/FQL&gt;&lt;FQL&gt;&lt;Q&gt;AYI-US^P_BETA_LOCIDX(45433,45258,,"SPX")&lt;/Q&gt;&lt;R&gt;1&lt;/R&gt;&lt;C&gt;1&lt;/C&gt;&lt;D xsi:type="xsd:double"&gt;0.92872316&lt;/D&gt;&lt;/FQL&gt;&lt;FQL&gt;&lt;Q&gt;AYI-US^P_BETA_LOCIDX(45432,45257,,"SPX")&lt;/Q&gt;&lt;R&gt;1&lt;/R&gt;&lt;C&gt;1&lt;/C&gt;&lt;D xsi:type="xsd:double"&gt;0.920984&lt;/D&gt;&lt;/FQL&gt;&lt;FQL&gt;&lt;Q&gt;AYI-US^P_BETA_LOCIDX(45429,45254,,"SPX")&lt;/Q&gt;&lt;R&gt;1&lt;/R&gt;&lt;C&gt;1&lt;/C&gt;&lt;D xsi:type="xsd:double"&gt;0.921571&lt;/D&gt;&lt;/FQL&gt;&lt;FQL&gt;&lt;Q&gt;AYI-US^P_BETA_LOCIDX(45428,45252,,"SPX")&lt;/Q&gt;&lt;R&gt;1&lt;/R&gt;&lt;C&gt;1&lt;/C&gt;&lt;D xsi:type="xsd:double"&gt;0.91654754&lt;/D&gt;&lt;/FQL&gt;&lt;FQL&gt;&lt;Q&gt;AYI-US^P_BETA_LOCIDX(45427,45251,,"SPX")&lt;/Q&gt;&lt;R&gt;1&lt;/R&gt;&lt;C&gt;1&lt;/C&gt;&lt;D xsi:type="xsd:double"&gt;0.91107494&lt;/D&gt;&lt;/FQL&gt;&lt;FQL&gt;&lt;Q&gt;AYI-US^P_BETA_LOCIDX(45426,45250,,"SPX")&lt;/Q&gt;&lt;R&gt;1&lt;/R&gt;&lt;C&gt;1&lt;/C&gt;&lt;D xsi:type="xsd:double"&gt;0.8953866&lt;/D&gt;&lt;/FQL&gt;&lt;FQL&gt;&lt;Q&gt;AYI-US^P_BETA_LOCIDX(45425,45247,,"SPX")&lt;/Q&gt;&lt;R&gt;1&lt;/R&gt;&lt;C&gt;1&lt;/C&gt;&lt;D xsi:type="xsd:double"&gt;0.89744097&lt;/D&gt;&lt;/FQL&gt;&lt;FQL&gt;&lt;Q&gt;AYI-US^P_BETA_LOCIDX(45422,45246,,"SPX")&lt;/Q&gt;&lt;R&gt;1&lt;/R&gt;&lt;C&gt;1&lt;/C&gt;&lt;D xsi:type="xsd:double"&gt;0.8940465&lt;/D&gt;&lt;/FQL&gt;&lt;FQL&gt;&lt;Q&gt;AYI-US^P_BETA_LOCIDX(45421,45245,,"SPX")&lt;/Q&gt;&lt;R&gt;1&lt;/R&gt;&lt;C&gt;1&lt;/C&gt;&lt;D xsi:type="xsd:double"&gt;0.8941067&lt;/D&gt;&lt;/FQL&gt;&lt;FQL&gt;&lt;Q&gt;AYI-US^P_BETA_LOCIDX(45420,45244,,"SPX")&lt;/Q&gt;&lt;R&gt;1&lt;/R&gt;&lt;C&gt;1&lt;/C&gt;&lt;D xsi:type="xsd:double"&gt;0.94955397&lt;/D&gt;&lt;/FQL&gt;&lt;FQL&gt;&lt;Q&gt;AYI-US^P_BETA_LOCIDX(45419,45243,,"SPX")&lt;/Q&gt;&lt;R&gt;1&lt;/R&gt;&lt;C&gt;1&lt;/C&gt;&lt;D xsi:type="xsd:double"&gt;0.9503974&lt;/D&gt;&lt;/FQL&gt;&lt;FQL&gt;&lt;Q&gt;AYI-US^P_BETA_LOCIDX(45418,45240,,"SPX")&lt;/Q&gt;&lt;R&gt;1&lt;/R&gt;&lt;C&gt;1&lt;/C&gt;&lt;D xsi:type="xsd:double"&gt;0.9962913&lt;/D&gt;&lt;/FQL&gt;&lt;FQL&gt;&lt;Q&gt;AYI-US^P_BETA_LOCIDX(45415,45239,,"SPX")&lt;/Q&gt;&lt;R&gt;1&lt;/R&gt;&lt;C&gt;1&lt;/C&gt;&lt;D xsi:type="xsd:double"&gt;0.9818018&lt;/D&gt;&lt;/FQL&gt;&lt;FQL&gt;&lt;Q&gt;AYI-US^P_BETA_LOCIDX(45414,45238,,"SPX")&lt;/Q&gt;&lt;R&gt;1&lt;/R&gt;&lt;C&gt;1&lt;/C&gt;&lt;D xsi:type="xsd:double"&gt;0.9795823&lt;/D&gt;&lt;/FQL&gt;&lt;FQL&gt;&lt;Q&gt;AYI-US^P_BETA_LOCIDX(45413,45237,,"SPX")&lt;/Q&gt;&lt;R&gt;1&lt;/R&gt;&lt;C&gt;1&lt;/C&gt;&lt;D xsi:type="xsd:double"&gt;0.96954197&lt;/D&gt;&lt;/FQL&gt;&lt;FQL&gt;&lt;Q&gt;AYI-US^P_BETA_LOCIDX(45412,45236,,"SPX")&lt;/Q&gt;&lt;R&gt;1&lt;/R&gt;&lt;C&gt;1&lt;/C&gt;&lt;D xsi:type="xsd:double"&gt;0.9621746&lt;/D&gt;&lt;/FQL&gt;&lt;FQL&gt;&lt;Q&gt;AYI-US^P_BETA_LOCIDX(45411,45233,,"SPX")&lt;/Q&gt;&lt;R&gt;1&lt;/R&gt;&lt;C&gt;1&lt;/C&gt;&lt;D xsi:type="xsd:double"&gt;0.94893855&lt;/D&gt;&lt;/FQL&gt;&lt;FQL&gt;&lt;Q&gt;AYI-US^P_BETA_LOCIDX(45408,45232,,"SPX")&lt;/Q&gt;&lt;R&gt;1&lt;/R&gt;&lt;C&gt;1&lt;/C&gt;&lt;D xsi:type="xsd:double"&gt;0.9719878&lt;/D&gt;&lt;/FQL&gt;&lt;FQL&gt;&lt;Q&gt;AYI-US^P_BETA_LOCIDX(45407,45231,,"SPX")&lt;/Q&gt;&lt;R&gt;1&lt;/R&gt;&lt;C&gt;1&lt;/C&gt;&lt;D xsi:type="xsd:double"&gt;0.97162503&lt;/D&gt;&lt;/FQL&gt;&lt;FQL&gt;&lt;Q&gt;AYI-US^P_BETA_LOCIDX(45406,45230,,"SPX")&lt;/Q&gt;&lt;R&gt;1&lt;/R&gt;&lt;C&gt;1&lt;/C&gt;&lt;D xsi:type="xsd:double"&gt;0.9751787&lt;/D&gt;&lt;/FQL&gt;&lt;FQL&gt;&lt;Q&gt;AYI-US^P_BETA_LOCIDX(45405,45229,,"SPX")&lt;/Q&gt;&lt;R&gt;1&lt;/R&gt;&lt;C&gt;1&lt;/C&gt;&lt;D xsi:type="xsd:double"&gt;0.9587869&lt;/D&gt;&lt;/FQL&gt;&lt;FQL&gt;&lt;Q&gt;AYI-US^P_BETA_LOCIDX(45404,45226,,"SPX")&lt;/Q&gt;&lt;R&gt;1&lt;/R&gt;&lt;C&gt;1&lt;/C&gt;&lt;D xsi:type="xsd:double"&gt;0.94729096&lt;/D&gt;&lt;/FQL&gt;&lt;FQL&gt;&lt;Q&gt;AYI-US^P_BETA_LOCIDX(45401,45225,,"SPX")&lt;/Q&gt;&lt;R&gt;1&lt;/R&gt;&lt;C&gt;1&lt;/C&gt;&lt;D xsi:type="xsd:double"&gt;0.9355472&lt;/D&gt;&lt;/FQL&gt;&lt;FQL&gt;&lt;Q&gt;AYI-US^P_BETA_LOCIDX(45400,45224,,"SPX")&lt;/Q&gt;&lt;R&gt;1&lt;/R&gt;&lt;C&gt;1&lt;/C&gt;&lt;D xsi:type="xsd:double"&gt;0.95971733&lt;/D&gt;&lt;/FQL&gt;&lt;FQL&gt;&lt;Q&gt;AYI-US^P_BETA_LOCIDX(45399,45223,,"SPX")&lt;/Q&gt;&lt;R&gt;1&lt;/R&gt;&lt;C&gt;1&lt;/C&gt;&lt;D xsi:type="xsd:double"&gt;0.9326297&lt;/D&gt;&lt;/FQL&gt;&lt;FQL&gt;&lt;Q&gt;AYI-US^P_BETA_LOCIDX(45398,45222,,"SPX")&lt;/Q&gt;&lt;R&gt;1&lt;/R&gt;&lt;C&gt;1&lt;/C&gt;&lt;D xsi:type="xsd:double"&gt;0.927909&lt;/D&gt;&lt;/FQL&gt;&lt;FQL&gt;&lt;Q&gt;AYI-US^P_BETA_LOCIDX(45397,45219,,"SPX")&lt;/Q&gt;&lt;R&gt;1&lt;/R&gt;&lt;C&gt;1&lt;/C&gt;&lt;D xsi:type="xsd:double"&gt;0.8815737&lt;/D&gt;&lt;/FQL&gt;&lt;FQL&gt;&lt;Q&gt;AYI-US^P_BETA_LOCIDX(45394,45218,,"SPX")&lt;/Q&gt;&lt;R&gt;1&lt;/R&gt;&lt;C&gt;1&lt;/C&gt;&lt;D xsi:type="xsd:double"&gt;0.8866834&lt;/D&gt;&lt;/FQL&gt;&lt;FQL&gt;&lt;Q&gt;AYI-US^P_BETA_LOCIDX(45393,45217,,"SPX")&lt;/Q&gt;&lt;R&gt;1&lt;/R&gt;&lt;C&gt;1&lt;/C&gt;&lt;D xsi:type="xsd:double"&gt;0.9641355&lt;/D&gt;&lt;/FQL&gt;&lt;FQL&gt;&lt;Q&gt;AYI-US^P_BETA_LOCIDX(45392,45216,,"SPX")&lt;/Q&gt;&lt;R&gt;1&lt;/R&gt;&lt;C&gt;1&lt;/C&gt;&lt;D xsi:type="xsd:double"&gt;0.9758626&lt;/D&gt;&lt;/FQL&gt;&lt;FQL&gt;&lt;Q&gt;AYI-US^P_BETA_LOCIDX(45391,45215,,"SPX")&lt;/Q&gt;&lt;R&gt;1&lt;/R&gt;&lt;C&gt;1&lt;/C&gt;&lt;D xsi:type="xsd:double"&gt;0.9766292&lt;/D&gt;&lt;/FQL&gt;&lt;FQL&gt;&lt;Q&gt;AYI-US^P_BETA_LOCIDX(45390,45212,,"SPX")&lt;/Q&gt;&lt;R&gt;1&lt;/R&gt;&lt;C&gt;1&lt;/C&gt;&lt;D xsi:type="xsd:double"&gt;0.97943234&lt;/D&gt;&lt;/FQL&gt;&lt;FQL&gt;&lt;Q&gt;AYI-US^P_BETA_LOCIDX(45387,45211,,"SPX")&lt;/Q&gt;&lt;R&gt;1&lt;/R&gt;&lt;C&gt;1&lt;/C&gt;&lt;D xsi:type="xsd:double"&gt;0.985043&lt;/D&gt;&lt;/FQL&gt;&lt;FQL&gt;&lt;Q&gt;AYI-US^P_BETA_LOCIDX(45386,45210,,"SPX")&lt;/Q&gt;&lt;R&gt;1&lt;/R&gt;&lt;C&gt;1&lt;/C&gt;&lt;D xsi:type="xsd:double"&gt;0.96735936&lt;/D&gt;&lt;/FQL&gt;&lt;FQL&gt;&lt;Q&gt;AYI-US^P_BETA_LOCIDX(45385,45209,,"SPX")&lt;/Q&gt;&lt;R&gt;1&lt;/R&gt;&lt;C&gt;1&lt;/C&gt;&lt;D xsi:type="xsd:double"&gt;0.97735006&lt;/D&gt;&lt;/FQL&gt;&lt;FQL&gt;&lt;Q&gt;AYI-US^P_BETA_LOCIDX(45384,45208,,"SPX")&lt;/Q&gt;&lt;R&gt;1&lt;/R&gt;&lt;C&gt;1&lt;/C&gt;&lt;D xsi:type="xsd:double"&gt;0.9681214&lt;/D&gt;&lt;/FQL&gt;&lt;FQL&gt;&lt;Q&gt;AYI-US^P_BETA_LOCIDX(45383,45205,,"SPX")&lt;/Q&gt;&lt;R&gt;1&lt;/R&gt;&lt;C&gt;1&lt;/C&gt;&lt;D xsi:type="xsd:double"&gt;0.9607203&lt;/D&gt;&lt;/FQL&gt;&lt;FQL&gt;&lt;Q&gt;AYI-US^P_BETA_LOCIDX(45379,45204,,"SPX")&lt;/Q&gt;&lt;R&gt;1&lt;/R&gt;&lt;C&gt;1&lt;/C&gt;&lt;D xsi:type="xsd:double"&gt;0.9529708&lt;/D&gt;&lt;/FQL&gt;&lt;FQL&gt;&lt;Q&gt;AYI-US^P_BETA_LOCIDX(45378,45203,,"SPX")&lt;/Q&gt;&lt;R&gt;1&lt;/R&gt;&lt;C&gt;1&lt;/C&gt;&lt;D xsi:type="xsd:double"&gt;1.0134801&lt;/D&gt;&lt;/FQL&gt;&lt;FQL&gt;&lt;Q&gt;AYI-US^P_BETA_LOCIDX(45377,45202,,"SPX")&lt;/Q&gt;&lt;R&gt;1&lt;/R&gt;&lt;C&gt;1&lt;/C&gt;&lt;D xsi:type="xsd:double"&gt;0.99545664&lt;/D&gt;&lt;/FQL&gt;&lt;FQL&gt;&lt;Q&gt;AYI-US^P_BETA_LOCIDX(45376,45201,,"SPX")&lt;/Q&gt;&lt;R&gt;1&lt;/R&gt;&lt;C&gt;1&lt;/C&gt;&lt;D xsi:type="xsd:double"&gt;1.0050648&lt;/D&gt;&lt;/FQL&gt;&lt;FQL&gt;&lt;Q&gt;AYI-US^P_BETA_LOCIDX(45373,45198,,"SPX")&lt;/Q&gt;&lt;R&gt;1&lt;/R&gt;&lt;C&gt;1&lt;/C&gt;&lt;D xsi:type="xsd:double"&gt;0.9998776&lt;/D&gt;&lt;/FQL&gt;&lt;FQL&gt;&lt;Q&gt;AYI-US^P_BETA_LOCIDX(45372,45197,,"SPX")&lt;/Q&gt;&lt;R&gt;1&lt;/R&gt;&lt;C&gt;1&lt;/C&gt;&lt;D xsi:type="xsd:double"&gt;1.004551&lt;/D&gt;&lt;/FQL&gt;&lt;FQL&gt;&lt;Q&gt;AYI-US^P_BETA_LOCIDX(45371,45196,,"SPX")&lt;/Q&gt;&lt;R&gt;1&lt;/R&gt;&lt;C&gt;1&lt;/C&gt;&lt;D xsi:type="xsd:double"&gt;1.000522&lt;/D&gt;&lt;/FQL&gt;&lt;FQL&gt;&lt;Q&gt;AYI-US^P_BETA_LOCIDX(45370,45195,,"SPX")&lt;/Q&gt;&lt;R&gt;1&lt;/R&gt;&lt;C&gt;1&lt;/C&gt;&lt;D xsi:type="xsd:double"&gt;0.98162234&lt;/D&gt;&lt;/FQL&gt;&lt;FQL&gt;&lt;Q&gt;AYI-US^P_BETA_LOCIDX(45369,45194,,"SPX")&lt;/Q&gt;&lt;R&gt;1&lt;/R&gt;&lt;C&gt;1&lt;/C&gt;&lt;D xsi:type="xsd:double"&gt;0.98442&lt;/D&gt;&lt;/FQL&gt;&lt;FQL&gt;&lt;Q&gt;AYI-US^P_BETA_LOCIDX(45366,45191,,"SPX")&lt;/Q&gt;&lt;R&gt;1&lt;/R&gt;&lt;C&gt;1&lt;/C&gt;&lt;D xsi:type="xsd:double"&gt;0.9765585&lt;/D&gt;&lt;/FQL&gt;&lt;FQL&gt;&lt;Q&gt;AYI-US^P_BETA_LOCIDX(45365,45190,,"SPX")&lt;/Q&gt;&lt;R&gt;1&lt;/R&gt;&lt;C&gt;1&lt;/C&gt;&lt;D xsi:type="xsd:double"&gt;0.967603&lt;/D&gt;&lt;/FQL&gt;&lt;FQL&gt;&lt;Q&gt;AYI-US^P_BETA_LOCIDX(45364,45189,,"SPX")&lt;/Q&gt;&lt;R&gt;1&lt;/R&gt;&lt;C&gt;1&lt;/C&gt;&lt;D xsi:type="xsd:double"&gt;0.96806043&lt;/D&gt;&lt;/FQL&gt;&lt;FQL&gt;&lt;Q&gt;AYI-US^P_BETA_LOCIDX(45363,45188,,"SPX")&lt;/Q&gt;&lt;R&gt;1&lt;/R&gt;&lt;C&gt;1&lt;/C&gt;&lt;D xsi:type="xsd:double"&gt;0.9655805&lt;/D&gt;&lt;/FQL&gt;&lt;FQL&gt;&lt;Q&gt;AYI-US^P_BETA_LOCIDX(45362,45187,,"SPX")&lt;/Q&gt;&lt;R&gt;1&lt;/R&gt;&lt;C&gt;1&lt;/C&gt;&lt;D xsi:type="xsd:double"&gt;0.96054&lt;/D&gt;&lt;/FQL&gt;&lt;FQL&gt;&lt;Q&gt;AYI-US^P_BETA_LOCIDX(45359,45184,,"SPX")&lt;/Q&gt;&lt;R&gt;1&lt;/R&gt;&lt;C&gt;1&lt;/C&gt;&lt;D xsi:type="xsd:double"&gt;0.9533682&lt;/D&gt;&lt;/FQL&gt;&lt;FQL&gt;&lt;Q&gt;AYI-US^P_BETA_LOCIDX(45358,45183,,"SPX")&lt;/Q&gt;&lt;R&gt;1&lt;/R&gt;&lt;C&gt;1&lt;/C&gt;&lt;D xsi:type="xsd:double"&gt;0.9416071&lt;/D&gt;&lt;/FQL&gt;&lt;FQL&gt;&lt;Q&gt;AYI-US^P_BETA_LOCIDX(45357,45182,,"SPX")&lt;/Q&gt;&lt;R&gt;1&lt;/R&gt;&lt;C&gt;1&lt;/C&gt;&lt;D xsi:type="xsd:double"&gt;0.9754001&lt;/D&gt;&lt;/FQL&gt;&lt;FQL&gt;&lt;Q&gt;AYI-US^P_BETA_LOCIDX(45356,45181,,"SPX")&lt;/Q&gt;&lt;R&gt;1&lt;/R&gt;&lt;C&gt;1&lt;/C&gt;&lt;D xsi:type="xsd:double"&gt;0.9669563&lt;/D&gt;&lt;/FQL&gt;&lt;FQL&gt;&lt;Q&gt;AYI-US^P_BETA_LOCIDX(45355,45180,,"SPX")&lt;/Q&gt;&lt;R&gt;1&lt;/R&gt;&lt;C&gt;1&lt;/C&gt;&lt;D xsi:type="xsd:double"&gt;0.9591294&lt;/D&gt;&lt;/FQL&gt;&lt;FQL&gt;&lt;Q&gt;AYI-US^P_BETA_LOCIDX(45352,45177,,"SPX")&lt;/Q&gt;&lt;R&gt;1&lt;/R&gt;&lt;C&gt;1&lt;/C&gt;&lt;D xsi:type="xsd:double"&gt;0.96640104&lt;/D&gt;&lt;/FQL&gt;&lt;FQL&gt;&lt;Q&gt;AYI-US^P_BETA_LOCIDX(45351,45176,,"SPX")&lt;/Q&gt;&lt;R&gt;1&lt;/R&gt;&lt;C&gt;1&lt;/C&gt;&lt;D xsi:type="xsd:double"&gt;0.98753667&lt;/D&gt;&lt;/FQL&gt;&lt;FQL&gt;&lt;Q&gt;AYI-US^P_BETA_LOCIDX(45350,45175,,"SPX")&lt;/Q&gt;&lt;R&gt;1&lt;/R&gt;&lt;C&gt;1&lt;/C&gt;&lt;D xsi:type="xsd:double"&gt;0.9834065&lt;/D&gt;&lt;/FQL&gt;&lt;FQL&gt;&lt;Q&gt;AYI-US^P_BETA_LOCIDX(45349,45174,,"SPX")&lt;/Q&gt;&lt;R&gt;1&lt;/R&gt;&lt;C&gt;1&lt;/C&gt;&lt;D xsi:type="xsd:double"&gt;0.9951663&lt;/D&gt;&lt;/FQL&gt;&lt;FQL&gt;&lt;Q&gt;AYI-US^P_BETA_LOCIDX(45348,45170,,"SPX")&lt;/Q&gt;&lt;R&gt;1&lt;/R&gt;&lt;C&gt;1&lt;/C&gt;&lt;D xsi:type="xsd:double"&gt;0.99503195&lt;/D&gt;&lt;/FQL&gt;&lt;FQL&gt;&lt;Q&gt;AYI-US^P_BETA_LOCIDX(45345,45169,,"SPX")&lt;/Q&gt;&lt;R&gt;1&lt;/R&gt;&lt;C&gt;1&lt;/C&gt;&lt;D xsi:type="xsd:double"&gt;0.9935894&lt;/D&gt;&lt;/FQL&gt;&lt;FQL&gt;&lt;Q&gt;AYI-US^P_BETA_LOCIDX(45344,45168,,"SPX")&lt;/Q&gt;&lt;R&gt;1&lt;/R&gt;&lt;C&gt;1&lt;/C&gt;&lt;D xsi:type="xsd:double"&gt;0.9891746&lt;/D&gt;&lt;/FQL&gt;&lt;FQL&gt;&lt;Q&gt;AYI-US^P_BETA_LOCIDX(45343,45167,,"SPX")&lt;/Q&gt;&lt;R&gt;1&lt;/R&gt;&lt;C&gt;1&lt;/C&gt;&lt;D xsi:type="xsd:double"&gt;0.9967217&lt;/D&gt;&lt;/FQL&gt;&lt;FQL&gt;&lt;Q&gt;AYI-US^P_BETA_LOCIDX(45342,45166,,"SPX")&lt;/Q&gt;&lt;R&gt;1&lt;/R&gt;&lt;C&gt;1&lt;/C&gt;&lt;D xsi:type="xsd:double"&gt;0.99860275&lt;/D&gt;&lt;/FQL&gt;&lt;FQL&gt;&lt;Q&gt;AYI-US^P_BETA_LOCIDX(45338,45163,,"SPX")&lt;/Q&gt;&lt;R&gt;1&lt;/R&gt;&lt;C&gt;1&lt;/C&gt;&lt;D xsi:type="xsd:double"&gt;0.9875807&lt;/D&gt;&lt;/FQL&gt;&lt;FQL&gt;&lt;Q&gt;AYI-US^P_BETA_LOCIDX(45337,45162,,"SPX")&lt;/Q&gt;&lt;R&gt;1&lt;/R&gt;&lt;C&gt;1&lt;/C&gt;&lt;D xsi:type="xsd:double"&gt;0.9929009&lt;/D&gt;&lt;/FQL&gt;&lt;FQL&gt;&lt;Q&gt;AYI-US^P_BETA_LOCIDX(45336,45161,,"SPX")&lt;/Q&gt;&lt;R&gt;1&lt;/R&gt;&lt;C&gt;1&lt;/C&gt;&lt;D xsi:type="xsd:double"&gt;0.99430084&lt;/D&gt;&lt;/FQL&gt;&lt;FQL&gt;&lt;Q&gt;AYI-US^P_BETA_LOCIDX(45335,45160,,"SPX")&lt;/Q&gt;&lt;R&gt;1&lt;/R&gt;&lt;C&gt;1&lt;/C&gt;&lt;D xsi:type="xsd:double"&gt;0.96958214&lt;/D&gt;&lt;/FQL&gt;&lt;FQL&gt;&lt;Q&gt;AYI-US^P_BETA_LOCIDX(45334,45159,,"SPX")&lt;/Q&gt;&lt;R&gt;1&lt;/R&gt;&lt;C&gt;1&lt;/C&gt;&lt;D xsi:type="xsd:double"&gt;0.9388135&lt;/D&gt;&lt;/FQL&gt;&lt;FQL&gt;&lt;Q&gt;AYI-US^P_BETA_LOCIDX(45331,45156,,"SPX")&lt;/Q&gt;&lt;R&gt;1&lt;/R&gt;&lt;C&gt;1&lt;/C&gt;&lt;D xsi:type="xsd:double"&gt;0.9409272&lt;/D&gt;&lt;/FQL&gt;&lt;FQL&gt;&lt;Q&gt;AYI-US^P_BETA_LOCIDX(45330,45155,,"SPX")&lt;/Q&gt;&lt;R&gt;1&lt;/R&gt;&lt;C&gt;1&lt;/C&gt;&lt;D xsi:type="xsd:double"&gt;0.9442596&lt;/D&gt;&lt;/FQL&gt;&lt;FQL&gt;&lt;Q&gt;AYI-US^P_BETA_LOCIDX(45329,45154,,"SPX")&lt;/Q&gt;&lt;R&gt;1&lt;/R&gt;&lt;C&gt;1&lt;/C&gt;&lt;D xsi:type="xsd:double"&gt;0.95243007&lt;/D&gt;&lt;/FQL&gt;&lt;FQL&gt;&lt;Q&gt;AYI-US^P_BETA_LOCIDX(45328,45153,,"SPX")&lt;/Q&gt;&lt;R&gt;1&lt;/R&gt;&lt;C&gt;1&lt;/C&gt;&lt;D xsi:type="xsd:double"&gt;0.989681&lt;/D&gt;&lt;/FQL&gt;&lt;FQL&gt;&lt;Q&gt;AYI-US^P_BETA_LOCIDX(45327,45152,,"SPX")&lt;/Q&gt;&lt;R&gt;1&lt;/R&gt;&lt;C&gt;1&lt;/C&gt;&lt;D xsi:type="xsd:double"&gt;0.9874531&lt;/D&gt;&lt;/FQL&gt;&lt;FQL&gt;&lt;Q&gt;AYI-US^P_BETA_LOCIDX(45324,45149,,"SPX")&lt;/Q&gt;&lt;R&gt;1&lt;/R&gt;&lt;C&gt;1&lt;/C&gt;&lt;D xsi:type="xsd:double"&gt;0.98511076&lt;/D&gt;&lt;/FQL&gt;&lt;FQL&gt;&lt;Q&gt;AYI-US^P_BETA_LOCIDX(45323,45148,,"SPX")&lt;/Q&gt;&lt;R&gt;1&lt;/R&gt;&lt;C&gt;1&lt;/C&gt;&lt;D xsi:type="xsd:double"&gt;1.0080922&lt;/D&gt;&lt;/FQL&gt;&lt;FQL&gt;&lt;Q&gt;AYI-US^P_BETA_LOCIDX(45322,45147,,"SPX")&lt;/Q&gt;&lt;R&gt;1&lt;/R&gt;&lt;C&gt;1&lt;/C&gt;&lt;D xsi:type="xsd:double"&gt;1.0234016&lt;/D&gt;&lt;/FQL&gt;&lt;FQL&gt;&lt;Q&gt;AYI-US^P_BETA_LOCIDX(45321,45146,,"SPX")&lt;/Q&gt;&lt;R&gt;1&lt;/R&gt;&lt;C&gt;1&lt;/C&gt;&lt;D xsi:type="xsd:double"&gt;1.0159938&lt;/D&gt;&lt;/FQL&gt;&lt;FQL&gt;&lt;Q&gt;AYI-US^P_BETA_LOCIDX(45320,45145,,"SPX")&lt;/Q&gt;&lt;R&gt;1&lt;/R&gt;&lt;C&gt;1&lt;/C&gt;&lt;D xsi:type="xsd:double"&gt;1.0197228&lt;/D&gt;&lt;/FQL&gt;&lt;FQL&gt;&lt;Q&gt;AYI-US^P_BETA_LOCIDX(45317,45142,,"SPX")&lt;/Q&gt;&lt;R&gt;1&lt;/R&gt;&lt;C&gt;1&lt;/C&gt;&lt;D xsi:type="xsd:double"&gt;1.0264721&lt;/D&gt;&lt;/FQL&gt;&lt;FQL&gt;&lt;Q&gt;AYI-US^P_BETA_LOCIDX(45316,45141,,"SPX")&lt;/Q&gt;&lt;R&gt;1&lt;/R&gt;&lt;C&gt;1&lt;/C&gt;&lt;D xsi:type="xsd:double"&gt;1.0304747&lt;/D&gt;&lt;/FQL&gt;&lt;FQL&gt;&lt;Q&gt;AYI-US^P_BETA_LOCIDX(45315,45140,,"SPX")&lt;/Q&gt;&lt;R&gt;1&lt;/R&gt;&lt;C&gt;1&lt;/C&gt;&lt;D xsi:type="xsd:double"&gt;0.9753298&lt;/D&gt;&lt;/FQL&gt;&lt;FQL&gt;&lt;Q&gt;AYI-US^P_BETA_LOCIDX(45314,45139,,"SPX")&lt;/Q&gt;&lt;R&gt;1&lt;/R&gt;&lt;C&gt;1&lt;/C&gt;&lt;D xsi:type="xsd:double"&gt;0.973178&lt;/D&gt;&lt;/FQL&gt;&lt;FQL&gt;&lt;Q&gt;AYI-US^P_BETA_LOCIDX(45313,45138,,"SPX")&lt;/Q&gt;&lt;R&gt;1&lt;/R&gt;&lt;C&gt;1&lt;/C&gt;&lt;D xsi:type="xsd:double"&gt;0.97563636&lt;/D&gt;&lt;/FQL&gt;&lt;FQL&gt;&lt;Q&gt;AYI-US^P_BETA_LOCIDX(45310,45135,,"SPX")&lt;/Q&gt;&lt;R&gt;1&lt;/R&gt;&lt;C&gt;1&lt;/C&gt;&lt;D xsi:type="xsd:double"&gt;0.97470737&lt;/D&gt;&lt;/FQL&gt;&lt;FQL&gt;&lt;Q&gt;AYI-US^P_BETA_LOCIDX(45309,45134,,"SPX")&lt;/Q&gt;&lt;R&gt;1&lt;/R&gt;&lt;C&gt;1&lt;/C&gt;&lt;D xsi:type="xsd:double"&gt;0.9524458&lt;/D&gt;&lt;/FQL&gt;&lt;FQL&gt;&lt;Q&gt;AYI-US^P_BETA_LOCIDX(45308,45133,,"SPX")&lt;/Q&gt;&lt;R&gt;1&lt;/R&gt;&lt;C&gt;1&lt;/C&gt;&lt;D xsi:type="xsd:double"&gt;0.9536365&lt;/D&gt;&lt;/FQL&gt;&lt;FQL&gt;&lt;Q&gt;AYI-US^P_BETA_LOCIDX(45307,45132,,"SPX")&lt;/Q&gt;&lt;R&gt;1&lt;/R&gt;&lt;C&gt;1&lt;/C&gt;&lt;D xsi:type="xsd:double"&gt;0.9512785&lt;/D&gt;&lt;/FQL&gt;&lt;FQL&gt;&lt;Q&gt;AYI-US^P_BETA_LOCIDX(45303,45131,,"SPX")&lt;/Q&gt;&lt;R&gt;1&lt;/R&gt;&lt;C&gt;1&lt;/C&gt;&lt;D xsi:type="xsd:double"&gt;0.94271916&lt;/D&gt;&lt;/FQL&gt;&lt;FQL&gt;&lt;Q&gt;AYI-US^P_BETA_LOCIDX(45302,45128,,"SPX")&lt;/Q&gt;&lt;R&gt;1&lt;/R&gt;&lt;C&gt;1&lt;/C&gt;&lt;D xsi:type="xsd:double"&gt;0.94326055&lt;/D&gt;&lt;/FQL&gt;&lt;FQL&gt;&lt;Q&gt;AYI-US^P_BETA_LOCIDX(45301,45127,,"SPX")&lt;/Q&gt;&lt;R&gt;1&lt;/R&gt;&lt;C&gt;1&lt;/C&gt;&lt;D xsi:type="xsd:double"&gt;0.9410152&lt;/D&gt;&lt;/FQL&gt;&lt;FQL&gt;&lt;Q&gt;AYI-US^P_BETA_LOCIDX(45300,45126,,"SPX")&lt;/Q&gt;&lt;R&gt;1&lt;/R&gt;&lt;C&gt;1&lt;/C&gt;&lt;D xsi:type="xsd:double"&gt;0.93768513&lt;/D&gt;&lt;/FQL&gt;&lt;FQL&gt;&lt;Q&gt;AYI-US^P_BETA_LOCIDX(45299,45125,,"SPX")&lt;/Q&gt;&lt;R&gt;1&lt;/R&gt;&lt;C&gt;1&lt;/C&gt;&lt;D xsi:type="xsd:double"&gt;0.9769896&lt;/D&gt;&lt;/FQL&gt;&lt;FQL&gt;&lt;Q&gt;AYI-US^P_BETA_LOCIDX(45296,45124,,"SPX")&lt;/Q&gt;&lt;R&gt;1&lt;/R&gt;&lt;C&gt;1&lt;/C&gt;&lt;D xsi:type="xsd:double"&gt;1.0160102&lt;/D&gt;&lt;/FQL&gt;&lt;FQL&gt;&lt;Q&gt;AYI-US^P_BETA_LOCIDX(45295,45121,,"SPX")&lt;/Q&gt;&lt;R&gt;1&lt;/R&gt;&lt;C&gt;1&lt;/C&gt;&lt;D xsi:type="xsd:double"&gt;1.0183313&lt;/D&gt;&lt;/FQL&gt;&lt;FQL&gt;&lt;Q&gt;AYI-US^P_BETA_LOCIDX(45294,45120,,"SPX")&lt;/Q&gt;&lt;R&gt;1&lt;/R&gt;&lt;C&gt;1&lt;/C&gt;&lt;D xsi:type="xsd:double"&gt;1.023133&lt;/D&gt;&lt;/FQL&gt;&lt;FQL&gt;&lt;Q&gt;AYI-US^P_BETA_LOCIDX(45293,45119,,"SPX")&lt;/Q&gt;&lt;R&gt;1&lt;/R&gt;&lt;C&gt;1&lt;/C&gt;&lt;D xsi:type="xsd:double"&gt;1.0183511&lt;/D&gt;&lt;/FQL&gt;&lt;FQL&gt;&lt;Q&gt;AYI-US^P_BETA_LOCIDX(45289,45118,,"SPX")&lt;/Q&gt;&lt;R&gt;1&lt;/R&gt;&lt;C&gt;1&lt;/C&gt;&lt;D xsi:type="xsd:double"&gt;1.0120323&lt;/D&gt;&lt;/FQL&gt;&lt;FQL&gt;&lt;Q&gt;AYI-US^P_BETA_LOCIDX(45288,45117,,"SPX")&lt;/Q&gt;&lt;R&gt;1&lt;/R&gt;&lt;C&gt;1&lt;/C&gt;&lt;D xsi:type="xsd:double"&gt;1.0169675&lt;/D&gt;&lt;/FQL&gt;&lt;FQL&gt;&lt;Q&gt;AYI-US^P_BETA_LOCIDX(45287,45114,,"SPX")&lt;/Q&gt;&lt;R&gt;1&lt;/R&gt;&lt;C&gt;1&lt;/C&gt;&lt;D xsi:type="xsd:double"&gt;0.99986243&lt;/D&gt;&lt;/FQL&gt;&lt;FQL&gt;&lt;Q&gt;AYI-US^P_BETA_LOCIDX(45286,45113,,"SPX")&lt;/Q&gt;&lt;R&gt;1&lt;/R&gt;&lt;C&gt;1&lt;/C&gt;&lt;D xsi:type="xsd:double"&gt;1.0100245&lt;/D&gt;&lt;/FQL&gt;&lt;FQL&gt;&lt;Q&gt;AYI-US^P_BETA_LOCIDX(45282,45112,,"SPX")&lt;/Q&gt;&lt;R&gt;1&lt;/R&gt;&lt;C&gt;1&lt;/C&gt;&lt;D xsi:type="xsd:double"&gt;1.0181401&lt;/D&gt;&lt;/FQL&gt;&lt;FQL&gt;&lt;Q&gt;AYI-US^P_BETA_LOCIDX(45281,45110,,"SPX")&lt;/Q&gt;&lt;R&gt;1&lt;/R&gt;&lt;C&gt;1&lt;/C&gt;&lt;D xsi:type="xsd:double"&gt;1.0177557&lt;/D&gt;&lt;/FQL&gt;&lt;FQL&gt;&lt;Q&gt;AYI-US^P_BETA_LOCIDX(45280,45107,,"SPX")&lt;/Q&gt;&lt;R&gt;1&lt;/R&gt;&lt;C&gt;1&lt;/C&gt;&lt;D xsi:type="xsd:double"&gt;1.0265708&lt;/D&gt;&lt;/FQL&gt;&lt;FQL&gt;&lt;Q&gt;AYI-US^P_BETA_LOCIDX(45279,45106,,"SPX")&lt;/Q&gt;&lt;R&gt;1&lt;/R&gt;&lt;C&gt;1&lt;/C&gt;&lt;D xsi:type="xsd:double"&gt;1.063476&lt;/D&gt;&lt;/FQL&gt;&lt;FQL&gt;&lt;Q&gt;AYI-US^P_BETA_LOCIDX(45278,45105,,"SPX")&lt;/Q&gt;&lt;R&gt;1&lt;/R&gt;&lt;C&gt;1&lt;/C&gt;&lt;D xsi:type="xsd:double"&gt;1.0693605&lt;/D&gt;&lt;/FQL&gt;&lt;FQL&gt;&lt;Q&gt;AYI-US^P_BETA_LOCIDX(45275,45104,,"SPX")&lt;/Q&gt;&lt;R&gt;1&lt;/R&gt;&lt;C&gt;1&lt;/C&gt;&lt;D xsi:type="xsd:double"&gt;1.0651604&lt;/D&gt;&lt;/FQL&gt;&lt;FQL&gt;&lt;Q&gt;AYI-US^P_BETA_LOCIDX(45274,45103,,"SPX")&lt;/Q&gt;&lt;R&gt;1&lt;/R&gt;&lt;C&gt;1&lt;/C&gt;&lt;D xsi:type="xsd:double"&gt;1.0609696&lt;/D&gt;&lt;/FQL&gt;&lt;FQL&gt;&lt;Q&gt;AYI-US^P_BETA_LOCIDX(45273,45100,,"SPX")&lt;/Q&gt;&lt;R&gt;1&lt;/R&gt;&lt;C&gt;1&lt;/C&gt;&lt;D xsi:type="xsd:double"&gt;1.0186442&lt;/D&gt;&lt;/FQL&gt;&lt;FQL&gt;&lt;Q&gt;AYI-US^P_BETA_LOCIDX(45272,45099,,"SPX")&lt;/Q&gt;&lt;R&gt;1&lt;/R&gt;&lt;C&gt;1&lt;/C&gt;&lt;D xsi:type="xsd:double"&gt;0.9797304&lt;/D&gt;&lt;/FQL&gt;&lt;FQL&gt;&lt;Q&gt;AYI-US^P_BETA_LOCIDX(45271,45098,,"SPX")&lt;/Q&gt;&lt;R&gt;1&lt;/R&gt;&lt;C&gt;1&lt;/C&gt;&lt;D xsi:type="xsd:double"&gt;0.9853729&lt;/D&gt;&lt;/FQL&gt;&lt;FQL&gt;&lt;Q&gt;AYI-US^P_BETA_LOCIDX(45268,45097,,"SPX")&lt;/Q&gt;&lt;R&gt;1&lt;/R&gt;&lt;C&gt;1&lt;/C&gt;&lt;D xsi:type="xsd:double"&gt;0.98670816&lt;/D&gt;&lt;/FQL&gt;&lt;FQL&gt;&lt;Q&gt;AYI-US^P_BETA_LOCIDX(45267,45093,,"SPX")&lt;/Q&gt;&lt;R&gt;1&lt;/R&gt;&lt;C&gt;1&lt;/C&gt;&lt;D xsi:type="xsd:double"&gt;0.99941987&lt;/D&gt;&lt;/FQL&gt;&lt;FQL&gt;&lt;Q&gt;AYI-US^P_BETA_LOCIDX(45266,45092,,"SPX")&lt;/Q&gt;&lt;R&gt;1&lt;/R&gt;&lt;C&gt;1&lt;/C&gt;&lt;D xsi:type="xsd:double"&gt;1.009698&lt;/D&gt;&lt;/FQL&gt;&lt;FQL&gt;&lt;Q&gt;AYI-US^P_BETA_LOCIDX(45265,45091,,"SPX")&lt;/Q&gt;&lt;R&gt;1&lt;/R&gt;&lt;C&gt;1&lt;/C&gt;&lt;D xsi:type="xsd:double"&gt;1.0256183&lt;/D&gt;&lt;/FQL&gt;&lt;FQL&gt;&lt;Q&gt;AYI-US^P_BETA_LOCIDX(45264,45090,,"SPX")&lt;/Q&gt;&lt;R&gt;1&lt;/R&gt;&lt;C&gt;1&lt;/C&gt;&lt;D xsi:type="xsd:double"&gt;1.0396401&lt;/D&gt;&lt;/FQL&gt;&lt;FQL&gt;&lt;Q&gt;AYI-US^P_BETA_LOCIDX(45261,45089,,"SPX")&lt;/Q&gt;&lt;R&gt;1&lt;/R&gt;&lt;C&gt;1&lt;/C&gt;&lt;D xsi:type="xsd:double"&gt;1.0527074&lt;/D&gt;&lt;/FQL&gt;&lt;FQL&gt;&lt;Q&gt;AYI-US^P_BETA_LOCIDX(45260,45086,,"SPX")&lt;/Q&gt;&lt;R&gt;1&lt;/R&gt;&lt;C&gt;1&lt;/C&gt;&lt;D xsi:type="xsd:double"&gt;1.0410461&lt;/D&gt;&lt;/FQL&gt;&lt;FQL&gt;&lt;Q&gt;AYI-US^P_BETA_LOCIDX(45259,45085,,"SPX")&lt;/Q&gt;&lt;R&gt;1&lt;/R&gt;&lt;C&gt;1&lt;/C&gt;&lt;D xsi:type="xsd:double"&gt;1.012234&lt;/D&gt;&lt;/FQL&gt;&lt;FQL&gt;&lt;Q&gt;AYI-US^P_BETA_LOCIDX(45258,45084,,"SPX")&lt;/Q&gt;&lt;R&gt;1&lt;/R&gt;&lt;C&gt;1&lt;/C&gt;&lt;D xsi:type="xsd:double"&gt;0.9916831&lt;/D&gt;&lt;/FQL&gt;&lt;FQL&gt;&lt;Q&gt;AYI-US^P_BETA_LOCIDX(45257,45083,,"SPX")&lt;/Q&gt;&lt;R&gt;1&lt;/R&gt;&lt;C&gt;1&lt;/C&gt;&lt;D xsi:type="xsd:double"&gt;0.9993019&lt;/D&gt;&lt;/FQL&gt;&lt;FQL&gt;&lt;Q&gt;AYI-US^P_BETA_LOCIDX(45254,45082,,"SPX")&lt;/Q&gt;&lt;R&gt;1&lt;/R&gt;&lt;C&gt;1&lt;/C&gt;&lt;D xsi:type="xsd:double"&gt;1.0108864&lt;/D&gt;&lt;/FQL&gt;&lt;FQL&gt;&lt;Q&gt;AYI-US^P_BETA_LOCIDX(45252,45079,,"SPX")&lt;/Q&gt;&lt;R&gt;1&lt;/R&gt;&lt;C&gt;1&lt;/C&gt;&lt;D xsi:type="xsd:double"&gt;1.0716897&lt;/D&gt;&lt;/FQL&gt;&lt;FQL&gt;&lt;Q&gt;AYI-US^P_BETA_LOCIDX(45251,45078,,"SPX")&lt;/Q&gt;&lt;R&gt;1&lt;/R&gt;&lt;C&gt;1&lt;/C&gt;&lt;D xsi:type="xsd:double"&gt;1.0821502&lt;/D&gt;&lt;/FQL&gt;&lt;FQL&gt;&lt;Q&gt;AYI-US^P_BETA_LOCIDX(45250,45077,,"SPX")&lt;/Q&gt;&lt;R&gt;1&lt;/R&gt;&lt;C&gt;1&lt;/C&gt;&lt;D xsi:type="xsd:double"&gt;1.0957501&lt;/D&gt;&lt;/FQL&gt;&lt;FQL&gt;&lt;Q&gt;AYI-US^P_BETA_LOCIDX(45247,45076,,"SPX")&lt;/Q&gt;&lt;R&gt;1&lt;/R&gt;&lt;C&gt;1&lt;/C&gt;&lt;D xsi:type="xsd:double"&gt;1.1090665&lt;/D&gt;&lt;/FQL&gt;&lt;FQL&gt;&lt;Q&gt;AYI-US^P_BETA_LOCIDX(45246,45072,,"SPX")&lt;/Q&gt;&lt;R&gt;1&lt;/R&gt;&lt;C&gt;1&lt;/C&gt;&lt;D xsi:type="xsd:double"&gt;1.0950706&lt;/D&gt;&lt;/FQL&gt;&lt;FQL&gt;&lt;Q&gt;AYI-US^P_BETA_LOCIDX(45245,45071,,"SPX")&lt;/Q&gt;&lt;R&gt;1&lt;/R&gt;&lt;C&gt;1&lt;/C&gt;&lt;D xsi:type="xsd:double"&gt;1.0897317&lt;/D&gt;&lt;/FQL&gt;&lt;FQL&gt;&lt;Q&gt;AYI-US^P_BETA_LOCIDX(45244,45070,,"SPX")&lt;/Q&gt;&lt;R&gt;1&lt;/R&gt;&lt;C&gt;1&lt;/C&gt;&lt;D xsi:type="xsd:double"&gt;1.1157272&lt;/D&gt;&lt;/FQL&gt;&lt;FQL&gt;&lt;Q&gt;AYI-US^P_BETA_LOCIDX(45243,45069,,"SPX")&lt;/Q&gt;&lt;R&gt;1&lt;/R&gt;&lt;C&gt;1&lt;/C&gt;&lt;D xsi:type="xsd:double"&gt;1.0543509&lt;/D&gt;&lt;/FQL&gt;&lt;FQL&gt;&lt;Q&gt;AYI-US^P_BETA_LOCIDX(45240,45068,,"SPX")&lt;/Q&gt;&lt;R&gt;1&lt;/R&gt;&lt;C&gt;1&lt;/C&gt;&lt;D xsi:type="xsd:double"&gt;1.0548334&lt;/D&gt;&lt;/FQL&gt;&lt;FQL&gt;&lt;Q&gt;AYI-US^P_BETA_LOCIDX(45239,45065,,"SPX")&lt;/Q&gt;&lt;R&gt;1&lt;/R&gt;&lt;C&gt;1&lt;/C&gt;&lt;D xsi:type="xsd:double"&gt;1.0119945&lt;/D&gt;&lt;/FQL&gt;&lt;FQL&gt;&lt;Q&gt;AYI-US^P_BETA_LOCIDX(45238,45064,,"SPX")&lt;/Q&gt;&lt;R&gt;1&lt;/R&gt;&lt;C&gt;1&lt;/C&gt;&lt;D xsi:type="xsd:double"&gt;1.0208504&lt;/D&gt;&lt;/FQL&gt;&lt;FQL&gt;&lt;Q&gt;AYI-US^P_BETA_LOCIDX(45237,45063,,"SPX")&lt;/Q&gt;&lt;R&gt;1&lt;/R&gt;&lt;C&gt;1&lt;/C&gt;&lt;D xsi:type="xsd:double"&gt;1.0416789&lt;/D&gt;&lt;/FQL&gt;&lt;FQL&gt;&lt;Q&gt;AYI-US^P_BETA_LOCIDX(45236,45062,,"SPX")&lt;/Q&gt;&lt;R&gt;1&lt;/R&gt;&lt;C&gt;1&lt;/C&gt;&lt;D xsi:type="xsd:double"&gt;1.0588104&lt;/D&gt;&lt;/FQL&gt;&lt;FQL&gt;&lt;Q&gt;AYI-US^P_BETA_LOCIDX(45233,45061,,"SPX")&lt;/Q&gt;&lt;R&gt;1&lt;/R&gt;&lt;C&gt;1&lt;/C&gt;&lt;D xsi:type="xsd:double"&gt;1.0632763&lt;/D&gt;&lt;/FQL&gt;&lt;FQL&gt;&lt;Q&gt;AYI-US^P_BETA_LOCIDX(45232,45058,,"SPX")&lt;/Q&gt;&lt;R&gt;1&lt;/R&gt;&lt;C&gt;1&lt;/C&gt;&lt;D xsi:type="xsd:double"&gt;1.0469316&lt;/D&gt;&lt;/FQL&gt;&lt;FQL&gt;&lt;Q&gt;AYI-US^P_BETA_LOCIDX(45231,45057,,"SPX")&lt;/Q&gt;&lt;R&gt;1&lt;/R&gt;&lt;C&gt;1&lt;/C&gt;&lt;D xsi:type="xsd:double"&gt;1.0229794&lt;/D&gt;&lt;/FQL&gt;&lt;FQL&gt;&lt;Q&gt;AYI-US^P_BETA_LOCIDX(45230,45056,,"SPX")&lt;/Q&gt;&lt;R&gt;1&lt;/R&gt;&lt;C&gt;1&lt;/C&gt;&lt;D xsi:type="xsd:double"&gt;1.0328599&lt;/D&gt;&lt;/FQL&gt;&lt;FQL&gt;&lt;Q&gt;AYI-US^P_BETA_LOCIDX(45229,45055,,"SPX")&lt;/Q&gt;&lt;R&gt;1&lt;/R&gt;&lt;C&gt;1&lt;/C&gt;&lt;D xsi:type="xsd:double"&gt;1.0237821&lt;/D&gt;&lt;/FQL&gt;&lt;FQL&gt;&lt;Q&gt;AYI-US^P_BETA_LOCIDX(45226,45054,,"SPX")&lt;/Q&gt;&lt;R&gt;1&lt;/R&gt;&lt;C&gt;1&lt;/C&gt;&lt;D xsi:type="xsd:double"&gt;1.0363259&lt;/D&gt;&lt;/FQL&gt;&lt;FQL&gt;&lt;Q&gt;AYI-US^P_BETA_LOCIDX(45225,45051,,"SPX")&lt;/Q&gt;&lt;R&gt;1&lt;/R&gt;&lt;C&gt;1&lt;/C&gt;&lt;D xsi:type="xsd:double"&gt;1.0368445&lt;/D&gt;&lt;/FQL&gt;&lt;FQL&gt;&lt;Q&gt;AYI-US^P_BETA_LOCIDX(45224,45050,,"SPX")&lt;/Q&gt;&lt;R&gt;1&lt;/R&gt;&lt;C&gt;1&lt;/C&gt;&lt;D xsi:type="xsd:double"&gt;1.084887&lt;/D&gt;&lt;/FQL&gt;&lt;FQL&gt;&lt;Q&gt;AYI-US^P_BETA_LOCIDX(45223,45049,,"SPX")&lt;/Q&gt;&lt;R&gt;1&lt;/R&gt;&lt;C&gt;1&lt;/C&gt;&lt;D xsi:type="xsd:double"&gt;1.0628701&lt;/D&gt;&lt;/FQL&gt;&lt;FQL&gt;&lt;Q&gt;AYI-US^P_BETA_LOCIDX(45222,45048,,"SPX")&lt;/Q&gt;&lt;R&gt;1&lt;/R&gt;&lt;C&gt;1&lt;/C&gt;&lt;D xsi:type="xsd:double"&gt;1.0654649&lt;/D&gt;&lt;/FQL&gt;&lt;FQL&gt;&lt;Q&gt;AYI-US^P_BETA_LOCIDX(45219,45047,,"SPX")&lt;/Q&gt;&lt;R&gt;1&lt;/R&gt;&lt;C&gt;1&lt;/C&gt;&lt;D xsi:type="xsd:double"&gt;1.0615902&lt;/D&gt;&lt;/FQL&gt;&lt;FQL&gt;&lt;Q&gt;AYI-US^P_BETA_LOCIDX(45218,45044,,"SPX")&lt;/Q&gt;&lt;R&gt;1&lt;/R&gt;&lt;C&gt;1&lt;/C&gt;&lt;D xsi:type</t>
        </r>
      </text>
    </comment>
    <comment ref="A15" authorId="0" shapeId="0" xr:uid="{18D0DCF8-9325-4F1F-A935-CBCA830322A6}">
      <text>
        <r>
          <rPr>
            <b/>
            <sz val="9"/>
            <color indexed="81"/>
            <rFont val="Tahoma"/>
            <charset val="1"/>
          </rPr>
          <t>="xsd:double"&gt;1.1192774&lt;/D&gt;&lt;/FQL&gt;&lt;FQL&gt;&lt;Q&gt;AYI-US^P_BETA_LOCIDX(45217,45043,,"SPX")&lt;/Q&gt;&lt;R&gt;1&lt;/R&gt;&lt;C&gt;1&lt;/C&gt;&lt;D xsi:type="xsd:double"&gt;1.0660158&lt;/D&gt;&lt;/FQL&gt;&lt;FQL&gt;&lt;Q&gt;AYI-US^P_BETA_LOCIDX(45216,45042,,"SPX")&lt;/Q&gt;&lt;R&gt;1&lt;/R&gt;&lt;C&gt;1&lt;/C&gt;&lt;D xsi:type="xsd:double"&gt;0.9648336&lt;/D&gt;&lt;/FQL&gt;&lt;FQL&gt;&lt;Q&gt;AYI-US^P_BETA_LOCIDX(45215,45041,,"SPX")&lt;/Q&gt;&lt;R&gt;1&lt;/R&gt;&lt;C&gt;1&lt;/C&gt;&lt;D xsi:type="xsd:double"&gt;0.98981005&lt;/D&gt;&lt;/FQL&gt;&lt;FQL&gt;&lt;Q&gt;AYI-US^P_BETA_LOCIDX(45212,45040,,"SPX")&lt;/Q&gt;&lt;R&gt;1&lt;/R&gt;&lt;C&gt;1&lt;/C&gt;&lt;D xsi:type="xsd:double"&gt;0.9991827&lt;/D&gt;&lt;/FQL&gt;&lt;FQL&gt;&lt;Q&gt;AYI-US^P_BETA_LOCIDX(45211,45037,,"SPX")&lt;/Q&gt;&lt;R&gt;1&lt;/R&gt;&lt;C&gt;1&lt;/C&gt;&lt;D xsi:type="xsd:double"&gt;0.9969022&lt;/D&gt;&lt;/FQL&gt;&lt;FQL&gt;&lt;Q&gt;AYI-US^P_BETA_LOCIDX(45210,45036,,"SPX")&lt;/Q&gt;&lt;R&gt;1&lt;/R&gt;&lt;C&gt;1&lt;/C&gt;&lt;D xsi:type="xsd:double"&gt;1.0006568&lt;/D&gt;&lt;/FQL&gt;&lt;FQL&gt;&lt;Q&gt;AYI-US^P_BETA_LOCIDX(45209,45035,,"SPX")&lt;/Q&gt;&lt;R&gt;1&lt;/R&gt;&lt;C&gt;1&lt;/C&gt;&lt;D xsi:type="xsd:double"&gt;0.99314314&lt;/D&gt;&lt;/FQL&gt;&lt;FQL&gt;&lt;Q&gt;AYI-US^P_BETA_LOCIDX(45208,45034,,"SPX")&lt;/Q&gt;&lt;R&gt;1&lt;/R&gt;&lt;C&gt;1&lt;/C&gt;&lt;D xsi:type="xsd:double"&gt;1.0061319&lt;/D&gt;&lt;/FQL&gt;&lt;FQL&gt;&lt;Q&gt;AYI-US^P_BETA_LOCIDX(45205,45033,,"SPX")&lt;/Q&gt;&lt;R&gt;1&lt;/R&gt;&lt;C&gt;1&lt;/C&gt;&lt;D xsi:type="xsd:double"&gt;1.0221735&lt;/D&gt;&lt;/FQL&gt;&lt;FQL&gt;&lt;Q&gt;AYI-US^P_BETA_LOCIDX(45204,45030,,"SPX")&lt;/Q&gt;&lt;R&gt;1&lt;/R&gt;&lt;C&gt;1&lt;/C&gt;&lt;D xsi:type="xsd:double"&gt;1.021218&lt;/D&gt;&lt;/FQL&gt;&lt;FQL&gt;&lt;Q&gt;AYI-US^P_BETA_LOCIDX(45203,45029,,"SPX")&lt;/Q&gt;&lt;R&gt;1&lt;/R&gt;&lt;C&gt;1&lt;/C&gt;&lt;D xsi:type="xsd:double"&gt;0.98714334&lt;/D&gt;&lt;/FQL&gt;&lt;FQL&gt;&lt;Q&gt;AYI-US^P_BETA_LOCIDX(45202,45028,,"SPX")&lt;/Q&gt;&lt;R&gt;1&lt;/R&gt;&lt;C&gt;1&lt;/C&gt;&lt;D xsi:type="xsd:double"&gt;0.9099128&lt;/D&gt;&lt;/FQL&gt;&lt;FQL&gt;&lt;Q&gt;AYI-US^P_BETA_LOCIDX(45201,45027,,"SPX")&lt;/Q&gt;&lt;R&gt;1&lt;/R&gt;&lt;C&gt;1&lt;/C&gt;&lt;D xsi:type="xsd:double"&gt;0.93979484&lt;/D&gt;&lt;/FQL&gt;&lt;FQL&gt;&lt;Q&gt;AYI-US^P_BETA_LOCIDX(45198,45026,,"SPX")&lt;/Q&gt;&lt;R&gt;1&lt;/R&gt;&lt;C&gt;1&lt;/C&gt;&lt;D xsi:type="xsd:double"&gt;0.938662&lt;/D&gt;&lt;/FQL&gt;&lt;FQL&gt;&lt;Q&gt;AYI-US^P_BETA_LOCIDX(45197,45022,,"SPX")&lt;/Q&gt;&lt;R&gt;1&lt;/R&gt;&lt;C&gt;1&lt;/C&gt;&lt;D xsi:type="xsd:double"&gt;0.92909724&lt;/D&gt;&lt;/FQL&gt;&lt;FQL&gt;&lt;Q&gt;AYI-US^P_BETA_LOCIDX(45196,45021,,"SPX")&lt;/Q&gt;&lt;R&gt;1&lt;/R&gt;&lt;C&gt;1&lt;/C&gt;&lt;D xsi:type="xsd:double"&gt;0.9196925&lt;/D&gt;&lt;/FQL&gt;&lt;FQL&gt;&lt;Q&gt;AYI-US^P_BETA_LOCIDX(45195,45020,,"SPX")&lt;/Q&gt;&lt;R&gt;1&lt;/R&gt;&lt;C&gt;1&lt;/C&gt;&lt;D xsi:type="xsd:double"&gt;1.0209793&lt;/D&gt;&lt;/FQL&gt;&lt;FQL&gt;&lt;Q&gt;AYI-US^P_BETA_LOCIDX(45194,45019,,"SPX")&lt;/Q&gt;&lt;R&gt;1&lt;/R&gt;&lt;C&gt;1&lt;/C&gt;&lt;D xsi:type="xsd:double"&gt;1.0506076&lt;/D&gt;&lt;/FQL&gt;&lt;FQL&gt;&lt;Q&gt;AYI-US^P_BETA_LOCIDX(45191,45016,,"SPX")&lt;/Q&gt;&lt;R&gt;1&lt;/R&gt;&lt;C&gt;1&lt;/C&gt;&lt;D xsi:type="xsd:double"&gt;1.0630409&lt;/D&gt;&lt;/FQL&gt;&lt;FQL&gt;&lt;Q&gt;AYI-US^P_BETA_LOCIDX(45190,45015,,"SPX")&lt;/Q&gt;&lt;R&gt;1&lt;/R&gt;&lt;C&gt;1&lt;/C&gt;&lt;D xsi:type="xsd:double"&gt;1.0714236&lt;/D&gt;&lt;/FQL&gt;&lt;FQL&gt;&lt;Q&gt;AYI-US^P_BETA_LOCIDX(45189,45014,,"SPX")&lt;/Q&gt;&lt;R&gt;1&lt;/R&gt;&lt;C&gt;1&lt;/C&gt;&lt;D xsi:type="xsd:double"&gt;1.1170365&lt;/D&gt;&lt;/FQL&gt;&lt;FQL&gt;&lt;Q&gt;AYI-US^P_BETA_LOCIDX(45188,45013,,"SPX")&lt;/Q&gt;&lt;R&gt;1&lt;/R&gt;&lt;C&gt;1&lt;/C&gt;&lt;D xsi:type="xsd:double"&gt;1.1187147&lt;/D&gt;&lt;/FQL&gt;&lt;FQL&gt;&lt;Q&gt;AYI-US^P_BETA_LOCIDX(45187,45012,,"SPX")&lt;/Q&gt;&lt;R&gt;1&lt;/R&gt;&lt;C&gt;1&lt;/C&gt;&lt;D xsi:type="xsd:double"&gt;1.123584&lt;/D&gt;&lt;/FQL&gt;&lt;FQL&gt;&lt;Q&gt;AYI-US^P_BETA_LOCIDX(45184,45009,,"SPX")&lt;/Q&gt;&lt;R&gt;1&lt;/R&gt;&lt;C&gt;1&lt;/C&gt;&lt;D xsi:type="xsd:double"&gt;1.1010323&lt;/D&gt;&lt;/FQL&gt;&lt;FQL&gt;&lt;Q&gt;AYI-US^P_BETA_LOCIDX(45183,45008,,"SPX")&lt;/Q&gt;&lt;R&gt;1&lt;/R&gt;&lt;C&gt;1&lt;/C&gt;&lt;D xsi:type="xsd:double"&gt;1.1159225&lt;/D&gt;&lt;/FQL&gt;&lt;FQL&gt;&lt;Q&gt;AYI-US^P_BETA_LOCIDX(45182,45007,,"SPX")&lt;/Q&gt;&lt;R&gt;1&lt;/R&gt;&lt;C&gt;1&lt;/C&gt;&lt;D xsi:type="xsd:double"&gt;1.1424264&lt;/D&gt;&lt;/FQL&gt;&lt;FQL&gt;&lt;Q&gt;AYI-US^P_BETA_LOCIDX(45181,45006,,"SPX")&lt;/Q&gt;&lt;R&gt;1&lt;/R&gt;&lt;C&gt;1&lt;/C&gt;&lt;D xsi:type="xsd:double"&gt;1.1007788&lt;/D&gt;&lt;/FQL&gt;&lt;FQL&gt;&lt;Q&gt;AYI-US^P_BETA_LOCIDX(45180,45005,,"SPX")&lt;/Q&gt;&lt;R&gt;1&lt;/R&gt;&lt;C&gt;1&lt;/C&gt;&lt;D xsi:type="xsd:double"&gt;1.1230814&lt;/D&gt;&lt;/FQL&gt;&lt;FQL&gt;&lt;Q&gt;AYI-US^P_BETA_LOCIDX(45177,45002,,"SPX")&lt;/Q&gt;&lt;R&gt;1&lt;/R&gt;&lt;C&gt;1&lt;/C&gt;&lt;D xsi:type="xsd:double"&gt;1.1717665&lt;/D&gt;&lt;/FQL&gt;&lt;FQL&gt;&lt;Q&gt;AYI-US^P_BETA_LOCIDX(45176,45001,,"SPX")&lt;/Q&gt;&lt;R&gt;1&lt;/R&gt;&lt;C&gt;1&lt;/C&gt;&lt;D xsi:type="xsd:double"&gt;1.1705328&lt;/D&gt;&lt;/FQL&gt;&lt;FQL&gt;&lt;Q&gt;AYI-US^P_BETA_LOCIDX(45175,45000,,"SPX")&lt;/Q&gt;&lt;R&gt;1&lt;/R&gt;&lt;C&gt;1&lt;/C&gt;&lt;D xsi:type="xsd:double"&gt;1.1908522&lt;/D&gt;&lt;/FQL&gt;&lt;FQL&gt;&lt;Q&gt;AYI-US^P_BETA_LOCIDX(45174,44999,,"SPX")&lt;/Q&gt;&lt;R&gt;1&lt;/R&gt;&lt;C&gt;1&lt;/C&gt;&lt;D xsi:type="xsd:double"&gt;1.2317206&lt;/D&gt;&lt;/FQL&gt;&lt;FQL&gt;&lt;Q&gt;AYI-US^P_BETA_LOCIDX(45170,44998,,"SPX")&lt;/Q&gt;&lt;R&gt;1&lt;/R&gt;&lt;C&gt;1&lt;/C&gt;&lt;D xsi:type="xsd:double"&gt;1.2292056&lt;/D&gt;&lt;/FQL&gt;&lt;FQL&gt;&lt;Q&gt;AYI-US^P_BETA_LOCIDX(45169,44995,,"SPX")&lt;/Q&gt;&lt;R&gt;1&lt;/R&gt;&lt;C&gt;1&lt;/C&gt;&lt;D xsi:type="xsd:double"&gt;1.2716119&lt;/D&gt;&lt;/FQL&gt;&lt;FQL&gt;&lt;Q&gt;AYI-US^P_BETA_LOCIDX(45168,44994,,"SPX")&lt;/Q&gt;&lt;R&gt;1&lt;/R&gt;&lt;C&gt;1&lt;/C&gt;&lt;D xsi:type="xsd:double"&gt;1.2322644&lt;/D&gt;&lt;/FQL&gt;&lt;FQL&gt;&lt;Q&gt;AYI-US^P_BETA_LOCIDX(45167,44993,,"SPX")&lt;/Q&gt;&lt;R&gt;1&lt;/R&gt;&lt;C&gt;1&lt;/C&gt;&lt;D xsi:type="xsd:double"&gt;1.2362819&lt;/D&gt;&lt;/FQL&gt;&lt;FQL&gt;&lt;Q&gt;AYI-US^P_BETA_LOCIDX(45166,44992,,"SPX")&lt;/Q&gt;&lt;R&gt;1&lt;/R&gt;&lt;C&gt;1&lt;/C&gt;&lt;D xsi:type="xsd:double"&gt;1.1793119&lt;/D&gt;&lt;/FQL&gt;&lt;FQL&gt;&lt;Q&gt;AYI-US^P_BETA_LOCIDX(45163,44991,,"SPX")&lt;/Q&gt;&lt;R&gt;1&lt;/R&gt;&lt;C&gt;1&lt;/C&gt;&lt;D xsi:type="xsd:double"&gt;1.175265&lt;/D&gt;&lt;/FQL&gt;&lt;FQL&gt;&lt;Q&gt;AYI-US^P_BETA_LOCIDX(45162,44988,,"SPX")&lt;/Q&gt;&lt;R&gt;1&lt;/R&gt;&lt;C&gt;1&lt;/C&gt;&lt;D xsi:type="xsd:double"&gt;1.1740353&lt;/D&gt;&lt;/FQL&gt;&lt;FQL&gt;&lt;Q&gt;AYI-US^P_BETA_LOCIDX(45161,44987,,"SPX")&lt;/Q&gt;&lt;R&gt;1&lt;/R&gt;&lt;C&gt;1&lt;/C&gt;&lt;D xsi:type="xsd:double"&gt;1.1833655&lt;/D&gt;&lt;/FQL&gt;&lt;FQL&gt;&lt;Q&gt;AYI-US^P_BETA_LOCIDX(45160,44986,,"SPX")&lt;/Q&gt;&lt;R&gt;1&lt;/R&gt;&lt;C&gt;1&lt;/C&gt;&lt;D xsi:type="xsd:double"&gt;1.1824671&lt;/D&gt;&lt;/FQL&gt;&lt;FQL&gt;&lt;Q&gt;AYI-US^P_BETA_LOCIDX(45159,44985,,"SPX")&lt;/Q&gt;&lt;R&gt;1&lt;/R&gt;&lt;C&gt;1&lt;/C&gt;&lt;D xsi:type="xsd:double"&gt;1.1795785&lt;/D&gt;&lt;/FQL&gt;&lt;FQL&gt;&lt;Q&gt;AYI-US^P_BETA_LOCIDX(45156,44984,,"SPX")&lt;/Q&gt;&lt;R&gt;1&lt;/R&gt;&lt;C&gt;1&lt;/C&gt;&lt;D xsi:type="xsd:double"&gt;1.1765387&lt;/D&gt;&lt;/FQL&gt;&lt;FQL&gt;&lt;Q&gt;AYI-US^P_BETA_LOCIDX(45155,44981,,"SPX")&lt;/Q&gt;&lt;R&gt;1&lt;/R&gt;&lt;C&gt;1&lt;/C&gt;&lt;D xsi:type="xsd:double"&gt;1.1732718&lt;/D&gt;&lt;/FQL&gt;&lt;FQL&gt;&lt;Q&gt;AYI-US^P_BETA_LOCIDX(45154,44980,,"SPX")&lt;/Q&gt;&lt;R&gt;1&lt;/R&gt;&lt;C&gt;1&lt;/C&gt;&lt;D xsi:type="xsd:double"&gt;1.1898465&lt;/D&gt;&lt;/FQL&gt;&lt;FQL&gt;&lt;Q&gt;AYI-US^P_BETA_LOCIDX(45153,44979,,"SPX")&lt;/Q&gt;&lt;R&gt;1&lt;/R&gt;&lt;C&gt;1&lt;/C&gt;&lt;D xsi:type="xsd:double"&gt;1.1897266&lt;/D&gt;&lt;/FQL&gt;&lt;FQL&gt;&lt;Q&gt;AYI-US^P_BETA_LOCIDX(45152,44978,,"SPX")&lt;/Q&gt;&lt;R&gt;1&lt;/R&gt;&lt;C&gt;1&lt;/C&gt;&lt;D xsi:type="xsd:double"&gt;1.1701167&lt;/D&gt;&lt;/FQL&gt;&lt;FQL&gt;&lt;Q&gt;AYI-US^P_BETA_LOCIDX(45149,44974,,"SPX")&lt;/Q&gt;&lt;R&gt;1&lt;/R&gt;&lt;C&gt;1&lt;/C&gt;&lt;D xsi:type="xsd:double"&gt;1.1632569&lt;/D&gt;&lt;/FQL&gt;&lt;FQL&gt;&lt;Q&gt;AYI-US^P_BETA_LOCIDX(45148,44973,,"SPX")&lt;/Q&gt;&lt;R&gt;1&lt;/R&gt;&lt;C&gt;1&lt;/C&gt;&lt;D xsi:type="xsd:double"&gt;1.1312755&lt;/D&gt;&lt;/FQL&gt;&lt;FQL&gt;&lt;Q&gt;AYI-US^P_BETA_LOCIDX(45147,44972,,"SPX")&lt;/Q&gt;&lt;R&gt;1&lt;/R&gt;&lt;C&gt;1&lt;/C&gt;&lt;D xsi:type="xsd:double"&gt;1.1330086&lt;/D&gt;&lt;/FQL&gt;&lt;FQL&gt;&lt;Q&gt;AYI-US^P_BETA_LOCIDX(45146,44971,,"SPX")&lt;/Q&gt;&lt;R&gt;1&lt;/R&gt;&lt;C&gt;1&lt;/C&gt;&lt;D xsi:type="xsd:double"&gt;1.1342257&lt;/D&gt;&lt;/FQL&gt;&lt;FQL&gt;&lt;Q&gt;AYI-US^P_BETA_LOCIDX(45145,44970,,"SPX")&lt;/Q&gt;&lt;R&gt;1&lt;/R&gt;&lt;C&gt;1&lt;/C&gt;&lt;D xsi:type="xsd:double"&gt;1.1389428&lt;/D&gt;&lt;/FQL&gt;&lt;FQL&gt;&lt;Q&gt;AYI-US^P_BETA_LOCIDX(45142,44967,,"SPX")&lt;/Q&gt;&lt;R&gt;1&lt;/R&gt;&lt;C&gt;1&lt;/C&gt;&lt;D xsi:type="xsd:double"&gt;1.1347984&lt;/D&gt;&lt;/FQL&gt;&lt;FQL&gt;&lt;Q&gt;AYI-US^P_BETA_LOCIDX(45141,44966,,"SPX")&lt;/Q&gt;&lt;R&gt;1&lt;/R&gt;&lt;C&gt;1&lt;/C&gt;&lt;D xsi:type="xsd:double"&gt;1.14963&lt;/D&gt;&lt;/FQL&gt;&lt;FQL&gt;&lt;Q&gt;AYI-US^P_BETA_LOCIDX(45140,44965,,"SPX")&lt;/Q&gt;&lt;R&gt;1&lt;/R&gt;&lt;C&gt;1&lt;/C&gt;&lt;D xsi:type="xsd:double"&gt;1.1525367&lt;/D&gt;&lt;/FQL&gt;&lt;FQL&gt;&lt;Q&gt;AYI-US^P_BETA_LOCIDX(45139,44964,,"SPX")&lt;/Q&gt;&lt;R&gt;1&lt;/R&gt;&lt;C&gt;1&lt;/C&gt;&lt;D xsi:type="xsd:double"&gt;1.2007374&lt;/D&gt;&lt;/FQL&gt;&lt;FQL&gt;&lt;Q&gt;AYI-US^P_BETA_LOCIDX(45138,44963,,"SPX")&lt;/Q&gt;&lt;R&gt;1&lt;/R&gt;&lt;C&gt;1&lt;/C&gt;&lt;D xsi:type="xsd:double"&gt;1.197256&lt;/D&gt;&lt;/FQL&gt;&lt;FQL&gt;&lt;Q&gt;AYI-US^P_BETA_LOCIDX(45135,44960,,"SPX")&lt;/Q&gt;&lt;R&gt;1&lt;/R&gt;&lt;C&gt;1&lt;/C&gt;&lt;D xsi:type="xsd:double"&gt;1.1656266&lt;/D&gt;&lt;/FQL&gt;&lt;FQL&gt;&lt;Q&gt;AYI-US^P_BETA_LOCIDX(45134,44959,,"SPX")&lt;/Q&gt;&lt;R&gt;1&lt;/R&gt;&lt;C&gt;1&lt;/C&gt;&lt;D xsi:type="xsd:double"&gt;1.1209149&lt;/D&gt;&lt;/FQL&gt;&lt;FQL&gt;&lt;Q&gt;AYI-US^P_BETA_LOCIDX(45133,44958,,"SPX")&lt;/Q&gt;&lt;R&gt;1&lt;/R&gt;&lt;C&gt;1&lt;/C&gt;&lt;D xsi:type="xsd:double"&gt;1.1480584&lt;/D&gt;&lt;/FQL&gt;&lt;FQL&gt;&lt;Q&gt;AYI-US^P_BETA_LOCIDX(45132,44957,,"SPX")&lt;/Q&gt;&lt;R&gt;1&lt;/R&gt;&lt;C&gt;1&lt;/C&gt;&lt;D xsi:type="xsd:double"&gt;1.1561832&lt;/D&gt;&lt;/FQL&gt;&lt;FQL&gt;&lt;Q&gt;AYI-US^P_BETA_LOCIDX(45131,44956,,"SPX")&lt;/Q&gt;&lt;R&gt;1&lt;/R&gt;&lt;C&gt;1&lt;/C&gt;&lt;D xsi:type="xsd:double"&gt;1.1318169&lt;/D&gt;&lt;/FQL&gt;&lt;FQL&gt;&lt;Q&gt;AYI-US^P_BETA_LOCIDX(45128,44953,,"SPX")&lt;/Q&gt;&lt;R&gt;1&lt;/R&gt;&lt;C&gt;1&lt;/C&gt;&lt;D xsi:type="xsd:double"&gt;1.1387213&lt;/D&gt;&lt;/FQL&gt;&lt;FQL&gt;&lt;Q&gt;AYI-US^P_BETA_LOCIDX(45127,44952,,"SPX")&lt;/Q&gt;&lt;R&gt;1&lt;/R&gt;&lt;C&gt;1&lt;/C&gt;&lt;D xsi:type="xsd:double"&gt;1.1369153&lt;/D&gt;&lt;/FQL&gt;&lt;FQL&gt;&lt;Q&gt;AYI-US^P_BETA_LOCIDX(45126,44951,,"SPX")&lt;/Q&gt;&lt;R&gt;1&lt;/R&gt;&lt;C&gt;1&lt;/C&gt;&lt;D xsi:type="xsd:double"&gt;1.1383454&lt;/D&gt;&lt;/FQL&gt;&lt;FQL&gt;&lt;Q&gt;AYI-US^P_BETA_LOCIDX(45125,44950,,"SPX")&lt;/Q&gt;&lt;R&gt;1&lt;/R&gt;&lt;C&gt;1&lt;/C&gt;&lt;D xsi:type="xsd:double"&gt;1.1366391&lt;/D&gt;&lt;/FQL&gt;&lt;FQL&gt;&lt;Q&gt;AYI-US^P_BETA_LOCIDX(45124,44949,,"SPX")&lt;/Q&gt;&lt;R&gt;1&lt;/R&gt;&lt;C&gt;1&lt;/C&gt;&lt;D xsi:type="xsd:double"&gt;1.1206087&lt;/D&gt;&lt;/FQL&gt;&lt;FQL&gt;&lt;Q&gt;AYI-US^P_BETA_LOCIDX(45121,44946,,"SPX")&lt;/Q&gt;&lt;R&gt;1&lt;/R&gt;&lt;C&gt;1&lt;/C&gt;&lt;D xsi:type="xsd:double"&gt;1.1151233&lt;/D&gt;&lt;/FQL&gt;&lt;FQL&gt;&lt;Q&gt;AYI-US^P_BETA_LOCIDX(45120,44945,,"SPX")&lt;/Q&gt;&lt;R&gt;1&lt;/R&gt;&lt;C&gt;1&lt;/C&gt;&lt;D xsi:type="xsd:double"&gt;1.102244&lt;/D&gt;&lt;/FQL&gt;&lt;FQL&gt;&lt;Q&gt;AYI-US^P_BETA_LOCIDX(45119,44944,,"SPX")&lt;/Q&gt;&lt;R&gt;1&lt;/R&gt;&lt;C&gt;1&lt;/C&gt;&lt;D xsi:type="xsd:double"&gt;1.075478&lt;/D&gt;&lt;/FQL&gt;&lt;FQL&gt;&lt;Q&gt;AYI-US^P_BETA_LOCIDX(45118,44943,,"SPX")&lt;/Q&gt;&lt;R&gt;1&lt;/R&gt;&lt;C&gt;1&lt;/C&gt;&lt;D xsi:type="xsd:double"&gt;1.0757189&lt;/D&gt;&lt;/FQL&gt;&lt;FQL&gt;&lt;Q&gt;AYI-US^P_BETA_LOCIDX(45117,44939,,"SPX")&lt;/Q&gt;&lt;R&gt;1&lt;/R&gt;&lt;C&gt;1&lt;/C&gt;&lt;D xsi:type="xsd:double"&gt;1.0771612&lt;/D&gt;&lt;/FQL&gt;&lt;FQL&gt;&lt;Q&gt;AYI-US^P_BETA_LOCIDX(45114,44938,,"SPX")&lt;/Q&gt;&lt;R&gt;1&lt;/R&gt;&lt;C&gt;1&lt;/C&gt;&lt;D xsi:type="xsd:double"&gt;1.0699118&lt;/D&gt;&lt;/FQL&gt;&lt;FQL&gt;&lt;Q&gt;AYI-US^P_BETA_LOCIDX(45113,44937,,"SPX")&lt;/Q&gt;&lt;R&gt;1&lt;/R&gt;&lt;C&gt;1&lt;/C&gt;&lt;D xsi:type="xsd:double"&gt;1.0590142&lt;/D&gt;&lt;/FQL&gt;&lt;FQL&gt;&lt;Q&gt;AYI-US^P_BETA_LOCIDX(45112,44936,,"SPX")&lt;/Q&gt;&lt;R&gt;1&lt;/R&gt;&lt;C&gt;1&lt;/C&gt;&lt;D xsi:type="xsd:double"&gt;1.0555508&lt;/D&gt;&lt;/FQL&gt;&lt;FQL&gt;&lt;Q&gt;AYI-US^P_BETA_LOCIDX(45110,44935,,"SPX")&lt;/Q&gt;&lt;R&gt;1&lt;/R&gt;&lt;C&gt;1&lt;/C&gt;&lt;D xsi:type="xsd:double"&gt;1.0425637&lt;/D&gt;&lt;/FQL&gt;&lt;FQL&gt;&lt;Q&gt;AYI-US^P_BETA_LOCIDX(45107,44932,,"SPX")&lt;/Q&gt;&lt;R&gt;1&lt;/R&gt;&lt;C&gt;1&lt;/C&gt;&lt;D xsi:type="xsd:double"&gt;1.0196337&lt;/D&gt;&lt;/FQL&gt;&lt;FQL&gt;&lt;Q&gt;AYI-US^P_BETA_LOCIDX(45106,44931,,"SPX")&lt;/Q&gt;&lt;R&gt;1&lt;/R&gt;&lt;C&gt;1&lt;/C&gt;&lt;D xsi:type="xsd:double"&gt;1.0390599&lt;/D&gt;&lt;/FQL&gt;&lt;FQL&gt;&lt;Q&gt;AYI-US^P_BETA_LOCIDX(45105,44930,,"SPX")&lt;/Q&gt;&lt;R&gt;1&lt;/R&gt;&lt;C&gt;1&lt;/C&gt;&lt;D xsi:type="xsd:double"&gt;1.0450263&lt;/D&gt;&lt;/FQL&gt;&lt;FQL&gt;&lt;Q&gt;AYI-US^P_BETA_LOCIDX(45104,44929,,"SPX")&lt;/Q&gt;&lt;R&gt;1&lt;/R&gt;&lt;C&gt;1&lt;/C&gt;&lt;D xsi:type="xsd:double"&gt;1.0336065&lt;/D&gt;&lt;/FQL&gt;&lt;FQL&gt;&lt;Q&gt;AYI-US^P_BETA_LOCIDX(45103,44925,,"SPX")&lt;/Q&gt;&lt;R&gt;1&lt;/R&gt;&lt;C&gt;1&lt;/C&gt;&lt;D xsi:type="xsd:double"&gt;1.0392963&lt;/D&gt;&lt;/FQL&gt;&lt;FQL&gt;&lt;Q&gt;AYI-US^P_BETA_LOCIDX(45100,44924,,"SPX")&lt;/Q&gt;&lt;R&gt;1&lt;/R&gt;&lt;C&gt;1&lt;/C&gt;&lt;D xsi:type="xsd:double"&gt;1.0358037&lt;/D&gt;&lt;/FQL&gt;&lt;FQL&gt;&lt;Q&gt;AYI-US^P_BETA_LOCIDX(45099,44923,,"SPX")&lt;/Q&gt;&lt;R&gt;1&lt;/R&gt;&lt;C&gt;1&lt;/C&gt;&lt;D xsi:type="xsd:double"&gt;1.0611458&lt;/D&gt;&lt;/FQL&gt;&lt;FQL&gt;&lt;Q&gt;AYI-US^P_BETA_LOCIDX(45098,44922,,"SPX")&lt;/Q&gt;&lt;R&gt;1&lt;/R&gt;&lt;C&gt;1&lt;/C&gt;&lt;D xsi:type="xsd:double"&gt;1.0631015&lt;/D&gt;&lt;/FQL&gt;&lt;FQL&gt;&lt;Q&gt;AYI-US^P_BETA_LOCIDX(45097,44918,,"SPX")&lt;/Q&gt;&lt;R&gt;1&lt;/R&gt;&lt;C&gt;1&lt;/C&gt;&lt;D xsi:type="xsd:double"&gt;1.0627223&lt;/D&gt;&lt;/FQL&gt;&lt;FQL&gt;&lt;Q&gt;AYI-US^P_BETA_LOCIDX(45093,44917,,"SPX")&lt;/Q&gt;&lt;R&gt;1&lt;/R&gt;&lt;C&gt;1&lt;/C&gt;&lt;D xsi:type="xsd:double"&gt;1.0652268&lt;/D&gt;&lt;/FQL&gt;&lt;FQL&gt;&lt;Q&gt;AYI-US^P_BETA_LOCIDX(45092,44916,,"SPX")&lt;/Q&gt;&lt;R&gt;1&lt;/R&gt;&lt;C&gt;1&lt;/C&gt;&lt;D xsi:type="xsd:double"&gt;1.055781&lt;/D&gt;&lt;/FQL&gt;&lt;FQL&gt;&lt;Q&gt;AYI-US^P_BETA_LOCIDX(45091,44915,,"SPX")&lt;/Q&gt;&lt;R&gt;1&lt;/R&gt;&lt;C&gt;1&lt;/C&gt;&lt;D xsi:type="xsd:double"&gt;1.048799&lt;/D&gt;&lt;/FQL&gt;&lt;FQL&gt;&lt;Q&gt;AYI-US^P_BETA_LOCIDX(45090,44914,,"SPX")&lt;/Q&gt;&lt;R&gt;1&lt;/R&gt;&lt;C&gt;1&lt;/C&gt;&lt;D xsi:type="xsd:double"&gt;1.0389189&lt;/D&gt;&lt;/FQL&gt;&lt;FQL&gt;&lt;Q&gt;AYI-US^P_BETA_LOCIDX(45089,44911,,"SPX")&lt;/Q&gt;&lt;R&gt;1&lt;/R&gt;&lt;C&gt;1&lt;/C&gt;&lt;D xsi:type="xsd:double"&gt;1.0676197&lt;/D&gt;&lt;/FQL&gt;&lt;FQL&gt;&lt;Q&gt;AYI-US^P_BETA_LOCIDX(45086,44910,,"SPX")&lt;/Q&gt;&lt;R&gt;1&lt;/R&gt;&lt;C&gt;1&lt;/C&gt;&lt;D xsi:type="xsd:double"&gt;1.0495455&lt;/D&gt;&lt;/FQL&gt;&lt;FQL&gt;&lt;Q&gt;AYI-US^P_BETA_LOCIDX(45085,44909,,"SPX")&lt;/Q&gt;&lt;R&gt;1&lt;/R&gt;&lt;C&gt;1&lt;/C&gt;&lt;D xsi:type="xsd:double"&gt;1.0530303&lt;/D&gt;&lt;/FQL&gt;&lt;FQL&gt;&lt;Q&gt;AYI-US^P_BETA_LOCIDX(45084,44908,,"SPX")&lt;/Q&gt;&lt;R&gt;1&lt;/R&gt;&lt;C&gt;1&lt;/C&gt;&lt;D xsi:type="xsd:double"&gt;1.0626187&lt;/D&gt;&lt;/FQL&gt;&lt;FQL&gt;&lt;Q&gt;AYI-US^P_BETA_LOCIDX(45083,44907,,"SPX")&lt;/Q&gt;&lt;R&gt;1&lt;/R&gt;&lt;C&gt;1&lt;/C&gt;&lt;D xsi:type="xsd:double"&gt;1.0818186&lt;/D&gt;&lt;/FQL&gt;&lt;FQL&gt;&lt;Q&gt;AYI-US^P_BETA_LOCIDX(45082,44904,,"SPX")&lt;/Q&gt;&lt;R&gt;1&lt;/R&gt;&lt;C&gt;1&lt;/C&gt;&lt;D xsi:type="xsd:double"&gt;1.0779058&lt;/D&gt;&lt;/FQL&gt;&lt;FQL&gt;&lt;Q&gt;AYI-US^P_BETA_LOCIDX(45079,44903,,"SPX")&lt;/Q&gt;&lt;R&gt;1&lt;/R&gt;&lt;C&gt;1&lt;/C&gt;&lt;D xsi:type="xsd:double"&gt;1.060215&lt;/D&gt;&lt;/FQL&gt;&lt;FQL&gt;&lt;Q&gt;AYI-US^P_BETA_LOCIDX(45078,44902,,"SPX")&lt;/Q&gt;&lt;R&gt;1&lt;/R&gt;&lt;C&gt;1&lt;/C&gt;&lt;D xsi:type="xsd:double"&gt;1.0190151&lt;/D&gt;&lt;/FQL&gt;&lt;FQL&gt;&lt;Q&gt;AYI-US^P_BETA_LOCIDX(45077,44901,,"SPX")&lt;/Q&gt;&lt;R&gt;1&lt;/R&gt;&lt;C&gt;1&lt;/C&gt;&lt;D xsi:type="xsd:double"&gt;0.99879867&lt;/D&gt;&lt;/FQL&gt;&lt;FQL&gt;&lt;Q&gt;AYI-US^P_BETA_LOCIDX(45076,44900,,"SPX")&lt;/Q&gt;&lt;R&gt;1&lt;/R&gt;&lt;C&gt;1&lt;/C&gt;&lt;D xsi:type="xsd:double"&gt;1.0264411&lt;/D&gt;&lt;/FQL&gt;&lt;FQL&gt;&lt;Q&gt;AYI-US^P_BETA_LOCIDX(45072,44897,,"SPX")&lt;/Q&gt;&lt;R&gt;1&lt;/R&gt;&lt;C&gt;1&lt;/C&gt;&lt;D xsi:type="xsd:double"&gt;1.0256077&lt;/D&gt;&lt;/FQL&gt;&lt;FQL&gt;&lt;Q&gt;AYI-US^P_BETA_LOCIDX(45071,44896,,"SPX")&lt;/Q&gt;&lt;R&gt;1&lt;/R&gt;&lt;C&gt;1&lt;/C&gt;&lt;D xsi:type="xsd:double"&gt;1.0301793&lt;/D&gt;&lt;/FQL&gt;&lt;FQL&gt;&lt;Q&gt;AYI-US^P_BETA_LOCIDX(45070,44895,,"SPX")&lt;/Q&gt;&lt;R&gt;1&lt;/R&gt;&lt;C&gt;1&lt;/C&gt;&lt;D xsi:type="xsd:double"&gt;0.96381056&lt;/D&gt;&lt;/FQL&gt;&lt;FQL&gt;&lt;Q&gt;AYI-US^P_BETA_LOCIDX(45069,44894,,"SPX")&lt;/Q&gt;&lt;R&gt;1&lt;/R&gt;&lt;C&gt;1&lt;/C&gt;&lt;D xsi:type="xsd:double"&gt;0.94995284&lt;/D&gt;&lt;/FQL&gt;&lt;FQL&gt;&lt;Q&gt;AYI-US^P_BETA_LOCIDX(45068,44893,,"SPX")&lt;/Q&gt;&lt;R&gt;1&lt;/R&gt;&lt;C&gt;1&lt;/C&gt;&lt;D xsi:type="xsd:double"&gt;0.96068376&lt;/D&gt;&lt;/FQL&gt;&lt;FQL&gt;&lt;Q&gt;AYI-US^P_BETA_LOCIDX(45065,44890,,"SPX")&lt;/Q&gt;&lt;R&gt;1&lt;/R&gt;&lt;C&gt;1&lt;/C&gt;&lt;D xsi:type="xsd:double"&gt;0.9605416&lt;/D&gt;&lt;/FQL&gt;&lt;FQL&gt;&lt;Q&gt;AYI-US^P_BETA_LOCIDX(45064,44888,,"SPX")&lt;/Q&gt;&lt;R&gt;1&lt;/R&gt;&lt;C&gt;1&lt;/C&gt;&lt;D xsi:type="xsd:double"&gt;0.9545503&lt;/D&gt;&lt;/FQL&gt;&lt;FQL&gt;&lt;Q&gt;AYI-US^P_BETA_LOCIDX(45063,44887,,"SPX")&lt;/Q&gt;&lt;R&gt;1&lt;/R&gt;&lt;C&gt;1&lt;/C&gt;&lt;D xsi:type="xsd:double"&gt;0.96518147&lt;/D&gt;&lt;/FQL&gt;&lt;FQL&gt;&lt;Q&gt;AYI-US^P_BETA_LOCIDX(45062,44886,,"SPX")&lt;/Q&gt;&lt;R&gt;1&lt;/R&gt;&lt;C&gt;1&lt;/C&gt;&lt;D xsi:type="xsd:double"&gt;0.9472393&lt;/D&gt;&lt;/FQL&gt;&lt;FQL&gt;&lt;Q&gt;AYI-US^P_BETA_LOCIDX(45061,44883,,"SPX")&lt;/Q&gt;&lt;R&gt;1&lt;/R&gt;&lt;C&gt;1&lt;/C&gt;&lt;D xsi:type="xsd:double"&gt;0.9452379&lt;/D&gt;&lt;/FQL&gt;&lt;FQL&gt;&lt;Q&gt;AYI-US^P_BETA_LOCIDX(45058,44882,,"SPX")&lt;/Q&gt;&lt;R&gt;1&lt;/R&gt;&lt;C&gt;1&lt;/C&gt;&lt;D xsi:type="xsd:double"&gt;0.9511581&lt;/D&gt;&lt;/FQL&gt;&lt;FQL&gt;&lt;Q&gt;AYI-US^P_BETA_LOCIDX(45057,44881,,"SPX")&lt;/Q&gt;&lt;R&gt;1&lt;/R&gt;&lt;C&gt;1&lt;/C&gt;&lt;D xsi:type="xsd:double"&gt;0.95588636&lt;/D&gt;&lt;/FQL&gt;&lt;FQL&gt;&lt;Q&gt;AYI-US^P_BETA_LOCIDX(45056,44880,,"SPX")&lt;/Q&gt;&lt;R&gt;1&lt;/R&gt;&lt;C&gt;1&lt;/C&gt;&lt;D xsi:type="xsd:double"&gt;0.9684956&lt;/D&gt;&lt;/FQL&gt;&lt;FQL&gt;&lt;Q&gt;AYI-US^P_BETA_LOCIDX(45055,44879,,"SPX")&lt;/Q&gt;&lt;R&gt;1&lt;/R&gt;&lt;C&gt;1&lt;/C&gt;&lt;D xsi:type="xsd:double"&gt;0.9790871&lt;/D&gt;&lt;/FQL&gt;&lt;FQL&gt;&lt;Q&gt;AYI-US^P_BETA_LOCIDX(45054,44876,,"SPX")&lt;/Q&gt;&lt;R&gt;1&lt;/R&gt;&lt;C&gt;1&lt;/C&gt;&lt;D xsi:type="xsd:double"&gt;0.95431995&lt;/D&gt;&lt;/FQL&gt;&lt;FQL&gt;&lt;Q&gt;AYI-US^P_BETA_LOCIDX(45051,44875,,"SPX")&lt;/Q&gt;&lt;R&gt;1&lt;/R&gt;&lt;C&gt;1&lt;/C&gt;&lt;D xsi:type="xsd:double"&gt;1.0011932&lt;/D&gt;&lt;/FQL&gt;&lt;FQL&gt;&lt;Q&gt;AYI-US^P_BETA_LOCIDX(45050,44874,,"SPX")&lt;/Q&gt;&lt;R&gt;1&lt;/R&gt;&lt;C&gt;1&lt;/C&gt;&lt;D xsi:type="xsd:double"&gt;0.9929488&lt;/D&gt;&lt;/FQL&gt;&lt;FQL&gt;&lt;Q&gt;AYI-US^P_BETA_LOCIDX(45049,44873,,"SPX")&lt;/Q&gt;&lt;R&gt;1&lt;/R&gt;&lt;C&gt;1&lt;/C&gt;&lt;D xsi:type="xsd:double"&gt;0.98361397&lt;/D&gt;&lt;/FQL&gt;&lt;FQL&gt;&lt;Q&gt;AYI-US^P_BETA_LOCIDX(45048,44872,,"SPX")&lt;/Q&gt;&lt;R&gt;1&lt;/R&gt;&lt;C&gt;1&lt;/C&gt;&lt;D xsi:type="xsd:double"&gt;1.0031475&lt;/D&gt;&lt;/FQL&gt;&lt;FQL&gt;&lt;Q&gt;AYI-US^P_BETA_LOCIDX(45047,44869,,"SPX")&lt;/Q&gt;&lt;R&gt;1&lt;/R&gt;&lt;C&gt;1&lt;/C&gt;&lt;D xsi:type="xsd:double"&gt;1.0176413&lt;/D&gt;&lt;/FQL&gt;&lt;FQL&gt;&lt;Q&gt;AYI-US^P_BETA_LOCIDX(45044,44868,,"SPX")&lt;/Q&gt;&lt;R&gt;1&lt;/R&gt;&lt;C&gt;1&lt;/C&gt;&lt;D xsi:type="xsd:double"&gt;1.0196391&lt;/D&gt;&lt;/FQL&gt;&lt;FQL&gt;&lt;Q&gt;AYI-US^P_BETA_LOCIDX(45043,44867,,"SPX")&lt;/Q&gt;&lt;R&gt;1&lt;/R&gt;&lt;C&gt;1&lt;/C&gt;&lt;D xsi:type="xsd:double"&gt;1.016724&lt;/D&gt;&lt;/FQL&gt;&lt;FQL&gt;&lt;Q&gt;AYI-US^P_BETA_LOCIDX(45042,44866,,"SPX")&lt;/Q&gt;&lt;R&gt;1&lt;/R&gt;&lt;C&gt;1&lt;/C&gt;&lt;D xsi:type="xsd:double"&gt;1.0205806&lt;/D&gt;&lt;/FQL&gt;&lt;FQL&gt;&lt;Q&gt;AYI-US^P_BETA_LOCIDX(45041,44865,,"SPX")&lt;/Q&gt;&lt;R&gt;1&lt;/R&gt;&lt;C&gt;1&lt;/C&gt;&lt;D xsi:type="xsd:double"&gt;1.0169058&lt;/D&gt;&lt;/FQL&gt;&lt;FQL&gt;&lt;Q&gt;AYI-US^P_BETA_LOCIDX(45040,44862,,"SPX")&lt;/Q&gt;&lt;R&gt;1&lt;/R&gt;&lt;C&gt;1&lt;/C&gt;&lt;D xsi:type="xsd:double"&gt;1.0064155&lt;/D&gt;&lt;/FQL&gt;&lt;FQL&gt;&lt;Q&gt;AYI-US^P_BETA_LOCIDX(45037,44861,,"SPX")&lt;/Q&gt;&lt;R&gt;1&lt;/R&gt;&lt;C&gt;1&lt;/C&gt;&lt;D xsi:type="xsd:double"&gt;1.0066452&lt;/D&gt;&lt;/FQL&gt;&lt;FQL&gt;&lt;Q&gt;AYI-US^P_BETA_LOCIDX(45036,44860,,"SPX")&lt;/Q&gt;&lt;R&gt;1&lt;/R&gt;&lt;C&gt;1&lt;/C&gt;&lt;D xsi:type="xsd:double"&gt;1.0100002&lt;/D&gt;&lt;/FQL&gt;&lt;FQL&gt;&lt;Q&gt;AYI-US^P_BETA_LOCIDX(45035,44859,,"SPX")&lt;/Q&gt;&lt;R&gt;1&lt;/R&gt;&lt;C&gt;1&lt;/C&gt;&lt;D xsi:type="xsd:double"&gt;1.0286342&lt;/D&gt;&lt;/FQL&gt;&lt;FQL&gt;&lt;Q&gt;AYI-US^P_BETA_LOCIDX(45034,44858,,"SPX")&lt;/Q&gt;&lt;R&gt;1&lt;/R&gt;&lt;C&gt;1&lt;/C&gt;&lt;D xsi:type="xsd:double"&gt;1.0355005&lt;/D&gt;&lt;/FQL&gt;&lt;FQL&gt;&lt;Q&gt;AYI-US^P_BETA_LOCIDX(45033,44855,,"SPX")&lt;/Q&gt;&lt;R&gt;1&lt;/R&gt;&lt;C&gt;1&lt;/C&gt;&lt;D xsi:type="xsd:double"&gt;1.0627122&lt;/D&gt;&lt;/FQL&gt;&lt;FQL&gt;&lt;Q&gt;AYI-US^P_BETA_LOCIDX(45030,44854,,"SPX")&lt;/Q&gt;&lt;R&gt;1&lt;/R&gt;&lt;C&gt;1&lt;/C&gt;&lt;D xsi:type="xsd:double"&gt;1.0712821&lt;/D&gt;&lt;/FQL&gt;&lt;FQL&gt;&lt;Q&gt;AYI-US^P_BETA_LOCIDX(45029,44853,,"SPX")&lt;/Q&gt;&lt;R&gt;1&lt;/R&gt;&lt;C&gt;1&lt;/C&gt;&lt;D xsi:type="xsd:double"&gt;1.0747929&lt;/D&gt;&lt;/FQL&gt;&lt;FQL&gt;&lt;Q&gt;AYI-US^P_BETA_LOCIDX(45028,44852,,"SPX")&lt;/Q&gt;&lt;R&gt;1&lt;/R&gt;&lt;C&gt;1&lt;/C&gt;&lt;D xsi:type="xsd:double"&gt;1.0934218&lt;/D&gt;&lt;/FQL&gt;&lt;FQL&gt;&lt;Q&gt;AYI-US^P_BETA_LOCIDX(45027,44851,,"SPX")&lt;/Q&gt;&lt;R&gt;1&lt;/R&gt;&lt;C&gt;1&lt;/C&gt;&lt;D xsi:type="xsd:double"&gt;1.1076528&lt;/D&gt;&lt;/FQL&gt;&lt;FQL&gt;&lt;Q&gt;AYI-US^P_BETA_LOCIDX(45026,44848,,"SPX")&lt;/Q&gt;&lt;R&gt;1&lt;/R&gt;&lt;C&gt;1&lt;/C&gt;&lt;D xsi:type="xsd:double"&gt;1.1194739&lt;/D&gt;&lt;/FQL&gt;&lt;FQL&gt;&lt;Q&gt;AYI-US^P_BETA_LOCIDX(45022,44847,,"SPX")&lt;/Q&gt;&lt;R&gt;1&lt;/R&gt;&lt;C&gt;1&lt;/C&gt;&lt;D xsi:type="xsd:double"&gt;1.1117952&lt;/D&gt;&lt;/FQL&gt;&lt;FQL&gt;&lt;Q&gt;AYI-US^P_BETA_LOCIDX(45021,44846,,"SPX")&lt;/Q&gt;&lt;R&gt;1&lt;/R&gt;&lt;C&gt;1&lt;/C&gt;&lt;D xsi:type="xsd:double"&gt;1.1115608&lt;/D&gt;&lt;/FQL&gt;&lt;FQL&gt;&lt;Q&gt;AYI-US^P_BETA_LOCIDX(45020,44845,,"SPX")&lt;/Q&gt;&lt;R&gt;1&lt;/R&gt;&lt;C&gt;1&lt;/C&gt;&lt;D xsi:type="xsd:double"&gt;1.0951384&lt;/D&gt;&lt;/FQL&gt;&lt;FQL&gt;&lt;Q&gt;AYI-US^P_BETA_LOCIDX(45019,44844,,"SPX")&lt;/Q&gt;&lt;R&gt;1&lt;/R&gt;&lt;C&gt;1&lt;/C&gt;&lt;D xsi:type="xsd:double"&gt;1.0441464&lt;/D&gt;&lt;/FQL&gt;&lt;FQL&gt;&lt;Q&gt;AYI-US^P_BETA_LOCIDX(45016,44841,,"SPX")&lt;/Q&gt;&lt;R&gt;1&lt;/R&gt;&lt;C&gt;1&lt;/C&gt;&lt;D xsi:type="xsd:double"&gt;1.0644447&lt;/D&gt;&lt;/FQL&gt;&lt;FQL&gt;&lt;Q&gt;AYI-US^P_BETA_LOCIDX(45015,44840,,"SPX")&lt;/Q&gt;&lt;R&gt;1&lt;/R&gt;&lt;C&gt;1&lt;/C&gt;&lt;D xsi:type="xsd:double"&gt;1.071517&lt;/D&gt;&lt;/FQL&gt;&lt;FQL&gt;&lt;Q&gt;AYI-US^P_BETA_LOCIDX(45014,44839,,"SPX")&lt;/Q&gt;&lt;R&gt;1&lt;/R&gt;&lt;C&gt;1&lt;/C&gt;&lt;D xsi:type="xsd:double"&gt;1.0687624&lt;/D&gt;&lt;/FQL&gt;&lt;FQL&gt;&lt;Q&gt;AYI-US^P_BETA_LOCIDX(45013,44838,,"SPX")&lt;/Q&gt;&lt;R&gt;1&lt;/R&gt;&lt;C&gt;1&lt;/C&gt;&lt;D xsi:type="xsd:double"&gt;1.0902474&lt;/D&gt;&lt;/FQL&gt;&lt;FQL&gt;&lt;Q&gt;AYI-US^P_BETA_LOCIDX(45012,44837,,"SPX")&lt;/Q&gt;&lt;R&gt;1&lt;/R&gt;&lt;C&gt;1&lt;/C&gt;&lt;D xsi:type="xsd:double"&gt;1.0749136&lt;/D&gt;&lt;/FQL&gt;&lt;FQL&gt;&lt;Q&gt;AYI-US^P_BETA_LOCIDX(45009,44834,,"SPX")&lt;/Q&gt;&lt;R&gt;1&lt;/R&gt;&lt;C&gt;1&lt;/C&gt;&lt;D xsi:type="xsd:double"&gt;1.0472461&lt;/D&gt;&lt;/FQL&gt;&lt;FQL&gt;&lt;Q&gt;AYI-US^P_BETA_LOCIDX(45008,44833,,"SPX")&lt;/Q&gt;&lt;R&gt;1&lt;/R&gt;&lt;C&gt;1&lt;/C&gt;&lt;D xsi:type="xsd:double"&gt;1.0548806&lt;/D&gt;&lt;/FQL&gt;&lt;FQL&gt;&lt;Q&gt;AYI-US^P_BETA_LOCIDX(45007,44832,,"SPX")&lt;/Q&gt;&lt;R&gt;1&lt;/R&gt;&lt;C&gt;1&lt;/C&gt;&lt;D xsi:type="xsd:double"&gt;1.0626794&lt;/D&gt;&lt;/FQL&gt;&lt;FQL&gt;&lt;Q&gt;AYI-US^P_BETA_LOCIDX(45006,44831,,"SPX")&lt;/Q&gt;&lt;R&gt;1&lt;/R&gt;&lt;C&gt;1&lt;/C&gt;&lt;D xsi:type="xsd:double"&gt;1.0554394&lt;/D&gt;&lt;/FQL&gt;&lt;FQL&gt;&lt;Q&gt;AYI-US^P_BETA_LOCIDX(45005,44830,,"SPX")&lt;/Q&gt;&lt;R&gt;1&lt;/R&gt;&lt;C&gt;1&lt;/C&gt;&lt;D xsi:type="xsd:double"&gt;1.0654393&lt;/D&gt;&lt;/FQL&gt;&lt;FQL&gt;&lt;Q&gt;AYI-US^P_BETA_LOCIDX(45002,44827,,"SPX")&lt;/Q&gt;&lt;R&gt;1&lt;/R&gt;&lt;C&gt;1&lt;/C&gt;&lt;D xsi:type="xsd:double"&gt;1.0524076&lt;/D&gt;&lt;/FQL&gt;&lt;FQL&gt;&lt;Q&gt;AYI-US^P_BETA_LOCIDX(45001,44826,,"SPX")&lt;/Q&gt;&lt;R&gt;1&lt;/R&gt;&lt;C&gt;1&lt;/C&gt;&lt;D xsi:type="xsd:double"&gt;1.0487775&lt;/D&gt;&lt;/FQL&gt;&lt;FQL&gt;&lt;Q&gt;AYI-US^P_BETA_LOCIDX(45000,44825,,"SPX")&lt;/Q&gt;&lt;R&gt;1&lt;/R&gt;&lt;C&gt;1&lt;/C&gt;&lt;D xsi:type="xsd:double"&gt;1.030382&lt;/D&gt;&lt;/FQL&gt;&lt;FQL&gt;&lt;Q&gt;AYI-US^P_BETA_LOCIDX(44999,44824,,"SPX")&lt;/Q&gt;&lt;R&gt;1&lt;/R&gt;&lt;C&gt;1&lt;/C&gt;&lt;D xsi:type="xsd:double"&gt;1.0194347&lt;/D&gt;&lt;/FQL&gt;&lt;FQL&gt;&lt;Q&gt;AYI-US^P_BETA_LOCIDX(44998,44823,,"SPX")&lt;/Q&gt;&lt;R&gt;1&lt;/R&gt;&lt;C&gt;1&lt;/C&gt;&lt;D xsi:type="xsd:double"&gt;1.0245436&lt;/D&gt;&lt;/FQL&gt;&lt;FQL&gt;&lt;Q&gt;AYI-US^P_BETA_LOCIDX(44995,44820,,"SPX")&lt;/Q&gt;&lt;R&gt;1&lt;/R&gt;&lt;C&gt;1&lt;/C&gt;&lt;D xsi:type="xsd:double"&gt;1.0302926&lt;/D&gt;&lt;/FQL&gt;&lt;FQL&gt;&lt;Q&gt;AYI-US^P_BETA_LOCIDX(44994,44819,,"SPX")&lt;/Q&gt;&lt;R&gt;1&lt;/R&gt;&lt;C&gt;1&lt;/C&gt;&lt;D xsi:type="xsd:double"&gt;1.0174001&lt;/D&gt;&lt;/FQL&gt;&lt;FQL&gt;&lt;Q&gt;AYI-US^P_BETA_LOCIDX(44993,44818,,"SPX")&lt;/Q&gt;&lt;R&gt;1&lt;/R&gt;&lt;C&gt;1&lt;/C&gt;&lt;D xsi:type="xsd:double"&gt;1.0220886&lt;/D&gt;&lt;/FQL&gt;&lt;FQL&gt;&lt;Q&gt;AYI-US^P_BETA_LOCIDX(44992,44817,,"SPX")&lt;/Q&gt;&lt;R&gt;1&lt;/R&gt;&lt;C&gt;1&lt;/C&gt;&lt;D xsi:type="xsd:double"&gt;1.0524843&lt;/D&gt;&lt;/FQL&gt;&lt;FQL&gt;&lt;Q&gt;AYI-US^P_BETA_LOCIDX(44991,44816,,"SPX")&lt;/Q&gt;&lt;R&gt;1&lt;/R&gt;&lt;C&gt;1&lt;/C&gt;&lt;D xsi:type="xsd:double"&gt;1.0665377&lt;/D&gt;&lt;/FQL&gt;&lt;FQL&gt;&lt;Q&gt;AYI-US^P_BETA_LOCIDX(44988,44813,,"SPX")&lt;/Q&gt;&lt;R&gt;1&lt;/R&gt;&lt;C&gt;1&lt;/C&gt;&lt;D xsi:type="xsd:double"&gt;1.0746711&lt;/D&gt;&lt;/FQL&gt;&lt;FQL&gt;&lt;Q&gt;AYI-US^P_BETA_LOCIDX(44987,44812,,"SPX")&lt;/Q&gt;&lt;R&gt;1&lt;/R&gt;&lt;C&gt;1&lt;/C&gt;&lt;D xsi:type="xsd:double"&gt;1.0805535&lt;/D&gt;&lt;/FQL&gt;&lt;FQL&gt;&lt;Q&gt;AYI-US^P_BETA_LOCIDX(44986,44811,,"SPX")&lt;/Q&gt;&lt;R&gt;1&lt;/R&gt;&lt;C&gt;1&lt;/C&gt;&lt;D xsi:type="xsd:double"&gt;1.0838295&lt;/D&gt;&lt;/FQL&gt;&lt;FQL&gt;&lt;Q&gt;AYI-US^P_BETA_LOCIDX(44985,44810,,"SPX")&lt;/Q&gt;&lt;R&gt;1&lt;/R&gt;&lt;C&gt;1&lt;/C&gt;&lt;D xsi:type="xsd:double"&gt;1.0829709&lt;/D&gt;&lt;/FQL&gt;&lt;FQL&gt;&lt;Q&gt;AYI-US^P_BETA_LOCIDX(44984,44806,,"SPX")&lt;/Q&gt;&lt;R&gt;1&lt;/R&gt;&lt;C&gt;1&lt;/C&gt;&lt;D xsi:type="xsd:double"&gt;1.0875567&lt;/D&gt;&lt;/FQL&gt;&lt;FQL&gt;&lt;Q&gt;AYI-US^P_BETA_LOCIDX(44981,44805,,"SPX")&lt;/Q&gt;&lt;R&gt;1&lt;/R&gt;&lt;C&gt;1&lt;/C&gt;&lt;D xsi:type="xsd:double"&gt;1.0858172&lt;/D&gt;&lt;/FQL&gt;&lt;FQL&gt;&lt;Q&gt;AYI-US^P_BETA_LOCIDX(44980,44804,,"SPX")&lt;/Q&gt;&lt;R&gt;1&lt;/R&gt;&lt;C&gt;1&lt;/C&gt;&lt;D xsi:type="xsd:double"&gt;1.0871543&lt;/D&gt;&lt;/FQL&gt;&lt;FQL&gt;&lt;Q&gt;AYI-US^P_BETA_LOCIDX(44979,44803,,"SPX")&lt;/Q&gt;&lt;R&gt;1&lt;/R&gt;&lt;C&gt;1&lt;/C&gt;&lt;D xsi:type="xsd:double"&gt;1.088067&lt;/D&gt;&lt;/FQL&gt;&lt;FQL&gt;&lt;Q&gt;AYI-US^P_BETA_LOCIDX(44978,44802,,"SPX")&lt;/Q&gt;&lt;R&gt;1&lt;/R&gt;&lt;C&gt;1&lt;/C&gt;&lt;D xsi:type="xsd:double"&gt;1.0911875&lt;/D&gt;&lt;/FQL&gt;&lt;FQL&gt;&lt;Q&gt;AYI-US^P_BETA_LOCIDX(44974,44799,,"SPX")&lt;/Q&gt;&lt;R&gt;1&lt;/R&gt;&lt;C&gt;1&lt;/C&gt;&lt;D xsi:type="xsd:double"&gt;1.108032&lt;/D&gt;&lt;/FQL&gt;&lt;FQL&gt;&lt;Q&gt;AYI-US^P_BETA_LOCIDX(44973,44798,,"SPX")&lt;/Q&gt;&lt;R&gt;1&lt;/R&gt;&lt;C&gt;1&lt;/C&gt;&lt;D xsi:type="xsd:double"&gt;1.1061293&lt;/D&gt;&lt;/FQL&gt;&lt;FQL&gt;&lt;Q&gt;AYI-US^P_BETA_LOCIDX(44972,44797,,"SPX")&lt;/Q&gt;&lt;R&gt;1&lt;/R&gt;&lt;C&gt;1&lt;/C&gt;&lt;D xsi:type="xsd:double"&gt;1.1134388&lt;/D&gt;&lt;/FQL&gt;&lt;FQL&gt;&lt;Q&gt;AYI-US^P_BETA_LOCIDX(44971,44796,,"SPX")&lt;/Q&gt;&lt;R&gt;1&lt;/R&gt;&lt;C&gt;1&lt;/C&gt;&lt;D xsi:type="xsd:double"&gt;1.1132758&lt;/D&gt;&lt;/FQL&gt;&lt;FQL&gt;&lt;Q&gt;AYI-US^P_BETA_LOCIDX(44970,44795,,"SPX")&lt;/Q&gt;&lt;R&gt;1&lt;/R&gt;&lt;C&gt;1&lt;/C&gt;&lt;D xsi:type="xsd:double"&gt;1.1192172&lt;/D&gt;&lt;/FQL&gt;&lt;FQL&gt;&lt;Q&gt;AYI-US^P_BETA_LOCIDX(44967,44792,,"SPX")&lt;/Q&gt;&lt;R&gt;1&lt;/R&gt;&lt;C&gt;1&lt;/C&gt;&lt;D xsi:type="xsd:double"&gt;1.1170218&lt;/D&gt;&lt;/FQL&gt;&lt;FQL&gt;&lt;Q&gt;AYI-US^P_BETA_LOCIDX(44966,44791,,"SPX")&lt;/Q&gt;&lt;R&gt;1&lt;/R&gt;&lt;C&gt;1&lt;/C&gt;&lt;D xsi:type="xsd:double"&gt;1.1168431&lt;/D&gt;&lt;/FQL&gt;&lt;FQL&gt;&lt;Q&gt;AYI-US^P_BETA_LOCIDX(44965,44790,,"SPX")&lt;/Q&gt;&lt;R&gt;1&lt;/R&gt;&lt;C&gt;1&lt;/C&gt;&lt;D xsi:type="xsd:double"&gt;1.1097887&lt;/D&gt;&lt;/FQL&gt;&lt;FQL&gt;&lt;Q&gt;AYI-US^P_BETA_LOCIDX(44964,44789,,"SPX")&lt;/Q&gt;&lt;R&gt;1&lt;/R&gt;&lt;C&gt;1&lt;/C&gt;&lt;D xsi:type="xsd:double"&gt;1.1085169&lt;/D&gt;&lt;/FQL&gt;&lt;FQL&gt;&lt;Q&gt;AYI-US^P_BETA_LOCIDX(44963,44788,,"SPX")&lt;/Q&gt;&lt;R&gt;1&lt;/R&gt;&lt;C&gt;1&lt;/C&gt;&lt;D xsi:type="xsd:double"&gt;1.1066242&lt;/D&gt;&lt;/FQL&gt;&lt;FQL&gt;&lt;Q&gt;AYI-US^P_BETA_LOCIDX(44960,44785,,"SPX")&lt;/Q&gt;&lt;R&gt;1&lt;/R&gt;&lt;C&gt;1&lt;/C&gt;&lt;D xsi:type="xsd:double"&gt;1.1008132&lt;/D&gt;&lt;/FQL&gt;&lt;FQL&gt;&lt;Q&gt;AYI-US^P_BETA_LOCIDX(44959,44784,,"SPX")&lt;/Q&gt;&lt;R&gt;1&lt;/R&gt;&lt;C&gt;1&lt;/C&gt;&lt;D xsi:type="xsd:double"&gt;1.1085352&lt;/D&gt;&lt;/FQL&gt;&lt;FQL&gt;&lt;Q&gt;AYI-US^P_BETA_LOCIDX(44958,44783,,"SPX")&lt;/Q&gt;&lt;R&gt;1&lt;/R&gt;&lt;C&gt;1&lt;/C&gt;&lt;D xsi:type="xsd:double"&gt;1.1311754&lt;/D&gt;&lt;/FQL&gt;&lt;FQL&gt;&lt;Q&gt;AYI-US^P_BETA_LOCIDX(44957,44782,,"SPX")&lt;/Q&gt;&lt;R&gt;1&lt;/R&gt;&lt;C&gt;1&lt;/C&gt;&lt;D xsi:type="xsd:double"&gt;1.1339121&lt;/D&gt;&lt;/FQL&gt;&lt;FQL&gt;&lt;Q&gt;AYI-US^P_BETA_LOCIDX(44956,44781,,"SPX")&lt;/Q&gt;&lt;R&gt;1&lt;/R&gt;&lt;C&gt;1&lt;/C&gt;&lt;D xsi:type="xsd:double"&gt;1.1327763&lt;/D&gt;&lt;/FQL&gt;&lt;FQL&gt;&lt;Q&gt;AYI-US^P_BETA_LOCIDX(44953,44778,,"SPX")&lt;/Q&gt;&lt;R&gt;1&lt;/R&gt;&lt;C&gt;1&lt;/C&gt;&lt;D xsi:type="xsd:double"&gt;1.1382391&lt;/D&gt;&lt;/FQL&gt;&lt;FQL&gt;&lt;Q&gt;AYI-US^P_BETA_LOCIDX(44952,44777,,"SPX")&lt;/Q&gt;&lt;R&gt;1&lt;/R&gt;&lt;C&gt;1&lt;/C&gt;&lt;D xsi:type="xsd:double"&gt;1.137022&lt;/D&gt;&lt;/FQL&gt;&lt;FQL&gt;&lt;Q&gt;AYI-US^P_BETA_LOCIDX(44951,44776,,"SPX")&lt;/Q&gt;&lt;R&gt;1&lt;/R&gt;&lt;C&gt;1&lt;/C&gt;&lt;D xsi:type="xsd:double"&gt;1.1246326&lt;/D&gt;&lt;/FQL&gt;&lt;FQL&gt;&lt;Q&gt;AYI-US^P_BETA_LOCIDX(44950,44775,,"SPX")&lt;/Q&gt;&lt;R&gt;1&lt;/R&gt;&lt;C&gt;1&lt;/C&gt;&lt;D xsi:type="xsd:double"&gt;1.129721&lt;/D&gt;&lt;/FQL&gt;&lt;FQL&gt;&lt;Q&gt;AYI-US^P_BETA_LOCIDX(44949,44774,,"SPX")&lt;/Q&gt;&lt;R&gt;1&lt;/R&gt;&lt;C&gt;1&lt;/C&gt;&lt;D xsi:type="xsd:double"&gt;1.1301218&lt;/D&gt;&lt;/FQL&gt;&lt;FQL&gt;&lt;Q&gt;AYI-US^P_BETA_LOCIDX(44946,44771,,"SPX")&lt;/Q&gt;&lt;R&gt;1&lt;/R&gt;&lt;C&gt;1&lt;/C&gt;&lt;D xsi:type="xsd:double"&gt;1.1392057&lt;/D&gt;&lt;/FQL&gt;&lt;FQL&gt;&lt;Q&gt;AYI-US^P_BETA_LOCIDX(44945,44770,,"SPX")&lt;/Q&gt;&lt;R&gt;1&lt;/R&gt;&lt;C&gt;1&lt;/C&gt;&lt;D xsi:type="xsd:double"&gt;1.1549041&lt;/D&gt;&lt;/FQL&gt;&lt;FQL&gt;&lt;Q&gt;AYI-US^P_BETA_LOCIDX(44944,44769,,"SPX")&lt;/Q&gt;&lt;R&gt;1&lt;/R&gt;&lt;C&gt;1&lt;/C&gt;&lt;D xsi:type="xsd:double"&gt;1.1100606&lt;/D&gt;&lt;/FQL&gt;&lt;FQL&gt;&lt;Q&gt;AYI-US^P_BETA_LOCIDX(44943,44768,,"SPX")&lt;/Q&gt;&lt;R&gt;1&lt;/R&gt;&lt;C&gt;1&lt;/C&gt;&lt;D xsi:type="xsd:double"&gt;1.116574&lt;/D&gt;&lt;/FQL&gt;&lt;FQL&gt;&lt;Q&gt;AYI-US^P_BETA_LOCIDX(44939,44767,,"SPX")&lt;/Q&gt;&lt;R&gt;1&lt;/R&gt;&lt;C&gt;1&lt;/C&gt;&lt;D xsi:type="xsd:double"&gt;1.1164411&lt;/D&gt;&lt;/FQL&gt;&lt;FQL&gt;&lt;Q&gt;AYI-US^P_BETA_LOCIDX(44938,44764,,"SPX")&lt;/Q&gt;&lt;R&gt;1&lt;/R&gt;&lt;C&gt;1&lt;/C&gt;&lt;D xsi:type="xsd:double"&gt;1.1131729&lt;/D&gt;&lt;/FQL&gt;&lt;FQL&gt;&lt;Q&gt;AYI-US^P_BETA_LOCIDX(44937,44763,,"SPX")&lt;/Q&gt;&lt;R&gt;1&lt;/R&gt;&lt;C&gt;1&lt;/C&gt;&lt;D xsi:type="xsd:double"&gt;1.114689&lt;/D&gt;&lt;/FQL&gt;&lt;FQL&gt;&lt;Q&gt;AYI-US^P_BETA_LOCIDX(44936,44762,,"SPX")&lt;/Q&gt;&lt;R&gt;1&lt;/R&gt;&lt;C&gt;1&lt;/C&gt;&lt;D xsi:type="xsd:double"&gt;1.1274985&lt;/D&gt;&lt;/FQL&gt;&lt;FQL&gt;&lt;Q&gt;AYI-US^P_BETA_LOCIDX(44935,44761,,"SPX")&lt;/Q&gt;&lt;R&gt;1&lt;/R&gt;&lt;C&gt;1&lt;/C&gt;&lt;D xsi:type="xsd:double"&gt;1.1472718&lt;/D&gt;&lt;/FQL&gt;&lt;FQL&gt;&lt;Q&gt;AYI-US^P_BETA_LOCIDX(44932,44760,,"SPX")&lt;/Q&gt;&lt;R&gt;1&lt;/R&gt;&lt;C&gt;1&lt;/C&gt;&lt;D xsi:type="xsd:double"&gt;1.1461197&lt;/D&gt;&lt;/FQL&gt;&lt;FQL&gt;&lt;Q&gt;AYI-US^P_BETA_LOCIDX(44931,44757,,"SPX")&lt;/Q&gt;&lt;R&gt;1&lt;/R&gt;&lt;C&gt;1&lt;/C&gt;&lt;D xsi:type="xsd:double"&gt;1.1546122&lt;/D&gt;&lt;/FQL&gt;&lt;FQL&gt;&lt;Q&gt;AYI-US^P_BETA_LOCIDX(44930,44756,,"SPX")&lt;/Q&gt;&lt;R&gt;1&lt;/R&gt;&lt;C&gt;1&lt;/C&gt;&lt;D xsi:type="xsd:double"&gt;1.1492264&lt;/D&gt;&lt;/FQL&gt;&lt;FQL&gt;&lt;Q&gt;AYI-US^P_BETA_LOCIDX(44929,44755,,"SPX")&lt;/Q&gt;&lt;R&gt;1&lt;/R&gt;&lt;C&gt;1&lt;/C&gt;&lt;D xsi:type="xsd:double"&gt;1.1456914&lt;/D&gt;&lt;/FQL&gt;&lt;FQL&gt;&lt;Q&gt;AYI-US^P_BETA_LOCIDX(44925,44754,,"SPX")&lt;/Q&gt;&lt;R&gt;1&lt;/R&gt;&lt;C&gt;1&lt;/C&gt;&lt;D xsi:type="xsd:double"&gt;1.1388658&lt;/D&gt;&lt;/FQL&gt;&lt;FQL&gt;&lt;Q&gt;AYI-US^P_BETA_LOCIDX(44924,44753,,"SPX")&lt;/Q&gt;&lt;R&gt;1&lt;/R&gt;&lt;C&gt;1&lt;/C&gt;&lt;D xsi:type="xsd:double"&gt;1.128873&lt;/D&gt;&lt;/FQL&gt;&lt;FQL&gt;&lt;Q&gt;AYI-US^P_BETA_LOCIDX(44923,44750,,"SPX")&lt;/Q&gt;&lt;R&gt;1&lt;/R&gt;&lt;C&gt;1&lt;/C&gt;&lt;D xsi:type="xsd:double"&gt;1.134489&lt;/D&gt;&lt;/FQL&gt;&lt;FQL&gt;&lt;Q&gt;AYI-US^P_BETA_LOCIDX(44922,44749,,"SPX")&lt;/Q&gt;&lt;R&gt;1&lt;/R&gt;&lt;C&gt;1&lt;/C&gt;&lt;D xsi:type="xsd:double"&gt;1.1292646&lt;/D&gt;&lt;/FQL&gt;&lt;FQL&gt;&lt;Q&gt;AYI-US^P_BETA_LOCIDX(44918,44748,,"SPX")&lt;/Q&gt;&lt;R&gt;1&lt;/R&gt;&lt;C&gt;1&lt;/C&gt;&lt;D xsi:type="xsd:double"&gt;1.1308566&lt;/D&gt;&lt;/FQL&gt;&lt;FQL&gt;&lt;Q&gt;AYI-US^P_BETA_LOCIDX(44917,44747,,"SPX")&lt;/Q&gt;&lt;R&gt;1&lt;/R&gt;&lt;C&gt;1&lt;/C&gt;&lt;D xsi:type="xsd:double"&gt;1.1305836&lt;/D&gt;&lt;/FQL&gt;&lt;FQL&gt;&lt;Q&gt;AYI-US^P_BETA_LOCIDX(44916,44743,,"SPX")&lt;/Q&gt;&lt;R&gt;1&lt;/R&gt;&lt;C&gt;1&lt;/C&gt;&lt;D xsi:type="xsd:double"&gt;1.1333029&lt;/D&gt;&lt;/FQL&gt;&lt;FQL&gt;&lt;Q&gt;AYI-US^P_BETA_LOCIDX(44915,44742,,"SPX")&lt;/Q&gt;&lt;R&gt;1&lt;/R&gt;&lt;C&gt;1&lt;/C&gt;&lt;D xsi:type="xsd:double"&gt;1.1359206&lt;/D&gt;&lt;/FQL&gt;&lt;FQL&gt;&lt;Q&gt;AYI-US^P_BETA_LOCIDX(44914,44741,,"SPX")&lt;/Q&gt;&lt;R&gt;1&lt;/R&gt;&lt;C&gt;1&lt;/C&gt;&lt;D xsi:type="xsd:double"&gt;1.135631&lt;/D&gt;&lt;/FQL&gt;&lt;FQL&gt;&lt;Q&gt;AYI-US^P_BETA_LOCIDX(44911,44740,,"SPX")&lt;/Q&gt;&lt;R&gt;1&lt;/R&gt;&lt;C&gt;1&lt;/C&gt;&lt;D xsi:type="xsd:double"&gt;1.1341139&lt;/D&gt;&lt;/FQL&gt;&lt;FQL&gt;&lt;Q&gt;AYI-US^P_BETA_LOCIDX(44910,44739,,"SPX")&lt;/Q&gt;&lt;R&gt;1&lt;/R&gt;&lt;C&gt;1&lt;/C&gt;&lt;D xsi:type="xsd:double"&gt;1.1172776&lt;/D&gt;&lt;/FQL&gt;&lt;FQL&gt;&lt;Q&gt;AYI-US^P_BETA_LOCIDX(44909,44736,,"SPX")&lt;/Q&gt;&lt;R&gt;1&lt;/R&gt;&lt;C&gt;1&lt;/C&gt;&lt;D xsi:type="xsd:double"&gt;1.1469351&lt;/D&gt;&lt;/FQL&gt;&lt;FQL&gt;&lt;Q&gt;AYI-US^P_BETA_LOCIDX(44908,44735,,"SPX")&lt;/Q&gt;&lt;R&gt;1&lt;/R&gt;&lt;C&gt;1&lt;/C&gt;&lt;D xsi:type="xsd:double"&gt;1.1223745&lt;/D&gt;&lt;/FQL&gt;&lt;FQL&gt;&lt;Q&gt;AYI-US^P_BETA_LOCIDX(44907,44734,,"SPX")&lt;/Q&gt;&lt;R&gt;1&lt;/R&gt;&lt;C&gt;1&lt;/C&gt;&lt;D xsi:type="xsd:double"&gt;1.1250207&lt;/D&gt;&lt;/FQL&gt;&lt;FQL&gt;&lt;Q&gt;AYI-US^P_BETA_LOCIDX(44904,44733,,"SPX")&lt;/Q&gt;&lt;R&gt;1&lt;/R&gt;&lt;C&gt;1&lt;/C&gt;&lt;D xsi:type="xsd:double"&gt;1.1085678&lt;/D&gt;&lt;/FQL&gt;&lt;FQL&gt;&lt;Q&gt;AYI-US^P_BETA_LOCIDX(44903,44729,,"SPX")&lt;/Q&gt;&lt;R&gt;1&lt;/R&gt;&lt;C&gt;1&lt;/C&gt;&lt;D xsi:type="xsd:double"&gt;1.1065404&lt;/D&gt;&lt;/FQL&gt;&lt;FQL&gt;&lt;Q&gt;AYI-US^P_BETA_LOCIDX(44902,44728,,"SPX")&lt;/Q&gt;&lt;R&gt;1&lt;/R&gt;&lt;C&gt;1&lt;/C&gt;&lt;D xsi:type="xsd:double"&gt;1.1472025&lt;/D&gt;&lt;/FQL&gt;&lt;FQL&gt;&lt;Q&gt;AYI-US^P_BETA_LOCIDX(44901,44727,,"SPX")&lt;/Q&gt;&lt;R&gt;1&lt;/R&gt;&lt;C&gt;1&lt;/C&gt;&lt;D xsi:type="xsd:double"&gt;1.1452669&lt;/D&gt;&lt;/FQL&gt;&lt;FQL&gt;&lt;Q&gt;AYI-US^P_BETA_LOCIDX(44900,44726,,"SPX")&lt;/Q&gt;&lt;R&gt;1&lt;/R&gt;&lt;C&gt;1&lt;/C&gt;&lt;D xsi:type="xsd:double"&gt;1.1497426&lt;/D&gt;&lt;/FQL&gt;&lt;FQL&gt;&lt;Q&gt;AYI-US^P_BETA_LOCIDX(44897,44725,,"SPX")&lt;/Q&gt;&lt;R&gt;1&lt;/R&gt;&lt;C&gt;1&lt;/C&gt;&lt;D xsi:type="xsd:double"&gt;1.1269855&lt;/D&gt;&lt;/FQL&gt;&lt;FQL&gt;&lt;Q&gt;AYI-US^P_BETA_LOCIDX(44896,44722,,"SPX")&lt;/Q&gt;&lt;R&gt;1&lt;/R&gt;&lt;C&gt;1&lt;/C&gt;&lt;D xsi:type="xsd:double"&gt;1.1234667&lt;/D&gt;&lt;/FQL&gt;&lt;FQL&gt;&lt;Q&gt;AYI-US^P_BETA_LOCIDX(44895,44721,,"SPX")&lt;/Q&gt;&lt;R&gt;1&lt;/R&gt;&lt;C&gt;1&lt;/C&gt;&lt;D xsi:type="xsd:double"&gt;1.1084703&lt;/D&gt;&lt;/FQL&gt;&lt;FQL&gt;&lt;Q&gt;AYI-US^P_BETA_LOCIDX(44894,44720,,"SPX")&lt;/Q&gt;&lt;R&gt;1&lt;/R&gt;&lt;C&gt;1&lt;/C&gt;&lt;D xsi:type="xsd:double"&gt;1.1507374&lt;/D&gt;&lt;/FQL&gt;&lt;FQL&gt;&lt;Q&gt;AYI-US^P_BETA_LOCIDX(44893,44719,,"SPX")&lt;/Q&gt;&lt;R&gt;1&lt;/R&gt;&lt;C&gt;1&lt;/C&gt;&lt;D xsi:type="xsd:double"&gt;1.1532657&lt;/D&gt;&lt;/FQL&gt;&lt;FQL&gt;&lt;Q&gt;AYI-US^P_BETA_LOCIDX(44890,44718,,"SPX")&lt;/Q&gt;&lt;R&gt;1&lt;/R&gt;&lt;C&gt;1&lt;/C&gt;&lt;D xsi:type="xsd:double"&gt;1.1532106&lt;/D&gt;&lt;/FQL&gt;&lt;FQL&gt;&lt;Q&gt;AYI-US^P_BETA_LOCIDX(44888,44715,,"SPX")&lt;/Q&gt;&lt;R&gt;1&lt;/R&gt;&lt;C&gt;1&lt;/C&gt;&lt;D xsi:type="xsd:double"&gt;1.1395429&lt;/D&gt;&lt;/FQL&gt;&lt;FQL&gt;&lt;Q&gt;AYI-US^P_BETA_LOCIDX(44887,44714,,"SPX")&lt;/Q&gt;&lt;R&gt;1&lt;/R&gt;&lt;C&gt;1&lt;/C&gt;&lt;D xsi:type="xsd:double"&gt;1.1431454&lt;/D&gt;&lt;/FQL&gt;&lt;FQL&gt;&lt;Q&gt;AYI-US^P_BETA_LOCIDX(44886,44713,,"SPX")&lt;/Q&gt;&lt;R&gt;1&lt;/R&gt;&lt;C&gt;1&lt;/C&gt;&lt;D xsi:type="xsd:double"&gt;1.1381888&lt;/D&gt;&lt;/FQL&gt;&lt;FQL&gt;&lt;Q&gt;AYI-US^P_BETA_LOCIDX(44883,44712,,"SPX")&lt;/Q&gt;&lt;R&gt;1&lt;/R&gt;&lt;C&gt;1&lt;/C&gt;&lt;D xsi:type="xsd:double"&gt;1.1414222&lt;/D&gt;&lt;/FQL&gt;&lt;FQL&gt;&lt;Q&gt;AYI-US^P_BETA_LOCIDX(44882,44708,,"SPX")&lt;/Q&gt;&lt;R&gt;1&lt;/R&gt;&lt;C&gt;1&lt;/C&gt;&lt;D xsi:type="xsd:double"&gt;1.1287727&lt;/D&gt;&lt;/FQL&gt;&lt;FQL&gt;&lt;Q&gt;AYI-US^P_BETA_LOCIDX(44881,44707,,"SPX")&lt;/Q&gt;&lt;R&gt;1&lt;/R&gt;&lt;C&gt;1&lt;/C&gt;&lt;D xsi:type="xsd:double"&gt;1.1344516&lt;/D&gt;&lt;/FQL&gt;&lt;FQL&gt;&lt;Q&gt;AYI-US^P_BETA_LOCIDX(44880,44706,,"SPX")&lt;/Q&gt;&lt;R&gt;1&lt;/R&gt;&lt;C&gt;1&lt;/C&gt;&lt;D xsi:type="xsd:double"&gt;1.1367288&lt;/D&gt;&lt;/FQL&gt;&lt;FQL&gt;&lt;Q&gt;AYI-US^P_BETA_LOCIDX(44879,44705,,"SPX")&lt;/Q&gt;&lt;R&gt;1&lt;/R&gt;&lt;C&gt;1&lt;/C&gt;&lt;D xsi:type="xsd:double"&gt;1.1324923&lt;/D&gt;&lt;/FQL&gt;&lt;FQL&gt;&lt;Q&gt;AYI-US^P_BETA_LOCIDX(44876,44704,,"SPX")&lt;/Q&gt;&lt;R&gt;1&lt;/R&gt;&lt;C&gt;1&lt;/C&gt;&lt;D xsi:type="xsd:double"&gt;1.1201065&lt;/D&gt;&lt;/FQL&gt;&lt;FQL&gt;&lt;Q&gt;AYI-US^P_BETA_LOCIDX(44875,44701,,"SPX")&lt;/Q&gt;&lt;R&gt;1&lt;/R&gt;&lt;C&gt;1&lt;/C&gt;&lt;D xsi:type="xsd:double"&gt;1.1318674&lt;/D&gt;&lt;/FQL&gt;&lt;FQL&gt;&lt;Q&gt;AYI-US^P_BETA_LOCIDX(44874,44700,,"SPX")&lt;/Q&gt;&lt;R&gt;1&lt;/R&gt;&lt;C&gt;1&lt;/C&gt;&lt;D xsi:type="xsd:double"&gt;1.1297227&lt;/D&gt;&lt;/FQL&gt;&lt;FQL&gt;&lt;Q&gt;AYI-US^P_BETA_LOCIDX(44873,44699,,"SPX")&lt;/Q&gt;&lt;R&gt;1&lt;/R&gt;&lt;C&gt;1&lt;/C&gt;&lt;D xsi:type="xsd:double"&gt;1.1028554&lt;/D&gt;&lt;/FQL&gt;&lt;FQL&gt;&lt;Q&gt;AYI-US^P_BETA_LOCIDX(44872,44698,,"SPX")&lt;/Q&gt;&lt;R&gt;1&lt;/R&gt;&lt;C&gt;1&lt;/C&gt;&lt;D xsi:type="xsd:double"&gt;1.108084&lt;/D&gt;&lt;/FQL&gt;&lt;FQL&gt;&lt;Q&gt;AYI-US^P_BETA_LOCIDX(44869,44697,,"SPX")&lt;/Q&gt;&lt;R&gt;1&lt;/R&gt;&lt;C&gt;1&lt;/C&gt;&lt;D xsi:type="xsd:double"&gt;1.1032529&lt;/D&gt;&lt;/FQL&gt;&lt;FQL&gt;&lt;Q&gt;AYI-US^P_BETA_LOCIDX(44868,44694,,"SPX")&lt;/Q&gt;&lt;R&gt;1&lt;/R&gt;&lt;C&gt;1&lt;/C&gt;&lt;D xsi:type="xsd:double"&gt;1.0839351&lt;/D&gt;&lt;/FQL&gt;&lt;FQL&gt;&lt;Q&gt;AYI-US^P_BETA_LOCIDX(44867,44693,,"SPX")&lt;/Q&gt;&lt;R&gt;1&lt;/R&gt;&lt;C&gt;1&lt;/C&gt;&lt;D xsi:type="xsd:double"&gt;1.0814861&lt;/D&gt;&lt;/FQL&gt;&lt;FQL&gt;&lt;Q&gt;AYI-US^P_BETA_LOCIDX(44866,44692,,"SPX")&lt;/Q&gt;&lt;R&gt;1&lt;/R&gt;&lt;C&gt;1&lt;/C&gt;&lt;D xsi:type="xsd:double"&gt;1.0796165&lt;/D&gt;&lt;/FQL&gt;&lt;FQL&gt;&lt;Q&gt;AYI-US^P_BETA_LOCIDX(44865,44691,,"SPX")&lt;/Q&gt;&lt;R&gt;1&lt;/R&gt;&lt;C&gt;1&lt;/C&gt;&lt;D xsi:type="xsd:double"&gt;1.0795629&lt;/D&gt;&lt;/FQL&gt;&lt;FQL&gt;&lt;Q&gt;AYI-US^P_BETA_LOCIDX(44862,44690,,"SPX")&lt;/Q&gt;&lt;R&gt;1&lt;/R&gt;&lt;C&gt;1&lt;/C&gt;&lt;D xsi:type="xsd:double"&gt;1.0528953&lt;/D&gt;&lt;/FQL&gt;&lt;FQL&gt;&lt;Q&gt;AYI-US^P_BETA_LOCIDX(44861,44687,,"SPX")&lt;/Q&gt;&lt;R&gt;1&lt;/R&gt;&lt;C&gt;1&lt;/C&gt;&lt;D xsi:type="xsd:double"&gt;1.0635712&lt;/D&gt;&lt;/FQL&gt;&lt;FQL&gt;&lt;Q&gt;AYI-US^P_BETA_LOCIDX(44860,44686,,"SPX")&lt;/Q&gt;&lt;R&gt;1&lt;/R&gt;&lt;C&gt;1&lt;/C&gt;&lt;D xsi:type="xsd:double"&gt;1.0553348&lt;/D&gt;&lt;/FQL&gt;&lt;FQL&gt;&lt;Q&gt;AYI-US^P_BETA_LOCIDX(44859,44685,,"SPX")&lt;/Q&gt;&lt;R&gt;1&lt;/R&gt;&lt;C&gt;1&lt;/C&gt;&lt;D xsi:type="xsd:double"&gt;1.0461928&lt;/D&gt;&lt;/FQL&gt;&lt;FQL&gt;&lt;Q&gt;AYI-US^P_BETA_LOCIDX(44858,44684,,"SPX")&lt;/Q&gt;&lt;R&gt;1&lt;/R&gt;&lt;C&gt;1&lt;/C&gt;&lt;D xsi:type="xsd:double"&gt;1.0341772&lt;/D&gt;&lt;/FQL&gt;&lt;FQL&gt;&lt;Q&gt;AYI-US^P_BETA_LOCIDX(44855,44683,,"SPX")&lt;/Q&gt;&lt;R&gt;1&lt;/R&gt;&lt;C&gt;1&lt;/C&gt;&lt;D xsi:type="xsd:double"&gt;1.0303395&lt;/D&gt;&lt;/FQL&gt;&lt;FQL&gt;&lt;Q&gt;AYI-US^P_BETA_LOCIDX(44854,44680,,"SPX")&lt;/Q&gt;&lt;R&gt;1&lt;/R&gt;&lt;C&gt;1&lt;/C&gt;&lt;D xsi:type="xsd:double"&gt;1.0096056&lt;/D&gt;&lt;/FQL&gt;&lt;FQL&gt;&lt;Q&gt;AYI-US^P_BETA_LOCIDX(44853,44679,,"SPX")&lt;/Q&gt;&lt;R&gt;1&lt;/R&gt;&lt;C&gt;1&lt;/C&gt;&lt;D xsi:type="xsd:double"&gt;1.0043497&lt;/D&gt;&lt;/FQL&gt;&lt;FQL&gt;&lt;Q&gt;AYI-US^P_BETA_LOCIDX(44852,44678,,"SPX")&lt;/Q&gt;&lt;R&gt;1&lt;/R&gt;&lt;C&gt;1&lt;/C&gt;&lt;D xsi:type="xsd:double"&gt;1.0004505&lt;/D&gt;&lt;/FQL&gt;&lt;FQL&gt;&lt;Q&gt;AYI-US^P_BETA_LOCIDX(44851,44677,,"SPX")&lt;/Q&gt;&lt;R&gt;1&lt;/R&gt;&lt;C&gt;1&lt;/C&gt;&lt;D xsi:type="xsd:double"&gt;0.979618&lt;/D&gt;&lt;/FQL&gt;&lt;FQL&gt;&lt;Q&gt;AYI-US^P_BETA_LOCIDX(44848,44676,,"SPX")&lt;/Q&gt;&lt;R&gt;1&lt;/R&gt;&lt;C&gt;1&lt;/C&gt;&lt;D xsi:type="xsd:double"&gt;0.97427285&lt;/D&gt;&lt;/FQL&gt;&lt;FQL&gt;&lt;Q&gt;AYI-US^P_BETA_LOCIDX(44847,44673,,"SPX")&lt;/Q&gt;&lt;R&gt;1&lt;/R&gt;&lt;C&gt;1&lt;/C&gt;&lt;D xsi:type="xsd:double"&gt;0.970541&lt;/D&gt;&lt;/FQL&gt;&lt;FQL&gt;&lt;Q&gt;AYI-US^P_BETA_LOCIDX(44846,44672,,"SPX")&lt;/Q&gt;&lt;R&gt;1&lt;/R&gt;&lt;C&gt;1&lt;/C&gt;&lt;D xsi:type="xsd:double"&gt;0.97146577&lt;/D&gt;&lt;/FQL&gt;&lt;FQL&gt;&lt;Q&gt;AYI-US^P_BETA_LOCIDX(44845,44671,,"SPX")&lt;/Q&gt;&lt;R&gt;1&lt;/R&gt;&lt;C&gt;1&lt;/C&gt;&lt;D xsi:type="xsd:double"&gt;0.9726731&lt;/D&gt;&lt;/FQL&gt;&lt;FQL&gt;&lt;Q&gt;AYI-US^P_BETA_LOCIDX(44844,44670,,"SPX")&lt;/Q&gt;&lt;R&gt;1&lt;/R&gt;&lt;C&gt;1&lt;/C&gt;&lt;D xsi:type="xsd:double"&gt;0.9844216&lt;/D&gt;&lt;/FQL&gt;&lt;FQL&gt;&lt;Q&gt;AYI-US^P_BETA_LOCIDX(44841,44669,,"SPX")&lt;/Q&gt;&lt;R&gt;1&lt;/R&gt;&lt;C&gt;1&lt;/C&gt;&lt;D xsi:type="xsd:double"&gt;0.9906068&lt;/D&gt;&lt;/FQL&gt;&lt;FQL&gt;&lt;Q&gt;AYI-US^P_BETA_LOCIDX(44840,44665,,"SPX")&lt;/Q&gt;&lt;R&gt;1&lt;/R&gt;&lt;C&gt;1&lt;/C&gt;&lt;D xsi:type="xsd:double"&gt;0.97719467&lt;/D&gt;&lt;/FQL&gt;&lt;FQL&gt;&lt;Q&gt;AYI-US^P_BETA_LOCIDX(44839,44664,,"SPX")&lt;/Q&gt;&lt;R&gt;1&lt;/R&gt;&lt;C&gt;1&lt;/C&gt;&lt;D xsi:type="xsd:double"&gt;0.97628856&lt;/D&gt;&lt;/FQL&gt;&lt;FQL&gt;&lt;Q&gt;AYI-US^P_BETA_LOCIDX(44838,44663,,"SPX")&lt;/Q&gt;&lt;R&gt;1&lt;/R&gt;&lt;C&gt;1&lt;/C&gt;&lt;D xsi:type="xsd:double"&gt;0.9763544&lt;/D&gt;&lt;/FQL&gt;&lt;FQL&gt;&lt;Q&gt;AYI-US^P_BETA_LOCIDX(44837,44662,,"SPX")&lt;/Q&gt;&lt;R&gt;1&lt;/R&gt;&lt;C&gt;1&lt;/C&gt;&lt;D xsi:type="xsd:double"&gt;0.95134044&lt;/D&gt;&lt;/FQL&gt;&lt;FQL&gt;&lt;Q&gt;AYI-US^P_BETA_LOCIDX(44834,44659,,"SPX")&lt;/Q&gt;&lt;R&gt;1&lt;/R&gt;&lt;C&gt;1&lt;/C&gt;&lt;D xsi:type="xsd:double"&gt;0.9615707&lt;/D&gt;&lt;/FQL&gt;&lt;FQL&gt;&lt;Q&gt;AYI-US^P_BETA_LOCIDX(44833,44658,,"SPX")&lt;/Q&gt;&lt;R&gt;1&lt;/R&gt;&lt;C&gt;1&lt;/C&gt;&lt;D xsi:type="xsd:double"&gt;0.97280097&lt;/D&gt;&lt;/FQL&gt;&lt;FQL&gt;&lt;Q&gt;AYI-US^P_BETA_LOCIDX(44832,44657,,"SPX")&lt;/Q&gt;&lt;R&gt;1&lt;/R&gt;&lt;C&gt;1&lt;/C&gt;&lt;D xsi:type="xsd:double"&gt;0.97208536&lt;/D&gt;&lt;/FQL&gt;&lt;FQL&gt;&lt;Q&gt;AYI-US^P_BETA_LOCIDX(44831,44656,,"SPX")&lt;/Q&gt;&lt;R&gt;1&lt;/R&gt;&lt;C&gt;1&lt;/C&gt;&lt;D xsi:type="xsd:double"&gt;0.9921694&lt;/D&gt;&lt;/FQL&gt;&lt;FQL&gt;&lt;Q&gt;AYI-US^P_BETA_LOCIDX(44830,44655,,"SPX")&lt;/Q&gt;&lt;R&gt;1&lt;/R&gt;&lt;C&gt;1&lt;/C&gt;&lt;D xsi:type="xsd:double"&gt;0.9787301&lt;/D&gt;&lt;/FQL&gt;&lt;FQL&gt;&lt;Q&gt;AYI-US^P_BETA_LOCIDX(44827,44652,,"SPX")&lt;/Q&gt;&lt;R&gt;1&lt;/R&gt;&lt;C&gt;1&lt;/C&gt;&lt;D xsi:type="xsd:double"&gt;0.9812849&lt;/D&gt;&lt;/FQL&gt;&lt;FQL&gt;&lt;Q&gt;AYI-US^P_BETA_LOCIDX(44826,44651,,"SPX")&lt;/Q&gt;&lt;R&gt;1&lt;/R&gt;&lt;C&gt;1&lt;/C&gt;&lt;D xsi:type="xsd:double"&gt;0.99268806&lt;/D&gt;&lt;/FQL&gt;&lt;FQL&gt;&lt;Q&gt;AYI-US^P_BETA_LOCIDX(44825,44650,,"SPX")&lt;/Q&gt;&lt;R&gt;1&lt;/R&gt;&lt;C&gt;1&lt;/C&gt;&lt;D xsi:type="xsd:double"&gt;0.988726&lt;/D&gt;&lt;/FQL&gt;&lt;FQL&gt;&lt;Q&gt;AYI-US^P_BETA_LOCIDX(44824,44649,,"SPX")&lt;/Q&gt;&lt;R&gt;1&lt;/R&gt;&lt;C&gt;1&lt;/C&gt;&lt;D xsi:type="xsd:double"&gt;1.0011845&lt;/D&gt;&lt;/FQL&gt;&lt;FQL&gt;&lt;Q&gt;AYI-US^P_BETA_LOCIDX(44823,44648,,"SPX")&lt;/Q&gt;&lt;R&gt;1&lt;/R&gt;&lt;C&gt;1&lt;/C&gt;&lt;D xsi:type="xsd:double"&gt;1.0000538&lt;/D&gt;&lt;/FQL&gt;&lt;FQL&gt;&lt;Q&gt;AYI-US^P_BETA_LOCIDX(44820,44645,,"SPX")&lt;/Q&gt;&lt;R&gt;1&lt;/R&gt;&lt;C&gt;1&lt;/C&gt;&lt;D xsi:type="xsd:double"&gt;0.9926139&lt;/D&gt;&lt;/FQL&gt;&lt;FQL&gt;&lt;Q&gt;AYI-US^P_BETA_LOCIDX(44819,44644,,"SPX")&lt;/Q&gt;&lt;R&gt;1&lt;/R&gt;&lt;C&gt;1&lt;/C&gt;&lt;D xsi:type="xsd:double"&gt;0.9847265&lt;/D&gt;&lt;/FQL&gt;&lt;FQL&gt;&lt;Q&gt;AYI-US^P_BETA_LOCIDX(44818,44643,,"SPX")&lt;/Q&gt;&lt;R&gt;1&lt;/R&gt;&lt;C&gt;1&lt;/C&gt;&lt;D xsi:type="xsd:double"&gt;0.9845614&lt;/D&gt;&lt;/FQL&gt;&lt;FQL&gt;&lt;Q&gt;AYI-US^P_BETA_LOCIDX(44817,44642,,"SPX")&lt;/Q&gt;&lt;R&gt;1&lt;/R&gt;&lt;C&gt;1&lt;/C&gt;&lt;D xsi:type="xsd:double"&gt;0.976853&lt;/D&gt;&lt;/FQL&gt;&lt;FQL&gt;&lt;Q&gt;AYI-US^P_BETA_LOCIDX(44816,44641,,"SPX")&lt;/Q&gt;&lt;R&gt;1&lt;/R&gt;&lt;C&gt;1&lt;/C&gt;&lt;D xsi:type="xsd:double"&gt;0.9502505&lt;/D&gt;&lt;/FQL&gt;&lt;FQL&gt;&lt;Q&gt;AYI-US^P_BETA_LOCIDX(44813,44638,,"SPX")&lt;/Q&gt;&lt;R&gt;1&lt;/R&gt;&lt;C&gt;1&lt;/C&gt;&lt;D xsi:type="xsd:double"&gt;0.93987834&lt;/D&gt;&lt;/FQL&gt;&lt;FQL&gt;&lt;Q&gt;AYI-US^P_BETA_LOCIDX(44812,44637,,"SPX")&lt;/Q&gt;&lt;R&gt;1&lt;/R&gt;&lt;C&gt;1&lt;/C&gt;&lt;D xsi:type="xsd:double"&gt;0.94088376&lt;/D&gt;&lt;/FQL&gt;&lt;FQL&gt;&lt;Q&gt;AYI-US^P_BETA_LOCIDX(44811,44636,,"SPX")&lt;/Q&gt;&lt;R&gt;1&lt;/R&gt;&lt;C&gt;1&lt;/C&gt;&lt;D xsi:type="xsd:double"&gt;0.9442945&lt;/D&gt;&lt;/FQL&gt;&lt;FQL&gt;&lt;Q&gt;AYI-US^P_BETA_LOCIDX(44810,44635,,"SPX")&lt;/Q&gt;&lt;R&gt;1&lt;/R&gt;&lt;C&gt;1&lt;/C&gt;&lt;D xsi:type="xsd:double"&gt;0.9351565&lt;/D&gt;&lt;/FQL&gt;&lt;FQL&gt;&lt;Q&gt;AYI-US^P_BETA_LOCIDX(44806,44634,,"SPX")&lt;/Q&gt;&lt;R&gt;1&lt;/R&gt;&lt;C&gt;1&lt;/C&gt;&lt;D xsi:type="xsd:double"&gt;0.933189&lt;/D&gt;&lt;/FQL&gt;&lt;FQL&gt;&lt;Q&gt;AYI-US^P_BETA_LOCIDX(44805,44631,,"SPX")&lt;/Q&gt;&lt;R&gt;1&lt;/R&gt;&lt;C&gt;1&lt;/C&gt;&lt;D xsi:type="xsd:double"&gt;0.9327738&lt;/D&gt;&lt;/FQL&gt;&lt;FQL&gt;&lt;Q&gt;AYI-US^P_BETA_LOCIDX(44804,44630,,"SPX")&lt;/Q&gt;&lt;R&gt;1&lt;/R&gt;&lt;C&gt;1&lt;/C&gt;&lt;D xsi:type="xsd:double"&gt;0.9357425&lt;/D&gt;&lt;/FQL&gt;&lt;FQL&gt;&lt;Q&gt;AYI-US^P_BETA_LOCIDX(44803,44629,,"SPX")&lt;/Q&gt;&lt;R&gt;1&lt;/R&gt;&lt;C&gt;1&lt;/C&gt;&lt;D xsi:type="xsd:double"&gt;0.9373068&lt;/D&gt;&lt;/FQL&gt;&lt;FQL&gt;&lt;Q&gt;AYI-US^P_BETA_LOCIDX(44802,44628,,"SPX")&lt;/Q&gt;&lt;R&gt;1&lt;/R&gt;&lt;C&gt;1&lt;/C&gt;&lt;D xsi:type="xsd:double"&gt;0.93297577&lt;/D&gt;&lt;/FQL&gt;&lt;FQL&gt;&lt;Q&gt;AYI-US^P_BETA_LOCIDX(44799,44627,,"SPX")&lt;/Q&gt;&lt;R&gt;1&lt;/R&gt;&lt;C&gt;1&lt;/C&gt;&lt;D xsi:type="xsd:double"&gt;0.9170094&lt;/D&gt;&lt;/FQL&gt;&lt;FQL&gt;&lt;Q&gt;AYI-US^P_BETA_LOCIDX(44798,44624,,"SPX")&lt;/Q&gt;&lt;R&gt;1&lt;/R&gt;&lt;C&gt;1&lt;/C&gt;&lt;D xsi:type="xsd:double"&gt;0.8920359&lt;/D&gt;&lt;/FQL&gt;&lt;FQL&gt;&lt;Q&gt;AYI-US^P_BETA_LOCIDX(44797,44623,,"SPX")&lt;/Q&gt;&lt;R&gt;1&lt;/R&gt;&lt;C&gt;1&lt;/C&gt;&lt;D xsi:type="xsd:double"&gt;0.89680433&lt;/D&gt;&lt;/FQL&gt;&lt;FQL&gt;&lt;Q&gt;AYI-US^P_BETA_LOCIDX(44796,44622,,"SPX")&lt;/Q&gt;&lt;R&gt;1&lt;/R&gt;&lt;C&gt;1&lt;/C&gt;&lt;D xsi:type="xsd:double"&gt;0.9086262&lt;/D&gt;&lt;/FQL&gt;&lt;FQL&gt;&lt;Q&gt;AYI-US^P_BETA_LOCIDX(44795,44621,,"SPX")&lt;/Q&gt;&lt;R&gt;1&lt;/R&gt;&lt;C&gt;1&lt;/C&gt;&lt;D xsi:type="xsd:double"&gt;0.90056384&lt;/D&gt;&lt;/FQL&gt;&lt;FQL&gt;&lt;Q&gt;AYI-US^P_BETA_LOCIDX(4479</t>
        </r>
      </text>
    </comment>
    <comment ref="A16" authorId="0" shapeId="0" xr:uid="{E0B18521-FF15-4DFD-A630-D665148DABAF}">
      <text>
        <r>
          <rPr>
            <b/>
            <sz val="9"/>
            <color indexed="81"/>
            <rFont val="Tahoma"/>
            <charset val="1"/>
          </rPr>
          <t>2,44620,,"SPX")&lt;/Q&gt;&lt;R&gt;1&lt;/R&gt;&lt;C&gt;1&lt;/C&gt;&lt;D xsi:type="xsd:double"&gt;0.89247096&lt;/D&gt;&lt;/FQL&gt;&lt;FQL&gt;&lt;Q&gt;AYI-US^P_BETA_LOCIDX(44791,44617,,"SPX")&lt;/Q&gt;&lt;R&gt;1&lt;/R&gt;&lt;C&gt;1&lt;/C&gt;&lt;D xsi:type="xsd:double"&gt;0.9019908&lt;/D&gt;&lt;/FQL&gt;&lt;FQL&gt;&lt;Q&gt;AYI-US^P_BETA_LOCIDX(44790,44616,,"SPX")&lt;/Q&gt;&lt;R&gt;1&lt;/R&gt;&lt;C&gt;1&lt;/C&gt;&lt;D xsi:type="xsd:double"&gt;0.9097966&lt;/D&gt;&lt;/FQL&gt;&lt;FQL&gt;&lt;Q&gt;AYI-US^P_BETA_LOCIDX(44789,44615,,"SPX")&lt;/Q&gt;&lt;R&gt;1&lt;/R&gt;&lt;C&gt;1&lt;/C&gt;&lt;D xsi:type="xsd:double"&gt;0.9204441&lt;/D&gt;&lt;/FQL&gt;&lt;FQL&gt;&lt;Q&gt;AYI-US^P_BETA_LOCIDX(44788,44614,,"SPX")&lt;/Q&gt;&lt;R&gt;1&lt;/R&gt;&lt;C&gt;1&lt;/C&gt;&lt;D xsi:type="xsd:double"&gt;0.9233617&lt;/D&gt;&lt;/FQL&gt;&lt;FQL&gt;&lt;Q&gt;AYI-US^P_BETA_LOCIDX(44785,44610,,"SPX")&lt;/Q&gt;&lt;R&gt;1&lt;/R&gt;&lt;C&gt;1&lt;/C&gt;&lt;D xsi:type="xsd:double"&gt;0.922196&lt;/D&gt;&lt;/FQL&gt;&lt;FQL&gt;&lt;Q&gt;AYI-US^P_BETA_LOCIDX(44784,44609,,"SPX")&lt;/Q&gt;&lt;R&gt;1&lt;/R&gt;&lt;C&gt;1&lt;/C&gt;&lt;D xsi:type="xsd:double"&gt;0.9342525&lt;/D&gt;&lt;/FQL&gt;&lt;FQL&gt;&lt;Q&gt;AYI-US^P_BETA_LOCIDX(44783,44608,,"SPX")&lt;/Q&gt;&lt;R&gt;1&lt;/R&gt;&lt;C&gt;1&lt;/C&gt;&lt;D xsi:type="xsd:double"&gt;0.93450516&lt;/D&gt;&lt;/FQL&gt;&lt;FQL&gt;&lt;Q&gt;AYI-US^P_BETA_LOCIDX(44782,44607,,"SPX")&lt;/Q&gt;&lt;R&gt;1&lt;/R&gt;&lt;C&gt;1&lt;/C&gt;&lt;D xsi:type="xsd:double"&gt;0.9243832&lt;/D&gt;&lt;/FQL&gt;&lt;FQL&gt;&lt;Q&gt;AYI-US^P_BETA_LOCIDX(44781,44606,,"SPX")&lt;/Q&gt;&lt;R&gt;1&lt;/R&gt;&lt;C&gt;1&lt;/C&gt;&lt;D xsi:type="xsd:double"&gt;0.9197675&lt;/D&gt;&lt;/FQL&gt;&lt;FQL&gt;&lt;Q&gt;AYI-US^P_BETA_LOCIDX(44778,44603,,"SPX")&lt;/Q&gt;&lt;R&gt;1&lt;/R&gt;&lt;C&gt;1&lt;/C&gt;&lt;D xsi:type="xsd:double"&gt;0.9273239&lt;/D&gt;&lt;/FQL&gt;&lt;FQL&gt;&lt;Q&gt;AYI-US^P_BETA_LOCIDX(44777,44602,,"SPX")&lt;/Q&gt;&lt;R&gt;1&lt;/R&gt;&lt;C&gt;1&lt;/C&gt;&lt;D xsi:type="xsd:double"&gt;0.930931&lt;/D&gt;&lt;/FQL&gt;&lt;FQL&gt;&lt;Q&gt;AYI-US^P_BETA_LOCIDX(44776,44601,,"SPX")&lt;/Q&gt;&lt;R&gt;1&lt;/R&gt;&lt;C&gt;1&lt;/C&gt;&lt;D xsi:type="xsd:double"&gt;0.9325663&lt;/D&gt;&lt;/FQL&gt;&lt;FQL&gt;&lt;Q&gt;AYI-US^P_BETA_LOCIDX(44775,44600,,"SPX")&lt;/Q&gt;&lt;R&gt;1&lt;/R&gt;&lt;C&gt;1&lt;/C&gt;&lt;D xsi:type="xsd:double"&gt;0.9433804&lt;/D&gt;&lt;/FQL&gt;&lt;FQL&gt;&lt;Q&gt;AYI-US^P_BETA_LOCIDX(44774,44599,,"SPX")&lt;/Q&gt;&lt;R&gt;1&lt;/R&gt;&lt;C&gt;1&lt;/C&gt;&lt;D xsi:type="xsd:double"&gt;0.93949866&lt;/D&gt;&lt;/FQL&gt;&lt;FQL&gt;&lt;Q&gt;AYI-US^P_BETA_LOCIDX(45845,45670,,"SPX")&lt;/Q&gt;&lt;R&gt;1&lt;/R&gt;&lt;C&gt;1&lt;/C&gt;&lt;D xsi:type="xsd:double"&gt;1.1884286&lt;/D&gt;&lt;/FQL&gt;&lt;FQL&gt;&lt;Q&gt;MAS-US^P_BETA_LOCIDX(45841,45665,,"SPX")&lt;/Q&gt;&lt;R&gt;1&lt;/R&gt;&lt;C&gt;1&lt;/C&gt;&lt;D xsi:type="xsd:double"&gt;1.0140096&lt;/D&gt;&lt;/FQL&gt;&lt;FQL&gt;&lt;Q&gt;MAS-US^P_BETA_LOCIDX(45840,45664,,"SPX")&lt;/Q&gt;&lt;R&gt;1&lt;/R&gt;&lt;C&gt;1&lt;/C&gt;&lt;D xsi:type="xsd:double"&gt;1.0225042&lt;/D&gt;&lt;/FQL&gt;&lt;FQL&gt;&lt;Q&gt;MAS-US^P_BETA_LOCIDX(45839,45663,,"SPX")&lt;/Q&gt;&lt;R&gt;1&lt;/R&gt;&lt;C&gt;1&lt;/C&gt;&lt;D xsi:type="xsd:double"&gt;1.0240544&lt;/D&gt;&lt;/FQL&gt;&lt;FQL&gt;&lt;Q&gt;MAS-US^P_BETA_LOCIDX(45838,45660,,"SPX")&lt;/Q&gt;&lt;R&gt;1&lt;/R&gt;&lt;C&gt;1&lt;/C&gt;&lt;D xsi:type="xsd:double"&gt;1.0250164&lt;/D&gt;&lt;/FQL&gt;&lt;FQL&gt;&lt;Q&gt;MAS-US^P_BETA_LOCIDX(45835,45659,,"SPX")&lt;/Q&gt;&lt;R&gt;1&lt;/R&gt;&lt;C&gt;1&lt;/C&gt;&lt;D xsi:type="xsd:double"&gt;1.0261074&lt;/D&gt;&lt;/FQL&gt;&lt;FQL&gt;&lt;Q&gt;MAS-US^P_BETA_LOCIDX(45834,45657,,"SPX")&lt;/Q&gt;&lt;R&gt;1&lt;/R&gt;&lt;C&gt;1&lt;/C&gt;&lt;D xsi:type="xsd:double"&gt;1.0246178&lt;/D&gt;&lt;/FQL&gt;&lt;FQL&gt;&lt;Q&gt;MAS-US^P_BETA_LOCIDX(45833,45656,,"SPX")&lt;/Q&gt;&lt;R&gt;1&lt;/R&gt;&lt;C&gt;1&lt;/C&gt;&lt;D xsi:type="xsd:double"&gt;1.0231367&lt;/D&gt;&lt;/FQL&gt;&lt;FQL&gt;&lt;Q&gt;MAS-US^P_BETA_LOCIDX(45832,45653,,"SPX")&lt;/Q&gt;&lt;R&gt;1&lt;/R&gt;&lt;C&gt;1&lt;/C&gt;&lt;D xsi:type="xsd:double"&gt;1.0213114&lt;/D&gt;&lt;/FQL&gt;&lt;FQL&gt;&lt;Q&gt;MAS-US^P_BETA_LOCIDX(45831,45652,,"SPX")&lt;/Q&gt;&lt;R&gt;1&lt;/R&gt;&lt;C&gt;1&lt;/C&gt;&lt;D xsi:type="xsd:double"&gt;1.0202249&lt;/D&gt;&lt;/FQL&gt;&lt;FQL&gt;&lt;Q&gt;MAS-US^P_BETA_LOCIDX(45828,45650,,"SPX")&lt;/Q&gt;&lt;R&gt;1&lt;/R&gt;&lt;C&gt;1&lt;/C&gt;&lt;D xsi:type="xsd:double"&gt;1.0110824&lt;/D&gt;&lt;/FQL&gt;&lt;FQL&gt;&lt;Q&gt;MAS-US^P_BETA_LOCIDX(45826,45649,,"SPX")&lt;/Q&gt;&lt;R&gt;1&lt;/R&gt;&lt;C&gt;1&lt;/C&gt;&lt;D xsi:type="xsd:double"&gt;1.0086293&lt;/D&gt;&lt;/FQL&gt;&lt;FQL&gt;&lt;Q&gt;MAS-US^P_BETA_LOCIDX(45825,45646,,"SPX")&lt;/Q&gt;&lt;R&gt;1&lt;/R&gt;&lt;C&gt;1&lt;/C&gt;&lt;D xsi:type="xsd:double"&gt;1.013696&lt;/D&gt;&lt;/FQL&gt;&lt;FQL&gt;&lt;Q&gt;MAS-US^P_BETA_LOCIDX(45824,45645,,"SPX")&lt;/Q&gt;&lt;R&gt;1&lt;/R&gt;&lt;C&gt;1&lt;/C&gt;&lt;D xsi:type="xsd:double"&gt;1.0107194&lt;/D&gt;&lt;/FQL&gt;&lt;FQL&gt;&lt;Q&gt;MAS-US^P_BETA_LOCIDX(45821,45644,,"SPX")&lt;/Q&gt;&lt;R&gt;1&lt;/R&gt;&lt;C&gt;1&lt;/C&gt;&lt;D xsi:type="xsd:double"&gt;1.0130271&lt;/D&gt;&lt;/FQL&gt;&lt;FQL&gt;&lt;Q&gt;MAS-US^P_BETA_LOCIDX(45820,45643,,"SPX")&lt;/Q&gt;&lt;R&gt;1&lt;/R&gt;&lt;C&gt;1&lt;/C&gt;&lt;D xsi:type="xsd:double"&gt;1.0076188&lt;/D&gt;&lt;/FQL&gt;&lt;FQL&gt;&lt;Q&gt;MAS-US^P_BETA_LOCIDX(45819,45642,,"SPX")&lt;/Q&gt;&lt;R&gt;1&lt;/R&gt;&lt;C&gt;1&lt;/C&gt;&lt;D xsi:type="xsd:double"&gt;1.0061255&lt;/D&gt;&lt;/FQL&gt;&lt;FQL&gt;&lt;Q&gt;MAS-US^P_BETA_LOCIDX(45818,45639,,"SPX")&lt;/Q&gt;&lt;R&gt;1&lt;/R&gt;&lt;C&gt;1&lt;/C&gt;&lt;D xsi:type="xsd:double"&gt;1.0044293&lt;/D&gt;&lt;/FQL&gt;&lt;FQL&gt;&lt;Q&gt;MAS-US^P_BETA_LOCIDX(45817,45638,,"SPX")&lt;/Q&gt;&lt;R&gt;1&lt;/R&gt;&lt;C&gt;1&lt;/C&gt;&lt;D xsi:type="xsd:double"&gt;0.9995992&lt;/D&gt;&lt;/FQL&gt;&lt;FQL&gt;&lt;Q&gt;MAS-US^P_BETA_LOCIDX(45814,45637,,"SPX")&lt;/Q&gt;&lt;R&gt;1&lt;/R&gt;&lt;C&gt;1&lt;/C&gt;&lt;D xsi:type="xsd:double"&gt;0.99755144&lt;/D&gt;&lt;/FQL&gt;&lt;FQL&gt;&lt;Q&gt;MAS-US^P_BETA_LOCIDX(45813,45636,,"SPX")&lt;/Q&gt;&lt;R&gt;1&lt;/R&gt;&lt;C&gt;1&lt;/C&gt;&lt;D xsi:type="xsd:double"&gt;1.0030757&lt;/D&gt;&lt;/FQL&gt;&lt;FQL&gt;&lt;Q&gt;MAS-US^P_BETA_LOCIDX(45812,45635,,"SPX")&lt;/Q&gt;&lt;R&gt;1&lt;/R&gt;&lt;C&gt;1&lt;/C&gt;&lt;D xsi:type="xsd:double"&gt;1.0019952&lt;/D&gt;&lt;/FQL&gt;&lt;FQL&gt;&lt;Q&gt;MAS-US^P_BETA_LOCIDX(45811,45632,,"SPX")&lt;/Q&gt;&lt;R&gt;1&lt;/R&gt;&lt;C&gt;1&lt;/C&gt;&lt;D xsi:type="xsd:double"&gt;1.0025389&lt;/D&gt;&lt;/FQL&gt;&lt;FQL&gt;&lt;Q&gt;MAS-US^P_BETA_LOCIDX(45810,45631,,"SPX")&lt;/Q&gt;&lt;R&gt;1&lt;/R&gt;&lt;C&gt;1&lt;/C&gt;&lt;D xsi:type="xsd:double"&gt;0.99904764&lt;/D&gt;&lt;/FQL&gt;&lt;FQL&gt;&lt;Q&gt;MAS-US^P_BETA_LOCIDX(45807,45630,,"SPX")&lt;/Q&gt;&lt;R&gt;1&lt;/R&gt;&lt;C&gt;1&lt;/C&gt;&lt;D xsi:type="xsd:double"&gt;0.9999346&lt;/D&gt;&lt;/FQL&gt;&lt;FQL&gt;&lt;Q&gt;MAS-US^P_BETA_LOCIDX(45806,45629,,"SPX")&lt;/Q&gt;&lt;R&gt;1&lt;/R&gt;&lt;C&gt;1&lt;/C&gt;&lt;D xsi:type="xsd:double"&gt;1.0000068&lt;/D&gt;&lt;/FQL&gt;&lt;FQL&gt;&lt;Q&gt;MAS-US^P_BETA_LOCIDX(45805,45628,,"SPX")&lt;/Q&gt;&lt;R&gt;1&lt;/R&gt;&lt;C&gt;1&lt;/C&gt;&lt;D xsi:type="xsd:double"&gt;0.9983062&lt;/D&gt;&lt;/FQL&gt;&lt;FQL&gt;&lt;Q&gt;MAS-US^P_BETA_LOCIDX(45804,45625,,"SPX")&lt;/Q&gt;&lt;R&gt;1&lt;/R&gt;&lt;C&gt;1&lt;/C&gt;&lt;D xsi:type="xsd:double"&gt;0.9966199&lt;/D&gt;&lt;/FQL&gt;&lt;FQL&gt;&lt;Q&gt;MAS-US^P_BETA_LOCIDX(45800,45623,,"SPX")&lt;/Q&gt;&lt;R&gt;1&lt;/R&gt;&lt;C&gt;1&lt;/C&gt;&lt;D xsi:type="xsd:double"&gt;0.99014175&lt;/D&gt;&lt;/FQL&gt;&lt;FQL&gt;&lt;Q&gt;MAS-US^P_BETA_LOCIDX(45799,45622,,"SPX")&lt;/Q&gt;&lt;R&gt;1&lt;/R&gt;&lt;C&gt;1&lt;/C&gt;&lt;D xsi:type="xsd:double"&gt;0.9845336&lt;/D&gt;&lt;/FQL&gt;&lt;FQL&gt;&lt;Q&gt;MAS-US^P_BETA_LOCIDX(45798,45621,,"SPX")&lt;/Q&gt;&lt;R&gt;1&lt;/R&gt;&lt;C&gt;1&lt;/C&gt;&lt;D xsi:type="xsd:double"&gt;0.9885879&lt;/D&gt;&lt;/FQL&gt;&lt;FQL&gt;&lt;Q&gt;MAS-US^P_BETA_LOCIDX(45797,45618,,"SPX")&lt;/Q&gt;&lt;R&gt;1&lt;/R&gt;&lt;C&gt;1&lt;/C&gt;&lt;D xsi:type="xsd:double"&gt;0.9746273&lt;/D&gt;&lt;/FQL&gt;&lt;FQL&gt;&lt;Q&gt;MAS-US^P_BETA_LOCIDX(45796,45617,,"SPX")&lt;/Q&gt;&lt;R&gt;1&lt;/R&gt;&lt;C&gt;1&lt;/C&gt;&lt;D xsi:type="xsd:double"&gt;0.9759461&lt;/D&gt;&lt;/FQL&gt;&lt;FQL&gt;&lt;Q&gt;MAS-US^P_BETA_LOCIDX(45793,45616,,"SPX")&lt;/Q&gt;&lt;R&gt;1&lt;/R&gt;&lt;C&gt;1&lt;/C&gt;&lt;D xsi:type="xsd:double"&gt;0.97620666&lt;/D&gt;&lt;/FQL&gt;&lt;FQL&gt;&lt;Q&gt;MAS-US^P_BETA_LOCIDX(45792,45615,,"SPX")&lt;/Q&gt;&lt;R&gt;1&lt;/R&gt;&lt;C&gt;1&lt;/C&gt;&lt;D xsi:type="xsd:double"&gt;0.97411865&lt;/D&gt;&lt;/FQL&gt;&lt;FQL&gt;&lt;Q&gt;MAS-US^P_BETA_LOCIDX(45791,45614,,"SPX")&lt;/Q&gt;&lt;R&gt;1&lt;/R&gt;&lt;C&gt;1&lt;/C&gt;&lt;D xsi:type="xsd:double"&gt;0.97074974&lt;/D&gt;&lt;/FQL&gt;&lt;FQL&gt;&lt;Q&gt;MAS-US^P_BETA_LOCIDX(45790,45611,,"SPX")&lt;/Q&gt;&lt;R&gt;1&lt;/R&gt;&lt;C&gt;1&lt;/C&gt;&lt;D xsi:type="xsd:double"&gt;0.9694864&lt;/D&gt;&lt;/FQL&gt;&lt;FQL&gt;&lt;Q&gt;MAS-US^P_BETA_LOCIDX(45789,45610,,"SPX")&lt;/Q&gt;&lt;R&gt;1&lt;/R&gt;&lt;C&gt;1&lt;/C&gt;&lt;D xsi:type="xsd:double"&gt;0.97369534&lt;/D&gt;&lt;/FQL&gt;&lt;FQL&gt;&lt;Q&gt;MAS-US^P_BETA_LOCIDX(45786,45609,,"SPX")&lt;/Q&gt;&lt;R&gt;1&lt;/R&gt;&lt;C&gt;1&lt;/C&gt;&lt;D xsi:type="xsd:double"&gt;0.8766971&lt;/D&gt;&lt;/FQL&gt;&lt;FQL&gt;&lt;Q&gt;MAS-US^P_BETA_LOCIDX(45785,45608,,"SPX")&lt;/Q&gt;&lt;R&gt;1&lt;/R&gt;&lt;C&gt;1&lt;/C&gt;&lt;D xsi:type="xsd:double"&gt;0.8783909&lt;/D&gt;&lt;/FQL&gt;&lt;FQL&gt;&lt;Q&gt;MAS-US^P_BETA_LOCIDX(45784,45607,,"SPX")&lt;/Q&gt;&lt;R&gt;1&lt;/R&gt;&lt;C&gt;1&lt;/C&gt;&lt;D xsi:type="xsd:double"&gt;0.8743488&lt;/D&gt;&lt;/FQL&gt;&lt;FQL&gt;&lt;Q&gt;MAS-US^P_BETA_LOCIDX(45783,45604,,"SPX")&lt;/Q&gt;&lt;R&gt;1&lt;/R&gt;&lt;C&gt;1&lt;/C&gt;&lt;D xsi:type="xsd:double"&gt;0.8761729&lt;/D&gt;&lt;/FQL&gt;&lt;FQL&gt;&lt;Q&gt;MAS-US^P_BETA_LOCIDX(45782,45603,,"SPX")&lt;/Q&gt;&lt;R&gt;1&lt;/R&gt;&lt;C&gt;1&lt;/C&gt;&lt;D xsi:type="xsd:double"&gt;0.8720878&lt;/D&gt;&lt;/FQL&gt;&lt;FQL&gt;&lt;Q&gt;MAS-US^P_BETA_LOCIDX(45779,45602,,"SPX")&lt;/Q&gt;&lt;R&gt;1&lt;/R&gt;&lt;C&gt;1&lt;/C&gt;&lt;D xsi:type="xsd:double"&gt;0.83694345&lt;/D&gt;&lt;/FQL&gt;&lt;FQL&gt;&lt;Q&gt;MAS-US^P_BETA_LOCIDX(45778,45601,,"SPX")&lt;/Q&gt;&lt;R&gt;1&lt;/R&gt;&lt;C&gt;1&lt;/C&gt;&lt;D xsi:type="xsd:double"&gt;0.8271103&lt;/D&gt;&lt;/FQL&gt;&lt;FQL&gt;&lt;Q&gt;MAS-US^P_BETA_LOCIDX(45777,45600,,"SPX")&lt;/Q&gt;&lt;R&gt;1&lt;/R&gt;&lt;C&gt;1&lt;/C&gt;&lt;D xsi:type="xsd:double"&gt;0.82779264&lt;/D&gt;&lt;/FQL&gt;&lt;FQL&gt;&lt;Q&gt;MAS-US^P_BETA_LOCIDX(45776,45597,,"SPX")&lt;/Q&gt;&lt;R&gt;1&lt;/R&gt;&lt;C&gt;1&lt;/C&gt;&lt;D xsi:type="xsd:double"&gt;0.82790744&lt;/D&gt;&lt;/FQL&gt;&lt;FQL&gt;&lt;Q&gt;MAS-US^P_BETA_LOCIDX(45775,45596,,"SPX")&lt;/Q&gt;&lt;R&gt;1&lt;/R&gt;&lt;C&gt;1&lt;/C&gt;&lt;D xsi:type="xsd:double"&gt;0.8209638&lt;/D&gt;&lt;/FQL&gt;&lt;FQL&gt;&lt;Q&gt;MAS-US^P_BETA_LOCIDX(45772,45595,,"SPX")&lt;/Q&gt;&lt;R&gt;1&lt;/R&gt;&lt;C&gt;1&lt;/C&gt;&lt;D xsi:type="xsd:double"&gt;0.8216103&lt;/D&gt;&lt;/FQL&gt;&lt;FQL&gt;&lt;Q&gt;MAS-US^P_BETA_LOCIDX(45771,45594,,"SPX")&lt;/Q&gt;&lt;R&gt;1&lt;/R&gt;&lt;C&gt;1&lt;/C&gt;&lt;D xsi:type="xsd:double"&gt;0.82189304&lt;/D&gt;&lt;/FQL&gt;&lt;FQL&gt;&lt;Q&gt;MAS-US^P_BETA_LOCIDX(45770,45593,,"SPX")&lt;/Q&gt;&lt;R&gt;1&lt;/R&gt;&lt;C&gt;1&lt;/C&gt;&lt;D xsi:type="xsd:double"&gt;0.8210774&lt;/D&gt;&lt;/FQL&gt;&lt;FQL&gt;&lt;Q&gt;MAS-US^P_BETA_LOCIDX(45769,45590,,"SPX")&lt;/Q&gt;&lt;R&gt;1&lt;/R&gt;&lt;C&gt;1&lt;/C&gt;&lt;D xsi:type="xsd:double"&gt;0.8492429&lt;/D&gt;&lt;/FQL&gt;&lt;FQL&gt;&lt;Q&gt;MAS-US^P_BETA_LOCIDX(45768,45589,,"SPX")&lt;/Q&gt;&lt;R&gt;1&lt;/R&gt;&lt;C&gt;1&lt;/C&gt;&lt;D xsi:type="xsd:double"&gt;0.84727645&lt;/D&gt;&lt;/FQL&gt;&lt;FQL&gt;&lt;Q&gt;MAS-US^P_BETA_LOCIDX(45764,45588,,"SPX")&lt;/Q&gt;&lt;R&gt;1&lt;/R&gt;&lt;C&gt;1&lt;/C&gt;&lt;D xsi:type="xsd:double"&gt;0.8425485&lt;/D&gt;&lt;/FQL&gt;&lt;FQL&gt;&lt;Q&gt;MAS-US^P_BETA_LOCIDX(45763,45587,,"SPX")&lt;/Q&gt;&lt;R&gt;1&lt;/R&gt;&lt;C&gt;1&lt;/C&gt;&lt;D xsi:type="xsd:double"&gt;0.8414082&lt;/D&gt;&lt;/FQL&gt;&lt;FQL&gt;&lt;Q&gt;MAS-US^P_BETA_LOCIDX(45762,45586,,"SPX")&lt;/Q&gt;&lt;R&gt;1&lt;/R&gt;&lt;C&gt;1&lt;/C&gt;&lt;D xsi:type="xsd:double"&gt;0.8459664&lt;/D&gt;&lt;/FQL&gt;&lt;FQL&gt;&lt;Q&gt;MAS-US^P_BETA_LOCIDX(45761,45583,,"SPX")&lt;/Q&gt;&lt;R&gt;1&lt;/R&gt;&lt;C&gt;1&lt;/C&gt;&lt;D xsi:type="xsd:double"&gt;0.8460026&lt;/D&gt;&lt;/FQL&gt;&lt;FQL&gt;&lt;Q&gt;MAS-US^P_BETA_LOCIDX(45758,45582,,"SPX")&lt;/Q&gt;&lt;R&gt;1&lt;/R&gt;&lt;C&gt;1&lt;/C&gt;&lt;D xsi:type="xsd:double"&gt;0.8451035&lt;/D&gt;&lt;/FQL&gt;&lt;FQL&gt;&lt;Q&gt;MAS-US^P_BETA_LOCIDX(45757,45581,,"SPX")&lt;/Q&gt;&lt;R&gt;1&lt;/R&gt;&lt;C&gt;1&lt;/C&gt;&lt;D xsi:type="xsd:double"&gt;0.8525135&lt;/D&gt;&lt;/FQL&gt;&lt;FQL&gt;&lt;Q&gt;MAS-US^P_BETA_LOCIDX(45756,45580,,"SPX")&lt;/Q&gt;&lt;R&gt;1&lt;/R&gt;&lt;C&gt;1&lt;/C&gt;&lt;D xsi:type="xsd:double"&gt;0.8475822&lt;/D&gt;&lt;/FQL&gt;&lt;FQL&gt;&lt;Q&gt;MAS-US^P_BETA_LOCIDX(45755,45579,,"SPX")&lt;/Q&gt;&lt;R&gt;1&lt;/R&gt;&lt;C&gt;1&lt;/C&gt;&lt;D xsi:type="xsd:double"&gt;0.8117366&lt;/D&gt;&lt;/FQL&gt;&lt;FQL&gt;&lt;Q&gt;MAS-US^P_BETA_LOCIDX(45754,45576,,"SPX")&lt;/Q&gt;&lt;R&gt;1&lt;/R&gt;&lt;C&gt;1&lt;/C&gt;&lt;D xsi:type="xsd:double"&gt;0.7918542&lt;/D&gt;&lt;/FQL&gt;&lt;FQL&gt;&lt;Q&gt;MAS-US^P_BETA_LOCIDX(45751,45575,,"SPX")&lt;/Q&gt;&lt;R&gt;1&lt;/R&gt;&lt;C&gt;1&lt;/C&gt;&lt;D xsi:type="xsd:double"&gt;0.7900363&lt;/D&gt;&lt;/FQL&gt;&lt;FQL&gt;&lt;Q&gt;MAS-US^P_BETA_LOCIDX(45750,45574,,"SPX")&lt;/Q&gt;&lt;R&gt;1&lt;/R&gt;&lt;C&gt;1&lt;/C&gt;&lt;D xsi:type="xsd:double"&gt;0.9350837&lt;/D&gt;&lt;/FQL&gt;&lt;FQL&gt;&lt;Q&gt;MAS-US^P_BETA_LOCIDX(45749,45573,,"SPX")&lt;/Q&gt;&lt;R&gt;1&lt;/R&gt;&lt;C&gt;1&lt;/C&gt;&lt;D xsi:type="xsd:double"&gt;0.6902923&lt;/D&gt;&lt;/FQL&gt;&lt;FQL&gt;&lt;Q&gt;MAS-US^P_BETA_LOCIDX(45748,45572,,"SPX")&lt;/Q&gt;&lt;R&gt;1&lt;/R&gt;&lt;C&gt;1&lt;/C&gt;&lt;D xsi:type="xsd:double"&gt;0.6683315&lt;/D&gt;&lt;/FQL&gt;&lt;FQL&gt;&lt;Q&gt;MAS-US^P_BETA_LOCIDX(45747,45569,,"SPX")&lt;/Q&gt;&lt;R&gt;1&lt;/R&gt;&lt;C&gt;1&lt;/C&gt;&lt;D xsi:type="xsd:double"&gt;0.65449125&lt;/D&gt;&lt;/FQL&gt;&lt;FQL&gt;&lt;Q&gt;MAS-US^P_BETA_LOCIDX(45744,45568,,"SPX")&lt;/Q&gt;&lt;R&gt;1&lt;/R&gt;&lt;C&gt;1&lt;/C&gt;&lt;D xsi:type="xsd:double"&gt;0.64850944&lt;/D&gt;&lt;/FQL&gt;&lt;FQL&gt;&lt;Q&gt;MAS-US^P_BETA_LOCIDX(45743,45567,,"SPX")&lt;/Q&gt;&lt;R&gt;1&lt;/R&gt;&lt;C&gt;1&lt;/C&gt;&lt;D xsi:type="xsd:double"&gt;0.6258105&lt;/D&gt;&lt;/FQL&gt;&lt;FQL&gt;&lt;Q&gt;MAS-US^P_BETA_LOCIDX(45742,45566,,"SPX")&lt;/Q&gt;&lt;R&gt;1&lt;/R&gt;&lt;C&gt;1&lt;/C&gt;&lt;D xsi:type="xsd:double"&gt;0.62175536&lt;/D&gt;&lt;/FQL&gt;&lt;FQL&gt;&lt;Q&gt;MAS-US^P_BETA_LOCIDX(45741,45565,,"SPX")&lt;/Q&gt;&lt;R&gt;1&lt;/R&gt;&lt;C&gt;1&lt;/C&gt;&lt;D xsi:type="xsd:double"&gt;0.63296574&lt;/D&gt;&lt;/FQL&gt;&lt;FQL&gt;&lt;Q&gt;MAS-US^P_BETA_LOCIDX(45740,45562,,"SPX")&lt;/Q&gt;&lt;R&gt;1&lt;/R&gt;&lt;C&gt;1&lt;/C&gt;&lt;D xsi:type="xsd:double"&gt;0.6327722&lt;/D&gt;&lt;/FQL&gt;&lt;FQL&gt;&lt;Q&gt;MAS-US^P_BETA_LOCIDX(45737,45561,,"SPX")&lt;/Q&gt;&lt;R&gt;1&lt;/R&gt;&lt;C&gt;1&lt;/C&gt;&lt;D xsi:type="xsd:double"&gt;0.6233983&lt;/D&gt;&lt;/FQL&gt;&lt;FQL&gt;&lt;Q&gt;MAS-US^P_BETA_LOCIDX(45736,45560,,"SPX")&lt;/Q&gt;&lt;R&gt;1&lt;/R&gt;&lt;C&gt;1&lt;/C&gt;&lt;D xsi:type="xsd:double"&gt;0.62564015&lt;/D&gt;&lt;/FQL&gt;&lt;FQL&gt;&lt;Q&gt;MAS-US^P_BETA_LOCIDX(45735,45559,,"SPX")&lt;/Q&gt;&lt;R&gt;1&lt;/R&gt;&lt;C&gt;1&lt;/C&gt;&lt;D xsi:type="xsd:double"&gt;0.6240349&lt;/D&gt;&lt;/FQL&gt;&lt;FQL&gt;&lt;Q&gt;MAS-US^P_BETA_LOCIDX(45734,45558,,"SPX")&lt;/Q&gt;&lt;R&gt;1&lt;/R&gt;&lt;C&gt;1&lt;/C&gt;&lt;D xsi:type="xsd:double"&gt;0.61665326&lt;/D&gt;&lt;/FQL&gt;&lt;FQL&gt;&lt;Q&gt;MAS-US^P_BETA_LOCIDX(45733,45555,,"SPX")&lt;/Q&gt;&lt;R&gt;1&lt;/R&gt;&lt;C&gt;1&lt;/C&gt;&lt;D xsi:type="xsd:double"&gt;0.62118274&lt;/D&gt;&lt;/FQL&gt;&lt;FQL&gt;&lt;Q&gt;MAS-US^P_BETA_LOCIDX(45730,45554,,"SPX")&lt;/Q&gt;&lt;R&gt;1&lt;/R&gt;&lt;C&gt;1&lt;/C&gt;&lt;D xsi:type="xsd:double"&gt;0.6327856&lt;/D&gt;&lt;/FQL&gt;&lt;FQL&gt;&lt;Q&gt;MAS-US^P_BETA_LOCIDX(45729,45553,,"SPX")&lt;/Q&gt;&lt;R&gt;1&lt;/R&gt;&lt;C&gt;1&lt;/C&gt;&lt;D xsi:type="xsd:double"&gt;0.62161976&lt;/D&gt;&lt;/FQL&gt;&lt;FQL&gt;&lt;Q&gt;MAS-US^P_BETA_LOCIDX(45728,45552,,"SPX")&lt;/Q&gt;&lt;R&gt;1&lt;/R&gt;&lt;C&gt;1&lt;/C&gt;&lt;D xsi:type="xsd:double"&gt;0.59474957&lt;/D&gt;&lt;/FQL&gt;&lt;FQL&gt;&lt;Q&gt;MAS-US^P_BETA_LOCIDX(45727,45551,,"SPX")&lt;/Q&gt;&lt;R&gt;1&lt;/R&gt;&lt;C&gt;1&lt;/C&gt;&lt;D xsi:type="xsd:double"&gt;0.5994172&lt;/D&gt;&lt;/FQL&gt;&lt;FQL&gt;&lt;Q&gt;MAS-US^P_BETA_LOCIDX(45726,45548,,"SPX")&lt;/Q&gt;&lt;R&gt;1&lt;/R&gt;&lt;C&gt;1&lt;/C&gt;&lt;D xsi:type="xsd:double"&gt;0.58298457&lt;/D&gt;&lt;/FQL&gt;&lt;FQL&gt;&lt;Q&gt;MAS-US^P_BETA_LOCIDX(45723,45547,,"SPX")&lt;/Q&gt;&lt;R&gt;1&lt;/R&gt;&lt;C&gt;1&lt;/C&gt;&lt;D xsi:type="xsd:double"&gt;0.5866921&lt;/D&gt;&lt;/FQL&gt;&lt;FQL&gt;&lt;Q&gt;MAS-US^P_BETA_LOCIDX(45722,45546,,"SPX")&lt;/Q&gt;&lt;R&gt;1&lt;/R&gt;&lt;C&gt;1&lt;/C&gt;&lt;D xsi:type="xsd:double"&gt;0.5671508&lt;/D&gt;&lt;/FQL&gt;&lt;FQL&gt;&lt;Q&gt;MAS-US^P_BETA_LOCIDX(45721,45545,,"SPX")&lt;/Q&gt;&lt;R&gt;1&lt;/R&gt;&lt;C&gt;1&lt;/C&gt;&lt;D xsi:type="xsd:double"&gt;0.6157403&lt;/D&gt;&lt;/FQL&gt;&lt;FQL&gt;&lt;Q&gt;MAS-US^P_BETA_LOCIDX(45720,45544,,"SPX")&lt;/Q&gt;&lt;R&gt;1&lt;/R&gt;&lt;C&gt;1&lt;/C&gt;&lt;D xsi:type="xsd:double"&gt;0.5968615&lt;/D&gt;&lt;/FQL&gt;&lt;FQL&gt;&lt;Q&gt;MAS-US^P_BETA_LOCIDX(45719,45541,,"SPX")&lt;/Q&gt;&lt;R&gt;1&lt;/R&gt;&lt;C&gt;1&lt;/C&gt;&lt;D xsi:type="xsd:double"&gt;0.5547842&lt;/D&gt;&lt;/FQL&gt;&lt;FQL&gt;&lt;Q&gt;MAS-US^P_BETA_LOCIDX(45716,45540,,"SPX")&lt;/Q&gt;&lt;R&gt;1&lt;/R&gt;&lt;C&gt;1&lt;/C&gt;&lt;D xsi:type="xsd:double"&gt;0.54464096&lt;/D&gt;&lt;/FQL&gt;&lt;FQL&gt;&lt;Q&gt;MAS-US^P_BETA_LOCIDX(45715,45539,,"SPX")&lt;/Q&gt;&lt;R&gt;1&lt;/R&gt;&lt;C&gt;1&lt;/C&gt;&lt;D xsi:type="xsd:double"&gt;0.54842037&lt;/D&gt;&lt;/FQL&gt;&lt;FQL&gt;&lt;Q&gt;MAS-US^P_BETA_LOCIDX(45714,45538,,"SPX")&lt;/Q&gt;&lt;R&gt;1&lt;/R&gt;&lt;C&gt;1&lt;/C&gt;&lt;D xsi:type="xsd:double"&gt;0.5411797&lt;/D&gt;&lt;/FQL&gt;&lt;FQL&gt;&lt;Q&gt;MAS-US^P_BETA_LOCIDX(45713,45534,,"SPX")&lt;/Q&gt;&lt;R&gt;1&lt;/R&gt;&lt;C&gt;1&lt;/C&gt;&lt;D xsi:type="xsd:double"&gt;0.54601955&lt;/D&gt;&lt;/FQL&gt;&lt;FQL&gt;&lt;Q&gt;MAS-US^P_BETA_LOCIDX(45712,45533,,"SPX")&lt;/Q&gt;&lt;R&gt;1&lt;/R&gt;&lt;C&gt;1&lt;/C&gt;&lt;D xsi:type="xsd:double"&gt;0.5667329&lt;/D&gt;&lt;/FQL&gt;&lt;FQL&gt;&lt;Q&gt;MAS-US^P_BETA_LOCIDX(45709,45532,,"SPX")&lt;/Q&gt;&lt;R&gt;1&lt;/R&gt;&lt;C&gt;1&lt;/C&gt;&lt;D xsi:type="xsd:double"&gt;0.5608998&lt;/D&gt;&lt;/FQL&gt;&lt;FQL&gt;&lt;Q&gt;MAS-US^P_BETA_LOCIDX(45708,45531,,"SPX")&lt;/Q&gt;&lt;R&gt;1&lt;/R&gt;&lt;C&gt;1&lt;/C&gt;&lt;D xsi:type="xsd:double"&gt;0.5377877&lt;/D&gt;&lt;/FQL&gt;&lt;FQL&gt;&lt;Q&gt;MAS-US^P_BETA_LOCIDX(45707,45530,,"SPX")&lt;/Q&gt;&lt;R&gt;1&lt;/R&gt;&lt;C&gt;1&lt;/C&gt;&lt;D xsi:type="xsd:double"&gt;0.5356839&lt;/D&gt;&lt;/FQL&gt;&lt;FQL&gt;&lt;Q&gt;MAS-US^P_BETA_LOCIDX(45706,45527,,"SPX")&lt;/Q&gt;&lt;R&gt;1&lt;/R&gt;&lt;C&gt;1&lt;/C&gt;&lt;D xsi:type="xsd:double"&gt;0.5832291&lt;/D&gt;&lt;/FQL&gt;&lt;FQL&gt;&lt;Q&gt;MAS-US^P_BETA_LOCIDX(45702,45526,,"SPX")&lt;/Q&gt;&lt;R&gt;1&lt;/R&gt;&lt;C&gt;1&lt;/C&gt;&lt;D xsi:type="xsd:double"&gt;0.5887876&lt;/D&gt;&lt;/FQL&gt;&lt;FQL&gt;&lt;Q&gt;MAS-US^P_BETA_LOCIDX(45701,45525,,"SPX")&lt;/Q&gt;&lt;R&gt;1&lt;/R&gt;&lt;C&gt;1&lt;/C&gt;&lt;D xsi:type="xsd:double"&gt;0.5999726&lt;/D&gt;&lt;/FQL&gt;&lt;FQL&gt;&lt;Q&gt;MAS-US^P_BETA_LOCIDX(45700,45524,,"SPX")&lt;/Q&gt;&lt;R&gt;1&lt;/R&gt;&lt;C&gt;1&lt;/C&gt;&lt;D xsi:type="xsd:double"&gt;0.5934992&lt;/D&gt;&lt;/FQL&gt;&lt;FQL&gt;&lt;Q&gt;MAS-US^P_BETA_LOCIDX(45699,45523,,"SPX")&lt;/Q&gt;&lt;R&gt;1&lt;/R&gt;&lt;C&gt;1&lt;/C&gt;&lt;D xsi:type="xsd:double"&gt;0.58756924&lt;/D&gt;&lt;/FQL&gt;&lt;FQL&gt;&lt;Q&gt;MAS-US^P_BETA_LOCIDX(45698,45520,,"SPX")&lt;/Q&gt;&lt;R&gt;1&lt;/R&gt;&lt;C&gt;1&lt;/C&gt;&lt;D xsi:type="xsd:double"&gt;0.5872076&lt;/D&gt;&lt;/FQL&gt;&lt;FQL&gt;&lt;Q&gt;MAS-US^P_BETA_LOCIDX(45695,45519,,"SPX")&lt;/Q&gt;&lt;R&gt;1&lt;/R&gt;&lt;C&gt;1&lt;/C&gt;&lt;D xsi:type="xsd:double"&gt;0.59591776&lt;/D&gt;&lt;/FQL&gt;&lt;FQL&gt;&lt;Q&gt;MAS-US^P_BETA_LOCIDX(45694,45518,,"SPX")&lt;/Q&gt;&lt;R&gt;1&lt;/R&gt;&lt;C&gt;1&lt;/C&gt;&lt;D xsi:type="xsd:double"&gt;0.60591817&lt;/D&gt;&lt;/FQL&gt;&lt;FQL&gt;&lt;Q&gt;MAS-US^P_BETA_LOCIDX(45693,45517,,"SPX")&lt;/Q&gt;&lt;R&gt;1&lt;/R&gt;&lt;C&gt;1&lt;/C&gt;&lt;D xsi:type="xsd:double"&gt;0.64357334&lt;/D&gt;&lt;/FQL&gt;&lt;FQL&gt;&lt;Q&gt;MAS-US^P_BETA_LOCIDX(45692,45516,,"SPX")&lt;/Q&gt;&lt;R&gt;1&lt;/R&gt;&lt;C&gt;1&lt;/C&gt;&lt;D xsi:type="xsd:double"&gt;0.64268726&lt;/D&gt;&lt;/FQL&gt;&lt;FQL&gt;&lt;Q&gt;MAS-US^P_BETA_LOCIDX(45691,45513,,"SPX")&lt;/Q&gt;&lt;R&gt;1&lt;/R&gt;&lt;C&gt;1&lt;/C&gt;&lt;D xsi:type="xsd:double"&gt;0.64578587&lt;/D&gt;&lt;/FQL&gt;&lt;FQL&gt;&lt;Q&gt;MAS-US^P_BETA_LOCIDX(45688,45512,,"SPX")&lt;/Q&gt;&lt;R&gt;1&lt;/R&gt;&lt;C&gt;1&lt;/C&gt;&lt;D xsi:type="xsd:double"&gt;0.61606574&lt;/D&gt;&lt;/FQL&gt;&lt;FQL&gt;&lt;Q&gt;MAS-US^P_BETA_LOCIDX(45687,45511,,"SPX")&lt;/Q&gt;&lt;R&gt;1&lt;/R&gt;&lt;C&gt;1&lt;/C&gt;&lt;D xsi:type="xsd:double"&gt;0.6218325&lt;/D&gt;&lt;/FQL&gt;&lt;FQL&gt;&lt;Q&gt;MAS-US^P_BETA_LOCIDX(45686,45510,,"SPX")&lt;/Q&gt;&lt;R&gt;1&lt;/R&gt;&lt;C&gt;1&lt;/C&gt;&lt;D xsi:type="xsd:double"&gt;0.61511433&lt;/D&gt;&lt;/FQL&gt;&lt;FQL&gt;&lt;Q&gt;MAS-US^P_BETA_LOCIDX(45685,45509,,"SPX")&lt;/Q&gt;&lt;R&gt;1&lt;/R&gt;&lt;C&gt;1&lt;/C&gt;&lt;D xsi:type="xsd:double"&gt;0.6187754&lt;/D&gt;&lt;/FQL&gt;&lt;FQL&gt;&lt;Q&gt;MAS-US^P_BETA_LOCIDX(45684,45506,,"SPX")&lt;/Q&gt;&lt;R&gt;1&lt;/R&gt;&lt;C&gt;1&lt;/C&gt;&lt;D xsi:type="xsd:double"&gt;0.64862865&lt;/D&gt;&lt;/FQL&gt;&lt;FQL&gt;&lt;Q&gt;MAS-US^P_BETA_LOCIDX(45681,45505,,"SPX")&lt;/Q&gt;&lt;R&gt;1&lt;/R&gt;&lt;C&gt;1&lt;/C&gt;&lt;D xsi:type="xsd:double"&gt;0.7343671&lt;/D&gt;&lt;/FQL&gt;&lt;FQL&gt;&lt;Q&gt;MAS-US^P_BETA_LOCIDX(45680,45504,,"SPX")&lt;/Q&gt;&lt;R&gt;1&lt;/R&gt;&lt;C&gt;1&lt;/C&gt;&lt;D xsi:type="xsd:double"&gt;0.70871407&lt;/D&gt;&lt;/FQL&gt;&lt;FQL&gt;&lt;Q&gt;MAS-US^P_BETA_LOCIDX(45679,45503,,"SPX")&lt;/Q&gt;&lt;R&gt;1&lt;/R&gt;&lt;C&gt;1&lt;/C&gt;&lt;D xsi:type="xsd:double"&gt;0.6981386&lt;/D&gt;&lt;/FQL&gt;&lt;FQL&gt;&lt;Q&gt;MAS-US^P_BETA_LOCIDX(45678,45502,,"SPX")&lt;/Q&gt;&lt;R&gt;1&lt;/R&gt;&lt;C&gt;1&lt;/C&gt;&lt;D xsi:type="xsd:double"&gt;0.7006816&lt;/D&gt;&lt;/FQL&gt;&lt;FQL&gt;&lt;Q&gt;MAS-US^P_BETA_LOCIDX(45674,45499,,"SPX")&lt;/Q&gt;&lt;R&gt;1&lt;/R&gt;&lt;C&gt;1&lt;/C&gt;&lt;D xsi:type="xsd:double"&gt;0.71469855&lt;/D&gt;&lt;/FQL&gt;&lt;FQL&gt;&lt;Q&gt;MAS-US^P_BETA_LOCIDX(45673,45498,,"SPX")&lt;/Q&gt;&lt;R&gt;1&lt;/R&gt;&lt;C&gt;1&lt;/C&gt;&lt;D xsi:type="xsd:double"&gt;0.66611236&lt;/D&gt;&lt;/FQL&gt;&lt;FQL&gt;&lt;Q&gt;MAS-US^P_BETA_LOCIDX(45672,45497,,"SPX")&lt;/Q&gt;&lt;R&gt;1&lt;/R&gt;&lt;C&gt;1&lt;/C&gt;&lt;D xsi:type="xsd:double"&gt;0.6556996&lt;/D&gt;&lt;/FQL&gt;&lt;FQL&gt;&lt;Q&gt;MAS-US^P_BETA_LOCIDX(45671,45496,,"SPX")&lt;/Q&gt;&lt;R&gt;1&lt;/R&gt;&lt;C&gt;1&lt;/C&gt;&lt;D xsi:type="xsd:double"&gt;0.65303785&lt;/D&gt;&lt;/FQL&gt;&lt;FQL&gt;&lt;Q&gt;MAS-US^P_BETA_LOCIDX(45670,45495,,"SPX")&lt;/Q&gt;&lt;R&gt;1&lt;/R&gt;&lt;C&gt;1&lt;/C&gt;&lt;D xsi:type="xsd:double"&gt;0.6454828&lt;/D&gt;&lt;/FQL&gt;&lt;FQL&gt;&lt;Q&gt;MAS-US^P_BETA_LOCIDX(45667,45492,,"SPX")&lt;/Q&gt;&lt;R&gt;1&lt;/R&gt;&lt;C&gt;1&lt;/C&gt;&lt;D xsi:type="xsd:double"&gt;0.6470467&lt;/D&gt;&lt;/FQL&gt;&lt;FQL&gt;&lt;Q&gt;MAS-US^P_BETA_LOCIDX(45665,45491,,"SPX")&lt;/Q&gt;&lt;R&gt;1&lt;/R&gt;&lt;C&gt;1&lt;/C&gt;&lt;D xsi:type="xsd:double"&gt;0.6483089&lt;/D&gt;&lt;/FQL&gt;&lt;FQL&gt;&lt;Q&gt;MAS-US^P_BETA_LOCIDX(45664,45490,,"SPX")&lt;/Q&gt;&lt;R&gt;1&lt;/R&gt;&lt;C&gt;1&lt;/C&gt;&lt;D xsi:type="xsd:double"&gt;0.65511686&lt;/D&gt;&lt;/FQL&gt;&lt;FQL&gt;&lt;Q&gt;MAS-US^P_BETA_LOCIDX(45663,45489,,"SPX")&lt;/Q&gt;&lt;R&gt;1&lt;/R&gt;&lt;C&gt;1&lt;/C&gt;&lt;D xsi:type="xsd:double"&gt;0.67018163&lt;/D&gt;&lt;/FQL&gt;&lt;FQL&gt;&lt;Q&gt;MAS-US^P_BETA_LOCIDX(45660,45488,,"SPX")&lt;/Q&gt;&lt;R&gt;1&lt;/R&gt;&lt;C&gt;1&lt;/C&gt;&lt;D xsi:type="xsd:double"&gt;0.66495997&lt;/D&gt;&lt;/FQL&gt;&lt;FQL&gt;&lt;Q&gt;MAS-US^P_BETA_LOCIDX(45659,45485,,"SPX")&lt;/Q&gt;&lt;R&gt;1&lt;/R&gt;&lt;C&gt;1&lt;/C&gt;&lt;D xsi:type="xsd:double"&gt;0.6743876&lt;/D&gt;&lt;/FQL&gt;&lt;FQL&gt;&lt;Q&gt;MAS-US^P_BETA_LOCIDX(45657,45484,,"SPX")&lt;/Q&gt;&lt;R&gt;1&lt;/R&gt;&lt;C&gt;1&lt;/C&gt;&lt;D xsi:type="xsd:double"&gt;0.6241908&lt;/D&gt;&lt;/FQL&gt;&lt;FQL&gt;&lt;Q&gt;MAS-US^P_BETA_LOCIDX(45656,45483,,"SPX")&lt;/Q&gt;&lt;R&gt;1&lt;/R&gt;&lt;C&gt;1&lt;/C&gt;&lt;D xsi:type="xsd:double"&gt;0.6264831&lt;/D&gt;&lt;/FQL&gt;&lt;FQL&gt;&lt;Q&gt;MAS-US^P_BETA_LOCIDX(45653,45482,,"SPX")&lt;/Q&gt;&lt;R&gt;1&lt;/R&gt;&lt;C&gt;1&lt;/C&gt;&lt;D xsi:type="xsd:double"&gt;0.62253296&lt;/D&gt;&lt;/FQL&gt;&lt;FQL&gt;&lt;Q&gt;MAS-US^P_BETA_LOCIDX(45652,45481,,"SPX")&lt;/Q&gt;&lt;R&gt;1&lt;/R&gt;&lt;C&gt;1&lt;/C&gt;&lt;D xsi:type="xsd:double"&gt;0.6209574&lt;/D&gt;&lt;/FQL&gt;&lt;FQL&gt;&lt;Q&gt;MAS-US^P_BETA_LOCIDX(45650,45478,,"SPX")&lt;/Q&gt;&lt;R&gt;1&lt;/R&gt;&lt;C&gt;1&lt;/C&gt;&lt;D xsi:type="xsd:double"&gt;0.61785865&lt;/D&gt;&lt;/FQL&gt;&lt;FQL&gt;&lt;Q&gt;MAS-US^P_BETA_LOCIDX(45649,45476,,"SPX")&lt;/Q&gt;&lt;R&gt;1&lt;/R&gt;&lt;C&gt;1&lt;/C&gt;&lt;D xsi:type="xsd:double"&gt;0.620731&lt;/D&gt;&lt;/FQL&gt;&lt;FQL&gt;&lt;Q&gt;MAS-US^P_BETA_LOCIDX(45646,45475,,"SPX")&lt;/Q&gt;&lt;R&gt;1&lt;/R&gt;&lt;C&gt;1&lt;/C&gt;&lt;D xsi:type="xsd:double"&gt;0.626612&lt;/D&gt;&lt;/FQL&gt;&lt;FQL&gt;&lt;Q&gt;MAS-US^P_BETA_LOCIDX(45645,45474,,"SPX")&lt;/Q&gt;&lt;R&gt;1&lt;/R&gt;&lt;C&gt;1&lt;/C&gt;&lt;D xsi:type="xsd:double"&gt;0.6034554&lt;/D&gt;&lt;/FQL&gt;&lt;FQL&gt;&lt;Q&gt;MAS-US^P_BETA_LOCIDX(45644,45471,,"SPX")&lt;/Q&gt;&lt;R&gt;1&lt;/R&gt;&lt;C&gt;1&lt;/C&gt;&lt;D xsi:type="xsd:double"&gt;0.5979714&lt;/D&gt;&lt;/FQL&gt;&lt;FQL&gt;&lt;Q&gt;MAS-US^P_BETA_LOCIDX(45643,45470,,"SPX")&lt;/Q&gt;&lt;R&gt;1&lt;/R&gt;&lt;C&gt;1&lt;/C&gt;&lt;D xsi:type="xsd:double"&gt;0.5390678&lt;/D&gt;&lt;/FQL&gt;&lt;FQL&gt;&lt;Q&gt;MAS-US^P_BETA_LOCIDX(45642,45469,,"SPX")&lt;/Q&gt;&lt;R&gt;1&lt;/R&gt;&lt;C&gt;1&lt;/C&gt;&lt;D xsi:type="xsd:double"&gt;0.53226894&lt;/D&gt;&lt;/FQL&gt;&lt;FQL&gt;&lt;Q&gt;MAS-US^P_BETA_LOCIDX(45639,45468,,"SPX")&lt;/Q&gt;&lt;R&gt;1&lt;/R&gt;&lt;C&gt;1&lt;/C&gt;&lt;D xsi:type="xsd:double"&gt;0.52315474&lt;/D&gt;&lt;/FQL&gt;&lt;FQL&gt;&lt;Q&gt;MAS-US^P_BETA_LOCIDX(45638,45467,,"SPX")&lt;/Q&gt;&lt;R&gt;1&lt;/R&gt;&lt;C&gt;1&lt;/C&gt;&lt;D xsi:type="xsd:double"&gt;0.5204901&lt;/D&gt;&lt;/FQL&gt;&lt;FQL&gt;&lt;Q&gt;MAS-US^P_BETA_LOCIDX(45637,45464,,"SPX")&lt;/Q&gt;&lt;R&gt;1&lt;/R&gt;&lt;C&gt;1&lt;/C&gt;&lt;D xsi:type="xsd:double"&gt;0.5224251&lt;/D&gt;&lt;/FQL&gt;&lt;FQL&gt;&lt;Q&gt;MAS-US^P_BETA_LOCIDX(45636,45463,,"SPX")&lt;/Q&gt;&lt;R&gt;1&lt;/R&gt;&lt;C&gt;1&lt;/C&gt;&lt;D xsi:type="xsd:double"&gt;0.5328815&lt;/D&gt;&lt;/FQL&gt;&lt;FQL&gt;&lt;Q&gt;MAS-US^P_BETA_LOCIDX(45635,45461,,"SPX")&lt;/Q&gt;&lt;R&gt;1&lt;/R&gt;&lt;C&gt;1&lt;/C&gt;&lt;D xsi:type="xsd:double"&gt;0.5223188&lt;/D&gt;&lt;/FQL&gt;&lt;FQL&gt;&lt;Q&gt;MAS-US^P_BETA_LOCIDX(45632,45460,,"SPX")&lt;/Q&gt;&lt;R&gt;1&lt;/R&gt;&lt;C&gt;1&lt;/C&gt;&lt;D xsi:type="xsd:double"&gt;0.52686185&lt;/D&gt;&lt;/FQL&gt;&lt;FQL&gt;&lt;Q&gt;MAS-US^P_BETA_LOCIDX(45631,45457,,"SPX")&lt;/Q&gt;&lt;R&gt;1&lt;/R&gt;&lt;C&gt;1&lt;/C&gt;&lt;D xsi:type="xsd:double"&gt;0.5288762&lt;/D&gt;&lt;/FQL&gt;&lt;FQL&gt;&lt;Q&gt;MAS-US^P_BETA_LOCIDX(45630,45456,,"SPX")&lt;/Q&gt;&lt;R&gt;1&lt;/R&gt;&lt;C&gt;1&lt;/C&gt;&lt;D xsi:type="xsd:double"&gt;0.53207207&lt;/D&gt;&lt;/FQL&gt;&lt;FQL&gt;&lt;Q&gt;MAS-US^P_BETA_LOCIDX(45629,45455,,"SPX")&lt;/Q&gt;&lt;R&gt;1&lt;/R&gt;&lt;C&gt;1&lt;/C&gt;&lt;D xsi:type="xsd:double"&gt;0.55519754&lt;/D&gt;&lt;/FQL&gt;&lt;FQL&gt;&lt;Q&gt;MAS-US^P_BETA_LOCIDX(45628,45454,,"SPX")&lt;/Q&gt;&lt;R&gt;1&lt;/R&gt;&lt;C&gt;1&lt;/C&gt;&lt;D xsi:type="xsd:double"&gt;0.55499965&lt;/D&gt;&lt;/FQL&gt;&lt;FQL&gt;&lt;Q&gt;MAS-US^P_BETA_LOCIDX(45625,45453,,"SPX")&lt;/Q&gt;&lt;R&gt;1&lt;/R&gt;&lt;C&gt;1&lt;/C&gt;&lt;D xsi:type="xsd:double"&gt;0.55802375&lt;/D&gt;&lt;/FQL&gt;&lt;FQL&gt;&lt;Q&gt;MAS-US^P_BETA_LOCIDX(45623,45450,,"SPX")&lt;/Q&gt;&lt;R&gt;1&lt;/R&gt;&lt;C&gt;1&lt;/C&gt;&lt;D xsi:type="xsd:double"&gt;0.56338984&lt;/D&gt;&lt;/FQL&gt;&lt;FQL&gt;&lt;Q&gt;MAS-US^P_BETA_LOCIDX(45622,45449,,"SPX")&lt;/Q&gt;&lt;R&gt;1&lt;/R&gt;&lt;C&gt;1&lt;/C&gt;&lt;D xsi:type="xsd:double"&gt;0.5634385&lt;/D&gt;&lt;/FQL&gt;&lt;FQL&gt;&lt;Q&gt;MAS-US^P_BETA_LOCIDX(45621,45448,,"SPX")&lt;/Q&gt;&lt;R&gt;1&lt;/R&gt;&lt;C&gt;1&lt;/C&gt;&lt;D xsi:type="xsd:double"&gt;0.5750764&lt;/D&gt;&lt;/FQL&gt;&lt;FQL&gt;&lt;Q&gt;MAS-US^P_BETA_LOCIDX(45618,45447,,"SPX")&lt;/Q&gt;&lt;R&gt;1&lt;/R&gt;&lt;C&gt;1&lt;/C&gt;&lt;D xsi:type="xsd:double"&gt;0.56561077&lt;/D&gt;&lt;/FQL&gt;&lt;FQL&gt;&lt;Q&gt;MAS-US^P_BETA_LOCIDX(45617,45446,,"SPX")&lt;/Q&gt;&lt;R&gt;1&lt;/R&gt;&lt;C&gt;1&lt;/C&gt;&lt;D xsi:type="xsd:double"&gt;0.56375784&lt;/D&gt;&lt;/FQL&gt;&lt;FQL&gt;&lt;Q&gt;MAS-US^P_BETA_LOCIDX(45616,45443,,"SPX")&lt;/Q&gt;&lt;R&gt;1&lt;/R&gt;&lt;C&gt;1&lt;/C&gt;&lt;D xsi:type="xsd:double"&gt;0.5709228&lt;/D&gt;&lt;/FQL&gt;&lt;FQL&gt;&lt;Q&gt;MAS-US^P_BETA_LOCIDX(45615,45442,,"SPX")&lt;/Q&gt;&lt;R&gt;1&lt;/R&gt;&lt;C&gt;1&lt;/C&gt;&lt;D xsi:type="xsd:double"&gt;0.5576289&lt;/D&gt;&lt;/FQL&gt;&lt;FQL&gt;&lt;Q&gt;MAS-US^P_BETA_LOCIDX(45614,45441,,"SPX")&lt;/Q&gt;&lt;R&gt;1&lt;/R&gt;&lt;C&gt;1&lt;/C&gt;&lt;D xsi:type="xsd:double"&gt;0.5614042&lt;/D&gt;&lt;/FQL&gt;&lt;FQL&gt;&lt;Q&gt;MAS-US^P_BETA_LOCIDX(45611,45440,,"SPX")&lt;/Q&gt;&lt;R&gt;1&lt;/R&gt;&lt;C&gt;1&lt;/C&gt;&lt;D xsi:type="xsd:double"&gt;0.5698749&lt;/D&gt;&lt;/FQL&gt;&lt;FQL&gt;&lt;Q&gt;MAS-US^P_BETA_LOCIDX(45610,45436,,"SPX")&lt;/Q&gt;&lt;R&gt;1&lt;/R&gt;&lt;C&gt;1&lt;/C&gt;&lt;D xsi:type="xsd:double"&gt;0.5656199&lt;/D&gt;&lt;/FQL&gt;&lt;FQL&gt;&lt;Q&gt;MAS-US^P_BETA_LOCIDX(45609,45435,,"SPX")&lt;/Q&gt;&lt;R&gt;1&lt;/R&gt;&lt;C&gt;1&lt;/C&gt;&lt;D xsi:type="xsd:double"&gt;0.570897&lt;/D&gt;&lt;/FQL&gt;&lt;FQL&gt;&lt;Q&gt;MAS-US^P_BETA_LOCIDX(45608,45434,,"SPX")&lt;/Q&gt;&lt;R&gt;1&lt;/R&gt;&lt;C&gt;1&lt;/C&gt;&lt;D xsi:type="xsd:double"&gt;0.57460946&lt;/D&gt;&lt;/FQL&gt;&lt;FQL&gt;&lt;Q&gt;MAS-US^P_BETA_LOCIDX(45607,45433,,"SPX")&lt;/Q&gt;&lt;R&gt;1&lt;/R&gt;&lt;C&gt;1&lt;/C&gt;&lt;D xsi:type="xsd:double"&gt;0.56597686&lt;/D&gt;&lt;/FQL&gt;&lt;FQL&gt;&lt;Q&gt;MAS-US^P_BETA_LOCIDX(45604,45432,,"SPX")&lt;/Q&gt;&lt;R&gt;1&lt;/R&gt;&lt;C&gt;1&lt;/C&gt;&lt;D xsi:type="xsd:double"&gt;0.5661004&lt;/D&gt;&lt;/FQL&gt;&lt;FQL&gt;&lt;Q&gt;MAS-US^P_BETA_LOCIDX(45603,45429,,"SPX")&lt;/Q&gt;&lt;R&gt;1&lt;/R&gt;&lt;C&gt;1&lt;/C&gt;&lt;D xsi:type="xsd:double"&gt;0.56418496&lt;/D&gt;&lt;/FQL&gt;&lt;FQL&gt;&lt;Q&gt;MAS-US^P_BETA_LOCIDX(45602,45428,,"SPX")&lt;/Q&gt;&lt;R&gt;1&lt;/R&gt;&lt;C&gt;1&lt;/C&gt;&lt;D xsi:type="xsd:double"&gt;0.57615566&lt;/D&gt;&lt;/FQL&gt;&lt;FQL&gt;&lt;Q&gt;MAS-US^P_BETA_LOCIDX(45601,45427,,"SPX")&lt;/Q&gt;&lt;R&gt;1&lt;/R&gt;&lt;C&gt;1&lt;/C&gt;&lt;D xsi:type="xsd:double"&gt;0.6875489&lt;/D&gt;&lt;/FQL&gt;&lt;FQL&gt;&lt;Q&gt;MAS-US^P_BETA_LOCIDX(45600,45426,,"SPX")&lt;/Q&gt;&lt;R&gt;1&lt;/R&gt;&lt;C&gt;1&lt;/C&gt;&lt;D xsi:type="xsd:double"&gt;0.683362&lt;/D&gt;&lt;/FQL&gt;&lt;FQL&gt;&lt;Q&gt;MAS-US^P_BETA_LOCIDX(45597,45425,,"SPX")&lt;/Q&gt;&lt;R&gt;1&lt;/R&gt;&lt;C&gt;1&lt;/C&gt;&lt;D xsi:type="xsd:double"&gt;0.6899919&lt;/D&gt;&lt;/FQL&gt;&lt;FQL&gt;&lt;Q&gt;MAS-US^P_BETA_LOCIDX(45596,45422,,"SPX")&lt;/Q&gt;&lt;R&gt;1&lt;/R&gt;&lt;C&gt;1&lt;/C&gt;&lt;D xsi:type="xsd:double"&gt;0.69017386&lt;/D&gt;&lt;/FQL&gt;&lt;FQL&gt;&lt;Q&gt;MAS-US^P_BETA_LOCIDX(45595,45421,,"SPX")&lt;/Q&gt;&lt;R&gt;1&lt;/R&gt;&lt;C&gt;1&lt;/C&gt;&lt;D xsi:type="xsd:double"&gt;0.715627&lt;/D&gt;&lt;/FQL&gt;&lt;FQL&gt;&lt;Q&gt;MAS-US^P_BETA_LOCIDX(45594,45420,,"SPX")&lt;/Q&gt;&lt;R&gt;1&lt;/R&gt;&lt;C&gt;1&lt;/C&gt;&lt;D xsi:type="xsd:double"&gt;0.7102971&lt;/D&gt;&lt;/FQL&gt;&lt;FQL&gt;&lt;Q&gt;MAS-US^P_BETA_LOCIDX(45593,45419,,"SPX")&lt;/Q&gt;&lt;R&gt;1&lt;/R&gt;&lt;C&gt;1&lt;/C&gt;&lt;D xsi:type="xsd:double"&gt;0.7110142&lt;/D&gt;&lt;/FQL&gt;&lt;FQL&gt;&lt;Q&gt;MAS-US^P_BETA_LOCIDX(45590,45418,,"SPX")&lt;/Q&gt;&lt;R&gt;1&lt;/R&gt;&lt;C&gt;1&lt;/C&gt;&lt;D xsi:type="xsd:double"&gt;0.7123925&lt;/D&gt;&lt;/FQL&gt;&lt;FQL&gt;&lt;Q&gt;MAS-US^P_BETA_LOCIDX(45589,45415,,"SPX")&lt;/Q&gt;&lt;R&gt;1&lt;/R&gt;&lt;C&gt;1&lt;/C&gt;&lt;D xsi:type="xsd:double"&gt;0.70703256&lt;/D&gt;&lt;/FQL&gt;&lt;FQL&gt;&lt;Q&gt;MAS-US^P_BETA_LOCIDX(45588,45414,,"SPX")&lt;/Q&gt;&lt;R&gt;1&lt;/R&gt;&lt;C&gt;1&lt;/C&gt;&lt;D xsi:type="xsd:double"&gt;0.70459795&lt;/D&gt;&lt;/FQL&gt;&lt;FQL&gt;&lt;Q&gt;MAS-US^P_BETA_LOCIDX(45587,45413,,"SPX")&lt;/Q&gt;&lt;R&gt;1&lt;/R&gt;&lt;C&gt;1&lt;/C&gt;&lt;D xsi:type="xsd:double"&gt;0.7060197&lt;/D&gt;&lt;/FQL&gt;&lt;FQL&gt;&lt;Q&gt;MAS-US^P_BETA_LOCIDX(45586,45412,,"SPX")&lt;/Q&gt;&lt;R&gt;1&lt;/R&gt;&lt;C&gt;1&lt;/C&gt;&lt;D xsi:type="xsd:double"&gt;0.7273184&lt;/D&gt;&lt;/FQL&gt;&lt;FQL&gt;&lt;Q&gt;MAS-US^P_BETA_LOCIDX(45583,45411,,"SPX")&lt;/Q&gt;&lt;R&gt;1&lt;/R&gt;&lt;C&gt;1&lt;/C&gt;&lt;D xsi:type="xsd:double"&gt;0.7210537&lt;/D&gt;&lt;/FQL&gt;&lt;FQL&gt;&lt;Q&gt;MAS-US^P_BETA_LOCIDX(45582,45408,,"SPX")&lt;/Q&gt;&lt;R&gt;1&lt;/R&gt;&lt;C&gt;1&lt;/C&gt;&lt;D xsi:type="xsd:double"&gt;0.71209645&lt;/D&gt;&lt;/FQL&gt;&lt;FQL&gt;&lt;Q&gt;MAS-US^P_BETA_LOCIDX(45581,45407,,"SPX")&lt;/Q&gt;&lt;R&gt;1&lt;/R&gt;&lt;C&gt;1&lt;/C&gt;&lt;D xsi:type="xsd:double"&gt;0.70886624&lt;/D&gt;&lt;/FQL&gt;&lt;FQL&gt;&lt;Q&gt;MAS-US^P_BETA_LOCIDX(45580,45406,,"SPX")&lt;/Q&gt;&lt;R&gt;1&lt;/R&gt;&lt;C&gt;1&lt;/C&gt;&lt;D xsi:type="xsd:double"&gt;0.71378213&lt;/D&gt;&lt;/FQL&gt;&lt;FQL&gt;&lt;Q&gt;MAS-US^P_BETA_LOCIDX(45579,45405,,"SPX")&lt;/Q&gt;&lt;R&gt;1&lt;/R&gt;&lt;C&gt;1&lt;/C&gt;&lt;D xsi:type="xsd:double"&gt;0.72883433&lt;/D&gt;&lt;/FQL&gt;&lt;FQL&gt;&lt;Q&gt;MAS-US^P_BETA_LOCIDX(45576,45404,,"SPX")&lt;/Q&gt;&lt;R&gt;1&lt;/R&gt;&lt;C&gt;1&lt;/C&gt;&lt;D xsi:type="xsd:double"&gt;0.7168098&lt;/D&gt;&lt;/FQL&gt;&lt;FQL&gt;&lt;Q&gt;MAS-US^P_BETA_LOCIDX(45575,45401,,"SPX")&lt;/Q&gt;&lt;R&gt;1&lt;/R&gt;&lt;C&gt;1&lt;/C&gt;&lt;D xsi:type="xsd:double"&gt;0.7149913&lt;/D&gt;&lt;/FQL&gt;&lt;FQL&gt;&lt;Q&gt;MAS-US^P_BETA_LOCIDX(45574,45400,,"SPX")&lt;/Q&gt;&lt;R&gt;1&lt;/R&gt;&lt;C&gt;1&lt;/C&gt;&lt;D xsi:type="xsd:double"&gt;0.71166193&lt;/D&gt;&lt;/FQL&gt;&lt;FQL&gt;&lt;Q&gt;MAS-US^P_BETA_LOCIDX(45573,45399,,"SPX")&lt;/Q&gt;&lt;R&gt;1&lt;/R&gt;&lt;C&gt;1&lt;/C&gt;&lt;D xsi:type="xsd:double"&gt;0.70836407&lt;/D&gt;&lt;/FQL&gt;&lt;FQL&gt;&lt;Q&gt;MAS-US^P_BETA_LOCIDX(45572,45398,,"SPX")&lt;/Q&gt;&lt;R&gt;1&lt;/R&gt;&lt;C&gt;1&lt;/C&gt;&lt;D xsi:type="xsd:double"&gt;0.7133313&lt;/D&gt;&lt;/FQL&gt;&lt;FQL&gt;&lt;Q&gt;MAS-US^P_BETA_LOCIDX(45569,45397,,"SPX")&lt;/Q&gt;&lt;R&gt;1&lt;/R&gt;&lt;C&gt;1&lt;/C&gt;&lt;D xsi:type="xsd:double"&gt;0.72599024&lt;/D&gt;&lt;/FQL&gt;&lt;FQL&gt;&lt;Q&gt;MAS-US^P_BETA_LOCIDX(45568,45394,,"SPX")&lt;/Q&gt;&lt;R&gt;1&lt;/R&gt;&lt;C&gt;1&lt;/C&gt;&lt;D xsi:type="xsd:double"&gt;0.72165626&lt;/D&gt;&lt;/FQL&gt;&lt;FQL&gt;&lt;Q&gt;MAS-US^P_BETA_LOCIDX(45567,45393,,"SPX")&lt;/Q&gt;&lt;R&gt;1&lt;/R&gt;&lt;C&gt;1&lt;/C&gt;&lt;D xsi:type="xsd:double"&gt;0.7117939&lt;/D&gt;&lt;/FQL&gt;&lt;FQL&gt;&lt;Q&gt;MAS-US^P_BETA_LOCIDX(45566,45392,,"SPX")&lt;/Q&gt;&lt;R&gt;1&lt;/R&gt;&lt;C&gt;1&lt;/C&gt;&lt;D xsi:type="xsd:double"&gt;0.74551463&lt;/D&gt;&lt;/FQL&gt;&lt;FQL&gt;&lt;Q&gt;MAS-US^P_BETA_LOCIDX(45565,45391,,"SPX")&lt;/Q&gt;&lt;R&gt;1&lt;/R&gt;&lt;C&gt;1&lt;/C&gt;&lt;D xsi:type="xsd:double"&gt;0.7512396&lt;/D&gt;&lt;/FQL&gt;&lt;FQL&gt;&lt;Q&gt;MAS-US^P_BETA_LOCIDX(45562,45390,,"SPX")&lt;/Q&gt;&lt;R&gt;1&lt;/R&gt;&lt;C&gt;1&lt;/C&gt;&lt;D xsi:type="xsd:double"&gt;0.7504089&lt;/D&gt;&lt;/FQL&gt;&lt;FQL&gt;&lt;Q&gt;MAS-US^P_BETA_LOCIDX(45561,45387,,"SPX")&lt;/Q&gt;&lt;R&gt;1&lt;/R&gt;&lt;C&gt;1&lt;/C&gt;&lt;D xsi:type="xsd:double"&gt;0.746845&lt;/D&gt;&lt;/FQL&gt;&lt;FQL&gt;&lt;Q&gt;MAS-US^P_BETA_LOCIDX(45560,45386,,"SPX")&lt;/Q&gt;&lt;R&gt;1&lt;/R&gt;&lt;C&gt;1&lt;/C&gt;&lt;D xsi:type="xsd:double"&gt;0.7558004&lt;/D&gt;&lt;/FQL&gt;&lt;FQL&gt;&lt;Q&gt;MAS-US^P_BETA_LOCIDX(45559,45385,,"SPX")&lt;/Q&gt;&lt;R&gt;1&lt;/R&gt;&lt;C&gt;1&lt;/C&gt;&lt;D xsi:type="xsd:double"&gt;0.75379175&lt;/D&gt;&lt;/FQL&gt;&lt;FQL&gt;&lt;Q&gt;MAS-US^P_BETA_LOCIDX(45558,45384,,"SPX")&lt;/Q&gt;&lt;R&gt;1&lt;/R&gt;&lt;C&gt;1&lt;/C&gt;&lt;D xsi:type="xsd:double"&gt;0.75401795&lt;/D&gt;&lt;/FQL&gt;&lt;FQL&gt;&lt;Q&gt;MAS-US^P_BETA_LOCIDX(45555,45383,,"SPX")&lt;/Q&gt;&lt;R&gt;1&lt;/R&gt;&lt;C&gt;1&lt;/C&gt;&lt;D xsi:type="xsd:double"&gt;0.75748914&lt;/D&gt;&lt;/FQL&gt;&lt;FQL&gt;&lt;Q&gt;MAS-US^P_BETA_LOCIDX(45554,45379,,"SPX")&lt;/Q&gt;&lt;R&gt;1&lt;/R&gt;&lt;C&gt;1&lt;/C&gt;&lt;D xsi:type="xsd:double"&gt;0.7544321&lt;/D&gt;&lt;/FQL&gt;&lt;FQL&gt;&lt;Q&gt;MAS-US^P_BETA_LOCIDX(45553,45378,,"SPX")&lt;/Q&gt;&lt;R&gt;1&lt;/R&gt;&lt;C&gt;1&lt;/C&gt;&lt;D xsi:type="xsd:double"&gt;0.75213164&lt;/D&gt;&lt;/FQL&gt;&lt;FQL&gt;&lt;Q&gt;MAS-US^P_BETA_LOCIDX(45552,45377,,"SPX")&lt;/Q&gt;&lt;R&gt;1&lt;/R&gt;&lt;C&gt;1&lt;/C&gt;&lt;D xsi:type="xsd:double"&gt;0.75136936&lt;/D&gt;&lt;/FQL&gt;&lt;FQL&gt;&lt;Q&gt;MAS-US^P_BETA_LOCIDX(45551,45376,,"SPX")&lt;/Q&gt;&lt;R&gt;1&lt;/R&gt;&lt;C&gt;1&lt;/C&gt;&lt;D xsi:type="xsd:double"&gt;0.7565038&lt;/D&gt;&lt;/FQL&gt;&lt;FQL&gt;&lt;Q&gt;MAS-US^P_BETA_LOCIDX(45548,45373,,"SPX")&lt;/Q&gt;&lt;R&gt;1&lt;/R&gt;&lt;C&gt;1&lt;/C&gt;&lt;D xsi:type="xsd:double"&gt;0.7587711&lt;/D&gt;&lt;/FQL&gt;&lt;FQL&gt;&lt;Q&gt;MAS-US^P_BETA_LOCIDX(45547,45372,,"SPX")&lt;/Q&gt;&lt;R&gt;1&lt;/R&gt;&lt;C&gt;1&lt;/C&gt;&lt;D xsi:type="xsd:double"&gt;0.75897706&lt;/D&gt;&lt;/FQL&gt;&lt;FQL&gt;&lt;Q&gt;MAS-US^P_BETA_LOCIDX(45546,45371,,"SPX")&lt;/Q&gt;&lt;R&gt;1&lt;/R&gt;&lt;C&gt;1&lt;/C&gt;&lt;D xsi:type="xsd:double"&gt;0.7588183&lt;/D&gt;&lt;/FQL&gt;&lt;FQL&gt;&lt;Q&gt;MAS-US^P_BETA_LOCIDX(45545,45370,,"SPX")&lt;/Q&gt;&lt;R&gt;1&lt;/R&gt;&lt;C&gt;1&lt;/C&gt;&lt;D xsi:type="xsd:double"&gt;0.7819422&lt;/D&gt;&lt;/FQL&gt;&lt;FQL&gt;&lt;Q&gt;MAS-US^P_BETA_LOCIDX(45544,45369,,"SPX")&lt;/Q&gt;&lt;R&gt;1&lt;/R&gt;&lt;C&gt;1&lt;/C&gt;&lt;D xsi:type="xsd:double"&gt;0.77198654&lt;/D&gt;&lt;/FQL&gt;&lt;FQL&gt;&lt;Q&gt;MAS-US^P_BETA_LOCIDX(45541,45366,,"SPX")&lt;/Q&gt;&lt;R&gt;1&lt;/R&gt;&lt;C&gt;1&lt;/C&gt;&lt;D xsi:type="xsd:double"&gt;0.7752794&lt;/D&gt;&lt;/FQL&gt;&lt;FQL&gt;&lt;Q&gt;MAS-US^P_BETA_LOCIDX(45540,45365,,"SPX")&lt;/Q&gt;&lt;R&gt;1&lt;/R&gt;&lt;C&gt;1&lt;/C&gt;&lt;D xsi:type="xsd:double"&gt;0.8082786&lt;/D&gt;&lt;/FQL&gt;&lt;FQL&gt;&lt;Q&gt;MAS-US^P_BETA_LOCIDX(45539,45364,,"SPX")&lt;/Q&gt;&lt;R&gt;1&lt;/R&gt;&lt;C&gt;1&lt;/C&gt;&lt;D xsi:type="xsd:double"&gt;0.80579525&lt;/D&gt;&lt;/FQL&gt;&lt;FQL&gt;&lt;Q&gt;MAS-US^P_BETA_LOCIDX(45538,45363,,"SPX")&lt;/Q&gt;&lt;R&gt;1&lt;/R&gt;&lt;C&gt;1&lt;/C&gt;&lt;D xsi:type="xsd:double"&gt;0.801025&lt;/D&gt;&lt;/FQL&gt;&lt;FQL&gt;&lt;Q&gt;MAS-US^P_BETA_LOCIDX(45534,45362,,"SPX")&lt;/Q&gt;&lt;R&gt;1&lt;/R&gt;&lt;C&gt;1&lt;/C&gt;&lt;D xsi:type="xsd:double"&gt;0.80978245&lt;/D&gt;&lt;/FQL&gt;&lt;FQL&gt;&lt;Q&gt;MAS-US^P_BETA_LOCIDX(45533,45359,,"SPX")&lt;/Q&gt;&lt;R&gt;1&lt;/R&gt;&lt;C&gt;1&lt;/C&gt;&lt;D xsi:type="xsd:double"&gt;0.8067035&lt;/D&gt;&lt;/FQL&gt;&lt;FQL&gt;&lt;Q&gt;MAS-US^P_BETA_LOCIDX(45532,45358,,"SPX")&lt;/Q&gt;&lt;R&gt;1&lt;/R&gt;&lt;C&gt;1&lt;/C&gt;&lt;D xsi:type="xsd:double"&gt;0.80838144&lt;/D&gt;&lt;/FQL&gt;&lt;FQL&gt;&lt;Q&gt;MAS-US^P_BETA_LOCIDX(45531,45357,,"SPX")&lt;/Q&gt;&lt;R&gt;1&lt;/R&gt;&lt;C&gt;1&lt;/C&gt;&lt;D xsi:type="xsd:double"&gt;0.80679137&lt;/D&gt;&lt;/FQL&gt;&lt;FQL&gt;&lt;Q&gt;MAS-US^P_BETA_LOCIDX(45530,45356,,"SPX")&lt;/Q&gt;&lt;R&gt;1&lt;/R&gt;&lt;C&gt;1&lt;/C&gt;&lt;D xsi:type="xsd:double"&gt;0.81943077&lt;/D&gt;&lt;/FQL&gt;&lt;FQL&gt;&lt;Q&gt;MAS-US^P_BETA_LOCIDX(45527,45355,,"SPX")&lt;/Q&gt;&lt;R&gt;1&lt;/R&gt;&lt;C&gt;1&lt;/C&gt;&lt;D xsi:type="xsd:double"&gt;0.8191934&lt;/D&gt;&lt;/FQL&gt;&lt;FQL&gt;&lt;Q&gt;MAS-US^P_BETA_LOCIDX(45526,45352,,"SPX")&lt;/Q&gt;&lt;R&gt;1&lt;/R&gt;&lt;C&gt;1&lt;/C&gt;&lt;D xsi:type="xsd:double"&gt;0.7854616&lt;/D&gt;&lt;/FQL&gt;&lt;FQL&gt;&lt;Q&gt;MAS-US^P_BETA_LOCIDX(45525,45351,,"SPX")&lt;/Q&gt;&lt;R&gt;1&lt;/R&gt;&lt;C&gt;1&lt;/C&gt;&lt;D xsi:type="xsd:double"&gt;0.7838188&lt;/D&gt;&lt;/FQL&gt;&lt;FQL&gt;&lt;Q&gt;MAS-US^P_BETA_LOCIDX(45524,45350,,"SPX")&lt;/Q&gt;&lt;R&gt;1&lt;/R&gt;&lt;C&gt;1&lt;/C&gt;&lt;D xsi:type="xsd:double"&gt;0.7739426&lt;/D&gt;&lt;/FQL&gt;&lt;FQL&gt;&lt;Q&gt;MAS-US^P_BETA_LOCIDX(45523,45349,,"SPX")&lt;/Q&gt;&lt;R&gt;1&lt;/R&gt;&lt;C&gt;1&lt;/C&gt;&lt;D xsi:type="xsd:double"&gt;0.77498996&lt;/D&gt;&lt;/FQL&gt;&lt;FQL&gt;&lt;Q&gt;MAS-US^P_BETA_LOCIDX(45520,45348,,"SPX")&lt;/Q&gt;&lt;R&gt;1&lt;/R&gt;&lt;C&gt;1&lt;/C&gt;&lt;D xsi:type="xsd:double"&gt;0.7679803&lt;/D&gt;&lt;/FQL&gt;&lt;FQL&gt;&lt;Q&gt;MAS-US^P_BETA_LOCIDX(45519,45345,,"SPX")&lt;/Q&gt;&lt;R&gt;1&lt;/R&gt;&lt;C&gt;1&lt;/C&gt;&lt;D xsi:type="xsd:double"&gt;0.7687225&lt;/D&gt;&lt;/FQL&gt;&lt;FQL&gt;&lt;Q&gt;MAS-US^P_BETA_LOCIDX(45518,45344,,"SPX")&lt;/Q&gt;&lt;R&gt;1&lt;/R&gt;&lt;C&gt;1&lt;/C&gt;&lt;D xsi:type="xsd:double"&gt;0.7505348&lt;/D&gt;&lt;/FQL&gt;&lt;FQL&gt;&lt;Q&gt;MAS-US^P_BETA_LOCIDX(45517,45343,,"SPX")&lt;/Q&gt;&lt;R&gt;1&lt;/R&gt;&lt;C&gt;1&lt;/C&gt;&lt;D xsi:type="xsd:double"&gt;0.7447187&lt;/D&gt;&lt;/FQL&gt;&lt;FQL&gt;&lt;Q&gt;MAS-US^P_BETA_LOCIDX(45516,45342,,"SPX")&lt;/Q&gt;&lt;R&gt;1&lt;/R&gt;&lt;C&gt;1&lt;/C&gt;&lt;D xsi:type="xsd:double"&gt;0.69856876&lt;/D&gt;&lt;/FQL&gt;&lt;FQL&gt;&lt;Q&gt;MAS-US^P_BETA_LOCIDX(45513,45338,,"SPX")&lt;/Q&gt;&lt;R&gt;1&lt;/R&gt;&lt;C&gt;1&lt;/C&gt;&lt;D xsi:type="xsd:double"&gt;0.6987959&lt;/D&gt;&lt;/FQL&gt;&lt;FQL&gt;&lt;Q&gt;MAS-US^P_BETA_LOCIDX(45512,45337,,"SPX")&lt;/Q&gt;&lt;R&gt;1&lt;/R&gt;&lt;C&gt;1&lt;/C&gt;&lt;D xsi:type="xsd:double"&gt;0.7009266&lt;/D&gt;&lt;/FQL&gt;&lt;FQL&gt;&lt;Q&gt;MAS-US^P_BETA_LOCIDX(45511,45336,,"SPX")&lt;/Q&gt;&lt;R&gt;1&lt;/R&gt;&lt;C&gt;1&lt;/C&gt;&lt;D xsi:type="xsd:double"&gt;0.72795457&lt;/D&gt;&lt;/FQL&gt;&lt;FQL&gt;&lt;Q&gt;MAS-US^P_BETA_LOCIDX(45510,45335,,"SPX")&lt;/Q&gt;&lt;R&gt;1&lt;/R&gt;&lt;C&gt;1&lt;/C&gt;&lt;D xsi:type="xsd:double"&gt;0.70991325&lt;/D&gt;&lt;/FQL&gt;&lt;FQL&gt;&lt;Q&gt;MAS-US^P_BETA_LOCIDX(45509,45334,,"SPX")&lt;/Q&gt;&lt;R&gt;1&lt;/R&gt;&lt;C&gt;1&lt;/C&gt;&lt;D xsi:type="xsd:double"&gt;0.7093425&lt;/D&gt;&lt;/FQL&gt;&lt;FQL&gt;&lt;Q&gt;MAS-US^P_BETA_LOCIDX(45506,45331,,"SPX")&lt;/Q&gt;&lt;R&gt;1&lt;/R&gt;&lt;C&gt;1&lt;/C&gt;&lt;D xsi:type="xsd:double"&gt;0.70125306&lt;/D&gt;&lt;/FQL&gt;&lt;FQL&gt;&lt;Q&gt;MAS-US^P_BETA_LOCIDX(45505,45330,,"SPX")&lt;/Q&gt;&lt;R&gt;1&lt;/R&gt;&lt;C&gt;1&lt;/C&gt;&lt;D xsi:type="xsd:double"&gt;0.6901639&lt;/D&gt;&lt;/FQL&gt;&lt;FQL&gt;&lt;Q&gt;MAS-US^P_BETA_LOCIDX(45504,45329,,"SPX")&lt;/Q&gt;&lt;R&gt;1&lt;/R&gt;&lt;C&gt;1&lt;/C&gt;&lt;D xsi:type="xsd:double"&gt;0.6835092&lt;/D&gt;&lt;/FQL&gt;&lt;FQL&gt;&lt;Q&gt;MAS-US^P_BETA_LOCIDX(45503,45328,,"SPX")&lt;/Q&gt;&lt;R&gt;1&lt;/R&gt;&lt;C&gt;1&lt;/C&gt;&lt;D xsi:type="xsd:double"&gt;0.7297891&lt;/D&gt;&lt;/FQL&gt;&lt;FQL&gt;&lt;Q&gt;MAS-US^P_BETA_LOCIDX(45502,45327,,"SPX")&lt;/Q&gt;&lt;R&gt;1&lt;/R&gt;&lt;C&gt;1&lt;/C&gt;&lt;D xsi:type="xsd:double"&gt;0.74622977&lt;/D&gt;&lt;/FQL&gt;&lt;FQL&gt;&lt;Q&gt;MAS-US^P_BETA_LOCIDX(45499,45324,,"SPX")&lt;/Q&gt;&lt;R&gt;1&lt;/R&gt;&lt;C&gt;1&lt;/C&gt;&lt;D xsi:type="xsd:double"&gt;0.721761&lt;/D&gt;&lt;/FQL&gt;&lt;FQL&gt;&lt;Q&gt;MAS-US^P_BETA_LOCIDX(45498,45323,,"SPX")&lt;/Q&gt;&lt;R&gt;1&lt;/R&gt;&lt;C&gt;1&lt;/C&gt;&lt;D xsi:type="xsd:double"&gt;0.7342549&lt;/D&gt;&lt;/FQL&gt;&lt;FQL&gt;&lt;Q&gt;MAS-US^P_BETA_LOCIDX(45497,45322,,"SPX")&lt;/Q&gt;&lt;R&gt;1&lt;/R&gt;&lt;C&gt;1&lt;/C&gt;&lt;D xsi:type="xsd:double"&gt;0.82564616&lt;/D&gt;&lt;/FQL&gt;&lt;FQL&gt;&lt;Q&gt;MAS-US^P_BETA_LOCIDX(45496,45321,,"SPX")&lt;/Q&gt;&lt;R&gt;1&lt;/R&gt;&lt;C&gt;1&lt;/C&gt;&lt;D xsi:type="xsd:double"&gt;0.86623615&lt;/D&gt;&lt;/FQL&gt;&lt;FQL&gt;&lt;Q&gt;MAS-US^P_BETA_LOCIDX(45495,45320,,"SPX")&lt;/Q&gt;&lt;R&gt;1&lt;/R&gt;&lt;C&gt;1&lt;/C&gt;&lt;D xsi:type="xsd:double"&gt;0.8693024&lt;/D&gt;&lt;/FQL&gt;&lt;FQL&gt;&lt;Q&gt;MAS-US^P_BETA_LOCIDX(45492,45317,,"SPX")&lt;/Q&gt;&lt;R&gt;1&lt;/R&gt;&lt;C&gt;1&lt;/C&gt;&lt;D xsi:type="xsd:double"&gt;0.88214564&lt;/D&gt;&lt;/FQL&gt;&lt;FQL&gt;&lt;Q&gt;MAS-US^P_BETA_LOCIDX(45491,45316,,"SPX")&lt;/Q&gt;&lt;R&gt;1&lt;/R&gt;&lt;C&gt;1&lt;/C&gt;&lt;D xsi:type="xsd:double"&gt;0.89338976&lt;/D&gt;&lt;/FQL&gt;&lt;FQL&gt;&lt;Q&gt;MAS-US^P_BETA_LOCIDX(45490,45315,,"SPX")&lt;/Q&gt;&lt;R&gt;1&lt;/R&gt;&lt;C&gt;1&lt;/C&gt;&lt;D xsi:type="xsd:double"&gt;0.9119697&lt;/D&gt;&lt;/FQL&gt;&lt;FQL&gt;&lt;Q&gt;MAS-US^P_BETA_LOCIDX(45489,45314,,"SPX")&lt;/Q&gt;&lt;R&gt;1&lt;/R&gt;&lt;C&gt;1&lt;/C&gt;&lt;D xsi:type="xsd:double"&gt;0.89613897&lt;/D&gt;&lt;/FQL&gt;&lt;FQL&gt;&lt;Q&gt;MAS-US^P_BETA_LOCIDX(45488,45313,,"SPX")&lt;/Q&gt;&lt;R&gt;1&lt;/R&gt;&lt;C&gt;1&lt;/C&gt;&lt;D xsi:type="xsd:double"&gt;0.8523058&lt;/D&gt;&lt;/FQL&gt;&lt;FQL&gt;&lt;Q&gt;MAS-US^P_BETA_LOCIDX(45485,45310,,"SPX")&lt;/Q&gt;&lt;R&gt;1&lt;/R&gt;&lt;C&gt;1&lt;/C&gt;&lt;D xsi:type="xsd:double"&gt;0.82917345&lt;/D&gt;&lt;/FQL&gt;&lt;FQL&gt;&lt;Q&gt;MAS-US^P_BETA_LOCIDX(45484,45309,,"SPX")&lt;/Q&gt;&lt;R&gt;1&lt;/R&gt;&lt;C&gt;1&lt;/C&gt;&lt;D xsi:type="xsd:double"&gt;0.8247599&lt;/D&gt;&lt;/FQL&gt;&lt;FQL&gt;&lt;Q&gt;MAS-US^P_BETA_LOCIDX(45483,45308,,"SPX")&lt;/Q&gt;&lt;R&gt;1&lt;/R&gt;&lt;C&gt;1&lt;/C&gt;&lt;D xsi:type="xsd:double"&gt;0.9239015&lt;/D&gt;&lt;/FQL&gt;&lt;FQL&gt;&lt;Q&gt;MAS-US^P_BETA_LOCIDX(45482,45307,,"SPX")&lt;/Q&gt;&lt;R&gt;1&lt;/R&gt;&lt;C&gt;1&lt;/C&gt;&lt;D xsi:type="xsd:double"&gt;0.916834&lt;/D&gt;&lt;/FQL&gt;&lt;FQL&gt;&lt;Q&gt;MAS-US^P_BETA_LOCIDX(45481,45303,,"SPX")&lt;/Q&gt;&lt;R&gt;1&lt;/R&gt;&lt;C&gt;1&lt;/C&gt;&lt;D xsi:type="xsd:double"&gt;0.9178211&lt;/D&gt;&lt;/FQL&gt;&lt;FQL&gt;&lt;Q&gt;MAS-US^P_BETA_LOCIDX(45478,45302,,"SPX")&lt;/Q&gt;&lt;R&gt;1&lt;/R&gt;&lt;C&gt;1&lt;/C&gt;&lt;D xsi:type="xsd:double"&gt;0.9182626&lt;/D&gt;&lt;/FQL&gt;&lt;FQL&gt;&lt;Q&gt;MAS-US^P_BETA_LOCIDX(45476,45301,,"SPX")&lt;/Q&gt;&lt;R&gt;1&lt;/R&gt;&lt;C&gt;1&lt;/C&gt;&lt;D xsi:type="xsd:double"&gt;0.93070275&lt;/D&gt;&lt;/FQL&gt;&lt;FQL&gt;&lt;Q&gt;MAS-US^P_BETA_LOCIDX(45475,45300,,"SPX")&lt;/Q&gt;&lt;R&gt;1&lt;/R&gt;&lt;C&gt;1&lt;/C&gt;&lt;D xsi:type="xsd:double"&gt;0.928267&lt;/D&gt;&lt;/FQL&gt;&lt;FQL&gt;&lt;Q&gt;MAS-US^P_BETA_LOCIDX(45474,45299,,"SPX")&lt;/Q&gt;&lt;R&gt;1&lt;/R&gt;&lt;C&gt;1&lt;/C&gt;&lt;D xsi:type="xsd:double"&gt;0.9683179&lt;/D&gt;&lt;/FQL&gt;&lt;FQL&gt;&lt;Q&gt;MAS-US^P_BETA_LOCIDX(45471,45296,,"SPX")&lt;/Q&gt;&lt;R&gt;1&lt;/R&gt;&lt;C&gt;1&lt;/C&gt;&lt;D xsi:type="xsd:double"&gt;0.97737217&lt;/D&gt;&lt;/FQL&gt;&lt;FQL&gt;&lt;Q&gt;MAS-US^P_BETA_LOCIDX(45470,45295,,"SPX")&lt;/Q&gt;&lt;R&gt;1&lt;/R&gt;&lt;C&gt;1&lt;/C&gt;&lt;D xsi:type="xsd:double"&gt;0.9830589&lt;/D&gt;&lt;/FQL&gt;&lt;FQL&gt;&lt;Q&gt;MAS-US^P_BETA_LOCIDX(45469,45294,,"SPX")&lt;/Q&gt;&lt;R&gt;1&lt;/R&gt;&lt;C&gt;1&lt;/C&gt;&lt;D xsi:type="xsd:double"&gt;1.026152&lt;/D&gt;&lt;/FQL&gt;&lt;FQL&gt;&lt;Q&gt;MAS-US^P_BETA_LOCIDX(45468,45293,,"SPX")&lt;/Q&gt;&lt;R&gt;1&lt;/R&gt;&lt;C&gt;1&lt;/C&gt;&lt;D xsi:type="xsd:double"&gt;1.0241818&lt;/D&gt;&lt;/FQL&gt;&lt;FQL&gt;&lt;Q&gt;MAS-US^P_BETA_LOCIDX(45467,45289,,"SPX")&lt;/Q&gt;&lt;R&gt;1&lt;/R&gt;&lt;C&gt;1&lt;/C&gt;&lt;D xsi:type="xsd:double"&gt;1.0441135&lt;/D&gt;&lt;/FQL&gt;&lt;FQL&gt;&lt;Q&gt;MAS-US^P_BETA_LOCIDX(45464,45288,,"SPX")&lt;/Q&gt;&lt;R&gt;1&lt;/R&gt;&lt;C&gt;1&lt;/C&gt;&lt;D xsi:type="xsd:double"&gt;1.0501465&lt;/D&gt;&lt;/FQL&gt;&lt;FQL&gt;&lt;Q&gt;MAS-US^P_BETA_LOCIDX(45463,45287,,"SPX")&lt;/Q&gt;&lt;R&gt;1&lt;/R&gt;&lt;C&gt;1&lt;/C&gt;&lt;D xsi:type="xsd:double"&gt;1.0485623&lt;/D&gt;&lt;/FQL&gt;&lt;FQL&gt;&lt;Q&gt;MAS-US^P_BETA_LOCIDX(45461,45286,,"SPX")&lt;/Q&gt;&lt;R&gt;1&lt;/R&gt;&lt;C&gt;1&lt;/C&gt;&lt;D xsi:type="xsd:double"&gt;1.0383939&lt;/D&gt;&lt;/FQL&gt;&lt;FQL&gt;&lt;Q&gt;MAS-US^P_BETA_LOCIDX(45460,45282,,"SPX")&lt;/Q&gt;&lt;R&gt;1&lt;/R&gt;&lt;C&gt;1&lt;/C&gt;&lt;D xsi:type="xsd:double"&gt;1.0389842&lt;/D&gt;&lt;/FQL&gt;&lt;FQL&gt;&lt;Q&gt;MAS-US^P_BETA_LOCIDX(45457,45281,,"SPX")&lt;/Q&gt;&lt;R&gt;1&lt;/R&gt;&lt;C&gt;1&lt;/C&gt;&lt;D xsi:type="xsd:double"&gt;1.0331049&lt;/D&gt;&lt;/FQL&gt;&lt;FQL&gt;&lt;Q&gt;MAS-US^P_BETA_LOCIDX(45456,45280,,"SPX")&lt;/Q&gt;&lt;R&gt;1&lt;/R&gt;&lt;C&gt;1&lt;/C&gt;&lt;D xsi:type="xsd:double"&gt;1.0272979&lt;/D&gt;&lt;/FQL&gt;&lt;FQL&gt;&lt;Q&gt;MAS-US^P_BETA_LOCIDX(45455,45279,,"SPX")&lt;/Q&gt;&lt;R&gt;1&lt;/R&gt;&lt;C&gt;1&lt;/C&gt;&lt;D xsi:type="xsd:double"&gt;1.0207642&lt;/D&gt;&lt;/FQL&gt;&lt;FQL&gt;&lt;Q&gt;MAS-US^P_BETA_LOCIDX(45454,45278,,"SPX")&lt;/Q&gt;&lt;R&gt;1&lt;/R&gt;&lt;C&gt;1&lt;/C&gt;&lt;D xsi:type="xsd:double"&gt;0.9888477&lt;/D&gt;&lt;/FQL&gt;&lt;FQL&gt;&lt;Q&gt;MAS-US^P_BETA_LOCIDX(45453,45275,,"SPX")&lt;/Q&gt;&lt;R&gt;1&lt;/R&gt;&lt;C&gt;1&lt;/C&gt;&lt;D xsi:type="xsd:double"&gt;0.9907204&lt;/D&gt;&lt;/FQL&gt;&lt;FQL&gt;&lt;Q&gt;MAS-US^P_BETA_LOCIDX(45450,45274,,"SPX")&lt;/Q&gt;&lt;R&gt;1&lt;/R&gt;&lt;C&gt;1&lt;/C&gt;&lt;D xsi:type="xsd:double"&gt;0.99858224&lt;/D&gt;&lt;/FQL&gt;&lt;FQL&gt;&lt;Q&gt;MAS-US^P_BETA_LOCIDX(45449,45273,,"SPX")&lt;/Q&gt;&lt;R&gt;1&lt;/R&gt;&lt;C&gt;1&lt;/C&gt;&lt;D xsi:type="xsd:double"&gt;1.0306138&lt;/D&gt;&lt;/FQL&gt;&lt;FQL&gt;&lt;Q&gt;MAS-US^P_BETA_LOCIDX(45448,45272,,"SPX")&lt;/Q&gt;&lt;R&gt;1&lt;/R&gt;&lt;C&gt;1&lt;/C&gt;&lt;D xsi:type="xsd:double"&gt;1.0295129&lt;/D&gt;&lt;/FQL&gt;&lt;FQL&gt;&lt;Q&gt;MAS-US^P_BETA_LOCIDX(45447,45271,,"SPX")&lt;/Q&gt;&lt;R&gt;1&lt;/R&gt;&lt;C&gt;1&lt;/C&gt;&lt;D xsi:type="xsd:double"&gt;1.0346481&lt;/D&gt;&lt;/FQL&gt;&lt;FQL&gt;&lt;Q&gt;MAS-US^P_BETA_LOCIDX(45446,45268,,"SPX")&lt;/Q&gt;&lt;R&gt;1&lt;/R&gt;&lt;C&gt;1&lt;/C&gt;&lt;D xsi:type="xsd:double"&gt;1.0387998&lt;/D&gt;&lt;/FQL&gt;&lt;FQL&gt;&lt;Q&gt;MAS-US^P_BETA_LOCIDX(45443,45267,,"SPX")&lt;/Q&gt;&lt;R&gt;1&lt;/R&gt;&lt;C&gt;1&lt;/C&gt;&lt;D xsi:type="xsd:double"&gt;1.0288284&lt;/D&gt;&lt;/FQL&gt;&lt;FQL&gt;&lt;Q&gt;MAS-US^P_BETA_LOCIDX(45442,45266,,"SPX")&lt;/Q&gt;&lt;R&gt;1&lt;/R&gt;&lt;C&gt;1&lt;/C&gt;&lt;D xsi:type="xsd:double"&gt;0.99222755&lt;/D&gt;&lt;/FQL&gt;&lt;FQL&gt;&lt;Q&gt;MAS-US^P_BETA_LOCIDX(45441,45265,,"SPX")&lt;/Q&gt;&lt;R&gt;1&lt;/R&gt;&lt;C&gt;1&lt;/C&gt;&lt;D xsi:type="xsd:double"&gt;1.019415&lt;/D&gt;&lt;/FQL&gt;&lt;FQL&gt;&lt;Q&gt;MAS-US^P_BETA_LOCIDX(45440,45264,,"SPX")&lt;/Q&gt;&lt;R&gt;1&lt;/R&gt;&lt;C&gt;1&lt;/C&gt;&lt;D xsi:type="xsd:double"&gt;1.0159845&lt;/D&gt;&lt;/FQL&gt;&lt;FQL&gt;&lt;Q&gt;MA</t>
        </r>
      </text>
    </comment>
    <comment ref="A17" authorId="0" shapeId="0" xr:uid="{B8879389-87BB-4B82-9673-51D1D7ACBA3E}">
      <text>
        <r>
          <rPr>
            <b/>
            <sz val="9"/>
            <color indexed="81"/>
            <rFont val="Tahoma"/>
            <charset val="1"/>
          </rPr>
          <t>S-US^P_BETA_LOCIDX(45436,45261,,"SPX")&lt;/Q&gt;&lt;R&gt;1&lt;/R&gt;&lt;C&gt;1&lt;/C&gt;&lt;D xsi:type="xsd:double"&gt;1.0285729&lt;/D&gt;&lt;/FQL&gt;&lt;FQL&gt;&lt;Q&gt;MAS-US^P_BETA_LOCIDX(45435,45260,,"SPX")&lt;/Q&gt;&lt;R&gt;1&lt;/R&gt;&lt;C&gt;1&lt;/C&gt;&lt;D xsi:type="xsd:double"&gt;1.0300624&lt;/D&gt;&lt;/FQL&gt;&lt;FQL&gt;&lt;Q&gt;MAS-US^P_BETA_LOCIDX(45434,45259,,"SPX")&lt;/Q&gt;&lt;R&gt;1&lt;/R&gt;&lt;C&gt;1&lt;/C&gt;&lt;D xsi:type="xsd:double"&gt;1.0244075&lt;/D&gt;&lt;/FQL&gt;&lt;FQL&gt;&lt;Q&gt;MAS-US^P_BETA_LOCIDX(45433,45258,,"SPX")&lt;/Q&gt;&lt;R&gt;1&lt;/R&gt;&lt;C&gt;1&lt;/C&gt;&lt;D xsi:type="xsd:double"&gt;1.02015&lt;/D&gt;&lt;/FQL&gt;&lt;FQL&gt;&lt;Q&gt;MAS-US^P_BETA_LOCIDX(45432,45257,,"SPX")&lt;/Q&gt;&lt;R&gt;1&lt;/R&gt;&lt;C&gt;1&lt;/C&gt;&lt;D xsi:type="xsd:double"&gt;1.0128715&lt;/D&gt;&lt;/FQL&gt;&lt;FQL&gt;&lt;Q&gt;MAS-US^P_BETA_LOCIDX(45429,45254,,"SPX")&lt;/Q&gt;&lt;R&gt;1&lt;/R&gt;&lt;C&gt;1&lt;/C&gt;&lt;D xsi:type="xsd:double"&gt;1.0125067&lt;/D&gt;&lt;/FQL&gt;&lt;FQL&gt;&lt;Q&gt;MAS-US^P_BETA_LOCIDX(45428,45252,,"SPX")&lt;/Q&gt;&lt;R&gt;1&lt;/R&gt;&lt;C&gt;1&lt;/C&gt;&lt;D xsi:type="xsd:double"&gt;1.0122929&lt;/D&gt;&lt;/FQL&gt;&lt;FQL&gt;&lt;Q&gt;MAS-US^P_BETA_LOCIDX(45427,45251,,"SPX")&lt;/Q&gt;&lt;R&gt;1&lt;/R&gt;&lt;C&gt;1&lt;/C&gt;&lt;D xsi:type="xsd:double"&gt;1.0080452&lt;/D&gt;&lt;/FQL&gt;&lt;FQL&gt;&lt;Q&gt;MAS-US^P_BETA_LOCIDX(45426,45250,,"SPX")&lt;/Q&gt;&lt;R&gt;1&lt;/R&gt;&lt;C&gt;1&lt;/C&gt;&lt;D xsi:type="xsd:double"&gt;0.9945946&lt;/D&gt;&lt;/FQL&gt;&lt;FQL&gt;&lt;Q&gt;MAS-US^P_BETA_LOCIDX(45425,45247,,"SPX")&lt;/Q&gt;&lt;R&gt;1&lt;/R&gt;&lt;C&gt;1&lt;/C&gt;&lt;D xsi:type="xsd:double"&gt;0.9951002&lt;/D&gt;&lt;/FQL&gt;&lt;FQL&gt;&lt;Q&gt;MAS-US^P_BETA_LOCIDX(45422,45246,,"SPX")&lt;/Q&gt;&lt;R&gt;1&lt;/R&gt;&lt;C&gt;1&lt;/C&gt;&lt;D xsi:type="xsd:double"&gt;0.98954344&lt;/D&gt;&lt;/FQL&gt;&lt;FQL&gt;&lt;Q&gt;MAS-US^P_BETA_LOCIDX(45421,45245,,"SPX")&lt;/Q&gt;&lt;R&gt;1&lt;/R&gt;&lt;C&gt;1&lt;/C&gt;&lt;D xsi:type="xsd:double"&gt;0.98945767&lt;/D&gt;&lt;/FQL&gt;&lt;FQL&gt;&lt;Q&gt;MAS-US^P_BETA_LOCIDX(45420,45244,,"SPX")&lt;/Q&gt;&lt;R&gt;1&lt;/R&gt;&lt;C&gt;1&lt;/C&gt;&lt;D xsi:type="xsd:double"&gt;1.1083736&lt;/D&gt;&lt;/FQL&gt;&lt;FQL&gt;&lt;Q&gt;MAS-US^P_BETA_LOCIDX(45419,45243,,"SPX")&lt;/Q&gt;&lt;R&gt;1&lt;/R&gt;&lt;C&gt;1&lt;/C&gt;&lt;D xsi:type="xsd:double"&gt;1.1116787&lt;/D&gt;&lt;/FQL&gt;&lt;FQL&gt;&lt;Q&gt;MAS-US^P_BETA_LOCIDX(45418,45240,,"SPX")&lt;/Q&gt;&lt;R&gt;1&lt;/R&gt;&lt;C&gt;1&lt;/C&gt;&lt;D xsi:type="xsd:double"&gt;1.0989275&lt;/D&gt;&lt;/FQL&gt;&lt;FQL&gt;&lt;Q&gt;MAS-US^P_BETA_LOCIDX(45415,45239,,"SPX")&lt;/Q&gt;&lt;R&gt;1&lt;/R&gt;&lt;C&gt;1&lt;/C&gt;&lt;D xsi:type="xsd:double"&gt;1.1142923&lt;/D&gt;&lt;/FQL&gt;&lt;FQL&gt;&lt;Q&gt;MAS-US^P_BETA_LOCIDX(45414,45238,,"SPX")&lt;/Q&gt;&lt;R&gt;1&lt;/R&gt;&lt;C&gt;1&lt;/C&gt;&lt;D xsi:type="xsd:double"&gt;1.1246598&lt;/D&gt;&lt;/FQL&gt;&lt;FQL&gt;&lt;Q&gt;MAS-US^P_BETA_LOCIDX(45413,45237,,"SPX")&lt;/Q&gt;&lt;R&gt;1&lt;/R&gt;&lt;C&gt;1&lt;/C&gt;&lt;D xsi:type="xsd:double"&gt;1.1330504&lt;/D&gt;&lt;/FQL&gt;&lt;FQL&gt;&lt;Q&gt;MAS-US^P_BETA_LOCIDX(45412,45236,,"SPX")&lt;/Q&gt;&lt;R&gt;1&lt;/R&gt;&lt;C&gt;1&lt;/C&gt;&lt;D xsi:type="xsd:double"&gt;1.1360774&lt;/D&gt;&lt;/FQL&gt;&lt;FQL&gt;&lt;Q&gt;MAS-US^P_BETA_LOCIDX(45411,45233,,"SPX")&lt;/Q&gt;&lt;R&gt;1&lt;/R&gt;&lt;C&gt;1&lt;/C&gt;&lt;D xsi:type="xsd:double"&gt;1.1347002&lt;/D&gt;&lt;/FQL&gt;&lt;FQL&gt;&lt;Q&gt;MAS-US^P_BETA_LOCIDX(45408,45232,,"SPX")&lt;/Q&gt;&lt;R&gt;1&lt;/R&gt;&lt;C&gt;1&lt;/C&gt;&lt;D xsi:type="xsd:double"&gt;1.1348194&lt;/D&gt;&lt;/FQL&gt;&lt;FQL&gt;&lt;Q&gt;MAS-US^P_BETA_LOCIDX(45407,45231,,"SPX")&lt;/Q&gt;&lt;R&gt;1&lt;/R&gt;&lt;C&gt;1&lt;/C&gt;&lt;D xsi:type="xsd:double"&gt;1.1517127&lt;/D&gt;&lt;/FQL&gt;&lt;FQL&gt;&lt;Q&gt;MAS-US^P_BETA_LOCIDX(45406,45230,,"SPX")&lt;/Q&gt;&lt;R&gt;1&lt;/R&gt;&lt;C&gt;1&lt;/C&gt;&lt;D xsi:type="xsd:double"&gt;1.1557395&lt;/D&gt;&lt;/FQL&gt;&lt;FQL&gt;&lt;Q&gt;MAS-US^P_BETA_LOCIDX(45405,45229,,"SPX")&lt;/Q&gt;&lt;R&gt;1&lt;/R&gt;&lt;C&gt;1&lt;/C&gt;&lt;D xsi:type="xsd:double"&gt;1.1458806&lt;/D&gt;&lt;/FQL&gt;&lt;FQL&gt;&lt;Q&gt;MAS-US^P_BETA_LOCIDX(45404,45226,,"SPX")&lt;/Q&gt;&lt;R&gt;1&lt;/R&gt;&lt;C&gt;1&lt;/C&gt;&lt;D xsi:type="xsd:double"&gt;1.1529914&lt;/D&gt;&lt;/FQL&gt;&lt;FQL&gt;&lt;Q&gt;MAS-US^P_BETA_LOCIDX(45401,45225,,"SPX")&lt;/Q&gt;&lt;R&gt;1&lt;/R&gt;&lt;C&gt;1&lt;/C&gt;&lt;D xsi:type="xsd:double"&gt;0.9957153&lt;/D&gt;&lt;/FQL&gt;&lt;FQL&gt;&lt;Q&gt;MAS-US^P_BETA_LOCIDX(45400,45224,,"SPX")&lt;/Q&gt;&lt;R&gt;1&lt;/R&gt;&lt;C&gt;1&lt;/C&gt;&lt;D xsi:type="xsd:double"&gt;1.0099932&lt;/D&gt;&lt;/FQL&gt;&lt;FQL&gt;&lt;Q&gt;MAS-US^P_BETA_LOCIDX(45399,45223,,"SPX")&lt;/Q&gt;&lt;R&gt;1&lt;/R&gt;&lt;C&gt;1&lt;/C&gt;&lt;D xsi:type="xsd:double"&gt;0.9889717&lt;/D&gt;&lt;/FQL&gt;&lt;FQL&gt;&lt;Q&gt;MAS-US^P_BETA_LOCIDX(45398,45222,,"SPX")&lt;/Q&gt;&lt;R&gt;1&lt;/R&gt;&lt;C&gt;1&lt;/C&gt;&lt;D xsi:type="xsd:double"&gt;0.99140495&lt;/D&gt;&lt;/FQL&gt;&lt;FQL&gt;&lt;Q&gt;MAS-US^P_BETA_LOCIDX(45397,45219,,"SPX")&lt;/Q&gt;&lt;R&gt;1&lt;/R&gt;&lt;C&gt;1&lt;/C&gt;&lt;D xsi:type="xsd:double"&gt;0.97512746&lt;/D&gt;&lt;/FQL&gt;&lt;FQL&gt;&lt;Q&gt;MAS-US^P_BETA_LOCIDX(45394,45218,,"SPX")&lt;/Q&gt;&lt;R&gt;1&lt;/R&gt;&lt;C&gt;1&lt;/C&gt;&lt;D xsi:type="xsd:double"&gt;0.99228925&lt;/D&gt;&lt;/FQL&gt;&lt;FQL&gt;&lt;Q&gt;MAS-US^P_BETA_LOCIDX(45393,45217,,"SPX")&lt;/Q&gt;&lt;R&gt;1&lt;/R&gt;&lt;C&gt;1&lt;/C&gt;&lt;D xsi:type="xsd:double"&gt;1.0773755&lt;/D&gt;&lt;/FQL&gt;&lt;FQL&gt;&lt;Q&gt;MAS-US^P_BETA_LOCIDX(45392,45216,,"SPX")&lt;/Q&gt;&lt;R&gt;1&lt;/R&gt;&lt;C&gt;1&lt;/C&gt;&lt;D xsi:type="xsd:double"&gt;1.0929806&lt;/D&gt;&lt;/FQL&gt;&lt;FQL&gt;&lt;Q&gt;MAS-US^P_BETA_LOCIDX(45391,45215,,"SPX")&lt;/Q&gt;&lt;R&gt;1&lt;/R&gt;&lt;C&gt;1&lt;/C&gt;&lt;D xsi:type="xsd:double"&gt;1.0667892&lt;/D&gt;&lt;/FQL&gt;&lt;FQL&gt;&lt;Q&gt;MAS-US^P_BETA_LOCIDX(45390,45212,,"SPX")&lt;/Q&gt;&lt;R&gt;1&lt;/R&gt;&lt;C&gt;1&lt;/C&gt;&lt;D xsi:type="xsd:double"&gt;1.0730166&lt;/D&gt;&lt;/FQL&gt;&lt;FQL&gt;&lt;Q&gt;MAS-US^P_BETA_LOCIDX(45387,45211,,"SPX")&lt;/Q&gt;&lt;R&gt;1&lt;/R&gt;&lt;C&gt;1&lt;/C&gt;&lt;D xsi:type="xsd:double"&gt;1.1125203&lt;/D&gt;&lt;/FQL&gt;&lt;FQL&gt;&lt;Q&gt;MAS-US^P_BETA_LOCIDX(45386,45210,,"SPX")&lt;/Q&gt;&lt;R&gt;1&lt;/R&gt;&lt;C&gt;1&lt;/C&gt;&lt;D xsi:type="xsd:double"&gt;1.1331031&lt;/D&gt;&lt;/FQL&gt;&lt;FQL&gt;&lt;Q&gt;MAS-US^P_BETA_LOCIDX(45385,45209,,"SPX")&lt;/Q&gt;&lt;R&gt;1&lt;/R&gt;&lt;C&gt;1&lt;/C&gt;&lt;D xsi:type="xsd:double"&gt;1.1229862&lt;/D&gt;&lt;/FQL&gt;&lt;FQL&gt;&lt;Q&gt;MAS-US^P_BETA_LOCIDX(45384,45208,,"SPX")&lt;/Q&gt;&lt;R&gt;1&lt;/R&gt;&lt;C&gt;1&lt;/C&gt;&lt;D xsi:type="xsd:double"&gt;1.116951&lt;/D&gt;&lt;/FQL&gt;&lt;FQL&gt;&lt;Q&gt;MAS-US^P_BETA_LOCIDX(45383,45205,,"SPX")&lt;/Q&gt;&lt;R&gt;1&lt;/R&gt;&lt;C&gt;1&lt;/C&gt;&lt;D xsi:type="xsd:double"&gt;1.0922408&lt;/D&gt;&lt;/FQL&gt;&lt;FQL&gt;&lt;Q&gt;MAS-US^P_BETA_LOCIDX(45379,45204,,"SPX")&lt;/Q&gt;&lt;R&gt;1&lt;/R&gt;&lt;C&gt;1&lt;/C&gt;&lt;D xsi:type="xsd:double"&gt;1.0842026&lt;/D&gt;&lt;/FQL&gt;&lt;FQL&gt;&lt;Q&gt;MAS-US^P_BETA_LOCIDX(45378,45203,,"SPX")&lt;/Q&gt;&lt;R&gt;1&lt;/R&gt;&lt;C&gt;1&lt;/C&gt;&lt;D xsi:type="xsd:double"&gt;1.0873362&lt;/D&gt;&lt;/FQL&gt;&lt;FQL&gt;&lt;Q&gt;MAS-US^P_BETA_LOCIDX(45377,45202,,"SPX")&lt;/Q&gt;&lt;R&gt;1&lt;/R&gt;&lt;C&gt;1&lt;/C&gt;&lt;D xsi:type="xsd:double"&gt;1.091624&lt;/D&gt;&lt;/FQL&gt;&lt;FQL&gt;&lt;Q&gt;MAS-US^P_BETA_LOCIDX(45376,45201,,"SPX")&lt;/Q&gt;&lt;R&gt;1&lt;/R&gt;&lt;C&gt;1&lt;/C&gt;&lt;D xsi:type="xsd:double"&gt;1.1023759&lt;/D&gt;&lt;/FQL&gt;&lt;FQL&gt;&lt;Q&gt;MAS-US^P_BETA_LOCIDX(45373,45198,,"SPX")&lt;/Q&gt;&lt;R&gt;1&lt;/R&gt;&lt;C&gt;1&lt;/C&gt;&lt;D xsi:type="xsd:double"&gt;1.103266&lt;/D&gt;&lt;/FQL&gt;&lt;FQL&gt;&lt;Q&gt;MAS-US^P_BETA_LOCIDX(45372,45197,,"SPX")&lt;/Q&gt;&lt;R&gt;1&lt;/R&gt;&lt;C&gt;1&lt;/C&gt;&lt;D xsi:type="xsd:double"&gt;1.1052822&lt;/D&gt;&lt;/FQL&gt;&lt;FQL&gt;&lt;Q&gt;MAS-US^P_BETA_LOCIDX(45371,45196,,"SPX")&lt;/Q&gt;&lt;R&gt;1&lt;/R&gt;&lt;C&gt;1&lt;/C&gt;&lt;D xsi:type="xsd:double"&gt;1.0982035&lt;/D&gt;&lt;/FQL&gt;&lt;FQL&gt;&lt;Q&gt;MAS-US^P_BETA_LOCIDX(45370,45195,,"SPX")&lt;/Q&gt;&lt;R&gt;1&lt;/R&gt;&lt;C&gt;1&lt;/C&gt;&lt;D xsi:type="xsd:double"&gt;1.0912963&lt;/D&gt;&lt;/FQL&gt;&lt;FQL&gt;&lt;Q&gt;MAS-US^P_BETA_LOCIDX(45369,45194,,"SPX")&lt;/Q&gt;&lt;R&gt;1&lt;/R&gt;&lt;C&gt;1&lt;/C&gt;&lt;D xsi:type="xsd:double"&gt;1.0825971&lt;/D&gt;&lt;/FQL&gt;&lt;FQL&gt;&lt;Q&gt;MAS-US^P_BETA_LOCIDX(45366,45191,,"SPX")&lt;/Q&gt;&lt;R&gt;1&lt;/R&gt;&lt;C&gt;1&lt;/C&gt;&lt;D xsi:type="xsd:double"&gt;1.095956&lt;/D&gt;&lt;/FQL&gt;&lt;FQL&gt;&lt;Q&gt;MAS-US^P_BETA_LOCIDX(45365,45190,,"SPX")&lt;/Q&gt;&lt;R&gt;1&lt;/R&gt;&lt;C&gt;1&lt;/C&gt;&lt;D xsi:type="xsd:double"&gt;1.1095283&lt;/D&gt;&lt;/FQL&gt;&lt;FQL&gt;&lt;Q&gt;MAS-US^P_BETA_LOCIDX(45364,45189,,"SPX")&lt;/Q&gt;&lt;R&gt;1&lt;/R&gt;&lt;C&gt;1&lt;/C&gt;&lt;D xsi:type="xsd:double"&gt;1.1118681&lt;/D&gt;&lt;/FQL&gt;&lt;FQL&gt;&lt;Q&gt;MAS-US^P_BETA_LOCIDX(45363,45188,,"SPX")&lt;/Q&gt;&lt;R&gt;1&lt;/R&gt;&lt;C&gt;1&lt;/C&gt;&lt;D xsi:type="xsd:double"&gt;1.1049365&lt;/D&gt;&lt;/FQL&gt;&lt;FQL&gt;&lt;Q&gt;MAS-US^P_BETA_LOCIDX(45362,45187,,"SPX")&lt;/Q&gt;&lt;R&gt;1&lt;/R&gt;&lt;C&gt;1&lt;/C&gt;&lt;D xsi:type="xsd:double"&gt;1.1169183&lt;/D&gt;&lt;/FQL&gt;&lt;FQL&gt;&lt;Q&gt;MAS-US^P_BETA_LOCIDX(45359,45184,,"SPX")&lt;/Q&gt;&lt;R&gt;1&lt;/R&gt;&lt;C&gt;1&lt;/C&gt;&lt;D xsi:type="xsd:double"&gt;1.1277372&lt;/D&gt;&lt;/FQL&gt;&lt;FQL&gt;&lt;Q&gt;MAS-US^P_BETA_LOCIDX(45358,45183,,"SPX")&lt;/Q&gt;&lt;R&gt;1&lt;/R&gt;&lt;C&gt;1&lt;/C&gt;&lt;D xsi:type="xsd:double"&gt;1.1264929&lt;/D&gt;&lt;/FQL&gt;&lt;FQL&gt;&lt;Q&gt;MAS-US^P_BETA_LOCIDX(45357,45182,,"SPX")&lt;/Q&gt;&lt;R&gt;1&lt;/R&gt;&lt;C&gt;1&lt;/C&gt;&lt;D xsi:type="xsd:double"&gt;1.1312084&lt;/D&gt;&lt;/FQL&gt;&lt;FQL&gt;&lt;Q&gt;MAS-US^P_BETA_LOCIDX(45356,45181,,"SPX")&lt;/Q&gt;&lt;R&gt;1&lt;/R&gt;&lt;C&gt;1&lt;/C&gt;&lt;D xsi:type="xsd:double"&gt;1.1456517&lt;/D&gt;&lt;/FQL&gt;&lt;FQL&gt;&lt;Q&gt;MAS-US^P_BETA_LOCIDX(45355,45180,,"SPX")&lt;/Q&gt;&lt;R&gt;1&lt;/R&gt;&lt;C&gt;1&lt;/C&gt;&lt;D xsi:type="xsd:double"&gt;1.1339393&lt;/D&gt;&lt;/FQL&gt;&lt;FQL&gt;&lt;Q&gt;MAS-US^P_BETA_LOCIDX(45352,45177,,"SPX")&lt;/Q&gt;&lt;R&gt;1&lt;/R&gt;&lt;C&gt;1&lt;/C&gt;&lt;D xsi:type="xsd:double"&gt;1.1347936&lt;/D&gt;&lt;/FQL&gt;&lt;FQL&gt;&lt;Q&gt;MAS-US^P_BETA_LOCIDX(45351,45176,,"SPX")&lt;/Q&gt;&lt;R&gt;1&lt;/R&gt;&lt;C&gt;1&lt;/C&gt;&lt;D xsi:type="xsd:double"&gt;1.1433634&lt;/D&gt;&lt;/FQL&gt;&lt;FQL&gt;&lt;Q&gt;MAS-US^P_BETA_LOCIDX(45350,45175,,"SPX")&lt;/Q&gt;&lt;R&gt;1&lt;/R&gt;&lt;C&gt;1&lt;/C&gt;&lt;D xsi:type="xsd:double"&gt;1.1313723&lt;/D&gt;&lt;/FQL&gt;&lt;FQL&gt;&lt;Q&gt;MAS-US^P_BETA_LOCIDX(45349,45174,,"SPX")&lt;/Q&gt;&lt;R&gt;1&lt;/R&gt;&lt;C&gt;1&lt;/C&gt;&lt;D xsi:type="xsd:double"&gt;1.1600592&lt;/D&gt;&lt;/FQL&gt;&lt;FQL&gt;&lt;Q&gt;MAS-US^P_BETA_LOCIDX(45348,45170,,"SPX")&lt;/Q&gt;&lt;R&gt;1&lt;/R&gt;&lt;C&gt;1&lt;/C&gt;&lt;D xsi:type="xsd:double"&gt;1.1596066&lt;/D&gt;&lt;/FQL&gt;&lt;FQL&gt;&lt;Q&gt;MAS-US^P_BETA_LOCIDX(45345,45169,,"SPX")&lt;/Q&gt;&lt;R&gt;1&lt;/R&gt;&lt;C&gt;1&lt;/C&gt;&lt;D xsi:type="xsd:double"&gt;1.1638553&lt;/D&gt;&lt;/FQL&gt;&lt;FQL&gt;&lt;Q&gt;MAS-US^P_BETA_LOCIDX(45344,45168,,"SPX")&lt;/Q&gt;&lt;R&gt;1&lt;/R&gt;&lt;C&gt;1&lt;/C&gt;&lt;D xsi:type="xsd:double"&gt;1.1656065&lt;/D&gt;&lt;/FQL&gt;&lt;FQL&gt;&lt;Q&gt;MAS-US^P_BETA_LOCIDX(45343,45167,,"SPX")&lt;/Q&gt;&lt;R&gt;1&lt;/R&gt;&lt;C&gt;1&lt;/C&gt;&lt;D xsi:type="xsd:double"&gt;1.2313306&lt;/D&gt;&lt;/FQL&gt;&lt;FQL&gt;&lt;Q&gt;MAS-US^P_BETA_LOCIDX(45342,45166,,"SPX")&lt;/Q&gt;&lt;R&gt;1&lt;/R&gt;&lt;C&gt;1&lt;/C&gt;&lt;D xsi:type="xsd:double"&gt;1.226681&lt;/D&gt;&lt;/FQL&gt;&lt;FQL&gt;&lt;Q&gt;MAS-US^P_BETA_LOCIDX(45338,45163,,"SPX")&lt;/Q&gt;&lt;R&gt;1&lt;/R&gt;&lt;C&gt;1&lt;/C&gt;&lt;D xsi:type="xsd:double"&gt;1.2391876&lt;/D&gt;&lt;/FQL&gt;&lt;FQL&gt;&lt;Q&gt;MAS-US^P_BETA_LOCIDX(45337,45162,,"SPX")&lt;/Q&gt;&lt;R&gt;1&lt;/R&gt;&lt;C&gt;1&lt;/C&gt;&lt;D xsi:type="xsd:double"&gt;1.2249306&lt;/D&gt;&lt;/FQL&gt;&lt;FQL&gt;&lt;Q&gt;MAS-US^P_BETA_LOCIDX(45336,45161,,"SPX")&lt;/Q&gt;&lt;R&gt;1&lt;/R&gt;&lt;C&gt;1&lt;/C&gt;&lt;D xsi:type="xsd:double"&gt;1.2333195&lt;/D&gt;&lt;/FQL&gt;&lt;FQL&gt;&lt;Q&gt;MAS-US^P_BETA_LOCIDX(45335,45160,,"SPX")&lt;/Q&gt;&lt;R&gt;1&lt;/R&gt;&lt;C&gt;1&lt;/C&gt;&lt;D xsi:type="xsd:double"&gt;1.2309774&lt;/D&gt;&lt;/FQL&gt;&lt;FQL&gt;&lt;Q&gt;MAS-US^P_BETA_LOCIDX(45334,45159,,"SPX")&lt;/Q&gt;&lt;R&gt;1&lt;/R&gt;&lt;C&gt;1&lt;/C&gt;&lt;D xsi:type="xsd:double"&gt;1.2244678&lt;/D&gt;&lt;/FQL&gt;&lt;FQL&gt;&lt;Q&gt;MAS-US^P_BETA_LOCIDX(45331,45156,,"SPX")&lt;/Q&gt;&lt;R&gt;1&lt;/R&gt;&lt;C&gt;1&lt;/C&gt;&lt;D xsi:type="xsd:double"&gt;1.2263111&lt;/D&gt;&lt;/FQL&gt;&lt;FQL&gt;&lt;Q&gt;MAS-US^P_BETA_LOCIDX(45330,45155,,"SPX")&lt;/Q&gt;&lt;R&gt;1&lt;/R&gt;&lt;C&gt;1&lt;/C&gt;&lt;D xsi:type="xsd:double"&gt;1.2616181&lt;/D&gt;&lt;/FQL&gt;&lt;FQL&gt;&lt;Q&gt;MAS-US^P_BETA_LOCIDX(45329,45154,,"SPX")&lt;/Q&gt;&lt;R&gt;1&lt;/R&gt;&lt;C&gt;1&lt;/C&gt;&lt;D xsi:type="xsd:double"&gt;1.2747629&lt;/D&gt;&lt;/FQL&gt;&lt;FQL&gt;&lt;Q&gt;MAS-US^P_BETA_LOCIDX(45328,45153,,"SPX")&lt;/Q&gt;&lt;R&gt;1&lt;/R&gt;&lt;C&gt;1&lt;/C&gt;&lt;D xsi:type="xsd:double"&gt;1.2418022&lt;/D&gt;&lt;/FQL&gt;&lt;FQL&gt;&lt;Q&gt;MAS-US^P_BETA_LOCIDX(45327,45152,,"SPX")&lt;/Q&gt;&lt;R&gt;1&lt;/R&gt;&lt;C&gt;1&lt;/C&gt;&lt;D xsi:type="xsd:double"&gt;1.2422367&lt;/D&gt;&lt;/FQL&gt;&lt;FQL&gt;&lt;Q&gt;MAS-US^P_BETA_LOCIDX(45324,45149,,"SPX")&lt;/Q&gt;&lt;R&gt;1&lt;/R&gt;&lt;C&gt;1&lt;/C&gt;&lt;D xsi:type="xsd:double"&gt;1.2391987&lt;/D&gt;&lt;/FQL&gt;&lt;FQL&gt;&lt;Q&gt;MAS-US^P_BETA_LOCIDX(45323,45148,,"SPX")&lt;/Q&gt;&lt;R&gt;1&lt;/R&gt;&lt;C&gt;1&lt;/C&gt;&lt;D xsi:type="xsd:double"&gt;1.26891&lt;/D&gt;&lt;/FQL&gt;&lt;FQL&gt;&lt;Q&gt;MAS-US^P_BETA_LOCIDX(45322,45147,,"SPX")&lt;/Q&gt;&lt;R&gt;1&lt;/R&gt;&lt;C&gt;1&lt;/C&gt;&lt;D xsi:type="xsd:double"&gt;1.2493443&lt;/D&gt;&lt;/FQL&gt;&lt;FQL&gt;&lt;Q&gt;MAS-US^P_BETA_LOCIDX(45321,45146,,"SPX")&lt;/Q&gt;&lt;R&gt;1&lt;/R&gt;&lt;C&gt;1&lt;/C&gt;&lt;D xsi:type="xsd:double"&gt;1.2545408&lt;/D&gt;&lt;/FQL&gt;&lt;FQL&gt;&lt;Q&gt;MAS-US^P_BETA_LOCIDX(45320,45145,,"SPX")&lt;/Q&gt;&lt;R&gt;1&lt;/R&gt;&lt;C&gt;1&lt;/C&gt;&lt;D xsi:type="xsd:double"&gt;1.2560753&lt;/D&gt;&lt;/FQL&gt;&lt;FQL&gt;&lt;Q&gt;MAS-US^P_BETA_LOCIDX(45317,45142,,"SPX")&lt;/Q&gt;&lt;R&gt;1&lt;/R&gt;&lt;C&gt;1&lt;/C&gt;&lt;D xsi:type="xsd:double"&gt;1.2418399&lt;/D&gt;&lt;/FQL&gt;&lt;FQL&gt;&lt;Q&gt;MAS-US^P_BETA_LOCIDX(45316,45141,,"SPX")&lt;/Q&gt;&lt;R&gt;1&lt;/R&gt;&lt;C&gt;1&lt;/C&gt;&lt;D xsi:type="xsd:double"&gt;1.2506797&lt;/D&gt;&lt;/FQL&gt;&lt;FQL&gt;&lt;Q&gt;MAS-US^P_BETA_LOCIDX(45315,45140,,"SPX")&lt;/Q&gt;&lt;R&gt;1&lt;/R&gt;&lt;C&gt;1&lt;/C&gt;&lt;D xsi:type="xsd:double"&gt;1.232107&lt;/D&gt;&lt;/FQL&gt;&lt;FQL&gt;&lt;Q&gt;MAS-US^P_BETA_LOCIDX(45314,45139,,"SPX")&lt;/Q&gt;&lt;R&gt;1&lt;/R&gt;&lt;C&gt;1&lt;/C&gt;&lt;D xsi:type="xsd:double"&gt;1.2257051&lt;/D&gt;&lt;/FQL&gt;&lt;FQL&gt;&lt;Q&gt;MAS-US^P_BETA_LOCIDX(45313,45138,,"SPX")&lt;/Q&gt;&lt;R&gt;1&lt;/R&gt;&lt;C&gt;1&lt;/C&gt;&lt;D xsi:type="xsd:double"&gt;1.2358822&lt;/D&gt;&lt;/FQL&gt;&lt;FQL&gt;&lt;Q&gt;MAS-US^P_BETA_LOCIDX(45310,45135,,"SPX")&lt;/Q&gt;&lt;R&gt;1&lt;/R&gt;&lt;C&gt;1&lt;/C&gt;&lt;D xsi:type="xsd:double"&gt;1.199297&lt;/D&gt;&lt;/FQL&gt;&lt;FQL&gt;&lt;Q&gt;MAS-US^P_BETA_LOCIDX(45309,45134,,"SPX")&lt;/Q&gt;&lt;R&gt;1&lt;/R&gt;&lt;C&gt;1&lt;/C&gt;&lt;D xsi:type="xsd:double"&gt;1.2152019&lt;/D&gt;&lt;/FQL&gt;&lt;FQL&gt;&lt;Q&gt;MAS-US^P_BETA_LOCIDX(45308,45133,,"SPX")&lt;/Q&gt;&lt;R&gt;1&lt;/R&gt;&lt;C&gt;1&lt;/C&gt;&lt;D xsi:type="xsd:double"&gt;1.2111849&lt;/D&gt;&lt;/FQL&gt;&lt;FQL&gt;&lt;Q&gt;MAS-US^P_BETA_LOCIDX(45307,45132,,"SPX")&lt;/Q&gt;&lt;R&gt;1&lt;/R&gt;&lt;C&gt;1&lt;/C&gt;&lt;D xsi:type="xsd:double"&gt;1.22038&lt;/D&gt;&lt;/FQL&gt;&lt;FQL&gt;&lt;Q&gt;MAS-US^P_BETA_LOCIDX(45303,45131,,"SPX")&lt;/Q&gt;&lt;R&gt;1&lt;/R&gt;&lt;C&gt;1&lt;/C&gt;&lt;D xsi:type="xsd:double"&gt;1.2227482&lt;/D&gt;&lt;/FQL&gt;&lt;FQL&gt;&lt;Q&gt;MAS-US^P_BETA_LOCIDX(45302,45128,,"SPX")&lt;/Q&gt;&lt;R&gt;1&lt;/R&gt;&lt;C&gt;1&lt;/C&gt;&lt;D xsi:type="xsd:double"&gt;1.2235364&lt;/D&gt;&lt;/FQL&gt;&lt;FQL&gt;&lt;Q&gt;MAS-US^P_BETA_LOCIDX(45301,45127,,"SPX")&lt;/Q&gt;&lt;R&gt;1&lt;/R&gt;&lt;C&gt;1&lt;/C&gt;&lt;D xsi:type="xsd:double"&gt;1.2302836&lt;/D&gt;&lt;/FQL&gt;&lt;FQL&gt;&lt;Q&gt;MAS-US^P_BETA_LOCIDX(45300,45126,,"SPX")&lt;/Q&gt;&lt;R&gt;1&lt;/R&gt;&lt;C&gt;1&lt;/C&gt;&lt;D xsi:type="xsd:double"&gt;1.2229371&lt;/D&gt;&lt;/FQL&gt;&lt;FQL&gt;&lt;Q&gt;MAS-US^P_BETA_LOCIDX(45299,45125,,"SPX")&lt;/Q&gt;&lt;R&gt;1&lt;/R&gt;&lt;C&gt;1&lt;/C&gt;&lt;D xsi:type="xsd:double"&gt;1.2210433&lt;/D&gt;&lt;/FQL&gt;&lt;FQL&gt;&lt;Q&gt;MAS-US^P_BETA_LOCIDX(45296,45124,,"SPX")&lt;/Q&gt;&lt;R&gt;1&lt;/R&gt;&lt;C&gt;1&lt;/C&gt;&lt;D xsi:type="xsd:double"&gt;1.2022547&lt;/D&gt;&lt;/FQL&gt;&lt;FQL&gt;&lt;Q&gt;MAS-US^P_BETA_LOCIDX(45295,45121,,"SPX")&lt;/Q&gt;&lt;R&gt;1&lt;/R&gt;&lt;C&gt;1&lt;/C&gt;&lt;D xsi:type="xsd:double"&gt;1.2001168&lt;/D&gt;&lt;/FQL&gt;&lt;FQL&gt;&lt;Q&gt;MAS-US^P_BETA_LOCIDX(45294,45120,,"SPX")&lt;/Q&gt;&lt;R&gt;1&lt;/R&gt;&lt;C&gt;1&lt;/C&gt;&lt;D xsi:type="xsd:double"&gt;1.2109482&lt;/D&gt;&lt;/FQL&gt;&lt;FQL&gt;&lt;Q&gt;MAS-US^P_BETA_LOCIDX(45293,45119,,"SPX")&lt;/Q&gt;&lt;R&gt;1&lt;/R&gt;&lt;C&gt;1&lt;/C&gt;&lt;D xsi:type="xsd:double"&gt;1.1907839&lt;/D&gt;&lt;/FQL&gt;&lt;FQL&gt;&lt;Q&gt;MAS-US^P_BETA_LOCIDX(45289,45118,,"SPX")&lt;/Q&gt;&lt;R&gt;1&lt;/R&gt;&lt;C&gt;1&lt;/C&gt;&lt;D xsi:type="xsd:double"&gt;1.197733&lt;/D&gt;&lt;/FQL&gt;&lt;FQL&gt;&lt;Q&gt;MAS-US^P_BETA_LOCIDX(45288,45117,,"SPX")&lt;/Q&gt;&lt;R&gt;1&lt;/R&gt;&lt;C&gt;1&lt;/C&gt;&lt;D xsi:type="xsd:double"&gt;1.2043788&lt;/D&gt;&lt;/FQL&gt;&lt;FQL&gt;&lt;Q&gt;MAS-US^P_BETA_LOCIDX(45287,45114,,"SPX")&lt;/Q&gt;&lt;R&gt;1&lt;/R&gt;&lt;C&gt;1&lt;/C&gt;&lt;D xsi:type="xsd:double"&gt;1.2027501&lt;/D&gt;&lt;/FQL&gt;&lt;FQL&gt;&lt;Q&gt;MAS-US^P_BETA_LOCIDX(45286,45113,,"SPX")&lt;/Q&gt;&lt;R&gt;1&lt;/R&gt;&lt;C&gt;1&lt;/C&gt;&lt;D xsi:type="xsd:double"&gt;1.2137477&lt;/D&gt;&lt;/FQL&gt;&lt;FQL&gt;&lt;Q&gt;MAS-US^P_BETA_LOCIDX(45282,45112,,"SPX")&lt;/Q&gt;&lt;R&gt;1&lt;/R&gt;&lt;C&gt;1&lt;/C&gt;&lt;D xsi:type="xsd:double"&gt;1.2207783&lt;/D&gt;&lt;/FQL&gt;&lt;FQL&gt;&lt;Q&gt;MAS-US^P_BETA_LOCIDX(45281,45110,,"SPX")&lt;/Q&gt;&lt;R&gt;1&lt;/R&gt;&lt;C&gt;1&lt;/C&gt;&lt;D xsi:type="xsd:double"&gt;1.2205886&lt;/D&gt;&lt;/FQL&gt;&lt;FQL&gt;&lt;Q&gt;MAS-US^P_BETA_LOCIDX(45280,45107,,"SPX")&lt;/Q&gt;&lt;R&gt;1&lt;/R&gt;&lt;C&gt;1&lt;/C&gt;&lt;D xsi:type="xsd:double"&gt;1.206303&lt;/D&gt;&lt;/FQL&gt;&lt;FQL&gt;&lt;Q&gt;MAS-US^P_BETA_LOCIDX(45279,45106,,"SPX")&lt;/Q&gt;&lt;R&gt;1&lt;/R&gt;&lt;C&gt;1&lt;/C&gt;&lt;D xsi:type="xsd:double"&gt;1.2117301&lt;/D&gt;&lt;/FQL&gt;&lt;FQL&gt;&lt;Q&gt;MAS-US^P_BETA_LOCIDX(45278,45105,,"SPX")&lt;/Q&gt;&lt;R&gt;1&lt;/R&gt;&lt;C&gt;1&lt;/C&gt;&lt;D xsi:type="xsd:double"&gt;1.2169211&lt;/D&gt;&lt;/FQL&gt;&lt;FQL&gt;&lt;Q&gt;MAS-US^P_BETA_LOCIDX(45275,45104,,"SPX")&lt;/Q&gt;&lt;R&gt;1&lt;/R&gt;&lt;C&gt;1&lt;/C&gt;&lt;D xsi:type="xsd:double"&gt;1.2477791&lt;/D&gt;&lt;/FQL&gt;&lt;FQL&gt;&lt;Q&gt;MAS-US^P_BETA_LOCIDX(45274,45103,,"SPX")&lt;/Q&gt;&lt;R&gt;1&lt;/R&gt;&lt;C&gt;1&lt;/C&gt;&lt;D xsi:type="xsd:double"&gt;1.2399954&lt;/D&gt;&lt;/FQL&gt;&lt;FQL&gt;&lt;Q&gt;MAS-US^P_BETA_LOCIDX(45273,45100,,"SPX")&lt;/Q&gt;&lt;R&gt;1&lt;/R&gt;&lt;C&gt;1&lt;/C&gt;&lt;D xsi:type="xsd:double"&gt;1.2199695&lt;/D&gt;&lt;/FQL&gt;&lt;FQL&gt;&lt;Q&gt;MAS-US^P_BETA_LOCIDX(45272,45099,,"SPX")&lt;/Q&gt;&lt;R&gt;1&lt;/R&gt;&lt;C&gt;1&lt;/C&gt;&lt;D xsi:type="xsd:double"&gt;1.1839693&lt;/D&gt;&lt;/FQL&gt;&lt;FQL&gt;&lt;Q&gt;MAS-US^P_BETA_LOCIDX(45271,45098,,"SPX")&lt;/Q&gt;&lt;R&gt;1&lt;/R&gt;&lt;C&gt;1&lt;/C&gt;&lt;D xsi:type="xsd:double"&gt;1.1768202&lt;/D&gt;&lt;/FQL&gt;&lt;FQL&gt;&lt;Q&gt;MAS-US^P_BETA_LOCIDX(45268,45097,,"SPX")&lt;/Q&gt;&lt;R&gt;1&lt;/R&gt;&lt;C&gt;1&lt;/C&gt;&lt;D xsi:type="xsd:double"&gt;1.1688046&lt;/D&gt;&lt;/FQL&gt;&lt;FQL&gt;&lt;Q&gt;MAS-US^P_BETA_LOCIDX(45267,45093,,"SPX")&lt;/Q&gt;&lt;R&gt;1&lt;/R&gt;&lt;C&gt;1&lt;/C&gt;&lt;D xsi:type="xsd:double"&gt;1.1700846&lt;/D&gt;&lt;/FQL&gt;&lt;FQL&gt;&lt;Q&gt;MAS-US^P_BETA_LOCIDX(45266,45092,,"SPX")&lt;/Q&gt;&lt;R&gt;1&lt;/R&gt;&lt;C&gt;1&lt;/C&gt;&lt;D xsi:type="xsd:double"&gt;1.1792164&lt;/D&gt;&lt;/FQL&gt;&lt;FQL&gt;&lt;Q&gt;MAS-US^P_BETA_LOCIDX(45265,45091,,"SPX")&lt;/Q&gt;&lt;R&gt;1&lt;/R&gt;&lt;C&gt;1&lt;/C&gt;&lt;D xsi:type="xsd:double"&gt;1.1929067&lt;/D&gt;&lt;/FQL&gt;&lt;FQL&gt;&lt;Q&gt;MAS-US^P_BETA_LOCIDX(45264,45090,,"SPX")&lt;/Q&gt;&lt;R&gt;1&lt;/R&gt;&lt;C&gt;1&lt;/C&gt;&lt;D xsi:type="xsd:double"&gt;1.1979283&lt;/D&gt;&lt;/FQL&gt;&lt;FQL&gt;&lt;Q&gt;MAS-US^P_BETA_LOCIDX(45261,45089,,"SPX")&lt;/Q&gt;&lt;R&gt;1&lt;/R&gt;&lt;C&gt;1&lt;/C&gt;&lt;D xsi:type="xsd:double"&gt;1.2205254&lt;/D&gt;&lt;/FQL&gt;&lt;FQL&gt;&lt;Q&gt;MAS-US^P_BETA_LOCIDX(45260,45086,,"SPX")&lt;/Q&gt;&lt;R&gt;1&lt;/R&gt;&lt;C&gt;1&lt;/C&gt;&lt;D xsi:type="xsd:double"&gt;1.2040178&lt;/D&gt;&lt;/FQL&gt;&lt;FQL&gt;&lt;Q&gt;MAS-US^P_BETA_LOCIDX(45259,45085,,"SPX")&lt;/Q&gt;&lt;R&gt;1&lt;/R&gt;&lt;C&gt;1&lt;/C&gt;&lt;D xsi:type="xsd:double"&gt;1.1952612&lt;/D&gt;&lt;/FQL&gt;&lt;FQL&gt;&lt;Q&gt;MAS-US^P_BETA_LOCIDX(45258,45084,,"SPX")&lt;/Q&gt;&lt;R&gt;1&lt;/R&gt;&lt;C&gt;1&lt;/C&gt;&lt;D xsi:type="xsd:double"&gt;1.1738007&lt;/D&gt;&lt;/FQL&gt;&lt;FQL&gt;&lt;Q&gt;MAS-US^P_BETA_LOCIDX(45257,45083,,"SPX")&lt;/Q&gt;&lt;R&gt;1&lt;/R&gt;&lt;C&gt;1&lt;/C&gt;&lt;D xsi:type="xsd:double"&gt;1.1848611&lt;/D&gt;&lt;/FQL&gt;&lt;FQL&gt;&lt;Q&gt;MAS-US^P_BETA_LOCIDX(45254,45082,,"SPX")&lt;/Q&gt;&lt;R&gt;1&lt;/R&gt;&lt;C&gt;1&lt;/C&gt;&lt;D xsi:type="xsd:double"&gt;1.1928755&lt;/D&gt;&lt;/FQL&gt;&lt;FQL&gt;&lt;Q&gt;MAS-US^P_BETA_LOCIDX(45252,45079,,"SPX")&lt;/Q&gt;&lt;R&gt;1&lt;/R&gt;&lt;C&gt;1&lt;/C&gt;&lt;D xsi:type="xsd:double"&gt;1.2558308&lt;/D&gt;&lt;/FQL&gt;&lt;FQL&gt;&lt;Q&gt;MAS-US^P_BETA_LOCIDX(45251,45078,,"SPX")&lt;/Q&gt;&lt;R&gt;1&lt;/R&gt;&lt;C&gt;1&lt;/C&gt;&lt;D xsi:type="xsd:double"&gt;1.2594699&lt;/D&gt;&lt;/FQL&gt;&lt;FQL&gt;&lt;Q&gt;MAS-US^P_BETA_LOCIDX(45250,45077,,"SPX")&lt;/Q&gt;&lt;R&gt;1&lt;/R&gt;&lt;C&gt;1&lt;/C&gt;&lt;D xsi:type="xsd:double"&gt;1.2787484&lt;/D&gt;&lt;/FQL&gt;&lt;FQL&gt;&lt;Q&gt;MAS-US^P_BETA_LOCIDX(45247,45076,,"SPX")&lt;/Q&gt;&lt;R&gt;1&lt;/R&gt;&lt;C&gt;1&lt;/C&gt;&lt;D xsi:type="xsd:double"&gt;1.2892207&lt;/D&gt;&lt;/FQL&gt;&lt;FQL&gt;&lt;Q&gt;MAS-US^P_BETA_LOCIDX(45246,45072,,"SPX")&lt;/Q&gt;&lt;R&gt;1&lt;/R&gt;&lt;C&gt;1&lt;/C&gt;&lt;D xsi:type="xsd:double"&gt;1.2765036&lt;/D&gt;&lt;/FQL&gt;&lt;FQL&gt;&lt;Q&gt;MAS-US^P_BETA_LOCIDX(45245,45071,,"SPX")&lt;/Q&gt;&lt;R&gt;1&lt;/R&gt;&lt;C&gt;1&lt;/C&gt;&lt;D xsi:type="xsd:double"&gt;1.2621918&lt;/D&gt;&lt;/FQL&gt;&lt;FQL&gt;&lt;Q&gt;MAS-US^P_BETA_LOCIDX(45244,45070,,"SPX")&lt;/Q&gt;&lt;R&gt;1&lt;/R&gt;&lt;C&gt;1&lt;/C&gt;&lt;D xsi:type="xsd:double"&gt;1.270791&lt;/D&gt;&lt;/FQL&gt;&lt;FQL&gt;&lt;Q&gt;MAS-US^P_BETA_LOCIDX(45243,45069,,"SPX")&lt;/Q&gt;&lt;R&gt;1&lt;/R&gt;&lt;C&gt;1&lt;/C&gt;&lt;D xsi:type="xsd:double"&gt;1.1773697&lt;/D&gt;&lt;/FQL&gt;&lt;FQL&gt;&lt;Q&gt;MAS-US^P_BETA_LOCIDX(45240,45068,,"SPX")&lt;/Q&gt;&lt;R&gt;1&lt;/R&gt;&lt;C&gt;1&lt;/C&gt;&lt;D xsi:type="xsd:double"&gt;1.1761392&lt;/D&gt;&lt;/FQL&gt;&lt;FQL&gt;&lt;Q&gt;MAS-US^P_BETA_LOCIDX(45239,45065,,"SPX")&lt;/Q&gt;&lt;R&gt;1&lt;/R&gt;&lt;C&gt;1&lt;/C&gt;&lt;D xsi:type="xsd:double"&gt;1.1949878&lt;/D&gt;&lt;/FQL&gt;&lt;FQL&gt;&lt;Q&gt;MAS-US^P_BETA_LOCIDX(45238,45064,,"SPX")&lt;/Q&gt;&lt;R&gt;1&lt;/R&gt;&lt;C&gt;1&lt;/C&gt;&lt;D xsi:type="xsd:double"&gt;1.1901078&lt;/D&gt;&lt;/FQL&gt;&lt;FQL&gt;&lt;Q&gt;MAS-US^P_BETA_LOCIDX(45237,45063,,"SPX")&lt;/Q&gt;&lt;R&gt;1&lt;/R&gt;&lt;C&gt;1&lt;/C&gt;&lt;D xsi:type="xsd:double"&gt;1.2102613&lt;/D&gt;&lt;/FQL&gt;&lt;FQL&gt;&lt;Q&gt;MAS-US^P_BETA_LOCIDX(45236,45062,,"SPX")&lt;/Q&gt;&lt;R&gt;1&lt;/R&gt;&lt;C&gt;1&lt;/C&gt;&lt;D xsi:type="xsd:double"&gt;1.2179756&lt;/D&gt;&lt;/FQL&gt;&lt;FQL&gt;&lt;Q&gt;MAS-US^P_BETA_LOCIDX(45233,45061,,"SPX")&lt;/Q&gt;&lt;R&gt;1&lt;/R&gt;&lt;C&gt;1&lt;/C&gt;&lt;D xsi:type="xsd:double"&gt;1.2211143&lt;/D&gt;&lt;/FQL&gt;&lt;FQL&gt;&lt;Q&gt;MAS-US^P_BETA_LOCIDX(45232,45058,,"SPX")&lt;/Q&gt;&lt;R&gt;1&lt;/R&gt;&lt;C&gt;1&lt;/C&gt;&lt;D xsi:type="xsd:double"&gt;1.2091647&lt;/D&gt;&lt;/FQL&gt;&lt;FQL&gt;&lt;Q&gt;MAS-US^P_BETA_LOCIDX(45231,45057,,"SPX")&lt;/Q&gt;&lt;R&gt;1&lt;/R&gt;&lt;C&gt;1&lt;/C&gt;&lt;D xsi:type="xsd:double"&gt;1.2140473&lt;/D&gt;&lt;/FQL&gt;&lt;FQL&gt;&lt;Q&gt;MAS-US^P_BETA_LOCIDX(45230,45056,,"SPX")&lt;/Q&gt;&lt;R&gt;1&lt;/R&gt;&lt;C&gt;1&lt;/C&gt;&lt;D xsi:type="xsd:double"&gt;1.2051233&lt;/D&gt;&lt;/FQL&gt;&lt;FQL&gt;&lt;Q&gt;MAS-US^P_BETA_LOCIDX(45229,45055,,"SPX")&lt;/Q&gt;&lt;R&gt;1&lt;/R&gt;&lt;C&gt;1&lt;/C&gt;&lt;D xsi:type="xsd:double"&gt;1.2052066&lt;/D&gt;&lt;/FQL&gt;&lt;FQL&gt;&lt;Q&gt;MAS-US^P_BETA_LOCIDX(45226,45054,,"SPX")&lt;/Q&gt;&lt;R&gt;1&lt;/R&gt;&lt;C&gt;1&lt;/C&gt;&lt;D xsi:type="xsd:double"&gt;1.2033507&lt;/D&gt;&lt;/FQL&gt;&lt;FQL&gt;&lt;Q&gt;MAS-US^P_BETA_LOCIDX(45225,45051,,"SPX")&lt;/Q&gt;&lt;R&gt;1&lt;/R&gt;&lt;C&gt;1&lt;/C&gt;&lt;D xsi:type="xsd:double"&gt;1.1775949&lt;/D&gt;&lt;/FQL&gt;&lt;FQL&gt;&lt;Q&gt;MAS-US^P_BETA_LOCIDX(45224,45050,,"SPX")&lt;/Q&gt;&lt;R&gt;1&lt;/R&gt;&lt;C&gt;1&lt;/C&gt;&lt;D xsi:type="xsd:double"&gt;1.3380815&lt;/D&gt;&lt;/FQL&gt;&lt;FQL&gt;&lt;Q&gt;MAS-US^P_BETA_LOCIDX(45223,45049,,"SPX")&lt;/Q&gt;&lt;R&gt;1&lt;/R&gt;&lt;C&gt;1&lt;/C&gt;&lt;D xsi:type="xsd:double"&gt;1.3255631&lt;/D&gt;&lt;/FQL&gt;&lt;FQL&gt;&lt;Q&gt;MAS-US^P_BETA_LOCIDX(45222,45048,,"SPX")&lt;/Q&gt;&lt;R&gt;1&lt;/R&gt;&lt;C&gt;1&lt;/C&gt;&lt;D xsi:type="xsd:double"&gt;1.3209056&lt;/D&gt;&lt;/FQL&gt;&lt;FQL&gt;&lt;Q&gt;MAS-US^P_BETA_LOCIDX(45219,45047,,"SPX")&lt;/Q&gt;&lt;R&gt;1&lt;/R&gt;&lt;C&gt;1&lt;/C&gt;&lt;D xsi:type="xsd:double"&gt;1.321277&lt;/D&gt;&lt;/FQL&gt;&lt;FQL&gt;&lt;Q&gt;MAS-US^P_BETA_LOCIDX(45218,45044,,"SPX")&lt;/Q&gt;&lt;R&gt;1&lt;/R&gt;&lt;C&gt;1&lt;/C&gt;&lt;D xsi:type="xsd:double"&gt;1.3484373&lt;/D&gt;&lt;/FQL&gt;&lt;FQL&gt;&lt;Q&gt;MAS-US^P_BETA_LOCIDX(45217,45043,,"SPX")&lt;/Q&gt;&lt;R&gt;1&lt;/R&gt;&lt;C&gt;1&lt;/C&gt;&lt;D xsi:type="xsd:double"&gt;1.388554&lt;/D&gt;&lt;/FQL&gt;&lt;FQL&gt;&lt;Q&gt;MAS-US^P_BETA_LOCIDX(45216,45042,,"SPX")&lt;/Q&gt;&lt;R&gt;1&lt;/R&gt;&lt;C&gt;1&lt;/C&gt;&lt;D xsi:type="xsd:double"&gt;1.3451037&lt;/D&gt;&lt;/FQL&gt;&lt;FQL&gt;&lt;Q&gt;MAS-US^P_BETA_LOCIDX(45215,45041,,"SPX")&lt;/Q&gt;&lt;R&gt;1&lt;/R&gt;&lt;C&gt;1&lt;/C&gt;&lt;D xsi:type="xsd:double"&gt;1.3303629&lt;/D&gt;&lt;/FQL&gt;&lt;FQL&gt;&lt;Q&gt;MAS-US^P_BETA_LOCIDX(45212,45040,,"SPX")&lt;/Q&gt;&lt;R&gt;1&lt;/R&gt;&lt;C&gt;1&lt;/C&gt;&lt;D xsi:type="xsd:double"&gt;1.309737&lt;/D&gt;&lt;/FQL&gt;&lt;FQL&gt;&lt;Q&gt;MAS-US^P_BETA_LOCIDX(45211,45037,,"SPX")&lt;/Q&gt;&lt;R&gt;1&lt;/R&gt;&lt;C&gt;1&lt;/C&gt;&lt;D xsi:type="xsd:double"&gt;1.3071117&lt;/D&gt;&lt;/FQL&gt;&lt;FQL&gt;&lt;Q&gt;MAS-US^P_BETA_LOCIDX(45210,45036,,"SPX")&lt;/Q&gt;&lt;R&gt;1&lt;/R&gt;&lt;C&gt;1&lt;/C&gt;&lt;D xsi:type="xsd:double"&gt;1.255596&lt;/D&gt;&lt;/FQL&gt;&lt;FQL&gt;&lt;Q&gt;MAS-US^P_BETA_LOCIDX(45209,45035,,"SPX")&lt;/Q&gt;&lt;R&gt;1&lt;/R&gt;&lt;C&gt;1&lt;/C&gt;&lt;D xsi:type="xsd:double"&gt;1.2473024&lt;/D&gt;&lt;/FQL&gt;&lt;FQL&gt;&lt;Q&gt;MAS-US^P_BETA_LOCIDX(45208,45034,,"SPX")&lt;/Q&gt;&lt;R&gt;1&lt;/R&gt;&lt;C&gt;1&lt;/C&gt;&lt;D xsi:type="xsd:double"&gt;1.2470602&lt;/D&gt;&lt;/FQL&gt;&lt;FQL&gt;&lt;Q&gt;MAS-US^P_BETA_LOCIDX(45205,45033,,"SPX")&lt;/Q&gt;&lt;R&gt;1&lt;/R&gt;&lt;C&gt;1&lt;/C&gt;&lt;D xsi:type="xsd:double"&gt;1.2591877&lt;/D&gt;&lt;/FQL&gt;&lt;FQL&gt;&lt;Q&gt;MAS-US^P_BETA_LOCIDX(45204,45030,,"SPX")&lt;/Q&gt;&lt;R&gt;1&lt;/R&gt;&lt;C&gt;1&lt;/C&gt;&lt;D xsi:type="xsd:double"&gt;1.2873392&lt;/D&gt;&lt;/FQL&gt;&lt;FQL&gt;&lt;Q&gt;MAS-US^P_BETA_LOCIDX(45203,45029,,"SPX")&lt;/Q&gt;&lt;R&gt;1&lt;/R&gt;&lt;C&gt;1&lt;/C&gt;&lt;D xsi:type="xsd:double"&gt;1.2684962&lt;/D&gt;&lt;/FQL&gt;&lt;FQL&gt;&lt;Q&gt;MAS-US^P_BETA_LOCIDX(45202,45028,,"SPX")&lt;/Q&gt;&lt;R&gt;1&lt;/R&gt;&lt;C&gt;1&lt;/C&gt;&lt;D xsi:type="xsd:double"&gt;1.2643697&lt;/D&gt;&lt;/FQL&gt;&lt;FQL&gt;&lt;Q&gt;MAS-US^P_BETA_LOCIDX(45201,45027,,"SPX")&lt;/Q&gt;&lt;R&gt;1&lt;/R&gt;&lt;C&gt;1&lt;/C&gt;&lt;D xsi:type="xsd:double"&gt;1.261645&lt;/D&gt;&lt;/FQL&gt;&lt;FQL&gt;&lt;Q&gt;MAS-US^P_BETA_LOCIDX(45198,45026,,"SPX")&lt;/Q&gt;&lt;R&gt;1&lt;/R&gt;&lt;C&gt;1&lt;/C&gt;&lt;D xsi:type="xsd:double"&gt;1.2616216&lt;/D&gt;&lt;/FQL&gt;&lt;FQL&gt;&lt;Q&gt;MAS-US^P_BETA_LOCIDX(45197,45022,,"SPX")&lt;/Q&gt;&lt;R&gt;1&lt;/R&gt;&lt;C&gt;1&lt;/C&gt;&lt;D xsi:type="xsd:double"&gt;1.2488639&lt;/D&gt;&lt;/FQL&gt;&lt;FQL&gt;&lt;Q&gt;MAS-US^P_BETA_LOCIDX(45196,45021,,"SPX")&lt;/Q&gt;&lt;R&gt;1&lt;/R&gt;&lt;C&gt;1&lt;/C&gt;&lt;D xsi:type="xsd:double"&gt;1.2473987&lt;/D&gt;&lt;/FQL&gt;&lt;FQL&gt;&lt;Q&gt;MAS-US^P_BETA_LOCIDX(45195,45020,,"SPX")&lt;/Q&gt;&lt;R&gt;1&lt;/R&gt;&lt;C&gt;1&lt;/C&gt;&lt;D xsi:type="xsd:double"&gt;1.2674503&lt;/D&gt;&lt;/FQL&gt;&lt;FQL&gt;&lt;Q&gt;MAS-US^P_BETA_LOCIDX(45194,45019,,"SPX")&lt;/Q&gt;&lt;R&gt;1&lt;/R&gt;&lt;C&gt;1&lt;/C&gt;&lt;D xsi:type="xsd:double"&gt;1.282613&lt;/D&gt;&lt;/FQL&gt;&lt;FQL&gt;&lt;Q&gt;MAS-US^P_BETA_LOCIDX(45191,45016,,"SPX")&lt;/Q&gt;&lt;R&gt;1&lt;/R&gt;&lt;C&gt;1&lt;/C&gt;&lt;D xsi:type="xsd:double"&gt;1.3012158&lt;/D&gt;&lt;/FQL&gt;&lt;FQL&gt;&lt;Q&gt;MAS-US^P_BETA_LOCIDX(45190,45015,,"SPX")&lt;/Q&gt;&lt;R&gt;1&lt;/R&gt;&lt;C&gt;1&lt;/C&gt;&lt;D xsi:type="xsd:double"&gt;1.2866503&lt;/D&gt;&lt;/FQL&gt;&lt;FQL&gt;&lt;Q&gt;MAS-US^P_BETA_LOCIDX(45189,45014,,"SPX")&lt;/Q&gt;&lt;R&gt;1&lt;/R&gt;&lt;C&gt;1&lt;/C&gt;&lt;D xsi:type="xsd:double"&gt;1.2886474&lt;/D&gt;&lt;/FQL&gt;&lt;FQL&gt;&lt;Q&gt;MAS-US^P_BETA_LOCIDX(45188,45013,,"SPX")&lt;/Q&gt;&lt;R&gt;1&lt;/R&gt;&lt;C&gt;1&lt;/C&gt;&lt;D xsi:type="xsd:double"&gt;1.2787548&lt;/D&gt;&lt;/FQL&gt;&lt;FQL&gt;&lt;Q&gt;MAS-US^P_BETA_LOCIDX(45187,45012,,"SPX")&lt;/Q&gt;&lt;R&gt;1&lt;/R&gt;&lt;C&gt;1&lt;/C&gt;&lt;D xsi:type="xsd:double"&gt;1.2832191&lt;/D&gt;&lt;/FQL&gt;&lt;FQL&gt;&lt;Q&gt;MAS-US^P_BETA_LOCIDX(45184,45009,,"SPX")&lt;/Q&gt;&lt;R&gt;1&lt;/R&gt;&lt;C&gt;1&lt;/C&gt;&lt;D xsi:type="xsd:double"&gt;1.2727133&lt;/D&gt;&lt;/FQL&gt;&lt;FQL&gt;&lt;Q&gt;MAS-US^P_BETA_LOCIDX(45183,45008,,"SPX")&lt;/Q&gt;&lt;R&gt;1&lt;/R&gt;&lt;C&gt;1&lt;/C&gt;&lt;D xsi:type="xsd:double"&gt;1.2532246&lt;/D&gt;&lt;/FQL&gt;&lt;FQL&gt;&lt;Q&gt;MAS-US^P_BETA_LOCIDX(45182,45007,,"SPX")&lt;/Q&gt;&lt;R&gt;1&lt;/R&gt;&lt;C&gt;1&lt;/C&gt;&lt;D xsi:type="xsd:double"&gt;1.3143114&lt;/D&gt;&lt;/FQL&gt;&lt;FQL&gt;&lt;Q&gt;MAS-US^P_BETA_LOCIDX(45181,45006,,"SPX")&lt;/Q&gt;&lt;R&gt;1&lt;/R&gt;&lt;C&gt;1&lt;/C&gt;&lt;D xsi:type="xsd:double"&gt;1.3272378&lt;/D&gt;&lt;/FQL&gt;&lt;FQL&gt;&lt;Q&gt;MAS-US^P_BETA_LOCIDX(45180,45005,,"SPX")&lt;/Q&gt;&lt;R&gt;1&lt;/R&gt;&lt;C&gt;1&lt;/C&gt;&lt;D xsi:type="xsd:double"&gt;1.3265693&lt;/D&gt;&lt;/FQL&gt;&lt;FQL&gt;&lt;Q&gt;MAS-US^P_BETA_LOCIDX(45177,45002,,"SPX")&lt;/Q&gt;&lt;R&gt;1&lt;/R&gt;&lt;C&gt;1&lt;/C&gt;&lt;D xsi:type="xsd:double"&gt;1.341397&lt;/D&gt;&lt;/FQL&gt;&lt;FQL&gt;&lt;Q&gt;MAS-US^P_BETA_LOCIDX(45176,45001,,"SPX")&lt;/Q&gt;&lt;R&gt;1&lt;/R&gt;&lt;C&gt;1&lt;/C&gt;&lt;D xsi:type="xsd:double"&gt;1.2988564&lt;/D&gt;&lt;/FQL&gt;&lt;FQL&gt;&lt;Q&gt;MAS-US^P_BETA_LOCIDX(45175,45000,,"SPX")&lt;/Q&gt;&lt;R&gt;1&lt;/R&gt;&lt;C&gt;1&lt;/C&gt;&lt;D xsi:type="xsd:double"&gt;1.2919339&lt;/D&gt;&lt;/FQL&gt;&lt;FQL&gt;&lt;Q&gt;MAS-US^P_BETA_LOCIDX(45174,44999,,"SPX")&lt;/Q&gt;&lt;R&gt;1&lt;/R&gt;&lt;C&gt;1&lt;/C&gt;&lt;D xsi:type="xsd:double"&gt;1.2835199&lt;/D&gt;&lt;/FQL&gt;&lt;FQL&gt;&lt;Q&gt;MAS-US^P_BETA_LOCIDX(45170,44998,,"SPX")&lt;/Q&gt;&lt;R&gt;1&lt;/R&gt;&lt;C&gt;1&lt;/C&gt;&lt;D xsi:type="xsd:double"&gt;1.2534771&lt;/D&gt;&lt;/FQL&gt;&lt;FQL&gt;&lt;Q&gt;MAS-US^P_BETA_LOCIDX(45169,44995,,"SPX")&lt;/Q&gt;&lt;R&gt;1&lt;/R&gt;&lt;C&gt;1&lt;/C&gt;&lt;D xsi:type="xsd:double"&gt;1.2534634&lt;/D&gt;&lt;/FQL&gt;&lt;FQL&gt;&lt;Q&gt;MAS-US^P_BETA_LOCIDX(45168,44994,,"SPX")&lt;/Q&gt;&lt;R&gt;1&lt;/R&gt;&lt;C&gt;1&lt;/C&gt;&lt;D xsi:type="xsd:double"&gt;1.2102991&lt;/D&gt;&lt;/FQL&gt;&lt;FQL&gt;&lt;Q&gt;MAS-US^P_BETA_LOCIDX(45167,44993,,"SPX")&lt;/Q&gt;&lt;R&gt;1&lt;/R&gt;&lt;C&gt;1&lt;/C&gt;&lt;D xsi:type="xsd:double"&gt;1.2091563&lt;/D&gt;&lt;/FQL&gt;&lt;FQL&gt;&lt;Q&gt;MAS-US^P_BETA_LOCIDX(45166,44992,,"SPX")&lt;/Q&gt;&lt;R&gt;1&lt;/R&gt;&lt;C&gt;1&lt;/C&gt;&lt;D xsi:type="xsd:double"&gt;1.1853187&lt;/D&gt;&lt;/FQL&gt;&lt;FQL&gt;&lt;Q&gt;MAS-US^P_BETA_LOCIDX(45163,44991,,"SPX")&lt;/Q&gt;&lt;R&gt;1&lt;/R&gt;&lt;C&gt;1&lt;/C&gt;&lt;D xsi:type="xsd:double"&gt;1.1889958&lt;/D&gt;&lt;/FQL&gt;&lt;FQL&gt;&lt;Q&gt;MAS-US^P_BETA_LOCIDX(45162,44988,,"SPX")&lt;/Q&gt;&lt;R&gt;1&lt;/R&gt;&lt;C&gt;1&lt;/C&gt;&lt;D xsi:type="xsd:double"&gt;1.1868678&lt;/D&gt;&lt;/FQL&gt;&lt;FQL&gt;&lt;Q&gt;MAS-US^P_BETA_LOCIDX(45161,44987,,"SPX")&lt;/Q&gt;&lt;R&gt;1&lt;/R&gt;&lt;C&gt;1&lt;/C&gt;&lt;D xsi:type="xsd:double"&gt;1.2010336&lt;/D&gt;&lt;/FQL&gt;&lt;FQL&gt;&lt;Q&gt;MAS-US^P_BETA_LOCIDX(45160,44986,,"SPX")&lt;/Q&gt;&lt;R&gt;1&lt;/R&gt;&lt;C&gt;1&lt;/C&gt;&lt;D xsi:type="xsd:double"&gt;1.2034385&lt;/D&gt;&lt;/FQL&gt;&lt;FQL&gt;&lt;Q&gt;MAS-US^P_BETA_LOCIDX(45159,44985,,"SPX")&lt;/Q&gt;&lt;R&gt;1&lt;/R&gt;&lt;C&gt;1&lt;/C&gt;&lt;D xsi:type="xsd:double"&gt;1.2030797&lt;/D&gt;&lt;/FQL&gt;&lt;FQL&gt;&lt;Q&gt;MAS-US^P_BETA_LOCIDX(45156,44984,,"SPX")&lt;/Q&gt;&lt;R&gt;1&lt;/R&gt;&lt;C&gt;1&lt;/C&gt;&lt;D xsi:type="xsd:double"&gt;1.2175525&lt;/D&gt;&lt;/FQL&gt;&lt;FQL&gt;&lt;Q&gt;MAS-US^P_BETA_LOCIDX(45155,44981,,"SPX")&lt;/Q&gt;&lt;R&gt;1&lt;/R&gt;&lt;C&gt;1&lt;/C&gt;&lt;D xsi:type="xsd:double"&gt;1.221175&lt;/D&gt;&lt;/FQL&gt;&lt;FQL&gt;&lt;Q&gt;MAS-US^P_BETA_LOCIDX(45154,44980,,"SPX")&lt;/Q&gt;&lt;R&gt;1&lt;/R&gt;&lt;C&gt;1&lt;/C&gt;&lt;D xsi:type="xsd:double"&gt;1.201152&lt;/D&gt;&lt;/FQL&gt;&lt;FQL&gt;&lt;Q&gt;MAS-US^P_BETA_LOCIDX(45153,44979,,"SPX")&lt;/Q&gt;&lt;R&gt;1&lt;/R&gt;&lt;C&gt;1&lt;/C&gt;&lt;D xsi:type="xsd:double"&gt;1.1901112&lt;/D&gt;&lt;/FQL&gt;&lt;FQL&gt;&lt;Q&gt;MAS-US^P_BETA_LOCIDX(45152,44978,,"SPX")&lt;/Q&gt;&lt;R&gt;1&lt;/R&gt;&lt;C&gt;1&lt;/C&gt;&lt;D xsi:type="xsd:double"&gt;1.2486097&lt;/D&gt;&lt;/FQL&gt;&lt;FQL&gt;&lt;Q&gt;MAS-US^P_BETA_LOCIDX(45149,44974,,"SPX")&lt;/Q&gt;&lt;R&gt;1&lt;/R&gt;&lt;C&gt;1&lt;/C&gt;&lt;D xsi:type="xsd:double"&gt;1.2508577&lt;/D&gt;&lt;/FQL&gt;&lt;FQL&gt;&lt;Q&gt;MAS-US^P_BETA_LOCIDX(45148,44973,,"SPX")&lt;/Q&gt;&lt;R&gt;1&lt;/R&gt;&lt;C&gt;1&lt;/C&gt;&lt;D xsi:type="xsd:double"&gt;1.2303127&lt;/D&gt;&lt;/FQL&gt;&lt;FQL&gt;&lt;Q&gt;MAS-US^P_BETA_LOCIDX(45147,44972,,"SPX")&lt;/Q&gt;&lt;R&gt;1&lt;/R&gt;&lt;C&gt;1&lt;/C&gt;&lt;D xsi:type="xsd:double"&gt;1.2325308&lt;/D&gt;&lt;/FQL&gt;&lt;FQL&gt;&lt;Q&gt;MAS-US^P_BETA_LOCIDX(45146,44971,,"SPX")&lt;/Q&gt;&lt;R&gt;1&lt;/R&gt;&lt;C&gt;1&lt;/C&gt;&lt;D xsi:type="xsd:double"&gt;1.2355968&lt;/D&gt;&lt;/FQL&gt;&lt;FQL&gt;&lt;Q&gt;MAS-US^P_BETA_LOCIDX(45145,44970,,"SPX")&lt;/Q&gt;&lt;R&gt;1&lt;/R&gt;&lt;C&gt;1&lt;/C&gt;&lt;D xsi:type="xsd:double"&gt;1.2535337&lt;/D&gt;&lt;/FQL&gt;&lt;FQL&gt;&lt;Q&gt;MAS-US^P_BETA_LOCIDX(45142,44967,,"SPX")&lt;/Q&gt;&lt;R&gt;1&lt;/R&gt;&lt;C&gt;1&lt;/C&gt;&lt;D xsi:type="xsd:double"&gt;1.2551136&lt;/D&gt;&lt;/FQL&gt;&lt;FQL&gt;&lt;Q&gt;MAS-US^P_BETA_LOCIDX(45141,44966,,"SPX")&lt;/Q&gt;&lt;R&gt;1&lt;/R&gt;&lt;C&gt;1&lt;/C&gt;&lt;D xsi:type="xsd:double"&gt;1.2502851&lt;/D&gt;&lt;/FQL&gt;&lt;FQL&gt;&lt;Q&gt;MAS-US^P_BETA_LOCIDX(45140,44965,,"SPX")&lt;/Q&gt;&lt;R&gt;1&lt;/R&gt;&lt;C&gt;1&lt;/C&gt;&lt;D xsi:type="xsd:double"&gt;1.233831&lt;/D&gt;&lt;/FQL&gt;&lt;FQL&gt;&lt;Q&gt;MAS-US^P_BETA_LOCIDX(45139,44964,,"SPX")&lt;/Q&gt;&lt;R&gt;1&lt;/R&gt;&lt;C&gt;1&lt;/C&gt;&lt;D xsi:type="xsd:double"&gt;1.2192651&lt;/D&gt;&lt;/FQL&gt;&lt;FQL&gt;&lt;Q&gt;MAS-US^P_BETA_LOCIDX(45138,44963,,"SPX")&lt;/Q&gt;&lt;R&gt;1&lt;/R&gt;&lt;C&gt;1&lt;/C&gt;&lt;D xsi:type="xsd:double"&gt;1.2364409&lt;/D&gt;&lt;/FQL&gt;&lt;FQL&gt;&lt;Q&gt;MAS-US^P_BETA_LOCIDX(45135,44960,,"SPX")&lt;/Q&gt;&lt;R&gt;1&lt;/R&gt;&lt;C&gt;1&lt;/C&gt;&lt;D xsi:type="xsd:double"&gt;1.2506832&lt;/D&gt;&lt;/FQL&gt;&lt;FQL&gt;&lt;Q&gt;MAS-US^P_BETA_LOCIDX(45134,44959,,"SPX")&lt;/Q&gt;&lt;R&gt;1&lt;/R&gt;&lt;C&gt;1&lt;/C&gt;&lt;D xsi:type="xsd:double"&gt;1.3181387&lt;/D&gt;&lt;/FQL&gt;&lt;FQL&gt;&lt;Q&gt;MAS-US^P_BETA_LOCIDX(45133,44958,,"SPX")&lt;/Q&gt;&lt;R&gt;1&lt;/R&gt;&lt;C&gt;1&lt;/C&gt;&lt;D xsi:type="xsd:double"&gt;1.3398372&lt;/D&gt;&lt;/FQL&gt;&lt;FQL&gt;&lt;Q&gt;MAS-US^P_BETA_LOCIDX(45132,44957,,"SPX")&lt;/Q&gt;&lt;R&gt;1&lt;/R&gt;&lt;C&gt;1&lt;/C&gt;&lt;D xsi:type="xsd:double"&gt;1.3988601&lt;/D&gt;&lt;/FQL&gt;&lt;FQL&gt;&lt;Q&gt;MAS-US^P_BETA_LOCIDX(45131,44956,,"SPX")&lt;/Q&gt;&lt;R&gt;1&lt;/R&gt;&lt;C&gt;1&lt;/C&gt;&lt;D xsi:type="xsd:double"&gt;1.3868887&lt;/D&gt;&lt;/FQL&gt;&lt;FQL&gt;&lt;Q&gt;MAS-US^P_BETA_LOCIDX(45128,44953,,"SPX")&lt;/Q&gt;&lt;R&gt;1&lt;/R&gt;&lt;C&gt;1&lt;/C&gt;&lt;D xsi:type="xsd:double"&gt;1.3890207&lt;/D&gt;&lt;/FQL&gt;&lt;FQL&gt;&lt;Q&gt;MAS-US^P_BETA_LOCIDX(45127,44952,,"SPX")&lt;/Q&gt;&lt;R&gt;1&lt;/R&gt;&lt;C&gt;1&lt;/C&gt;&lt;D xsi:type="xsd:double"&gt;1.3548756&lt;/D&gt;&lt;/FQL&gt;&lt;FQL&gt;&lt;Q&gt;MAS-US^P_BETA_LOCIDX(45126,44951,,"SPX")&lt;/Q&gt;&lt;R&gt;1&lt;/R&gt;&lt;C&gt;1&lt;/C&gt;&lt;D xsi:type="xsd:double"&gt;1.3499405&lt;/D&gt;&lt;/FQL&gt;&lt;FQL&gt;&lt;Q&gt;MAS-US^P_BETA_LOCIDX(45125,44950,,"SPX")&lt;/Q&gt;&lt;R&gt;1&lt;/R&gt;&lt;C&gt;1&lt;/C&gt;&lt;D xsi:type="xsd:double"&gt;1.3507804&lt;/D&gt;&lt;/FQL&gt;&lt;FQL&gt;&lt;Q&gt;MAS-US^P_BETA_LOCIDX(45124,44949,,"SPX")&lt;/Q&gt;&lt;R&gt;1&lt;/R&gt;&lt;C&gt;1&lt;/C&gt;&lt;D xsi:type="xsd:double"&gt;1.3581973&lt;/D&gt;&lt;/FQL&gt;&lt;FQL&gt;&lt;Q&gt;MAS-US^P_BETA_LOCIDX(45121,44946,,"SPX")&lt;/Q&gt;&lt;R&gt;1&lt;/R&gt;&lt;C&gt;1&lt;/C&gt;&lt;D xsi:type="xsd:double"&gt;1.383298&lt;/D&gt;&lt;/FQL&gt;&lt;FQL&gt;&lt;Q&gt;MAS-US^P_BETA_LOCIDX(45120,44945,,"SPX")&lt;/Q&gt;&lt;R&gt;1&lt;/R&gt;&lt;C&gt;1&lt;/C&gt;&lt;D xsi:type="xsd:double"&gt;1.4139478&lt;/D&gt;&lt;/FQL&gt;&lt;FQL&gt;&lt;Q&gt;MAS-US^P_BETA_LOCIDX(45119,44944,,"SPX")&lt;/Q&gt;&lt;R&gt;1&lt;/R&gt;&lt;C&gt;1&lt;/C&gt;&lt;D xsi:type="xsd:double"&gt;1.3894305&lt;/D&gt;&lt;/FQL&gt;&lt;FQL&gt;&lt;Q&gt;MAS-US^P_BETA_LOCIDX(45118,44943,,"SPX")&lt;/Q&gt;&lt;R&gt;1&lt;/R&gt;&lt;C&gt;1&lt;/C&gt;&lt;D xsi:type="xsd:double"&gt;1.3872796&lt;/D&gt;&lt;/FQL&gt;&lt;FQL&gt;&lt;Q&gt;MAS-US^P_BETA_LOCIDX(45117,44939,,"SPX")&lt;/Q&gt;&lt;R&gt;1&lt;/R&gt;&lt;C&gt;1&lt;/C&gt;&lt;D xsi:type="xsd:double"&gt;1.3819839&lt;/D&gt;&lt;/FQL&gt;&lt;FQL&gt;&lt;Q&gt;MAS-US^P_BETA_LOCIDX(45114,44938,,"SPX")&lt;/Q&gt;&lt;R&gt;1&lt;/R&gt;&lt;C&gt;1&lt;/C&gt;&lt;D xsi:type="xsd:double"&gt;1.3774562&lt;/D&gt;&lt;/FQL&gt;&lt;FQL&gt;&lt;Q&gt;MAS-US^P_BETA_LOCIDX(45113,44937,,"SPX")&lt;/Q&gt;&lt;R&gt;1&lt;/R&gt;&lt;C&gt;1&lt;/C&gt;&lt;D xsi:type="xsd:double"&gt;1.3795048&lt;/D&gt;&lt;/FQL&gt;&lt;FQL&gt;&lt;Q&gt;MAS-US^P_BETA_LOCIDX(45112,44936,,"SPX")&lt;/Q&gt;&lt;R&gt;1&lt;/R&gt;&lt;C&gt;1&lt;/C&gt;&lt;D xsi:type="xsd:double"&gt;1.3742626&lt;/D&gt;&lt;/FQL&gt;&lt;FQL&gt;&lt;Q&gt;MAS-US^P_BETA_LOCIDX(45110,44935,,"SPX")&lt;/Q&gt;&lt;R&gt;1&lt;/R&gt;&lt;C&gt;1&lt;/C&gt;&lt;D xsi:type="xsd:double"&gt;1.368137&lt;/D&gt;&lt;/FQL&gt;&lt;FQL&gt;&lt;Q&gt;MAS-US^P_BETA_LOCIDX(45107,44932,,"SPX")&lt;/Q&gt;&lt;R&gt;1&lt;/R&gt;&lt;C&gt;1&lt;/C&gt;&lt;D xsi:type="xsd:double"&gt;1.3693013&lt;/D&gt;&lt;/FQL&gt;&lt;FQL&gt;&lt;Q&gt;MAS-US^P_BETA_LOCIDX(45106,44931,,"SPX")&lt;/Q&gt;&lt;R&gt;1&lt;/R&gt;&lt;C&gt;1&lt;/C&gt;&lt;D xsi:type="xsd:double"&gt;1.3817788&lt;/D&gt;&lt;/FQL&gt;&lt;FQL&gt;&lt;Q&gt;MAS-US^P_BETA_LOCIDX(45105,44930,,"SPX")&lt;/Q&gt;&lt;R&gt;1&lt;/R&gt;&lt;C&gt;1&lt;/C&gt;&lt;D xsi:type="xsd:double"&gt;1.3915365&lt;/D&gt;&lt;/FQL&gt;&lt;FQL&gt;&lt;Q&gt;MAS-US^P_BETA_LOCIDX(45104,44929,,"SPX")&lt;/Q&gt;&lt;R&gt;1&lt;/R&gt;&lt;C&gt;1&lt;/C&gt;&lt;D xsi:type="xsd:double"&gt;1.3801041&lt;/D&gt;&lt;/FQL&gt;&lt;FQL&gt;&lt;Q&gt;MAS-US^P_BETA_LOCIDX(45103,44925,,"SPX")&lt;/Q&gt;&lt;R&gt;1&lt;/R&gt;&lt;C&gt;1&lt;/C&gt;&lt;D xsi:type="xsd:double"&gt;1.3709645&lt;/D&gt;&lt;/FQL&gt;&lt;FQL&gt;&lt;Q&gt;MAS-US^P_BETA_LOCIDX(45100,44924,,"SPX")&lt;/Q&gt;&lt;R&gt;1&lt;/R&gt;&lt;C&gt;1&lt;/C&gt;&lt;D xsi:type="xsd:double"&gt;1.375649&lt;/D&gt;&lt;/FQL&gt;&lt;FQL&gt;&lt;Q&gt;MAS-US^P_BETA_LOCIDX(45099,44923,,"SPX")&lt;/Q&gt;&lt;R&gt;1&lt;/R&gt;&lt;C&gt;1&lt;/C&gt;&lt;D xsi:type="xsd:double"&gt;1.3917654&lt;/D&gt;&lt;/FQL&gt;&lt;FQL&gt;&lt;Q&gt;MAS-US^P_BETA_LOCIDX(45098,44922,,"SPX")&lt;/Q&gt;&lt;R&gt;1&lt;/R&gt;&lt;C&gt;1&lt;/C&gt;&lt;D xsi:type="xsd:double"&gt;1.3923169&lt;/D&gt;&lt;/FQL&gt;&lt;FQL&gt;&lt;Q&gt;MAS-US^P_BETA_LOCIDX(45097,44918,,"SPX")&lt;/Q&gt;&lt;R&gt;1&lt;/R&gt;&lt;C&gt;1&lt;/C&gt;&lt;D xsi:type="xsd:double"&gt;1.3967562&lt;/D&gt;&lt;/FQL&gt;&lt;FQL&gt;&lt;Q&gt;MAS-US^P_BETA_LOCIDX(45093,44917,,"SPX")&lt;/Q&gt;&lt;R&gt;1&lt;/R&gt;&lt;C&gt;1&lt;/C&gt;&lt;D xsi:type="xsd:double"&gt;1.3816681&lt;/D&gt;&lt;/FQL&gt;&lt;FQL&gt;&lt;Q&gt;MAS-US^P_BETA_LOCIDX(45092,44916,,"SPX")&lt;/Q&gt;&lt;R&gt;1&lt;/R&gt;&lt;C&gt;1&lt;/C&gt;&lt;D xsi:type="xsd:double"&gt;1.3697484&lt;/D&gt;&lt;/FQL&gt;&lt;FQL&gt;&lt;Q&gt;MAS-US^P_BETA_LOCIDX(45091,44915,,"SPX")&lt;/Q&gt;&lt;R&gt;1&lt;/R&gt;&lt;C&gt;1&lt;/C&gt;&lt;D xsi:type="xsd:double"&gt;1.3734735&lt;/D&gt;&lt;/FQL&gt;&lt;FQL&gt;&lt;Q&gt;MAS-US^P_BETA_LOCIDX(45090,44914,,"SPX")&lt;/Q&gt;&lt;R&gt;1&lt;/R&gt;&lt;C&gt;1&lt;/C&gt;&lt;D xsi:type="xsd:double"&gt;1.3705685&lt;/D&gt;&lt;/FQL&gt;&lt;FQL&gt;&lt;Q&gt;MAS-US^P_BETA_LOCIDX(45089,44911,,"SPX")&lt;/Q&gt;&lt;R&gt;1&lt;/R&gt;&lt;C&gt;1&lt;/C&gt;&lt;D xsi:type="xsd:double"&gt;1.3766942&lt;/D&gt;&lt;/FQL&gt;&lt;FQL&gt;&lt;Q&gt;MAS-US^P_BETA_LOCIDX(45086,44910,,"SPX")&lt;/Q&gt;&lt;R&gt;1&lt;/R&gt;&lt;C&gt;1&lt;/C&gt;&lt;D xsi:type="xsd:double"&gt;1.3642571&lt;/D&gt;&lt;/FQL&gt;&lt;FQL&gt;&lt;Q&gt;MAS-US^P_BETA_LOCIDX(45085,44909,,"SPX")&lt;/Q&gt;&lt;R&gt;1&lt;/R&gt;&lt;C&gt;1&lt;/C&gt;&lt;D xsi:type="xsd:double"&gt;1.3745388&lt;/D&gt;&lt;/FQL&gt;&lt;FQL&gt;&lt;Q&gt;MAS-US^P_BETA_LOCIDX(45084,44908,,"SPX")&lt;/Q&gt;&lt;R&gt;1&lt;/R&gt;&lt;C&gt;1&lt;/C&gt;&lt;D xsi:type="xsd:double"&gt;1.3953164&lt;/D&gt;&lt;/FQL&gt;&lt;FQL&gt;&lt;Q&gt;MAS-US^P_BETA_LOCIDX(45083,44907,,"SPX")&lt;/Q&gt;&lt;R&gt;1&lt;/R&gt;&lt;C&gt;1&lt;/C&gt;&lt;D xsi:type="xsd:double"&gt;1.3953061&lt;/D&gt;&lt;/FQL&gt;&lt;FQL&gt;&lt;Q&gt;MAS-US^P_BETA_LOCIDX(45082,44904,,"SPX")&lt;/Q&gt;&lt;R&gt;1&lt;/R&gt;&lt;C&gt;1&lt;/C&gt;&lt;D xsi:type="xsd:double"&gt;1.3869672&lt;/D&gt;&lt;/FQL&gt;&lt;FQL&gt;&lt;Q&gt;MAS-US^P_BETA_LOCIDX(45079,44903,,"SPX")&lt;/Q&gt;&lt;R&gt;1&lt;/R&gt;&lt;C&gt;1&lt;/C&gt;&lt;D xsi:type="xsd:double"&gt;1.3880186&lt;/D&gt;&lt;/FQL&gt;&lt;FQL&gt;&lt;Q&gt;MAS-US^P_BETA_LOCIDX(45078,44902,,"SPX")&lt;/Q&gt;&lt;R&gt;1&lt;/R&gt;&lt;C&gt;1&lt;/C&gt;&lt;D xsi:type="xsd:double"&gt;1.3496808&lt;/D&gt;&lt;/FQL&gt;&lt;FQL&gt;&lt;Q&gt;MAS-US^P_BETA_LOCIDX(45077,44901,,"SPX")&lt;/Q&gt;&lt;R&gt;1&lt;/R&gt;&lt;C&gt;1&lt;/C&gt;&lt;D xsi:type="xsd:double"&gt;1.3476546&lt;/D&gt;&lt;/FQL&gt;&lt;FQL&gt;&lt;Q&gt;MAS-US^P_BETA_LOCIDX(45076,44900,,"SPX")&lt;/Q&gt;&lt;R&gt;1&lt;/R&gt;&lt;C&gt;1&lt;/C&gt;&lt;D xsi:type="xsd:double"&gt;1.3419949&lt;/D&gt;&lt;/FQL&gt;&lt;FQL&gt;&lt;Q&gt;MAS-US^P_BETA_LOCIDX(45072,44897,,"SPX")&lt;/Q&gt;&lt;R&gt;1&lt;/R&gt;&lt;C&gt;1&lt;/C&gt;&lt;D xsi:type="xsd:double"&gt;1.3434148&lt;/D&gt;&lt;/FQL&gt;&lt;FQL&gt;&lt;Q&gt;MAS-US^P_BETA_LOCIDX(45071,44896,,"SPX")&lt;/Q&gt;&lt;R&gt;1&lt;/R&gt;&lt;C&gt;1&lt;/C&gt;&lt;D xsi:type="xsd:double"&gt;1.3484799&lt;/D&gt;&lt;/FQL&gt;&lt;FQL&gt;&lt;Q&gt;MAS-US^P_BETA_LOCIDX(45070,44895,,"SPX")&lt;/Q&gt;&lt;R&gt;1&lt;/R&gt;&lt;C&gt;1&lt;/C&gt;&lt;D xsi:type="xsd:double"&gt;1.300616&lt;/D&gt;&lt;/FQL&gt;&lt;FQL&gt;&lt;Q&gt;MAS-US^P_BETA_LOCIDX(45069,44894,,"SPX")&lt;/Q&gt;&lt;R&gt;1&lt;/R&gt;&lt;C&gt;1&lt;/C&gt;&lt;D xsi:type="xsd:double"&gt;1.2958714&lt;/D&gt;&lt;/FQL&gt;&lt;FQL&gt;&lt;Q&gt;MAS-US^P_BETA_LOCIDX(45068,44893,,"SPX")&lt;/Q&gt;&lt;R&gt;1&lt;/R&gt;&lt;C&gt;1&lt;/C&gt;&lt;D xsi:type="xsd:double"&gt;1.295976&lt;/D&gt;&lt;/FQL&gt;&lt;FQL&gt;&lt;Q&gt;MAS-US^P_BETA_LOCIDX(45065,44890,,"SPX")&lt;/Q&gt;&lt;R&gt;1&lt;/R&gt;&lt;C&gt;1&lt;/C&gt;&lt;D xsi:type="xsd:double"&gt;1.2955184&lt;/D&gt;&lt;/FQL&gt;&lt;FQL&gt;&lt;Q&gt;MAS-US^P_BETA_LOCIDX(45064,44888,,"SPX")&lt;/Q&gt;&lt;R&gt;1&lt;/R&gt;&lt;C&gt;1&lt;/C&gt;&lt;D xsi:type="xsd:double"&gt;1.2932106&lt;/D&gt;&lt;/FQL&gt;&lt;FQL&gt;&lt;Q&gt;MAS-US^P_BETA_LOCIDX(45063,44887,,"SPX")&lt;/Q&gt;&lt;R&gt;1&lt;/R&gt;&lt;C&gt;1&lt;/C&gt;&lt;D xsi:type="xsd:double"&gt;1.287872&lt;/D&gt;&lt;/FQL&gt;&lt;FQL&gt;&lt;Q&gt;MAS-US^P_BETA_LOCIDX(45062,44886,,"SPX")&lt;/Q&gt;&lt;R&gt;1&lt;/R&gt;&lt;C&gt;1&lt;/C&gt;&lt;D xsi:type="xsd:double"&gt;1.2776688&lt;/D&gt;&lt;/FQL&gt;&lt;FQL&gt;&lt;Q&gt;MAS-US^P_BETA_LOCIDX(45061,44883,,"SPX")&lt;/Q&gt;&lt;R&gt;1&lt;/R&gt;&lt;C&gt;1&lt;/C&gt;&lt;D xsi:type="xsd:double"&gt;1.2764373&lt;/D&gt;&lt;/FQL&gt;&lt;FQL&gt;&lt;Q&gt;MAS-US^P_BETA_LOCIDX(45058,44882,,"SPX")&lt;/Q&gt;&lt;R&gt;1&lt;/R&gt;&lt;C&gt;1&lt;/C&gt;&lt;D xsi:type="xsd:double"&gt;1.2816516&lt;/D&gt;&lt;/FQL&gt;&lt;FQL&gt;&lt;Q&gt;MAS-US^P_BETA_LOCIDX(45057,44881,,"SPX")&lt;/Q&gt;&lt;R&gt;1&lt;/R&gt;&lt;C&gt;1&lt;/C&gt;&lt;D xsi:type="xsd:double"&gt;1.2810715&lt;/D&gt;&lt;/FQL&gt;&lt;FQL&gt;&lt;Q&gt;MAS-US^P_BETA_LOCIDX(45056,44880,,"SPX")&lt;/Q&gt;&lt;R&gt;1&lt;/R&gt;&lt;C&gt;1&lt;/C&gt;&lt;D xsi:type="xsd:double"&gt;1.2880203&lt;/D&gt;&lt;/FQL&gt;&lt;FQL&gt;&lt;Q&gt;MAS-US^P_BETA_LOCIDX(45055,44879,,"SPX")&lt;/Q&gt;&lt;R&gt;1&lt;/R&gt;&lt;C&gt;1&lt;/C&gt;&lt;D xsi:type="xsd:double"&gt;1.3042907&lt;/D&gt;&lt;/FQL&gt;&lt;FQL&gt;&lt;Q&gt;MAS-US^P_BETA_LOCIDX(45054,44876,,"SPX")&lt;/Q&gt;&lt;R&gt;1&lt;/R&gt;&lt;C&gt;1&lt;/C&gt;&lt;D xsi:type="xsd:double"&gt;1.3096672&lt;/D&gt;&lt;/FQL&gt;&lt;FQL&gt;&lt;Q&gt;MAS-US^P_BETA_LOCIDX(45051,44875,,"SPX")&lt;/Q&gt;&lt;R&gt;1&lt;/R&gt;&lt;C&gt;1&lt;/C&gt;&lt;D xsi:type="xsd:double"&gt;1.4501046&lt;/D&gt;&lt;/FQL&gt;&lt;FQL&gt;&lt;Q&gt;MAS-US^P_BETA_LOCIDX(45050,44874,,"SPX")&lt;/Q&gt;&lt;R&gt;1&lt;/R&gt;&lt;C&gt;1&lt;/C&gt;&lt;D xsi:type="xsd:double"&gt;1.4399412&lt;/D&gt;&lt;/FQL&gt;&lt;FQL&gt;&lt;Q&gt;MAS-US^P_BETA_LOCIDX(45049,44873,,"SPX")&lt;/Q&gt;&lt;R&gt;1&lt;/R&gt;&lt;C&gt;1&lt;/C&gt;&lt;D xsi:type="xsd:double"&gt;1.4393522&lt;/D&gt;&lt;/FQL&gt;&lt;FQL&gt;&lt;Q&gt;MAS-US^P_BETA_LOCIDX(45048,44872,,"SPX")&lt;/Q&gt;&lt;R&gt;1&lt;/R&gt;&lt;C&gt;1&lt;/C&gt;&lt;D xsi:type="xsd:double"&gt;1.4525344&lt;/D&gt;&lt;/FQL&gt;&lt;FQL&gt;&lt;Q&gt;MAS-US^P_BETA_LOCIDX(45047,44869,,"SPX")&lt;/Q&gt;&lt;R&gt;1&lt;/R&gt;&lt;C&gt;1&lt;/C&gt;&lt;D xsi:type="xsd:double"&gt;1.4602892&lt;/D&gt;&lt;/FQL&gt;&lt;FQL&gt;&lt;Q&gt;MAS-US^P_BETA_LOCIDX(45044,44868,,"SPX")&lt;/Q&gt;&lt;R&gt;1&lt;/R&gt;&lt;C&gt;1&lt;/C&gt;&lt;D xsi:type="xsd:double"&gt;1.468933&lt;/D&gt;&lt;/FQL&gt;&lt;FQL&gt;&lt;Q&gt;MAS-US^P_BETA_LOCIDX(45043,44867,,"SPX")&lt;/Q&gt;&lt;R&gt;1&lt;/R&gt;&lt;C&gt;1&lt;/C&gt;&lt;D xsi:type="xsd:double"&gt;1.4654653&lt;/D&gt;&lt;/FQL&gt;&lt;FQL&gt;&lt;Q&gt;MAS-US^P_BETA_LOCIDX(45042,44866,,"SPX")&lt;/Q&gt;&lt;R&gt;1&lt;/R&gt;&lt;C&gt;1&lt;/C&gt;&lt;D xsi:type="xsd:double"&gt;1.4549041&lt;/D&gt;&lt;/FQL&gt;&lt;FQL&gt;&lt;Q&gt;MAS-US^P_BETA_LOCIDX(45041,44865,,"SPX")&lt;/Q&gt;&lt;R&gt;1&lt;/R&gt;&lt;C&gt;1&lt;/C&gt;&lt;D xsi:type="xsd:double"&gt;1.4627677&lt;/D&gt;&lt;/FQL&gt;&lt;FQL&gt;&lt;Q&gt;MAS-US^P_BETA_LOCIDX(45040,44862,,"SPX")&lt;/Q&gt;&lt;R&gt;1&lt;/R&gt;&lt;C&gt;1&lt;/C&gt;&lt;D xsi:type="xsd:double"&gt;1.4521769&lt;/D&gt;&lt;/FQL&gt;&lt;FQL&gt;&lt;Q&gt;MAS-US^P_BETA_LOCIDX(45037,44861,,"SPX")&lt;/Q&gt;&lt;R&gt;1&lt;/R&gt;&lt;C&gt;1&lt;/C&gt;&lt;D xsi:type="xsd:double"&gt;1.4446362&lt;/D&gt;&lt;/FQL&gt;&lt;FQL&gt;&lt;Q&gt;MAS-US^P_BETA_LOCIDX(45036,44860,,"SPX")&lt;/Q&gt;&lt;R&gt;1&lt;/R&gt;&lt;C&gt;1&lt;/C&gt;&lt;D xsi:type="xsd:double"&gt;1.466799&lt;/D&gt;&lt;/FQL&gt;&lt;FQL&gt;&lt;Q&gt;MAS-US^P_BETA_LOCIDX(45035,44859,,"SPX")&lt;/Q&gt;&lt;R&gt;1&lt;/R&gt;&lt;C&gt;1&lt;/C&gt;&lt;D xsi:type="xsd:double"&gt;1.4788867&lt;/D&gt;&lt;/FQL&gt;&lt;FQL&gt;&lt;Q&gt;MAS-US^P_BETA_LOCIDX(45034,44858,,"SPX")&lt;/Q&gt;&lt;R&gt;1&lt;/R&gt;&lt;C&gt;1&lt;/C&gt;&lt;D xsi:type="xsd:double"&gt;1.477716&lt;/D&gt;&lt;/FQL&gt;&lt;FQL&gt;&lt;Q&gt;MAS-US^P_BETA_LOCIDX(45033,44855,,"SPX")&lt;/Q&gt;&lt;R&gt;1&lt;/R&gt;&lt;C&gt;1&lt;/C&gt;&lt;D xsi:type="xsd:double"&gt;1.4828774&lt;/D&gt;&lt;/FQL&gt;&lt;FQL&gt;&lt;Q&gt;MAS-US^P_BETA_LOCIDX(45030,44854,,"SPX")&lt;/Q&gt;&lt;R&gt;1&lt;/R&gt;&lt;C&gt;1&lt;/C&gt;&lt;D xsi:type="xsd:double"&gt;1.4934254&lt;/D&gt;&lt;/FQL&gt;&lt;FQL&gt;&lt;Q&gt;MAS-US^P_BETA_LOCIDX(45029,44853,,"SPX")&lt;/Q&gt;&lt;R&gt;1&lt;/R&gt;&lt;C&gt;1&lt;/C&gt;&lt;D xsi:type="xsd:double"&gt;1.5092592&lt;/D&gt;&lt;/FQL&gt;&lt;FQL&gt;&lt;Q&gt;MAS-US^P_BETA_LOCIDX(45028,44852,,"SPX")&lt;/Q&gt;&lt;R&gt;1&lt;/R&gt;&lt;C&gt;1&lt;/C&gt;&lt;D xsi:type="xsd:double"&gt;1.5178143&lt;/D&gt;&lt;/FQL&gt;&lt;FQL&gt;&lt;Q&gt;MAS-US^P_BETA_LOCIDX(45027,44851,,"SPX")&lt;/Q&gt;&lt;R&gt;1&lt;/R&gt;&lt;C&gt;1&lt;/C&gt;&lt;D xsi:type="xsd:double"&gt;1.4927495&lt;/D&gt;&lt;/FQL&gt;&lt;FQL&gt;&lt;Q&gt;MAS-US^P_BETA_LOCIDX(45026,44848,,"SPX")&lt;/Q&gt;&lt;R&gt;1&lt;/R&gt;&lt;C&gt;1&lt;/C&gt;&lt;D xsi:type="xsd:double"&gt;1.4921526&lt;/D&gt;&lt;/FQL&gt;&lt;FQL&gt;&lt;Q&gt;MAS-US^P_BETA_LOCIDX(45022,44847,,"SPX")&lt;/Q&gt;&lt;R&gt;1&lt;/R&gt;&lt;C&gt;1&lt;/C&gt;&lt;D xsi:type="xsd:double"&gt;1.4501563&lt;/D&gt;&lt;/FQL&gt;&lt;FQL&gt;&lt;Q&gt;MAS-US^P_BETA_LOCIDX(45021,44846,,"SPX")&lt;/Q&gt;&lt;R&gt;1&lt;/R&gt;&lt;C&gt;1&lt;/C&gt;&lt;D xsi:type="xsd:double"&gt;1.4516512&lt;/D&gt;&lt;/FQL&gt;&lt;FQL&gt;&lt;Q&gt;MAS-US^P_BETA_LOCIDX(45020,44845,,"SPX")&lt;/Q&gt;&lt;R&gt;1&lt;/R&gt;&lt;C&gt;1&lt;/C&gt;&lt;D xsi:type="xsd:double"&gt;1.4452901&lt;/D&gt;&lt;/FQL&gt;&lt;FQL&gt;&lt;Q&gt;MAS-US^P_BETA_LOCIDX(45019,44844,,"SPX")&lt;/Q&gt;&lt;R&gt;1&lt;/R&gt;&lt;C&gt;1&lt;/C&gt;&lt;D xsi:type="xsd:double"&gt;1.4308715&lt;/D&gt;&lt;/FQL&gt;&lt;FQL&gt;&lt;Q&gt;MAS-US^P_BETA_LOCIDX(45016,44841,,"SPX")&lt;/Q&gt;&lt;R&gt;1&lt;/R&gt;&lt;C&gt;1&lt;/C&gt;&lt;D xsi:type="xsd:double"&gt;1.4275153&lt;/D&gt;&lt;/FQL&gt;&lt;FQL&gt;&lt;Q&gt;MAS-US^P_BETA_LOCIDX(45015,44840,,"SPX")&lt;/Q&gt;&lt;R&gt;1&lt;/R&gt;&lt;C&gt;1&lt;/C&gt;&lt;D xsi:type="xsd:double"&gt;1.4073329&lt;/D&gt;&lt;/FQL&gt;&lt;FQL&gt;&lt;Q&gt;MAS-US^P_BETA_LOCIDX(45014,44839,,"SPX")&lt;/Q&gt;&lt;R&gt;1&lt;/R&gt;&lt;C&gt;1&lt;/C&gt;&lt;D xsi:type="xsd:double"&gt;1.4113345&lt;/D&gt;&lt;/FQL&gt;&lt;FQL&gt;&lt;Q&gt;MAS-US^P_BETA_LOCIDX(45013,44838,,"SPX")&lt;/Q&gt;&lt;R&gt;1&lt;/R&gt;&lt;C&gt;1&lt;/C&gt;&lt;D xsi:type="xsd:double"&gt;1.40584&lt;/</t>
        </r>
      </text>
    </comment>
    <comment ref="A18" authorId="0" shapeId="0" xr:uid="{EAD9F3E6-3237-4DE8-B095-E66C62C273DA}">
      <text>
        <r>
          <rPr>
            <b/>
            <sz val="9"/>
            <color indexed="81"/>
            <rFont val="Tahoma"/>
            <charset val="1"/>
          </rPr>
          <t>D&gt;&lt;/FQL&gt;&lt;FQL&gt;&lt;Q&gt;MAS-US^P_BETA_LOCIDX(45012,44837,,"SPX")&lt;/Q&gt;&lt;R&gt;1&lt;/R&gt;&lt;C&gt;1&lt;/C&gt;&lt;D xsi:type="xsd:double"&gt;1.4112241&lt;/D&gt;&lt;/FQL&gt;&lt;FQL&gt;&lt;Q&gt;MAS-US^P_BETA_LOCIDX(45009,44834,,"SPX")&lt;/Q&gt;&lt;R&gt;1&lt;/R&gt;&lt;C&gt;1&lt;/C&gt;&lt;D xsi:type="xsd:double"&gt;1.404603&lt;/D&gt;&lt;/FQL&gt;&lt;FQL&gt;&lt;Q&gt;MAS-US^P_BETA_LOCIDX(45008,44833,,"SPX")&lt;/Q&gt;&lt;R&gt;1&lt;/R&gt;&lt;C&gt;1&lt;/C&gt;&lt;D xsi:type="xsd:double"&gt;1.4096398&lt;/D&gt;&lt;/FQL&gt;&lt;FQL&gt;&lt;Q&gt;MAS-US^P_BETA_LOCIDX(45007,44832,,"SPX")&lt;/Q&gt;&lt;R&gt;1&lt;/R&gt;&lt;C&gt;1&lt;/C&gt;&lt;D xsi:type="xsd:double"&gt;1.4425759&lt;/D&gt;&lt;/FQL&gt;&lt;FQL&gt;&lt;Q&gt;MAS-US^P_BETA_LOCIDX(45006,44831,,"SPX")&lt;/Q&gt;&lt;R&gt;1&lt;/R&gt;&lt;C&gt;1&lt;/C&gt;&lt;D xsi:type="xsd:double"&gt;1.4280466&lt;/D&gt;&lt;/FQL&gt;&lt;FQL&gt;&lt;Q&gt;MAS-US^P_BETA_LOCIDX(45005,44830,,"SPX")&lt;/Q&gt;&lt;R&gt;1&lt;/R&gt;&lt;C&gt;1&lt;/C&gt;&lt;D xsi:type="xsd:double"&gt;1.4302623&lt;/D&gt;&lt;/FQL&gt;&lt;FQL&gt;&lt;Q&gt;MAS-US^P_BETA_LOCIDX(45002,44827,,"SPX")&lt;/Q&gt;&lt;R&gt;1&lt;/R&gt;&lt;C&gt;1&lt;/C&gt;&lt;D xsi:type="xsd:double"&gt;1.4073292&lt;/D&gt;&lt;/FQL&gt;&lt;FQL&gt;&lt;Q&gt;MAS-US^P_BETA_LOCIDX(45001,44826,,"SPX")&lt;/Q&gt;&lt;R&gt;1&lt;/R&gt;&lt;C&gt;1&lt;/C&gt;&lt;D xsi:type="xsd:double"&gt;1.4075865&lt;/D&gt;&lt;/FQL&gt;&lt;FQL&gt;&lt;Q&gt;MAS-US^P_BETA_LOCIDX(45000,44825,,"SPX")&lt;/Q&gt;&lt;R&gt;1&lt;/R&gt;&lt;C&gt;1&lt;/C&gt;&lt;D xsi:type="xsd:double"&gt;1.4153785&lt;/D&gt;&lt;/FQL&gt;&lt;FQL&gt;&lt;Q&gt;MAS-US^P_BETA_LOCIDX(44999,44824,,"SPX")&lt;/Q&gt;&lt;R&gt;1&lt;/R&gt;&lt;C&gt;1&lt;/C&gt;&lt;D xsi:type="xsd:double"&gt;1.4182254&lt;/D&gt;&lt;/FQL&gt;&lt;FQL&gt;&lt;Q&gt;MAS-US^P_BETA_LOCIDX(44998,44823,,"SPX")&lt;/Q&gt;&lt;R&gt;1&lt;/R&gt;&lt;C&gt;1&lt;/C&gt;&lt;D xsi:type="xsd:double"&gt;1.4301641&lt;/D&gt;&lt;/FQL&gt;&lt;FQL&gt;&lt;Q&gt;MAS-US^P_BETA_LOCIDX(44995,44820,,"SPX")&lt;/Q&gt;&lt;R&gt;1&lt;/R&gt;&lt;C&gt;1&lt;/C&gt;&lt;D xsi:type="xsd:double"&gt;1.4287957&lt;/D&gt;&lt;/FQL&gt;&lt;FQL&gt;&lt;Q&gt;MAS-US^P_BETA_LOCIDX(44994,44819,,"SPX")&lt;/Q&gt;&lt;R&gt;1&lt;/R&gt;&lt;C&gt;1&lt;/C&gt;&lt;D xsi:type="xsd:double"&gt;1.4183639&lt;/D&gt;&lt;/FQL&gt;&lt;FQL&gt;&lt;Q&gt;MAS-US^P_BETA_LOCIDX(44993,44818,,"SPX")&lt;/Q&gt;&lt;R&gt;1&lt;/R&gt;&lt;C&gt;1&lt;/C&gt;&lt;D xsi:type="xsd:double"&gt;1.4317873&lt;/D&gt;&lt;/FQL&gt;&lt;FQL&gt;&lt;Q&gt;MAS-US^P_BETA_LOCIDX(44992,44817,,"SPX")&lt;/Q&gt;&lt;R&gt;1&lt;/R&gt;&lt;C&gt;1&lt;/C&gt;&lt;D xsi:type="xsd:double"&gt;1.4324429&lt;/D&gt;&lt;/FQL&gt;&lt;FQL&gt;&lt;Q&gt;MAS-US^P_BETA_LOCIDX(44991,44816,,"SPX")&lt;/Q&gt;&lt;R&gt;1&lt;/R&gt;&lt;C&gt;1&lt;/C&gt;&lt;D xsi:type="xsd:double"&gt;1.4330938&lt;/D&gt;&lt;/FQL&gt;&lt;FQL&gt;&lt;Q&gt;MAS-US^P_BETA_LOCIDX(44988,44813,,"SPX")&lt;/Q&gt;&lt;R&gt;1&lt;/R&gt;&lt;C&gt;1&lt;/C&gt;&lt;D xsi:type="xsd:double"&gt;1.433149&lt;/D&gt;&lt;/FQL&gt;&lt;FQL&gt;&lt;Q&gt;MAS-US^P_BETA_LOCIDX(44987,44812,,"SPX")&lt;/Q&gt;&lt;R&gt;1&lt;/R&gt;&lt;C&gt;1&lt;/C&gt;&lt;D xsi:type="xsd:double"&gt;1.437393&lt;/D&gt;&lt;/FQL&gt;&lt;FQL&gt;&lt;Q&gt;MAS-US^P_BETA_LOCIDX(44986,44811,,"SPX")&lt;/Q&gt;&lt;R&gt;1&lt;/R&gt;&lt;C&gt;1&lt;/C&gt;&lt;D xsi:type="xsd:double"&gt;1.4421809&lt;/D&gt;&lt;/FQL&gt;&lt;FQL&gt;&lt;Q&gt;MAS-US^P_BETA_LOCIDX(44985,44810,,"SPX")&lt;/Q&gt;&lt;R&gt;1&lt;/R&gt;&lt;C&gt;1&lt;/C&gt;&lt;D xsi:type="xsd:double"&gt;1.4414672&lt;/D&gt;&lt;/FQL&gt;&lt;FQL&gt;&lt;Q&gt;MAS-US^P_BETA_LOCIDX(44984,44806,,"SPX")&lt;/Q&gt;&lt;R&gt;1&lt;/R&gt;&lt;C&gt;1&lt;/C&gt;&lt;D xsi:type="xsd:double"&gt;1.443234&lt;/D&gt;&lt;/FQL&gt;&lt;FQL&gt;&lt;Q&gt;MAS-US^P_BETA_LOCIDX(44981,44805,,"SPX")&lt;/Q&gt;&lt;R&gt;1&lt;/R&gt;&lt;C&gt;1&lt;/C&gt;&lt;D xsi:type="xsd:double"&gt;1.4431237&lt;/D&gt;&lt;/FQL&gt;&lt;FQL&gt;&lt;Q&gt;MAS-US^P_BETA_LOCIDX(44980,44804,,"SPX")&lt;/Q&gt;&lt;R&gt;1&lt;/R&gt;&lt;C&gt;1&lt;/C&gt;&lt;D xsi:type="xsd:double"&gt;1.4406996&lt;/D&gt;&lt;/FQL&gt;&lt;FQL&gt;&lt;Q&gt;MAS-US^P_BETA_LOCIDX(44979,44803,,"SPX")&lt;/Q&gt;&lt;R&gt;1&lt;/R&gt;&lt;C&gt;1&lt;/C&gt;&lt;D xsi:type="xsd:double"&gt;1.432167&lt;/D&gt;&lt;/FQL&gt;&lt;FQL&gt;&lt;Q&gt;MAS-US^P_BETA_LOCIDX(44978,44802,,"SPX")&lt;/Q&gt;&lt;R&gt;1&lt;/R&gt;&lt;C&gt;1&lt;/C&gt;&lt;D xsi:type="xsd:double"&gt;1.4312899&lt;/D&gt;&lt;/FQL&gt;&lt;FQL&gt;&lt;Q&gt;MAS-US^P_BETA_LOCIDX(44974,44799,,"SPX")&lt;/Q&gt;&lt;R&gt;1&lt;/R&gt;&lt;C&gt;1&lt;/C&gt;&lt;D xsi:type="xsd:double"&gt;1.4155446&lt;/D&gt;&lt;/FQL&gt;&lt;FQL&gt;&lt;Q&gt;MAS-US^P_BETA_LOCIDX(44973,44798,,"SPX")&lt;/Q&gt;&lt;R&gt;1&lt;/R&gt;&lt;C&gt;1&lt;/C&gt;&lt;D xsi:type="xsd:double"&gt;1.4109164&lt;/D&gt;&lt;/FQL&gt;&lt;FQL&gt;&lt;Q&gt;MAS-US^P_BETA_LOCIDX(44972,44797,,"SPX")&lt;/Q&gt;&lt;R&gt;1&lt;/R&gt;&lt;C&gt;1&lt;/C&gt;&lt;D xsi:type="xsd:double"&gt;1.4174684&lt;/D&gt;&lt;/FQL&gt;&lt;FQL&gt;&lt;Q&gt;MAS-US^P_BETA_LOCIDX(44971,44796,,"SPX")&lt;/Q&gt;&lt;R&gt;1&lt;/R&gt;&lt;C&gt;1&lt;/C&gt;&lt;D xsi:type="xsd:double"&gt;1.4174159&lt;/D&gt;&lt;/FQL&gt;&lt;FQL&gt;&lt;Q&gt;MAS-US^P_BETA_LOCIDX(44970,44795,,"SPX")&lt;/Q&gt;&lt;R&gt;1&lt;/R&gt;&lt;C&gt;1&lt;/C&gt;&lt;D xsi:type="xsd:double"&gt;1.4283129&lt;/D&gt;&lt;/FQL&gt;&lt;FQL&gt;&lt;Q&gt;MAS-US^P_BETA_LOCIDX(44967,44792,,"SPX")&lt;/Q&gt;&lt;R&gt;1&lt;/R&gt;&lt;C&gt;1&lt;/C&gt;&lt;D xsi:type="xsd:double"&gt;1.4228215&lt;/D&gt;&lt;/FQL&gt;&lt;FQL&gt;&lt;Q&gt;MAS-US^P_BETA_LOCIDX(44966,44791,,"SPX")&lt;/Q&gt;&lt;R&gt;1&lt;/R&gt;&lt;C&gt;1&lt;/C&gt;&lt;D xsi:type="xsd:double"&gt;1.4209214&lt;/D&gt;&lt;/FQL&gt;&lt;FQL&gt;&lt;Q&gt;MAS-US^P_BETA_LOCIDX(44965,44790,,"SPX")&lt;/Q&gt;&lt;R&gt;1&lt;/R&gt;&lt;C&gt;1&lt;/C&gt;&lt;D xsi:type="xsd:double"&gt;1.420342&lt;/D&gt;&lt;/FQL&gt;&lt;FQL&gt;&lt;Q&gt;MAS-US^P_BETA_LOCIDX(44964,44789,,"SPX")&lt;/Q&gt;&lt;R&gt;1&lt;/R&gt;&lt;C&gt;1&lt;/C&gt;&lt;D xsi:type="xsd:double"&gt;1.424442&lt;/D&gt;&lt;/FQL&gt;&lt;FQL&gt;&lt;Q&gt;MAS-US^P_BETA_LOCIDX(44963,44788,,"SPX")&lt;/Q&gt;&lt;R&gt;1&lt;/R&gt;&lt;C&gt;1&lt;/C&gt;&lt;D xsi:type="xsd:double"&gt;1.4308554&lt;/D&gt;&lt;/FQL&gt;&lt;FQL&gt;&lt;Q&gt;MAS-US^P_BETA_LOCIDX(44960,44785,,"SPX")&lt;/Q&gt;&lt;R&gt;1&lt;/R&gt;&lt;C&gt;1&lt;/C&gt;&lt;D xsi:type="xsd:double"&gt;1.421344&lt;/D&gt;&lt;/FQL&gt;&lt;FQL&gt;&lt;Q&gt;MAS-US^P_BETA_LOCIDX(44959,44784,,"SPX")&lt;/Q&gt;&lt;R&gt;1&lt;/R&gt;&lt;C&gt;1&lt;/C&gt;&lt;D xsi:type="xsd:double"&gt;1.4172097&lt;/D&gt;&lt;/FQL&gt;&lt;FQL&gt;&lt;Q&gt;MAS-US^P_BETA_LOCIDX(44958,44783,,"SPX")&lt;/Q&gt;&lt;R&gt;1&lt;/R&gt;&lt;C&gt;1&lt;/C&gt;&lt;D xsi:type="xsd:double"&gt;1.4189681&lt;/D&gt;&lt;/FQL&gt;&lt;FQL&gt;&lt;Q&gt;MAS-US^P_BETA_LOCIDX(44957,44782,,"SPX")&lt;/Q&gt;&lt;R&gt;1&lt;/R&gt;&lt;C&gt;1&lt;/C&gt;&lt;D xsi:type="xsd:double"&gt;1.421109&lt;/D&gt;&lt;/FQL&gt;&lt;FQL&gt;&lt;Q&gt;MAS-US^P_BETA_LOCIDX(44956,44781,,"SPX")&lt;/Q&gt;&lt;R&gt;1&lt;/R&gt;&lt;C&gt;1&lt;/C&gt;&lt;D xsi:type="xsd:double"&gt;1.4009806&lt;/D&gt;&lt;/FQL&gt;&lt;FQL&gt;&lt;Q&gt;MAS-US^P_BETA_LOCIDX(44953,44778,,"SPX")&lt;/Q&gt;&lt;R&gt;1&lt;/R&gt;&lt;C&gt;1&lt;/C&gt;&lt;D xsi:type="xsd:double"&gt;1.4038302&lt;/D&gt;&lt;/FQL&gt;&lt;FQL&gt;&lt;Q&gt;MAS-US^P_BETA_LOCIDX(44952,44777,,"SPX")&lt;/Q&gt;&lt;R&gt;1&lt;/R&gt;&lt;C&gt;1&lt;/C&gt;&lt;D xsi:type="xsd:double"&gt;1.4029013&lt;/D&gt;&lt;/FQL&gt;&lt;FQL&gt;&lt;Q&gt;MAS-US^P_BETA_LOCIDX(44951,44776,,"SPX")&lt;/Q&gt;&lt;R&gt;1&lt;/R&gt;&lt;C&gt;1&lt;/C&gt;&lt;D xsi:type="xsd:double"&gt;1.390793&lt;/D&gt;&lt;/FQL&gt;&lt;FQL&gt;&lt;Q&gt;MAS-US^P_BETA_LOCIDX(44950,44775,,"SPX")&lt;/Q&gt;&lt;R&gt;1&lt;/R&gt;&lt;C&gt;1&lt;/C&gt;&lt;D xsi:type="xsd:double"&gt;1.3968327&lt;/D&gt;&lt;/FQL&gt;&lt;FQL&gt;&lt;Q&gt;MAS-US^P_BETA_LOCIDX(44949,44774,,"SPX")&lt;/Q&gt;&lt;R&gt;1&lt;/R&gt;&lt;C&gt;1&lt;/C&gt;&lt;D xsi:type="xsd:double"&gt;1.3970891&lt;/D&gt;&lt;/FQL&gt;&lt;FQL&gt;&lt;Q&gt;MAS-US^P_BETA_LOCIDX(44946,44771,,"SPX")&lt;/Q&gt;&lt;R&gt;1&lt;/R&gt;&lt;C&gt;1&lt;/C&gt;&lt;D xsi:type="xsd:double"&gt;1.3855813&lt;/D&gt;&lt;/FQL&gt;&lt;FQL&gt;&lt;Q&gt;MAS-US^P_BETA_LOCIDX(44945,44770,,"SPX")&lt;/Q&gt;&lt;R&gt;1&lt;/R&gt;&lt;C&gt;1&lt;/C&gt;&lt;D xsi:type="xsd:double"&gt;1.3796742&lt;/D&gt;&lt;/FQL&gt;&lt;FQL&gt;&lt;Q&gt;MAS-US^P_BETA_LOCIDX(44944,44769,,"SPX")&lt;/Q&gt;&lt;R&gt;1&lt;/R&gt;&lt;C&gt;1&lt;/C&gt;&lt;D xsi:type="xsd:double"&gt;1.3130577&lt;/D&gt;&lt;/FQL&gt;&lt;FQL&gt;&lt;Q&gt;MAS-US^P_BETA_LOCIDX(44943,44768,,"SPX")&lt;/Q&gt;&lt;R&gt;1&lt;/R&gt;&lt;C&gt;1&lt;/C&gt;&lt;D xsi:type="xsd:double"&gt;1.3147129&lt;/D&gt;&lt;/FQL&gt;&lt;FQL&gt;&lt;Q&gt;MAS-US^P_BETA_LOCIDX(44939,44767,,"SPX")&lt;/Q&gt;&lt;R&gt;1&lt;/R&gt;&lt;C&gt;1&lt;/C&gt;&lt;D xsi:type="xsd:double"&gt;1.3124921&lt;/D&gt;&lt;/FQL&gt;&lt;FQL&gt;&lt;Q&gt;MAS-US^P_BETA_LOCIDX(44938,44764,,"SPX")&lt;/Q&gt;&lt;R&gt;1&lt;/R&gt;&lt;C&gt;1&lt;/C&gt;&lt;D xsi:type="xsd:double"&gt;1.3081075&lt;/D&gt;&lt;/FQL&gt;&lt;FQL&gt;&lt;Q&gt;MAS-US^P_BETA_LOCIDX(44937,44763,,"SPX")&lt;/Q&gt;&lt;R&gt;1&lt;/R&gt;&lt;C&gt;1&lt;/C&gt;&lt;D xsi:type="xsd:double"&gt;1.3137412&lt;/D&gt;&lt;/FQL&gt;&lt;FQL&gt;&lt;Q&gt;MAS-US^P_BETA_LOCIDX(44936,44762,,"SPX")&lt;/Q&gt;&lt;R&gt;1&lt;/R&gt;&lt;C&gt;1&lt;/C&gt;&lt;D xsi:type="xsd:double"&gt;1.3136765&lt;/D&gt;&lt;/FQL&gt;&lt;FQL&gt;&lt;Q&gt;MAS-US^P_BETA_LOCIDX(44935,44761,,"SPX")&lt;/Q&gt;&lt;R&gt;1&lt;/R&gt;&lt;C&gt;1&lt;/C&gt;&lt;D xsi:type="xsd:double"&gt;1.3011328&lt;/D&gt;&lt;/FQL&gt;&lt;FQL&gt;&lt;Q&gt;MAS-US^P_BETA_LOCIDX(44932,44760,,"SPX")&lt;/Q&gt;&lt;R&gt;1&lt;/R&gt;&lt;C&gt;1&lt;/C&gt;&lt;D xsi:type="xsd:double"&gt;1.3012826&lt;/D&gt;&lt;/FQL&gt;&lt;FQL&gt;&lt;Q&gt;MAS-US^P_BETA_LOCIDX(44931,44757,,"SPX")&lt;/Q&gt;&lt;R&gt;1&lt;/R&gt;&lt;C&gt;1&lt;/C&gt;&lt;D xsi:type="xsd:double"&gt;1.2888938&lt;/D&gt;&lt;/FQL&gt;&lt;FQL&gt;&lt;Q&gt;MAS-US^P_BETA_LOCIDX(44930,44756,,"SPX")&lt;/Q&gt;&lt;R&gt;1&lt;/R&gt;&lt;C&gt;1&lt;/C&gt;&lt;D xsi:type="xsd:double"&gt;1.2902033&lt;/D&gt;&lt;/FQL&gt;&lt;FQL&gt;&lt;Q&gt;MAS-US^P_BETA_LOCIDX(44929,44755,,"SPX")&lt;/Q&gt;&lt;R&gt;1&lt;/R&gt;&lt;C&gt;1&lt;/C&gt;&lt;D xsi:type="xsd:double"&gt;1.2826581&lt;/D&gt;&lt;/FQL&gt;&lt;FQL&gt;&lt;Q&gt;MAS-US^P_BETA_LOCIDX(44925,44754,,"SPX")&lt;/Q&gt;&lt;R&gt;1&lt;/R&gt;&lt;C&gt;1&lt;/C&gt;&lt;D xsi:type="xsd:double"&gt;1.2809365&lt;/D&gt;&lt;/FQL&gt;&lt;FQL&gt;&lt;Q&gt;MAS-US^P_BETA_LOCIDX(44924,44753,,"SPX")&lt;/Q&gt;&lt;R&gt;1&lt;/R&gt;&lt;C&gt;1&lt;/C&gt;&lt;D xsi:type="xsd:double"&gt;1.2722219&lt;/D&gt;&lt;/FQL&gt;&lt;FQL&gt;&lt;Q&gt;MAS-US^P_BETA_LOCIDX(44923,44750,,"SPX")&lt;/Q&gt;&lt;R&gt;1&lt;/R&gt;&lt;C&gt;1&lt;/C&gt;&lt;D xsi:type="xsd:double"&gt;1.270786&lt;/D&gt;&lt;/FQL&gt;&lt;FQL&gt;&lt;Q&gt;MAS-US^P_BETA_LOCIDX(44922,44749,,"SPX")&lt;/Q&gt;&lt;R&gt;1&lt;/R&gt;&lt;C&gt;1&lt;/C&gt;&lt;D xsi:type="xsd:double"&gt;1.2572432&lt;/D&gt;&lt;/FQL&gt;&lt;FQL&gt;&lt;Q&gt;MAS-US^P_BETA_LOCIDX(44918,44748,,"SPX")&lt;/Q&gt;&lt;R&gt;1&lt;/R&gt;&lt;C&gt;1&lt;/C&gt;&lt;D xsi:type="xsd:double"&gt;1.2574764&lt;/D&gt;&lt;/FQL&gt;&lt;FQL&gt;&lt;Q&gt;MAS-US^P_BETA_LOCIDX(44917,44747,,"SPX")&lt;/Q&gt;&lt;R&gt;1&lt;/R&gt;&lt;C&gt;1&lt;/C&gt;&lt;D xsi:type="xsd:double"&gt;1.2590573&lt;/D&gt;&lt;/FQL&gt;&lt;FQL&gt;&lt;Q&gt;MAS-US^P_BETA_LOCIDX(44916,44743,,"SPX")&lt;/Q&gt;&lt;R&gt;1&lt;/R&gt;&lt;C&gt;1&lt;/C&gt;&lt;D xsi:type="xsd:double"&gt;1.2702031&lt;/D&gt;&lt;/FQL&gt;&lt;FQL&gt;&lt;Q&gt;MAS-US^P_BETA_LOCIDX(44915,44742,,"SPX")&lt;/Q&gt;&lt;R&gt;1&lt;/R&gt;&lt;C&gt;1&lt;/C&gt;&lt;D xsi:type="xsd:double"&gt;1.2682973&lt;/D&gt;&lt;/FQL&gt;&lt;FQL&gt;&lt;Q&gt;MAS-US^P_BETA_LOCIDX(44914,44741,,"SPX")&lt;/Q&gt;&lt;R&gt;1&lt;/R&gt;&lt;C&gt;1&lt;/C&gt;&lt;D xsi:type="xsd:double"&gt;1.269088&lt;/D&gt;&lt;/FQL&gt;&lt;FQL&gt;&lt;Q&gt;MAS-US^P_BETA_LOCIDX(44911,44740,,"SPX")&lt;/Q&gt;&lt;R&gt;1&lt;/R&gt;&lt;C&gt;1&lt;/C&gt;&lt;D xsi:type="xsd:double"&gt;1.256617&lt;/D&gt;&lt;/FQL&gt;&lt;FQL&gt;&lt;Q&gt;MAS-US^P_BETA_LOCIDX(44910,44739,,"SPX")&lt;/Q&gt;&lt;R&gt;1&lt;/R&gt;&lt;C&gt;1&lt;/C&gt;&lt;D xsi:type="xsd:double"&gt;1.2527034&lt;/D&gt;&lt;/FQL&gt;&lt;FQL&gt;&lt;Q&gt;MAS-US^P_BETA_LOCIDX(44909,44736,,"SPX")&lt;/Q&gt;&lt;R&gt;1&lt;/R&gt;&lt;C&gt;1&lt;/C&gt;&lt;D xsi:type="xsd:double"&gt;1.2612569&lt;/D&gt;&lt;/FQL&gt;&lt;FQL&gt;&lt;Q&gt;MAS-US^P_BETA_LOCIDX(44908,44735,,"SPX")&lt;/Q&gt;&lt;R&gt;1&lt;/R&gt;&lt;C&gt;1&lt;/C&gt;&lt;D xsi:type="xsd:double"&gt;1.2685318&lt;/D&gt;&lt;/FQL&gt;&lt;FQL&gt;&lt;Q&gt;MAS-US^P_BETA_LOCIDX(44907,44734,,"SPX")&lt;/Q&gt;&lt;R&gt;1&lt;/R&gt;&lt;C&gt;1&lt;/C&gt;&lt;D xsi:type="xsd:double"&gt;1.2617697&lt;/D&gt;&lt;/FQL&gt;&lt;FQL&gt;&lt;Q&gt;MAS-US^P_BETA_LOCIDX(44904,44733,,"SPX")&lt;/Q&gt;&lt;R&gt;1&lt;/R&gt;&lt;C&gt;1&lt;/C&gt;&lt;D xsi:type="xsd:double"&gt;1.2335236&lt;/D&gt;&lt;/FQL&gt;&lt;FQL&gt;&lt;Q&gt;MAS-US^P_BETA_LOCIDX(44903,44729,,"SPX")&lt;/Q&gt;&lt;R&gt;1&lt;/R&gt;&lt;C&gt;1&lt;/C&gt;&lt;D xsi:type="xsd:double"&gt;1.2340921&lt;/D&gt;&lt;/FQL&gt;&lt;FQL&gt;&lt;Q&gt;MAS-US^P_BETA_LOCIDX(44902,44728,,"SPX")&lt;/Q&gt;&lt;R&gt;1&lt;/R&gt;&lt;C&gt;1&lt;/C&gt;&lt;D xsi:type="xsd:double"&gt;1.2598213&lt;/D&gt;&lt;/FQL&gt;&lt;FQL&gt;&lt;Q&gt;MAS-US^P_BETA_LOCIDX(44901,44727,,"SPX")&lt;/Q&gt;&lt;R&gt;1&lt;/R&gt;&lt;C&gt;1&lt;/C&gt;&lt;D xsi:type="xsd:double"&gt;1.2495613&lt;/D&gt;&lt;/FQL&gt;&lt;FQL&gt;&lt;Q&gt;MAS-US^P_BETA_LOCIDX(44900,44726,,"SPX")&lt;/Q&gt;&lt;R&gt;1&lt;/R&gt;&lt;C&gt;1&lt;/C&gt;&lt;D xsi:type="xsd:double"&gt;1.2512734&lt;/D&gt;&lt;/FQL&gt;&lt;FQL&gt;&lt;Q&gt;MAS-US^P_BETA_LOCIDX(44897,44725,,"SPX")&lt;/Q&gt;&lt;R&gt;1&lt;/R&gt;&lt;C&gt;1&lt;/C&gt;&lt;D xsi:type="xsd:double"&gt;1.2407469&lt;/D&gt;&lt;/FQL&gt;&lt;FQL&gt;&lt;Q&gt;MAS-US^P_BETA_LOCIDX(44896,44722,,"SPX")&lt;/Q&gt;&lt;R&gt;1&lt;/R&gt;&lt;C&gt;1&lt;/C&gt;&lt;D xsi:type="xsd:double"&gt;1.2380652&lt;/D&gt;&lt;/FQL&gt;&lt;FQL&gt;&lt;Q&gt;MAS-US^P_BETA_LOCIDX(44895,44721,,"SPX")&lt;/Q&gt;&lt;R&gt;1&lt;/R&gt;&lt;C&gt;1&lt;/C&gt;&lt;D xsi:type="xsd:double"&gt;1.210632&lt;/D&gt;&lt;/FQL&gt;&lt;FQL&gt;&lt;Q&gt;MAS-US^P_BETA_LOCIDX(44894,44720,,"SPX")&lt;/Q&gt;&lt;R&gt;1&lt;/R&gt;&lt;C&gt;1&lt;/C&gt;&lt;D xsi:type="xsd:double"&gt;1.2300125&lt;/D&gt;&lt;/FQL&gt;&lt;FQL&gt;&lt;Q&gt;MAS-US^P_BETA_LOCIDX(44893,44719,,"SPX")&lt;/Q&gt;&lt;R&gt;1&lt;/R&gt;&lt;C&gt;1&lt;/C&gt;&lt;D xsi:type="xsd:double"&gt;1.227286&lt;/D&gt;&lt;/FQL&gt;&lt;FQL&gt;&lt;Q&gt;MAS-US^P_BETA_LOCIDX(44890,44718,,"SPX")&lt;/Q&gt;&lt;R&gt;1&lt;/R&gt;&lt;C&gt;1&lt;/C&gt;&lt;D xsi:type="xsd:double"&gt;1.2266165&lt;/D&gt;&lt;/FQL&gt;&lt;FQL&gt;&lt;Q&gt;MAS-US^P_BETA_LOCIDX(44888,44715,,"SPX")&lt;/Q&gt;&lt;R&gt;1&lt;/R&gt;&lt;C&gt;1&lt;/C&gt;&lt;D xsi:type="xsd:double"&gt;1.220494&lt;/D&gt;&lt;/FQL&gt;&lt;FQL&gt;&lt;Q&gt;MAS-US^P_BETA_LOCIDX(44887,44714,,"SPX")&lt;/Q&gt;&lt;R&gt;1&lt;/R&gt;&lt;C&gt;1&lt;/C&gt;&lt;D xsi:type="xsd:double"&gt;1.2196461&lt;/D&gt;&lt;/FQL&gt;&lt;FQL&gt;&lt;Q&gt;MAS-US^P_BETA_LOCIDX(44886,44713,,"SPX")&lt;/Q&gt;&lt;R&gt;1&lt;/R&gt;&lt;C&gt;1&lt;/C&gt;&lt;D xsi:type="xsd:double"&gt;1.2227802&lt;/D&gt;&lt;/FQL&gt;&lt;FQL&gt;&lt;Q&gt;MAS-US^P_BETA_LOCIDX(44883,44712,,"SPX")&lt;/Q&gt;&lt;R&gt;1&lt;/R&gt;&lt;C&gt;1&lt;/C&gt;&lt;D xsi:type="xsd:double"&gt;1.2249053&lt;/D&gt;&lt;/FQL&gt;&lt;FQL&gt;&lt;Q&gt;MAS-US^P_BETA_LOCIDX(44882,44708,,"SPX")&lt;/Q&gt;&lt;R&gt;1&lt;/R&gt;&lt;C&gt;1&lt;/C&gt;&lt;D xsi:type="xsd:double"&gt;1.2092472&lt;/D&gt;&lt;/FQL&gt;&lt;FQL&gt;&lt;Q&gt;MAS-US^P_BETA_LOCIDX(44881,44707,,"SPX")&lt;/Q&gt;&lt;R&gt;1&lt;/R&gt;&lt;C&gt;1&lt;/C&gt;&lt;D xsi:type="xsd:double"&gt;1.2078743&lt;/D&gt;&lt;/FQL&gt;&lt;FQL&gt;&lt;Q&gt;MAS-US^P_BETA_LOCIDX(44880,44706,,"SPX")&lt;/Q&gt;&lt;R&gt;1&lt;/R&gt;&lt;C&gt;1&lt;/C&gt;&lt;D xsi:type="xsd:double"&gt;1.2108737&lt;/D&gt;&lt;/FQL&gt;&lt;FQL&gt;&lt;Q&gt;MAS-US^P_BETA_LOCIDX(44879,44705,,"SPX")&lt;/Q&gt;&lt;R&gt;1&lt;/R&gt;&lt;C&gt;1&lt;/C&gt;&lt;D xsi:type="xsd:double"&gt;1.2051774&lt;/D&gt;&lt;/FQL&gt;&lt;FQL&gt;&lt;Q&gt;MAS-US^P_BETA_LOCIDX(44876,44704,,"SPX")&lt;/Q&gt;&lt;R&gt;1&lt;/R&gt;&lt;C&gt;1&lt;/C&gt;&lt;D xsi:type="xsd:double"&gt;1.1930468&lt;/D&gt;&lt;/FQL&gt;&lt;FQL&gt;&lt;Q&gt;MAS-US^P_BETA_LOCIDX(44875,44701,,"SPX")&lt;/Q&gt;&lt;R&gt;1&lt;/R&gt;&lt;C&gt;1&lt;/C&gt;&lt;D xsi:type="xsd:double"&gt;1.1907622&lt;/D&gt;&lt;/FQL&gt;&lt;FQL&gt;&lt;Q&gt;MAS-US^P_BETA_LOCIDX(44874,44700,,"SPX")&lt;/Q&gt;&lt;R&gt;1&lt;/R&gt;&lt;C&gt;1&lt;/C&gt;&lt;D xsi:type="xsd:double"&gt;1.0949818&lt;/D&gt;&lt;/FQL&gt;&lt;FQL&gt;&lt;Q&gt;MAS-US^P_BETA_LOCIDX(44873,44699,,"SPX")&lt;/Q&gt;&lt;R&gt;1&lt;/R&gt;&lt;C&gt;1&lt;/C&gt;&lt;D xsi:type="xsd:double"&gt;1.088203&lt;/D&gt;&lt;/FQL&gt;&lt;FQL&gt;&lt;Q&gt;MAS-US^P_BETA_LOCIDX(44872,44698,,"SPX")&lt;/Q&gt;&lt;R&gt;1&lt;/R&gt;&lt;C&gt;1&lt;/C&gt;&lt;D xsi:type="xsd:double"&gt;1.0818253&lt;/D&gt;&lt;/FQL&gt;&lt;FQL&gt;&lt;Q&gt;MAS-US^P_BETA_LOCIDX(44869,44697,,"SPX")&lt;/Q&gt;&lt;R&gt;1&lt;/R&gt;&lt;C&gt;1&lt;/C&gt;&lt;D xsi:type="xsd:double"&gt;1.0765343&lt;/D&gt;&lt;/FQL&gt;&lt;FQL&gt;&lt;Q&gt;MAS-US^P_BETA_LOCIDX(44868,44694,,"SPX")&lt;/Q&gt;&lt;R&gt;1&lt;/R&gt;&lt;C&gt;1&lt;/C&gt;&lt;D xsi:type="xsd:double"&gt;1.0681334&lt;/D&gt;&lt;/FQL&gt;&lt;FQL&gt;&lt;Q&gt;MAS-US^P_BETA_LOCIDX(44867,44693,,"SPX")&lt;/Q&gt;&lt;R&gt;1&lt;/R&gt;&lt;C&gt;1&lt;/C&gt;&lt;D xsi:type="xsd:double"&gt;1.0614997&lt;/D&gt;&lt;/FQL&gt;&lt;FQL&gt;&lt;Q&gt;MAS-US^P_BETA_LOCIDX(44866,44692,,"SPX")&lt;/Q&gt;&lt;R&gt;1&lt;/R&gt;&lt;C&gt;1&lt;/C&gt;&lt;D xsi:type="xsd:double"&gt;1.0546104&lt;/D&gt;&lt;/FQL&gt;&lt;FQL&gt;&lt;Q&gt;MAS-US^P_BETA_LOCIDX(44865,44691,,"SPX")&lt;/Q&gt;&lt;R&gt;1&lt;/R&gt;&lt;C&gt;1&lt;/C&gt;&lt;D xsi:type="xsd:double"&gt;1.0524346&lt;/D&gt;&lt;/FQL&gt;&lt;FQL&gt;&lt;Q&gt;MAS-US^P_BETA_LOCIDX(44862,44690,,"SPX")&lt;/Q&gt;&lt;R&gt;1&lt;/R&gt;&lt;C&gt;1&lt;/C&gt;&lt;D xsi:type="xsd:double"&gt;1.0009093&lt;/D&gt;&lt;/FQL&gt;&lt;FQL&gt;&lt;Q&gt;MAS-US^P_BETA_LOCIDX(44861,44687,,"SPX")&lt;/Q&gt;&lt;R&gt;1&lt;/R&gt;&lt;C&gt;1&lt;/C&gt;&lt;D xsi:type="xsd:double"&gt;1.0036216&lt;/D&gt;&lt;/FQL&gt;&lt;FQL&gt;&lt;Q&gt;MAS-US^P_BETA_LOCIDX(44860,44686,,"SPX")&lt;/Q&gt;&lt;R&gt;1&lt;/R&gt;&lt;C&gt;1&lt;/C&gt;&lt;D xsi:type="xsd:double"&gt;1.001323&lt;/D&gt;&lt;/FQL&gt;&lt;FQL&gt;&lt;Q&gt;MAS-US^P_BETA_LOCIDX(44859,44685,,"SPX")&lt;/Q&gt;&lt;R&gt;1&lt;/R&gt;&lt;C&gt;1&lt;/C&gt;&lt;D xsi:type="xsd:double"&gt;0.99673575&lt;/D&gt;&lt;/FQL&gt;&lt;FQL&gt;&lt;Q&gt;MAS-US^P_BETA_LOCIDX(44858,44684,,"SPX")&lt;/Q&gt;&lt;R&gt;1&lt;/R&gt;&lt;C&gt;1&lt;/C&gt;&lt;D xsi:type="xsd:double"&gt;0.9934111&lt;/D&gt;&lt;/FQL&gt;&lt;FQL&gt;&lt;Q&gt;MAS-US^P_BETA_LOCIDX(44855,44683,,"SPX")&lt;/Q&gt;&lt;R&gt;1&lt;/R&gt;&lt;C&gt;1&lt;/C&gt;&lt;D xsi:type="xsd:double"&gt;0.9919229&lt;/D&gt;&lt;/FQL&gt;&lt;FQL&gt;&lt;Q&gt;MAS-US^P_BETA_LOCIDX(44854,44680,,"SPX")&lt;/Q&gt;&lt;R&gt;1&lt;/R&gt;&lt;C&gt;1&lt;/C&gt;&lt;D xsi:type="xsd:double"&gt;0.9878105&lt;/D&gt;&lt;/FQL&gt;&lt;FQL&gt;&lt;Q&gt;MAS-US^P_BETA_LOCIDX(44853,44679,,"SPX")&lt;/Q&gt;&lt;R&gt;1&lt;/R&gt;&lt;C&gt;1&lt;/C&gt;&lt;D xsi:type="xsd:double"&gt;0.9653206&lt;/D&gt;&lt;/FQL&gt;&lt;FQL&gt;&lt;Q&gt;MAS-US^P_BETA_LOCIDX(44852,44678,,"SPX")&lt;/Q&gt;&lt;R&gt;1&lt;/R&gt;&lt;C&gt;1&lt;/C&gt;&lt;D xsi:type="xsd:double"&gt;0.96156865&lt;/D&gt;&lt;/FQL&gt;&lt;FQL&gt;&lt;Q&gt;MAS-US^P_BETA_LOCIDX(44851,44677,,"SPX")&lt;/Q&gt;&lt;R&gt;1&lt;/R&gt;&lt;C&gt;1&lt;/C&gt;&lt;D xsi:type="xsd:double"&gt;0.92981404&lt;/D&gt;&lt;/FQL&gt;&lt;FQL&gt;&lt;Q&gt;MAS-US^P_BETA_LOCIDX(44848,44676,,"SPX")&lt;/Q&gt;&lt;R&gt;1&lt;/R&gt;&lt;C&gt;1&lt;/C&gt;&lt;D xsi:type="xsd:double"&gt;0.93869823&lt;/D&gt;&lt;/FQL&gt;&lt;FQL&gt;&lt;Q&gt;MAS-US^P_BETA_LOCIDX(44847,44673,,"SPX")&lt;/Q&gt;&lt;R&gt;1&lt;/R&gt;&lt;C&gt;1&lt;/C&gt;&lt;D xsi:type="xsd:double"&gt;0.9280671&lt;/D&gt;&lt;/FQL&gt;&lt;FQL&gt;&lt;Q&gt;MAS-US^P_BETA_LOCIDX(44846,44672,,"SPX")&lt;/Q&gt;&lt;R&gt;1&lt;/R&gt;&lt;C&gt;1&lt;/C&gt;&lt;D xsi:type="xsd:double"&gt;0.93874156&lt;/D&gt;&lt;/FQL&gt;&lt;FQL&gt;&lt;Q&gt;MAS-US^P_BETA_LOCIDX(44845,44671,,"SPX")&lt;/Q&gt;&lt;R&gt;1&lt;/R&gt;&lt;C&gt;1&lt;/C&gt;&lt;D xsi:type="xsd:double"&gt;0.9389716&lt;/D&gt;&lt;/FQL&gt;&lt;FQL&gt;&lt;Q&gt;MAS-US^P_BETA_LOCIDX(44844,44670,,"SPX")&lt;/Q&gt;&lt;R&gt;1&lt;/R&gt;&lt;C&gt;1&lt;/C&gt;&lt;D xsi:type="xsd:double"&gt;0.95046693&lt;/D&gt;&lt;/FQL&gt;&lt;FQL&gt;&lt;Q&gt;MAS-US^P_BETA_LOCIDX(44841,44669,,"SPX")&lt;/Q&gt;&lt;R&gt;1&lt;/R&gt;&lt;C&gt;1&lt;/C&gt;&lt;D xsi:type="xsd:double"&gt;0.9525325&lt;/D&gt;&lt;/FQL&gt;&lt;FQL&gt;&lt;Q&gt;MAS-US^P_BETA_LOCIDX(44840,44665,,"SPX")&lt;/Q&gt;&lt;R&gt;1&lt;/R&gt;&lt;C&gt;1&lt;/C&gt;&lt;D xsi:type="xsd:double"&gt;0.9449473&lt;/D&gt;&lt;/FQL&gt;&lt;FQL&gt;&lt;Q&gt;MAS-US^P_BETA_LOCIDX(44839,44664,,"SPX")&lt;/Q&gt;&lt;R&gt;1&lt;/R&gt;&lt;C&gt;1&lt;/C&gt;&lt;D xsi:type="xsd:double"&gt;0.95248425&lt;/D&gt;&lt;/FQL&gt;&lt;FQL&gt;&lt;Q&gt;MAS-US^P_BETA_LOCIDX(44838,44663,,"SPX")&lt;/Q&gt;&lt;R&gt;1&lt;/R&gt;&lt;C&gt;1&lt;/C&gt;&lt;D xsi:type="xsd:double"&gt;0.9528114&lt;/D&gt;&lt;/FQL&gt;&lt;FQL&gt;&lt;Q&gt;MAS-US^P_BETA_LOCIDX(44837,44662,,"SPX")&lt;/Q&gt;&lt;R&gt;1&lt;/R&gt;&lt;C&gt;1&lt;/C&gt;&lt;D xsi:type="xsd:double"&gt;0.94438845&lt;/D&gt;&lt;/FQL&gt;&lt;FQL&gt;&lt;Q&gt;MAS-US^P_BETA_LOCIDX(44834,44659,,"SPX")&lt;/Q&gt;&lt;R&gt;1&lt;/R&gt;&lt;C&gt;1&lt;/C&gt;&lt;D xsi:type="xsd:double"&gt;0.9320405&lt;/D&gt;&lt;/FQL&gt;&lt;FQL&gt;&lt;Q&gt;MAS-US^P_BETA_LOCIDX(44833,44658,,"SPX")&lt;/Q&gt;&lt;R&gt;1&lt;/R&gt;&lt;C&gt;1&lt;/C&gt;&lt;D xsi:type="xsd:double"&gt;0.93083894&lt;/D&gt;&lt;/FQL&gt;&lt;FQL&gt;&lt;Q&gt;MAS-US^P_BETA_LOCIDX(44832,44657,,"SPX")&lt;/Q&gt;&lt;R&gt;1&lt;/R&gt;&lt;C&gt;1&lt;/C&gt;&lt;D xsi:type="xsd:double"&gt;0.91981274&lt;/D&gt;&lt;/FQL&gt;&lt;FQL&gt;&lt;Q&gt;MAS-US^P_BETA_LOCIDX(44831,44656,,"SPX")&lt;/Q&gt;&lt;R&gt;1&lt;/R&gt;&lt;C&gt;1&lt;/C&gt;&lt;D xsi:type="xsd:double"&gt;0.89176023&lt;/D&gt;&lt;/FQL&gt;&lt;FQL&gt;&lt;Q&gt;MAS-US^P_BETA_LOCIDX(44830,44655,,"SPX")&lt;/Q&gt;&lt;R&gt;1&lt;/R&gt;&lt;C&gt;1&lt;/C&gt;&lt;D xsi:type="xsd:double"&gt;0.8918634&lt;/D&gt;&lt;/FQL&gt;&lt;FQL&gt;&lt;Q&gt;MAS-US^P_BETA_LOCIDX(44827,44652,,"SPX")&lt;/Q&gt;&lt;R&gt;1&lt;/R&gt;&lt;C&gt;1&lt;/C&gt;&lt;D xsi:type="xsd:double"&gt;0.88831425&lt;/D&gt;&lt;/FQL&gt;&lt;FQL&gt;&lt;Q&gt;MAS-US^P_BETA_LOCIDX(44826,44651,,"SPX")&lt;/Q&gt;&lt;R&gt;1&lt;/R&gt;&lt;C&gt;1&lt;/C&gt;&lt;D xsi:type="xsd:double"&gt;0.91224617&lt;/D&gt;&lt;/FQL&gt;&lt;FQL&gt;&lt;Q&gt;MAS-US^P_BETA_LOCIDX(44825,44650,,"SPX")&lt;/Q&gt;&lt;R&gt;1&lt;/R&gt;&lt;C&gt;1&lt;/C&gt;&lt;D xsi:type="xsd:double"&gt;0.9126726&lt;/D&gt;&lt;/FQL&gt;&lt;FQL&gt;&lt;Q&gt;MAS-US^P_BETA_LOCIDX(44824,44649,,"SPX")&lt;/Q&gt;&lt;R&gt;1&lt;/R&gt;&lt;C&gt;1&lt;/C&gt;&lt;D xsi:type="xsd:double"&gt;0.9246437&lt;/D&gt;&lt;/FQL&gt;&lt;FQL&gt;&lt;Q&gt;MAS-US^P_BETA_LOCIDX(44823,44648,,"SPX")&lt;/Q&gt;&lt;R&gt;1&lt;/R&gt;&lt;C&gt;1&lt;/C&gt;&lt;D xsi:type="xsd:double"&gt;0.9218035&lt;/D&gt;&lt;/FQL&gt;&lt;FQL&gt;&lt;Q&gt;MAS-US^P_BETA_LOCIDX(44820,44645,,"SPX")&lt;/Q&gt;&lt;R&gt;1&lt;/R&gt;&lt;C&gt;1&lt;/C&gt;&lt;D xsi:type="xsd:double"&gt;0.9166433&lt;/D&gt;&lt;/FQL&gt;&lt;FQL&gt;&lt;Q&gt;MAS-US^P_BETA_LOCIDX(44819,44644,,"SPX")&lt;/Q&gt;&lt;R&gt;1&lt;/R&gt;&lt;C&gt;1&lt;/C&gt;&lt;D xsi:type="xsd:double"&gt;0.90567935&lt;/D&gt;&lt;/FQL&gt;&lt;FQL&gt;&lt;Q&gt;MAS-US^P_BETA_LOCIDX(44818,44643,,"SPX")&lt;/Q&gt;&lt;R&gt;1&lt;/R&gt;&lt;C&gt;1&lt;/C&gt;&lt;D xsi:type="xsd:double"&gt;0.9201009&lt;/D&gt;&lt;/FQL&gt;&lt;FQL&gt;&lt;Q&gt;MAS-US^P_BETA_LOCIDX(44817,44642,,"SPX")&lt;/Q&gt;&lt;R&gt;1&lt;/R&gt;&lt;C&gt;1&lt;/C&gt;&lt;D xsi:type="xsd:double"&gt;0.9136344&lt;/D&gt;&lt;/FQL&gt;&lt;FQL&gt;&lt;Q&gt;MAS-US^P_BETA_LOCIDX(44816,44641,,"SPX")&lt;/Q&gt;&lt;R&gt;1&lt;/R&gt;&lt;C&gt;1&lt;/C&gt;&lt;D xsi:type="xsd:double"&gt;0.87937075&lt;/D&gt;&lt;/FQL&gt;&lt;FQL&gt;&lt;Q&gt;MAS-US^P_BETA_LOCIDX(44813,44638,,"SPX")&lt;/Q&gt;&lt;R&gt;1&lt;/R&gt;&lt;C&gt;1&lt;/C&gt;&lt;D xsi:type="xsd:double"&gt;0.8790082&lt;/D&gt;&lt;/FQL&gt;&lt;FQL&gt;&lt;Q&gt;MAS-US^P_BETA_LOCIDX(44812,44637,,"SPX")&lt;/Q&gt;&lt;R&gt;1&lt;/R&gt;&lt;C&gt;1&lt;/C&gt;&lt;D xsi:type="xsd:double"&gt;0.87611324&lt;/D&gt;&lt;/FQL&gt;&lt;FQL&gt;&lt;Q&gt;MAS-US^P_BETA_LOCIDX(44811,44636,,"SPX")&lt;/Q&gt;&lt;R&gt;1&lt;/R&gt;&lt;C&gt;1&lt;/C&gt;&lt;D xsi:type="xsd:double"&gt;0.8670682&lt;/D&gt;&lt;/FQL&gt;&lt;FQL&gt;&lt;Q&gt;MAS-US^P_BETA_LOCIDX(44810,44635,,"SPX")&lt;/Q&gt;&lt;R&gt;1&lt;/R&gt;&lt;C&gt;1&lt;/C&gt;&lt;D xsi:type="xsd:double"&gt;0.8639162&lt;/D&gt;&lt;/FQL&gt;&lt;FQL&gt;&lt;Q&gt;MAS-US^P_BETA_LOCIDX(44806,44634,,"SPX")&lt;/Q&gt;&lt;R&gt;1&lt;/R&gt;&lt;C&gt;1&lt;/C&gt;&lt;D xsi:type="xsd:double"&gt;0.85955876&lt;/D&gt;&lt;/FQL&gt;&lt;FQL&gt;&lt;Q&gt;MAS-US^P_BETA_LOCIDX(44805,44631,,"SPX")&lt;/Q&gt;&lt;R&gt;1&lt;/R&gt;&lt;C&gt;1&lt;/C&gt;&lt;D xsi:type="xsd:double"&gt;0.8526095&lt;/D&gt;&lt;/FQL&gt;&lt;FQL&gt;&lt;Q&gt;MAS-US^P_BETA_LOCIDX(44804,44630,,"SPX")&lt;/Q&gt;&lt;R&gt;1&lt;/R&gt;&lt;C&gt;1&lt;/C&gt;&lt;D xsi:type="xsd:double"&gt;0.8533431&lt;/D&gt;&lt;/FQL&gt;&lt;FQL&gt;&lt;Q&gt;MAS-US^P_BETA_LOCIDX(44803,44629,,"SPX")&lt;/Q&gt;&lt;R&gt;1&lt;/R&gt;&lt;C&gt;1&lt;/C&gt;&lt;D xsi:type="xsd:double"&gt;0.861951&lt;/D&gt;&lt;/FQL&gt;&lt;FQL&gt;&lt;Q&gt;MAS-US^P_BETA_LOCIDX(44802,44628,,"SPX")&lt;/Q&gt;&lt;R&gt;1&lt;/R&gt;&lt;C&gt;1&lt;/C&gt;&lt;D xsi:type="xsd:double"&gt;0.8633567&lt;/D&gt;&lt;/FQL&gt;&lt;FQL&gt;&lt;Q&gt;MAS-US^P_BETA_LOCIDX(44799,44627,,"SPX")&lt;/Q&gt;&lt;R&gt;1&lt;/R&gt;&lt;C&gt;1&lt;/C&gt;&lt;D xsi:type="xsd:double"&gt;0.8902008&lt;/D&gt;&lt;/FQL&gt;&lt;FQL&gt;&lt;Q&gt;MAS-US^P_BETA_LOCIDX(44798,44624,,"SPX")&lt;/Q&gt;&lt;R&gt;1&lt;/R&gt;&lt;C&gt;1&lt;/C&gt;&lt;D xsi:type="xsd:double"&gt;0.87797564&lt;/D&gt;&lt;/FQL&gt;&lt;FQL&gt;&lt;Q&gt;MAS-US^P_BETA_LOCIDX(44797,44623,,"SPX")&lt;/Q&gt;&lt;R&gt;1&lt;/R&gt;&lt;C&gt;1&lt;/C&gt;&lt;D xsi:type="xsd:double"&gt;0.8775826&lt;/D&gt;&lt;/FQL&gt;&lt;FQL&gt;&lt;Q&gt;MAS-US^P_BETA_LOCIDX(44796,44622,,"SPX")&lt;/Q&gt;&lt;R&gt;1&lt;/R&gt;&lt;C&gt;1&lt;/C&gt;&lt;D xsi:type="xsd:double"&gt;0.8861995&lt;/D&gt;&lt;/FQL&gt;&lt;FQL&gt;&lt;Q&gt;MAS-US^P_BETA_LOCIDX(44795,44621,,"SPX")&lt;/Q&gt;&lt;R&gt;1&lt;/R&gt;&lt;C&gt;1&lt;/C&gt;&lt;D xsi:type="xsd:double"&gt;0.8919152&lt;/D&gt;&lt;/FQL&gt;&lt;FQL&gt;&lt;Q&gt;MAS-US^P_BETA_LOCIDX(44792,44620,,"SPX")&lt;/Q&gt;&lt;R&gt;1&lt;/R&gt;&lt;C&gt;1&lt;/C&gt;&lt;D xsi:type="xsd:double"&gt;0.8749845&lt;/D&gt;&lt;/FQL&gt;&lt;FQL&gt;&lt;Q&gt;MAS-US^P_BETA_LOCIDX(44791,44617,,"SPX")&lt;/Q&gt;&lt;R&gt;1&lt;/R&gt;&lt;C&gt;1&lt;/C&gt;&lt;D xsi:type="xsd:double"&gt;0.8752769&lt;/D&gt;&lt;/FQL&gt;&lt;FQL&gt;&lt;Q&gt;MAS-US^P_BETA_LOCIDX(44790,44616,,"SPX")&lt;/Q&gt;&lt;R&gt;1&lt;/R&gt;&lt;C&gt;1&lt;/C&gt;&lt;D xsi:type="xsd:double"&gt;0.8712358&lt;/D&gt;&lt;/FQL&gt;&lt;FQL&gt;&lt;Q&gt;MAS-US^P_BETA_LOCIDX(44789,44615,,"SPX")&lt;/Q&gt;&lt;R&gt;1&lt;/R&gt;&lt;C&gt;1&lt;/C&gt;&lt;D xsi:type="xsd:double"&gt;0.8732204&lt;/D&gt;&lt;/FQL&gt;&lt;FQL&gt;&lt;Q&gt;MAS-US^P_BETA_LOCIDX(44788,44614,,"SPX")&lt;/Q&gt;&lt;R&gt;1&lt;/R&gt;&lt;C&gt;1&lt;/C&gt;&lt;D xsi:type="xsd:double"&gt;0.8794051&lt;/D&gt;&lt;/FQL&gt;&lt;FQL&gt;&lt;Q&gt;MAS-US^P_BETA_LOCIDX(44785,44610,,"SPX")&lt;/Q&gt;&lt;R&gt;1&lt;/R&gt;&lt;C&gt;1&lt;/C&gt;&lt;D xsi:type="xsd:double"&gt;0.8794618&lt;/D&gt;&lt;/FQL&gt;&lt;FQL&gt;&lt;Q&gt;MAS-US^P_BETA_LOCIDX(44784,44609,,"SPX")&lt;/Q&gt;&lt;R&gt;1&lt;/R&gt;&lt;C&gt;1&lt;/C&gt;&lt;D xsi:type="xsd:double"&gt;0.8776715&lt;/D&gt;&lt;/FQL&gt;&lt;FQL&gt;&lt;Q&gt;MAS-US^P_BETA_LOCIDX(44783,44608,,"SPX")&lt;/Q&gt;&lt;R&gt;1&lt;/R&gt;&lt;C&gt;1&lt;/C&gt;&lt;D xsi:type="xsd:double"&gt;0.8783388&lt;/D&gt;&lt;/FQL&gt;&lt;FQL&gt;&lt;Q&gt;MAS-US^P_BETA_LOCIDX(44782,44607,,"SPX")&lt;/Q&gt;&lt;R&gt;1&lt;/R&gt;&lt;C&gt;1&lt;/C&gt;&lt;D xsi:type="xsd:double"&gt;0.8571386&lt;/D&gt;&lt;/FQL&gt;&lt;FQL&gt;&lt;Q&gt;MAS-US^P_BETA_LOCIDX(44781,44606,,"SPX")&lt;/Q&gt;&lt;R&gt;1&lt;/R&gt;&lt;C&gt;1&lt;/C&gt;&lt;D xsi:type="xsd:double"&gt;0.8538919&lt;/D&gt;&lt;/FQL&gt;&lt;FQL&gt;&lt;Q&gt;MAS-US^P_BETA_LOCIDX(44778,44603,,"SPX")&lt;/Q&gt;&lt;R&gt;1&lt;/R&gt;&lt;C&gt;1&lt;/C&gt;&lt;D xsi:type="xsd:double"&gt;0.84974337&lt;/D&gt;&lt;/FQL&gt;&lt;FQL&gt;&lt;Q&gt;MAS-US^P_BETA_LOCIDX(44777,44602,,"SPX")&lt;/Q&gt;&lt;R&gt;1&lt;/R&gt;&lt;C&gt;1&lt;/C&gt;&lt;D xsi:type="xsd:double"&gt;0.8624314&lt;/D&gt;&lt;/FQL&gt;&lt;FQL&gt;&lt;Q&gt;MAS-US^P_BETA_LOCIDX(44776,44601,,"SPX")&lt;/Q&gt;&lt;R&gt;1&lt;/R&gt;&lt;C&gt;1&lt;/C&gt;&lt;D xsi:type="xsd:double"&gt;0.8682739&lt;/D&gt;&lt;/FQL&gt;&lt;FQL&gt;&lt;Q&gt;MAS-US^P_BETA_LOCIDX(44775,44600,,"SPX")&lt;/Q&gt;&lt;R&gt;1&lt;/R&gt;&lt;C&gt;1&lt;/C&gt;&lt;D xsi:type="xsd:double"&gt;0.8774892&lt;/D&gt;&lt;/FQL&gt;&lt;FQL&gt;&lt;Q&gt;MAS-US^P_BETA_LOCIDX(44774,44599,,"SPX")&lt;/Q&gt;&lt;R&gt;1&lt;/R&gt;&lt;C&gt;1&lt;/C&gt;&lt;D xsi:type="xsd:double"&gt;0.873758&lt;/D&gt;&lt;/FQL&gt;&lt;FQL&gt;&lt;Q&gt;MAS-US^P_BETA_LOCIDX(45845,45670,,"SPX")&lt;/Q&gt;&lt;R&gt;1&lt;/R&gt;&lt;C&gt;1&lt;/C&gt;&lt;D xsi:type="xsd:double"&gt;1.0225551&lt;/D&gt;&lt;/FQL&gt;&lt;FQL&gt;&lt;Q&gt;CAT-US^P_BETA_LOCIDX(45841,45665,,"SPX")&lt;/Q&gt;&lt;R&gt;1&lt;/R&gt;&lt;C&gt;1&lt;/C&gt;&lt;D xsi:type="xsd:double"&gt;1.1421884&lt;/D&gt;&lt;/FQL&gt;&lt;FQL&gt;&lt;Q&gt;CAT-US^P_BETA_LOCIDX(45840,45664,,"SPX")&lt;/Q&gt;&lt;R&gt;1&lt;/R&gt;&lt;C&gt;1&lt;/C&gt;&lt;D xsi:type="xsd:double"&gt;1.1416014&lt;/D&gt;&lt;/FQL&gt;&lt;FQL&gt;&lt;Q&gt;CAT-US^P_BETA_LOCIDX(45839,45663,,"SPX")&lt;/Q&gt;&lt;R&gt;1&lt;/R&gt;&lt;C&gt;1&lt;/C&gt;&lt;D xsi:type="xsd:double"&gt;1.1386145&lt;/D&gt;&lt;/FQL&gt;&lt;FQL&gt;&lt;Q&gt;CAT-US^P_BETA_LOCIDX(45838,45660,,"SPX")&lt;/Q&gt;&lt;R&gt;1&lt;/R&gt;&lt;C&gt;1&lt;/C&gt;&lt;D xsi:type="xsd:double"&gt;1.1376427&lt;/D&gt;&lt;/FQL&gt;&lt;FQL&gt;&lt;Q&gt;CAT-US^P_BETA_LOCIDX(45835,45659,,"SPX")&lt;/Q&gt;&lt;R&gt;1&lt;/R&gt;&lt;C&gt;1&lt;/C&gt;&lt;D xsi:type="xsd:double"&gt;1.1377168&lt;/D&gt;&lt;/FQL&gt;&lt;FQL&gt;&lt;Q&gt;CAT-US^P_BETA_LOCIDX(45834,45657,,"SPX")&lt;/Q&gt;&lt;R&gt;1&lt;/R&gt;&lt;C&gt;1&lt;/C&gt;&lt;D xsi:type="xsd:double"&gt;1.1368269&lt;/D&gt;&lt;/FQL&gt;&lt;FQL&gt;&lt;Q&gt;CAT-US^P_BETA_LOCIDX(45833,45656,,"SPX")&lt;/Q&gt;&lt;R&gt;1&lt;/R&gt;&lt;C&gt;1&lt;/C&gt;&lt;D xsi:type="xsd:double"&gt;1.1292433&lt;/D&gt;&lt;/FQL&gt;&lt;FQL&gt;&lt;Q&gt;CAT-US^P_BETA_LOCIDX(45832,45653,,"SPX")&lt;/Q&gt;&lt;R&gt;1&lt;/R&gt;&lt;C&gt;1&lt;/C&gt;&lt;D xsi:type="xsd:double"&gt;1.1267842&lt;/D&gt;&lt;/FQL&gt;&lt;FQL&gt;&lt;Q&gt;CAT-US^P_BETA_LOCIDX(45831,45652,,"SPX")&lt;/Q&gt;&lt;R&gt;1&lt;/R&gt;&lt;C&gt;1&lt;/C&gt;&lt;D xsi:type="xsd:double"&gt;1.1245605&lt;/D&gt;&lt;/FQL&gt;&lt;FQL&gt;&lt;Q&gt;CAT-US^P_BETA_LOCIDX(45828,45650,,"SPX")&lt;/Q&gt;&lt;R&gt;1&lt;/R&gt;&lt;C&gt;1&lt;/C&gt;&lt;D xsi:type="xsd:double"&gt;1.120466&lt;/D&gt;&lt;/FQL&gt;&lt;FQL&gt;&lt;Q&gt;CAT-US^P_BETA_LOCIDX(45826,45649,,"SPX")&lt;/Q&gt;&lt;R&gt;1&lt;/R&gt;&lt;C&gt;1&lt;/C&gt;&lt;D xsi:type="xsd:double"&gt;1.1183982&lt;/D&gt;&lt;/FQL&gt;&lt;FQL&gt;&lt;Q&gt;CAT-US^P_BETA_LOCIDX(45825,45646,,"SPX")&lt;/Q&gt;&lt;R&gt;1&lt;/R&gt;&lt;C&gt;1&lt;/C&gt;&lt;D xsi:type="xsd:double"&gt;1.1198783&lt;/D&gt;&lt;/FQL&gt;&lt;FQL&gt;&lt;Q&gt;CAT-US^P_BETA_LOCIDX(45824,45645,,"SPX")&lt;/Q&gt;&lt;R&gt;1&lt;/R&gt;&lt;C&gt;1&lt;/C&gt;&lt;D xsi:type="xsd:double"&gt;1.1191481&lt;/D&gt;&lt;/FQL&gt;&lt;FQL&gt;&lt;Q&gt;CAT-US^P_BETA_LOCIDX(45821,45644,,"SPX")&lt;/Q&gt;&lt;R&gt;1&lt;/R&gt;&lt;C&gt;1&lt;/C&gt;&lt;D xsi:type="xsd:double"&gt;1.1161507&lt;/D&gt;&lt;/FQL&gt;&lt;FQL&gt;&lt;Q&gt;CAT-US^P_BETA_LOCIDX(45820,45643,,"SPX")&lt;/Q&gt;&lt;R&gt;1&lt;/R&gt;&lt;C&gt;1&lt;/C&gt;&lt;D xsi:type="xsd:double"&gt;1.1174079&lt;/D&gt;&lt;/FQL&gt;&lt;FQL&gt;&lt;Q&gt;CAT-US^P_BETA_LOCIDX(45819,45642,,"SPX")&lt;/Q&gt;&lt;R&gt;1&lt;/R&gt;&lt;C&gt;1&lt;/C&gt;&lt;D xsi:type="xsd:double"&gt;1.1176473&lt;/D&gt;&lt;/FQL&gt;&lt;FQL&gt;&lt;Q&gt;CAT-US^P_BETA_LOCIDX(45818,45639,,"SPX")&lt;/Q&gt;&lt;R&gt;1&lt;/R&gt;&lt;C&gt;1&lt;/C&gt;&lt;D xsi:type="xsd:double"&gt;1.1191905&lt;/D&gt;&lt;/FQL&gt;&lt;FQL&gt;&lt;Q&gt;CAT-US^P_BETA_LOCIDX(45817,45638,,"SPX")&lt;/Q&gt;&lt;R&gt;1&lt;/R&gt;&lt;C&gt;1&lt;/C&gt;&lt;D xsi:type="xsd:double"&gt;1.1226153&lt;/D&gt;&lt;/FQL&gt;&lt;FQL&gt;&lt;Q&gt;CAT-US^P_BETA_LOCIDX(45814,45637,,"SPX")&lt;/Q&gt;&lt;R&gt;1&lt;/R&gt;&lt;C&gt;1&lt;/C&gt;&lt;D xsi:type="xsd:double"&gt;1.1202241&lt;/D&gt;&lt;/FQL&gt;&lt;FQL&gt;&lt;Q&gt;CAT-US^P_BETA_LOCIDX(45813,45636,,"SPX")&lt;/Q&gt;&lt;R&gt;1&lt;/R&gt;&lt;C&gt;1&lt;/C&gt;&lt;D xsi:type="xsd:double"&gt;1.1219283&lt;/D&gt;&lt;/FQL&gt;&lt;FQL&gt;&lt;Q&gt;CAT-US^P_BETA_LOCIDX(45812,45635,,"SPX")&lt;/Q&gt;&lt;R&gt;1&lt;/R&gt;&lt;C&gt;1&lt;/C&gt;&lt;D xsi:type="xsd:double"&gt;1.1191417&lt;/D&gt;&lt;/FQL&gt;&lt;FQL&gt;&lt;Q&gt;CAT-US^P_BETA_LOCIDX(45811,45632,,"SPX")&lt;/Q&gt;&lt;R&gt;1&lt;/R&gt;&lt;C&gt;1&lt;/C&gt;&lt;D xsi:type="xsd:double"&gt;1.118977&lt;/D&gt;&lt;/FQL&gt;&lt;FQL&gt;&lt;Q&gt;CAT-US^P_BETA_LOCIDX(45810,45631,,"SPX")&lt;/Q&gt;&lt;R&gt;1&lt;/R&gt;&lt;C&gt;1&lt;/C&gt;&lt;D xsi:type="xsd:double"&gt;1.1179005&lt;/D&gt;&lt;/FQL&gt;&lt;FQL&gt;&lt;Q&gt;CAT-US^P_BETA_LOCIDX(45807,45630,,"SPX")&lt;/Q&gt;&lt;R&gt;1&lt;/R&gt;&lt;C&gt;1&lt;/C&gt;&lt;D xsi:type="xsd:double"&gt;1.1186953&lt;/D&gt;&lt;/FQL&gt;&lt;FQL&gt;&lt;Q&gt;CAT-US^P_BETA_LOCIDX(45806,45629,,"SPX")&lt;/Q&gt;&lt;R&gt;1&lt;/R&gt;&lt;C&gt;1&lt;/C&gt;&lt;D xsi:type="xsd:double"&gt;1.1185551&lt;/D&gt;&lt;/FQL&gt;&lt;FQL&gt;&lt;Q&gt;CAT-US^P_BETA_LOCIDX(45805,45628,,"SPX")&lt;/Q&gt;&lt;R&gt;1&lt;/R&gt;&lt;C&gt;1&lt;/C&gt;&lt;D xsi:type="xsd:double"&gt;1.117235&lt;/D&gt;&lt;/FQL&gt;&lt;FQL&gt;&lt;Q&gt;CAT-US^P_BETA_LOCIDX(45804,45625,,"SPX")&lt;/Q&gt;&lt;R&gt;1&lt;/R&gt;&lt;C&gt;1&lt;/C&gt;&lt;D xsi:type="xsd:double"&gt;1.1176188&lt;/D&gt;&lt;/FQL&gt;&lt;FQL&gt;&lt;Q&gt;CAT-US^P_BETA_LOCIDX(45800,45623,,"SPX")&lt;/Q&gt;&lt;R&gt;1&lt;/R&gt;&lt;C&gt;1&lt;/C&gt;&lt;D xsi:type="xsd:double"&gt;1.1170192&lt;/D&gt;&lt;/FQL&gt;&lt;FQL&gt;&lt;Q&gt;CAT-US^P_BETA_LOCIDX(45799,45622,,"SPX")&lt;/Q&gt;&lt;R&gt;1&lt;/R&gt;&lt;C&gt;1&lt;/C&gt;&lt;D xsi:type="xsd:double"&gt;1.117754&lt;/D&gt;&lt;/FQL&gt;&lt;FQL&gt;&lt;Q&gt;CAT-US^P_BETA_LOCIDX(45798,45621,,"SPX")&lt;/Q&gt;&lt;R&gt;1&lt;/R&gt;&lt;C&gt;1&lt;/C&gt;&lt;D xsi:type="xsd:double"&gt;1.1197886&lt;/D&gt;&lt;/FQL&gt;&lt;FQL&gt;&lt;Q&gt;CAT-US^P_BETA_LOCIDX(45797,45618,,"SPX")&lt;/Q&gt;&lt;R&gt;1&lt;/R&gt;&lt;C&gt;1&lt;/C&gt;&lt;D xsi:type="xsd:double"&gt;1.1212596&lt;/D&gt;&lt;/FQL&gt;&lt;FQL&gt;&lt;Q&gt;CAT-US^P_BETA_LOCIDX(45796,45617,,"SPX")&lt;/Q&gt;&lt;R&gt;1&lt;/R&gt;&lt;C&gt;1&lt;/C&gt;&lt;D xsi:type="xsd:double"&gt;1.1236022&lt;/D&gt;&lt;/FQL&gt;&lt;FQL&gt;&lt;Q&gt;CAT-US^P_BETA_LOCIDX(45793,45616,,"SPX")&lt;/Q&gt;&lt;R&gt;1&lt;/R&gt;&lt;C&gt;1&lt;/C&gt;&lt;D xsi:type="xsd:double"&gt;1.1236879&lt;/D&gt;&lt;/FQL&gt;&lt;FQL&gt;&lt;Q&gt;CAT-US^P_BETA_LOCIDX(45792,45615,,"SPX")&lt;/Q&gt;&lt;R&gt;1&lt;/R&gt;&lt;C&gt;1&lt;/C&gt;&lt;D xsi:type="xsd:double"&gt;1.1216213&lt;/D&gt;&lt;/FQL&gt;&lt;FQL&gt;&lt;Q&gt;CAT-US^P_BETA_LOCIDX(45791,45614,,"SPX")&lt;/Q&gt;&lt;R&gt;1&lt;/R&gt;&lt;C&gt;1&lt;/C&gt;&lt;D xsi:type="xsd:double"&gt;1.1217545&lt;/D&gt;&lt;/FQL&gt;&lt;FQL&gt;&lt;Q&gt;CAT-US^P_BETA_LOCIDX(45790,45611,,"SPX")&lt;/Q&gt;&lt;R&gt;1&lt;/R&gt;&lt;C&gt;1&lt;/C&gt;&lt;D xsi:type="xsd:double"&gt;1.1188539&lt;/D&gt;&lt;/FQL&gt;&lt;FQL&gt;&lt;Q&gt;CAT-US^P_BETA_LOCIDX(45789,45610,,"SPX")&lt;/Q&gt;&lt;R&gt;1&lt;/R&gt;&lt;C&gt;1&lt;/C&gt;&lt;D xsi:type="xsd:double"&gt;1.1117516&lt;/D&gt;&lt;/FQL&gt;&lt;FQL&gt;&lt;Q&gt;CAT-US^P_BETA_LOCIDX(45786,45609,,"SPX")&lt;/Q&gt;&lt;R&gt;1&lt;/R&gt;&lt;C&gt;1&lt;/C&gt;&lt;D xsi:type="xsd:double"&gt;1.0921094&lt;/D&gt;&lt;/FQL&gt;&lt;FQL&gt;&lt;Q&gt;CAT-US^P_BETA_LOCIDX(45785,45608,,"SPX")&lt;/Q&gt;&lt;R&gt;1&lt;/R&gt;&lt;C&gt;1&lt;/C&gt;&lt;D xsi:type="xsd:double"&gt;1.0926142&lt;/D&gt;&lt;/FQL&gt;&lt;FQL&gt;&lt;Q&gt;CAT-US^P_BETA_LOCIDX(45784,45607,,"SPX")&lt;/Q&gt;&lt;R&gt;1&lt;/R&gt;&lt;C&gt;1&lt;/C&gt;&lt;D xsi:type="xsd:double"&gt;1.0914419&lt;/D&gt;&lt;/FQL&gt;&lt;FQL&gt;&lt;Q&gt;CAT-US^P_BETA_LOCIDX(45783,45604,,"SPX")&lt;/Q&gt;&lt;R&gt;1&lt;/R&gt;&lt;C&gt;1&lt;/C&gt;&lt;D xsi:type="xsd:double"&gt;1.0865307&lt;/D&gt;&lt;/FQL&gt;&lt;FQL&gt;&lt;Q&gt;CAT-US^P_BETA_LOCIDX(45782,45603,,"SPX")&lt;/Q&gt;&lt;R&gt;1&lt;/R&gt;&lt;C&gt;1&lt;/C&gt;&lt;D xsi:type="xsd:double"&gt;1.0796955&lt;/D&gt;&lt;/FQL&gt;&lt;FQL&gt;&lt;Q&gt;CAT-US^P_BETA_LOCIDX(45779,45602,,"SPX")&lt;/Q&gt;&lt;R&gt;1&lt;/R&gt;&lt;C&gt;1&lt;/C&gt;&lt;D xsi:type="xsd:double"&gt;1.135698&lt;/D&gt;&lt;/FQL&gt;&lt;FQL&gt;&lt;Q&gt;CAT-US^P_BETA_LOCIDX(45778,45601,,"SPX")&lt;/Q&gt;&lt;R&gt;1&lt;/R&gt;&lt;C&gt;1&lt;/C&gt;&lt;D xsi:type="xsd:double"&gt;1.130081&lt;/D&gt;&lt;/FQL&gt;&lt;FQL&gt;&lt;Q&gt;CAT-US^P_BETA_LOCIDX(45777,45600,,"SPX")&lt;/Q&gt;&lt;R&gt;1&lt;/R&gt;&lt;C&gt;1&lt;/C&gt;&lt;D xsi:type="xsd:double"&gt;1.1283607&lt;/D&gt;&lt;/FQL&gt;&lt;FQL&gt;&lt;Q&gt;CAT-US^P_BETA_LOCIDX(45776,45597,,"SPX")&lt;/Q&gt;&lt;R&gt;1&lt;/R&gt;&lt;C&gt;1&lt;/C&gt;&lt;D xsi:type="xsd:double"&gt;1.1288974&lt;/D&gt;&lt;/FQL&gt;&lt;FQL&gt;&lt;Q&gt;CAT-US^P_BETA_LOCIDX(45775,45596,,"SPX")&lt;/Q&gt;&lt;R&gt;1&lt;/R&gt;&lt;C&gt;1&lt;/C&gt;&lt;D xsi:type="xsd:double"&gt;1.1206867&lt;/D&gt;&lt;/FQL&gt;&lt;FQL&gt;&lt;Q&gt;CAT-US^P_BETA_LOCIDX(45772,45595,,"SPX")&lt;/Q&gt;&lt;R&gt;1&lt;/R&gt;&lt;C&gt;1&lt;/C&gt;&lt;D xsi:type="xsd:double"&gt;1.1223004&lt;/D&gt;&lt;/FQL&gt;&lt;FQL&gt;&lt;Q&gt;CAT-US^P_BETA_LOCIDX(45771,45594,,"SPX")&lt;/Q&gt;&lt;R&gt;1&lt;/R&gt;&lt;C&gt;1&lt;/C&gt;&lt;D xsi:type="xsd:double"&gt;1.123948&lt;/D&gt;&lt;/FQL&gt;&lt;FQL&gt;&lt;Q&gt;CAT-US^P_BETA_LOCIDX(45770,45593,,"SPX")&lt;/Q&gt;&lt;R&gt;1&lt;/R&gt;&lt;C&gt;1&lt;/C&gt;&lt;D xsi:type="xsd:double"&gt;1.113363&lt;/D&gt;&lt;/FQL&gt;&lt;FQL&gt;&lt;Q&gt;CAT-US^P_BETA_LOCIDX(45769,45590,,"SPX")&lt;/Q&gt;&lt;R&gt;1&lt;/R&gt;&lt;C&gt;1&lt;/C&gt;&lt;D xsi:type="xsd:double"&gt;1.1141987&lt;/D&gt;&lt;/FQL&gt;&lt;FQL&gt;&lt;Q&gt;CAT-US^P_BETA_LOCIDX(45768,45589,,"SPX")&lt;/Q&gt;&lt;R&gt;1&lt;/R&gt;&lt;C&gt;1&lt;/C&gt;&lt;D xsi:type="xsd:double"&gt;1.1182817&lt;/D&gt;&lt;/FQL&gt;&lt;FQL&gt;&lt;Q&gt;CAT-US^P_BETA_LOCIDX(45764,45588,,"SPX")&lt;/Q&gt;&lt;R&gt;1&lt;/R&gt;&lt;C&gt;1&lt;/C&gt;&lt;D xsi:type="xsd:double"&gt;1.1129165&lt;/D&gt;&lt;/FQL&gt;&lt;FQL&gt;&lt;Q&gt;CAT-US^P_BETA_LOCIDX(45763,45587,,"SPX")&lt;/Q&gt;&lt;R&gt;1&lt;/R&gt;&lt;C&gt;1&lt;/C&gt;&lt;D xsi:type="xsd:double"&gt;1.1118104&lt;/D&gt;&lt;/FQL&gt;&lt;FQL&gt;&lt;Q&gt;CAT-US^P_BETA_LOCIDX(45762,45586,,"SPX")&lt;/Q&gt;&lt;R&gt;1&lt;/R&gt;&lt;C&gt;1&lt;/C&gt;&lt;D xsi:type="xsd:double"&gt;1.124475&lt;/D&gt;&lt;/FQL&gt;&lt;FQL&gt;&lt;Q&gt;CAT-US^P_BETA_LOCIDX(45761,45583,,"SPX")&lt;/Q&gt;&lt;R&gt;1&lt;/R&gt;&lt;C&gt;1&lt;/C&gt;&lt;D xsi:type="xsd:double"&gt;1.1231562&lt;/D&gt;&lt;/FQL&gt;&lt;FQL&gt;&lt;Q&gt;CAT-US^P_BETA_LOCIDX(45758,45582,,"SPX")&lt;/Q&gt;&lt;R&gt;1&lt;/R&gt;&lt;C&gt;1&lt;/C&gt;&lt;D xsi:type="xsd:double"&gt;1.1204833&lt;/D&gt;&lt;/FQL&gt;&lt;FQL&gt;&lt;Q&gt;CAT-US^P_BETA_LOCIDX(45757,45581,,"SPX")&lt;/Q&gt;&lt;R&gt;1&lt;/R&gt;&lt;C&gt;1&lt;/C&gt;&lt;D xsi:type="xsd:double"&gt;1.1255233&lt;/D&gt;&lt;/FQL&gt;&lt;FQL&gt;&lt;Q&gt;CAT-US^P_BETA_LOCIDX(45756,45580,,"SPX")&lt;/Q&gt;&lt;R&gt;1&lt;/R&gt;&lt;C&gt;1&lt;/C&gt;&lt;D xsi:type="xsd:double"&gt;1.1283308&lt;/D&gt;&lt;/FQL&gt;&lt;FQL&gt;&lt;Q&gt;CAT-US^P_BETA_LOCIDX(45755,45579,,"SPX")&lt;/Q&gt;&lt;R&gt;1&lt;/R&gt;&lt;C&gt;1&lt;/C&gt;&lt;D xsi:type="xsd:double"&gt;1.1560724&lt;/D&gt;&lt;/FQL&gt;&lt;FQL&gt;&lt;Q&gt;CAT-US^P_BETA_LOCIDX(45754,45576,,"SPX")&lt;/Q&gt;&lt;R&gt;1&lt;/R&gt;&lt;C&gt;1&lt;/C&gt;&lt;D xsi:type="xsd:double"&gt;1.1577613&lt;/D&gt;&lt;/FQL&gt;&lt;FQL&gt;&lt;Q&gt;CAT-US^P_BETA_LOCIDX(45751,45575,,"SPX")&lt;/Q&gt;&lt;R&gt;1&lt;/R&gt;&lt;C&gt;1&lt;/C&gt;&lt;D xsi:type="xsd:double"&gt;1.1554666&lt;/D&gt;&lt;/FQL&gt;&lt;FQL&gt;&lt;Q&gt;CAT-US^P_BETA_LOCIDX(45750,45574,,"SPX")&lt;/Q&gt;&lt;R&gt;1&lt;/R&gt;&lt;C&gt;1&lt;/C&gt;&lt;D xsi:type="xsd:double"&gt;1.2243406&lt;/D&gt;&lt;/FQL&gt;&lt;FQL&gt;&lt;Q&gt;CAT-US^P_BETA_LOCIDX(45749,45573,,"SPX")&lt;/Q&gt;&lt;R&gt;1&lt;/R&gt;&lt;C&gt;1&lt;/C&gt;&lt;D xsi:type="xsd:double"&gt;1.065029&lt;/D&gt;&lt;/FQL&gt;&lt;FQL&gt;&lt;Q&gt;CAT-US^P_BETA_LOCIDX(45748,45572,,"SPX")&lt;/Q&gt;&lt;R&gt;1&lt;/R&gt;&lt;C&gt;1&lt;/C&gt;&lt;D xsi:type="xsd:double"&gt;1.047155&lt;/D&gt;&lt;/FQL&gt;&lt;FQL&gt;&lt;Q&gt;CAT-US^P_BETA_LOCIDX(45747,45569,,"SPX")&lt;/Q&gt;&lt;R&gt;1&lt;/R&gt;&lt;C&gt;1&lt;/C&gt;&lt;D xsi:type="xsd:double"&gt;1.0536832&lt;/D&gt;&lt;/FQL&gt;&lt;FQL&gt;&lt;Q&gt;CAT-US^P_BETA_LOCIDX(45744,45568,,"SPX")&lt;/Q&gt;&lt;R&gt;1&lt;/R&gt;&lt;C&gt;1&lt;/C&gt;&lt;D xsi:type="xsd:double"&gt;1.0567945&lt;/D&gt;&lt;/FQL&gt;&lt;FQL&gt;&lt;Q&gt;CAT-US^P_BETA_LOCIDX(45743,45567,,"SPX")&lt;/Q&gt;&lt;R&gt;1&lt;/R&gt;&lt;C&gt;1&lt;/C&gt;&lt;D xsi:type="xsd:double"&gt;1.0441496&lt;/D&gt;&lt;/FQL&gt;&lt;FQL&gt;&lt;Q&gt;CAT-US^P_BETA_LOCIDX(45742,45566,,"SPX")&lt;/Q&gt;&lt;R&gt;1&lt;/R&gt;&lt;C&gt;1&lt;/C&gt;&lt;D xsi:type="xsd:double"&gt;1.0306354&lt;/D&gt;&lt;/FQL&gt;&lt;FQL&gt;&lt;Q&gt;CAT-US^P_BETA_LOCIDX(45741,45565,,"SPX")&lt;/Q&gt;&lt;R&gt;1&lt;/R&gt;&lt;C&gt;1&lt;/C&gt;&lt;D xsi:type="xsd:double"&gt;1.038518&lt;/D&gt;&lt;/FQL&gt;&lt;FQL&gt;&lt;Q&gt;CAT-US^P_BETA_LOCIDX(45740,45562,,"SPX")&lt;/Q&gt;&lt;R&gt;1&lt;/R&gt;&lt;C&gt;1&lt;/C&gt;&lt;D xsi:type="xsd:double"&gt;1.0378183&lt;/D&gt;&lt;/FQL&gt;&lt;FQL&gt;&lt;Q&gt;CAT-US^P_BETA_LOCIDX(45737,45561,,"SPX")&lt;/Q&gt;&lt;R&gt;1&lt;/R&gt;&lt;C&gt;1&lt;/C&gt;&lt;D xsi:type="xsd:double"&gt;1.0504473&lt;/D&gt;&lt;/FQL&gt;&lt;FQL&gt;&lt;Q&gt;CAT-US^P_BETA_LOCIDX(45736,45560,,"SPX")&lt;/Q&gt;&lt;R&gt;1&lt;/R&gt;&lt;C&gt;1&lt;/C&gt;&lt;D xsi:type="xsd:double"&gt;1.0538473&lt;/D&gt;&lt;/FQL&gt;&lt;FQL&gt;&lt;Q&gt;CAT-US^P_BETA_LOCIDX(45735,45559,,"SPX")&lt;/Q&gt;&lt;R&gt;1&lt;/R&gt;&lt;C&gt;1&lt;/C&gt;&lt;D xsi:type="xsd:double"&gt;1.0631816&lt;/D&gt;&lt;/FQL&gt;&lt;FQL&gt;&lt;Q&gt;CAT-US^P_BETA_LOCIDX(45734,45558,,"SPX")&lt;/Q&gt;&lt;R&gt;1&lt;/R&gt;&lt;C&gt;1&lt;/C&gt;&lt;D xsi:type="xsd:double"&gt;1.0705012&lt;/D&gt;&lt;/FQL&gt;&lt;FQL&gt;&lt;Q&gt;CAT-US^P_BETA_LOCIDX(45733,45555,,"SPX")&lt;/Q&gt;&lt;R&gt;1&lt;/R&gt;&lt;C&gt;1&lt;/C&gt;&lt;D xsi:type="xsd:double"&gt;1.0662521&lt;/D&gt;&lt;/FQL&gt;&lt;FQL&gt;&lt;Q&gt;CAT-US^P_BETA_LOCIDX(45730,45554,,"SPX")&lt;/Q&gt;&lt;R&gt;1&lt;/R&gt;&lt;C&gt;1&lt;/C&gt;&lt;D xsi:type="xsd:double"&gt;1.124549&lt;/D&gt;&lt;/FQL&gt;&lt;FQL&gt;&lt;Q&gt;CAT-US^P_BETA_LOCIDX(45729,45553,,"SPX")&lt;/Q&gt;&lt;R&gt;1&lt;/R&gt;&lt;C&gt;1&lt;/C&gt;&lt;D xsi:type="xsd:double"&gt;1.1332101&lt;/D&gt;&lt;/FQL&gt;&lt;FQL&gt;&lt;Q&gt;CAT-US^P_BETA_LOCIDX(45728,45552,,"SPX")&lt;/Q&gt;&lt;R&gt;1&lt;/R&gt;&lt;C&gt;1&lt;/C&gt;&lt;D xsi:type="xsd:double"&gt;1.1363378&lt;/D&gt;&lt;/FQL&gt;&lt;FQL&gt;&lt;Q&gt;CAT-US^P_BETA_LOCIDX(45727,45551,,"SPX")&lt;/Q&gt;&lt;R&gt;1&lt;/R&gt;&lt;C&gt;1&lt;/C&gt;&lt;D xsi:type="xsd:double"&gt;1.14303&lt;/D&gt;&lt;/FQL&gt;&lt;FQL&gt;&lt;Q&gt;CAT-US^P_BETA_LOCIDX(45726,45548,,"SPX")&lt;/Q&gt;&lt;R&gt;1&lt;/R&gt;&lt;C&gt;1&lt;/C&gt;&lt;D xsi:type="xsd:double"&gt;1.1432427&lt;/D&gt;&lt;/FQL&gt;&lt;FQL&gt;&lt;Q&gt;CAT-US^P_BETA_LOCIDX(45723,45547,,"SPX")&lt;/Q&gt;&lt;R&gt;1&lt;/R&gt;&lt;C&gt;1&lt;/C&gt;&lt;D xsi:type="xsd:double"&gt;1.2016933&lt;/D&gt;&lt;/FQL&gt;&lt;FQL&gt;&lt;Q&gt;CAT-US^P_BETA_LOCIDX(45722,45546,,"SPX")&lt;/Q&gt;&lt;R&gt;1&lt;/R&gt;&lt;C&gt;1&lt;/C&gt;&lt;D xsi:type="xsd:double"&gt;1.1758021&lt;/D&gt;&lt;/FQL&gt;&lt;FQL&gt;&lt;Q&gt;CAT-US^P_BETA_LOCIDX(45721,45545,,"SPX")&lt;/Q&gt;&lt;R&gt;1&lt;/R&gt;&lt;C&gt;1&lt;/C&gt;&lt;D xsi:type="xsd:double"&gt;1.2400953&lt;/D&gt;&lt;/FQL&gt;&lt;FQL&gt;&lt;Q&gt;CAT-US^P_BETA_LOCIDX(45720,45544,,"SPX")&lt;/Q&gt;&lt;R&gt;1&lt;/R&gt;&lt;C&gt;1&lt;/C&gt;&lt;D xsi:type="xsd:double"&gt;1.2102584&lt;/D&gt;&lt;/FQL&gt;&lt;FQL&gt;&lt;Q&gt;CAT-US^P_BETA_LOCIDX(45719,45541,,"SPX")&lt;/Q&gt;&lt;R&gt;1&lt;/R&gt;&lt;C&gt;1&lt;/C&gt;&lt;D xsi:type="xsd:double"&gt;1.1897118&lt;/D&gt;&lt;/FQL&gt;&lt;FQL&gt;&lt;Q&gt;CAT-US^P_BETA_LOCIDX(45716,45540,,"SPX")&lt;/Q&gt;&lt;R&gt;1&lt;/R&gt;&lt;C&gt;1&lt;/C&gt;&lt;D xsi:type="xsd:double"&gt;1.1611184&lt;/D&gt;&lt;/FQL&gt;&lt;FQL&gt;&lt;Q&gt;CAT-US^P_BETA_LOCIDX(45715,45539,,"SPX")&lt;/Q&gt;&lt;R&gt;1&lt;/R&gt;&lt;C&gt;1&lt;/C&gt;&lt;D xsi:type="xsd:double"&gt;1.1763744&lt;/D&gt;&lt;/FQL&gt;&lt;FQL&gt;&lt;Q&gt;CAT-US^P_BETA_LOCIDX(45714,45538,,"SPX")&lt;/Q&gt;&lt;R&gt;1&lt;/R&gt;&lt;C&gt;1&lt;/C&gt;&lt;D xsi:type="xsd:double"&gt;1.2549578&lt;/D&gt;&lt;/FQL&gt;&lt;FQL&gt;&lt;Q&gt;CAT-US^P_BETA_LOCIDX(45713,45534,,"SPX")&lt;/Q&gt;&lt;R&gt;1&lt;/R&gt;&lt;C&gt;1&lt;/C&gt;&lt;D xsi:type="xsd:double"&gt;1.2559661&lt;/D&gt;&lt;/FQL&gt;&lt;FQL&gt;&lt;Q&gt;CAT-US^P_BETA_LOCIDX(45712,45533,,"SPX")&lt;/Q&gt;&lt;R&gt;1&lt;/R&gt;&lt;C&gt;1&lt;/C&gt;&lt;D xsi:type="xsd:double"&gt;1.2665038&lt;/D&gt;&lt;/FQL&gt;&lt;FQL&gt;&lt;Q&gt;CAT-US^P_BETA_LOCIDX(45709,45532,,"SPX")&lt;/Q&gt;&lt;R&gt;1&lt;/R&gt;&lt;C&gt;1&lt;/C&gt;&lt;D xsi:type="xsd:double"&gt;1.2691735&lt;/D&gt;&lt;/FQL&gt;&lt;FQL&gt;&lt;Q&gt;CAT-US^P_BETA_LOCIDX(45708,45531,,"SPX")&lt;/Q&gt;&lt;R&gt;1&lt;/R&gt;&lt;C&gt;1&lt;/C&gt;&lt;D xsi:type="xsd:double"&gt;1.2604542&lt;/D&gt;&lt;/FQL&gt;&lt;FQL&gt;&lt;Q&gt;CAT-US^P_BETA_LOCIDX(45707,45530,,"SPX")&lt;/Q&gt;&lt;R&gt;1&lt;/R&gt;&lt;C&gt;1&lt;/C&gt;&lt;D xsi:type="xsd:double"&gt;1.2506505&lt;/D&gt;&lt;/FQL&gt;&lt;FQL&gt;&lt;Q&gt;CAT-US^P_BETA_LOCIDX(45706,45527,,"SPX")&lt;/Q&gt;&lt;R&gt;1&lt;/R&gt;&lt;C&gt;1&lt;/C&gt;&lt;D xsi:type="xsd:double"&gt;1.2573211&lt;/D&gt;&lt;/FQL&gt;&lt;FQL&gt;&lt;Q&gt;CAT-US^P_BETA_LOCIDX(45702,45526,,"SPX")&lt;/Q&gt;&lt;R&gt;1&lt;/R&gt;&lt;C&gt;1&lt;/C&gt;&lt;D xsi:type="xsd:double"&gt;1.2447453&lt;/D&gt;&lt;/FQL&gt;&lt;FQL&gt;&lt;Q&gt;CAT-US^P_BETA_LOCIDX(45701,45525,,"SPX")&lt;/Q&gt;&lt;R&gt;1&lt;/R&gt;&lt;C&gt;1&lt;/C&gt;&lt;D xsi:type="xsd:double"&gt;1.2420895&lt;/D&gt;&lt;/FQL&gt;&lt;FQL&gt;&lt;Q&gt;CAT-US^P_BETA_LOCIDX(45700,45524,,"SPX")&lt;/Q&gt;&lt;R&gt;1&lt;/R&gt;&lt;C&gt;1&lt;/C&gt;&lt;D xsi:type="xsd:double"&gt;1.2523252&lt;/D&gt;&lt;/FQL&gt;&lt;FQL&gt;&lt;Q&gt;CAT-US^P_BETA_LOCIDX(45699,45523,,"SPX")&lt;/Q&gt;&lt;R&gt;1&lt;/R&gt;&lt;C&gt;1&lt;/C&gt;&lt;D xsi:type="xsd:double"&gt;1.2315679&lt;/D&gt;&lt;/FQL&gt;&lt;FQL&gt;&lt;Q&gt;CAT-US^P_BETA_LOCIDX(45698,45520,,"SPX")&lt;/Q&gt;&lt;R&gt;1&lt;/R&gt;&lt;C&gt;1&lt;/C&gt;&lt;D xsi:type="xsd:double"&gt;1.2300826&lt;/D&gt;&lt;/FQL&gt;&lt;FQL&gt;&lt;Q&gt;CAT-US^P_BETA_LOCIDX(45695,45519,,"SPX")&lt;/Q&gt;&lt;R&gt;1&lt;/R&gt;&lt;C&gt;1&lt;/C&gt;&lt;D xsi:type="xsd:double"&gt;1.245869&lt;/D&gt;&lt;/FQL&gt;&lt;FQL&gt;&lt;Q&gt;CAT-US^P_BETA_LOCIDX(45694,45518,,"SPX")&lt;/Q&gt;&lt;R&gt;1&lt;/R&gt;&lt;C&gt;1&lt;/C&gt;&lt;D xsi:type="xsd:double"&gt;1.2533854&lt;/D&gt;&lt;/FQL&gt;&lt;FQL&gt;&lt;Q&gt;CAT-US^P_BETA_LOCIDX(45693,45517,,"SPX")&lt;/Q&gt;&lt;R&gt;1&lt;/R&gt;&lt;C&gt;1&lt;/C&gt;&lt;D xsi:type="xsd:double"&gt;1.2242199&lt;/D&gt;&lt;/FQL&gt;&lt;FQL&gt;&lt;Q&gt;CAT-US^P_BETA_LOCIDX(45692,45516,,"SPX")&lt;/Q&gt;&lt;R&gt;1&lt;/R&gt;&lt;C&gt;1&lt;/C&gt;&lt;D xsi:type="xsd:double"&gt;1.2295486&lt;/D&gt;&lt;/FQL&gt;&lt;FQL&gt;&lt;Q&gt;CAT-US^P_BETA_LOCIDX(45691,45513,,"SPX")&lt;/Q&gt;&lt;R&gt;1&lt;/R&gt;&lt;C&gt;1&lt;/C&gt;&lt;D xsi:type="xsd:double"&gt;1.2356627&lt;/D&gt;&lt;/FQL&gt;&lt;FQL&gt;&lt;Q&gt;CAT-US^P_BETA_LOCIDX(45688,45512,,"SPX")&lt;/Q&gt;&lt;R&gt;1&lt;/R&gt;&lt;C&gt;1&lt;/C&gt;&lt;D xsi:type="xsd:double"&gt;1.2278692&lt;/D&gt;&lt;/FQL&gt;&lt;FQL&gt;&lt;Q&gt;CAT-US^P_BETA_LOCIDX(45687,45511,,"SPX")&lt;/Q&gt;&lt;R&gt;1&lt;/R&gt;&lt;C&gt;1&lt;/C&gt;&lt;D xsi:type="xsd:double"&gt;1.2172676&lt;/D&gt;&lt;/FQL&gt;&lt;FQL&gt;&lt;Q&gt;CAT-US^P_BETA_LOCIDX(45686,45510,,"SPX")&lt;/Q&gt;&lt;R&gt;1&lt;/R&gt;&lt;C&gt;1&lt;/C&gt;&lt;D xsi:type="xsd:double"&gt;1.2613282&lt;/D&gt;&lt;/FQL&gt;&lt;FQL&gt;&lt;Q&gt;CAT-US^P_BETA_LOCIDX(45685,45509,,"SPX")&lt;/Q&gt;&lt;R&gt;1&lt;/R&gt;&lt;C&gt;1&lt;/C&gt;&lt;D xsi:type="xsd:double"&gt;1.1874206&lt;/D&gt;&lt;/FQL&gt;&lt;FQL&gt;&lt;Q&gt;CAT-US^P_BETA_LOCIDX(45684,45506,,"SPX")&lt;/Q&gt;&lt;R&gt;1&lt;/R&gt;&lt;C&gt;1&lt;/C&gt;&lt;D xsi:type="xsd:double"&gt;1.2288487&lt;/D&gt;&lt;/FQL&gt;&lt;FQL&gt;&lt;Q&gt;CAT-US^P_BETA_LOCIDX(45681,45505,,"SPX")&lt;/Q&gt;&lt;R&gt;1&lt;/R&gt;&lt;C&gt;1&lt;/C&gt;&lt;D xsi:type="xsd:double"&gt;1.2463336&lt;/D&gt;&lt;/FQL&gt;&lt;FQL&gt;&lt;Q&gt;CAT-US^P_BETA_LOCIDX(45680,45504,,"SPX")&lt;/Q&gt;&lt;R&gt;1&lt;/R&gt;&lt;C&gt;1&lt;/C&gt;&lt;D xsi:type="xsd:double"&gt;1.2382778&lt;/D&gt;&lt;/FQL&gt;&lt;FQL&gt;&lt;Q&gt;CAT-US^P_BETA_LOCIDX(45679,45503,,"SPX")&lt;/Q&gt;&lt;R&gt;1&lt;/R&gt;&lt;C&gt;1&lt;/C&gt;&lt;D xsi:type="xsd:double"&gt;1.232952&lt;/D&gt;&lt;/FQL&gt;&lt;FQL&gt;&lt;Q&gt;CAT-US^P_BETA_LOCIDX(45678,45502,,"SPX")&lt;/Q&gt;&lt;R&gt;1&lt;/R&gt;&lt;C&gt;1&lt;/C&gt;&lt;D xsi:type="xsd:double"&gt;1.2382154&lt;/D&gt;&lt;/FQL&gt;&lt;FQL&gt;&lt;Q&gt;CAT-US^P_BETA_LOCIDX(45674,45499,,"SPX")&lt;/Q&gt;&lt;R&gt;1&lt;/R&gt;&lt;C&gt;1&lt;/C&gt;&lt;D xsi:type="xsd:double"&gt;1.2257898&lt;/D&gt;&lt;/FQL&gt;&lt;FQL&gt;&lt;Q&gt;CAT-US^P_BETA_LOCIDX(45673,45498,,"SPX")&lt;/Q&gt;&lt;R&gt;1&lt;/R&gt;&lt;C&gt;1&lt;/C&gt;&lt;D xsi:type="xsd:double"&gt;1.2052424&lt;/D&gt;&lt;/FQL&gt;&lt;FQL&gt;&lt;Q&gt;CAT-US^P_BETA_LOCIDX(45672,45497,,"SPX")&lt;/Q&gt;&lt;R&gt;1&lt;/R&gt;&lt;C&gt;1&lt;/C&gt;&lt;D xsi:type="xsd:double"&gt;1.2005883&lt;/D&gt;&lt;/FQL&gt;&lt;FQL&gt;&lt;Q&gt;CAT-US^P_BETA_LOCIDX(45671,45496,,"SPX")&lt;/Q&gt;&lt;R&gt;1&lt;/R&gt;&lt;C&gt;1&lt;/C&gt;&lt;D xsi:type="xsd:double"&gt;1.2256281&lt;/D&gt;&lt;/FQL&gt;&lt;FQL&gt;&lt;Q&gt;CAT-US^P_BETA_LOCIDX(45670,45495,,"SPX")&lt;/Q&gt;&lt;R&gt;1&lt;/R&gt;&lt;C&gt;1&lt;/C&gt;&lt;D xsi:type="xsd:double"&gt;1.2114584&lt;/D&gt;&lt;/FQL&gt;&lt;FQL&gt;&lt;Q&gt;CAT-US^P_BETA_LOCIDX(45667,45492,,"SPX")&lt;/Q&gt;&lt;R&gt;1&lt;/R&gt;&lt;C&gt;1&lt;/C&gt;&lt;D xsi:type="xsd:double"&gt;1.2190136&lt;/D&gt;&lt;/FQL&gt;&lt;FQL&gt;&lt;Q&gt;CAT-US^P_BETA_LOCIDX(45665,45491,,"SPX")&lt;/Q&gt;&lt;R&gt;1&lt;/R&gt;&lt;C&gt;1&lt;/C&gt;&lt;D xsi:type="xsd:double"&gt;1.2012649&lt;/D&gt;&lt;/FQL&gt;&lt;FQL&gt;&lt;Q&gt;CAT-US^P_BETA_LOCIDX(45664,45490,,"SPX")&lt;/Q&gt;&lt;R&gt;1&lt;/R&gt;&lt;C&gt;1&lt;/C&gt;&lt;D xsi:type="xsd:double"&gt;1.1889582&lt;/D&gt;&lt;/FQL&gt;&lt;FQL&gt;&lt;Q&gt;CAT-US^P_BETA_LOCIDX(45663,45489,,"SPX")&lt;/Q&gt;&lt;R&gt;1&lt;/R&gt;&lt;C&gt;1&lt;/C&gt;&lt;D xsi:type="xsd:double"&gt;1.2209125&lt;/D&gt;&lt;/FQL&gt;&lt;FQL&gt;&lt;Q&gt;CAT-US^P_BETA_LOCIDX(45660,45488,,"SPX")&lt;/Q&gt;&lt;R&gt;1&lt;/R&gt;&lt;C&gt;1&lt;/C&gt;&lt;D xsi:type="xsd:double"&gt;1.2297897&lt;/D&gt;&lt;/FQL&gt;&lt;FQL&gt;&lt;Q&gt;CAT-US^P_BETA_LOCIDX(45659,45485,,"SPX")&lt;/Q&gt;&lt;R&gt;1&lt;/R&gt;&lt;C&gt;1&lt;/C&gt;&lt;D xsi:type="xsd:double"&gt;1.2385042&lt;/D&gt;&lt;/FQL&gt;&lt;FQL&gt;&lt;Q&gt;CAT-US^P_BETA_LOCIDX(45657,45484,,"SPX")&lt;/Q&gt;&lt;R&gt;1&lt;/R&gt;&lt;C&gt;1&lt;/C&gt;&lt;D xsi:type="xsd:double"&gt;1.2201809&lt;/D&gt;&lt;/FQL&gt;&lt;FQL&gt;&lt;Q&gt;CAT-US^P_BETA_LOCIDX(45656,45483,,"SPX")&lt;/Q&gt;&lt;R&gt;1&lt;/R&gt;&lt;C&gt;1&lt;/C&gt;&lt;D x</t>
        </r>
      </text>
    </comment>
    <comment ref="A19" authorId="0" shapeId="0" xr:uid="{26703A69-EC2A-415C-AEFC-448640E424B2}">
      <text>
        <r>
          <rPr>
            <b/>
            <sz val="9"/>
            <color indexed="81"/>
            <rFont val="Tahoma"/>
            <charset val="1"/>
          </rPr>
          <t>si:type="xsd:double"&gt;1.2168338&lt;/D&gt;&lt;/FQL&gt;&lt;FQL&gt;&lt;Q&gt;CAT-US^P_BETA_LOCIDX(45653,45482,,"SPX")&lt;/Q&gt;&lt;R&gt;1&lt;/R&gt;&lt;C&gt;1&lt;/C&gt;&lt;D xsi:type="xsd:double"&gt;1.2251484&lt;/D&gt;&lt;/FQL&gt;&lt;FQL&gt;&lt;Q&gt;CAT-US^P_BETA_LOCIDX(45652,45481,,"SPX")&lt;/Q&gt;&lt;R&gt;1&lt;/R&gt;&lt;C&gt;1&lt;/C&gt;&lt;D xsi:type="xsd:double"&gt;1.2335918&lt;/D&gt;&lt;/FQL&gt;&lt;FQL&gt;&lt;Q&gt;CAT-US^P_BETA_LOCIDX(45650,45478,,"SPX")&lt;/Q&gt;&lt;R&gt;1&lt;/R&gt;&lt;C&gt;1&lt;/C&gt;&lt;D xsi:type="xsd:double"&gt;1.2270107&lt;/D&gt;&lt;/FQL&gt;&lt;FQL&gt;&lt;Q&gt;CAT-US^P_BETA_LOCIDX(45649,45476,,"SPX")&lt;/Q&gt;&lt;R&gt;1&lt;/R&gt;&lt;C&gt;1&lt;/C&gt;&lt;D xsi:type="xsd:double"&gt;1.2360888&lt;/D&gt;&lt;/FQL&gt;&lt;FQL&gt;&lt;Q&gt;CAT-US^P_BETA_LOCIDX(45646,45475,,"SPX")&lt;/Q&gt;&lt;R&gt;1&lt;/R&gt;&lt;C&gt;1&lt;/C&gt;&lt;D xsi:type="xsd:double"&gt;1.2368091&lt;/D&gt;&lt;/FQL&gt;&lt;FQL&gt;&lt;Q&gt;CAT-US^P_BETA_LOCIDX(45645,45474,,"SPX")&lt;/Q&gt;&lt;R&gt;1&lt;/R&gt;&lt;C&gt;1&lt;/C&gt;&lt;D xsi:type="xsd:double"&gt;1.231343&lt;/D&gt;&lt;/FQL&gt;&lt;FQL&gt;&lt;Q&gt;CAT-US^P_BETA_LOCIDX(45644,45471,,"SPX")&lt;/Q&gt;&lt;R&gt;1&lt;/R&gt;&lt;C&gt;1&lt;/C&gt;&lt;D xsi:type="xsd:double"&gt;1.2193961&lt;/D&gt;&lt;/FQL&gt;&lt;FQL&gt;&lt;Q&gt;CAT-US^P_BETA_LOCIDX(45643,45470,,"SPX")&lt;/Q&gt;&lt;R&gt;1&lt;/R&gt;&lt;C&gt;1&lt;/C&gt;&lt;D xsi:type="xsd:double"&gt;1.2329985&lt;/D&gt;&lt;/FQL&gt;&lt;FQL&gt;&lt;Q&gt;CAT-US^P_BETA_LOCIDX(45642,45469,,"SPX")&lt;/Q&gt;&lt;R&gt;1&lt;/R&gt;&lt;C&gt;1&lt;/C&gt;&lt;D xsi:type="xsd:double"&gt;1.2306718&lt;/D&gt;&lt;/FQL&gt;&lt;FQL&gt;&lt;Q&gt;CAT-US^P_BETA_LOCIDX(45639,45468,,"SPX")&lt;/Q&gt;&lt;R&gt;1&lt;/R&gt;&lt;C&gt;1&lt;/C&gt;&lt;D xsi:type="xsd:double"&gt;1.2292116&lt;/D&gt;&lt;/FQL&gt;&lt;FQL&gt;&lt;Q&gt;CAT-US^P_BETA_LOCIDX(45638,45467,,"SPX")&lt;/Q&gt;&lt;R&gt;1&lt;/R&gt;&lt;C&gt;1&lt;/C&gt;&lt;D xsi:type="xsd:double"&gt;1.2246133&lt;/D&gt;&lt;/FQL&gt;&lt;FQL&gt;&lt;Q&gt;CAT-US^P_BETA_LOCIDX(45637,45464,,"SPX")&lt;/Q&gt;&lt;R&gt;1&lt;/R&gt;&lt;C&gt;1&lt;/C&gt;&lt;D xsi:type="xsd:double"&gt;1.2148895&lt;/D&gt;&lt;/FQL&gt;&lt;FQL&gt;&lt;Q&gt;CAT-US^P_BETA_LOCIDX(45636,45463,,"SPX")&lt;/Q&gt;&lt;R&gt;1&lt;/R&gt;&lt;C&gt;1&lt;/C&gt;&lt;D xsi:type="xsd:double"&gt;1.2168192&lt;/D&gt;&lt;/FQL&gt;&lt;FQL&gt;&lt;Q&gt;CAT-US^P_BETA_LOCIDX(45635,45461,,"SPX")&lt;/Q&gt;&lt;R&gt;1&lt;/R&gt;&lt;C&gt;1&lt;/C&gt;&lt;D xsi:type="xsd:double"&gt;1.2071444&lt;/D&gt;&lt;/FQL&gt;&lt;FQL&gt;&lt;Q&gt;CAT-US^P_BETA_LOCIDX(45632,45460,,"SPX")&lt;/Q&gt;&lt;R&gt;1&lt;/R&gt;&lt;C&gt;1&lt;/C&gt;&lt;D xsi:type="xsd:double"&gt;1.2156446&lt;/D&gt;&lt;/FQL&gt;&lt;FQL&gt;&lt;Q&gt;CAT-US^P_BETA_LOCIDX(45631,45457,,"SPX")&lt;/Q&gt;&lt;R&gt;1&lt;/R&gt;&lt;C&gt;1&lt;/C&gt;&lt;D xsi:type="xsd:double"&gt;1.2186068&lt;/D&gt;&lt;/FQL&gt;&lt;FQL&gt;&lt;Q&gt;CAT-US^P_BETA_LOCIDX(45630,45456,,"SPX")&lt;/Q&gt;&lt;R&gt;1&lt;/R&gt;&lt;C&gt;1&lt;/C&gt;&lt;D xsi:type="xsd:double"&gt;1.2138277&lt;/D&gt;&lt;/FQL&gt;&lt;FQL&gt;&lt;Q&gt;CAT-US^P_BETA_LOCIDX(45629,45455,,"SPX")&lt;/Q&gt;&lt;R&gt;1&lt;/R&gt;&lt;C&gt;1&lt;/C&gt;&lt;D xsi:type="xsd:double"&gt;1.2124254&lt;/D&gt;&lt;/FQL&gt;&lt;FQL&gt;&lt;Q&gt;CAT-US^P_BETA_LOCIDX(45628,45454,,"SPX")&lt;/Q&gt;&lt;R&gt;1&lt;/R&gt;&lt;C&gt;1&lt;/C&gt;&lt;D xsi:type="xsd:double"&gt;1.2097547&lt;/D&gt;&lt;/FQL&gt;&lt;FQL&gt;&lt;Q&gt;CAT-US^P_BETA_LOCIDX(45625,45453,,"SPX")&lt;/Q&gt;&lt;R&gt;1&lt;/R&gt;&lt;C&gt;1&lt;/C&gt;&lt;D xsi:type="xsd:double"&gt;1.2114557&lt;/D&gt;&lt;/FQL&gt;&lt;FQL&gt;&lt;Q&gt;CAT-US^P_BETA_LOCIDX(45623,45450,,"SPX")&lt;/Q&gt;&lt;R&gt;1&lt;/R&gt;&lt;C&gt;1&lt;/C&gt;&lt;D xsi:type="xsd:double"&gt;1.2115895&lt;/D&gt;&lt;/FQL&gt;&lt;FQL&gt;&lt;Q&gt;CAT-US^P_BETA_LOCIDX(45622,45449,,"SPX")&lt;/Q&gt;&lt;R&gt;1&lt;/R&gt;&lt;C&gt;1&lt;/C&gt;&lt;D xsi:type="xsd:double"&gt;1.2087337&lt;/D&gt;&lt;/FQL&gt;&lt;FQL&gt;&lt;Q&gt;CAT-US^P_BETA_LOCIDX(45621,45448,,"SPX")&lt;/Q&gt;&lt;R&gt;1&lt;/R&gt;&lt;C&gt;1&lt;/C&gt;&lt;D xsi:type="xsd:double"&gt;1.198614&lt;/D&gt;&lt;/FQL&gt;&lt;FQL&gt;&lt;Q&gt;CAT-US^P_BETA_LOCIDX(45618,45447,,"SPX")&lt;/Q&gt;&lt;R&gt;1&lt;/R&gt;&lt;C&gt;1&lt;/C&gt;&lt;D xsi:type="xsd:double"&gt;1.1942745&lt;/D&gt;&lt;/FQL&gt;&lt;FQL&gt;&lt;Q&gt;CAT-US^P_BETA_LOCIDX(45617,45446,,"SPX")&lt;/Q&gt;&lt;R&gt;1&lt;/R&gt;&lt;C&gt;1&lt;/C&gt;&lt;D xsi:type="xsd:double"&gt;1.1897057&lt;/D&gt;&lt;/FQL&gt;&lt;FQL&gt;&lt;Q&gt;CAT-US^P_BETA_LOCIDX(45616,45443,,"SPX")&lt;/Q&gt;&lt;R&gt;1&lt;/R&gt;&lt;C&gt;1&lt;/C&gt;&lt;D xsi:type="xsd:double"&gt;1.1733074&lt;/D&gt;&lt;/FQL&gt;&lt;FQL&gt;&lt;Q&gt;CAT-US^P_BETA_LOCIDX(45615,45442,,"SPX")&lt;/Q&gt;&lt;R&gt;1&lt;/R&gt;&lt;C&gt;1&lt;/C&gt;&lt;D xsi:type="xsd:double"&gt;1.1648868&lt;/D&gt;&lt;/FQL&gt;&lt;FQL&gt;&lt;Q&gt;CAT-US^P_BETA_LOCIDX(45614,45441,,"SPX")&lt;/Q&gt;&lt;R&gt;1&lt;/R&gt;&lt;C&gt;1&lt;/C&gt;&lt;D xsi:type="xsd:double"&gt;1.1826512&lt;/D&gt;&lt;/FQL&gt;&lt;FQL&gt;&lt;Q&gt;CAT-US^P_BETA_LOCIDX(45611,45440,,"SPX")&lt;/Q&gt;&lt;R&gt;1&lt;/R&gt;&lt;C&gt;1&lt;/C&gt;&lt;D xsi:type="xsd:double"&gt;1.1843597&lt;/D&gt;&lt;/FQL&gt;&lt;FQL&gt;&lt;Q&gt;CAT-US^P_BETA_LOCIDX(45610,45436,,"SPX")&lt;/Q&gt;&lt;R&gt;1&lt;/R&gt;&lt;C&gt;1&lt;/C&gt;&lt;D xsi:type="xsd:double"&gt;1.1870325&lt;/D&gt;&lt;/FQL&gt;&lt;FQL&gt;&lt;Q&gt;CAT-US^P_BETA_LOCIDX(45609,45435,,"SPX")&lt;/Q&gt;&lt;R&gt;1&lt;/R&gt;&lt;C&gt;1&lt;/C&gt;&lt;D xsi:type="xsd:double"&gt;1.1990186&lt;/D&gt;&lt;/FQL&gt;&lt;FQL&gt;&lt;Q&gt;CAT-US^P_BETA_LOCIDX(45608,45434,,"SPX")&lt;/Q&gt;&lt;R&gt;1&lt;/R&gt;&lt;C&gt;1&lt;/C&gt;&lt;D xsi:type="xsd:double"&gt;1.199838&lt;/D&gt;&lt;/FQL&gt;&lt;FQL&gt;&lt;Q&gt;CAT-US^P_BETA_LOCIDX(45607,45433,,"SPX")&lt;/Q&gt;&lt;R&gt;1&lt;/R&gt;&lt;C&gt;1&lt;/C&gt;&lt;D xsi:type="xsd:double"&gt;1.195445&lt;/D&gt;&lt;/FQL&gt;&lt;FQL&gt;&lt;Q&gt;CAT-US^P_BETA_LOCIDX(45604,45432,,"SPX")&lt;/Q&gt;&lt;R&gt;1&lt;/R&gt;&lt;C&gt;1&lt;/C&gt;&lt;D xsi:type="xsd:double"&gt;1.1952463&lt;/D&gt;&lt;/FQL&gt;&lt;FQL&gt;&lt;Q&gt;CAT-US^P_BETA_LOCIDX(45603,45429,,"SPX")&lt;/Q&gt;&lt;R&gt;1&lt;/R&gt;&lt;C&gt;1&lt;/C&gt;&lt;D xsi:type="xsd:double"&gt;1.2079967&lt;/D&gt;&lt;/FQL&gt;&lt;FQL&gt;&lt;Q&gt;CAT-US^P_BETA_LOCIDX(45602,45428,,"SPX")&lt;/Q&gt;&lt;R&gt;1&lt;/R&gt;&lt;C&gt;1&lt;/C&gt;&lt;D xsi:type="xsd:double"&gt;1.2381527&lt;/D&gt;&lt;/FQL&gt;&lt;FQL&gt;&lt;Q&gt;CAT-US^P_BETA_LOCIDX(45601,45427,,"SPX")&lt;/Q&gt;&lt;R&gt;1&lt;/R&gt;&lt;C&gt;1&lt;/C&gt;&lt;D xsi:type="xsd:double"&gt;1.0614337&lt;/D&gt;&lt;/FQL&gt;&lt;FQL&gt;&lt;Q&gt;CAT-US^P_BETA_LOCIDX(45600,45426,,"SPX")&lt;/Q&gt;&lt;R&gt;1&lt;/R&gt;&lt;C&gt;1&lt;/C&gt;&lt;D xsi:type="xsd:double"&gt;1.0535444&lt;/D&gt;&lt;/FQL&gt;&lt;FQL&gt;&lt;Q&gt;CAT-US^P_BETA_LOCIDX(45597,45425,,"SPX")&lt;/Q&gt;&lt;R&gt;1&lt;/R&gt;&lt;C&gt;1&lt;/C&gt;&lt;D xsi:type="xsd:double"&gt;1.0506103&lt;/D&gt;&lt;/FQL&gt;&lt;FQL&gt;&lt;Q&gt;CAT-US^P_BETA_LOCIDX(45596,45422,,"SPX")&lt;/Q&gt;&lt;R&gt;1&lt;/R&gt;&lt;C&gt;1&lt;/C&gt;&lt;D xsi:type="xsd:double"&gt;1.0493382&lt;/D&gt;&lt;/FQL&gt;&lt;FQL&gt;&lt;Q&gt;CAT-US^P_BETA_LOCIDX(45595,45421,,"SPX")&lt;/Q&gt;&lt;R&gt;1&lt;/R&gt;&lt;C&gt;1&lt;/C&gt;&lt;D xsi:type="xsd:double"&gt;1.0869187&lt;/D&gt;&lt;/FQL&gt;&lt;FQL&gt;&lt;Q&gt;CAT-US^P_BETA_LOCIDX(45594,45420,,"SPX")&lt;/Q&gt;&lt;R&gt;1&lt;/R&gt;&lt;C&gt;1&lt;/C&gt;&lt;D xsi:type="xsd:double"&gt;1.0773791&lt;/D&gt;&lt;/FQL&gt;&lt;FQL&gt;&lt;Q&gt;CAT-US^P_BETA_LOCIDX(45593,45419,,"SPX")&lt;/Q&gt;&lt;R&gt;1&lt;/R&gt;&lt;C&gt;1&lt;/C&gt;&lt;D xsi:type="xsd:double"&gt;1.0784512&lt;/D&gt;&lt;/FQL&gt;&lt;FQL&gt;&lt;Q&gt;CAT-US^P_BETA_LOCIDX(45590,45418,,"SPX")&lt;/Q&gt;&lt;R&gt;1&lt;/R&gt;&lt;C&gt;1&lt;/C&gt;&lt;D xsi:type="xsd:double"&gt;1.08205&lt;/D&gt;&lt;/FQL&gt;&lt;FQL&gt;&lt;Q&gt;CAT-US^P_BETA_LOCIDX(45589,45415,,"SPX")&lt;/Q&gt;&lt;R&gt;1&lt;/R&gt;&lt;C&gt;1&lt;/C&gt;&lt;D xsi:type="xsd:double"&gt;1.0676832&lt;/D&gt;&lt;/FQL&gt;&lt;FQL&gt;&lt;Q&gt;CAT-US^P_BETA_LOCIDX(45588,45414,,"SPX")&lt;/Q&gt;&lt;R&gt;1&lt;/R&gt;&lt;C&gt;1&lt;/C&gt;&lt;D xsi:type="xsd:double"&gt;1.0708808&lt;/D&gt;&lt;/FQL&gt;&lt;FQL&gt;&lt;Q&gt;CAT-US^P_BETA_LOCIDX(45587,45413,,"SPX")&lt;/Q&gt;&lt;R&gt;1&lt;/R&gt;&lt;C&gt;1&lt;/C&gt;&lt;D xsi:type="xsd:double"&gt;1.0785128&lt;/D&gt;&lt;/FQL&gt;&lt;FQL&gt;&lt;Q&gt;CAT-US^P_BETA_LOCIDX(45586,45412,,"SPX")&lt;/Q&gt;&lt;R&gt;1&lt;/R&gt;&lt;C&gt;1&lt;/C&gt;&lt;D xsi:type="xsd:double"&gt;1.1317605&lt;/D&gt;&lt;/FQL&gt;&lt;FQL&gt;&lt;Q&gt;CAT-US^P_BETA_LOCIDX(45583,45411,,"SPX")&lt;/Q&gt;&lt;R&gt;1&lt;/R&gt;&lt;C&gt;1&lt;/C&gt;&lt;D xsi:type="xsd:double"&gt;1.1331744&lt;/D&gt;&lt;/FQL&gt;&lt;FQL&gt;&lt;Q&gt;CAT-US^P_BETA_LOCIDX(45582,45408,,"SPX")&lt;/Q&gt;&lt;R&gt;1&lt;/R&gt;&lt;C&gt;1&lt;/C&gt;&lt;D xsi:type="xsd:double"&gt;1.1399052&lt;/D&gt;&lt;/FQL&gt;&lt;FQL&gt;&lt;Q&gt;CAT-US^P_BETA_LOCIDX(45581,45407,,"SPX")&lt;/Q&gt;&lt;R&gt;1&lt;/R&gt;&lt;C&gt;1&lt;/C&gt;&lt;D xsi:type="xsd:double"&gt;1.1851498&lt;/D&gt;&lt;/FQL&gt;&lt;FQL&gt;&lt;Q&gt;CAT-US^P_BETA_LOCIDX(45580,45406,,"SPX")&lt;/Q&gt;&lt;R&gt;1&lt;/R&gt;&lt;C&gt;1&lt;/C&gt;&lt;D xsi:type="xsd:double"&gt;1.1810012&lt;/D&gt;&lt;/FQL&gt;&lt;FQL&gt;&lt;Q&gt;CAT-US^P_BETA_LOCIDX(45579,45405,,"SPX")&lt;/Q&gt;&lt;R&gt;1&lt;/R&gt;&lt;C&gt;1&lt;/C&gt;&lt;D xsi:type="xsd:double"&gt;1.1781324&lt;/D&gt;&lt;/FQL&gt;&lt;FQL&gt;&lt;Q&gt;CAT-US^P_BETA_LOCIDX(45576,45404,,"SPX")&lt;/Q&gt;&lt;R&gt;1&lt;/R&gt;&lt;C&gt;1&lt;/C&gt;&lt;D xsi:type="xsd:double"&gt;1.1985439&lt;/D&gt;&lt;/FQL&gt;&lt;FQL&gt;&lt;Q&gt;CAT-US^P_BETA_LOCIDX(45575,45401,,"SPX")&lt;/Q&gt;&lt;R&gt;1&lt;/R&gt;&lt;C&gt;1&lt;/C&gt;&lt;D xsi:type="xsd:double"&gt;1.1926254&lt;/D&gt;&lt;/FQL&gt;&lt;FQL&gt;&lt;Q&gt;CAT-US^P_BETA_LOCIDX(45574,45400,,"SPX")&lt;/Q&gt;&lt;R&gt;1&lt;/R&gt;&lt;C&gt;1&lt;/C&gt;&lt;D xsi:type="xsd:double"&gt;1.1933893&lt;/D&gt;&lt;/FQL&gt;&lt;FQL&gt;&lt;Q&gt;CAT-US^P_BETA_LOCIDX(45573,45399,,"SPX")&lt;/Q&gt;&lt;R&gt;1&lt;/R&gt;&lt;C&gt;1&lt;/C&gt;&lt;D xsi:type="xsd:double"&gt;1.1816212&lt;/D&gt;&lt;/FQL&gt;&lt;FQL&gt;&lt;Q&gt;CAT-US^P_BETA_LOCIDX(45572,45398,,"SPX")&lt;/Q&gt;&lt;R&gt;1&lt;/R&gt;&lt;C&gt;1&lt;/C&gt;&lt;D xsi:type="xsd:double"&gt;1.2223423&lt;/D&gt;&lt;/FQL&gt;&lt;FQL&gt;&lt;Q&gt;CAT-US^P_BETA_LOCIDX(45569,45397,,"SPX")&lt;/Q&gt;&lt;R&gt;1&lt;/R&gt;&lt;C&gt;1&lt;/C&gt;&lt;D xsi:type="xsd:double"&gt;1.2251664&lt;/D&gt;&lt;/FQL&gt;&lt;FQL&gt;&lt;Q&gt;CAT-US^P_BETA_LOCIDX(45568,45394,,"SPX")&lt;/Q&gt;&lt;R&gt;1&lt;/R&gt;&lt;C&gt;1&lt;/C&gt;&lt;D xsi:type="xsd:double"&gt;1.2186837&lt;/D&gt;&lt;/FQL&gt;&lt;FQL&gt;&lt;Q&gt;CAT-US^P_BETA_LOCIDX(45567,45393,,"SPX")&lt;/Q&gt;&lt;R&gt;1&lt;/R&gt;&lt;C&gt;1&lt;/C&gt;&lt;D xsi:type="xsd:double"&gt;1.2104824&lt;/D&gt;&lt;/FQL&gt;&lt;FQL&gt;&lt;Q&gt;CAT-US^P_BETA_LOCIDX(45566,45392,,"SPX")&lt;/Q&gt;&lt;R&gt;1&lt;/R&gt;&lt;C&gt;1&lt;/C&gt;&lt;D xsi:type="xsd:double"&gt;1.1964709&lt;/D&gt;&lt;/FQL&gt;&lt;FQL&gt;&lt;Q&gt;CAT-US^P_BETA_LOCIDX(45565,45391,,"SPX")&lt;/Q&gt;&lt;R&gt;1&lt;/R&gt;&lt;C&gt;1&lt;/C&gt;&lt;D xsi:type="xsd:double"&gt;1.2134&lt;/D&gt;&lt;/FQL&gt;&lt;FQL&gt;&lt;Q&gt;CAT-US^P_BETA_LOCIDX(45562,45390,,"SPX")&lt;/Q&gt;&lt;R&gt;1&lt;/R&gt;&lt;C&gt;1&lt;/C&gt;&lt;D xsi:type="xsd:double"&gt;1.2171652&lt;/D&gt;&lt;/FQL&gt;&lt;FQL&gt;&lt;Q&gt;CAT-US^P_BETA_LOCIDX(45561,45387,,"SPX")&lt;/Q&gt;&lt;R&gt;1&lt;/R&gt;&lt;C&gt;1&lt;/C&gt;&lt;D xsi:type="xsd:double"&gt;1.2325826&lt;/D&gt;&lt;/FQL&gt;&lt;FQL&gt;&lt;Q&gt;CAT-US^P_BETA_LOCIDX(45560,45386,,"SPX")&lt;/Q&gt;&lt;R&gt;1&lt;/R&gt;&lt;C&gt;1&lt;/C&gt;&lt;D xsi:type="xsd:double"&gt;1.2223831&lt;/D&gt;&lt;/FQL&gt;&lt;FQL&gt;&lt;Q&gt;CAT-US^P_BETA_LOCIDX(45559,45385,,"SPX")&lt;/Q&gt;&lt;R&gt;1&lt;/R&gt;&lt;C&gt;1&lt;/C&gt;&lt;D xsi:type="xsd:double"&gt;1.2181624&lt;/D&gt;&lt;/FQL&gt;&lt;FQL&gt;&lt;Q&gt;CAT-US^P_BETA_LOCIDX(45558,45384,,"SPX")&lt;/Q&gt;&lt;R&gt;1&lt;/R&gt;&lt;C&gt;1&lt;/C&gt;&lt;D xsi:type="xsd:double"&gt;1.2001098&lt;/D&gt;&lt;/FQL&gt;&lt;FQL&gt;&lt;Q&gt;CAT-US^P_BETA_LOCIDX(45555,45383,,"SPX")&lt;/Q&gt;&lt;R&gt;1&lt;/R&gt;&lt;C&gt;1&lt;/C&gt;&lt;D xsi:type="xsd:double"&gt;1.2005837&lt;/D&gt;&lt;/FQL&gt;&lt;FQL&gt;&lt;Q&gt;CAT-US^P_BETA_LOCIDX(45554,45379,,"SPX")&lt;/Q&gt;&lt;R&gt;1&lt;/R&gt;&lt;C&gt;1&lt;/C&gt;&lt;D xsi:type="xsd:double"&gt;1.1980736&lt;/D&gt;&lt;/FQL&gt;&lt;FQL&gt;&lt;Q&gt;CAT-US^P_BETA_LOCIDX(45553,45378,,"SPX")&lt;/Q&gt;&lt;R&gt;1&lt;/R&gt;&lt;C&gt;1&lt;/C&gt;&lt;D xsi:type="xsd:double"&gt;1.1520222&lt;/D&gt;&lt;/FQL&gt;&lt;FQL&gt;&lt;Q&gt;CAT-US^P_BETA_LOCIDX(45552,45377,,"SPX")&lt;/Q&gt;&lt;R&gt;1&lt;/R&gt;&lt;C&gt;1&lt;/C&gt;&lt;D xsi:type="xsd:double"&gt;1.1532595&lt;/D&gt;&lt;/FQL&gt;&lt;FQL&gt;&lt;Q&gt;CAT-US^P_BETA_LOCIDX(45551,45376,,"SPX")&lt;/Q&gt;&lt;R&gt;1&lt;/R&gt;&lt;C&gt;1&lt;/C&gt;&lt;D xsi:type="xsd:double"&gt;1.1547443&lt;/D&gt;&lt;/FQL&gt;&lt;FQL&gt;&lt;Q&gt;CAT-US^P_BETA_LOCIDX(45548,45373,,"SPX")&lt;/Q&gt;&lt;R&gt;1&lt;/R&gt;&lt;C&gt;1&lt;/C&gt;&lt;D xsi:type="xsd:double"&gt;1.157725&lt;/D&gt;&lt;/FQL&gt;&lt;FQL&gt;&lt;Q&gt;CAT-US^P_BETA_LOCIDX(45547,45372,,"SPX")&lt;/Q&gt;&lt;R&gt;1&lt;/R&gt;&lt;C&gt;1&lt;/C&gt;&lt;D xsi:type="xsd:double"&gt;1.1573627&lt;/D&gt;&lt;/FQL&gt;&lt;FQL&gt;&lt;Q&gt;CAT-US^P_BETA_LOCIDX(45546,45371,,"SPX")&lt;/Q&gt;&lt;R&gt;1&lt;/R&gt;&lt;C&gt;1&lt;/C&gt;&lt;D xsi:type="xsd:double"&gt;1.1507196&lt;/D&gt;&lt;/FQL&gt;&lt;FQL&gt;&lt;Q&gt;CAT-US^P_BETA_LOCIDX(45545,45370,,"SPX")&lt;/Q&gt;&lt;R&gt;1&lt;/R&gt;&lt;C&gt;1&lt;/C&gt;&lt;D xsi:type="xsd:double"&gt;1.1608969&lt;/D&gt;&lt;/FQL&gt;&lt;FQL&gt;&lt;Q&gt;CAT-US^P_BETA_LOCIDX(45544,45369,,"SPX")&lt;/Q&gt;&lt;R&gt;1&lt;/R&gt;&lt;C&gt;1&lt;/C&gt;&lt;D xsi:type="xsd:double"&gt;1.1677215&lt;/D&gt;&lt;/FQL&gt;&lt;FQL&gt;&lt;Q&gt;CAT-US^P_BETA_LOCIDX(45541,45366,,"SPX")&lt;/Q&gt;&lt;R&gt;1&lt;/R&gt;&lt;C&gt;1&lt;/C&gt;&lt;D xsi:type="xsd:double"&gt;1.1472809&lt;/D&gt;&lt;/FQL&gt;&lt;FQL&gt;&lt;Q&gt;CAT-US^P_BETA_LOCIDX(45540,45365,,"SPX")&lt;/Q&gt;&lt;R&gt;1&lt;/R&gt;&lt;C&gt;1&lt;/C&gt;&lt;D xsi:type="xsd:double"&gt;1.1619126&lt;/D&gt;&lt;/FQL&gt;&lt;FQL&gt;&lt;Q&gt;CAT-US^P_BETA_LOCIDX(45539,45364,,"SPX")&lt;/Q&gt;&lt;R&gt;1&lt;/R&gt;&lt;C&gt;1&lt;/C&gt;&lt;D xsi:type="xsd:double"&gt;1.155025&lt;/D&gt;&lt;/FQL&gt;&lt;FQL&gt;&lt;Q&gt;CAT-US^P_BETA_LOCIDX(45538,45363,,"SPX")&lt;/Q&gt;&lt;R&gt;1&lt;/R&gt;&lt;C&gt;1&lt;/C&gt;&lt;D xsi:type="xsd:double"&gt;1.1459477&lt;/D&gt;&lt;/FQL&gt;&lt;FQL&gt;&lt;Q&gt;CAT-US^P_BETA_LOCIDX(45534,45362,,"SPX")&lt;/Q&gt;&lt;R&gt;1&lt;/R&gt;&lt;C&gt;1&lt;/C&gt;&lt;D xsi:type="xsd:double"&gt;1.0943245&lt;/D&gt;&lt;/FQL&gt;&lt;FQL&gt;&lt;Q&gt;CAT-US^P_BETA_LOCIDX(45533,45359,,"SPX")&lt;/Q&gt;&lt;R&gt;1&lt;/R&gt;&lt;C&gt;1&lt;/C&gt;&lt;D xsi:type="xsd:double"&gt;1.0878655&lt;/D&gt;&lt;/FQL&gt;&lt;FQL&gt;&lt;Q&gt;CAT-US^P_BETA_LOCIDX(45532,45358,,"SPX")&lt;/Q&gt;&lt;R&gt;1&lt;/R&gt;&lt;C&gt;1&lt;/C&gt;&lt;D xsi:type="xsd:double"&gt;1.0922501&lt;/D&gt;&lt;/FQL&gt;&lt;FQL&gt;&lt;Q&gt;CAT-US^P_BETA_LOCIDX(45531,45357,,"SPX")&lt;/Q&gt;&lt;R&gt;1&lt;/R&gt;&lt;C&gt;1&lt;/C&gt;&lt;D xsi:type="xsd:double"&gt;1.0916806&lt;/D&gt;&lt;/FQL&gt;&lt;FQL&gt;&lt;Q&gt;CAT-US^P_BETA_LOCIDX(45530,45356,,"SPX")&lt;/Q&gt;&lt;R&gt;1&lt;/R&gt;&lt;C&gt;1&lt;/C&gt;&lt;D xsi:type="xsd:double"&gt;1.0966336&lt;/D&gt;&lt;/FQL&gt;&lt;FQL&gt;&lt;Q&gt;CAT-US^P_BETA_LOCIDX(45527,45355,,"SPX")&lt;/Q&gt;&lt;R&gt;1&lt;/R&gt;&lt;C&gt;1&lt;/C&gt;&lt;D xsi:type="xsd:double"&gt;1.1004992&lt;/D&gt;&lt;/FQL&gt;&lt;FQL&gt;&lt;Q&gt;CAT-US^P_BETA_LOCIDX(45526,45352,,"SPX")&lt;/Q&gt;&lt;R&gt;1&lt;/R&gt;&lt;C&gt;1&lt;/C&gt;&lt;D xsi:type="xsd:double"&gt;1.0930988&lt;/D&gt;&lt;/FQL&gt;&lt;FQL&gt;&lt;Q&gt;CAT-US^P_BETA_LOCIDX(45525,45351,,"SPX")&lt;/Q&gt;&lt;R&gt;1&lt;/R&gt;&lt;C&gt;1&lt;/C&gt;&lt;D xsi:type="xsd:double"&gt;1.1078972&lt;/D&gt;&lt;/FQL&gt;&lt;FQL&gt;&lt;Q&gt;CAT-US^P_BETA_LOCIDX(45524,45350,,"SPX")&lt;/Q&gt;&lt;R&gt;1&lt;/R&gt;&lt;C&gt;1&lt;/C&gt;&lt;D xsi:type="xsd:double"&gt;1.1075065&lt;/D&gt;&lt;/FQL&gt;&lt;FQL&gt;&lt;Q&gt;CAT-US^P_BETA_LOCIDX(45523,45349,,"SPX")&lt;/Q&gt;&lt;R&gt;1&lt;/R&gt;&lt;C&gt;1&lt;/C&gt;&lt;D xsi:type="xsd:double"&gt;1.1076108&lt;/D&gt;&lt;/FQL&gt;&lt;FQL&gt;&lt;Q&gt;CAT-US^P_BETA_LOCIDX(45520,45348,,"SPX")&lt;/Q&gt;&lt;R&gt;1&lt;/R&gt;&lt;C&gt;1&lt;/C&gt;&lt;D xsi:type="xsd:double"&gt;1.1102586&lt;/D&gt;&lt;/FQL&gt;&lt;FQL&gt;&lt;Q&gt;CAT-US^P_BETA_LOCIDX(45519,45345,,"SPX")&lt;/Q&gt;&lt;R&gt;1&lt;/R&gt;&lt;C&gt;1&lt;/C&gt;&lt;D xsi:type="xsd:double"&gt;1.1112808&lt;/D&gt;&lt;/FQL&gt;&lt;FQL&gt;&lt;Q&gt;CAT-US^P_BETA_LOCIDX(45518,45344,,"SPX")&lt;/Q&gt;&lt;R&gt;1&lt;/R&gt;&lt;C&gt;1&lt;/C&gt;&lt;D xsi:type="xsd:double"&gt;1.0805154&lt;/D&gt;&lt;/FQL&gt;&lt;FQL&gt;&lt;Q&gt;CAT-US^P_BETA_LOCIDX(45517,45343,,"SPX")&lt;/Q&gt;&lt;R&gt;1&lt;/R&gt;&lt;C&gt;1&lt;/C&gt;&lt;D xsi:type="xsd:double"&gt;1.0839373&lt;/D&gt;&lt;/FQL&gt;&lt;FQL&gt;&lt;Q&gt;CAT-US^P_BETA_LOCIDX(45516,45342,,"SPX")&lt;/Q&gt;&lt;R&gt;1&lt;/R&gt;&lt;C&gt;1&lt;/C&gt;&lt;D xsi:type="xsd:double"&gt;1.1200705&lt;/D&gt;&lt;/FQL&gt;&lt;FQL&gt;&lt;Q&gt;CAT-US^P_BETA_LOCIDX(45513,45338,,"SPX")&lt;/Q&gt;&lt;R&gt;1&lt;/R&gt;&lt;C&gt;1&lt;/C&gt;&lt;D xsi:type="xsd:double"&gt;1.1183585&lt;/D&gt;&lt;/FQL&gt;&lt;FQL&gt;&lt;Q&gt;CAT-US^P_BETA_LOCIDX(45512,45337,,"SPX")&lt;/Q&gt;&lt;R&gt;1&lt;/R&gt;&lt;C&gt;1&lt;/C&gt;&lt;D xsi:type="xsd:double"&gt;1.126854&lt;/D&gt;&lt;/FQL&gt;&lt;FQL&gt;&lt;Q&gt;CAT-US^P_BETA_LOCIDX(45511,45336,,"SPX")&lt;/Q&gt;&lt;R&gt;1&lt;/R&gt;&lt;C&gt;1&lt;/C&gt;&lt;D xsi:type="xsd:double"&gt;1.1112508&lt;/D&gt;&lt;/FQL&gt;&lt;FQL&gt;&lt;Q&gt;CAT-US^P_BETA_LOCIDX(45510,45335,,"SPX")&lt;/Q&gt;&lt;R&gt;1&lt;/R&gt;&lt;C&gt;1&lt;/C&gt;&lt;D xsi:type="xsd:double"&gt;1.140567&lt;/D&gt;&lt;/FQL&gt;&lt;FQL&gt;&lt;Q&gt;CAT-US^P_BETA_LOCIDX(45509,45334,,"SPX")&lt;/Q&gt;&lt;R&gt;1&lt;/R&gt;&lt;C&gt;1&lt;/C&gt;&lt;D xsi:type="xsd:double"&gt;1.1129923&lt;/D&gt;&lt;/FQL&gt;&lt;FQL&gt;&lt;Q&gt;CAT-US^P_BETA_LOCIDX(45506,45331,,"SPX")&lt;/Q&gt;&lt;R&gt;1&lt;/R&gt;&lt;C&gt;1&lt;/C&gt;&lt;D xsi:type="xsd:double"&gt;1.1923692&lt;/D&gt;&lt;/FQL&gt;&lt;FQL&gt;&lt;Q&gt;CAT-US^P_BETA_LOCIDX(45505,45330,,"SPX")&lt;/Q&gt;&lt;R&gt;1&lt;/R&gt;&lt;C&gt;1&lt;/C&gt;&lt;D xsi:type="xsd:double"&gt;1.1633142&lt;/D&gt;&lt;/FQL&gt;&lt;FQL&gt;&lt;Q&gt;CAT-US^P_BETA_LOCIDX(45504,45329,,"SPX")&lt;/Q&gt;&lt;R&gt;1&lt;/R&gt;&lt;C&gt;1&lt;/C&gt;&lt;D xsi:type="xsd:double"&gt;1.0939847&lt;/D&gt;&lt;/FQL&gt;&lt;FQL&gt;&lt;Q&gt;CAT-US^P_BETA_LOCIDX(45503,45328,,"SPX")&lt;/Q&gt;&lt;R&gt;1&lt;/R&gt;&lt;C&gt;1&lt;/C&gt;&lt;D xsi:type="xsd:double"&gt;1.1042218&lt;/D&gt;&lt;/FQL&gt;&lt;FQL&gt;&lt;Q&gt;CAT-US^P_BETA_LOCIDX(45502,45327,,"SPX")&lt;/Q&gt;&lt;R&gt;1&lt;/R&gt;&lt;C&gt;1&lt;/C&gt;&lt;D xsi:type="xsd:double"&gt;1.0856647&lt;/D&gt;&lt;/FQL&gt;&lt;FQL&gt;&lt;Q&gt;CAT-US^P_BETA_LOCIDX(45499,45324,,"SPX")&lt;/Q&gt;&lt;R&gt;1&lt;/R&gt;&lt;C&gt;1&lt;/C&gt;&lt;D xsi:type="xsd:double"&gt;1.1057531&lt;/D&gt;&lt;/FQL&gt;&lt;FQL&gt;&lt;Q&gt;CAT-US^P_BETA_LOCIDX(45498,45323,,"SPX")&lt;/Q&gt;&lt;R&gt;1&lt;/R&gt;&lt;C&gt;1&lt;/C&gt;&lt;D xsi:type="xsd:double"&gt;1.1167761&lt;/D&gt;&lt;/FQL&gt;&lt;FQL&gt;&lt;Q&gt;CAT-US^P_BETA_LOCIDX(45497,45322,,"SPX")&lt;/Q&gt;&lt;R&gt;1&lt;/R&gt;&lt;C&gt;1&lt;/C&gt;&lt;D xsi:type="xsd:double"&gt;1.1368724&lt;/D&gt;&lt;/FQL&gt;&lt;FQL&gt;&lt;Q&gt;CAT-US^P_BETA_LOCIDX(45496,45321,,"SPX")&lt;/Q&gt;&lt;R&gt;1&lt;/R&gt;&lt;C&gt;1&lt;/C&gt;&lt;D xsi:type="xsd:double"&gt;1.146761&lt;/D&gt;&lt;/FQL&gt;&lt;FQL&gt;&lt;Q&gt;CAT-US^P_BETA_LOCIDX(45495,45320,,"SPX")&lt;/Q&gt;&lt;R&gt;1&lt;/R&gt;&lt;C&gt;1&lt;/C&gt;&lt;D xsi:type="xsd:double"&gt;1.1472925&lt;/D&gt;&lt;/FQL&gt;&lt;FQL&gt;&lt;Q&gt;CAT-US^P_BETA_LOCIDX(45492,45317,,"SPX")&lt;/Q&gt;&lt;R&gt;1&lt;/R&gt;&lt;C&gt;1&lt;/C&gt;&lt;D xsi:type="xsd:double"&gt;1.1688715&lt;/D&gt;&lt;/FQL&gt;&lt;FQL&gt;&lt;Q&gt;CAT-US^P_BETA_LOCIDX(45491,45316,,"SPX")&lt;/Q&gt;&lt;R&gt;1&lt;/R&gt;&lt;C&gt;1&lt;/C&gt;&lt;D xsi:type="xsd:double"&gt;1.1673403&lt;/D&gt;&lt;/FQL&gt;&lt;FQL&gt;&lt;Q&gt;CAT-US^P_BETA_LOCIDX(45490,45315,,"SPX")&lt;/Q&gt;&lt;R&gt;1&lt;/R&gt;&lt;C&gt;1&lt;/C&gt;&lt;D xsi:type="xsd:double"&gt;1.172992&lt;/D&gt;&lt;/FQL&gt;&lt;FQL&gt;&lt;Q&gt;CAT-US^P_BETA_LOCIDX(45489,45314,,"SPX")&lt;/Q&gt;&lt;R&gt;1&lt;/R&gt;&lt;C&gt;1&lt;/C&gt;&lt;D xsi:type="xsd:double"&gt;1.1953279&lt;/D&gt;&lt;/FQL&gt;&lt;FQL&gt;&lt;Q&gt;CAT-US^P_BETA_LOCIDX(45488,45313,,"SPX")&lt;/Q&gt;&lt;R&gt;1&lt;/R&gt;&lt;C&gt;1&lt;/C&gt;&lt;D xsi:type="xsd:double"&gt;1.1630561&lt;/D&gt;&lt;/FQL&gt;&lt;FQL&gt;&lt;Q&gt;CAT-US^P_BETA_LOCIDX(45485,45310,,"SPX")&lt;/Q&gt;&lt;R&gt;1&lt;/R&gt;&lt;C&gt;1&lt;/C&gt;&lt;D xsi:type="xsd:double"&gt;1.1505194&lt;/D&gt;&lt;/FQL&gt;&lt;FQL&gt;&lt;Q&gt;CAT-US^P_BETA_LOCIDX(45484,45309,,"SPX")&lt;/Q&gt;&lt;R&gt;1&lt;/R&gt;&lt;C&gt;1&lt;/C&gt;&lt;D xsi:type="xsd:double"&gt;1.1472876&lt;/D&gt;&lt;/FQL&gt;&lt;FQL&gt;&lt;Q&gt;CAT-US^P_BETA_LOCIDX(45483,45308,,"SPX")&lt;/Q&gt;&lt;R&gt;1&lt;/R&gt;&lt;C&gt;1&lt;/C&gt;&lt;D xsi:type="xsd:double"&gt;1.212403&lt;/D&gt;&lt;/FQL&gt;&lt;FQL&gt;&lt;Q&gt;CAT-US^P_BETA_LOCIDX(45482,45307,,"SPX")&lt;/Q&gt;&lt;R&gt;1&lt;/R&gt;&lt;C&gt;1&lt;/C&gt;&lt;D xsi:type="xsd:double"&gt;1.2255194&lt;/D&gt;&lt;/FQL&gt;&lt;FQL&gt;&lt;Q&gt;CAT-US^P_BETA_LOCIDX(45481,45303,,"SPX")&lt;/Q&gt;&lt;R&gt;1&lt;/R&gt;&lt;C&gt;1&lt;/C&gt;&lt;D xsi:type="xsd:double"&gt;1.2251508&lt;/D&gt;&lt;/FQL&gt;&lt;FQL&gt;&lt;Q&gt;CAT-US^P_BETA_LOCIDX(45478,45302,,"SPX")&lt;/Q&gt;&lt;R&gt;1&lt;/R&gt;&lt;C&gt;1&lt;/C&gt;&lt;D xsi:type="xsd:double"&gt;1.2263515&lt;/D&gt;&lt;/FQL&gt;&lt;FQL&gt;&lt;Q&gt;CAT-US^P_BETA_LOCIDX(45476,45301,,"SPX")&lt;/Q&gt;&lt;R&gt;1&lt;/R&gt;&lt;C&gt;1&lt;/C&gt;&lt;D xsi:type="xsd:double"&gt;1.2342308&lt;/D&gt;&lt;/FQL&gt;&lt;FQL&gt;&lt;Q&gt;CAT-US^P_BETA_LOCIDX(45475,45300,,"SPX")&lt;/Q&gt;&lt;R&gt;1&lt;/R&gt;&lt;C&gt;1&lt;/C&gt;&lt;D xsi:type="xsd:double"&gt;1.23092&lt;/D&gt;&lt;/FQL&gt;&lt;FQL&gt;&lt;Q&gt;CAT-US^P_BETA_LOCIDX(45474,45299,,"SPX")&lt;/Q&gt;&lt;R&gt;1&lt;/R&gt;&lt;C&gt;1&lt;/C&gt;&lt;D xsi:type="xsd:double"&gt;1.2282037&lt;/D&gt;&lt;/FQL&gt;&lt;FQL&gt;&lt;Q&gt;CAT-US^P_BETA_LOCIDX(45471,45296,,"SPX")&lt;/Q&gt;&lt;R&gt;1&lt;/R&gt;&lt;C&gt;1&lt;/C&gt;&lt;D xsi:type="xsd:double"&gt;1.2328268&lt;/D&gt;&lt;/FQL&gt;&lt;FQL&gt;&lt;Q&gt;CAT-US^P_BETA_LOCIDX(45470,45295,,"SPX")&lt;/Q&gt;&lt;R&gt;1&lt;/R&gt;&lt;C&gt;1&lt;/C&gt;&lt;D xsi:type="xsd:double"&gt;1.245666&lt;/D&gt;&lt;/FQL&gt;&lt;FQL&gt;&lt;Q&gt;CAT-US^P_BETA_LOCIDX(45469,45294,,"SPX")&lt;/Q&gt;&lt;R&gt;1&lt;/R&gt;&lt;C&gt;1&lt;/C&gt;&lt;D xsi:type="xsd:double"&gt;1.2764876&lt;/D&gt;&lt;/FQL&gt;&lt;FQL&gt;&lt;Q&gt;CAT-US^P_BETA_LOCIDX(45468,45293,,"SPX")&lt;/Q&gt;&lt;R&gt;1&lt;/R&gt;&lt;C&gt;1&lt;/C&gt;&lt;D xsi:type="xsd:double"&gt;1.27951&lt;/D&gt;&lt;/FQL&gt;&lt;FQL&gt;&lt;Q&gt;CAT-US^P_BETA_LOCIDX(45467,45289,,"SPX")&lt;/Q&gt;&lt;R&gt;1&lt;/R&gt;&lt;C&gt;1&lt;/C&gt;&lt;D xsi:type="xsd:double"&gt;1.2857559&lt;/D&gt;&lt;/FQL&gt;&lt;FQL&gt;&lt;Q&gt;CAT-US^P_BETA_LOCIDX(45464,45288,,"SPX")&lt;/Q&gt;&lt;R&gt;1&lt;/R&gt;&lt;C&gt;1&lt;/C&gt;&lt;D xsi:type="xsd:double"&gt;1.2945763&lt;/D&gt;&lt;/FQL&gt;&lt;FQL&gt;&lt;Q&gt;CAT-US^P_BETA_LOCIDX(45463,45287,,"SPX")&lt;/Q&gt;&lt;R&gt;1&lt;/R&gt;&lt;C&gt;1&lt;/C&gt;&lt;D xsi:type="xsd:double"&gt;1.2942812&lt;/D&gt;&lt;/FQL&gt;&lt;FQL&gt;&lt;Q&gt;CAT-US^P_BETA_LOCIDX(45461,45286,,"SPX")&lt;/Q&gt;&lt;R&gt;1&lt;/R&gt;&lt;C&gt;1&lt;/C&gt;&lt;D xsi:type="xsd:double"&gt;1.3122172&lt;/D&gt;&lt;/FQL&gt;&lt;FQL&gt;&lt;Q&gt;CAT-US^P_BETA_LOCIDX(45460,45282,,"SPX")&lt;/Q&gt;&lt;R&gt;1&lt;/R&gt;&lt;C&gt;1&lt;/C&gt;&lt;D xsi:type="xsd:double"&gt;1.3108026&lt;/D&gt;&lt;/FQL&gt;&lt;FQL&gt;&lt;Q&gt;CAT-US^P_BETA_LOCIDX(45457,45281,,"SPX")&lt;/Q&gt;&lt;R&gt;1&lt;/R&gt;&lt;C&gt;1&lt;/C&gt;&lt;D xsi:type="xsd:double"&gt;1.2994219&lt;/D&gt;&lt;/FQL&gt;&lt;FQL&gt;&lt;Q&gt;CAT-US^P_BETA_LOCIDX(45456,45280,,"SPX")&lt;/Q&gt;&lt;R&gt;1&lt;/R&gt;&lt;C&gt;1&lt;/C&gt;&lt;D xsi:type="xsd:double"&gt;1.2726324&lt;/D&gt;&lt;/FQL&gt;&lt;FQL&gt;&lt;Q&gt;CAT-US^P_BETA_LOCIDX(45455,45279,,"SPX")&lt;/Q&gt;&lt;R&gt;1&lt;/R&gt;&lt;C&gt;1&lt;/C&gt;&lt;D xsi:type="xsd:double"&gt;1.2894286&lt;/D&gt;&lt;/FQL&gt;&lt;FQL&gt;&lt;Q&gt;CAT-US^P_BETA_LOCIDX(45454,45278,,"SPX")&lt;/Q&gt;&lt;R&gt;1&lt;/R&gt;&lt;C&gt;1&lt;/C&gt;&lt;D xsi:type="xsd:double"&gt;1.2942272&lt;/D&gt;&lt;/FQL&gt;&lt;FQL&gt;&lt;Q&gt;CAT-US^P_BETA_LOCIDX(45453,45275,,"SPX")&lt;/Q&gt;&lt;R&gt;1&lt;/R&gt;&lt;C&gt;1&lt;/C&gt;&lt;D xsi:type="xsd:double"&gt;1.2966638&lt;/D&gt;&lt;/FQL&gt;&lt;FQL&gt;&lt;Q&gt;CAT-US^P_BETA_LOCIDX(45450,45274,,"SPX")&lt;/Q&gt;&lt;R&gt;1&lt;/R&gt;&lt;C&gt;1&lt;/C&gt;&lt;D xsi:type="xsd:double"&gt;1.3133773&lt;/D&gt;&lt;/FQL&gt;&lt;FQL&gt;&lt;Q&gt;CAT-US^P_BETA_LOCIDX(45449,45273,,"SPX")&lt;/Q&gt;&lt;R&gt;1&lt;/R&gt;&lt;C&gt;1&lt;/C&gt;&lt;D xsi:type="xsd:double"&gt;1.3284724&lt;/D&gt;&lt;/FQL&gt;&lt;FQL&gt;&lt;Q&gt;CAT-US^P_BETA_LOCIDX(45448,45272,,"SPX")&lt;/Q&gt;&lt;R&gt;1&lt;/R&gt;&lt;C&gt;1&lt;/C&gt;&lt;D xsi:type="xsd:double"&gt;1.3250166&lt;/D&gt;&lt;/FQL&gt;&lt;FQL&gt;&lt;Q&gt;CAT-US^P_BETA_LOCIDX(45447,45271,,"SPX")&lt;/Q&gt;&lt;R&gt;1&lt;/R&gt;&lt;C&gt;1&lt;/C&gt;&lt;D xsi:type="xsd:double"&gt;1.3437971&lt;/D&gt;&lt;/FQL&gt;&lt;FQL&gt;&lt;Q&gt;CAT-US^P_BETA_LOCIDX(45446,45268,,"SPX")&lt;/Q&gt;&lt;R&gt;1&lt;/R&gt;&lt;C&gt;1&lt;/C&gt;&lt;D xsi:type="xsd:double"&gt;1.3455762&lt;/D&gt;&lt;/FQL&gt;&lt;FQL&gt;&lt;Q&gt;CAT-US^P_BETA_LOCIDX(45443,45267,,"SPX")&lt;/Q&gt;&lt;R&gt;1&lt;/R&gt;&lt;C&gt;1&lt;/C&gt;&lt;D xsi:type="xsd:double"&gt;1.3385775&lt;/D&gt;&lt;/FQL&gt;&lt;FQL&gt;&lt;Q&gt;CAT-US^P_BETA_LOCIDX(45442,45266,,"SPX")&lt;/Q&gt;&lt;R&gt;1&lt;/R&gt;&lt;C&gt;1&lt;/C&gt;&lt;D xsi:type="xsd:double"&gt;1.3480334&lt;/D&gt;&lt;/FQL&gt;&lt;FQL&gt;&lt;Q&gt;CAT-US^P_BETA_LOCIDX(45441,45265,,"SPX")&lt;/Q&gt;&lt;R&gt;1&lt;/R&gt;&lt;C&gt;1&lt;/C&gt;&lt;D xsi:type="xsd:double"&gt;1.3604058&lt;/D&gt;&lt;/FQL&gt;&lt;FQL&gt;&lt;Q&gt;CAT-US^P_BETA_LOCIDX(45440,45264,,"SPX")&lt;/Q&gt;&lt;R&gt;1&lt;/R&gt;&lt;C&gt;1&lt;/C&gt;&lt;D xsi:type="xsd:double"&gt;1.3399005&lt;/D&gt;&lt;/FQL&gt;&lt;FQL&gt;&lt;Q&gt;CAT-US^P_BETA_LOCIDX(45436,45261,,"SPX")&lt;/Q&gt;&lt;R&gt;1&lt;/R&gt;&lt;C&gt;1&lt;/C&gt;&lt;D xsi:type="xsd:double"&gt;1.350481&lt;/D&gt;&lt;/FQL&gt;&lt;FQL&gt;&lt;Q&gt;CAT-US^P_BETA_LOCIDX(45435,45260,,"SPX")&lt;/Q&gt;&lt;R&gt;1&lt;/R&gt;&lt;C&gt;1&lt;/C&gt;&lt;D xsi:type="xsd:double"&gt;1.3655516&lt;/D&gt;&lt;/FQL&gt;&lt;FQL&gt;&lt;Q&gt;CAT-US^P_BETA_LOCIDX(45434,45259,,"SPX")&lt;/Q&gt;&lt;R&gt;1&lt;/R&gt;&lt;C&gt;1&lt;/C&gt;&lt;D xsi:type="xsd:double"&gt;1.3535903&lt;/D&gt;&lt;/FQL&gt;&lt;FQL&gt;&lt;Q&gt;CAT-US^P_BETA_LOCIDX(45433,45258,,"SPX")&lt;/Q&gt;&lt;R&gt;1&lt;/R&gt;&lt;C&gt;1&lt;/C&gt;&lt;D xsi:type="xsd:double"&gt;1.3492054&lt;/D&gt;&lt;/FQL&gt;&lt;FQL&gt;&lt;Q&gt;CAT-US^P_BETA_LOCIDX(45432,45257,,"SPX")&lt;/Q&gt;&lt;R&gt;1&lt;/R&gt;&lt;C&gt;1&lt;/C&gt;&lt;D xsi:type="xsd:double"&gt;1.3516334&lt;/D&gt;&lt;/FQL&gt;&lt;FQL&gt;&lt;Q&gt;CAT-US^P_BETA_LOCIDX(45429,45254,,"SPX")&lt;/Q&gt;&lt;R&gt;1&lt;/R&gt;&lt;C&gt;1&lt;/C&gt;&lt;D xsi:type="xsd:double"&gt;1.3522332&lt;/D&gt;&lt;/FQL&gt;&lt;FQL&gt;&lt;Q&gt;CAT-US^P_BETA_LOCIDX(45428,45252,,"SPX")&lt;/Q&gt;&lt;R&gt;1&lt;/R&gt;&lt;C&gt;1&lt;/C&gt;&lt;D xsi:type="xsd:double"&gt;1.3426763&lt;/D&gt;&lt;/FQL&gt;&lt;FQL&gt;&lt;Q&gt;CAT-US^P_BETA_LOCIDX(45427,45251,,"SPX")&lt;/Q&gt;&lt;R&gt;1&lt;/R&gt;&lt;C&gt;1&lt;/C&gt;&lt;D xsi:type="xsd:double"&gt;1.3299185&lt;/D&gt;&lt;/FQL&gt;&lt;FQL&gt;&lt;Q&gt;CAT-US^P_BETA_LOCIDX(45426,45250,,"SPX")&lt;/Q&gt;&lt;R&gt;1&lt;/R&gt;&lt;C&gt;1&lt;/C&gt;&lt;D xsi:type="xsd:double"&gt;1.3283355&lt;/D&gt;&lt;/FQL&gt;&lt;FQL&gt;&lt;Q&gt;CAT-US^P_BETA_LOCIDX(45425,45247,,"SPX")&lt;/Q&gt;&lt;R&gt;1&lt;/R&gt;&lt;C&gt;1&lt;/C&gt;&lt;D xsi:type="xsd:double"&gt;1.3307079&lt;/D&gt;&lt;/FQL&gt;&lt;FQL&gt;&lt;Q&gt;CAT-US^P_BETA_LOCIDX(45422,45246,,"SPX")&lt;/Q&gt;&lt;R&gt;1&lt;/R&gt;&lt;C&gt;1&lt;/C&gt;&lt;D xsi:type="xsd:double"&gt;1.3319567&lt;/D&gt;&lt;/FQL&gt;&lt;FQL&gt;&lt;Q&gt;CAT-US^P_BETA_LOCIDX(45421,45245,,"SPX")&lt;/Q&gt;&lt;R&gt;1&lt;/R&gt;&lt;C&gt;1&lt;/C&gt;&lt;D xsi:type="xsd:double"&gt;1.3321891&lt;/D&gt;&lt;/FQL&gt;&lt;FQL&gt;&lt;Q&gt;CAT-US^P_BETA_LOCIDX(45420,45244,,"SPX")&lt;/Q&gt;&lt;R&gt;1&lt;/R&gt;&lt;C&gt;1&lt;/C&gt;&lt;D xsi:type="xsd:double"&gt;1.3206528&lt;/D&gt;&lt;/FQL&gt;&lt;FQL&gt;&lt;Q&gt;CAT-US^P_BETA_LOCIDX(45419,45243,,"SPX")&lt;/Q&gt;&lt;R&gt;1&lt;/R&gt;&lt;C&gt;1&lt;/C&gt;&lt;D xsi:type="xsd:double"&gt;1.3170446&lt;/D&gt;&lt;/FQL&gt;&lt;FQL&gt;&lt;Q&gt;CAT-US^P_BETA_LOCIDX(45418,45240,,"SPX")&lt;/Q&gt;&lt;R&gt;1&lt;/R&gt;&lt;C&gt;1&lt;/C&gt;&lt;D xsi:type="xsd:double"&gt;1.3210465&lt;/D&gt;&lt;/FQL&gt;&lt;FQL&gt;&lt;Q&gt;CAT-US^P_BETA_LOCIDX(45415,45239,,"SPX")&lt;/Q&gt;&lt;R&gt;1&lt;/R&gt;&lt;C&gt;1&lt;/C&gt;&lt;D xsi:type="xsd:double"&gt;1.309794&lt;/D&gt;&lt;/FQL&gt;&lt;FQL&gt;&lt;Q&gt;CAT-US^P_BETA_LOCIDX(45414,45238,,"SPX")&lt;/Q&gt;&lt;R&gt;1&lt;/R&gt;&lt;C&gt;1&lt;/C&gt;&lt;D xsi:type="xsd:double"&gt;1.3359302&lt;/D&gt;&lt;/FQL&gt;&lt;FQL&gt;&lt;Q&gt;CAT-US^P_BETA_LOCIDX(45413,45237,,"SPX")&lt;/Q&gt;&lt;R&gt;1&lt;/R&gt;&lt;C&gt;1&lt;/C&gt;&lt;D xsi:type="xsd:double"&gt;1.331139&lt;/D&gt;&lt;/FQL&gt;&lt;FQL&gt;&lt;Q&gt;CAT-US^P_BETA_LOCIDX(45412,45236,,"SPX")&lt;/Q&gt;&lt;R&gt;1&lt;/R&gt;&lt;C&gt;1&lt;/C&gt;&lt;D xsi:type="xsd:double"&gt;1.3243161&lt;/D&gt;&lt;/FQL&gt;&lt;FQL&gt;&lt;Q&gt;CAT-US^P_BETA_LOCIDX(45411,45233,,"SPX")&lt;/Q&gt;&lt;R&gt;1&lt;/R&gt;&lt;C&gt;1&lt;/C&gt;&lt;D xsi:type="xsd:double"&gt;1.2434008&lt;/D&gt;&lt;/FQL&gt;&lt;FQL&gt;&lt;Q&gt;CAT-US^P_BETA_LOCIDX(45408,45232,,"SPX")&lt;/Q&gt;&lt;R&gt;1&lt;/R&gt;&lt;C&gt;1&lt;/C&gt;&lt;D xsi:type="xsd:double"&gt;1.2584443&lt;/D&gt;&lt;/FQL&gt;&lt;FQL&gt;&lt;Q&gt;CAT-US^P_BETA_LOCIDX(45407,45231,,"SPX")&lt;/Q&gt;&lt;R&gt;1&lt;/R&gt;&lt;C&gt;1&lt;/C&gt;&lt;D xsi:type="xsd:double"&gt;1.2722328&lt;/D&gt;&lt;/FQL&gt;&lt;FQL&gt;&lt;Q&gt;CAT-US^P_BETA_LOCIDX(45406,45230,,"SPX")&lt;/Q&gt;&lt;R&gt;1&lt;/R&gt;&lt;C&gt;1&lt;/C&gt;&lt;D xsi:type="xsd:double"&gt;1.1434953&lt;/D&gt;&lt;/FQL&gt;&lt;FQL&gt;&lt;Q&gt;CAT-US^P_BETA_LOCIDX(45405,45229,,"SPX")&lt;/Q&gt;&lt;R&gt;1&lt;/R&gt;&lt;C&gt;1&lt;/C&gt;&lt;D xsi:type="xsd:double"&gt;1.1428231&lt;/D&gt;&lt;/FQL&gt;&lt;FQL&gt;&lt;Q&gt;CAT-US^P_BETA_LOCIDX(45404,45226,,"SPX")&lt;/Q&gt;&lt;R&gt;1&lt;/R&gt;&lt;C&gt;1&lt;/C&gt;&lt;D xsi:type="xsd:double"&gt;1.1547139&lt;/D&gt;&lt;/FQL&gt;&lt;FQL&gt;&lt;Q&gt;CAT-US^P_BETA_LOCIDX(45401,45225,,"SPX")&lt;/Q&gt;&lt;R&gt;1&lt;/R&gt;&lt;C&gt;1&lt;/C&gt;&lt;D xsi:type="xsd:double"&gt;1.1543896&lt;/D&gt;&lt;/FQL&gt;&lt;FQL&gt;&lt;Q&gt;CAT-US^P_BETA_LOCIDX(45400,45224,,"SPX")&lt;/Q&gt;&lt;R&gt;1&lt;/R&gt;&lt;C&gt;1&lt;/C&gt;&lt;D xsi:type="xsd:double"&gt;1.1620402&lt;/D&gt;&lt;/FQL&gt;&lt;FQL&gt;&lt;Q&gt;CAT-US^P_BETA_LOCIDX(45399,45223,,"SPX")&lt;/Q&gt;&lt;R&gt;1&lt;/R&gt;&lt;C&gt;1&lt;/C&gt;&lt;D xsi:type="xsd:double"&gt;1.1612004&lt;/D&gt;&lt;/FQL&gt;&lt;FQL&gt;&lt;Q&gt;CAT-US^P_BETA_LOCIDX(45398,45222,,"SPX")&lt;/Q&gt;&lt;R&gt;1&lt;/R&gt;&lt;C&gt;1&lt;/C&gt;&lt;D xsi:type="xsd:double"&gt;1.1657926&lt;/D&gt;&lt;/FQL&gt;&lt;FQL&gt;&lt;Q&gt;CAT-US^P_BETA_LOCIDX(45397,45219,,"SPX")&lt;/Q&gt;&lt;R&gt;1&lt;/R&gt;&lt;C&gt;1&lt;/C&gt;&lt;D xsi:type="xsd:double"&gt;1.163272&lt;/D&gt;&lt;/FQL&gt;&lt;FQL&gt;&lt;Q&gt;CAT-US^P_BETA_LOCIDX(45394,45218,,"SPX")&lt;/Q&gt;&lt;R&gt;1&lt;/R&gt;&lt;C&gt;1&lt;/C&gt;&lt;D xsi:type="xsd:double"&gt;1.2043419&lt;/D&gt;&lt;/FQL&gt;&lt;FQL&gt;&lt;Q&gt;CAT-US^P_BETA_LOCIDX(45393,45217,,"SPX")&lt;/Q&gt;&lt;R&gt;1&lt;/R&gt;&lt;C&gt;1&lt;/C&gt;&lt;D xsi:type="xsd:double"&gt;1.2821591&lt;/D&gt;&lt;/FQL&gt;&lt;FQL&gt;&lt;Q&gt;CAT-US^P_BETA_LOCIDX(45392,45216,,"SPX")&lt;/Q&gt;&lt;R&gt;1&lt;/R&gt;&lt;C&gt;1&lt;/C&gt;&lt;D xsi:type="xsd:double"&gt;1.2908173&lt;/D&gt;&lt;/FQL&gt;&lt;FQL&gt;&lt;Q&gt;CAT-US^P_BETA_LOCIDX(45391,45215,,"SPX")&lt;/Q&gt;&lt;R&gt;1&lt;/R&gt;&lt;C&gt;1&lt;/C&gt;&lt;D xsi:type="xsd:double"&gt;1.3054681&lt;/D&gt;&lt;/FQL&gt;&lt;FQL&gt;&lt;Q&gt;CAT-US^P_BETA_LOCIDX(45390,45212,,"SPX")&lt;/Q&gt;&lt;R&gt;1&lt;/R&gt;&lt;C&gt;1&lt;/C&gt;&lt;D xsi:type="xsd:double"&gt;1.305868&lt;/D&gt;&lt;/FQL&gt;&lt;FQL&gt;&lt;Q&gt;CAT-US^P_BETA_LOCIDX(45387,45211,,"SPX")&lt;/Q&gt;&lt;R&gt;1&lt;/R&gt;&lt;C&gt;1&lt;/C&gt;&lt;D xsi:type="xsd:double"&gt;1.3067849&lt;/D&gt;&lt;/FQL&gt;&lt;FQL&gt;&lt;Q&gt;CAT-US^P_BETA_LOCIDX(45386,45210,,"SPX")&lt;/Q&gt;&lt;R&gt;1&lt;/R&gt;&lt;C&gt;1&lt;/C&gt;&lt;D xsi:type="xsd:double"&gt;1.2874757&lt;/D&gt;&lt;/FQL&gt;&lt;FQL&gt;&lt;Q&gt;CAT-US^P_BETA_LOCIDX(45385,45209,,"SPX")&lt;/Q&gt;&lt;R&gt;1&lt;/R&gt;&lt;C&gt;1&lt;/C&gt;&lt;D xsi:type="xsd:double"&gt;1.2851069&lt;/D&gt;&lt;/FQL&gt;&lt;FQL&gt;&lt;Q&gt;CAT-US^P_BETA_LOCIDX(45384,45208,,"SPX")&lt;/Q&gt;&lt;R&gt;1&lt;/R&gt;&lt;C&gt;1&lt;/C&gt;&lt;D xsi:type="xsd:double"&gt;1.2955995&lt;/D&gt;&lt;/FQL&gt;&lt;FQL&gt;&lt;Q&gt;CAT-US^P_BETA_LOCIDX(45383,45205,,"SPX")&lt;/Q&gt;&lt;R&gt;1&lt;/R&gt;&lt;C&gt;1&lt;/C&gt;&lt;D xsi:type="xsd:double"&gt;1.3191628&lt;/D&gt;&lt;/FQL&gt;&lt;FQL&gt;&lt;Q&gt;CAT-US^P_BETA_LOCIDX(45379,45204,,"SPX")&lt;/Q&gt;&lt;R&gt;1&lt;/R&gt;&lt;C&gt;1&lt;/C&gt;&lt;D xsi:type="xsd:double"&gt;1.3232687&lt;/D&gt;&lt;/FQL&gt;&lt;FQL&gt;&lt;Q&gt;CAT-US^P_BETA_LOCIDX(45378,45203,,"SPX")&lt;/Q&gt;&lt;R&gt;1&lt;/R&gt;&lt;C&gt;1&lt;/C&gt;&lt;D xsi:type="xsd:double"&gt;1.2974991&lt;/D&gt;&lt;/FQL&gt;&lt;FQL&gt;&lt;Q&gt;CAT-US^P_BETA_LOCIDX(45377,45202,,"SPX")&lt;/Q&gt;&lt;R&gt;1&lt;/R&gt;&lt;C&gt;1&lt;/C&gt;&lt;D xsi:type="xsd:double"&gt;1.2671022&lt;/D&gt;&lt;/FQL&gt;&lt;FQL&gt;&lt;Q&gt;CAT-US^P_BETA_LOCIDX(45376,45201,,"SPX")&lt;/Q&gt;&lt;R&gt;1&lt;/R&gt;&lt;C&gt;1&lt;/C&gt;&lt;D xsi:type="xsd:double"&gt;1.271448&lt;/D&gt;&lt;/FQL&gt;&lt;FQL&gt;&lt;Q&gt;CAT-US^P_BETA_LOCIDX(45373,45198,,"SPX")&lt;/Q&gt;&lt;R&gt;1&lt;/R&gt;&lt;C&gt;1&lt;/C&gt;&lt;D xsi:type="xsd:double"&gt;1.2754923&lt;/D&gt;&lt;/FQL&gt;&lt;FQL&gt;&lt;Q&gt;CAT-US^P_BETA_LOCIDX(45372,45197,,"SPX")&lt;/Q&gt;&lt;R&gt;1&lt;/R&gt;&lt;C&gt;1&lt;/C&gt;&lt;D xsi:type="xsd:double"&gt;1.2711134&lt;/D&gt;&lt;/FQL&gt;&lt;FQL&gt;&lt;Q&gt;CAT-US^P_BETA_LOCIDX(45371,45196,,"SPX")&lt;/Q&gt;&lt;R&gt;1&lt;/R&gt;&lt;C&gt;1&lt;/C&gt;&lt;D xsi:type="xsd:double"&gt;1.2641675&lt;/D&gt;&lt;/FQL&gt;&lt;FQL&gt;&lt;Q&gt;CAT-US^P_BETA_LOCIDX(45370,45195,,"SPX")&lt;/Q&gt;&lt;R&gt;1&lt;/R&gt;&lt;C&gt;1&lt;/C&gt;&lt;D xsi:type="xsd:double"&gt;1.2665977&lt;/D&gt;&lt;/FQL&gt;&lt;FQL&gt;&lt;Q&gt;CAT-US^P_BETA_LOCIDX(45369,45194,,"SPX")&lt;/Q&gt;&lt;R&gt;1&lt;/R&gt;&lt;C&gt;1&lt;/C&gt;&lt;D xsi:type="xsd:double"&gt;1.267355&lt;/D&gt;&lt;/FQL&gt;&lt;FQL&gt;&lt;Q&gt;CAT-US^P_BETA_LOCIDX(45366,45191,,"SPX")&lt;/Q&gt;&lt;R&gt;1&lt;/R&gt;&lt;C&gt;1&lt;/C&gt;&lt;D xsi:type="xsd:double"&gt;1.2594696&lt;/D&gt;&lt;/FQL&gt;&lt;FQL&gt;&lt;Q&gt;CAT-US^P_BETA_LOCIDX(45365,45190,,"SPX")&lt;/Q&gt;&lt;R&gt;1&lt;/R&gt;&lt;C&gt;1&lt;/C&gt;&lt;D xsi:type="xsd:double"&gt;1.293713&lt;/D&gt;&lt;/FQL&gt;&lt;FQL&gt;&lt;Q&gt;CAT-US^P_BETA_LOCIDX(45364,45189,,"SPX")&lt;/Q&gt;&lt;R&gt;1&lt;/R&gt;&lt;C&gt;1&lt;/C&gt;&lt;D xsi:type="xsd:double"&gt;1.2839191&lt;/D&gt;&lt;/FQL&gt;&lt;FQL&gt;&lt;Q&gt;CAT-US^P_BETA_LOCIDX(45363,45188,,"SPX")&lt;/Q&gt;&lt;R&gt;1&lt;/R&gt;&lt;C&gt;1&lt;/C&gt;&lt;D xsi:type="xsd:double"&gt;1.2917392&lt;/D&gt;&lt;/FQL&gt;&lt;FQL&gt;&lt;Q&gt;CAT-US^P_BETA_LOCIDX(45362,45187,,"SPX")&lt;/Q&gt;&lt;R&gt;1&lt;/R&gt;&lt;C&gt;1&lt;/C&gt;&lt;D xsi:type="xsd:double"&gt;1.3025932&lt;/D&gt;&lt;/FQL&gt;&lt;FQL&gt;&lt;Q&gt;CAT-US^P_BETA_LOCIDX(45359,45184,,"SPX")&lt;/Q&gt;&lt;R&gt;1&lt;/R&gt;&lt;C&gt;1&lt;/C&gt;&lt;D xsi:type="xsd:double"&gt;1.2921996&lt;/D&gt;&lt;/FQL&gt;&lt;FQL&gt;&lt;Q&gt;CAT-US^P_BETA_LOCIDX(45358,45183,,"SPX")&lt;/Q&gt;&lt;R&gt;1&lt;/R&gt;&lt;C&gt;1&lt;/C&gt;&lt;D xsi:type="xsd:double"&gt;1.311162&lt;/D&gt;&lt;/FQL&gt;&lt;FQL&gt;&lt;Q&gt;CAT-US^P_BETA_LOCIDX(45357,45182,,"SPX")&lt;/Q&gt;&lt;R&gt;1&lt;/R&gt;&lt;C&gt;1&lt;/C&gt;&lt;D xsi:type="xsd:double"&gt;1.3109777&lt;/D&gt;&lt;/FQL&gt;&lt;FQL&gt;&lt;Q&gt;CAT-US^P_BETA_LOCIDX(45356,45181,,"SPX")&lt;/Q&gt;&lt;R&gt;1&lt;/R&gt;&lt;C&gt;1&lt;/C&gt;&lt;D xsi:type="xsd:double"&gt;1.3049781&lt;/D&gt;&lt;/FQL&gt;&lt;FQL&gt;&lt;Q&gt;CAT-US^P_BETA_LOCIDX(45355,45180,,"SPX")&lt;/Q&gt;&lt;R&gt;1&lt;/R&gt;&lt;C&gt;1&lt;/C&gt;&lt;D xsi:type="xsd:double"&gt;1.2938981&lt;/D&gt;&lt;/FQL&gt;&lt;FQL&gt;&lt;Q&gt;CAT-US^P_BETA_LOCIDX(45352,45177,,"SPX")&lt;/Q&gt;&lt;R&gt;1&lt;/R&gt;&lt;C&gt;1&lt;/C&gt;&lt;D xsi:type="xsd:double"&gt;1.2964624&lt;/D&gt;&lt;/FQL&gt;&lt;FQL&gt;&lt;Q&gt;CAT-US^P_BETA_LOCIDX(45351,45176,,"SPX")&lt;/Q&gt;&lt;R&gt;1&lt;/R&gt;&lt;C&gt;1&lt;/C&gt;&lt;D xsi:type="xsd:double"&gt;1.2993797&lt;/D&gt;&lt;/FQL&gt;&lt;FQL&gt;&lt;Q&gt;CAT-US^P_BETA_LOCIDX(45350,45175,,"SPX")&lt;/Q&gt;&lt;R&gt;1&lt;/R&gt;&lt;C&gt;1&lt;/C&gt;&lt;D xsi:type="xsd:double"&gt;1.2797579&lt;/D&gt;&lt;/FQL&gt;&lt;FQL&gt;&lt;Q&gt;CAT-US^P_BETA_LOCIDX(45349,45174,,"SPX")&lt;/Q&gt;&lt;R&gt;1&lt;/R&gt;&lt;C&gt;1&lt;/C&gt;&lt;D xsi:type="xsd:double"&gt;1.2909672&lt;/D&gt;&lt;/FQL&gt;&lt;FQL&gt;&lt;Q&gt;CAT-US^P_BETA_LOCIDX(45348,45170,,"SPX")&lt;/Q&gt;&lt;R&gt;1&lt;/R&gt;&lt;C&gt;1&lt;/C&gt;&lt;D xsi:type="xsd:double"&gt;1.292322&lt;/D&gt;&lt;/FQL&gt;&lt;FQL&gt;&lt;Q&gt;CAT-US^P_BETA_LOCIDX(45345,45169,,"SPX")&lt;/Q&gt;&lt;R&gt;1&lt;/R&gt;&lt;C&gt;1&lt;/C&gt;&lt;D xsi:type="xsd:double"&gt;1.2997619&lt;/D&gt;&lt;/FQL&gt;&lt;FQL&gt;&lt;Q&gt;CAT-US^P_BETA_LOCIDX(45344,45168,,"SPX")&lt;/Q&gt;&lt;R&gt;1&lt;/R&gt;&lt;C&gt;1&lt;/C&gt;&lt;D xsi:type="xsd:double"&gt;1.3016057&lt;/D&gt;&lt;/FQL&gt;&lt;FQL&gt;&lt;Q&gt;CAT-US^P_BETA_LOCIDX(45343,45167,,"SPX")&lt;/Q&gt;&lt;R&gt;1&lt;/R&gt;&lt;C&gt;1&lt;/C&gt;&lt;D xsi:type="xsd:double"&gt;1.3376844&lt;/D&gt;&lt;/FQL&gt;&lt;FQL&gt;&lt;Q&gt;CAT-US^P_BETA_LOCIDX(45342,45166,,"SPX")&lt;/Q&gt;&lt;R&gt;1&lt;/R&gt;&lt;C&gt;1&lt;/C&gt;&lt;D xsi:type="xsd:double"&gt;1.3372176&lt;/D&gt;&lt;/FQL&gt;&lt;FQL&gt;&lt;Q&gt;CAT-US^P_BETA_LOCIDX(45338,45163,,"SPX")&lt;/Q&gt;&lt;R&gt;1&lt;/R&gt;&lt;C&gt;1&lt;/C&gt;&lt;D xsi:type="xsd:double"&gt;1.3214641&lt;/D&gt;&lt;/FQL&gt;&lt;FQL&gt;&lt;Q&gt;CAT-US^P_BETA_LOCIDX(45337,45162,,"SPX")&lt;/Q&gt;&lt;R&gt;1&lt;/R&gt;&lt;C&gt;1&lt;/C&gt;&lt;D xsi:type="xsd:double"&gt;1.3152435&lt;/D&gt;&lt;/FQL&gt;&lt;FQL&gt;&lt;Q&gt;CAT-US^P_BETA_LOCIDX(45336,45161,,"SPX")&lt;/Q&gt;&lt;R&gt;1&lt;/R&gt;&lt;C&gt;1&lt;/C&gt;&lt;D xsi:type="xsd:double"&gt;1.3009365&lt;/D&gt;&lt;/FQL&gt;&lt;FQL&gt;&lt;Q&gt;CAT-US^P_BETA_LOCIDX(45335,45160,,"SPX")&lt;/Q&gt;&lt;R&gt;1&lt;/R&gt;&lt;C&gt;1&lt;/C&gt;&lt;D xsi:type="xsd:double"&gt;1.3042104&lt;/D&gt;&lt;/FQL&gt;&lt;FQL&gt;&lt;Q&gt;CAT-US^P_BETA_LOCIDX(45334,45159,,"SPX")&lt;/Q&gt;&lt;R&gt;1&lt;/R&gt;&lt;C&gt;1&lt;/C&gt;&lt;D xsi:type="xsd:double"&gt;1.2724438&lt;/D&gt;&lt;/FQL&gt;&lt;FQL&gt;&lt;Q&gt;CAT-US^P_BETA_LOCIDX(45331,45156,,"SPX")&lt;/Q&gt;&lt;R&gt;1&lt;/R&gt;&lt;C&gt;1&lt;/C&gt;&lt;D xsi:type="xsd:double"&gt;1.278268&lt;/D&gt;&lt;/FQL&gt;&lt;FQL&gt;&lt;Q&gt;CAT-US^P_BETA_LOCIDX(45330,45155,,"SPX")&lt;/Q&gt;&lt;R&gt;1&lt;/R&gt;&lt;C&gt;1&lt;/C&gt;&lt;D xsi:type="xsd:double"&gt;1.2773678&lt;/D&gt;&lt;/FQL&gt;&lt;FQL&gt;&lt;Q&gt;CAT-US^P_BETA_LOCIDX(45329,45154,,"SPX")&lt;/Q&gt;&lt;R&gt;1&lt;/R&gt;&lt;C&gt;1&lt;/C&gt;&lt;D xsi:type="xsd:double"&gt;1.2779295&lt;/D&gt;&lt;/FQL&gt;&lt;FQL&gt;&lt;Q&gt;CAT-US^P_BETA_LOCIDX(45328,45153,,"SPX")&lt;/Q&gt;&lt;R&gt;1&lt;/R&gt;&lt;C&gt;1&lt;/C&gt;&lt;D xsi:type="xsd:double"&gt;1.3052703&lt;/D&gt;&lt;/FQL&gt;&lt;FQL&gt;&lt;Q&gt;CAT-US^P_BETA_LOCIDX(45327,45152,,"SPX")&lt;/Q&gt;&lt;R&gt;1&lt;/R&gt;&lt;C&gt;1&lt;/C&gt;&lt;D xsi:type="xsd:double"&gt;1.2980747&lt;/D&gt;&lt;/FQL&gt;&lt;FQL&gt;&lt;Q&gt;CAT-US^P_BETA_LOCIDX(45324,45149,,"SPX")&lt;/Q&gt;&lt;R&gt;1&lt;/R&gt;&lt;C&gt;1&lt;/C&gt;&lt;D xsi:type="xsd:double"&gt;1.3104665&lt;/D&gt;&lt;/FQL&gt;&lt;FQL&gt;&lt;Q&gt;CAT-US^P_BETA_LOCIDX(45323,45148,,"SPX")&lt;/Q&gt;&lt;R&gt;1&lt;/R&gt;&lt;C&gt;1&lt;/C&gt;&lt;D xsi:type="xsd:double"&gt;1.2959466&lt;/D&gt;&lt;/FQL&gt;&lt;FQL&gt;&lt;Q&gt;CAT-US^P_BETA_LOCIDX(45322,45147,,"SPX")&lt;/Q&gt;&lt;R&gt;1&lt;/R&gt;&lt;C&gt;1&lt;/C&gt;&lt;D xsi:type="xsd:double"&gt;1.2636056&lt;/D&gt;&lt;/FQL&gt;&lt;FQL&gt;&lt;Q&gt;CAT-US^P_BETA_LOCIDX(45321,45146,,"SPX")&lt;/Q&gt;&lt;R&gt;1&lt;/R&gt;&lt;C&gt;1&lt;/C&gt;&lt;D xsi:type="xsd:double"&gt;1.2714062&lt;/D&gt;&lt;/FQL&gt;&lt;FQL&gt;&lt;Q&gt;CAT-US^P_BETA_LOCIDX(45320,45145,,"SPX")&lt;/Q&gt;&lt;R&gt;1&lt;/R&gt;&lt;C&gt;1&lt;/C&gt;&lt;D xsi:type="xsd:double"&gt;1.2820716&lt;/D&gt;&lt;/FQL&gt;&lt;FQL&gt;&lt;Q&gt;CAT-US^P_BETA_LOCIDX(45317,45142,,"SPX")&lt;/Q&gt;&lt;R&gt;1&lt;/R&gt;&lt;C&gt;1&lt;/C&gt;&lt;D xsi:type="xsd:double"&gt;1.2886403&lt;/D&gt;&lt;/FQL&gt;&lt;FQL&gt;&lt;Q&gt;CAT-US^P_BETA_LOCIDX(45316,45141,,"SPX")&lt;/Q&gt;&lt;R&gt;1&lt;/R&gt;&lt;C&gt;1&lt;/C&gt;&lt;D xsi:type="xsd:double"&gt;1.2966942&lt;/D&gt;&lt;/FQL&gt;&lt;FQL&gt;&lt;Q&gt;CAT-US^P_BETA_LOCIDX(45315,45140,,"SPX")&lt;/Q&gt;&lt;R&gt;1&lt;/R&gt;&lt;C&gt;1&lt;/C&gt;&lt;D xsi:type="xsd:double"&gt;1.2459322&lt;/D&gt;&lt;/FQL&gt;&lt;FQL&gt;&lt;Q&gt;CAT-US^P_BETA_LOCIDX(45314,45139,,"SPX")&lt;/Q&gt;&lt;R&gt;1&lt;/R&gt;&lt;C&gt;1&lt;/C&gt;&lt;D xsi:type="xsd:double"&gt;1.2024076&lt;/D&gt;&lt;/FQL&gt;&lt;FQL&gt;&lt;Q&gt;CAT-US^P_BETA_LOCIDX(45313,45138,,"SPX")&lt;/Q&gt;&lt;R&gt;1&lt;/R&gt;&lt;C&gt;1&lt;/C&gt;&lt;D xsi:type="xsd:double"&gt;1.2058746&lt;/D&gt;&lt;/FQL&gt;&lt;FQL&gt;&lt;Q&gt;CAT-US^P_BETA_LOCIDX(45310,45135,,"SPX")&lt;/Q&gt;&lt;R&gt;1&lt;/R&gt;&lt;C&gt;1&lt;/C&gt;&lt;D xsi:type="xsd:double"&gt;1.1982385&lt;/D&gt;&lt;/FQL&gt;&lt;FQL&gt;&lt;Q&gt;CAT-US^P_BETA_LOCIDX(45309,45134,,"SPX")&lt;/Q&gt;&lt;R&gt;1&lt;/R&gt;&lt;C&gt;1&lt;/C&gt;&lt;D xsi:type="xsd:double"&gt;1.1962578&lt;/D&gt;&lt;/FQL&gt;&lt;FQL&gt;&lt;Q&gt;CAT-US^P_BETA_LOCIDX(45308,45133,,"SPX")&lt;/Q&gt;&lt;R&gt;1&lt;/R&gt;&lt;C&gt;1&lt;/C&gt;&lt;D xsi:type="xsd:double"&gt;1.1962895&lt;/D&gt;&lt;/FQL&gt;&lt;FQL&gt;&lt;Q&gt;CAT-US^P_BETA_LOCIDX(45307,45132,,"SPX")&lt;/Q&gt;&lt;R&gt;1&lt;/R&gt;&lt;C&gt;1&lt;/C&gt;&lt;D xsi:type="xsd:double"&gt;1.177515&lt;/D&gt;&lt;/FQL&gt;&lt;FQL&gt;&lt;Q&gt;CAT-US^P_BETA_LOCIDX(45303,45131,,"SPX")&lt;/Q&gt;&lt;R&gt;1&lt;/R&gt;&lt;C&gt;1&lt;/C&gt;&lt;D xsi:type="xsd:double"&gt;1.173803&lt;/D&gt;&lt;/FQL&gt;&lt;FQL&gt;&lt;Q&gt;CAT-US^P_BETA_LOCIDX(45302,45128,,"SPX")&lt;/Q&gt;&lt;R&gt;1&lt;/R&gt;&lt;C&gt;1&lt;/C&gt;&lt;D xsi:type="xsd:double"&gt;1.1744063&lt;/D&gt;&lt;/FQL&gt;&lt;FQL&gt;&lt;Q&gt;CAT-US^P_BETA_LOCIDX(45301,45127,,"SPX")&lt;/Q&gt;&lt;R&gt;1&lt;/R&gt;&lt;C&gt;1&lt;/C&gt;&lt;D xsi:type="xsd:double"&gt;1.172583&lt;/D&gt;&lt;/FQL&gt;&lt;FQL&gt;&lt;Q&gt;CAT-US^P_BETA_LOCIDX(45300,45126,,"SPX")&lt;/Q&gt;&lt;R&gt;1&lt;/R&gt;&lt;C&gt;1&lt;/C&gt;&lt;D xsi:type="xsd:double"&gt;1.1732527&lt;/D&gt;&lt;/FQL&gt;&lt;FQL&gt;&lt;Q&gt;CAT-US^P_BETA_LOCIDX(45299,45125,,"SPX")&lt;/Q&gt;&lt;R&gt;1&lt;/R&gt;&lt;C&gt;1&lt;/C&gt;&lt;D xsi:type="xsd:double"&gt;1.1892368&lt;/D&gt;&lt;/FQL&gt;&lt;FQL&gt;&lt;Q&gt;CAT-US^P_BETA_LOCIDX(45296,45124,,"SPX")&lt;/Q&gt;&lt;R&gt;1&lt;/R&gt;&lt;C&gt;1&lt;/C&gt;&lt;D xsi:type="xsd:double"&gt;1.2027684&lt;/D&gt;&lt;/FQL&gt;&lt;FQL&gt;&lt;Q&gt;CAT-US^P_BETA_LOCIDX(45295,45121,,"SPX")&lt;/Q&gt;&lt;R&gt;1&lt;/R&gt;&lt;C&gt;1&lt;/C&gt;&lt;D xsi:type="xsd:double"&gt;1.2012858&lt;/D&gt;&lt;/FQL&gt;&lt;FQL&gt;&lt;Q&gt;CAT-US^P_BETA_LOCIDX(45294,45120,,"SPX")&lt;/Q&gt;&lt;R&gt;1&lt;/R&gt;&lt;C&gt;1&lt;/C&gt;&lt;D xsi:type="xsd:double"&gt;1.2046899&lt;/D&gt;&lt;/FQL&gt;&lt;FQL&gt;&lt;Q&gt;CAT-US^P_BETA_LOCIDX(45293,45119,,"SPX")&lt;/Q&gt;&lt;R&gt;1&lt;/R&gt;&lt;C&gt;1&lt;/C&gt;&lt;D xsi:type="xsd:double"&gt;1.1722609&lt;/D&gt;&lt;/FQL&gt;&lt;FQL&gt;&lt;Q&gt;CAT-US^P_BETA_LOCIDX(45289,45118,,"SPX")&lt;/Q&gt;&lt;R&gt;1&lt;/R&gt;&lt;C&gt;1&lt;/C&gt;&lt;D xsi:type="xsd:double"&gt;1.1753923&lt;/D&gt;&lt;/FQL&gt;&lt;FQL&gt;&lt;Q&gt;CAT-US^P_BETA_LOCIDX(45288,45117,,"SPX")&lt;/Q&gt;&lt;R&gt;1&lt;/R&gt;&lt;C&gt;1&lt;/C&gt;&lt;D xsi:type="xsd:double"&gt;1.1774342&lt;/D&gt;&lt;/FQL&gt;&lt;FQL&gt;&lt;Q&gt;CAT-US^P_BETA_LOCIDX(45287,45114,,"SPX")&lt;/Q&gt;&lt;R&gt;1&lt;/R&gt;&lt;C&gt;1&lt;/C&gt;&lt;D xsi:type="xsd:double"&gt;1.1654803&lt;/D&gt;&lt;/FQL&gt;&lt;FQL&gt;&lt;Q&gt;CAT-US^P_BETA_LOCIDX(45286,45113,,"SPX")&lt;/Q&gt;&lt;R&gt;1&lt;/R&gt;&lt;C&gt;1&lt;/C&gt;&lt;D xsi:type="xsd:double"&gt;1.176659&lt;/D&gt;&lt;/FQL&gt;&lt;FQL&gt;&lt;Q&gt;CAT-US^P_BETA_LOCIDX(45282,45112,,"SPX")&lt;/Q&gt;&lt;R&gt;1&lt;/R&gt;&lt;C&gt;1&lt;/C&gt;&lt;D xsi:type="xsd:double"&gt;1.1732855&lt;/D&gt;&lt;/FQL&gt;&lt;FQL&gt;&lt;Q&gt;CAT-US^P_BETA_LOCIDX(45281,45110,,"SPX")&lt;/Q&gt;&lt;R&gt;1&lt;/R&gt;&lt;C&gt;1&lt;/C&gt;&lt;D xsi:type="xsd:double"&gt;1.1738545&lt;/D&gt;&lt;/FQL&gt;&lt;FQL&gt;&lt;Q&gt;CAT-US^P_BETA_LOCIDX(45280,45107,,"SPX")&lt;/Q&gt;&lt;R&gt;1&lt;/R&gt;&lt;C&gt;1&lt;/C&gt;&lt;D xsi:type="xsd:double"&gt;1.1771562&lt;/D&gt;&lt;/FQL&gt;&lt;FQL&gt;&lt;Q&gt;CAT-US^P_BETA_LOCIDX(45279,45106,,"SPX")&lt;/Q&gt;&lt;R&gt;1&lt;/R&gt;&lt;C&gt;1&lt;/C&gt;&lt;D xsi:type="xsd:double"&gt;1.1919085&lt;/D&gt;&lt;/FQL&gt;&lt;FQL&gt;&lt;Q&gt;CAT-US^P_BETA_LOCIDX(45278,45105,,"SPX")&lt;/Q&gt;&lt;R&gt;1&lt;/R&gt;&lt;C&gt;1&lt;/C&gt;&lt;D xsi:type="xsd:double"&gt;1.1770922&lt;/D&gt;&lt;/FQL&gt;&lt;FQL&gt;&lt;Q&gt;CAT-US^P_BETA_LOCIDX(45275,45104,,"SPX")&lt;/Q&gt;&lt;R&gt;1&lt;/R&gt;&lt;C&gt;1&lt;/C&gt;&lt;D xsi:type="xsd:double"&gt;1.1831937&lt;/D&gt;&lt;/FQL&gt;&lt;FQL&gt;&lt;Q&gt;CAT-US^P_BETA_LOCIDX(45274,45103,,"SPX")&lt;/Q&gt;&lt;R&gt;1&lt;/R&gt;&lt;C&gt;1&lt;/C&gt;&lt;D xsi:type="xsd:double"&gt;1.1713383&lt;/D&gt;&lt;/FQL&gt;&lt;FQL&gt;&lt;Q&gt;CAT-US^P_BETA_LOCIDX(45273,45100,,"SPX")&lt;/Q&gt;&lt;R&gt;1&lt;/R&gt;&lt;C&gt;1&lt;/C&gt;&lt;D xsi:type="xsd:double"&gt;1.1581919&lt;/D&gt;&lt;/FQL&gt;&lt;FQL&gt;&lt;Q&gt;CAT-US^P_BETA_LOCIDX(45272,45099,,"SPX")&lt;/Q&gt;&lt;R&gt;1&lt;/R&gt;&lt;C&gt;1&lt;/C&gt;&lt;D xsi:type="xsd:double"&gt;1.129678&lt;/D&gt;&lt;/FQL&gt;&lt;FQL&gt;&lt;Q&gt;CAT-US^P_BETA_LOCIDX(45271,45098,,"SPX")&lt;/Q&gt;&lt;R&gt;1&lt;/R&gt;&lt;C&gt;1&lt;/C&gt;&lt;D xsi:type="xsd:double"&gt;1.1256244&lt;/D&gt;&lt;/FQL&gt;&lt;FQL&gt;&lt;Q&gt;CAT-US^P_BETA_LOCIDX(45268,45097,,"SPX")&lt;/Q&gt;&lt;R&gt;1&lt;/R&gt;&lt;C&gt;1&lt;/C&gt;&lt;D xsi:type="xsd:double"&gt;1.134448&lt;/D&gt;&lt;/FQL&gt;&lt;FQL&gt;&lt;Q&gt;CAT-US^P_BETA_LOCIDX(45267,45093,,"SPX")&lt;/Q&gt;&lt;R&gt;1&lt;/R&gt;&lt;C&gt;1&lt;/C&gt;&lt;D xsi:type="xsd:double"&gt;1.1360258&lt;/D&gt;&lt;/FQL&gt;&lt;FQL&gt;&lt;Q&gt;CAT-US^P_BETA_LOCIDX(45266,45092,,"SPX")&lt;/Q&gt;&lt;R&gt;1&lt;/R&gt;&lt;C&gt;1&lt;/C&gt;&lt;D xsi:type="xsd:double"&gt;1.1471831&lt;/D&gt;&lt;/FQL&gt;&lt;FQL&gt;&lt;Q&gt;CAT-US^P_BETA_LOCIDX(45265,45091,,"SPX")&lt;/Q&gt;&lt;R&gt;1&lt;/R&gt;&lt;C&gt;1&lt;/C&gt;&lt;D xsi:type="xsd:double"&gt;1.1513867&lt;/D&gt;&lt;/FQL&gt;&lt;FQL&gt;&lt;Q&gt;CAT-US^P_BETA_LOCIDX(45264,45090,,"SPX")&lt;/Q&gt;&lt;R&gt;1&lt;/R&gt;&lt;C&gt;1&lt;/C&gt;&lt;D xsi:type="xsd:double"&gt;1.1749797&lt;/D&gt;&lt;/FQL&gt;&lt;FQL&gt;&lt;Q&gt;CAT-US^P_BETA_LOCIDX(45261,45089,,"SPX")&lt;/Q&gt;&lt;R&gt;1&lt;/R&gt;&lt;C&gt;1&lt;/C&gt;&lt;D xsi:type="xsd:double"&gt;1.17492&lt;/D&gt;&lt;/FQL&gt;&lt;FQL&gt;&lt;Q&gt;CAT-US^P_BETA_LOCIDX(45260,45086,,"SPX")&lt;/Q&gt;&lt;R&gt;1&lt;/R&gt;&lt;C&gt;1&lt;/C&gt;&lt;D xsi:type="xsd:double"&gt;1.1613202&lt;/D&gt;&lt;/FQL&gt;&lt;FQL&gt;&lt;Q&gt;CAT-US^P_BETA_LOCIDX(45259,45085,,"SPX")&lt;/Q&gt;&lt;R&gt;1&lt;/R&gt;&lt;C&gt;1&lt;/C&gt;&lt;D xsi:type="xsd:double"&gt;1.1509103999999999&lt;/D&gt;&lt;/FQL&gt;&lt;FQL&gt;&lt;Q&gt;CAT-US^P_BETA_LOCIDX(45258,45084,,"SPX")&lt;/Q&gt;&lt;R&gt;1&lt;/R&gt;&lt;C&gt;1&lt;/C&gt;&lt;D xsi:type="xsd:double"&gt;1.1245011&lt;/D&gt;&lt;/FQL&gt;&lt;FQL&gt;&lt;Q&gt;CAT-US^P_BETA_LOCIDX(45257,45083,,"SPX")&lt;/Q&gt;&lt;R&gt;1&lt;/R&gt;&lt;C&gt;1&lt;/C&gt;&lt;D xsi:type="xsd:double"&gt;1.1289022&lt;/D&gt;&lt;/FQL&gt;&lt;FQL&gt;&lt;Q&gt;CAT-US^P_BETA_LOCIDX(45254,45082,,"SPX")&lt;/Q&gt;&lt;R&gt;1&lt;/R&gt;&lt;C&gt;1&lt;/C&gt;&lt;D xsi:type="xsd:double"&gt;1.1359329&lt;/D&gt;&lt;/FQL&gt;&lt;FQL&gt;&lt;Q&gt;CAT-US^P_BETA_LOCIDX(45252,45079,,"SPX")&lt;/Q&gt;&lt;R&gt;1&lt;/R&gt;&lt;C&gt;1&lt;/C&gt;&lt;D xsi:type="xsd:double"&gt;1.2719356&lt;/D&gt;&lt;/FQL&gt;&lt;FQL&gt;&lt;Q&gt;CAT-US^P_BETA_LOCIDX(45251,45078,,"SPX")&lt;/Q&gt;&lt;R&gt;1&lt;/R&gt;&lt;C&gt;1&lt;/C&gt;&lt;D xsi:type="xsd:double"&gt;1.2852061&lt;/D&gt;&lt;/FQL&gt;&lt;FQL&gt;&lt;Q&gt;CAT-US^P_BETA_LOCIDX(45250,45077,,"SPX")&lt;/Q&gt;&lt;R&gt;1&lt;/R&gt;&lt;C&gt;1&lt;/C&gt;&lt;D xsi:type="xsd:double"&gt;1.2967081&lt;/D&gt;&lt;/FQL&gt;&lt;FQL&gt;&lt;Q&gt;CAT-US^P_BETA_LOCIDX(45247,45076,,"SPX")&lt;/Q&gt;&lt;R&gt;1&lt;/R&gt;&lt;C&gt;1&lt;/C&gt;&lt;D xsi:type="xsd:double"&gt;1.3178041&lt;/D&gt;&lt;/FQL&gt;&lt;FQL&gt;&lt;Q&gt;CAT-US^P_BETA_LOCIDX(45246,45072,,"SPX")&lt;/Q&gt;&lt;R&gt;1&lt;/R&gt;&lt;C&gt;1&lt;/C&gt;&lt;D xsi:type="xsd:double"&gt;1.3000952&lt;/D&gt;&lt;/FQL&gt;&lt;FQL&gt;&lt;Q&gt;CAT-US^P_BETA_LOCIDX(45245,45071,,"SPX")&lt;/Q&gt;&lt;R&gt;1&lt;/R&gt;&lt;C&gt;1&lt;/C&gt;&lt;D xsi:type="xsd:double"&gt;1.2889451&lt;/D&gt;&lt;/FQL&gt;&lt;FQL&gt;&lt;Q&gt;CAT-US^P_BETA_LOCIDX(45244,45070,,"SPX")&lt;/Q&gt;&lt;R&gt;1&lt;/R&gt;&lt;C&gt;1&lt;/C&gt;&lt;D xsi:type="xsd:double"&gt;1.2936581&lt;/D&gt;&lt;/FQL&gt;&lt;FQL&gt;&lt;Q&gt;CAT-US^P_BETA_LOCIDX(45243,45069,,"SPX")&lt;/Q&gt;&lt;R&gt;1&lt;/R&gt;&lt;C&gt;1&lt;/C&gt;&lt;D xsi:type="xsd:double"&gt;1.281358&lt;/D&gt;&lt;/FQL&gt;&lt;FQL&gt;&lt;Q&gt;CAT-US^P_BETA_LOCIDX(45240,45068,,"SPX")&lt;/Q&gt;&lt;R&gt;1&lt;/R&gt;&lt;C&gt;1&lt;/C&gt;&lt;D xsi:type="xsd:double"&gt;1.2831185&lt;/D&gt;&lt;/FQL&gt;&lt;FQL&gt;&lt;Q&gt;CAT-US^P_BETA_LOCIDX(45239,45065,,"SPX")&lt;/Q&gt;&lt;R&gt;1&lt;/R&gt;&lt;C&gt;1&lt;/C&gt;&lt;D xsi:type="xsd:double"&gt;1.2757283&lt;/D&gt;&lt;/FQL&gt;&lt;FQL&gt;&lt;Q&gt;CAT-US^P_BETA_LOCIDX(45238,45064,,"SPX")&lt;/Q&gt;&lt;R&gt;1&lt;/R&gt;&lt;C&gt;1&lt;/C&gt;&lt;D xsi:type="xsd:double"&gt;1.2842683&lt;/D&gt;&lt;/FQL&gt;&lt;FQL&gt;&lt;Q&gt;CAT-US^P_BETA_LOCIDX(45237,45063,,"SPX")&lt;/Q&gt;&lt;R&gt;1&lt;/R&gt;&lt;C&gt;1&lt;/C&gt;&lt;D xsi:type="xsd:double"&gt;1.297454&lt;/D&gt;&lt;/FQL&gt;&lt;FQL&gt;&lt;Q&gt;CAT-US^P_BETA_LOCIDX(45236,45062,,"SPX")&lt;/Q&gt;&lt;R&gt;1&lt;/R&gt;&lt;C&gt;1&lt;/C&gt;&lt;D xsi:type="xsd:double"&gt;1.3150816&lt;/D&gt;&lt;/FQL&gt;&lt;FQL&gt;&lt;Q&gt;CAT-US^P_BETA_LOCIDX(45233,45061,,"SPX")&lt;/Q&gt;&lt;R&gt;1&lt;/R&gt;&lt;C&gt;1&lt;/C&gt;&lt;D xsi:type="xsd:double"&gt;1.3188599&lt;/D&gt;&lt;/FQL&gt;&lt;FQL&gt;&lt;Q&gt;CAT-US^P_BETA_LOCIDX(45232,45058,,"SPX")&lt;/Q&gt;&lt;R&gt;1&lt;/R&gt;&lt;C&gt;1&lt;/C&gt;&lt;D xsi:type="xsd:double"&gt;1.3273076&lt;/D&gt;&lt;/FQL&gt;&lt;FQL&gt;&lt;Q&gt;CAT-US^P_BETA_LOCIDX(45231,45057,,"SPX")&lt;/Q&gt;&lt;R&gt;1&lt;/R&gt;&lt;C&gt;1&lt;/C&gt;&lt;D xsi:type="xsd:double"&gt;1.3149892&lt;/D&gt;&lt;/FQL&gt;&lt;FQL&gt;&lt;Q&gt;CAT-US^P_BETA_LOCIDX(45230,45056,,"SPX")&lt;/Q&gt;&lt;R&gt;1&lt;/R&gt;&lt;C&gt;1&lt;/C&gt;&lt;D xsi:type="xsd:double"&gt;1.2917804&lt;/D&gt;&lt;/FQL&gt;&lt;FQL&gt;&lt;Q&gt;CAT-US^P_BETA_LOCIDX(45229,45055,,"SPX")&lt;/Q&gt;&lt;R&gt;</t>
        </r>
      </text>
    </comment>
    <comment ref="A20" authorId="0" shapeId="0" xr:uid="{78C83FFB-BE81-41B7-9862-823A5FF0B938}">
      <text>
        <r>
          <rPr>
            <b/>
            <sz val="9"/>
            <color indexed="81"/>
            <rFont val="Tahoma"/>
            <charset val="1"/>
          </rPr>
          <t>1&lt;/R&gt;&lt;C&gt;1&lt;/C&gt;&lt;D xsi:type="xsd:double"&gt;1.3669411&lt;/D&gt;&lt;/FQL&gt;&lt;FQL&gt;&lt;Q&gt;CAT-US^P_BETA_LOCIDX(45226,45054,,"SPX")&lt;/Q&gt;&lt;R&gt;1&lt;/R&gt;&lt;C&gt;1&lt;/C&gt;&lt;D xsi:type="xsd:double"&gt;1.3712176&lt;/D&gt;&lt;/FQL&gt;&lt;FQL&gt;&lt;Q&gt;CAT-US^P_BETA_LOCIDX(45225,45051,,"SPX")&lt;/Q&gt;&lt;R&gt;1&lt;/R&gt;&lt;C&gt;1&lt;/C&gt;&lt;D xsi:type="xsd:double"&gt;1.3523885&lt;/D&gt;&lt;/FQL&gt;&lt;FQL&gt;&lt;Q&gt;CAT-US^P_BETA_LOCIDX(45224,45050,,"SPX")&lt;/Q&gt;&lt;R&gt;1&lt;/R&gt;&lt;C&gt;1&lt;/C&gt;&lt;D xsi:type="xsd:double"&gt;1.3789498&lt;/D&gt;&lt;/FQL&gt;&lt;FQL&gt;&lt;Q&gt;CAT-US^P_BETA_LOCIDX(45223,45049,,"SPX")&lt;/Q&gt;&lt;R&gt;1&lt;/R&gt;&lt;C&gt;1&lt;/C&gt;&lt;D xsi:type="xsd:double"&gt;1.3672419&lt;/D&gt;&lt;/FQL&gt;&lt;FQL&gt;&lt;Q&gt;CAT-US^P_BETA_LOCIDX(45222,45048,,"SPX")&lt;/Q&gt;&lt;R&gt;1&lt;/R&gt;&lt;C&gt;1&lt;/C&gt;&lt;D xsi:type="xsd:double"&gt;1.3601284&lt;/D&gt;&lt;/FQL&gt;&lt;FQL&gt;&lt;Q&gt;CAT-US^P_BETA_LOCIDX(45219,45047,,"SPX")&lt;/Q&gt;&lt;R&gt;1&lt;/R&gt;&lt;C&gt;1&lt;/C&gt;&lt;D xsi:type="xsd:double"&gt;1.3589548&lt;/D&gt;&lt;/FQL&gt;&lt;FQL&gt;&lt;Q&gt;CAT-US^P_BETA_LOCIDX(45218,45044,,"SPX")&lt;/Q&gt;&lt;R&gt;1&lt;/R&gt;&lt;C&gt;1&lt;/C&gt;&lt;D xsi:type="xsd:double"&gt;1.3726907&lt;/D&gt;&lt;/FQL&gt;&lt;FQL&gt;&lt;Q&gt;CAT-US^P_BETA_LOCIDX(45217,45043,,"SPX")&lt;/Q&gt;&lt;R&gt;1&lt;/R&gt;&lt;C&gt;1&lt;/C&gt;&lt;D xsi:type="xsd:double"&gt;1.2489326&lt;/D&gt;&lt;/FQL&gt;&lt;FQL&gt;&lt;Q&gt;CAT-US^P_BETA_LOCIDX(45216,45042,,"SPX")&lt;/Q&gt;&lt;R&gt;1&lt;/R&gt;&lt;C&gt;1&lt;/C&gt;&lt;D xsi:type="xsd:double"&gt;1.1812778&lt;/D&gt;&lt;/FQL&gt;&lt;FQL&gt;&lt;Q&gt;CAT-US^P_BETA_LOCIDX(45215,45041,,"SPX")&lt;/Q&gt;&lt;R&gt;1&lt;/R&gt;&lt;C&gt;1&lt;/C&gt;&lt;D xsi:type="xsd:double"&gt;1.1915818&lt;/D&gt;&lt;/FQL&gt;&lt;FQL&gt;&lt;Q&gt;CAT-US^P_BETA_LOCIDX(45212,45040,,"SPX")&lt;/Q&gt;&lt;R&gt;1&lt;/R&gt;&lt;C&gt;1&lt;/C&gt;&lt;D xsi:type="xsd:double"&gt;1.1972305&lt;/D&gt;&lt;/FQL&gt;&lt;FQL&gt;&lt;Q&gt;CAT-US^P_BETA_LOCIDX(45211,45037,,"SPX")&lt;/Q&gt;&lt;R&gt;1&lt;/R&gt;&lt;C&gt;1&lt;/C&gt;&lt;D xsi:type="xsd:double"&gt;1.1952455&lt;/D&gt;&lt;/FQL&gt;&lt;FQL&gt;&lt;Q&gt;CAT-US^P_BETA_LOCIDX(45210,45036,,"SPX")&lt;/Q&gt;&lt;R&gt;1&lt;/R&gt;&lt;C&gt;1&lt;/C&gt;&lt;D xsi:type="xsd:double"&gt;1.194165&lt;/D&gt;&lt;/FQL&gt;&lt;FQL&gt;&lt;Q&gt;CAT-US^P_BETA_LOCIDX(45209,45035,,"SPX")&lt;/Q&gt;&lt;R&gt;1&lt;/R&gt;&lt;C&gt;1&lt;/C&gt;&lt;D xsi:type="xsd:double"&gt;1.1989845&lt;/D&gt;&lt;/FQL&gt;&lt;FQL&gt;&lt;Q&gt;CAT-US^P_BETA_LOCIDX(45208,45034,,"SPX")&lt;/Q&gt;&lt;R&gt;1&lt;/R&gt;&lt;C&gt;1&lt;/C&gt;&lt;D xsi:type="xsd:double"&gt;1.1991341&lt;/D&gt;&lt;/FQL&gt;&lt;FQL&gt;&lt;Q&gt;CAT-US^P_BETA_LOCIDX(45205,45033,,"SPX")&lt;/Q&gt;&lt;R&gt;1&lt;/R&gt;&lt;C&gt;1&lt;/C&gt;&lt;D xsi:type="xsd:double"&gt;1.1899302&lt;/D&gt;&lt;/FQL&gt;&lt;FQL&gt;&lt;Q&gt;CAT-US^P_BETA_LOCIDX(45204,45030,,"SPX")&lt;/Q&gt;&lt;R&gt;1&lt;/R&gt;&lt;C&gt;1&lt;/C&gt;&lt;D xsi:type="xsd:double"&gt;1.177336&lt;/D&gt;&lt;/FQL&gt;&lt;FQL&gt;&lt;Q&gt;CAT-US^P_BETA_LOCIDX(45203,45029,,"SPX")&lt;/Q&gt;&lt;R&gt;1&lt;/R&gt;&lt;C&gt;1&lt;/C&gt;&lt;D xsi:type="xsd:double"&gt;1.1507542&lt;/D&gt;&lt;/FQL&gt;&lt;FQL&gt;&lt;Q&gt;CAT-US^P_BETA_LOCIDX(45202,45028,,"SPX")&lt;/Q&gt;&lt;R&gt;1&lt;/R&gt;&lt;C&gt;1&lt;/C&gt;&lt;D xsi:type="xsd:double"&gt;1.1790179&lt;/D&gt;&lt;/FQL&gt;&lt;FQL&gt;&lt;Q&gt;CAT-US^P_BETA_LOCIDX(45201,45027,,"SPX")&lt;/Q&gt;&lt;R&gt;1&lt;/R&gt;&lt;C&gt;1&lt;/C&gt;&lt;D xsi:type="xsd:double"&gt;1.1878617&lt;/D&gt;&lt;/FQL&gt;&lt;FQL&gt;&lt;Q&gt;CAT-US^P_BETA_LOCIDX(45198,45026,,"SPX")&lt;/Q&gt;&lt;R&gt;1&lt;/R&gt;&lt;C&gt;1&lt;/C&gt;&lt;D xsi:type="xsd:double"&gt;1.1902132&lt;/D&gt;&lt;/FQL&gt;&lt;FQL&gt;&lt;Q&gt;CAT-US^P_BETA_LOCIDX(45197,45022,,"SPX")&lt;/Q&gt;&lt;R&gt;1&lt;/R&gt;&lt;C&gt;1&lt;/C&gt;&lt;D xsi:type="xsd:double"&gt;1.1718504&lt;/D&gt;&lt;/FQL&gt;&lt;FQL&gt;&lt;Q&gt;CAT-US^P_BETA_LOCIDX(45196,45021,,"SPX")&lt;/Q&gt;&lt;R&gt;1&lt;/R&gt;&lt;C&gt;1&lt;/C&gt;&lt;D xsi:type="xsd:double"&gt;1.1757604&lt;/D&gt;&lt;/FQL&gt;&lt;FQL&gt;&lt;Q&gt;CAT-US^P_BETA_LOCIDX(45195,45020,,"SPX")&lt;/Q&gt;&lt;R&gt;1&lt;/R&gt;&lt;C&gt;1&lt;/C&gt;&lt;D xsi:type="xsd:double"&gt;1.2229769&lt;/D&gt;&lt;/FQL&gt;&lt;FQL&gt;&lt;Q&gt;CAT-US^P_BETA_LOCIDX(45194,45019,,"SPX")&lt;/Q&gt;&lt;R&gt;1&lt;/R&gt;&lt;C&gt;1&lt;/C&gt;&lt;D xsi:type="xsd:double"&gt;1.2214426&lt;/D&gt;&lt;/FQL&gt;&lt;FQL&gt;&lt;Q&gt;CAT-US^P_BETA_LOCIDX(45191,45016,,"SPX")&lt;/Q&gt;&lt;R&gt;1&lt;/R&gt;&lt;C&gt;1&lt;/C&gt;&lt;D xsi:type="xsd:double"&gt;1.223265&lt;/D&gt;&lt;/FQL&gt;&lt;FQL&gt;&lt;Q&gt;CAT-US^P_BETA_LOCIDX(45190,45015,,"SPX")&lt;/Q&gt;&lt;R&gt;1&lt;/R&gt;&lt;C&gt;1&lt;/C&gt;&lt;D xsi:type="xsd:double"&gt;1.2248551&lt;/D&gt;&lt;/FQL&gt;&lt;FQL&gt;&lt;Q&gt;CAT-US^P_BETA_LOCIDX(45189,45014,,"SPX")&lt;/Q&gt;&lt;R&gt;1&lt;/R&gt;&lt;C&gt;1&lt;/C&gt;&lt;D xsi:type="xsd:double"&gt;1.2001503&lt;/D&gt;&lt;/FQL&gt;&lt;FQL&gt;&lt;Q&gt;CAT-US^P_BETA_LOCIDX(45188,45013,,"SPX")&lt;/Q&gt;&lt;R&gt;1&lt;/R&gt;&lt;C&gt;1&lt;/C&gt;&lt;D xsi:type="xsd:double"&gt;1.2066096&lt;/D&gt;&lt;/FQL&gt;&lt;FQL&gt;&lt;Q&gt;CAT-US^P_BETA_LOCIDX(45187,45012,,"SPX")&lt;/Q&gt;&lt;R&gt;1&lt;/R&gt;&lt;C&gt;1&lt;/C&gt;&lt;D xsi:type="xsd:double"&gt;1.205235&lt;/D&gt;&lt;/FQL&gt;&lt;FQL&gt;&lt;Q&gt;CAT-US^P_BETA_LOCIDX(45184,45009,,"SPX")&lt;/Q&gt;&lt;R&gt;1&lt;/R&gt;&lt;C&gt;1&lt;/C&gt;&lt;D xsi:type="xsd:double"&gt;1.1910977&lt;/D&gt;&lt;/FQL&gt;&lt;FQL&gt;&lt;Q&gt;CAT-US^P_BETA_LOCIDX(45183,45008,,"SPX")&lt;/Q&gt;&lt;R&gt;1&lt;/R&gt;&lt;C&gt;1&lt;/C&gt;&lt;D xsi:type="xsd:double"&gt;1.19228&lt;/D&gt;&lt;/FQL&gt;&lt;FQL&gt;&lt;Q&gt;CAT-US^P_BETA_LOCIDX(45182,45007,,"SPX")&lt;/Q&gt;&lt;R&gt;1&lt;/R&gt;&lt;C&gt;1&lt;/C&gt;&lt;D xsi:type="xsd:double"&gt;1.1857584&lt;/D&gt;&lt;/FQL&gt;&lt;FQL&gt;&lt;Q&gt;CAT-US^P_BETA_LOCIDX(45181,45006,,"SPX")&lt;/Q&gt;&lt;R&gt;1&lt;/R&gt;&lt;C&gt;1&lt;/C&gt;&lt;D xsi:type="xsd:double"&gt;1.19555&lt;/D&gt;&lt;/FQL&gt;&lt;FQL&gt;&lt;Q&gt;CAT-US^P_BETA_LOCIDX(45180,45005,,"SPX")&lt;/Q&gt;&lt;R&gt;1&lt;/R&gt;&lt;C&gt;1&lt;/C&gt;&lt;D xsi:type="xsd:double"&gt;1.2168348&lt;/D&gt;&lt;/FQL&gt;&lt;FQL&gt;&lt;Q&gt;CAT-US^P_BETA_LOCIDX(45177,45002,,"SPX")&lt;/Q&gt;&lt;R&gt;1&lt;/R&gt;&lt;C&gt;1&lt;/C&gt;&lt;D xsi:type="xsd:double"&gt;1.2340417&lt;/D&gt;&lt;/FQL&gt;&lt;FQL&gt;&lt;Q&gt;CAT-US^P_BETA_LOCIDX(45176,45001,,"SPX")&lt;/Q&gt;&lt;R&gt;1&lt;/R&gt;&lt;C&gt;1&lt;/C&gt;&lt;D xsi:type="xsd:double"&gt;1.1950166&lt;/D&gt;&lt;/FQL&gt;&lt;FQL&gt;&lt;Q&gt;CAT-US^P_BETA_LOCIDX(45175,45000,,"SPX")&lt;/Q&gt;&lt;R&gt;1&lt;/R&gt;&lt;C&gt;1&lt;/C&gt;&lt;D xsi:type="xsd:double"&gt;1.229105&lt;/D&gt;&lt;/FQL&gt;&lt;FQL&gt;&lt;Q&gt;CAT-US^P_BETA_LOCIDX(45174,44999,,"SPX")&lt;/Q&gt;&lt;R&gt;1&lt;/R&gt;&lt;C&gt;1&lt;/C&gt;&lt;D xsi:type="xsd:double"&gt;1.2076316&lt;/D&gt;&lt;/FQL&gt;&lt;FQL&gt;&lt;Q&gt;CAT-US^P_BETA_LOCIDX(45170,44998,,"SPX")&lt;/Q&gt;&lt;R&gt;1&lt;/R&gt;&lt;C&gt;1&lt;/C&gt;&lt;D xsi:type="xsd:double"&gt;1.2020564&lt;/D&gt;&lt;/FQL&gt;&lt;FQL&gt;&lt;Q&gt;CAT-US^P_BETA_LOCIDX(45169,44995,,"SPX")&lt;/Q&gt;&lt;R&gt;1&lt;/R&gt;&lt;C&gt;1&lt;/C&gt;&lt;D xsi:type="xsd:double"&gt;1.2900851&lt;/D&gt;&lt;/FQL&gt;&lt;FQL&gt;&lt;Q&gt;CAT-US^P_BETA_LOCIDX(45168,44994,,"SPX")&lt;/Q&gt;&lt;R&gt;1&lt;/R&gt;&lt;C&gt;1&lt;/C&gt;&lt;D xsi:type="xsd:double"&gt;1.3081974&lt;/D&gt;&lt;/FQL&gt;&lt;FQL&gt;&lt;Q&gt;CAT-US^P_BETA_LOCIDX(45167,44993,,"SPX")&lt;/Q&gt;&lt;R&gt;1&lt;/R&gt;&lt;C&gt;1&lt;/C&gt;&lt;D xsi:type="xsd:double"&gt;1.3074058&lt;/D&gt;&lt;/FQL&gt;&lt;FQL&gt;&lt;Q&gt;CAT-US^P_BETA_LOCIDX(45166,44992,,"SPX")&lt;/Q&gt;&lt;R&gt;1&lt;/R&gt;&lt;C&gt;1&lt;/C&gt;&lt;D xsi:type="xsd:double"&gt;1.3297123&lt;/D&gt;&lt;/FQL&gt;&lt;FQL&gt;&lt;Q&gt;CAT-US^P_BETA_LOCIDX(45163,44991,,"SPX")&lt;/Q&gt;&lt;R&gt;1&lt;/R&gt;&lt;C&gt;1&lt;/C&gt;&lt;D xsi:type="xsd:double"&gt;1.3297112&lt;/D&gt;&lt;/FQL&gt;&lt;FQL&gt;&lt;Q&gt;CAT-US^P_BETA_LOCIDX(45162,44988,,"SPX")&lt;/Q&gt;&lt;R&gt;1&lt;/R&gt;&lt;C&gt;1&lt;/C&gt;&lt;D xsi:type="xsd:double"&gt;1.3098121&lt;/D&gt;&lt;/FQL&gt;&lt;FQL&gt;&lt;Q&gt;CAT-US^P_BETA_LOCIDX(45161,44987,,"SPX")&lt;/Q&gt;&lt;R&gt;1&lt;/R&gt;&lt;C&gt;1&lt;/C&gt;&lt;D xsi:type="xsd:double"&gt;1.321847&lt;/D&gt;&lt;/FQL&gt;&lt;FQL&gt;&lt;Q&gt;CAT-US^P_BETA_LOCIDX(45160,44986,,"SPX")&lt;/Q&gt;&lt;R&gt;1&lt;/R&gt;&lt;C&gt;1&lt;/C&gt;&lt;D xsi:type="xsd:double"&gt;1.293996&lt;/D&gt;&lt;/FQL&gt;&lt;FQL&gt;&lt;Q&gt;CAT-US^P_BETA_LOCIDX(45159,44985,,"SPX")&lt;/Q&gt;&lt;R&gt;1&lt;/R&gt;&lt;C&gt;1&lt;/C&gt;&lt;D xsi:type="xsd:double"&gt;1.2901397&lt;/D&gt;&lt;/FQL&gt;&lt;FQL&gt;&lt;Q&gt;CAT-US^P_BETA_LOCIDX(45156,44984,,"SPX")&lt;/Q&gt;&lt;R&gt;1&lt;/R&gt;&lt;C&gt;1&lt;/C&gt;&lt;D xsi:type="xsd:double"&gt;1.3040462&lt;/D&gt;&lt;/FQL&gt;&lt;FQL&gt;&lt;Q&gt;CAT-US^P_BETA_LOCIDX(45155,44981,,"SPX")&lt;/Q&gt;&lt;R&gt;1&lt;/R&gt;&lt;C&gt;1&lt;/C&gt;&lt;D xsi:type="xsd:double"&gt;1.2947478&lt;/D&gt;&lt;/FQL&gt;&lt;FQL&gt;&lt;Q&gt;CAT-US^P_BETA_LOCIDX(45154,44980,,"SPX")&lt;/Q&gt;&lt;R&gt;1&lt;/R&gt;&lt;C&gt;1&lt;/C&gt;&lt;D xsi:type="xsd:double"&gt;1.3040072&lt;/D&gt;&lt;/FQL&gt;&lt;FQL&gt;&lt;Q&gt;CAT-US^P_BETA_LOCIDX(45153,44979,,"SPX")&lt;/Q&gt;&lt;R&gt;1&lt;/R&gt;&lt;C&gt;1&lt;/C&gt;&lt;D xsi:type="xsd:double"&gt;1.3064369&lt;/D&gt;&lt;/FQL&gt;&lt;FQL&gt;&lt;Q&gt;CAT-US^P_BETA_LOCIDX(45152,44978,,"SPX")&lt;/Q&gt;&lt;R&gt;1&lt;/R&gt;&lt;C&gt;1&lt;/C&gt;&lt;D xsi:type="xsd:double"&gt;1.2970458&lt;/D&gt;&lt;/FQL&gt;&lt;FQL&gt;&lt;Q&gt;CAT-US^P_BETA_LOCIDX(45149,44974,,"SPX")&lt;/Q&gt;&lt;R&gt;1&lt;/R&gt;&lt;C&gt;1&lt;/C&gt;&lt;D xsi:type="xsd:double"&gt;1.2996851&lt;/D&gt;&lt;/FQL&gt;&lt;FQL&gt;&lt;Q&gt;CAT-US^P_BETA_LOCIDX(45148,44973,,"SPX")&lt;/Q&gt;&lt;R&gt;1&lt;/R&gt;&lt;C&gt;1&lt;/C&gt;&lt;D xsi:type="xsd:double"&gt;1.2852386&lt;/D&gt;&lt;/FQL&gt;&lt;FQL&gt;&lt;Q&gt;CAT-US^P_BETA_LOCIDX(45147,44972,,"SPX")&lt;/Q&gt;&lt;R&gt;1&lt;/R&gt;&lt;C&gt;1&lt;/C&gt;&lt;D xsi:type="xsd:double"&gt;1.2886648&lt;/D&gt;&lt;/FQL&gt;&lt;FQL&gt;&lt;Q&gt;CAT-US^P_BETA_LOCIDX(45146,44971,,"SPX")&lt;/Q&gt;&lt;R&gt;1&lt;/R&gt;&lt;C&gt;1&lt;/C&gt;&lt;D xsi:type="xsd:double"&gt;1.3045249&lt;/D&gt;&lt;/FQL&gt;&lt;FQL&gt;&lt;Q&gt;CAT-US^P_BETA_LOCIDX(45145,44970,,"SPX")&lt;/Q&gt;&lt;R&gt;1&lt;/R&gt;&lt;C&gt;1&lt;/C&gt;&lt;D xsi:type="xsd:double"&gt;1.2930416&lt;/D&gt;&lt;/FQL&gt;&lt;FQL&gt;&lt;Q&gt;CAT-US^P_BETA_LOCIDX(45142,44967,,"SPX")&lt;/Q&gt;&lt;R&gt;1&lt;/R&gt;&lt;C&gt;1&lt;/C&gt;&lt;D xsi:type="xsd:double"&gt;1.2862797&lt;/D&gt;&lt;/FQL&gt;&lt;FQL&gt;&lt;Q&gt;CAT-US^P_BETA_LOCIDX(45141,44966,,"SPX")&lt;/Q&gt;&lt;R&gt;1&lt;/R&gt;&lt;C&gt;1&lt;/C&gt;&lt;D xsi:type="xsd:double"&gt;1.2769212&lt;/D&gt;&lt;/FQL&gt;&lt;FQL&gt;&lt;Q&gt;CAT-US^P_BETA_LOCIDX(45140,44965,,"SPX")&lt;/Q&gt;&lt;R&gt;1&lt;/R&gt;&lt;C&gt;1&lt;/C&gt;&lt;D xsi:type="xsd:double"&gt;1.2541872&lt;/D&gt;&lt;/FQL&gt;&lt;FQL&gt;&lt;Q&gt;CAT-US^P_BETA_LOCIDX(45139,44964,,"SPX")&lt;/Q&gt;&lt;R&gt;1&lt;/R&gt;&lt;C&gt;1&lt;/C&gt;&lt;D xsi:type="xsd:double"&gt;1.2432741&lt;/D&gt;&lt;/FQL&gt;&lt;FQL&gt;&lt;Q&gt;CAT-US^P_BETA_LOCIDX(45138,44963,,"SPX")&lt;/Q&gt;&lt;R&gt;1&lt;/R&gt;&lt;C&gt;1&lt;/C&gt;&lt;D xsi:type="xsd:double"&gt;1.2641114&lt;/D&gt;&lt;/FQL&gt;&lt;FQL&gt;&lt;Q&gt;CAT-US^P_BETA_LOCIDX(45135,44960,,"SPX")&lt;/Q&gt;&lt;R&gt;1&lt;/R&gt;&lt;C&gt;1&lt;/C&gt;&lt;D xsi:type="xsd:double"&gt;1.228835&lt;/D&gt;&lt;/FQL&gt;&lt;FQL&gt;&lt;Q&gt;CAT-US^P_BETA_LOCIDX(45134,44959,,"SPX")&lt;/Q&gt;&lt;R&gt;1&lt;/R&gt;&lt;C&gt;1&lt;/C&gt;&lt;D xsi:type="xsd:double"&gt;1.1725997&lt;/D&gt;&lt;/FQL&gt;&lt;FQL&gt;&lt;Q&gt;CAT-US^P_BETA_LOCIDX(45133,44958,,"SPX")&lt;/Q&gt;&lt;R&gt;1&lt;/R&gt;&lt;C&gt;1&lt;/C&gt;&lt;D xsi:type="xsd:double"&gt;1.1541524&lt;/D&gt;&lt;/FQL&gt;&lt;FQL&gt;&lt;Q&gt;CAT-US^P_BETA_LOCIDX(45132,44957,,"SPX")&lt;/Q&gt;&lt;R&gt;1&lt;/R&gt;&lt;C&gt;1&lt;/C&gt;&lt;D xsi:type="xsd:double"&gt;1.0713904&lt;/D&gt;&lt;/FQL&gt;&lt;FQL&gt;&lt;Q&gt;CAT-US^P_BETA_LOCIDX(45131,44956,,"SPX")&lt;/Q&gt;&lt;R&gt;1&lt;/R&gt;&lt;C&gt;1&lt;/C&gt;&lt;D xsi:type="xsd:double"&gt;1.064267&lt;/D&gt;&lt;/FQL&gt;&lt;FQL&gt;&lt;Q&gt;CAT-US^P_BETA_LOCIDX(45128,44953,,"SPX")&lt;/Q&gt;&lt;R&gt;1&lt;/R&gt;&lt;C&gt;1&lt;/C&gt;&lt;D xsi:type="xsd:double"&gt;1.0644068&lt;/D&gt;&lt;/FQL&gt;&lt;FQL&gt;&lt;Q&gt;CAT-US^P_BETA_LOCIDX(45127,44952,,"SPX")&lt;/Q&gt;&lt;R&gt;1&lt;/R&gt;&lt;C&gt;1&lt;/C&gt;&lt;D xsi:type="xsd:double"&gt;1.067331&lt;/D&gt;&lt;/FQL&gt;&lt;FQL&gt;&lt;Q&gt;CAT-US^P_BETA_LOCIDX(45126,44951,,"SPX")&lt;/Q&gt;&lt;R&gt;1&lt;/R&gt;&lt;C&gt;1&lt;/C&gt;&lt;D xsi:type="xsd:double"&gt;1.0682708&lt;/D&gt;&lt;/FQL&gt;&lt;FQL&gt;&lt;Q&gt;CAT-US^P_BETA_LOCIDX(45125,44950,,"SPX")&lt;/Q&gt;&lt;R&gt;1&lt;/R&gt;&lt;C&gt;1&lt;/C&gt;&lt;D xsi:type="xsd:double"&gt;1.0648612&lt;/D&gt;&lt;/FQL&gt;&lt;FQL&gt;&lt;Q&gt;CAT-US^P_BETA_LOCIDX(45124,44949,,"SPX")&lt;/Q&gt;&lt;R&gt;1&lt;/R&gt;&lt;C&gt;1&lt;/C&gt;&lt;D xsi:type="xsd:double"&gt;1.0528557&lt;/D&gt;&lt;/FQL&gt;&lt;FQL&gt;&lt;Q&gt;CAT-US^P_BETA_LOCIDX(45121,44946,,"SPX")&lt;/Q&gt;&lt;R&gt;1&lt;/R&gt;&lt;C&gt;1&lt;/C&gt;&lt;D xsi:type="xsd:double"&gt;1.0458895&lt;/D&gt;&lt;/FQL&gt;&lt;FQL&gt;&lt;Q&gt;CAT-US^P_BETA_LOCIDX(45120,44945,,"SPX")&lt;/Q&gt;&lt;R&gt;1&lt;/R&gt;&lt;C&gt;1&lt;/C&gt;&lt;D xsi:type="xsd:double"&gt;1.0643024&lt;/D&gt;&lt;/FQL&gt;&lt;FQL&gt;&lt;Q&gt;CAT-US^P_BETA_LOCIDX(45119,44944,,"SPX")&lt;/Q&gt;&lt;R&gt;1&lt;/R&gt;&lt;C&gt;1&lt;/C&gt;&lt;D xsi:type="xsd:double"&gt;1.0564418&lt;/D&gt;&lt;/FQL&gt;&lt;FQL&gt;&lt;Q&gt;CAT-US^P_BETA_LOCIDX(45118,44943,,"SPX")&lt;/Q&gt;&lt;R&gt;1&lt;/R&gt;&lt;C&gt;1&lt;/C&gt;&lt;D xsi:type="xsd:double"&gt;1.0608022&lt;/D&gt;&lt;/FQL&gt;&lt;FQL&gt;&lt;Q&gt;CAT-US^P_BETA_LOCIDX(45117,44939,,"SPX")&lt;/Q&gt;&lt;R&gt;1&lt;/R&gt;&lt;C&gt;1&lt;/C&gt;&lt;D xsi:type="xsd:double"&gt;1.0578741&lt;/D&gt;&lt;/FQL&gt;&lt;FQL&gt;&lt;Q&gt;CAT-US^P_BETA_LOCIDX(45114,44938,,"SPX")&lt;/Q&gt;&lt;R&gt;1&lt;/R&gt;&lt;C&gt;1&lt;/C&gt;&lt;D xsi:type="xsd:double"&gt;1.0596696&lt;/D&gt;&lt;/FQL&gt;&lt;FQL&gt;&lt;Q&gt;CAT-US^P_BETA_LOCIDX(45113,44937,,"SPX")&lt;/Q&gt;&lt;R&gt;1&lt;/R&gt;&lt;C&gt;1&lt;/C&gt;&lt;D xsi:type="xsd:double"&gt;1.0544899&lt;/D&gt;&lt;/FQL&gt;&lt;FQL&gt;&lt;Q&gt;CAT-US^P_BETA_LOCIDX(45112,44936,,"SPX")&lt;/Q&gt;&lt;R&gt;1&lt;/R&gt;&lt;C&gt;1&lt;/C&gt;&lt;D xsi:type="xsd:double"&gt;1.0530157&lt;/D&gt;&lt;/FQL&gt;&lt;FQL&gt;&lt;Q&gt;CAT-US^P_BETA_LOCIDX(45110,44935,,"SPX")&lt;/Q&gt;&lt;R&gt;1&lt;/R&gt;&lt;C&gt;1&lt;/C&gt;&lt;D xsi:type="xsd:double"&gt;1.0521734&lt;/D&gt;&lt;/FQL&gt;&lt;FQL&gt;&lt;Q&gt;CAT-US^P_BETA_LOCIDX(45107,44932,,"SPX")&lt;/Q&gt;&lt;R&gt;1&lt;/R&gt;&lt;C&gt;1&lt;/C&gt;&lt;D xsi:type="xsd:double"&gt;1.079701&lt;/D&gt;&lt;/FQL&gt;&lt;FQL&gt;&lt;Q&gt;CAT-US^P_BETA_LOCIDX(45106,44931,,"SPX")&lt;/Q&gt;&lt;R&gt;1&lt;/R&gt;&lt;C&gt;1&lt;/C&gt;&lt;D xsi:type="xsd:double"&gt;1.0733377&lt;/D&gt;&lt;/FQL&gt;&lt;FQL&gt;&lt;Q&gt;CAT-US^P_BETA_LOCIDX(45105,44930,,"SPX")&lt;/Q&gt;&lt;R&gt;1&lt;/R&gt;&lt;C&gt;1&lt;/C&gt;&lt;D xsi:type="xsd:double"&gt;1.0734301&lt;/D&gt;&lt;/FQL&gt;&lt;FQL&gt;&lt;Q&gt;CAT-US^P_BETA_LOCIDX(45104,44929,,"SPX")&lt;/Q&gt;&lt;R&gt;1&lt;/R&gt;&lt;C&gt;1&lt;/C&gt;&lt;D xsi:type="xsd:double"&gt;1.0731179&lt;/D&gt;&lt;/FQL&gt;&lt;FQL&gt;&lt;Q&gt;CAT-US^P_BETA_LOCIDX(45103,44925,,"SPX")&lt;/Q&gt;&lt;R&gt;1&lt;/R&gt;&lt;C&gt;1&lt;/C&gt;&lt;D xsi:type="xsd:double"&gt;1.0680614&lt;/D&gt;&lt;/FQL&gt;&lt;FQL&gt;&lt;Q&gt;CAT-US^P_BETA_LOCIDX(45100,44924,,"SPX")&lt;/Q&gt;&lt;R&gt;1&lt;/R&gt;&lt;C&gt;1&lt;/C&gt;&lt;D xsi:type="xsd:double"&gt;1.0546634&lt;/D&gt;&lt;/FQL&gt;&lt;FQL&gt;&lt;Q&gt;CAT-US^P_BETA_LOCIDX(45099,44923,,"SPX")&lt;/Q&gt;&lt;R&gt;1&lt;/R&gt;&lt;C&gt;1&lt;/C&gt;&lt;D xsi:type="xsd:double"&gt;1.0541537&lt;/D&gt;&lt;/FQL&gt;&lt;FQL&gt;&lt;Q&gt;CAT-US^P_BETA_LOCIDX(45098,44922,,"SPX")&lt;/Q&gt;&lt;R&gt;1&lt;/R&gt;&lt;C&gt;1&lt;/C&gt;&lt;D xsi:type="xsd:double"&gt;1.0496551&lt;/D&gt;&lt;/FQL&gt;&lt;FQL&gt;&lt;Q&gt;CAT-US^P_BETA_LOCIDX(45097,44918,,"SPX")&lt;/Q&gt;&lt;R&gt;1&lt;/R&gt;&lt;C&gt;1&lt;/C&gt;&lt;D xsi:type="xsd:double"&gt;1.0565675&lt;/D&gt;&lt;/FQL&gt;&lt;FQL&gt;&lt;Q&gt;CAT-US^P_BETA_LOCIDX(45093,44917,,"SPX")&lt;/Q&gt;&lt;R&gt;1&lt;/R&gt;&lt;C&gt;1&lt;/C&gt;&lt;D xsi:type="xsd:double"&gt;1.0522053&lt;/D&gt;&lt;/FQL&gt;&lt;FQL&gt;&lt;Q&gt;CAT-US^P_BETA_LOCIDX(45092,44916,,"SPX")&lt;/Q&gt;&lt;R&gt;1&lt;/R&gt;&lt;C&gt;1&lt;/C&gt;&lt;D xsi:type="xsd:double"&gt;1.066752&lt;/D&gt;&lt;/FQL&gt;&lt;FQL&gt;&lt;Q&gt;CAT-US^P_BETA_LOCIDX(45091,44915,,"SPX")&lt;/Q&gt;&lt;R&gt;1&lt;/R&gt;&lt;C&gt;1&lt;/C&gt;&lt;D xsi:type="xsd:double"&gt;1.0607641&lt;/D&gt;&lt;/FQL&gt;&lt;FQL&gt;&lt;Q&gt;CAT-US^P_BETA_LOCIDX(45090,44914,,"SPX")&lt;/Q&gt;&lt;R&gt;1&lt;/R&gt;&lt;C&gt;1&lt;/C&gt;&lt;D xsi:type="xsd:double"&gt;1.0526359&lt;/D&gt;&lt;/FQL&gt;&lt;FQL&gt;&lt;Q&gt;CAT-US^P_BETA_LOCIDX(45089,44911,,"SPX")&lt;/Q&gt;&lt;R&gt;1&lt;/R&gt;&lt;C&gt;1&lt;/C&gt;&lt;D xsi:type="xsd:double"&gt;1.0151558&lt;/D&gt;&lt;/FQL&gt;&lt;FQL&gt;&lt;Q&gt;CAT-US^P_BETA_LOCIDX(45086,44910,,"SPX")&lt;/Q&gt;&lt;R&gt;1&lt;/R&gt;&lt;C&gt;1&lt;/C&gt;&lt;D xsi:type="xsd:double"&gt;0.991289&lt;/D&gt;&lt;/FQL&gt;&lt;FQL&gt;&lt;Q&gt;CAT-US^P_BETA_LOCIDX(45085,44909,,"SPX")&lt;/Q&gt;&lt;R&gt;1&lt;/R&gt;&lt;C&gt;1&lt;/C&gt;&lt;D xsi:type="xsd:double"&gt;0.9899447&lt;/D&gt;&lt;/FQL&gt;&lt;FQL&gt;&lt;Q&gt;CAT-US^P_BETA_LOCIDX(45084,44908,,"SPX")&lt;/Q&gt;&lt;R&gt;1&lt;/R&gt;&lt;C&gt;1&lt;/C&gt;&lt;D xsi:type="xsd:double"&gt;0.9971263&lt;/D&gt;&lt;/FQL&gt;&lt;FQL&gt;&lt;Q&gt;CAT-US^P_BETA_LOCIDX(45083,44907,,"SPX")&lt;/Q&gt;&lt;R&gt;1&lt;/R&gt;&lt;C&gt;1&lt;/C&gt;&lt;D xsi:type="xsd:double"&gt;1.0274876&lt;/D&gt;&lt;/FQL&gt;&lt;FQL&gt;&lt;Q&gt;CAT-US^P_BETA_LOCIDX(45082,44904,,"SPX")&lt;/Q&gt;&lt;R&gt;1&lt;/R&gt;&lt;C&gt;1&lt;/C&gt;&lt;D xsi:type="xsd:double"&gt;1.0301996&lt;/D&gt;&lt;/FQL&gt;&lt;FQL&gt;&lt;Q&gt;CAT-US^P_BETA_LOCIDX(45079,44903,,"SPX")&lt;/Q&gt;&lt;R&gt;1&lt;/R&gt;&lt;C&gt;1&lt;/C&gt;&lt;D xsi:type="xsd:double"&gt;1.0274652&lt;/D&gt;&lt;/FQL&gt;&lt;FQL&gt;&lt;Q&gt;CAT-US^P_BETA_LOCIDX(45078,44902,,"SPX")&lt;/Q&gt;&lt;R&gt;1&lt;/R&gt;&lt;C&gt;1&lt;/C&gt;&lt;D xsi:type="xsd:double"&gt;0.942113&lt;/D&gt;&lt;/FQL&gt;&lt;FQL&gt;&lt;Q&gt;CAT-US^P_BETA_LOCIDX(45077,44901,,"SPX")&lt;/Q&gt;&lt;R&gt;1&lt;/R&gt;&lt;C&gt;1&lt;/C&gt;&lt;D xsi:type="xsd:double"&gt;0.9402899&lt;/D&gt;&lt;/FQL&gt;&lt;FQL&gt;&lt;Q&gt;CAT-US^P_BETA_LOCIDX(45076,44900,,"SPX")&lt;/Q&gt;&lt;R&gt;1&lt;/R&gt;&lt;C&gt;1&lt;/C&gt;&lt;D xsi:type="xsd:double"&gt;0.928852&lt;/D&gt;&lt;/FQL&gt;&lt;FQL&gt;&lt;Q&gt;CAT-US^P_BETA_LOCIDX(45072,44897,,"SPX")&lt;/Q&gt;&lt;R&gt;1&lt;/R&gt;&lt;C&gt;1&lt;/C&gt;&lt;D xsi:type="xsd:double"&gt;0.9281467&lt;/D&gt;&lt;/FQL&gt;&lt;FQL&gt;&lt;Q&gt;CAT-US^P_BETA_LOCIDX(45071,44896,,"SPX")&lt;/Q&gt;&lt;R&gt;1&lt;/R&gt;&lt;C&gt;1&lt;/C&gt;&lt;D xsi:type="xsd:double"&gt;0.93088746&lt;/D&gt;&lt;/FQL&gt;&lt;FQL&gt;&lt;Q&gt;CAT-US^P_BETA_LOCIDX(45070,44895,,"SPX")&lt;/Q&gt;&lt;R&gt;1&lt;/R&gt;&lt;C&gt;1&lt;/C&gt;&lt;D xsi:type="xsd:double"&gt;0.88091385&lt;/D&gt;&lt;/FQL&gt;&lt;FQL&gt;&lt;Q&gt;CAT-US^P_BETA_LOCIDX(45069,44894,,"SPX")&lt;/Q&gt;&lt;R&gt;1&lt;/R&gt;&lt;C&gt;1&lt;/C&gt;&lt;D xsi:type="xsd:double"&gt;0.874541&lt;/D&gt;&lt;/FQL&gt;&lt;FQL&gt;&lt;Q&gt;CAT-US^P_BETA_LOCIDX(45068,44893,,"SPX")&lt;/Q&gt;&lt;R&gt;1&lt;/R&gt;&lt;C&gt;1&lt;/C&gt;&lt;D xsi:type="xsd:double"&gt;0.877718&lt;/D&gt;&lt;/FQL&gt;&lt;FQL&gt;&lt;Q&gt;CAT-US^P_BETA_LOCIDX(45065,44890,,"SPX")&lt;/Q&gt;&lt;R&gt;1&lt;/R&gt;&lt;C&gt;1&lt;/C&gt;&lt;D xsi:type="xsd:double"&gt;0.8778947&lt;/D&gt;&lt;/FQL&gt;&lt;FQL&gt;&lt;Q&gt;CAT-US^P_BETA_LOCIDX(45064,44888,,"SPX")&lt;/Q&gt;&lt;R&gt;1&lt;/R&gt;&lt;C&gt;1&lt;/C&gt;&lt;D xsi:type="xsd:double"&gt;0.875865&lt;/D&gt;&lt;/FQL&gt;&lt;FQL&gt;&lt;Q&gt;CAT-US^P_BETA_LOCIDX(45063,44887,,"SPX")&lt;/Q&gt;&lt;R&gt;1&lt;/R&gt;&lt;C&gt;1&lt;/C&gt;&lt;D xsi:type="xsd:double"&gt;0.88358814&lt;/D&gt;&lt;/FQL&gt;&lt;FQL&gt;&lt;Q&gt;CAT-US^P_BETA_LOCIDX(45062,44886,,"SPX")&lt;/Q&gt;&lt;R&gt;1&lt;/R&gt;&lt;C&gt;1&lt;/C&gt;&lt;D xsi:type="xsd:double"&gt;0.8682038&lt;/D&gt;&lt;/FQL&gt;&lt;FQL&gt;&lt;Q&gt;CAT-US^P_BETA_LOCIDX(45061,44883,,"SPX")&lt;/Q&gt;&lt;R&gt;1&lt;/R&gt;&lt;C&gt;1&lt;/C&gt;&lt;D xsi:type="xsd:double"&gt;0.8617901&lt;/D&gt;&lt;/FQL&gt;&lt;FQL&gt;&lt;Q&gt;CAT-US^P_BETA_LOCIDX(45058,44882,,"SPX")&lt;/Q&gt;&lt;R&gt;1&lt;/R&gt;&lt;C&gt;1&lt;/C&gt;&lt;D xsi:type="xsd:double"&gt;0.86176544&lt;/D&gt;&lt;/FQL&gt;&lt;FQL&gt;&lt;Q&gt;CAT-US^P_BETA_LOCIDX(45057,44881,,"SPX")&lt;/Q&gt;&lt;R&gt;1&lt;/R&gt;&lt;C&gt;1&lt;/C&gt;&lt;D xsi:type="xsd:double"&gt;0.8625064&lt;/D&gt;&lt;/FQL&gt;&lt;FQL&gt;&lt;Q&gt;CAT-US^P_BETA_LOCIDX(45056,44880,,"SPX")&lt;/Q&gt;&lt;R&gt;1&lt;/R&gt;&lt;C&gt;1&lt;/C&gt;&lt;D xsi:type="xsd:double"&gt;0.8511241&lt;/D&gt;&lt;/FQL&gt;&lt;FQL&gt;&lt;Q&gt;CAT-US^P_BETA_LOCIDX(45055,44879,,"SPX")&lt;/Q&gt;&lt;R&gt;1&lt;/R&gt;&lt;C&gt;1&lt;/C&gt;&lt;D xsi:type="xsd:double"&gt;0.84624773&lt;/D&gt;&lt;/FQL&gt;&lt;FQL&gt;&lt;Q&gt;CAT-US^P_BETA_LOCIDX(45054,44876,,"SPX")&lt;/Q&gt;&lt;R&gt;1&lt;/R&gt;&lt;C&gt;1&lt;/C&gt;&lt;D xsi:type="xsd:double"&gt;0.8529367&lt;/D&gt;&lt;/FQL&gt;&lt;FQL&gt;&lt;Q&gt;CAT-US^P_BETA_LOCIDX(45051,44875,,"SPX")&lt;/Q&gt;&lt;R&gt;1&lt;/R&gt;&lt;C&gt;1&lt;/C&gt;&lt;D xsi:type="xsd:double"&gt;0.7990726&lt;/D&gt;&lt;/FQL&gt;&lt;FQL&gt;&lt;Q&gt;CAT-US^P_BETA_LOCIDX(45050,44874,,"SPX")&lt;/Q&gt;&lt;R&gt;1&lt;/R&gt;&lt;C&gt;1&lt;/C&gt;&lt;D xsi:type="xsd:double"&gt;0.7908974&lt;/D&gt;&lt;/FQL&gt;&lt;FQL&gt;&lt;Q&gt;CAT-US^P_BETA_LOCIDX(45049,44873,,"SPX")&lt;/Q&gt;&lt;R&gt;1&lt;/R&gt;&lt;C&gt;1&lt;/C&gt;&lt;D xsi:type="xsd:double"&gt;0.78281695&lt;/D&gt;&lt;/FQL&gt;&lt;FQL&gt;&lt;Q&gt;CAT-US^P_BETA_LOCIDX(45048,44872,,"SPX")&lt;/Q&gt;&lt;R&gt;1&lt;/R&gt;&lt;C&gt;1&lt;/C&gt;&lt;D xsi:type="xsd:double"&gt;0.7851645&lt;/D&gt;&lt;/FQL&gt;&lt;FQL&gt;&lt;Q&gt;CAT-US^P_BETA_LOCIDX(45047,44869,,"SPX")&lt;/Q&gt;&lt;R&gt;1&lt;/R&gt;&lt;C&gt;1&lt;/C&gt;&lt;D xsi:type="xsd:double"&gt;0.8084472&lt;/D&gt;&lt;/FQL&gt;&lt;FQL&gt;&lt;Q&gt;CAT-US^P_BETA_LOCIDX(45044,44868,,"SPX")&lt;/Q&gt;&lt;R&gt;1&lt;/R&gt;&lt;C&gt;1&lt;/C&gt;&lt;D xsi:type="xsd:double"&gt;0.78579396&lt;/D&gt;&lt;/FQL&gt;&lt;FQL&gt;&lt;Q&gt;CAT-US^P_BETA_LOCIDX(45043,44867,,"SPX")&lt;/Q&gt;&lt;R&gt;1&lt;/R&gt;&lt;C&gt;1&lt;/C&gt;&lt;D xsi:type="xsd:double"&gt;0.7761732&lt;/D&gt;&lt;/FQL&gt;&lt;FQL&gt;&lt;Q&gt;CAT-US^P_BETA_LOCIDX(45042,44866,,"SPX")&lt;/Q&gt;&lt;R&gt;1&lt;/R&gt;&lt;C&gt;1&lt;/C&gt;&lt;D xsi:type="xsd:double"&gt;0.7994968&lt;/D&gt;&lt;/FQL&gt;&lt;FQL&gt;&lt;Q&gt;CAT-US^P_BETA_LOCIDX(45041,44865,,"SPX")&lt;/Q&gt;&lt;R&gt;1&lt;/R&gt;&lt;C&gt;1&lt;/C&gt;&lt;D xsi:type="xsd:double"&gt;0.800776&lt;/D&gt;&lt;/FQL&gt;&lt;FQL&gt;&lt;Q&gt;CAT-US^P_BETA_LOCIDX(45040,44862,,"SPX")&lt;/Q&gt;&lt;R&gt;1&lt;/R&gt;&lt;C&gt;1&lt;/C&gt;&lt;D xsi:type="xsd:double"&gt;0.8127558&lt;/D&gt;&lt;/FQL&gt;&lt;FQL&gt;&lt;Q&gt;CAT-US^P_BETA_LOCIDX(45037,44861,,"SPX")&lt;/Q&gt;&lt;R&gt;1&lt;/R&gt;&lt;C&gt;1&lt;/C&gt;&lt;D xsi:type="xsd:double"&gt;0.77973366&lt;/D&gt;&lt;/FQL&gt;&lt;FQL&gt;&lt;Q&gt;CAT-US^P_BETA_LOCIDX(45036,44860,,"SPX")&lt;/Q&gt;&lt;R&gt;1&lt;/R&gt;&lt;C&gt;1&lt;/C&gt;&lt;D xsi:type="xsd:double"&gt;0.7723004&lt;/D&gt;&lt;/FQL&gt;&lt;FQL&gt;&lt;Q&gt;CAT-US^P_BETA_LOCIDX(45035,44859,,"SPX")&lt;/Q&gt;&lt;R&gt;1&lt;/R&gt;&lt;C&gt;1&lt;/C&gt;&lt;D xsi:type="xsd:double"&gt;0.7742822&lt;/D&gt;&lt;/FQL&gt;&lt;FQL&gt;&lt;Q&gt;CAT-US^P_BETA_LOCIDX(45034,44858,,"SPX")&lt;/Q&gt;&lt;R&gt;1&lt;/R&gt;&lt;C&gt;1&lt;/C&gt;&lt;D xsi:type="xsd:double"&gt;0.7713082&lt;/D&gt;&lt;/FQL&gt;&lt;FQL&gt;&lt;Q&gt;CAT-US^P_BETA_LOCIDX(45033,44855,,"SPX")&lt;/Q&gt;&lt;R&gt;1&lt;/R&gt;&lt;C&gt;1&lt;/C&gt;&lt;D xsi:type="xsd:double"&gt;0.8150453&lt;/D&gt;&lt;/FQL&gt;&lt;FQL&gt;&lt;Q&gt;CAT-US^P_BETA_LOCIDX(45030,44854,,"SPX")&lt;/Q&gt;&lt;R&gt;1&lt;/R&gt;&lt;C&gt;1&lt;/C&gt;&lt;D xsi:type="xsd:double"&gt;0.8224632&lt;/D&gt;&lt;/FQL&gt;&lt;FQL&gt;&lt;Q&gt;CAT-US^P_BETA_LOCIDX(45029,44853,,"SPX")&lt;/Q&gt;&lt;R&gt;1&lt;/R&gt;&lt;C&gt;1&lt;/C&gt;&lt;D xsi:type="xsd:double"&gt;0.82019836&lt;/D&gt;&lt;/FQL&gt;&lt;FQL&gt;&lt;Q&gt;CAT-US^P_BETA_LOCIDX(45028,44852,,"SPX")&lt;/Q&gt;&lt;R&gt;1&lt;/R&gt;&lt;C&gt;1&lt;/C&gt;&lt;D xsi:type="xsd:double"&gt;0.8275438&lt;/D&gt;&lt;/FQL&gt;&lt;FQL&gt;&lt;Q&gt;CAT-US^P_BETA_LOCIDX(45027,44851,,"SPX")&lt;/Q&gt;&lt;R&gt;1&lt;/R&gt;&lt;C&gt;1&lt;/C&gt;&lt;D xsi:type="xsd:double"&gt;0.81676614&lt;/D&gt;&lt;/FQL&gt;&lt;FQL&gt;&lt;Q&gt;CAT-US^P_BETA_LOCIDX(45026,44848,,"SPX")&lt;/Q&gt;&lt;R&gt;1&lt;/R&gt;&lt;C&gt;1&lt;/C&gt;&lt;D xsi:type="xsd:double"&gt;0.8291947&lt;/D&gt;&lt;/FQL&gt;&lt;FQL&gt;&lt;Q&gt;CAT-US^P_BETA_LOCIDX(45022,44847,,"SPX")&lt;/Q&gt;&lt;R&gt;1&lt;/R&gt;&lt;C&gt;1&lt;/C&gt;&lt;D xsi:type="xsd:double"&gt;0.827081&lt;/D&gt;&lt;/FQL&gt;&lt;FQL&gt;&lt;Q&gt;CAT-US^P_BETA_LOCIDX(45021,44846,,"SPX")&lt;/Q&gt;&lt;R&gt;1&lt;/R&gt;&lt;C&gt;1&lt;/C&gt;&lt;D xsi:type="xsd:double"&gt;0.8297942&lt;/D&gt;&lt;/FQL&gt;&lt;FQL&gt;&lt;Q&gt;CAT-US^P_BETA_LOCIDX(45020,44845,,"SPX")&lt;/Q&gt;&lt;R&gt;1&lt;/R&gt;&lt;C&gt;1&lt;/C&gt;&lt;D xsi:type="xsd:double"&gt;0.8225821&lt;/D&gt;&lt;/FQL&gt;&lt;FQL&gt;&lt;Q&gt;CAT-US^P_BETA_LOCIDX(45019,44844,,"SPX")&lt;/Q&gt;&lt;R&gt;1&lt;/R&gt;&lt;C&gt;1&lt;/C&gt;&lt;D xsi:type="xsd:double"&gt;0.80007017&lt;/D&gt;&lt;/FQL&gt;&lt;FQL&gt;&lt;Q&gt;CAT-US^P_BETA_LOCIDX(45016,44841,,"SPX")&lt;/Q&gt;&lt;R&gt;1&lt;/R&gt;&lt;C&gt;1&lt;/C&gt;&lt;D xsi:type="xsd:double"&gt;0.780577&lt;/D&gt;&lt;/FQL&gt;&lt;FQL&gt;&lt;Q&gt;CAT-US^P_BETA_LOCIDX(45015,44840,,"SPX")&lt;/Q&gt;&lt;R&gt;1&lt;/R&gt;&lt;C&gt;1&lt;/C&gt;&lt;D xsi:type="xsd:double"&gt;0.77164656&lt;/D&gt;&lt;/FQL&gt;&lt;FQL&gt;&lt;Q&gt;CAT-US^P_BETA_LOCIDX(45014,44839,,"SPX")&lt;/Q&gt;&lt;R&gt;1&lt;/R&gt;&lt;C&gt;1&lt;/C&gt;&lt;D xsi:type="xsd:double"&gt;0.77229834&lt;/D&gt;&lt;/FQL&gt;&lt;FQL&gt;&lt;Q&gt;CAT-US^P_BETA_LOCIDX(45013,44838,,"SPX")&lt;/Q&gt;&lt;R&gt;1&lt;/R&gt;&lt;C&gt;1&lt;/C&gt;&lt;D xsi:type="xsd:double"&gt;0.8056171&lt;/D&gt;&lt;/FQL&gt;&lt;FQL&gt;&lt;Q&gt;CAT-US^P_BETA_LOCIDX(45012,44837,,"SPX")&lt;/Q&gt;&lt;R&gt;1&lt;/R&gt;&lt;C&gt;1&lt;/C&gt;&lt;D xsi:type="xsd:double"&gt;0.83066595&lt;/D&gt;&lt;/FQL&gt;&lt;FQL&gt;&lt;Q&gt;CAT-US^P_BETA_LOCIDX(45009,44834,,"SPX")&lt;/Q&gt;&lt;R&gt;1&lt;/R&gt;&lt;C&gt;1&lt;/C&gt;&lt;D xsi:type="xsd:double"&gt;0.8307564&lt;/D&gt;&lt;/FQL&gt;&lt;FQL&gt;&lt;Q&gt;CAT-US^P_BETA_LOCIDX(45008,44833,,"SPX")&lt;/Q&gt;&lt;R&gt;1&lt;/R&gt;&lt;C&gt;1&lt;/C&gt;&lt;D xsi:type="xsd:double"&gt;0.83012253&lt;/D&gt;&lt;/FQL&gt;&lt;FQL&gt;&lt;Q&gt;CAT-US^P_BETA_LOCIDX(45007,44832,,"SPX")&lt;/Q&gt;&lt;R&gt;1&lt;/R&gt;&lt;C&gt;1&lt;/C&gt;&lt;D xsi:type="xsd:double"&gt;0.8427436&lt;/D&gt;&lt;/FQL&gt;&lt;FQL&gt;&lt;Q&gt;CAT-US^P_BETA_LOCIDX(45006,44831,,"SPX")&lt;/Q&gt;&lt;R&gt;1&lt;/R&gt;&lt;C&gt;1&lt;/C&gt;&lt;D xsi:type="xsd:double"&gt;0.83506244&lt;/D&gt;&lt;/FQL&gt;&lt;FQL&gt;&lt;Q&gt;CAT-US^P_BETA_LOCIDX(45005,44830,,"SPX")&lt;/Q&gt;&lt;R&gt;1&lt;/R&gt;&lt;C&gt;1&lt;/C&gt;&lt;D xsi:type="xsd:double"&gt;0.83239836&lt;/D&gt;&lt;/FQL&gt;&lt;FQL&gt;&lt;Q&gt;CAT-US^P_BETA_LOCIDX(45002,44827,,"SPX")&lt;/Q&gt;&lt;R&gt;1&lt;/R&gt;&lt;C&gt;1&lt;/C&gt;&lt;D xsi:type="xsd:double"&gt;0.8458617&lt;/D&gt;&lt;/FQL&gt;&lt;FQL&gt;&lt;Q&gt;CAT-US^P_BETA_LOCIDX(45001,44826,,"SPX")&lt;/Q&gt;&lt;R&gt;1&lt;/R&gt;&lt;C&gt;1&lt;/C&gt;&lt;D xsi:type="xsd:double"&gt;0.84224296&lt;/D&gt;&lt;/FQL&gt;&lt;FQL&gt;&lt;Q&gt;CAT-US^P_BETA_LOCIDX(45000,44825,,"SPX")&lt;/Q&gt;&lt;R&gt;1&lt;/R&gt;&lt;C&gt;1&lt;/C&gt;&lt;D xsi:type="xsd:double"&gt;0.865904&lt;/D&gt;&lt;/FQL&gt;&lt;FQL&gt;&lt;Q&gt;CAT-US^P_BETA_LOCIDX(44999,44824,,"SPX")&lt;/Q&gt;&lt;R&gt;1&lt;/R&gt;&lt;C&gt;1&lt;/C&gt;&lt;D xsi:type="xsd:double"&gt;0.8629315&lt;/D&gt;&lt;/FQL&gt;&lt;FQL&gt;&lt;Q&gt;CAT-US^P_BETA_LOCIDX(44998,44823,,"SPX")&lt;/Q&gt;&lt;R&gt;1&lt;/R&gt;&lt;C&gt;1&lt;/C&gt;&lt;D xsi:type="xsd:double"&gt;0.87350565&lt;/D&gt;&lt;/FQL&gt;&lt;FQL&gt;&lt;Q&gt;CAT-US^P_BETA_LOCIDX(44995,44820,,"SPX")&lt;/Q&gt;&lt;R&gt;1&lt;/R&gt;&lt;C&gt;1&lt;/C&gt;&lt;D xsi:type="xsd:double"&gt;0.8766596&lt;/D&gt;&lt;/FQL&gt;&lt;FQL&gt;&lt;Q&gt;CAT-US^P_BETA_LOCIDX(44994,44819,,"SPX")&lt;/Q&gt;&lt;R&gt;1&lt;/R&gt;&lt;C&gt;1&lt;/C&gt;&lt;D xsi:type="xsd:double"&gt;0.8483468&lt;/D&gt;&lt;/FQL&gt;&lt;FQL&gt;&lt;Q&gt;CAT-US^P_BETA_LOCIDX(44993,44818,,"SPX")&lt;/Q&gt;&lt;R&gt;1&lt;/R&gt;&lt;C&gt;1&lt;/C&gt;&lt;D xsi:type="xsd:double"&gt;0.83291703&lt;/D&gt;&lt;/FQL&gt;&lt;FQL&gt;&lt;Q&gt;CAT-US^P_BETA_LOCIDX(44992,44817,,"SPX")&lt;/Q&gt;&lt;R&gt;1&lt;/R&gt;&lt;C&gt;1&lt;/C&gt;&lt;D xsi:type="xsd:double"&gt;0.84761095&lt;/D&gt;&lt;/FQL&gt;&lt;FQL&gt;&lt;Q&gt;CAT-US^P_BETA_LOCIDX(44991,44816,,"SPX")&lt;/Q&gt;&lt;R&gt;1&lt;/R&gt;&lt;C&gt;1&lt;/C&gt;&lt;D xsi:type="xsd:double"&gt;0.8364583&lt;/D&gt;&lt;/FQL&gt;&lt;FQL&gt;&lt;Q&gt;CAT-US^P_BETA_LOCIDX(44988,44813,,"SPX")&lt;/Q&gt;&lt;R&gt;1&lt;/R&gt;&lt;C&gt;1&lt;/C&gt;&lt;D xsi:type="xsd:double"&gt;0.84860116&lt;/D&gt;&lt;/FQL&gt;&lt;FQL&gt;&lt;Q&gt;CAT-US^P_BETA_LOCIDX(44987,44812,,"SPX")&lt;/Q&gt;&lt;R&gt;1&lt;/R&gt;&lt;C&gt;1&lt;/C&gt;&lt;D xsi:type="xsd:double"&gt;0.8524618&lt;/D&gt;&lt;/FQL&gt;&lt;FQL&gt;&lt;Q&gt;CAT-US^P_BETA_LOCIDX(44986,44811,,"SPX")&lt;/Q&gt;&lt;R&gt;1&lt;/R&gt;&lt;C&gt;1&lt;/C&gt;&lt;D xsi:type="xsd:double"&gt;0.83807516&lt;/D&gt;&lt;/FQL&gt;&lt;FQL&gt;&lt;Q&gt;CAT-US^P_BETA_LOCIDX(44985,44810,,"SPX")&lt;/Q&gt;&lt;R&gt;1&lt;/R&gt;&lt;C&gt;1&lt;/C&gt;&lt;D xsi:type="xsd:double"&gt;0.8460529&lt;/D&gt;&lt;/FQL&gt;&lt;FQL&gt;&lt;Q&gt;CAT-US^P_BETA_LOCIDX(44984,44806,,"SPX")&lt;/Q&gt;&lt;R&gt;1&lt;/R&gt;&lt;C&gt;1&lt;/C&gt;&lt;D xsi:type="xsd:double"&gt;0.84677273&lt;/D&gt;&lt;/FQL&gt;&lt;FQL&gt;&lt;Q&gt;CAT-US^P_BETA_LOCIDX(44981,44805,,"SPX")&lt;/Q&gt;&lt;R&gt;1&lt;/R&gt;&lt;C&gt;1&lt;/C&gt;&lt;D xsi:type="xsd:double"&gt;0.84342104&lt;/D&gt;&lt;/FQL&gt;&lt;FQL&gt;&lt;Q&gt;CAT-US^P_BETA_LOCIDX(44980,44804,,"SPX")&lt;/Q&gt;&lt;R&gt;1&lt;/R&gt;&lt;C&gt;1&lt;/C&gt;&lt;D xsi:type="xsd:double"&gt;0.8455439&lt;/D&gt;&lt;/FQL&gt;&lt;FQL&gt;&lt;Q&gt;CAT-US^P_BETA_LOCIDX(44979,44803,,"SPX")&lt;/Q&gt;&lt;R&gt;1&lt;/R&gt;&lt;C&gt;1&lt;/C&gt;&lt;D xsi:type="xsd:double"&gt;0.8549906&lt;/D&gt;&lt;/FQL&gt;&lt;FQL&gt;&lt;Q&gt;CAT-US^P_BETA_LOCIDX(44978,44802,,"SPX")&lt;/Q&gt;&lt;R&gt;1&lt;/R&gt;&lt;C&gt;1&lt;/C&gt;&lt;D xsi:type="xsd:double"&gt;0.85339534&lt;/D&gt;&lt;/FQL&gt;&lt;FQL&gt;&lt;Q&gt;CAT-US^P_BETA_LOCIDX(44974,44799,,"SPX")&lt;/Q&gt;&lt;R&gt;1&lt;/R&gt;&lt;C&gt;1&lt;/C&gt;&lt;D xsi:type="xsd:double"&gt;0.8537726&lt;/D&gt;&lt;/FQL&gt;&lt;FQL&gt;&lt;Q&gt;CAT-US^P_BETA_LOCIDX(44973,44798,,"SPX")&lt;/Q&gt;&lt;R&gt;1&lt;/R&gt;&lt;C&gt;1&lt;/C&gt;&lt;D xsi:type="xsd:double"&gt;0.85997546&lt;/D&gt;&lt;/FQL&gt;&lt;FQL&gt;&lt;Q&gt;CAT-US^P_BETA_LOCIDX(44972,44797,,"SPX")&lt;/Q&gt;&lt;R&gt;1&lt;/R&gt;&lt;C&gt;1&lt;/C&gt;&lt;D xsi:type="xsd:double"&gt;0.8582867&lt;/D&gt;&lt;/FQL&gt;&lt;FQL&gt;&lt;Q&gt;CAT-US^P_BETA_LOCIDX(44971,44796,,"SPX")&lt;/Q&gt;&lt;R&gt;1&lt;/R&gt;&lt;C&gt;1&lt;/C&gt;&lt;D xsi:type="xsd:double"&gt;0.85425186&lt;/D&gt;&lt;/FQL&gt;&lt;FQL&gt;&lt;Q&gt;CAT-US^P_BETA_LOCIDX(44970,44795,,"SPX")&lt;/Q&gt;&lt;R&gt;1&lt;/R&gt;&lt;C&gt;1&lt;/C&gt;&lt;D xsi:type="xsd:double"&gt;0.85697293&lt;/D&gt;&lt;/FQL&gt;&lt;FQL&gt;&lt;Q&gt;CAT-US^P_BETA_LOCIDX(44967,44792,,"SPX")&lt;/Q&gt;&lt;R&gt;1&lt;/R&gt;&lt;C&gt;1&lt;/C&gt;&lt;D xsi:type="xsd:double"&gt;0.8615722&lt;/D&gt;&lt;/FQL&gt;&lt;FQL&gt;&lt;Q&gt;CAT-US^P_BETA_LOCIDX(44966,44791,,"SPX")&lt;/Q&gt;&lt;R&gt;1&lt;/R&gt;&lt;C&gt;1&lt;/C&gt;&lt;D xsi:type="xsd:double"&gt;0.86172825&lt;/D&gt;&lt;/FQL&gt;&lt;FQL&gt;&lt;Q&gt;CAT-US^P_BETA_LOCIDX(44965,44790,,"SPX")&lt;/Q&gt;&lt;R&gt;1&lt;/R&gt;&lt;C&gt;1&lt;/C&gt;&lt;D xsi:type="xsd:double"&gt;0.8611458&lt;/D&gt;&lt;/FQL&gt;&lt;FQL&gt;&lt;Q&gt;CAT-US^P_BETA_LOCIDX(44964,44789,,"SPX")&lt;/Q&gt;&lt;R&gt;1&lt;/R&gt;&lt;C&gt;1&lt;/C&gt;&lt;D xsi:type="xsd:double"&gt;0.86319524&lt;/D&gt;&lt;/FQL&gt;&lt;FQL&gt;&lt;Q&gt;CAT-US^P_BETA_LOCIDX(44963,44788,,"SPX")&lt;/Q&gt;&lt;R&gt;1&lt;/R&gt;&lt;C&gt;1&lt;/C&gt;&lt;D xsi:type="xsd:double"&gt;0.8719999&lt;/D&gt;&lt;/FQL&gt;&lt;FQL&gt;&lt;Q&gt;CAT-US^P_BETA_LOCIDX(44960,44785,,"SPX")&lt;/Q&gt;&lt;R&gt;1&lt;/R&gt;&lt;C&gt;1&lt;/C&gt;&lt;D xsi:type="xsd:double"&gt;0.87426215&lt;/D&gt;&lt;/FQL&gt;&lt;FQL&gt;&lt;Q&gt;CAT-US^P_BETA_LOCIDX(44959,44784,,"SPX")&lt;/Q&gt;&lt;R&gt;1&lt;/R&gt;&lt;C&gt;1&lt;/C&gt;&lt;D xsi:type="xsd:double"&gt;0.8812991&lt;/D&gt;&lt;/FQL&gt;&lt;FQL&gt;&lt;Q&gt;CAT-US^P_BETA_LOCIDX(44958,44783,,"SPX")&lt;/Q&gt;&lt;R&gt;1&lt;/R&gt;&lt;C&gt;1&lt;/C&gt;&lt;D xsi:type="xsd:double"&gt;0.90378946&lt;/D&gt;&lt;/FQL&gt;&lt;FQL&gt;&lt;Q&gt;CAT-US^P_BETA_LOCIDX(44957,44782,,"SPX")&lt;/Q&gt;&lt;R&gt;1&lt;/R&gt;&lt;C&gt;1&lt;/C&gt;&lt;D xsi:type="xsd:double"&gt;0.9126599&lt;/D&gt;&lt;/FQL&gt;&lt;FQL&gt;&lt;Q&gt;CAT-US^P_BETA_LOCIDX(44956,44781,,"SPX")&lt;/Q&gt;&lt;R&gt;1&lt;/R&gt;&lt;C&gt;1&lt;/C&gt;&lt;D xsi:type="xsd:double"&gt;0.94229084&lt;/D&gt;&lt;/FQL&gt;&lt;FQL&gt;&lt;Q&gt;CAT-US^P_BETA_LOCIDX(44953,44778,,"SPX")&lt;/Q&gt;&lt;R&gt;1&lt;/R&gt;&lt;C&gt;1&lt;/C&gt;&lt;D xsi:type="xsd:double"&gt;0.94056594&lt;/D&gt;&lt;/FQL&gt;&lt;FQL&gt;&lt;Q&gt;CAT-US^P_BETA_LOCIDX(44952,44777,,"SPX")&lt;/Q&gt;&lt;R&gt;1&lt;/R&gt;&lt;C&gt;1&lt;/C&gt;&lt;D xsi:type="xsd:double"&gt;0.9401516&lt;/D&gt;&lt;/FQL&gt;&lt;FQL&gt;&lt;Q&gt;CAT-US^P_BETA_LOCIDX(44951,44776,,"SPX")&lt;/Q&gt;&lt;R&gt;1&lt;/R&gt;&lt;C&gt;1&lt;/C&gt;&lt;D xsi:type="xsd:double"&gt;0.92671615&lt;/D&gt;&lt;/FQL&gt;&lt;FQL&gt;&lt;Q&gt;CAT-US^P_BETA_LOCIDX(44950,44775,,"SPX")&lt;/Q&gt;&lt;R&gt;1&lt;/R&gt;&lt;C&gt;1&lt;/C&gt;&lt;D xsi:type="xsd:double"&gt;0.94084775&lt;/D&gt;&lt;/FQL&gt;&lt;FQL&gt;&lt;Q&gt;CAT-US^P_BETA_LOCIDX(44949,44774,,"SPX")&lt;/Q&gt;&lt;R&gt;1&lt;/R&gt;&lt;C&gt;1&lt;/C&gt;&lt;D xsi:type="xsd:double"&gt;0.943053&lt;/D&gt;&lt;/FQL&gt;&lt;FQL&gt;&lt;Q&gt;CAT-US^P_BETA_LOCIDX(44946,44771,,"SPX")&lt;/Q&gt;&lt;R&gt;1&lt;/R&gt;&lt;C&gt;1&lt;/C&gt;&lt;D xsi:type="xsd:double"&gt;0.96590805&lt;/D&gt;&lt;/FQL&gt;&lt;FQL&gt;&lt;Q&gt;CAT-US^P_BETA_LOCIDX(44945,44770,,"SPX")&lt;/Q&gt;&lt;R&gt;1&lt;/R&gt;&lt;C&gt;1&lt;/C&gt;&lt;D xsi:type="xsd:double"&gt;0.96932614&lt;/D&gt;&lt;/FQL&gt;&lt;FQL&gt;&lt;Q&gt;CAT-US^P_BETA_LOCIDX(44944,44769,,"SPX")&lt;/Q&gt;&lt;R&gt;1&lt;/R&gt;&lt;C&gt;1&lt;/C&gt;&lt;D xsi:type="xsd:double"&gt;0.9565502&lt;/D&gt;&lt;/FQL&gt;&lt;FQL&gt;&lt;Q&gt;CAT-US^P_BETA_LOCIDX(44943,44768,,"SPX")&lt;/Q&gt;&lt;R&gt;1&lt;/R&gt;&lt;C&gt;1&lt;/C&gt;&lt;D xsi:type="xsd:double"&gt;0.9534588&lt;/D&gt;&lt;/FQL&gt;&lt;FQL&gt;&lt;Q&gt;CAT-US^P_BETA_LOCIDX(44939,44767,,"SPX")&lt;/Q&gt;&lt;R&gt;1&lt;/R&gt;&lt;C&gt;1&lt;/C&gt;&lt;D xsi:type="xsd:double"&gt;0.953248&lt;/D&gt;&lt;/FQL&gt;&lt;FQL&gt;&lt;Q&gt;CAT-US^P_BETA_LOCIDX(44938,44764,,"SPX")&lt;/Q&gt;&lt;R&gt;1&lt;/R&gt;&lt;C&gt;1&lt;/C&gt;&lt;D xsi:type="xsd:double"&gt;0.9549153&lt;/D&gt;&lt;/FQL&gt;&lt;FQL&gt;&lt;Q&gt;CAT-US^P_BETA_LOCIDX(44937,44763,,"SPX")&lt;/Q&gt;&lt;R&gt;1&lt;/R&gt;&lt;C&gt;1&lt;/C&gt;&lt;D xsi:type="xsd:double"&gt;0.9510176&lt;/D&gt;&lt;/FQL&gt;&lt;FQL&gt;&lt;Q&gt;CAT-US^P_BETA_LOCIDX(44936,44762,,"SPX")&lt;/Q&gt;&lt;R&gt;1&lt;/R&gt;&lt;C&gt;1&lt;/C&gt;&lt;D xsi:type="xsd:double"&gt;0.95669097&lt;/D&gt;&lt;/FQL&gt;&lt;FQL&gt;&lt;Q&gt;CAT-US^P_BETA_LOCIDX(44935,44761,,"SPX")&lt;/Q&gt;&lt;R&gt;1&lt;/R&gt;&lt;C&gt;1&lt;/C&gt;&lt;D xsi:type="xsd:double"&gt;0.9605194&lt;/D&gt;&lt;/FQL&gt;&lt;FQL&gt;&lt;Q&gt;CAT-US^P_BETA_LOCIDX(44932,44760,,"SPX")&lt;/Q&gt;&lt;R&gt;1&lt;/R&gt;&lt;C&gt;1&lt;/C&gt;&lt;D xsi:type="xsd:double"&gt;0.9582807&lt;/D&gt;&lt;/FQL&gt;&lt;FQL&gt;&lt;Q&gt;CAT-US^P_BETA_LOCIDX(44931,44757,,"SPX")&lt;/Q&gt;&lt;R&gt;1&lt;/R&gt;&lt;C&gt;1&lt;/C&gt;&lt;D xsi:type="xsd:double"&gt;0.9482336&lt;/D&gt;&lt;/FQL&gt;&lt;FQL&gt;&lt;Q&gt;CAT-US^P_BETA_LOCIDX(44930,44756,,"SPX")&lt;/Q&gt;&lt;R&gt;1&lt;/R&gt;&lt;C&gt;1&lt;/C&gt;&lt;D xsi:type="xsd:double"&gt;0.9526196&lt;/D&gt;&lt;/FQL&gt;&lt;FQL&gt;&lt;Q&gt;CAT-US^P_BETA_LOCIDX(44929,44755,,"SPX")&lt;/Q&gt;&lt;R&gt;1&lt;/R&gt;&lt;C&gt;1&lt;/C&gt;&lt;D xsi:type="xsd:double"&gt;0.9528306&lt;/D&gt;&lt;/FQL&gt;&lt;FQL&gt;&lt;Q&gt;CAT-US^P_BETA_LOCIDX(44925,44754,,"SPX")&lt;/Q&gt;&lt;R&gt;1&lt;/R&gt;&lt;C&gt;1&lt;/C&gt;&lt;D xsi:type="xsd:double"&gt;0.95148104&lt;/D&gt;&lt;/FQL&gt;&lt;FQL&gt;&lt;Q&gt;CAT-US^P_BETA_LOCIDX(44924,44753,,"SPX")&lt;/Q&gt;&lt;R&gt;1&lt;/R&gt;&lt;C&gt;1&lt;/C&gt;&lt;D xsi:type="xsd:double"&gt;0.9574856&lt;/D&gt;&lt;/FQL&gt;&lt;FQL&gt;&lt;Q&gt;CAT-US^P_BETA_LOCIDX(44923,44750,,"SPX")&lt;/Q&gt;&lt;R&gt;1&lt;/R&gt;&lt;C&gt;1&lt;/C&gt;&lt;D xsi:type="xsd:double"&gt;0.96834403&lt;/D&gt;&lt;/FQL&gt;&lt;FQL&gt;&lt;Q&gt;CAT-US^P_BETA_LOCIDX(44922,44749,,"SPX")&lt;/Q&gt;&lt;R&gt;1&lt;/R&gt;&lt;C&gt;1&lt;/C&gt;&lt;D xsi:type="xsd:double"&gt;0.9817327&lt;/D&gt;&lt;/FQL&gt;&lt;FQL&gt;&lt;Q&gt;CAT-US^P_BETA_LOCIDX(44918,44748,,"SPX")&lt;/Q&gt;&lt;R&gt;1&lt;/R&gt;&lt;C&gt;1&lt;/C&gt;&lt;D xsi:type="xsd:double"&gt;0.9821197&lt;/D&gt;&lt;/FQL&gt;&lt;FQL&gt;&lt;Q&gt;CAT-US^P_BETA_LOCIDX(44917,44747,,"SPX")&lt;/Q&gt;&lt;R&gt;1&lt;/R&gt;&lt;C&gt;1&lt;/C&gt;&lt;D xsi:type="xsd:double"&gt;0.9801681&lt;/D&gt;&lt;/FQL&gt;&lt;FQL&gt;&lt;Q&gt;CAT-US^P_BETA_LOCIDX(44916,44743,,"SPX")&lt;/Q&gt;&lt;R&gt;1&lt;/R&gt;&lt;C&gt;1&lt;/C&gt;&lt;D xsi:type="xsd:double"&gt;0.9709661&lt;/D&gt;&lt;/FQL&gt;&lt;FQL&gt;&lt;Q&gt;CAT-US^P_BETA_LOCIDX(44915,44742,,"SPX")&lt;/Q&gt;&lt;R&gt;1&lt;/R&gt;&lt;C&gt;1&lt;/C&gt;&lt;D xsi:type="xsd:double"&gt;0.9713203&lt;/D&gt;&lt;/FQL&gt;&lt;FQL&gt;&lt;Q&gt;CAT-US^P_BETA_LOCIDX(44914,44741,,"SPX")&lt;/Q&gt;&lt;R&gt;1&lt;/R&gt;&lt;C&gt;1&lt;/C&gt;&lt;D xsi:type="xsd:double"&gt;0.9716943&lt;/D&gt;&lt;/FQL&gt;&lt;FQL&gt;&lt;Q&gt;CAT-US^P_BETA_LOCIDX(44911,44740,,"SPX")&lt;/Q&gt;&lt;R&gt;1&lt;/R&gt;&lt;C&gt;1&lt;/C&gt;&lt;D xsi:type="xsd:double"&gt;0.96055704&lt;/D&gt;&lt;/FQL&gt;&lt;FQL&gt;&lt;Q&gt;CAT-US^P_BETA_LOCIDX(44910,44739,,"SPX")&lt;/Q&gt;&lt;R&gt;1&lt;/R&gt;&lt;C&gt;1&lt;/C&gt;&lt;D xsi:type="xsd:double"&gt;0.9666486&lt;/D&gt;&lt;/FQL&gt;&lt;FQL&gt;&lt;Q&gt;CAT-US^P_BETA_LOCIDX(44909,44736,,"SPX")&lt;/Q&gt;&lt;R&gt;1&lt;/R&gt;&lt;C&gt;1&lt;/C&gt;&lt;D xsi:type="xsd:double"&gt;0.97976655&lt;/D&gt;&lt;/FQL&gt;&lt;FQL&gt;&lt;Q&gt;CAT-US^P_BETA_LOCIDX(44908,44735,,"SPX")&lt;/Q&gt;&lt;R&gt;1&lt;/R&gt;&lt;C&gt;1&lt;/C&gt;&lt;D xsi:type="xsd:double"&gt;0.959725&lt;/D&gt;&lt;/FQL&gt;&lt;FQL&gt;&lt;Q&gt;CAT-US^P_BETA_LOCIDX(44907,44734,,"SPX")&lt;/Q&gt;&lt;R&gt;1&lt;/R&gt;&lt;C&gt;1&lt;/C&gt;&lt;D xsi:type="xsd:double"&gt;0.96233624&lt;/D&gt;&lt;/FQL&gt;&lt;FQL&gt;&lt;Q&gt;CAT-US^P_BETA_LOCIDX(44904,44733,,"SPX")&lt;/Q&gt;&lt;R&gt;1&lt;/R&gt;&lt;C&gt;1&lt;/C&gt;&lt;D xsi:type="xsd:double"&gt;0.9523707&lt;/D&gt;&lt;/FQL&gt;&lt;FQL&gt;&lt;Q&gt;CAT-US^P_BETA_LOCIDX(44903,44729,,"SPX")&lt;/Q&gt;&lt;R&gt;1&lt;/R&gt;&lt;C&gt;1&lt;/C&gt;&lt;D xsi:type="xsd:double"&gt;0.9487035&lt;/D&gt;&lt;/FQL&gt;&lt;FQL&gt;&lt;Q&gt;CAT-US^P_BETA_LOCIDX(44902,44728,,"SPX")&lt;/Q&gt;&lt;R&gt;1&lt;/R&gt;&lt;C&gt;1&lt;/C&gt;&lt;D xsi:type="xsd:double"&gt;0.9774144&lt;/D&gt;&lt;/FQL&gt;&lt;FQL&gt;&lt;Q&gt;CAT-US^P_BETA_LOCIDX(44901,44727,,"SPX")&lt;/Q&gt;&lt;R&gt;1&lt;/R&gt;&lt;C&gt;1&lt;/C&gt;&lt;D xsi:type="xsd:double"&gt;0.9686565&lt;/D&gt;&lt;/FQL&gt;&lt;FQL&gt;&lt;Q&gt;CAT-US^P_BETA_LOCIDX(44900,44726,,"SPX")&lt;/Q&gt;&lt;R&gt;1&lt;/R&gt;&lt;C&gt;1&lt;/C&gt;&lt;D xsi:type="xsd:double"&gt;0.9656281&lt;/D&gt;&lt;/FQL&gt;&lt;FQL&gt;&lt;Q&gt;CAT-US^P_BETA_LOCIDX(44897,44725,,"SPX")&lt;/Q&gt;&lt;R&gt;1&lt;/R&gt;&lt;C&gt;1&lt;/C&gt;&lt;D xsi:type="xsd:double"&gt;0.96896464&lt;/D&gt;&lt;/FQL&gt;&lt;FQL&gt;&lt;Q&gt;CAT-US^P_BETA_LOCIDX(44896,44722,,"SPX")&lt;/Q&gt;&lt;R&gt;1&lt;/R&gt;&lt;C&gt;1&lt;/C&gt;&lt;D xsi:type="xsd:double"&gt;0.9791521&lt;/D&gt;&lt;/FQL&gt;&lt;FQL&gt;&lt;Q&gt;CAT-US^P_BETA_LOCIDX(44895,44721,,"SPX")&lt;/Q&gt;&lt;R&gt;1&lt;/R&gt;&lt;C&gt;1&lt;/C&gt;&lt;D xsi:type="xsd:double"&gt;0.9820526&lt;/D&gt;&lt;/FQL&gt;&lt;FQL&gt;&lt;Q&gt;CAT-US^P_BETA_LOCIDX(44894,44720,,"SPX")&lt;/Q&gt;&lt;R&gt;1&lt;/R&gt;&lt;C&gt;1&lt;/C&gt;&lt;D xsi:type="xsd:double"&gt;1.0008649&lt;/D&gt;&lt;/FQL&gt;&lt;FQL&gt;&lt;Q&gt;CAT-US^P_BETA_LOCIDX(44893,44719,,"SPX")&lt;/Q&gt;&lt;R&gt;1&lt;/R&gt;&lt;C&gt;1&lt;/C&gt;&lt;D xsi:type="xsd:double"&gt;1.0031389&lt;/D&gt;&lt;/FQL&gt;&lt;FQL&gt;&lt;Q&gt;CAT-US^P_BETA_LOCIDX(44890,44718,,"SPX")&lt;/Q&gt;&lt;R&gt;1&lt;/R&gt;&lt;C&gt;1&lt;/C&gt;&lt;D xsi:type="xsd:double"&gt;1.0032187&lt;/D&gt;&lt;/FQL&gt;&lt;FQL&gt;&lt;Q&gt;CAT-US^P_BETA_LOCIDX(44888,44715,,"SPX")&lt;/Q&gt;&lt;R&gt;1&lt;/R&gt;&lt;C&gt;1&lt;/C&gt;&lt;D xsi:type="xsd:double"&gt;0.98763007&lt;/D&gt;&lt;/FQL&gt;&lt;FQL&gt;&lt;Q&gt;CAT-US^P_BETA_LOCIDX(44887,44714,,"SPX")&lt;/Q&gt;&lt;R&gt;1&lt;/R&gt;&lt;C&gt;1&lt;/C&gt;&lt;D xsi:type="xsd:double"&gt;0.9843291&lt;/D&gt;&lt;/FQL&gt;&lt;FQL&gt;&lt;Q&gt;CAT-US^P_BETA_LOCIDX(44886,44713,,"SPX")&lt;/Q&gt;&lt;R&gt;1&lt;/R&gt;&lt;C&gt;1&lt;/C&gt;&lt;D xsi:type="xsd:double"&gt;0.9774498&lt;/D&gt;&lt;/FQL&gt;&lt;FQL&gt;&lt;Q&gt;CAT-US^P_BETA_LOCIDX(44883,44712,,"SPX")&lt;/Q&gt;&lt;R&gt;1&lt;/R&gt;&lt;C&gt;1&lt;/C&gt;&lt;D xsi:type="xsd:double"&gt;0.97833914&lt;/D&gt;&lt;/FQL&gt;&lt;FQL&gt;&lt;Q&gt;CAT-US^P_BETA_LOCIDX(44882,44708,,"SPX")&lt;/Q&gt;&lt;R&gt;1&lt;/R&gt;&lt;C&gt;1&lt;/C&gt;&lt;D xsi:type="xsd:double"&gt;0.9738911&lt;/D&gt;&lt;/FQL&gt;&lt;FQL&gt;&lt;Q&gt;CAT-US^P_BETA_LOCIDX(44881,44707,,"SPX")&lt;/Q&gt;&lt;R&gt;1&lt;/R&gt;&lt;C&gt;1&lt;/C&gt;&lt;D xsi:type="xsd:double"&gt;0.97144264&lt;/D&gt;&lt;/FQL&gt;&lt;FQL&gt;&lt;Q&gt;CAT-US^P_BETA_LOCIDX(44880,44706,,"SPX")&lt;/Q&gt;&lt;R&gt;1&lt;/R&gt;&lt;C&gt;1&lt;/C&gt;&lt;D xsi:type="xsd:double"&gt;0.97306246&lt;/D&gt;&lt;/FQL&gt;&lt;FQL&gt;&lt;Q&gt;CAT-US^P_BETA_LOCIDX(44879,44705,,"SPX")&lt;/Q&gt;&lt;R&gt;1&lt;/R&gt;&lt;C&gt;1&lt;/C&gt;&lt;D xsi:type="xsd:double"&gt;0.974233&lt;/D&gt;&lt;/FQL&gt;&lt;FQL&gt;&lt;Q&gt;CAT-US^P_BETA_LOCIDX(44876,44704,,"SPX")&lt;/Q&gt;&lt;R&gt;1&lt;/R&gt;&lt;C&gt;1&lt;/C&gt;&lt;D xsi:type="xsd:double"&gt;0.9836884&lt;/D&gt;&lt;/FQL&gt;&lt;FQL&gt;&lt;Q&gt;CAT-US^P_BETA_LOCIDX(44875,44701,,"SPX")&lt;/Q&gt;&lt;R&gt;1&lt;/R&gt;&lt;C&gt;1&lt;/C&gt;&lt;D xsi:type="xsd:double"&gt;0.98185956&lt;/D&gt;&lt;/FQL&gt;&lt;FQL&gt;&lt;Q&gt;CAT-US^P_BETA_LOCIDX(44874,44700,,"SPX")&lt;/Q&gt;&lt;R&gt;1&lt;/R&gt;&lt;C&gt;1&lt;/C&gt;&lt;D xsi:type="xsd:double"&gt;1.0309414&lt;/D&gt;&lt;/FQL&gt;&lt;FQL&gt;&lt;Q&gt;CAT-US^P_BETA_LOCIDX(44873,44699,,"SPX")&lt;/Q&gt;&lt;R&gt;1&lt;/R&gt;&lt;C&gt;1&lt;/C&gt;&lt;D xsi:type="xsd:double"&gt;1.0099789&lt;/D&gt;&lt;/FQL&gt;&lt;FQL&gt;&lt;Q&gt;CAT-US^P_BETA_LOCIDX(44872,44698,,"SPX")&lt;/Q&gt;&lt;R&gt;1&lt;/R&gt;&lt;C&gt;1&lt;/C&gt;&lt;D xsi:type="xsd:double"&gt;1.0149754&lt;/D&gt;&lt;/FQL&gt;&lt;FQL&gt;&lt;Q&gt;CAT-US^P_BETA_LOCIDX(44869,44697,,"SPX")&lt;/Q&gt;&lt;R&gt;1&lt;/R&gt;&lt;C&gt;1&lt;/C&gt;&lt;D xsi:type="xsd:double"&gt;1.0156406&lt;/D&gt;&lt;/FQL&gt;&lt;FQL&gt;&lt;Q&gt;CAT-US^P_BETA_LOCIDX(44868,44694,,"SPX")&lt;/Q&gt;&lt;R&gt;1&lt;/R&gt;&lt;C&gt;1&lt;/C&gt;&lt;D xsi:type="xsd:double"&gt;0.9890283&lt;/D&gt;&lt;/FQL&gt;&lt;FQL&gt;&lt;Q&gt;CAT-US^P_BETA_LOCIDX(44867,44693,,"SPX")&lt;/Q&gt;&lt;R&gt;1&lt;/R&gt;&lt;C&gt;1&lt;/C&gt;&lt;D xsi:type="xsd:double"&gt;1.0001483&lt;/D&gt;&lt;/FQL&gt;&lt;FQL&gt;&lt;Q&gt;CAT-US^P_BETA_LOCIDX(44866,44692,,"SPX")&lt;/Q&gt;&lt;R&gt;1&lt;/R&gt;&lt;C&gt;1&lt;/C&gt;&lt;D xsi:type="xsd:double"&gt;0.9906112&lt;/D&gt;&lt;/FQL&gt;&lt;FQL&gt;&lt;Q&gt;CAT-US^P_BETA_LOCIDX(44865,44691,,"SPX")&lt;/Q&gt;&lt;R&gt;1&lt;/R&gt;&lt;C&gt;1&lt;/C&gt;&lt;D xsi:type="xsd:double"&gt;0.9905767&lt;/D&gt;&lt;/FQL&gt;&lt;FQL&gt;&lt;Q&gt;CAT-US^P_BETA_LOCIDX(44862,44690,,"SPX")&lt;/Q&gt;&lt;R&gt;1&lt;/R&gt;&lt;C&gt;1&lt;/C&gt;&lt;D xsi:type="xsd:double"&gt;0.9973473&lt;/D&gt;&lt;/FQL&gt;&lt;FQL&gt;&lt;Q&gt;CAT-US^P_BETA_LOCIDX(44861,44687,,"SPX")&lt;/Q&gt;&lt;R&gt;1&lt;/R&gt;&lt;C&gt;1&lt;/C&gt;&lt;D xsi:type="xsd:double"&gt;0.99031055&lt;/D&gt;&lt;/FQL&gt;&lt;FQL&gt;&lt;Q&gt;CAT-US^P_BETA_LOCIDX(44860,44686,,"SPX")&lt;/Q&gt;&lt;R&gt;1&lt;/R&gt;&lt;C&gt;1&lt;/C&gt;&lt;D xsi:type="xsd:double"&gt;0.9989654&lt;/D&gt;&lt;/FQL&gt;&lt;FQL&gt;&lt;Q&gt;CAT-US^P_BETA_LOCIDX(44859,44685,,"SPX")&lt;/Q&gt;&lt;R&gt;1&lt;/R&gt;&lt;C&gt;1&lt;/C&gt;&lt;D xsi:type="xsd:double"&gt;1.0143044&lt;/D&gt;&lt;/FQL&gt;&lt;FQL&gt;&lt;Q&gt;CAT-US^P_BETA_LOCIDX(44858,44684,,"SPX")&lt;/Q&gt;&lt;R&gt;1&lt;/R&gt;&lt;C&gt;1&lt;/C&gt;&lt;D xsi:type="xsd:double"&gt;1.0136614&lt;/D&gt;&lt;/FQL&gt;&lt;FQL&gt;&lt;Q&gt;CAT-US^P_BETA_LOCIDX(44855,44683,,"SPX")&lt;/Q&gt;&lt;R&gt;1&lt;/R&gt;&lt;C&gt;1&lt;/C&gt;&lt;D xsi:type="xsd:double"&gt;1.0164871&lt;/D&gt;&lt;/FQL&gt;&lt;FQL&gt;&lt;Q&gt;CAT-US^P_BETA_LOCIDX(44854,44680,,"SPX")&lt;/Q&gt;&lt;R&gt;1&lt;/R&gt;&lt;C&gt;1&lt;/C&gt;&lt;D xsi:type="xsd:double"&gt;0.9636663&lt;/D&gt;&lt;/FQL&gt;&lt;FQL&gt;&lt;Q&gt;CAT-US^P_BETA_LOCIDX(44853,44679,,"SPX")&lt;/Q&gt;&lt;R&gt;1&lt;/R&gt;&lt;C&gt;1&lt;/C&gt;&lt;D xsi:type="xsd:double"&gt;0.9367376&lt;/D&gt;&lt;/FQL&gt;&lt;FQL&gt;&lt;Q&gt;CAT-US^P_BETA_LOCIDX(44852,44678,,"SPX")&lt;/Q&gt;&lt;R&gt;1&lt;/R&gt;&lt;C&gt;1&lt;/C&gt;&lt;D xsi:type="xsd:double"&gt;0.9400852&lt;/D&gt;&lt;/FQL&gt;&lt;FQL&gt;&lt;Q&gt;CAT-US^P_BETA_LOCIDX(44851,44677,,"SPX")&lt;/Q&gt;&lt;R&gt;1&lt;/R&gt;&lt;C&gt;1&lt;/C&gt;&lt;D xsi:type="xsd:double"&gt;0.9407569&lt;/D&gt;&lt;/FQL&gt;&lt;FQL&gt;&lt;Q&gt;CAT-US^P_BETA_LOCIDX(44848,44676,,"SPX")&lt;/Q&gt;&lt;R&gt;1&lt;/R&gt;&lt;C&gt;1&lt;/C&gt;&lt;D xsi:type="xsd:double"&gt;0.9485904&lt;/D&gt;&lt;/FQL&gt;&lt;FQL&gt;&lt;Q&gt;CAT-US^P_BETA_LOCIDX(44847,44673,,"SPX")&lt;/Q&gt;&lt;R&gt;1&lt;/R&gt;&lt;C&gt;1&lt;/C&gt;&lt;D xsi:type="xsd:double"&gt;0.98035914&lt;/D&gt;&lt;/FQL&gt;&lt;FQL&gt;&lt;Q&gt;CAT-US^P_BETA_LOCIDX(44846,44672,,"SPX")&lt;/Q&gt;&lt;R&gt;1&lt;/R&gt;&lt;C&gt;1&lt;/C&gt;&lt;D xsi:type="xsd:double"&gt;0.9827645&lt;/D&gt;&lt;/FQL&gt;&lt;FQL&gt;&lt;Q&gt;CAT-US^P_BETA_LOCIDX(44845,44671,,"SPX")&lt;/Q&gt;&lt;R&gt;1&lt;/R&gt;&lt;C&gt;1&lt;/C&gt;&lt;D xsi:type="xsd:double"&gt;0.98330694&lt;/D&gt;&lt;/FQL&gt;&lt;FQL&gt;&lt;Q&gt;CAT-US^P_BETA_LOCIDX(44844,44670,,"SPX")&lt;/Q&gt;&lt;R&gt;1&lt;/R&gt;&lt;C&gt;1&lt;/C&gt;&lt;D xsi:type="xsd:double"&gt;0.9821318&lt;/D&gt;&lt;/FQL&gt;&lt;FQL&gt;&lt;Q&gt;CAT-US^P_BETA_LOCIDX(44841,44669,,"SPX")&lt;/Q&gt;&lt;R&gt;1&lt;/R&gt;&lt;C&gt;1&lt;/C&gt;&lt;D xsi:type="xsd:double"&gt;0.985104&lt;/D&gt;&lt;/FQL&gt;&lt;FQL&gt;&lt;Q&gt;CAT-US^P_BETA_LOCIDX(44840,44665,,"SPX")&lt;/Q&gt;&lt;R&gt;1&lt;/R&gt;&lt;C&gt;1&lt;/C&gt;&lt;D xsi:type="xsd:double"&gt;0.9835646&lt;/D&gt;&lt;/FQL&gt;&lt;FQL&gt;&lt;Q&gt;CAT-US^P_BETA_LOCIDX(44839,44664,,"SPX")&lt;/Q&gt;&lt;R&gt;1&lt;/R&gt;&lt;C&gt;1&lt;/C&gt;&lt;D xsi:type="xsd:double"&gt;0.9857527&lt;/D&gt;&lt;/FQL&gt;&lt;FQL&gt;&lt;Q&gt;CAT-US^P_BETA_LOCIDX(44838,44663,,"SPX")&lt;/Q&gt;&lt;R&gt;1&lt;/R&gt;&lt;C&gt;1&lt;/C&gt;&lt;D xsi:type="xsd:double"&gt;0.9851484&lt;/D&gt;&lt;/FQL&gt;&lt;FQL&gt;&lt;Q&gt;CAT-US^P_BETA_LOCIDX(44837,44662,,"SPX")&lt;/Q&gt;&lt;R&gt;1&lt;/R&gt;&lt;C&gt;1&lt;/C&gt;&lt;D xsi:type="xsd:double"&gt;0.95965225&lt;/D&gt;&lt;/FQL&gt;&lt;FQL&gt;&lt;Q&gt;CAT-US^P_BETA_LOCIDX(44834,44659,,"SPX")&lt;/Q&gt;&lt;R&gt;1&lt;/R&gt;&lt;C&gt;1&lt;/C&gt;&lt;D xsi:type="xsd:double"&gt;0.9423022&lt;/D&gt;&lt;/FQL&gt;&lt;FQL&gt;&lt;Q&gt;CAT-US^P_BETA_LOCIDX(44833,44658,,"SPX")&lt;/Q&gt;&lt;R&gt;1&lt;/R&gt;&lt;C&gt;1&lt;/C&gt;&lt;D xsi:type="xsd:double"&gt;0.9429156&lt;/D&gt;&lt;/FQL&gt;&lt;FQL&gt;&lt;Q&gt;CAT-US^P_BETA_LOCIDX(44832,44657,,"SPX")&lt;/Q&gt;&lt;R&gt;1&lt;/R&gt;&lt;C&gt;1&lt;/C&gt;&lt;D xsi:type="xsd:double"&gt;0.9460894&lt;/D&gt;&lt;/FQL&gt;&lt;FQL&gt;&lt;Q&gt;CAT-US^P_BETA_LOCIDX(44831,44656,,"SPX")&lt;/Q&gt;&lt;R&gt;1&lt;/R&gt;&lt;C&gt;1&lt;/C&gt;&lt;D xsi:type="xsd:double"&gt;0.9390339&lt;/D&gt;&lt;/FQL&gt;&lt;FQL&gt;&lt;Q&gt;CAT-US^P_BETA_LOCIDX(44830,44655,,"SPX")&lt;/Q&gt;&lt;R&gt;1&lt;/R&gt;&lt;C&gt;1&lt;/C&gt;&lt;D xsi:type="xsd:double"&gt;0.9383269&lt;/D&gt;&lt;/FQL&gt;&lt;FQL&gt;&lt;Q&gt;CAT-US^P_BETA_LOCIDX(44827,44652,,"SPX")&lt;/Q&gt;&lt;R&gt;1&lt;/R&gt;&lt;C&gt;1&lt;/C&gt;&lt;D xsi:type="xsd:double"&gt;0.9357742&lt;/D&gt;&lt;/FQL&gt;&lt;FQL&gt;&lt;Q&gt;CAT-US^P_BETA_LOCIDX(44826,44651,,"SPX")&lt;/Q&gt;&lt;R&gt;1&lt;/R&gt;&lt;C&gt;1&lt;/C&gt;&lt;D xsi:type="xsd:double"&gt;0.918479&lt;/D&gt;&lt;/FQL&gt;&lt;FQL&gt;&lt;Q&gt;CAT-US^P_BETA_LOCIDX(44825,44650,,"SPX")&lt;/Q&gt;&lt;R&gt;1&lt;/R&gt;&lt;C&gt;1&lt;/C&gt;&lt;D xsi:type="xsd:double"&gt;0.9160287&lt;/D&gt;&lt;/FQL&gt;&lt;FQL&gt;&lt;Q&gt;CAT-US^P_BETA_LOCIDX(44824,44649,,"SPX")&lt;/Q&gt;&lt;R&gt;1&lt;/R&gt;&lt;C&gt;1&lt;/C&gt;&lt;D xsi:type="xsd:double"&gt;0.89996576&lt;/D&gt;&lt;/FQL&gt;&lt;FQL&gt;&lt;Q&gt;CAT-US^P_BETA_LOCIDX(44823,44648,,"SPX")&lt;/Q&gt;&lt;R&gt;1&lt;/R&gt;&lt;C&gt;1&lt;/C&gt;&lt;D xsi:type="xsd:double"&gt;0.89229447&lt;/D&gt;&lt;/FQL&gt;&lt;FQL&gt;&lt;Q&gt;CAT-US^P_BETA_LOCIDX(44820,44645,,"SPX")&lt;/Q&gt;&lt;R&gt;1&lt;/R&gt;&lt;C&gt;1&lt;/C&gt;&lt;D xsi:type="xsd:double"&gt;0.89008915&lt;/D&gt;&lt;/FQL&gt;&lt;FQL&gt;&lt;Q&gt;CAT-US^P_BETA_LOCIDX(44819,44644,,"SPX")&lt;/Q&gt;&lt;R&gt;1&lt;/R&gt;&lt;C&gt;1&lt;/C&gt;&lt;D xsi:type="xsd:double"&gt;0.8818919&lt;/D&gt;&lt;/FQL&gt;&lt;FQL&gt;&lt;Q&gt;CAT-US^P_BETA_LOCIDX(44818,44643,,"SPX")&lt;/Q&gt;&lt;R&gt;1&lt;/R&gt;&lt;C&gt;1&lt;/C&gt;&lt;D xsi:type="xsd:double"&gt;0.8781134&lt;/D&gt;&lt;/FQL&gt;&lt;FQL&gt;&lt;Q&gt;CAT-US^P_BETA_LOCIDX(44817,44642,,"SPX")&lt;/Q&gt;&lt;R&gt;1&lt;/R&gt;&lt;C&gt;1&lt;/C&gt;&lt;D xsi:type="xsd:double"&gt;0.8725392&lt;/D&gt;&lt;/FQL&gt;&lt;FQL&gt;&lt;Q&gt;CAT-US^P_BETA_LOCIDX(44816,44641,,"SPX")&lt;/Q&gt;&lt;R&gt;1&lt;/R&gt;&lt;C&gt;1&lt;/C&gt;&lt;D xsi:type="xsd:double"&gt;0.86692&lt;/D&gt;&lt;/FQL&gt;&lt;FQL&gt;&lt;Q&gt;CAT-US^P_BETA_LOCIDX(44813,44638,,"SPX")&lt;/Q&gt;&lt;R&gt;1&lt;/R&gt;&lt;C&gt;1&lt;/C&gt;&lt;D xsi:type="xsd:double"&gt;0.8585937&lt;/D&gt;&lt;/FQL&gt;&lt;FQL&gt;&lt;Q&gt;CAT-US^P_BETA_LOCIDX(44812,44637,,"SPX")&lt;/Q&gt;&lt;R&gt;1&lt;/R&gt;&lt;C&gt;1&lt;/C&gt;&lt;D xsi:type="xsd:double"&gt;0.85350674&lt;/D&gt;&lt;/FQL&gt;&lt;FQL&gt;&lt;Q&gt;CAT-US^P_BETA_LOCIDX(44811,44636,,"SPX")&lt;/Q&gt;&lt;R&gt;1&lt;/R&gt;&lt;C&gt;1&lt;/C&gt;&lt;D xsi:type="xsd:double"&gt;0.83551705&lt;/D&gt;&lt;/FQL&gt;&lt;FQL&gt;&lt;Q&gt;CAT-US^P_BETA_LOCIDX(44810,44635,,"SPX")&lt;/Q&gt;&lt;R&gt;1&lt;/R&gt;&lt;C&gt;1&lt;/C&gt;&lt;D xsi:type="xsd:double"&gt;0.83490336&lt;/D&gt;&lt;/FQL&gt;&lt;FQL&gt;&lt;Q&gt;CAT-US^P_BETA_LOCIDX(44806,44634,,"SPX")&lt;/Q&gt;&lt;R&gt;1&lt;/R&gt;&lt;C&gt;1&lt;/C&gt;&lt;D xsi:type="xsd:double"&gt;0.83293104&lt;/D&gt;&lt;/FQL&gt;&lt;FQL&gt;&lt;Q&gt;CAT-US^P_BETA_LOCIDX(44805,44631,,"SPX")&lt;/Q&gt;&lt;R&gt;1&lt;/R&gt;&lt;C&gt;1&lt;/C&gt;&lt;D xsi:type="xsd:double"&gt;0.8220286&lt;/D&gt;&lt;/FQL&gt;&lt;FQL&gt;&lt;Q&gt;CAT-US^P_BETA_LOCIDX(44804,44630,,"SPX")&lt;/Q&gt;&lt;R&gt;1&lt;/R&gt;&lt;C&gt;1&lt;/C&gt;&lt;D xsi:type="xsd:doub</t>
        </r>
      </text>
    </comment>
    <comment ref="A21" authorId="0" shapeId="0" xr:uid="{5C4F68CD-DAA5-448E-A77E-601872B061AE}">
      <text>
        <r>
          <rPr>
            <b/>
            <sz val="9"/>
            <color indexed="81"/>
            <rFont val="Tahoma"/>
            <charset val="1"/>
          </rPr>
          <t>le"&gt;0.8219649&lt;/D&gt;&lt;/FQL&gt;&lt;FQL&gt;&lt;Q&gt;CAT-US^P_BETA_LOCIDX(44803,44629,,"SPX")&lt;/Q&gt;&lt;R&gt;1&lt;/R&gt;&lt;C&gt;1&lt;/C&gt;&lt;D xsi:type="xsd:double"&gt;0.8014935&lt;/D&gt;&lt;/FQL&gt;&lt;FQL&gt;&lt;Q&gt;CAT-US^P_BETA_LOCIDX(44802,44628,,"SPX")&lt;/Q&gt;&lt;R&gt;1&lt;/R&gt;&lt;C&gt;1&lt;/C&gt;&lt;D xsi:type="xsd:double"&gt;0.7780489&lt;/D&gt;&lt;/FQL&gt;&lt;FQL&gt;&lt;Q&gt;CAT-US^P_BETA_LOCIDX(44799,44627,,"SPX")&lt;/Q&gt;&lt;R&gt;1&lt;/R&gt;&lt;C&gt;1&lt;/C&gt;&lt;D xsi:type="xsd:double"&gt;0.7519106&lt;/D&gt;&lt;/FQL&gt;&lt;FQL&gt;&lt;Q&gt;CAT-US^P_BETA_LOCIDX(44798,44624,,"SPX")&lt;/Q&gt;&lt;R&gt;1&lt;/R&gt;&lt;C&gt;1&lt;/C&gt;&lt;D xsi:type="xsd:double"&gt;0.7377915&lt;/D&gt;&lt;/FQL&gt;&lt;FQL&gt;&lt;Q&gt;CAT-US^P_BETA_LOCIDX(44797,44623,,"SPX")&lt;/Q&gt;&lt;R&gt;1&lt;/R&gt;&lt;C&gt;1&lt;/C&gt;&lt;D xsi:type="xsd:double"&gt;0.7286133&lt;/D&gt;&lt;/FQL&gt;&lt;FQL&gt;&lt;Q&gt;CAT-US^P_BETA_LOCIDX(44796,44622,,"SPX")&lt;/Q&gt;&lt;R&gt;1&lt;/R&gt;&lt;C&gt;1&lt;/C&gt;&lt;D xsi:type="xsd:double"&gt;0.7558435&lt;/D&gt;&lt;/FQL&gt;&lt;FQL&gt;&lt;Q&gt;CAT-US^P_BETA_LOCIDX(44795,44621,,"SPX")&lt;/Q&gt;&lt;R&gt;1&lt;/R&gt;&lt;C&gt;1&lt;/C&gt;&lt;D xsi:type="xsd:double"&gt;0.7652196&lt;/D&gt;&lt;/FQL&gt;&lt;FQL&gt;&lt;Q&gt;CAT-US^P_BETA_LOCIDX(44792,44620,,"SPX")&lt;/Q&gt;&lt;R&gt;1&lt;/R&gt;&lt;C&gt;1&lt;/C&gt;&lt;D xsi:type="xsd:double"&gt;0.76204085&lt;/D&gt;&lt;/FQL&gt;&lt;FQL&gt;&lt;Q&gt;CAT-US^P_BETA_LOCIDX(44791,44617,,"SPX")&lt;/Q&gt;&lt;R&gt;1&lt;/R&gt;&lt;C&gt;1&lt;/C&gt;&lt;D xsi:type="xsd:double"&gt;0.75838286&lt;/D&gt;&lt;/FQL&gt;&lt;FQL&gt;&lt;Q&gt;CAT-US^P_BETA_LOCIDX(44790,44616,,"SPX")&lt;/Q&gt;&lt;R&gt;1&lt;/R&gt;&lt;C&gt;1&lt;/C&gt;&lt;D xsi:type="xsd:double"&gt;0.74680287&lt;/D&gt;&lt;/FQL&gt;&lt;FQL&gt;&lt;Q&gt;CAT-US^P_BETA_LOCIDX(44789,44615,,"SPX")&lt;/Q&gt;&lt;R&gt;1&lt;/R&gt;&lt;C&gt;1&lt;/C&gt;&lt;D xsi:type="xsd:double"&gt;0.7525121&lt;/D&gt;&lt;/FQL&gt;&lt;FQL&gt;&lt;Q&gt;CAT-US^P_BETA_LOCIDX(44788,44614,,"SPX")&lt;/Q&gt;&lt;R&gt;1&lt;/R&gt;&lt;C&gt;1&lt;/C&gt;&lt;D xsi:type="xsd:double"&gt;0.75099844&lt;/D&gt;&lt;/FQL&gt;&lt;FQL&gt;&lt;Q&gt;CAT-US^P_BETA_LOCIDX(44785,44610,,"SPX")&lt;/Q&gt;&lt;R&gt;1&lt;/R&gt;&lt;C&gt;1&lt;/C&gt;&lt;D xsi:type="xsd:double"&gt;0.7542599&lt;/D&gt;&lt;/FQL&gt;&lt;FQL&gt;&lt;Q&gt;CAT-US^P_BETA_LOCIDX(44784,44609,,"SPX")&lt;/Q&gt;&lt;R&gt;1&lt;/R&gt;&lt;C&gt;1&lt;/C&gt;&lt;D xsi:type="xsd:double"&gt;0.77289146&lt;/D&gt;&lt;/FQL&gt;&lt;FQL&gt;&lt;Q&gt;CAT-US^P_BETA_LOCIDX(44783,44608,,"SPX")&lt;/Q&gt;&lt;R&gt;1&lt;/R&gt;&lt;C&gt;1&lt;/C&gt;&lt;D xsi:type="xsd:double"&gt;0.77309805&lt;/D&gt;&lt;/FQL&gt;&lt;FQL&gt;&lt;Q&gt;CAT-US^P_BETA_LOCIDX(44782,44607,,"SPX")&lt;/Q&gt;&lt;R&gt;1&lt;/R&gt;&lt;C&gt;1&lt;/C&gt;&lt;D xsi:type="xsd:double"&gt;0.76969683&lt;/D&gt;&lt;/FQL&gt;&lt;FQL&gt;&lt;Q&gt;CAT-US^P_BETA_LOCIDX(44781,44606,,"SPX")&lt;/Q&gt;&lt;R&gt;1&lt;/R&gt;&lt;C&gt;1&lt;/C&gt;&lt;D xsi:type="xsd:double"&gt;0.7706938&lt;/D&gt;&lt;/FQL&gt;&lt;FQL&gt;&lt;Q&gt;CAT-US^P_BETA_LOCIDX(44778,44603,,"SPX")&lt;/Q&gt;&lt;R&gt;1&lt;/R&gt;&lt;C&gt;1&lt;/C&gt;&lt;D xsi:type="xsd:double"&gt;0.76731724&lt;/D&gt;&lt;/FQL&gt;&lt;FQL&gt;&lt;Q&gt;CAT-US^P_BETA_LOCIDX(44777,44602,,"SPX")&lt;/Q&gt;&lt;R&gt;1&lt;/R&gt;&lt;C&gt;1&lt;/C&gt;&lt;D xsi:type="xsd:double"&gt;0.761194&lt;/D&gt;&lt;/FQL&gt;&lt;FQL&gt;&lt;Q&gt;CAT-US^P_BETA_LOCIDX(44776,44601,,"SPX")&lt;/Q&gt;&lt;R&gt;1&lt;/R&gt;&lt;C&gt;1&lt;/C&gt;&lt;D xsi:type="xsd:double"&gt;0.7609533&lt;/D&gt;&lt;/FQL&gt;&lt;FQL&gt;&lt;Q&gt;CAT-US^P_BETA_LOCIDX(44775,44600,,"SPX")&lt;/Q&gt;&lt;R&gt;1&lt;/R&gt;&lt;C&gt;1&lt;/C&gt;&lt;D xsi:type="xsd:double"&gt;0.7696636&lt;/D&gt;&lt;/FQL&gt;&lt;FQL&gt;&lt;Q&gt;CAT-US^P_BETA_LOCIDX(44774,44599,,"SPX")&lt;/Q&gt;&lt;R&gt;1&lt;/R&gt;&lt;C&gt;1&lt;/C&gt;&lt;D xsi:type="xsd:double"&gt;0.75817806&lt;/D&gt;&lt;/FQL&gt;&lt;FQL&gt;&lt;Q&gt;CAT-US^P_BETA_LOCIDX(45845,45670,,"SPX")&lt;/Q&gt;&lt;R&gt;1&lt;/R&gt;&lt;C&gt;1&lt;/C&gt;&lt;D xsi:type="xsd:double"&gt;1.1386212&lt;/D&gt;&lt;/FQL&gt;&lt;FQL&gt;&lt;Q&gt;TSM-US^P_BETA_LOCIDX(45841,45665,,"SPX")&lt;/Q&gt;&lt;R&gt;1&lt;/R&gt;&lt;C&gt;1&lt;/C&gt;&lt;D xsi:type="xsd:double"&gt;1.469121&lt;/D&gt;&lt;/FQL&gt;&lt;FQL&gt;&lt;Q&gt;TSM-US^P_BETA_LOCIDX(45840,45664,,"SPX")&lt;/Q&gt;&lt;R&gt;1&lt;/R&gt;&lt;C&gt;1&lt;/C&gt;&lt;D xsi:type="xsd:double"&gt;1.4805121&lt;/D&gt;&lt;/FQL&gt;&lt;FQL&gt;&lt;Q&gt;TSM-US^P_BETA_LOCIDX(45839,45663,,"SPX")&lt;/Q&gt;&lt;R&gt;1&lt;/R&gt;&lt;C&gt;1&lt;/C&gt;&lt;D xsi:type="xsd:double"&gt;1.483841&lt;/D&gt;&lt;/FQL&gt;&lt;FQL&gt;&lt;Q&gt;TSM-US^P_BETA_LOCIDX(45838,45660,,"SPX")&lt;/Q&gt;&lt;R&gt;1&lt;/R&gt;&lt;C&gt;1&lt;/C&gt;&lt;D xsi:type="xsd:double"&gt;1.4900249&lt;/D&gt;&lt;/FQL&gt;&lt;FQL&gt;&lt;Q&gt;TSM-US^P_BETA_LOCIDX(45835,45659,,"SPX")&lt;/Q&gt;&lt;R&gt;1&lt;/R&gt;&lt;C&gt;1&lt;/C&gt;&lt;D xsi:type="xsd:double"&gt;1.4905938&lt;/D&gt;&lt;/FQL&gt;&lt;FQL&gt;&lt;Q&gt;TSM-US^P_BETA_LOCIDX(45834,45657,,"SPX")&lt;/Q&gt;&lt;R&gt;1&lt;/R&gt;&lt;C&gt;1&lt;/C&gt;&lt;D xsi:type="xsd:double"&gt;1.4901333&lt;/D&gt;&lt;/FQL&gt;&lt;FQL&gt;&lt;Q&gt;TSM-US^P_BETA_LOCIDX(45833,45656,,"SPX")&lt;/Q&gt;&lt;R&gt;1&lt;/R&gt;&lt;C&gt;1&lt;/C&gt;&lt;D xsi:type="xsd:double"&gt;1.48856&lt;/D&gt;&lt;/FQL&gt;&lt;FQL&gt;&lt;Q&gt;TSM-US^P_BETA_LOCIDX(45832,45653,,"SPX")&lt;/Q&gt;&lt;R&gt;1&lt;/R&gt;&lt;C&gt;1&lt;/C&gt;&lt;D xsi:type="xsd:double"&gt;1.4853247&lt;/D&gt;&lt;/FQL&gt;&lt;FQL&gt;&lt;Q&gt;TSM-US^P_BETA_LOCIDX(45831,45652,,"SPX")&lt;/Q&gt;&lt;R&gt;1&lt;/R&gt;&lt;C&gt;1&lt;/C&gt;&lt;D xsi:type="xsd:double"&gt;1.4745136&lt;/D&gt;&lt;/FQL&gt;&lt;FQL&gt;&lt;Q&gt;TSM-US^P_BETA_LOCIDX(45828,45650,,"SPX")&lt;/Q&gt;&lt;R&gt;1&lt;/R&gt;&lt;C&gt;1&lt;/C&gt;&lt;D xsi:type="xsd:double"&gt;1.4698409&lt;/D&gt;&lt;/FQL&gt;&lt;FQL&gt;&lt;Q&gt;TSM-US^P_BETA_LOCIDX(45826,45649,,"SPX")&lt;/Q&gt;&lt;R&gt;1&lt;/R&gt;&lt;C&gt;1&lt;/C&gt;&lt;D xsi:type="xsd:double"&gt;1.4784336&lt;/D&gt;&lt;/FQL&gt;&lt;FQL&gt;&lt;Q&gt;TSM-US^P_BETA_LOCIDX(45825,45646,,"SPX")&lt;/Q&gt;&lt;R&gt;1&lt;/R&gt;&lt;C&gt;1&lt;/C&gt;&lt;D xsi:type="xsd:double"&gt;1.4770348&lt;/D&gt;&lt;/FQL&gt;&lt;FQL&gt;&lt;Q&gt;TSM-US^P_BETA_LOCIDX(45824,45645,,"SPX")&lt;/Q&gt;&lt;R&gt;1&lt;/R&gt;&lt;C&gt;1&lt;/C&gt;&lt;D xsi:type="xsd:double"&gt;1.4781841&lt;/D&gt;&lt;/FQL&gt;&lt;FQL&gt;&lt;Q&gt;TSM-US^P_BETA_LOCIDX(45821,45644,,"SPX")&lt;/Q&gt;&lt;R&gt;1&lt;/R&gt;&lt;C&gt;1&lt;/C&gt;&lt;D xsi:type="xsd:double"&gt;1.4587469&lt;/D&gt;&lt;/FQL&gt;&lt;FQL&gt;&lt;Q&gt;TSM-US^P_BETA_LOCIDX(45820,45643,,"SPX")&lt;/Q&gt;&lt;R&gt;1&lt;/R&gt;&lt;C&gt;1&lt;/C&gt;&lt;D xsi:type="xsd:double"&gt;1.4574198&lt;/D&gt;&lt;/FQL&gt;&lt;FQL&gt;&lt;Q&gt;TSM-US^P_BETA_LOCIDX(45819,45642,,"SPX")&lt;/Q&gt;&lt;R&gt;1&lt;/R&gt;&lt;C&gt;1&lt;/C&gt;&lt;D xsi:type="xsd:double"&gt;1.4574126&lt;/D&gt;&lt;/FQL&gt;&lt;FQL&gt;&lt;Q&gt;TSM-US^P_BETA_LOCIDX(45818,45639,,"SPX")&lt;/Q&gt;&lt;R&gt;1&lt;/R&gt;&lt;C&gt;1&lt;/C&gt;&lt;D xsi:type="xsd:double"&gt;1.4582368&lt;/D&gt;&lt;/FQL&gt;&lt;FQL&gt;&lt;Q&gt;TSM-US^P_BETA_LOCIDX(45817,45638,,"SPX")&lt;/Q&gt;&lt;R&gt;1&lt;/R&gt;&lt;C&gt;1&lt;/C&gt;&lt;D xsi:type="xsd:double"&gt;1.4567952&lt;/D&gt;&lt;/FQL&gt;&lt;FQL&gt;&lt;Q&gt;TSM-US^P_BETA_LOCIDX(45814,45637,,"SPX")&lt;/Q&gt;&lt;R&gt;1&lt;/R&gt;&lt;C&gt;1&lt;/C&gt;&lt;D xsi:type="xsd:double"&gt;1.4568785&lt;/D&gt;&lt;/FQL&gt;&lt;FQL&gt;&lt;Q&gt;TSM-US^P_BETA_LOCIDX(45813,45636,,"SPX")&lt;/Q&gt;&lt;R&gt;1&lt;/R&gt;&lt;C&gt;1&lt;/C&gt;&lt;D xsi:type="xsd:double"&gt;1.4625111&lt;/D&gt;&lt;/FQL&gt;&lt;FQL&gt;&lt;Q&gt;TSM-US^P_BETA_LOCIDX(45812,45635,,"SPX")&lt;/Q&gt;&lt;R&gt;1&lt;/R&gt;&lt;C&gt;1&lt;/C&gt;&lt;D xsi:type="xsd:double"&gt;1.4667647&lt;/D&gt;&lt;/FQL&gt;&lt;FQL&gt;&lt;Q&gt;TSM-US^P_BETA_LOCIDX(45811,45632,,"SPX")&lt;/Q&gt;&lt;R&gt;1&lt;/R&gt;&lt;C&gt;1&lt;/C&gt;&lt;D xsi:type="xsd:double"&gt;1.465802&lt;/D&gt;&lt;/FQL&gt;&lt;FQL&gt;&lt;Q&gt;TSM-US^P_BETA_LOCIDX(45810,45631,,"SPX")&lt;/Q&gt;&lt;R&gt;1&lt;/R&gt;&lt;C&gt;1&lt;/C&gt;&lt;D xsi:type="xsd:double"&gt;1.4634831&lt;/D&gt;&lt;/FQL&gt;&lt;FQL&gt;&lt;Q&gt;TSM-US^P_BETA_LOCIDX(45807,45630,,"SPX")&lt;/Q&gt;&lt;R&gt;1&lt;/R&gt;&lt;C&gt;1&lt;/C&gt;&lt;D xsi:type="xsd:double"&gt;1.4632376&lt;/D&gt;&lt;/FQL&gt;&lt;FQL&gt;&lt;Q&gt;TSM-US^P_BETA_LOCIDX(45806,45629,,"SPX")&lt;/Q&gt;&lt;R&gt;1&lt;/R&gt;&lt;C&gt;1&lt;/C&gt;&lt;D xsi:type="xsd:double"&gt;1.4636114&lt;/D&gt;&lt;/FQL&gt;&lt;FQL&gt;&lt;Q&gt;TSM-US^P_BETA_LOCIDX(45805,45628,,"SPX")&lt;/Q&gt;&lt;R&gt;1&lt;/R&gt;&lt;C&gt;1&lt;/C&gt;&lt;D xsi:type="xsd:double"&gt;1.4679356&lt;/D&gt;&lt;/FQL&gt;&lt;FQL&gt;&lt;Q&gt;TSM-US^P_BETA_LOCIDX(45804,45625,,"SPX")&lt;/Q&gt;&lt;R&gt;1&lt;/R&gt;&lt;C&gt;1&lt;/C&gt;&lt;D xsi:type="xsd:double"&gt;1.469649&lt;/D&gt;&lt;/FQL&gt;&lt;FQL&gt;&lt;Q&gt;TSM-US^P_BETA_LOCIDX(45800,45623,,"SPX")&lt;/Q&gt;&lt;R&gt;1&lt;/R&gt;&lt;C&gt;1&lt;/C&gt;&lt;D xsi:type="xsd:double"&gt;1.472&lt;/D&gt;&lt;/FQL&gt;&lt;FQL&gt;&lt;Q&gt;TSM-US^P_BETA_LOCIDX(45799,45622,,"SPX")&lt;/Q&gt;&lt;R&gt;1&lt;/R&gt;&lt;C&gt;1&lt;/C&gt;&lt;D xsi:type="xsd:double"&gt;1.4658934&lt;/D&gt;&lt;/FQL&gt;&lt;FQL&gt;&lt;Q&gt;TSM-US^P_BETA_LOCIDX(45798,45621,,"SPX")&lt;/Q&gt;&lt;R&gt;1&lt;/R&gt;&lt;C&gt;1&lt;/C&gt;&lt;D xsi:type="xsd:double"&gt;1.4628491&lt;/D&gt;&lt;/FQL&gt;&lt;FQL&gt;&lt;Q&gt;TSM-US^P_BETA_LOCIDX(45797,45618,,"SPX")&lt;/Q&gt;&lt;R&gt;1&lt;/R&gt;&lt;C&gt;1&lt;/C&gt;&lt;D xsi:type="xsd:double"&gt;1.469446&lt;/D&gt;&lt;/FQL&gt;&lt;FQL&gt;&lt;Q&gt;TSM-US^P_BETA_LOCIDX(45796,45617,,"SPX")&lt;/Q&gt;&lt;R&gt;1&lt;/R&gt;&lt;C&gt;1&lt;/C&gt;&lt;D xsi:type="xsd:double"&gt;1.4713936&lt;/D&gt;&lt;/FQL&gt;&lt;FQL&gt;&lt;Q&gt;TSM-US^P_BETA_LOCIDX(45793,45616,,"SPX")&lt;/Q&gt;&lt;R&gt;1&lt;/R&gt;&lt;C&gt;1&lt;/C&gt;&lt;D xsi:type="xsd:double"&gt;1.4715642&lt;/D&gt;&lt;/FQL&gt;&lt;FQL&gt;&lt;Q&gt;TSM-US^P_BETA_LOCIDX(45792,45615,,"SPX")&lt;/Q&gt;&lt;R&gt;1&lt;/R&gt;&lt;C&gt;1&lt;/C&gt;&lt;D xsi:type="xsd:double"&gt;1.4748172&lt;/D&gt;&lt;/FQL&gt;&lt;FQL&gt;&lt;Q&gt;TSM-US^P_BETA_LOCIDX(45791,45614,,"SPX")&lt;/Q&gt;&lt;R&gt;1&lt;/R&gt;&lt;C&gt;1&lt;/C&gt;&lt;D xsi:type="xsd:double"&gt;1.4763163&lt;/D&gt;&lt;/FQL&gt;&lt;FQL&gt;&lt;Q&gt;TSM-US^P_BETA_LOCIDX(45790,45611,,"SPX")&lt;/Q&gt;&lt;R&gt;1&lt;/R&gt;&lt;C&gt;1&lt;/C&gt;&lt;D xsi:type="xsd:double"&gt;1.473701&lt;/D&gt;&lt;/FQL&gt;&lt;FQL&gt;&lt;Q&gt;TSM-US^P_BETA_LOCIDX(45789,45610,,"SPX")&lt;/Q&gt;&lt;R&gt;1&lt;/R&gt;&lt;C&gt;1&lt;/C&gt;&lt;D xsi:type="xsd:double"&gt;1.4634272&lt;/D&gt;&lt;/FQL&gt;&lt;FQL&gt;&lt;Q&gt;TSM-US^P_BETA_LOCIDX(45786,45609,,"SPX")&lt;/Q&gt;&lt;R&gt;1&lt;/R&gt;&lt;C&gt;1&lt;/C&gt;&lt;D xsi:type="xsd:double"&gt;1.4499763&lt;/D&gt;&lt;/FQL&gt;&lt;FQL&gt;&lt;Q&gt;TSM-US^P_BETA_LOCIDX(45785,45608,,"SPX")&lt;/Q&gt;&lt;R&gt;1&lt;/R&gt;&lt;C&gt;1&lt;/C&gt;&lt;D xsi:type="xsd:double"&gt;1.4507852&lt;/D&gt;&lt;/FQL&gt;&lt;FQL&gt;&lt;Q&gt;TSM-US^P_BETA_LOCIDX(45784,45607,,"SPX")&lt;/Q&gt;&lt;R&gt;1&lt;/R&gt;&lt;C&gt;1&lt;/C&gt;&lt;D xsi:type="xsd:double"&gt;1.4500053&lt;/D&gt;&lt;/FQL&gt;&lt;FQL&gt;&lt;Q&gt;TSM-US^P_BETA_LOCIDX(45783,45604,,"SPX")&lt;/Q&gt;&lt;R&gt;1&lt;/R&gt;&lt;C&gt;1&lt;/C&gt;&lt;D xsi:type="xsd:double"&gt;1.4480449&lt;/D&gt;&lt;/FQL&gt;&lt;FQL&gt;&lt;Q&gt;TSM-US^P_BETA_LOCIDX(45782,45603,,"SPX")&lt;/Q&gt;&lt;R&gt;1&lt;/R&gt;&lt;C&gt;1&lt;/C&gt;&lt;D xsi:type="xsd:double"&gt;1.4533151&lt;/D&gt;&lt;/FQL&gt;&lt;FQL&gt;&lt;Q&gt;TSM-US^P_BETA_LOCIDX(45779,45602,,"SPX")&lt;/Q&gt;&lt;R&gt;1&lt;/R&gt;&lt;C&gt;1&lt;/C&gt;&lt;D xsi:type="xsd:double"&gt;1.4076807&lt;/D&gt;&lt;/FQL&gt;&lt;FQL&gt;&lt;Q&gt;TSM-US^P_BETA_LOCIDX(45778,45601,,"SPX")&lt;/Q&gt;&lt;R&gt;1&lt;/R&gt;&lt;C&gt;1&lt;/C&gt;&lt;D xsi:type="xsd:double"&gt;1.400755&lt;/D&gt;&lt;/FQL&gt;&lt;FQL&gt;&lt;Q&gt;TSM-US^P_BETA_LOCIDX(45777,45600,,"SPX")&lt;/Q&gt;&lt;R&gt;1&lt;/R&gt;&lt;C&gt;1&lt;/C&gt;&lt;D xsi:type="xsd:double"&gt;1.3948166&lt;/D&gt;&lt;/FQL&gt;&lt;FQL&gt;&lt;Q&gt;TSM-US^P_BETA_LOCIDX(45776,45597,,"SPX")&lt;/Q&gt;&lt;R&gt;1&lt;/R&gt;&lt;C&gt;1&lt;/C&gt;&lt;D xsi:type="xsd:double"&gt;1.3952585&lt;/D&gt;&lt;/FQL&gt;&lt;FQL&gt;&lt;Q&gt;TSM-US^P_BETA_LOCIDX(45775,45596,,"SPX")&lt;/Q&gt;&lt;R&gt;1&lt;/R&gt;&lt;C&gt;1&lt;/C&gt;&lt;D xsi:type="xsd:double"&gt;1.3914388&lt;/D&gt;&lt;/FQL&gt;&lt;FQL&gt;&lt;Q&gt;TSM-US^P_BETA_LOCIDX(45772,45595,,"SPX")&lt;/Q&gt;&lt;R&gt;1&lt;/R&gt;&lt;C&gt;1&lt;/C&gt;&lt;D xsi:type="xsd:double"&gt;1.3925537&lt;/D&gt;&lt;/FQL&gt;&lt;FQL&gt;&lt;Q&gt;TSM-US^P_BETA_LOCIDX(45771,45594,,"SPX")&lt;/Q&gt;&lt;R&gt;1&lt;/R&gt;&lt;C&gt;1&lt;/C&gt;&lt;D xsi:type="xsd:double"&gt;1.3943522&lt;/D&gt;&lt;/FQL&gt;&lt;FQL&gt;&lt;Q&gt;TSM-US^P_BETA_LOCIDX(45770,45593,,"SPX")&lt;/Q&gt;&lt;R&gt;1&lt;/R&gt;&lt;C&gt;1&lt;/C&gt;&lt;D xsi:type="xsd:double"&gt;1.3800111&lt;/D&gt;&lt;/FQL&gt;&lt;FQL&gt;&lt;Q&gt;TSM-US^P_BETA_LOCIDX(45769,45590,,"SPX")&lt;/Q&gt;&lt;R&gt;1&lt;/R&gt;&lt;C&gt;1&lt;/C&gt;&lt;D xsi:type="xsd:double"&gt;1.3679104&lt;/D&gt;&lt;/FQL&gt;&lt;FQL&gt;&lt;Q&gt;TSM-US^P_BETA_LOCIDX(45768,45589,,"SPX")&lt;/Q&gt;&lt;R&gt;1&lt;/R&gt;&lt;C&gt;1&lt;/C&gt;&lt;D xsi:type="xsd:double"&gt;1.3751632&lt;/D&gt;&lt;/FQL&gt;&lt;FQL&gt;&lt;Q&gt;TSM-US^P_BETA_LOCIDX(45764,45588,,"SPX")&lt;/Q&gt;&lt;R&gt;1&lt;/R&gt;&lt;C&gt;1&lt;/C&gt;&lt;D xsi:type="xsd:double"&gt;1.3736991&lt;/D&gt;&lt;/FQL&gt;&lt;FQL&gt;&lt;Q&gt;TSM-US^P_BETA_LOCIDX(45763,45587,,"SPX")&lt;/Q&gt;&lt;R&gt;1&lt;/R&gt;&lt;C&gt;1&lt;/C&gt;&lt;D xsi:type="xsd:double"&gt;1.373587&lt;/D&gt;&lt;/FQL&gt;&lt;FQL&gt;&lt;Q&gt;TSM-US^P_BETA_LOCIDX(45762,45586,,"SPX")&lt;/Q&gt;&lt;R&gt;1&lt;/R&gt;&lt;C&gt;1&lt;/C&gt;&lt;D xsi:type="xsd:double"&gt;1.3695849&lt;/D&gt;&lt;/FQL&gt;&lt;FQL&gt;&lt;Q&gt;TSM-US^P_BETA_LOCIDX(45761,45583,,"SPX")&lt;/Q&gt;&lt;R&gt;1&lt;/R&gt;&lt;C&gt;1&lt;/C&gt;&lt;D xsi:type="xsd:double"&gt;1.3651881&lt;/D&gt;&lt;/FQL&gt;&lt;FQL&gt;&lt;Q&gt;TSM-US^P_BETA_LOCIDX(45758,45582,,"SPX")&lt;/Q&gt;&lt;R&gt;1&lt;/R&gt;&lt;C&gt;1&lt;/C&gt;&lt;D xsi:type="xsd:double"&gt;1.372488&lt;/D&gt;&lt;/FQL&gt;&lt;FQL&gt;&lt;Q&gt;TSM-US^P_BETA_LOCIDX(45757,45581,,"SPX")&lt;/Q&gt;&lt;R&gt;1&lt;/R&gt;&lt;C&gt;1&lt;/C&gt;&lt;D xsi:type="xsd:double"&gt;1.3610257&lt;/D&gt;&lt;/FQL&gt;&lt;FQL&gt;&lt;Q&gt;TSM-US^P_BETA_LOCIDX(45756,45580,,"SPX")&lt;/Q&gt;&lt;R&gt;1&lt;/R&gt;&lt;C&gt;1&lt;/C&gt;&lt;D xsi:type="xsd:double"&gt;1.3646917&lt;/D&gt;&lt;/FQL&gt;&lt;FQL&gt;&lt;Q&gt;TSM-US^P_BETA_LOCIDX(45755,45579,,"SPX")&lt;/Q&gt;&lt;R&gt;1&lt;/R&gt;&lt;C&gt;1&lt;/C&gt;&lt;D xsi:type="xsd:double"&gt;1.4025612&lt;/D&gt;&lt;/FQL&gt;&lt;FQL&gt;&lt;Q&gt;TSM-US^P_BETA_LOCIDX(45754,45576,,"SPX")&lt;/Q&gt;&lt;R&gt;1&lt;/R&gt;&lt;C&gt;1&lt;/C&gt;&lt;D xsi:type="xsd:double"&gt;1.4013093&lt;/D&gt;&lt;/FQL&gt;&lt;FQL&gt;&lt;Q&gt;TSM-US^P_BETA_LOCIDX(45751,45575,,"SPX")&lt;/Q&gt;&lt;R&gt;1&lt;/R&gt;&lt;C&gt;1&lt;/C&gt;&lt;D xsi:type="xsd:double"&gt;1.4015155&lt;/D&gt;&lt;/FQL&gt;&lt;FQL&gt;&lt;Q&gt;TSM-US^P_BETA_LOCIDX(45750,45574,,"SPX")&lt;/Q&gt;&lt;R&gt;1&lt;/R&gt;&lt;C&gt;1&lt;/C&gt;&lt;D xsi:type="xsd:double"&gt;1.4792125&lt;/D&gt;&lt;/FQL&gt;&lt;FQL&gt;&lt;Q&gt;TSM-US^P_BETA_LOCIDX(45749,45573,,"SPX")&lt;/Q&gt;&lt;R&gt;1&lt;/R&gt;&lt;C&gt;1&lt;/C&gt;&lt;D xsi:type="xsd:double"&gt;1.452081&lt;/D&gt;&lt;/FQL&gt;&lt;FQL&gt;&lt;Q&gt;TSM-US^P_BETA_LOCIDX(45748,45572,,"SPX")&lt;/Q&gt;&lt;R&gt;1&lt;/R&gt;&lt;C&gt;1&lt;/C&gt;&lt;D xsi:type="xsd:double"&gt;1.420976&lt;/D&gt;&lt;/FQL&gt;&lt;FQL&gt;&lt;Q&gt;TSM-US^P_BETA_LOCIDX(45747,45569,,"SPX")&lt;/Q&gt;&lt;R&gt;1&lt;/R&gt;&lt;C&gt;1&lt;/C&gt;&lt;D xsi:type="xsd:double"&gt;1.4139795&lt;/D&gt;&lt;/FQL&gt;&lt;FQL&gt;&lt;Q&gt;TSM-US^P_BETA_LOCIDX(45744,45568,,"SPX")&lt;/Q&gt;&lt;R&gt;1&lt;/R&gt;&lt;C&gt;1&lt;/C&gt;&lt;D xsi:type="xsd:double"&gt;1.412211&lt;/D&gt;&lt;/FQL&gt;&lt;FQL&gt;&lt;Q&gt;TSM-US^P_BETA_LOCIDX(45743,45567,,"SPX")&lt;/Q&gt;&lt;R&gt;1&lt;/R&gt;&lt;C&gt;1&lt;/C&gt;&lt;D xsi:type="xsd:double"&gt;1.4326888&lt;/D&gt;&lt;/FQL&gt;&lt;FQL&gt;&lt;Q&gt;TSM-US^P_BETA_LOCIDX(45742,45566,,"SPX")&lt;/Q&gt;&lt;R&gt;1&lt;/R&gt;&lt;C&gt;1&lt;/C&gt;&lt;D xsi:type="xsd:double"&gt;1.4203937&lt;/D&gt;&lt;/FQL&gt;&lt;FQL&gt;&lt;Q&gt;TSM-US^P_BETA_LOCIDX(45741,45565,,"SPX")&lt;/Q&gt;&lt;R&gt;1&lt;/R&gt;&lt;C&gt;1&lt;/C&gt;&lt;D xsi:type="xsd:double"&gt;1.3779658&lt;/D&gt;&lt;/FQL&gt;&lt;FQL&gt;&lt;Q&gt;TSM-US^P_BETA_LOCIDX(45740,45562,,"SPX")&lt;/Q&gt;&lt;R&gt;1&lt;/R&gt;&lt;C&gt;1&lt;/C&gt;&lt;D xsi:type="xsd:double"&gt;1.3848488&lt;/D&gt;&lt;/FQL&gt;&lt;FQL&gt;&lt;Q&gt;TSM-US^P_BETA_LOCIDX(45737,45561,,"SPX")&lt;/Q&gt;&lt;R&gt;1&lt;/R&gt;&lt;C&gt;1&lt;/C&gt;&lt;D xsi:type="xsd:double"&gt;1.3919243&lt;/D&gt;&lt;/FQL&gt;&lt;FQL&gt;&lt;Q&gt;TSM-US^P_BETA_LOCIDX(45736,45560,,"SPX")&lt;/Q&gt;&lt;R&gt;1&lt;/R&gt;&lt;C&gt;1&lt;/C&gt;&lt;D xsi:type="xsd:double"&gt;1.3915892&lt;/D&gt;&lt;/FQL&gt;&lt;FQL&gt;&lt;Q&gt;TSM-US^P_BETA_LOCIDX(45735,45559,,"SPX")&lt;/Q&gt;&lt;R&gt;1&lt;/R&gt;&lt;C&gt;1&lt;/C&gt;&lt;D xsi:type="xsd:double"&gt;1.4071444&lt;/D&gt;&lt;/FQL&gt;&lt;FQL&gt;&lt;Q&gt;TSM-US^P_BETA_LOCIDX(45734,45558,,"SPX")&lt;/Q&gt;&lt;R&gt;1&lt;/R&gt;&lt;C&gt;1&lt;/C&gt;&lt;D xsi:type="xsd:double"&gt;1.4209241&lt;/D&gt;&lt;/FQL&gt;&lt;FQL&gt;&lt;Q&gt;TSM-US^P_BETA_LOCIDX(45733,45555,,"SPX")&lt;/Q&gt;&lt;R&gt;1&lt;/R&gt;&lt;C&gt;1&lt;/C&gt;&lt;D xsi:type="xsd:double"&gt;1.4195306&lt;/D&gt;&lt;/FQL&gt;&lt;FQL&gt;&lt;Q&gt;TSM-US^P_BETA_LOCIDX(45730,45554,,"SPX")&lt;/Q&gt;&lt;R&gt;1&lt;/R&gt;&lt;C&gt;1&lt;/C&gt;&lt;D xsi:type="xsd:double"&gt;1.469184&lt;/D&gt;&lt;/FQL&gt;&lt;FQL&gt;&lt;Q&gt;TSM-US^P_BETA_LOCIDX(45729,45553,,"SPX")&lt;/Q&gt;&lt;R&gt;1&lt;/R&gt;&lt;C&gt;1&lt;/C&gt;&lt;D xsi:type="xsd:double"&gt;1.5091891&lt;/D&gt;&lt;/FQL&gt;&lt;FQL&gt;&lt;Q&gt;TSM-US^P_BETA_LOCIDX(45728,45552,,"SPX")&lt;/Q&gt;&lt;R&gt;1&lt;/R&gt;&lt;C&gt;1&lt;/C&gt;&lt;D xsi:type="xsd:double"&gt;1.4910334&lt;/D&gt;&lt;/FQL&gt;&lt;FQL&gt;&lt;Q&gt;TSM-US^P_BETA_LOCIDX(45727,45551,,"SPX")&lt;/Q&gt;&lt;R&gt;1&lt;/R&gt;&lt;C&gt;1&lt;/C&gt;&lt;D xsi:type="xsd:double"&gt;1.4719906&lt;/D&gt;&lt;/FQL&gt;&lt;FQL&gt;&lt;Q&gt;TSM-US^P_BETA_LOCIDX(45726,45548,,"SPX")&lt;/Q&gt;&lt;R&gt;1&lt;/R&gt;&lt;C&gt;1&lt;/C&gt;&lt;D xsi:type="xsd:double"&gt;1.4816511&lt;/D&gt;&lt;/FQL&gt;&lt;FQL&gt;&lt;Q&gt;TSM-US^P_BETA_LOCIDX(45723,45547,,"SPX")&lt;/Q&gt;&lt;R&gt;1&lt;/R&gt;&lt;C&gt;1&lt;/C&gt;&lt;D xsi:type="xsd:double"&gt;1.488849&lt;/D&gt;&lt;/FQL&gt;&lt;FQL&gt;&lt;Q&gt;TSM-US^P_BETA_LOCIDX(45722,45546,,"SPX")&lt;/Q&gt;&lt;R&gt;1&lt;/R&gt;&lt;C&gt;1&lt;/C&gt;&lt;D xsi:type="xsd:double"&gt;1.5297188&lt;/D&gt;&lt;/FQL&gt;&lt;FQL&gt;&lt;Q&gt;TSM-US^P_BETA_LOCIDX(45721,45545,,"SPX")&lt;/Q&gt;&lt;R&gt;1&lt;/R&gt;&lt;C&gt;1&lt;/C&gt;&lt;D xsi:type="xsd:double"&gt;1.4807523&lt;/D&gt;&lt;/FQL&gt;&lt;FQL&gt;&lt;Q&gt;TSM-US^P_BETA_LOCIDX(45720,45544,,"SPX")&lt;/Q&gt;&lt;R&gt;1&lt;/R&gt;&lt;C&gt;1&lt;/C&gt;&lt;D xsi:type="xsd:double"&gt;1.5000948&lt;/D&gt;&lt;/FQL&gt;&lt;FQL&gt;&lt;Q&gt;TSM-US^P_BETA_LOCIDX(45719,45541,,"SPX")&lt;/Q&gt;&lt;R&gt;1&lt;/R&gt;&lt;C&gt;1&lt;/C&gt;&lt;D xsi:type="xsd:double"&gt;1.6300155&lt;/D&gt;&lt;/FQL&gt;&lt;FQL&gt;&lt;Q&gt;TSM-US^P_BETA_LOCIDX(45716,45540,,"SPX")&lt;/Q&gt;&lt;R&gt;1&lt;/R&gt;&lt;C&gt;1&lt;/C&gt;&lt;D xsi:type="xsd:double"&gt;1.5881178&lt;/D&gt;&lt;/FQL&gt;&lt;FQL&gt;&lt;Q&gt;TSM-US^P_BETA_LOCIDX(45715,45539,,"SPX")&lt;/Q&gt;&lt;R&gt;1&lt;/R&gt;&lt;C&gt;1&lt;/C&gt;&lt;D xsi:type="xsd:double"&gt;1.6453451&lt;/D&gt;&lt;/FQL&gt;&lt;FQL&gt;&lt;Q&gt;TSM-US^P_BETA_LOCIDX(45714,45538,,"SPX")&lt;/Q&gt;&lt;R&gt;1&lt;/R&gt;&lt;C&gt;1&lt;/C&gt;&lt;D xsi:type="xsd:double"&gt;1.6392192&lt;/D&gt;&lt;/FQL&gt;&lt;FQL&gt;&lt;Q&gt;TSM-US^P_BETA_LOCIDX(45713,45534,,"SPX")&lt;/Q&gt;&lt;R&gt;1&lt;/R&gt;&lt;C&gt;1&lt;/C&gt;&lt;D xsi:type="xsd:double"&gt;1.6380428&lt;/D&gt;&lt;/FQL&gt;&lt;FQL&gt;&lt;Q&gt;TSM-US^P_BETA_LOCIDX(45712,45533,,"SPX")&lt;/Q&gt;&lt;R&gt;1&lt;/R&gt;&lt;C&gt;1&lt;/C&gt;&lt;D xsi:type="xsd:double"&gt;1.6349328&lt;/D&gt;&lt;/FQL&gt;&lt;FQL&gt;&lt;Q&gt;TSM-US^P_BETA_LOCIDX(45709,45532,,"SPX")&lt;/Q&gt;&lt;R&gt;1&lt;/R&gt;&lt;C&gt;1&lt;/C&gt;&lt;D xsi:type="xsd:double"&gt;1.6154737&lt;/D&gt;&lt;/FQL&gt;&lt;FQL&gt;&lt;Q&gt;TSM-US^P_BETA_LOCIDX(45708,45531,,"SPX")&lt;/Q&gt;&lt;R&gt;1&lt;/R&gt;&lt;C&gt;1&lt;/C&gt;&lt;D xsi:type="xsd:double"&gt;1.6580818&lt;/D&gt;&lt;/FQL&gt;&lt;FQL&gt;&lt;Q&gt;TSM-US^P_BETA_LOCIDX(45707,45530,,"SPX")&lt;/Q&gt;&lt;R&gt;1&lt;/R&gt;&lt;C&gt;1&lt;/C&gt;&lt;D xsi:type="xsd:double"&gt;1.6640314&lt;/D&gt;&lt;/FQL&gt;&lt;FQL&gt;&lt;Q&gt;TSM-US^P_BETA_LOCIDX(45706,45527,,"SPX")&lt;/Q&gt;&lt;R&gt;1&lt;/R&gt;&lt;C&gt;1&lt;/C&gt;&lt;D xsi:type="xsd:double"&gt;1.6801666&lt;/D&gt;&lt;/FQL&gt;&lt;FQL&gt;&lt;Q&gt;TSM-US^P_BETA_LOCIDX(45702,45526,,"SPX")&lt;/Q&gt;&lt;R&gt;1&lt;/R&gt;&lt;C&gt;1&lt;/C&gt;&lt;D xsi:type="xsd:double"&gt;1.7012072&lt;/D&gt;&lt;/FQL&gt;&lt;FQL&gt;&lt;Q&gt;TSM-US^P_BETA_LOCIDX(45701,45525,,"SPX")&lt;/Q&gt;&lt;R&gt;1&lt;/R&gt;&lt;C&gt;1&lt;/C&gt;&lt;D xsi:type="xsd:double"&gt;1.697149&lt;/D&gt;&lt;/FQL&gt;&lt;FQL&gt;&lt;Q&gt;TSM-US^P_BETA_LOCIDX(45700,45524,,"SPX")&lt;/Q&gt;&lt;R&gt;1&lt;/R&gt;&lt;C&gt;1&lt;/C&gt;&lt;D xsi:type="xsd:double"&gt;1.7547091&lt;/D&gt;&lt;/FQL&gt;&lt;FQL&gt;&lt;Q&gt;TSM-US^P_BETA_LOCIDX(45699,45523,,"SPX")&lt;/Q&gt;&lt;R&gt;1&lt;/R&gt;&lt;C&gt;1&lt;/C&gt;&lt;D xsi:type="xsd:double"&gt;1.736899&lt;/D&gt;&lt;/FQL&gt;&lt;FQL&gt;&lt;Q&gt;TSM-US^P_BETA_LOCIDX(45698,45520,,"SPX")&lt;/Q&gt;&lt;R&gt;1&lt;/R&gt;&lt;C&gt;1&lt;/C&gt;&lt;D xsi:type="xsd:double"&gt;1.736945&lt;/D&gt;&lt;/FQL&gt;&lt;FQL&gt;&lt;Q&gt;TSM-US^P_BETA_LOCIDX(45695,45519,,"SPX")&lt;/Q&gt;&lt;R&gt;1&lt;/R&gt;&lt;C&gt;1&lt;/C&gt;&lt;D xsi:type="xsd:double"&gt;1.7295368&lt;/D&gt;&lt;/FQL&gt;&lt;FQL&gt;&lt;Q&gt;TSM-US^P_BETA_LOCIDX(45694,45518,,"SPX")&lt;/Q&gt;&lt;R&gt;1&lt;/R&gt;&lt;C&gt;1&lt;/C&gt;&lt;D xsi:type="xsd:double"&gt;1.7151605&lt;/D&gt;&lt;/FQL&gt;&lt;FQL&gt;&lt;Q&gt;TSM-US^P_BETA_LOCIDX(45693,45517,,"SPX")&lt;/Q&gt;&lt;R&gt;1&lt;/R&gt;&lt;C&gt;1&lt;/C&gt;&lt;D xsi:type="xsd:double"&gt;1.7119637&lt;/D&gt;&lt;/FQL&gt;&lt;FQL&gt;&lt;Q&gt;TSM-US^P_BETA_LOCIDX(45692,45516,,"SPX")&lt;/Q&gt;&lt;R&gt;1&lt;/R&gt;&lt;C&gt;1&lt;/C&gt;&lt;D xsi:type="xsd:double"&gt;1.706215&lt;/D&gt;&lt;/FQL&gt;&lt;FQL&gt;&lt;Q&gt;TSM-US^P_BETA_LOCIDX(45691,45513,,"SPX")&lt;/Q&gt;&lt;R&gt;1&lt;/R&gt;&lt;C&gt;1&lt;/C&gt;&lt;D xsi:type="xsd:double"&gt;1.7028358&lt;/D&gt;&lt;/FQL&gt;&lt;FQL&gt;&lt;Q&gt;TSM-US^P_BETA_LOCIDX(45688,45512,,"SPX")&lt;/Q&gt;&lt;R&gt;1&lt;/R&gt;&lt;C&gt;1&lt;/C&gt;&lt;D xsi:type="xsd:double"&gt;1.7248694&lt;/D&gt;&lt;/FQL&gt;&lt;FQL&gt;&lt;Q&gt;TSM-US^P_BETA_LOCIDX(45687,45511,,"SPX")&lt;/Q&gt;&lt;R&gt;1&lt;/R&gt;&lt;C&gt;1&lt;/C&gt;&lt;D xsi:type="xsd:double"&gt;1.7239679&lt;/D&gt;&lt;/FQL&gt;&lt;FQL&gt;&lt;Q&gt;TSM-US^P_BETA_LOCIDX(45686,45510,,"SPX")&lt;/Q&gt;&lt;R&gt;1&lt;/R&gt;&lt;C&gt;1&lt;/C&gt;&lt;D xsi:type="xsd:double"&gt;1.7490376&lt;/D&gt;&lt;/FQL&gt;&lt;FQL&gt;&lt;Q&gt;TSM-US^P_BETA_LOCIDX(45685,45509,,"SPX")&lt;/Q&gt;&lt;R&gt;1&lt;/R&gt;&lt;C&gt;1&lt;/C&gt;&lt;D xsi:type="xsd:double"&gt;1.6247755&lt;/D&gt;&lt;/FQL&gt;&lt;FQL&gt;&lt;Q&gt;TSM-US^P_BETA_LOCIDX(45684,45506,,"SPX")&lt;/Q&gt;&lt;R&gt;1&lt;/R&gt;&lt;C&gt;1&lt;/C&gt;&lt;D xsi:type="xsd:double"&gt;1.6407535&lt;/D&gt;&lt;/FQL&gt;&lt;FQL&gt;&lt;Q&gt;TSM-US^P_BETA_LOCIDX(45681,45505,,"SPX")&lt;/Q&gt;&lt;R&gt;1&lt;/R&gt;&lt;C&gt;1&lt;/C&gt;&lt;D xsi:type="xsd:double"&gt;1.5015736&lt;/D&gt;&lt;/FQL&gt;&lt;FQL&gt;&lt;Q&gt;TSM-US^P_BETA_LOCIDX(45680,45504,,"SPX")&lt;/Q&gt;&lt;R&gt;1&lt;/R&gt;&lt;C&gt;1&lt;/C&gt;&lt;D xsi:type="xsd:double"&gt;1.56918&lt;/D&gt;&lt;/FQL&gt;&lt;FQL&gt;&lt;Q&gt;TSM-US^P_BETA_LOCIDX(45679,45503,,"SPX")&lt;/Q&gt;&lt;R&gt;1&lt;/R&gt;&lt;C&gt;1&lt;/C&gt;&lt;D xsi:type="xsd:double"&gt;1.5876873&lt;/D&gt;&lt;/FQL&gt;&lt;FQL&gt;&lt;Q&gt;TSM-US^P_BETA_LOCIDX(45678,45502,,"SPX")&lt;/Q&gt;&lt;R&gt;1&lt;/R&gt;&lt;C&gt;1&lt;/C&gt;&lt;D xsi:type="xsd:double"&gt;1.5829144&lt;/D&gt;&lt;/FQL&gt;&lt;FQL&gt;&lt;Q&gt;TSM-US^P_BETA_LOCIDX(45674,45499,,"SPX")&lt;/Q&gt;&lt;R&gt;1&lt;/R&gt;&lt;C&gt;1&lt;/C&gt;&lt;D xsi:type="xsd:double"&gt;1.5592107&lt;/D&gt;&lt;/FQL&gt;&lt;FQL&gt;&lt;Q&gt;TSM-US^P_BETA_LOCIDX(45673,45498,,"SPX")&lt;/Q&gt;&lt;R&gt;1&lt;/R&gt;&lt;C&gt;1&lt;/C&gt;&lt;D xsi:type="xsd:double"&gt;1.583304&lt;/D&gt;&lt;/FQL&gt;&lt;FQL&gt;&lt;Q&gt;TSM-US^P_BETA_LOCIDX(45672,45497,,"SPX")&lt;/Q&gt;&lt;R&gt;1&lt;/R&gt;&lt;C&gt;1&lt;/C&gt;&lt;D xsi:type="xsd:double"&gt;1.6483192&lt;/D&gt;&lt;/FQL&gt;&lt;FQL&gt;&lt;Q&gt;TSM-US^P_BETA_LOCIDX(45671,45496,,"SPX")&lt;/Q&gt;&lt;R&gt;1&lt;/R&gt;&lt;C&gt;1&lt;/C&gt;&lt;D xsi:type="xsd:double"&gt;1.6556115&lt;/D&gt;&lt;/FQL&gt;&lt;FQL&gt;&lt;Q&gt;TSM-US^P_BETA_LOCIDX(45670,45495,,"SPX")&lt;/Q&gt;&lt;R&gt;1&lt;/R&gt;&lt;C&gt;1&lt;/C&gt;&lt;D xsi:type="xsd:double"&gt;1.6584423&lt;/D&gt;&lt;/FQL&gt;&lt;FQL&gt;&lt;Q&gt;TSM-US^P_BETA_LOCIDX(45667,45492,,"SPX")&lt;/Q&gt;&lt;R&gt;1&lt;/R&gt;&lt;C&gt;1&lt;/C&gt;&lt;D xsi:type="xsd:double"&gt;1.6807994&lt;/D&gt;&lt;/FQL&gt;&lt;FQL&gt;&lt;Q&gt;TSM-US^P_BETA_LOCIDX(45665,45491,,"SPX")&lt;/Q&gt;&lt;R&gt;1&lt;/R&gt;&lt;C&gt;1&lt;/C&gt;&lt;D xsi:type="xsd:double"&gt;1.7162052&lt;/D&gt;&lt;/FQL&gt;&lt;FQL&gt;&lt;Q&gt;TSM-US^P_BETA_LOCIDX(45664,45490,,"SPX")&lt;/Q&gt;&lt;R&gt;1&lt;/R&gt;&lt;C&gt;1&lt;/C&gt;&lt;D xsi:type="xsd:double"&gt;1.7980248&lt;/D&gt;&lt;/FQL&gt;&lt;FQL&gt;&lt;Q&gt;TSM-US^P_BETA_LOCIDX(45663,45489,,"SPX")&lt;/Q&gt;&lt;R&gt;1&lt;/R&gt;&lt;C&gt;1&lt;/C&gt;&lt;D xsi:type="xsd:double"&gt;1.7709292&lt;/D&gt;&lt;/FQL&gt;&lt;FQL&gt;&lt;Q&gt;TSM-US^P_BETA_LOCIDX(45660,45488,,"SPX")&lt;/Q&gt;&lt;R&gt;1&lt;/R&gt;&lt;C&gt;1&lt;/C&gt;&lt;D xsi:type="xsd:double"&gt;1.745303&lt;/D&gt;&lt;/FQL&gt;&lt;FQL&gt;&lt;Q&gt;TSM-US^P_BETA_LOCIDX(45659,45485,,"SPX")&lt;/Q&gt;&lt;R&gt;1&lt;/R&gt;&lt;C&gt;1&lt;/C&gt;&lt;D xsi:type="xsd:double"&gt;1.732939&lt;/D&gt;&lt;/FQL&gt;&lt;FQL&gt;&lt;Q&gt;TSM-US^P_BETA_LOCIDX(45657,45484,,"SPX")&lt;/Q&gt;&lt;R&gt;1&lt;/R&gt;&lt;C&gt;1&lt;/C&gt;&lt;D xsi:type="xsd:double"&gt;1.7567465&lt;/D&gt;&lt;/FQL&gt;&lt;FQL&gt;&lt;Q&gt;TSM-US^P_BETA_LOCIDX(45656,45483,,"SPX")&lt;/Q&gt;&lt;R&gt;1&lt;/R&gt;&lt;C&gt;1&lt;/C&gt;&lt;D xsi:type="xsd:double"&gt;1.7701137&lt;/D&gt;&lt;/FQL&gt;&lt;FQL&gt;&lt;Q&gt;TSM-US^P_BETA_LOCIDX(45653,45482,,"SPX")&lt;/Q&gt;&lt;R&gt;1&lt;/R&gt;&lt;C&gt;1&lt;/C&gt;&lt;D xsi:type="xsd:double"&gt;1.7841381&lt;/D&gt;&lt;/FQL&gt;&lt;FQL&gt;&lt;Q&gt;TSM-US^P_BETA_LOCIDX(45652,45481,,"SPX")&lt;/Q&gt;&lt;R&gt;1&lt;/R&gt;&lt;C&gt;1&lt;/C&gt;&lt;D xsi:type="xsd:double"&gt;1.7996111&lt;/D&gt;&lt;/FQL&gt;&lt;FQL&gt;&lt;Q&gt;TSM-US^P_BETA_LOCIDX(45650,45478,,"SPX")&lt;/Q&gt;&lt;R&gt;1&lt;/R&gt;&lt;C&gt;1&lt;/C&gt;&lt;D xsi:type="xsd:double"&gt;1.7971481&lt;/D&gt;&lt;/FQL&gt;&lt;FQL&gt;&lt;Q&gt;TSM-US^P_BETA_LOCIDX(45649,45476,,"SPX")&lt;/Q&gt;&lt;R&gt;1&lt;/R&gt;&lt;C&gt;1&lt;/C&gt;&lt;D xsi:type="xsd:double"&gt;1.8361591&lt;/D&gt;&lt;/FQL&gt;&lt;FQL&gt;&lt;Q&gt;TSM-US^P_BETA_LOCIDX(45646,45475,,"SPX")&lt;/Q&gt;&lt;R&gt;1&lt;/R&gt;&lt;C&gt;1&lt;/C&gt;&lt;D xsi:type="xsd:double"&gt;1.8153503&lt;/D&gt;&lt;/FQL&gt;&lt;FQL&gt;&lt;Q&gt;TSM-US^P_BETA_LOCIDX(45645,45474,,"SPX")&lt;/Q&gt;&lt;R&gt;1&lt;/R&gt;&lt;C&gt;1&lt;/C&gt;&lt;D xsi:type="xsd:double"&gt;1.8195754&lt;/D&gt;&lt;/FQL&gt;&lt;FQL&gt;&lt;Q&gt;TSM-US^P_BETA_LOCIDX(45644,45471,,"SPX")&lt;/Q&gt;&lt;R&gt;1&lt;/R&gt;&lt;C&gt;1&lt;/C&gt;&lt;D xsi:type="xsd:double"&gt;1.8095094&lt;/D&gt;&lt;/FQL&gt;&lt;FQL&gt;&lt;Q&gt;TSM-US^P_BETA_LOCIDX(45643,45470,,"SPX")&lt;/Q&gt;&lt;R&gt;1&lt;/R&gt;&lt;C&gt;1&lt;/C&gt;&lt;D xsi:type="xsd:double"&gt;1.9038422&lt;/D&gt;&lt;/FQL&gt;&lt;FQL&gt;&lt;Q&gt;TSM-US^P_BETA_LOCIDX(45642,45469,,"SPX")&lt;/Q&gt;&lt;R&gt;1&lt;/R&gt;&lt;C&gt;1&lt;/C&gt;&lt;D xsi:type="xsd:double"&gt;1.9031862&lt;/D&gt;&lt;/FQL&gt;&lt;FQL&gt;&lt;Q&gt;TSM-US^P_BETA_LOCIDX(45639,45468,,"SPX")&lt;/Q&gt;&lt;R&gt;1&lt;/R&gt;&lt;C&gt;1&lt;/C&gt;&lt;D xsi:type="xsd:double"&gt;1.9107519&lt;/D&gt;&lt;/FQL&gt;&lt;FQL&gt;&lt;Q&gt;TSM-US^P_BETA_LOCIDX(45638,45467,,"SPX")&lt;/Q&gt;&lt;R&gt;1&lt;/R&gt;&lt;C&gt;1&lt;/C&gt;&lt;D xsi:type="xsd:double"&gt;1.929008&lt;/D&gt;&lt;/FQL&gt;&lt;FQL&gt;&lt;Q&gt;TSM-US^P_BETA_LOCIDX(45637,45464,,"SPX")&lt;/Q&gt;&lt;R&gt;1&lt;/R&gt;&lt;C&gt;1&lt;/C&gt;&lt;D xsi:type="xsd:double"&gt;1.926589&lt;/D&gt;&lt;/FQL&gt;&lt;FQL&gt;&lt;Q&gt;TSM-US^P_BETA_LOCIDX(45636,45463,,"SPX")&lt;/Q&gt;&lt;R&gt;1&lt;/R&gt;&lt;C&gt;1&lt;/C&gt;&lt;D xsi:type="xsd:double"&gt;1.9347947&lt;/D&gt;&lt;/FQL&gt;&lt;FQL&gt;&lt;Q&gt;TSM-US^P_BETA_LOCIDX(45635,45461,,"SPX")&lt;/Q&gt;&lt;R&gt;1&lt;/R&gt;&lt;C&gt;1&lt;/C&gt;&lt;D xsi:type="xsd:double"&gt;1.9235622&lt;/D&gt;&lt;/FQL&gt;&lt;FQL&gt;&lt;Q&gt;TSM-US^P_BETA_LOCIDX(45632,45460,,"SPX")&lt;/Q&gt;&lt;R&gt;1&lt;/R&gt;&lt;C&gt;1&lt;/C&gt;&lt;D xsi:type="xsd:double"&gt;1.9279426&lt;/D&gt;&lt;/FQL&gt;&lt;FQL&gt;&lt;Q&gt;TSM-US^P_BETA_LOCIDX(45631,45457,,"SPX")&lt;/Q&gt;&lt;R&gt;1&lt;/R&gt;&lt;C&gt;1&lt;/C&gt;&lt;D xsi:type="xsd:double"&gt;1.9300619&lt;/D&gt;&lt;/FQL&gt;&lt;FQL&gt;&lt;Q&gt;TSM-US^P_BETA_LOCIDX(45630,45456,,"SPX")&lt;/Q&gt;&lt;R&gt;1&lt;/R&gt;&lt;C&gt;1&lt;/C&gt;&lt;D xsi:type="xsd:double"&gt;1.9364018&lt;/D&gt;&lt;/FQL&gt;&lt;FQL&gt;&lt;Q&gt;TSM-US^P_BETA_LOCIDX(45629,45455,,"SPX")&lt;/Q&gt;&lt;R&gt;1&lt;/R&gt;&lt;C&gt;1&lt;/C&gt;&lt;D xsi:type="xsd:double"&gt;1.9613376&lt;/D&gt;&lt;/FQL&gt;&lt;FQL&gt;&lt;Q&gt;TSM-US^P_BETA_LOCIDX(45628,45454,,"SPX")&lt;/Q&gt;&lt;R&gt;1&lt;/R&gt;&lt;C&gt;1&lt;/C&gt;&lt;D xsi:type="xsd:double"&gt;1.9590415&lt;/D&gt;&lt;/FQL&gt;&lt;FQL&gt;&lt;Q&gt;TSM-US^P_BETA_LOCIDX(45625,45453,,"SPX")&lt;/Q&gt;&lt;R&gt;1&lt;/R&gt;&lt;C&gt;1&lt;/C&gt;&lt;D xsi:type="xsd:double"&gt;1.9544857&lt;/D&gt;&lt;/FQL&gt;&lt;FQL&gt;&lt;Q&gt;TSM-US^P_BETA_LOCIDX(45623,45450,,"SPX")&lt;/Q&gt;&lt;R&gt;1&lt;/R&gt;&lt;C&gt;1&lt;/C&gt;&lt;D xsi:type="xsd:double"&gt;1.945711&lt;/D&gt;&lt;/FQL&gt;&lt;FQL&gt;&lt;Q&gt;TSM-US^P_BETA_LOCIDX(45622,45449,,"SPX")&lt;/Q&gt;&lt;R&gt;1&lt;/R&gt;&lt;C&gt;1&lt;/C&gt;&lt;D xsi:type="xsd:double"&gt;1.9427798&lt;/D&gt;&lt;/FQL&gt;&lt;FQL&gt;&lt;Q&gt;TSM-US^P_BETA_LOCIDX(45621,45448,,"SPX")&lt;/Q&gt;&lt;R&gt;1&lt;/R&gt;&lt;C&gt;1&lt;/C&gt;&lt;D xsi:type="xsd:double"&gt;2.0079849&lt;/D&gt;&lt;/FQL&gt;&lt;FQL&gt;&lt;Q&gt;TSM-US^P_BETA_LOCIDX(45618,45447,,"SPX")&lt;/Q&gt;&lt;R&gt;1&lt;/R&gt;&lt;C&gt;1&lt;/C&gt;&lt;D xsi:type="xsd:double"&gt;2.0141943&lt;/D&gt;&lt;/FQL&gt;&lt;FQL&gt;&lt;Q&gt;TSM-US^P_BETA_LOCIDX(45617,45446,,"SPX")&lt;/Q&gt;&lt;R&gt;1&lt;/R&gt;&lt;C&gt;1&lt;/C&gt;&lt;D xsi:type="xsd:double"&gt;2.0180223&lt;/D&gt;&lt;/FQL&gt;&lt;FQL&gt;&lt;Q&gt;TSM-US^P_BETA_LOCIDX(45616,45443,,"SPX")&lt;/Q&gt;&lt;R&gt;1&lt;/R&gt;&lt;C&gt;1&lt;/C&gt;&lt;D xsi:type="xsd:double"&gt;1.9931728&lt;/D&gt;&lt;/FQL&gt;&lt;FQL&gt;&lt;Q&gt;TSM-US^P_BETA_LOCIDX(45615,45442,,"SPX")&lt;/Q&gt;&lt;R&gt;1&lt;/R&gt;&lt;C&gt;1&lt;/C&gt;&lt;D xsi:type="xsd:double"&gt;1.990103&lt;/D&gt;&lt;/FQL&gt;&lt;FQL&gt;&lt;Q&gt;TSM-US^P_BETA_LOCIDX(45614,45441,,"SPX")&lt;/Q&gt;&lt;R&gt;1&lt;/R&gt;&lt;C&gt;1&lt;/C&gt;&lt;D xsi:type="xsd:double"&gt;2.0047092&lt;/D&gt;&lt;/FQL&gt;&lt;FQL&gt;&lt;Q&gt;TSM-US^P_BETA_LOCIDX(45611,45440,,"SPX")&lt;/Q&gt;&lt;R&gt;1&lt;/R&gt;&lt;C&gt;1&lt;/C&gt;&lt;D xsi:type="xsd:double"&gt;2.0049484&lt;/D&gt;&lt;/FQL&gt;&lt;FQL&gt;&lt;Q&gt;TSM-US^P_BETA_LOCIDX(45610,45436,,"SPX")&lt;/Q&gt;&lt;R&gt;1&lt;/R&gt;&lt;C&gt;1&lt;/C&gt;&lt;D xsi:type="xsd:double"&gt;2.0296905&lt;/D&gt;&lt;/FQL&gt;&lt;FQL&gt;&lt;Q&gt;TSM-US^P_BETA_LOCIDX(45609,45435,,"SPX")&lt;/Q&gt;&lt;R&gt;1&lt;/R&gt;&lt;C&gt;1&lt;/C&gt;&lt;D xsi:type="xsd:double"&gt;2.0274045&lt;/D&gt;&lt;/FQL&gt;&lt;FQL&gt;&lt;Q&gt;TSM-US^P_BETA_LOCIDX(45608,45434,,"SPX")&lt;/Q&gt;&lt;R&gt;1&lt;/R&gt;&lt;C&gt;1&lt;/C&gt;&lt;D xsi:type="xsd:double"&gt;2.015885&lt;/D&gt;&lt;/FQL&gt;&lt;FQL&gt;&lt;Q&gt;TSM-US^P_BETA_LOCIDX(45607,45433,,"SPX")&lt;/Q&gt;&lt;R&gt;1&lt;/R&gt;&lt;C&gt;1&lt;/C&gt;&lt;D xsi:type="xsd:double"&gt;2.0124319&lt;/D&gt;&lt;/FQL&gt;&lt;FQL&gt;&lt;Q&gt;TSM-US^P_BETA_LOCIDX(45604,45432,,"SPX")&lt;/Q&gt;&lt;R&gt;1&lt;/R&gt;&lt;C&gt;1&lt;/C&gt;&lt;D xsi:type="xsd:double"&gt;2.0119255&lt;/D&gt;&lt;/FQL&gt;&lt;FQL&gt;&lt;Q&gt;TSM-US^P_BETA_LOCIDX(45603,45429,,"SPX")&lt;/Q&gt;&lt;R&gt;1&lt;/R&gt;&lt;C&gt;1&lt;/C&gt;&lt;D xsi:type="xsd:double"&gt;2.014329&lt;/D&gt;&lt;/FQL&gt;&lt;FQL&gt;&lt;Q&gt;TSM-US^P_BETA_LOCIDX(45602,45428,,"SPX")&lt;/Q&gt;&lt;R&gt;1&lt;/R&gt;&lt;C&gt;1&lt;/C&gt;&lt;D xsi:type="xsd:double"&gt;2.0016115&lt;/D&gt;&lt;/FQL&gt;&lt;FQL&gt;&lt;Q&gt;TSM-US^P_BETA_LOCIDX(45601,45427,,"SPX")&lt;/Q&gt;&lt;R&gt;1&lt;/R&gt;&lt;C&gt;1&lt;/C&gt;&lt;D xsi:type="xsd:double"&gt;2.1895585&lt;/D&gt;&lt;/FQL&gt;&lt;FQL&gt;&lt;Q&gt;TSM-US^P_BETA_LOCIDX(45600,45426,,"SPX")&lt;/Q&gt;&lt;R&gt;1&lt;/R&gt;&lt;C&gt;1&lt;/C&gt;&lt;D xsi:type="xsd:double"&gt;2.210516&lt;/D&gt;&lt;/FQL&gt;&lt;FQL&gt;&lt;Q&gt;TSM-US^P_BETA_LOCIDX(45597,45425,,"SPX")&lt;/Q&gt;&lt;R&gt;1&lt;/R&gt;&lt;C&gt;1&lt;/C&gt;&lt;D xsi:type="xsd:double"&gt;2.2121594&lt;/D&gt;&lt;/FQL&gt;&lt;FQL&gt;&lt;Q&gt;TSM-US^P_BETA_LOCIDX(45596,45422,,"SPX")&lt;/Q&gt;&lt;R&gt;1&lt;/R&gt;&lt;C&gt;1&lt;/C&gt;&lt;D xsi:type="xsd:double"&gt;2.2153568&lt;/D&gt;&lt;/FQL&gt;&lt;FQL&gt;&lt;Q&gt;TSM-US^P_BETA_LOCIDX(45595,45421,,"SPX")&lt;/Q&gt;&lt;R&gt;1&lt;/R&gt;&lt;C&gt;1&lt;/C&gt;&lt;D xsi:type="xsd:double"&gt;2.2558148&lt;/D&gt;&lt;/FQL&gt;&lt;FQL&gt;&lt;Q&gt;TSM-US^P_BETA_LOCIDX(45594,45420,,"SPX")&lt;/Q&gt;&lt;R&gt;1&lt;/R&gt;&lt;C&gt;1&lt;/C&gt;&lt;D xsi:type="xsd:double"&gt;2.2504601&lt;/D&gt;&lt;/FQL&gt;&lt;FQL&gt;&lt;Q&gt;TSM-US^P_BETA_LOCIDX(45593,45419,,"SPX")&lt;/Q&gt;&lt;R&gt;1&lt;/R&gt;&lt;C&gt;1&lt;/C&gt;&lt;D xsi:type="xsd:double"&gt;2.2491987&lt;/D&gt;&lt;/FQL&gt;&lt;FQL&gt;&lt;Q&gt;TSM-US^P_BETA_LOCIDX(45590,45418,,"SPX")&lt;/Q&gt;&lt;R&gt;1&lt;/R&gt;&lt;C&gt;1&lt;/C&gt;&lt;D xsi:type="xsd:double"&gt;2.2416523&lt;/D&gt;&lt;/FQL&gt;&lt;FQL&gt;&lt;Q&gt;TSM-US^P_BETA_LOCIDX(45589,45415,,"SPX")&lt;/Q&gt;&lt;R&gt;1&lt;/R&gt;&lt;C&gt;1&lt;/C&gt;&lt;D xsi:type="xsd:double"&gt;2.2608714&lt;/D&gt;&lt;/FQL&gt;&lt;FQL&gt;&lt;Q&gt;TSM-US^P_BETA_LOCIDX(45588,45414,,"SPX")&lt;/Q&gt;&lt;R&gt;1&lt;/R&gt;&lt;C&gt;1&lt;/C&gt;&lt;D xsi:type="xsd:double"&gt;2.2515323&lt;/D&gt;&lt;/FQL&gt;&lt;FQL&gt;&lt;Q&gt;TSM-US^P_BETA_LOCIDX(45587,45413,,"SPX")&lt;/Q&gt;&lt;R&gt;1&lt;/R&gt;&lt;C&gt;1&lt;/C&gt;&lt;D xsi:type="xsd:double"&gt;2.29942&lt;/D&gt;&lt;/FQL&gt;&lt;FQL&gt;&lt;Q&gt;TSM-US^P_BETA_LOCIDX(45586,45412,,"SPX")&lt;/Q&gt;&lt;R&gt;1&lt;/R&gt;&lt;C&gt;1&lt;/C&gt;&lt;D xsi:type="xsd:double"&gt;2.240492&lt;/D&gt;&lt;/FQL&gt;&lt;FQL&gt;&lt;Q&gt;TSM-US^P_BETA_LOCIDX(45583,45411,,"SPX")&lt;/Q&gt;&lt;R&gt;1&lt;/R&gt;&lt;C&gt;1&lt;/C&gt;&lt;D xsi:type="xsd:double"&gt;2.2421768&lt;/D&gt;&lt;/FQL&gt;&lt;FQL&gt;&lt;Q&gt;TSM-US^P_BETA_LOCIDX(45582,45408,,"SPX")&lt;/Q&gt;&lt;R&gt;1&lt;/R&gt;&lt;C&gt;1&lt;/C&gt;&lt;D xsi:type="xsd:double"&gt;2.2414727&lt;/D&gt;&lt;/FQL&gt;&lt;FQL&gt;&lt;Q&gt;TSM-US^P_BETA_LOCIDX(45581,45407,,"SPX")&lt;/Q&gt;&lt;R&gt;1&lt;/R&gt;&lt;C&gt;1&lt;/C&gt;&lt;D xsi:type="xsd:double"&gt;2.2323241&lt;/D&gt;&lt;/FQL&gt;&lt;FQL&gt;&lt;Q&gt;TSM-US^P_BETA_LOCIDX(45580,45406,,"SPX")&lt;/Q&gt;&lt;R&gt;1&lt;/R&gt;&lt;C&gt;1&lt;/C&gt;&lt;D xsi:type="xsd:double"&gt;2.2366362&lt;/D&gt;&lt;/FQL&gt;&lt;FQL&gt;&lt;Q&gt;TSM-US^P_BETA_LOCIDX(45579,45405,,"SPX")&lt;/Q&gt;&lt;R&gt;1&lt;/R&gt;&lt;C&gt;1&lt;/C&gt;&lt;D xsi:type="xsd:double"&gt;2.2274177&lt;/D&gt;&lt;/FQL&gt;&lt;FQL&gt;&lt;Q&gt;TSM-US^P_BETA_LOCIDX(45576,45404,,"SPX")&lt;/Q&gt;&lt;R&gt;1&lt;/R&gt;&lt;C&gt;1&lt;/C&gt;&lt;D xsi:type="xsd:double"&gt;2.2317991&lt;/D&gt;&lt;/FQL&gt;&lt;FQL&gt;&lt;Q&gt;TSM-US^P_BETA_LOCIDX(45575,45401,,"SPX")&lt;/Q&gt;&lt;R&gt;1&lt;/R&gt;&lt;C&gt;1&lt;/C&gt;&lt;D xsi:type="xsd:double"&gt;2.2428782&lt;/D&gt;&lt;/FQL&gt;&lt;FQL&gt;&lt;Q&gt;TSM-US^P_BETA_LOCIDX(45574,45400,,"SPX")&lt;/Q&gt;&lt;R&gt;1&lt;/R&gt;&lt;C&gt;1&lt;/C&gt;&lt;D xsi:type="xsd:double"&gt;2.259467&lt;/D&gt;&lt;/FQL&gt;&lt;FQL&gt;&lt;Q&gt;TSM-US^P_BETA_LOCIDX(45573,45399,,"SPX")&lt;/Q&gt;&lt;R&gt;1&lt;/R&gt;&lt;C&gt;1&lt;/C&gt;&lt;D xsi:type="xsd:double"&gt;2.260669&lt;/D&gt;&lt;/FQL&gt;&lt;FQL&gt;&lt;Q&gt;TSM-US^P_BETA_LOCIDX(45572,45398,,"SPX")&lt;/Q&gt;&lt;R&gt;1&lt;/R&gt;&lt;C&gt;1&lt;/C&gt;&lt;D xsi:type="xsd:double"&gt;2.2740998&lt;/D&gt;&lt;/FQL&gt;&lt;FQL&gt;&lt;Q&gt;TSM-US^P_BETA_LOCIDX(45569,45397,,"SPX")&lt;/Q&gt;&lt;R&gt;1&lt;/R&gt;&lt;C&gt;1&lt;/C&gt;&lt;D xsi:type="xsd:double"&gt;2.308047&lt;/D&gt;&lt;/FQL&gt;&lt;FQL&gt;&lt;Q&gt;TSM-US^P_BETA_LOCIDX(45568,45394,,"SPX")&lt;/Q&gt;&lt;R&gt;1&lt;/R&gt;&lt;C&gt;1&lt;/C&gt;&lt;D xsi:type="xsd:double"&gt;2.3157182&lt;/D&gt;&lt;/FQL&gt;&lt;FQL&gt;&lt;Q&gt;TSM-US^P_BETA_LOCIDX(45567,45393,,"SPX")&lt;/Q&gt;&lt;R&gt;1&lt;/R&gt;&lt;C&gt;1&lt;/C&gt;&lt;D xsi:type="xsd:double"&gt;2.3148785&lt;/D&gt;&lt;/FQL&gt;&lt;FQL&gt;&lt;Q&gt;TSM-US^P_BETA_LOCIDX(45566,45392,,"SPX")&lt;/Q&gt;&lt;R&gt;1&lt;/R&gt;&lt;C&gt;1&lt;/C&gt;&lt;D xsi:type="xsd:double"&gt;2.2843084&lt;/D&gt;&lt;/FQL&gt;&lt;FQL&gt;&lt;Q&gt;TSM-US^P_BETA_LOCIDX(45565,45391,,"SPX")&lt;/Q&gt;&lt;R&gt;1&lt;/R&gt;&lt;C&gt;1&lt;/C&gt;&lt;D xsi:type="xsd:double"&gt;2.2995076&lt;/D&gt;&lt;/FQL&gt;&lt;FQL&gt;&lt;Q&gt;TSM-US^P_BETA_LOCIDX(45562,45390,,"SPX")&lt;/Q&gt;&lt;R&gt;1&lt;/R&gt;&lt;C&gt;1&lt;/C&gt;&lt;D xsi:type="xsd:double"&gt;2.3111637&lt;/D&gt;&lt;/FQL&gt;&lt;FQL&gt;&lt;Q&gt;TSM-US^P_BETA_LOCIDX(45561,45387,,"SPX")&lt;/Q&gt;&lt;R&gt;1&lt;/R&gt;&lt;C&gt;1&lt;/C&gt;&lt;D xsi:type="xsd:double"&gt;2.2840548&lt;/D&gt;&lt;/FQL&gt;&lt;FQL&gt;&lt;Q&gt;TSM-US^P_BETA_LOCIDX(45560,45386,,"SPX")&lt;/Q&gt;&lt;R&gt;1&lt;/R&gt;&lt;C&gt;1&lt;/C&gt;&lt;D xsi:type="xsd:double"&gt;2.262476&lt;/D&gt;&lt;/FQL&gt;&lt;FQL&gt;&lt;Q&gt;TSM-US^P_BETA_LOCIDX(45559,45385,,"SPX")&lt;/Q&gt;&lt;R&gt;1&lt;/R&gt;&lt;C&gt;1&lt;/C&gt;&lt;D xsi:type="xsd:double"&gt;2.2644722&lt;/D&gt;&lt;/FQL&gt;&lt;FQL&gt;&lt;Q&gt;TSM-US^P_BETA_LOCIDX(45558,45384,,"SPX")&lt;/Q&gt;&lt;R&gt;1&lt;/R&gt;&lt;C&gt;1&lt;/C&gt;&lt;D xsi:type="xsd:double"&gt;2.2516356&lt;/D&gt;&lt;/FQL&gt;&lt;FQL&gt;&lt;Q&gt;TSM-US^P_BETA_LOCIDX(45555,45383,,"SPX")&lt;/Q&gt;&lt;R&gt;1&lt;/R&gt;&lt;C&gt;1&lt;/C&gt;&lt;D xsi:type="xsd:double"&gt;2.23895&lt;/D&gt;&lt;/FQL&gt;&lt;FQL&gt;&lt;Q&gt;TSM-US^P_BETA_LOCIDX(45554,45379,,"SPX")&lt;/Q&gt;&lt;R&gt;1&lt;/R&gt;&lt;C&gt;1&lt;/C&gt;&lt;D xsi:type="xsd:double"&gt;2.236065&lt;/D&gt;&lt;/FQL&gt;&lt;FQL&gt;&lt;Q&gt;TSM-US^P_BETA_LOCIDX(45553,45378,,"SPX")&lt;/Q&gt;&lt;R&gt;1&lt;/R&gt;&lt;C&gt;1&lt;/C&gt;&lt;D xsi:type="xsd:double"&gt;2.176773&lt;/D&gt;&lt;/FQL&gt;&lt;FQL&gt;&lt;Q&gt;TSM-US^P_BETA_LOCIDX(45552,45377,,"SPX")&lt;/Q&gt;&lt;R&gt;1&lt;/R&gt;&lt;C&gt;1&lt;/C&gt;&lt;D xsi:type="xsd:double"&gt;2.180654&lt;/D&gt;&lt;/FQL&gt;&lt;FQL&gt;&lt;Q&gt;TSM-US^P_BETA_LOCIDX(45551,45376,,"SPX")&lt;/Q&gt;&lt;R&gt;1&lt;/R&gt;&lt;C&gt;1&lt;/C&gt;&lt;D xsi:type="xsd:double"&gt;2.1784492&lt;/D&gt;&lt;/FQL&gt;&lt;FQL&gt;&lt;Q&gt;TSM-US^P_BETA_LOCIDX(45548,45373,,"SPX")&lt;/Q&gt;&lt;R&gt;1&lt;/R&gt;&lt;C&gt;1&lt;/C&gt;&lt;D xsi:type="xsd:double"&gt;2.1777194&lt;/D&gt;&lt;/FQL&gt;&lt;FQL&gt;&lt;Q&gt;TSM-US^P_BETA_LOCIDX(45547,45372,,"SPX")&lt;/Q&gt;&lt;R&gt;1&lt;/R&gt;&lt;C&gt;1&lt;/C&gt;&lt;D xsi:type="xsd:double"&gt;2.184708&lt;/D&gt;&lt;/FQL&gt;&lt;FQL&gt;&lt;Q&gt;TSM-US^P_BETA_LOCIDX(45546,45371,,"SPX")&lt;/Q&gt;&lt;R&gt;1&lt;/R&gt;&lt;C&gt;1&lt;/C&gt;&lt;D xsi:type="xsd:double"&gt;2.1866555&lt;/D&gt;&lt;/FQL&gt;&lt;FQL&gt;&lt;Q&gt;TSM-US^P_BETA_LOCIDX(45545,45370,,"SPX")&lt;/Q&gt;&lt;R&gt;1&lt;/R&gt;&lt;C&gt;1&lt;/C&gt;&lt;D xsi:type="xsd:double"&gt;2.1440766&lt;/D&gt;&lt;/FQL&gt;&lt;FQL&gt;&lt;Q&gt;TSM-US^P_BETA_LOCIDX(45544,45369,,"SPX")&lt;/Q&gt;&lt;R&gt;1&lt;/R&gt;&lt;C&gt;1&lt;/C&gt;&lt;D xsi:type="xsd:double"&gt;2.1386998&lt;/D&gt;&lt;/FQL&gt;&lt;FQL&gt;&lt;Q&gt;TSM-US^P_BETA_LOCIDX(45541,45366,,"SPX")&lt;/Q&gt;&lt;R&gt;1&lt;/R&gt;&lt;C&gt;1&lt;/C&gt;&lt;D xsi:type="xsd:double"&gt;2.1267986&lt;/D&gt;&lt;/FQL&gt;&lt;FQL&gt;&lt;Q&gt;TSM-US^P_BETA_LOCIDX(45540,45365,,"SPX")&lt;/Q&gt;&lt;R&gt;1&lt;/R&gt;&lt;C&gt;1&lt;/C&gt;&lt;D xsi:type="xsd:double"&gt;2.1196642&lt;/D&gt;&lt;/FQL&gt;&lt;FQL&gt;&lt;Q&gt;TSM-US^P_BETA_LOCIDX(45539,45364,,"SPX")&lt;/Q&gt;&lt;R&gt;1&lt;/R&gt;&lt;C&gt;1&lt;/C&gt;&lt;D xsi:type="xsd:double"&gt;2.1333067&lt;/D&gt;&lt;/FQL&gt;&lt;FQL&gt;&lt;Q&gt;TSM-US^P_BETA_LOCIDX(45538,45363,,"SPX")&lt;/Q&gt;&lt;R&gt;1&lt;/R&gt;&lt;C&gt;1&lt;/C&gt;&lt;D xsi:type="xsd:double"&gt;2.1531842&lt;/D&gt;&lt;/FQL&gt;&lt;FQL&gt;&lt;Q&gt;TSM-US^P_BETA_LOCIDX(45534,45362,,"SPX")&lt;/Q&gt;&lt;R&gt;1&lt;/R&gt;&lt;C&gt;1&lt;/C&gt;&lt;D xsi:type="xsd:double"&gt;2.1106133&lt;/D&gt;&lt;/FQL&gt;&lt;FQL&gt;&lt;Q&gt;TSM-US^P_BETA_LOCIDX(45533,45359,,"SPX")&lt;/Q&gt;&lt;R&gt;1&lt;/R&gt;&lt;C&gt;1&lt;/C&gt;&lt;D xsi:type="xsd:double"&gt;2.122343&lt;/D&gt;&lt;/FQL&gt;&lt;FQL&gt;&lt;Q&gt;TSM-US^P_BETA_LOCIDX(45532,45358,,"SPX")&lt;/Q&gt;&lt;R&gt;1&lt;/R&gt;&lt;C&gt;1&lt;/C&gt;&lt;D xsi:type="xsd:double"&gt;2.1601987&lt;/D&gt;&lt;/FQL&gt;&lt;FQL&gt;&lt;Q&gt;TSM-US^P_BETA_LOCIDX(45531,45357,,"SPX")&lt;/Q&gt;&lt;R&gt;1&lt;/R&gt;&lt;C&gt;1&lt;/C&gt;&lt;D xsi:type="xsd:double"&gt;2.1843026&lt;/D&gt;&lt;/FQL&gt;&lt;FQL&gt;&lt;Q&gt;TSM-US^P_BETA_LOCIDX(45530,45356,,"SPX")&lt;/Q&gt;&lt;R&gt;1&lt;/R&gt;&lt;C&gt;1&lt;/C&gt;&lt;D xsi:type="xsd:double"&gt;2.1863406&lt;/D&gt;&lt;/FQL&gt;&lt;FQL&gt;&lt;Q&gt;TSM-US^P_BETA_LOCIDX(45527,45355,,"SPX")&lt;/Q&gt;&lt;R&gt;1&lt;/R&gt;&lt;C&gt;1&lt;/C&gt;&lt;D xsi:type="xsd:double"&gt;2.1747844&lt;/D&gt;&lt;/FQL&gt;&lt;FQL&gt;&lt;Q&gt;TSM-US^P_BETA_LOCIDX(45526,45352,,"SPX")&lt;/Q&gt;&lt;R&gt;1&lt;/R&gt;&lt;C&gt;1&lt;/C&gt;&lt;D xsi:type="xsd:double"&gt;2.190385&lt;/D&gt;&lt;/FQL&gt;&lt;FQL&gt;&lt;Q&gt;TSM-US^P_BETA_LOCIDX(45525,45351,,"SPX")&lt;/Q&gt;&lt;R&gt;1&lt;/R&gt;&lt;C&gt;1&lt;/C&gt;&lt;D xsi:type="xsd:double"&gt;2.1765325&lt;/D&gt;&lt;/FQL&gt;&lt;FQL&gt;&lt;Q&gt;TSM-US^P_BETA_LOCIDX(45524,45350,,"SPX")&lt;/Q&gt;&lt;R&gt;1&lt;/R&gt;&lt;C&gt;1&lt;/C&gt;&lt;D xsi:type="xsd:double"&gt;2.1843698&lt;/D&gt;&lt;/FQL&gt;&lt;FQL&gt;&lt;Q&gt;TSM-US^P_BETA_LOCIDX(45523,45349,,"SPX")&lt;/Q&gt;&lt;R&gt;1&lt;/R&gt;&lt;C&gt;1&lt;/C&gt;&lt;D xsi:type="xsd:double"&gt;2.1765397&lt;/D&gt;&lt;/FQL&gt;&lt;FQL&gt;&lt;Q&gt;TSM-US^P_BETA_LOCIDX(45520,45348,,"SPX")&lt;/Q&gt;&lt;R&gt;1&lt;/R&gt;&lt;C&gt;1&lt;/C&gt;&lt;D xsi:type="xsd:double"&gt;2.186425&lt;/D&gt;&lt;/FQL&gt;&lt;FQL&gt;&lt;Q&gt;TSM-US^P_BETA_LOCIDX(45519,45345,,"SPX")&lt;/Q&gt;&lt;R&gt;1&lt;/R&gt;&lt;C&gt;1&lt;/C&gt;&lt;D xsi:type="xsd:double"&gt;2.1866837&lt;/D&gt;&lt;/FQL&gt;&lt;FQL&gt;&lt;Q&gt;TSM-US^P_BETA_LOCIDX(45518,45344,,"SPX")&lt;/Q&gt;&lt;R&gt;1&lt;/R&gt;&lt;C&gt;1&lt;/C&gt;&lt;D xsi:type="xsd:double"&gt;2.1671445&lt;/D&gt;&lt;/FQL&gt;&lt;FQL&gt;&lt;Q&gt;TSM-US^P_BETA_LOCIDX(45517,45343,,"SPX")&lt;/Q&gt;&lt;R&gt;1&lt;/R&gt;&lt;C&gt;1&lt;/C&gt;&lt;D xsi:type="xsd:double"&gt;2.1756501&lt;/D&gt;&lt;/FQL&gt;&lt;FQL&gt;&lt;Q&gt;TSM-US^P_BETA_LOCIDX(45516,45342,,"SPX")&lt;/Q&gt;&lt;R&gt;1&lt;/R&gt;&lt;C&gt;1&lt;/C&gt;&lt;D xsi:type="xsd:double"&gt;2.1951296&lt;/D&gt;&lt;/FQL&gt;&lt;FQL&gt;&lt;Q&gt;TSM-US^P_BETA_LOCIDX(45513,45338,,"SPX")&lt;/Q&gt;&lt;R&gt;1&lt;/R&gt;&lt;C&gt;1&lt;/C&gt;&lt;D xsi:type="xsd:double"&gt;2.2012715&lt;/D&gt;&lt;/FQL&gt;&lt;FQL&gt;&lt;Q&gt;TSM-US^P_BETA_LOCIDX(45512,45337,,"SPX")&lt;/Q&gt;&lt;R&gt;1&lt;/R&gt;&lt;C&gt;1&lt;/C&gt;&lt;D xsi:type="xsd:double"&gt;2.188567&lt;/D&gt;&lt;/FQL&gt;&lt;FQL&gt;&lt;Q&gt;TSM-US^P_BETA_LOCIDX(45511,45336,,"SPX")&lt;/Q&gt;&lt;R&gt;1&lt;/R&gt;&lt;C&gt;1&lt;/C&gt;&lt;D xsi:type="xsd:double"&gt;2.148722&lt;/D&gt;&lt;/FQL&gt;&lt;FQL&gt;&lt;Q&gt;TSM-US^P_BETA_LOCIDX(45510,45335,,"SPX")&lt;/Q&gt;&lt;R&gt;1&lt;/R&gt;&lt;C&gt;1&lt;/C&gt;&lt;D xsi:type="xsd:double"&gt;2.1517496&lt;/D&gt;&lt;/FQL&gt;&lt;FQL&gt;&lt;Q&gt;TSM-US^P_BETA_LOCIDX(45509,45334,,"SPX")&lt;/Q&gt;&lt;R&gt;1&lt;/R&gt;&lt;C&gt;1&lt;/C&gt;&lt;D xsi:type="xsd:double"&gt;2.1187847&lt;/D&gt;&lt;/FQL&gt;&lt;FQL&gt;&lt;Q&gt;TSM-US^P_BETA_LOCIDX(45506,45331,,"SPX")&lt;/Q&gt;&lt;R&gt;1&lt;/R&gt;&lt;C&gt;1&lt;/C&gt;&lt;D xsi:type="xsd:double"&gt;2.3355896&lt;/D&gt;&lt;/FQL&gt;&lt;FQL&gt;&lt;Q&gt;TSM-US^P_BETA_LOCIDX(45505,45330,,"SPX")&lt;/Q&gt;&lt;R&gt;1&lt;/R&gt;&lt;C&gt;1&lt;/C&gt;&lt;D xsi:type="xsd:double"&gt;2.3046675&lt;/D&gt;&lt;/FQL&gt;&lt;FQL&gt;&lt;Q&gt;TSM-US^P_BETA_LOCIDX(45504,45329,,"SPX")&lt;/Q&gt;&lt;R&gt;1&lt;/R&gt;&lt;C&gt;1&lt;/C&gt;&lt;D xsi:type="xsd:double"&gt;2.3016357&lt;/D&gt;&lt;/FQL&gt;&lt;FQL&gt;&lt;Q&gt;TSM-US^P_BETA_LOCIDX(45503,45328,,"SPX")&lt;/Q&gt;&lt;R&gt;1&lt;/R&gt;&lt;C&gt;1&lt;/C&gt;&lt;D xsi:type="xsd:double"&gt;2.2112012&lt;/D&gt;&lt;/FQL&gt;&lt;FQL&gt;&lt;Q&gt;TSM-US^P_BETA_LOCIDX(45502,45327,,"SPX")&lt;/Q&gt;&lt;R&gt;1&lt;/R&gt;&lt;C&gt;1&lt;/C&gt;&lt;D xsi:type="xsd:double"&gt;2.1655712&lt;/D&gt;&lt;/FQL&gt;&lt;FQL&gt;&lt;Q&gt;TSM-US^P_BETA_LOCIDX(45499,45324,,"SPX")&lt;/Q&gt;&lt;R&gt;1&lt;/R&gt;&lt;C&gt;1&lt;/C&gt;&lt;D xsi:type="xsd:double"&gt;2.1596017&lt;/D&gt;&lt;/FQL&gt;&lt;FQL&gt;&lt;Q&gt;TSM-US^P_BETA_LOCIDX(45498,45323,,"SPX")&lt;/Q&gt;&lt;R&gt;1&lt;/R&gt;&lt;C&gt;1&lt;/C&gt;&lt;D xsi:type="xsd:double"&gt;2.137737&lt;/D&gt;&lt;/FQL&gt;&lt;FQL&gt;&lt;Q&gt;TSM-US^P_BETA_LOCIDX(45497,45322,,"SPX")&lt;/Q&gt;&lt;R&gt;1&lt;/R&gt;&lt;C&gt;1&lt;/C&gt;&lt;D xsi:type="xsd:double"&gt;2.1323826&lt;/D&gt;&lt;/FQL&gt;&lt;FQL&gt;&lt;Q&gt;TSM-US^P_BETA_LOCIDX(45496,45321,,"SPX")&lt;/Q&gt;&lt;R&gt;1&lt;/R&gt;&lt;C&gt;1&lt;/C&gt;&lt;D xsi:type="xsd:double"&gt;2.088702&lt;/D&gt;&lt;/FQL&gt;&lt;FQL&gt;&lt;Q&gt;TSM-US^P_BETA_LOCIDX(45495,45320,,"SPX")&lt;/Q&gt;&lt;R&gt;1&lt;/R&gt;&lt;C&gt;1&lt;/C&gt;&lt;D xsi:type="xsd:double"&gt;2.0690107&lt;/D&gt;&lt;/FQL&gt;&lt;FQL&gt;&lt;Q&gt;TSM-US^P_BETA_LOCIDX(45492,45317,,"SPX")&lt;/Q&gt;&lt;R&gt;1&lt;/R&gt;&lt;C&gt;1&lt;/C&gt;&lt;D xsi:type="xsd:double"&gt;2.0703182&lt;/D&gt;&lt;/FQL&gt;&lt;FQL&gt;&lt;Q&gt;TSM-US^P_BETA_LOCIDX(45491,45316,,"SPX")&lt;/Q&gt;&lt;R&gt;1&lt;/R&gt;&lt;C&gt;1&lt;/C&gt;&lt;D xsi:type="xsd:double"&gt;2.0294538&lt;/D&gt;&lt;/FQL&gt;&lt;FQL&gt;&lt;Q&gt;TSM-US^P_BETA_LOCIDX(45490,45315,,"SPX")&lt;/Q&gt;&lt;R&gt;1&lt;/R&gt;&lt;C&gt;1&lt;/C&gt;&lt;D xsi:type="xsd:double"&gt;2.058432&lt;/D&gt;&lt;/FQL&gt;&lt;FQL&gt;&lt;Q&gt;TSM-US^P_BETA_LOCIDX(45489,45314,,"SPX")&lt;/Q&gt;&lt;R&gt;1&lt;/R&gt;&lt;C&gt;1&lt;/C&gt;&lt;D xsi:type="xsd:double"&gt;1.9084266&lt;/D&gt;&lt;/FQL&gt;&lt;FQL&gt;&lt;Q&gt;TSM-US^P_BETA_LOCIDX(45488,45313,,"SPX")&lt;/Q&gt;&lt;R&gt;1&lt;/R&gt;&lt;C&gt;1&lt;/C&gt;&lt;D xsi:type="xsd:double"&gt;1.9149517&lt;/D&gt;&lt;/FQL&gt;&lt;FQL&gt;&lt;Q&gt;TSM-US^P_BETA_LOCIDX(45485,45310,,"SPX")&lt;/Q&gt;&lt;R&gt;1&lt;/R&gt;&lt;C&gt;1&lt;/C&gt;&lt;D xsi:type="xsd:double"&gt;1.8894&lt;/D&gt;&lt;/FQL&gt;&lt;FQL&gt;&lt;Q&gt;TSM-US^P_BETA_LOCIDX(45484,45309,,"SPX")&lt;/Q&gt;&lt;R&gt;1&lt;/R&gt;&lt;C&gt;1&lt;/C&gt;&lt;D xsi:type="xsd:double"&gt;1.9957631&lt;/D&gt;&lt;/FQL&gt;&lt;FQL&gt;&lt;Q&gt;TSM-US^P_BETA_LOCIDX(45483,45308,,"SPX")&lt;/Q&gt;&lt;R&gt;1&lt;/R&gt;&lt;C&gt;1&lt;/C&gt;&lt;D xsi:type="xsd:double"&gt;1.9314052&lt;/D&gt;&lt;/FQL&gt;&lt;FQL&gt;&lt;Q&gt;TSM-US^P_BETA_LOCIDX(45482,45307,,"SPX")&lt;/Q&gt;&lt;R&gt;1&lt;/R&gt;&lt;C&gt;1&lt;/C&gt;&lt;D xsi:type="xsd:double"&gt;1.901603&lt;/D&gt;&lt;/FQL&gt;&lt;FQL&gt;&lt;Q&gt;TSM-US^P_BETA_LOCIDX(45481,45303,,"SPX")&lt;/Q&gt;&lt;R&gt;1&lt;/R&gt;&lt;C&gt;1&lt;/C&gt;&lt;D xsi:type="xsd:double"&gt;1.9004077&lt;/D&gt;&lt;/FQL&gt;&lt;FQL&gt;&lt;Q&gt;TSM-US^P_BETA_LOCIDX(45478,45302,,"SPX")&lt;/Q&gt;&lt;R&gt;1&lt;/R&gt;&lt;C&gt;1&lt;/C&gt;&lt;D xsi:type="xsd:double"&gt;1.8999397&lt;/D&gt;&lt;/FQL&gt;&lt;FQL&gt;&lt;Q&gt;TSM-US^P_BETA_LOCIDX(45476,45301,,"SPX")&lt;/Q&gt;&lt;R&gt;1&lt;/R&gt;&lt;C&gt;1&lt;/C&gt;&lt;D xsi:type="xsd:double"&gt;1.8837932&lt;/D&gt;&lt;/FQL&gt;&lt;FQL&gt;&lt;Q&gt;TSM-US^P_BETA_LOCIDX(45475,45300,,"SPX")&lt;/Q&gt;&lt;R&gt;1&lt;/R&gt;&lt;C&gt;1&lt;/C&gt;&lt;D xsi:type="xsd:double"&gt;1.8663268&lt;/D&gt;&lt;/FQL&gt;&lt;FQL&gt;&lt;Q&gt;TSM-US^P_BETA_LOCIDX(45474,45299,,"SPX")&lt;/Q&gt;&lt;R&gt;1&lt;/R&gt;&lt;C&gt;1&lt;/C&gt;&lt;D xsi:type="xsd:double"&gt;1.8556877&lt;/D&gt;&lt;/FQL&gt;&lt;FQL&gt;&lt;Q&gt;TSM-US^P_BETA_LOCIDX(45471,45296,,"SPX")&lt;/Q&gt;&lt;R&gt;1&lt;/R&gt;&lt;C&gt;1&lt;/C&gt;&lt;D xsi:type="xsd:double"&gt;1.8596543&lt;/D&gt;&lt;/FQL&gt;&lt;FQL&gt;&lt;Q&gt;TSM-US^P_BETA_LOCIDX(45470,45295,,"SPX")&lt;/Q&gt;&lt;R&gt;1&lt;/R&gt;&lt;C&gt;1&lt;/C&gt;&lt;D xsi:type="xsd:double"&gt;1.8828433&lt;/D&gt;&lt;/FQL&gt;&lt;FQL&gt;&lt;Q&gt;TSM-US^P_BETA_LOCIDX(45469,45294,,"SPX")&lt;/Q&gt;&lt;R&gt;1&lt;/R&gt;&lt;C&gt;1&lt;/C&gt;&lt;D xsi:type="xsd:double"&gt;1.8834958&lt;/D&gt;&lt;/FQL&gt;&lt;FQL&gt;&lt;Q&gt;TSM-US^P_BETA_LOCIDX(45468,45293,,"SPX")&lt;/Q&gt;&lt;R&gt;1&lt;/R&gt;&lt;C&gt;1&lt;/C&gt;&lt;D xsi:type="xsd:double"&gt;1.9029973&lt;/D&gt;&lt;/FQL&gt;&lt;FQL&gt;&lt;Q&gt;TSM-US^P_BETA_LOCIDX(45467,45289,,"SPX")&lt;/Q&gt;&lt;R&gt;1&lt;/R&gt;&lt;C&gt;1&lt;/C&gt;&lt;D xsi:type="xsd:double"&gt;1.8959811&lt;/D&gt;&lt;/FQL&gt;&lt;FQL&gt;&lt;Q&gt;TSM-US^P_BETA_LOCIDX(45464,45288,,"SPX")&lt;/Q&gt;&lt;R&gt;1&lt;/R&gt;&lt;C&gt;1&lt;/C&gt;&lt;D xsi:type="xsd:double"&gt;1.8724746&lt;/D&gt;&lt;/FQL&gt;&lt;FQL&gt;&lt;Q&gt;TSM-US^P_BETA_LOCIDX(45463,45287,,"SPX")&lt;/Q&gt;&lt;R&gt;1&lt;/R&gt;&lt;C&gt;1&lt;/C&gt;&lt;D xsi:type="xsd:double"&gt;1.8686383&lt;/D&gt;&lt;/FQL&gt;&lt;FQL&gt;&lt;Q&gt;TSM-US^P_BETA_LOCIDX(45461,45286,,"SPX")&lt;/Q&gt;&lt;R&gt;1&lt;/R&gt;&lt;C&gt;1&lt;/C&gt;&lt;D xsi:type="xsd:double"&gt;1.8553194&lt;/D&gt;&lt;/FQL&gt;&lt;FQL&gt;&lt;Q&gt;TSM-US^P_BETA_LOCIDX(45460,45282,,"SPX")&lt;/Q&gt;&lt;R&gt;1&lt;/R&gt;&lt;C&gt;1&lt;/C&gt;&lt;D xsi:type="xsd:double"&gt;1.8537807&lt;/D&gt;&lt;/FQL&gt;&lt;FQL&gt;&lt;Q&gt;TSM-US^P_BETA_LOCIDX(45457,45281,,"SPX")&lt;/Q&gt;&lt;R&gt;1&lt;/R&gt;&lt;C&gt;1&lt;/C&gt;&lt;D xsi:type="xsd:double"&gt;1.8470846&lt;/D&gt;&lt;/FQL&gt;&lt;FQL&gt;&lt;Q&gt;TSM-US^P_BETA_LOCIDX(45456,45280,,"SPX")&lt;/Q&gt;&lt;R&gt;1&lt;/R&gt;&lt;C&gt;1&lt;/C&gt;&lt;D xsi:type="xsd:double"&gt;1.879178&lt;/D&gt;&lt;/FQL&gt;&lt;FQL&gt;&lt;Q&gt;TSM-US^P_BETA_LOCIDX(45455,45279,,"SPX")&lt;/Q&gt;&lt;R&gt;1&lt;/R&gt;&lt;C&gt;1&lt;/C&gt;&lt;D xsi:type="xsd:double"&gt;1.8771938&lt;/D&gt;&lt;/FQL&gt;&lt;FQL&gt;&lt;Q&gt;TSM-US^P_BETA_LOCIDX(45454,45278,,"SPX")&lt;/Q&gt;&lt;R&gt;1&lt;/R&gt;&lt;C&gt;1&lt;/C&gt;&lt;D xsi:type="xsd:double"&gt;1.840613&lt;/D&gt;&lt;/FQL&gt;&lt;FQL&gt;&lt;Q&gt;TSM-US^P_BETA_LOCIDX(45453,45275,,"SPX")&lt;/Q&gt;&lt;R&gt;1&lt;/R&gt;&lt;C&gt;1&lt;/C&gt;&lt;D xsi:type="xsd:double"&gt;1.8488747&lt;/D&gt;&lt;/FQL&gt;&lt;FQL&gt;&lt;Q&gt;TSM-US^P_BETA_LOCIDX(45450,45274,,"SPX")&lt;/Q&gt;&lt;R&gt;1&lt;/R&gt;&lt;C&gt;1&lt;/C&gt;&lt;D xsi:type="xsd:double"&gt;1.8463513&lt;/D&gt;&lt;/FQL&gt;&lt;FQL&gt;&lt;Q&gt;TSM-US^P_BETA_LOCIDX(45449,45273,,"SPX")&lt;/Q&gt;&lt;R&gt;1&lt;/R&gt;&lt;C&gt;1&lt;/C&gt;&lt;D xsi:type="xsd:double"&gt;1.8053536&lt;/D&gt;&lt;/FQL&gt;&lt;FQL&gt;&lt;Q&gt;TSM-US^P_BETA_LOCIDX(45448,45272,,"SPX")&lt;/Q&gt;&lt;R&gt;1&lt;/R&gt;&lt;C&gt;1&lt;/C&gt;&lt;D xsi:type="xsd:double"&gt;1</t>
        </r>
      </text>
    </comment>
    <comment ref="A22" authorId="0" shapeId="0" xr:uid="{2F6209EF-82A9-4FD5-98E4-834FF1AC6F27}">
      <text>
        <r>
          <rPr>
            <b/>
            <sz val="9"/>
            <color indexed="81"/>
            <rFont val="Tahoma"/>
            <charset val="1"/>
          </rPr>
          <t>.8015631&lt;/D&gt;&lt;/FQL&gt;&lt;FQL&gt;&lt;Q&gt;TSM-US^P_BETA_LOCIDX(45447,45271,,"SPX")&lt;/Q&gt;&lt;R&gt;1&lt;/R&gt;&lt;C&gt;1&lt;/C&gt;&lt;D xsi:type="xsd:double"&gt;1.7180241&lt;/D&gt;&lt;/FQL&gt;&lt;FQL&gt;&lt;Q&gt;TSM-US^P_BETA_LOCIDX(45446,45268,,"SPX")&lt;/Q&gt;&lt;R&gt;1&lt;/R&gt;&lt;C&gt;1&lt;/C&gt;&lt;D xsi:type="xsd:double"&gt;1.7200425&lt;/D&gt;&lt;/FQL&gt;&lt;FQL&gt;&lt;Q&gt;TSM-US^P_BETA_LOCIDX(45443,45267,,"SPX")&lt;/Q&gt;&lt;R&gt;1&lt;/R&gt;&lt;C&gt;1&lt;/C&gt;&lt;D xsi:type="xsd:double"&gt;1.7195737&lt;/D&gt;&lt;/FQL&gt;&lt;FQL&gt;&lt;Q&gt;TSM-US^P_BETA_LOCIDX(45442,45266,,"SPX")&lt;/Q&gt;&lt;R&gt;1&lt;/R&gt;&lt;C&gt;1&lt;/C&gt;&lt;D xsi:type="xsd:double"&gt;1.737609&lt;/D&gt;&lt;/FQL&gt;&lt;FQL&gt;&lt;Q&gt;TSM-US^P_BETA_LOCIDX(45441,45265,,"SPX")&lt;/Q&gt;&lt;R&gt;1&lt;/R&gt;&lt;C&gt;1&lt;/C&gt;&lt;D xsi:type="xsd:double"&gt;1.7381917&lt;/D&gt;&lt;/FQL&gt;&lt;FQL&gt;&lt;Q&gt;TSM-US^P_BETA_LOCIDX(45440,45264,,"SPX")&lt;/Q&gt;&lt;R&gt;1&lt;/R&gt;&lt;C&gt;1&lt;/C&gt;&lt;D xsi:type="xsd:double"&gt;1.7166325&lt;/D&gt;&lt;/FQL&gt;&lt;FQL&gt;&lt;Q&gt;TSM-US^P_BETA_LOCIDX(45436,45261,,"SPX")&lt;/Q&gt;&lt;R&gt;1&lt;/R&gt;&lt;C&gt;1&lt;/C&gt;&lt;D xsi:type="xsd:double"&gt;1.7159649&lt;/D&gt;&lt;/FQL&gt;&lt;FQL&gt;&lt;Q&gt;TSM-US^P_BETA_LOCIDX(45435,45260,,"SPX")&lt;/Q&gt;&lt;R&gt;1&lt;/R&gt;&lt;C&gt;1&lt;/C&gt;&lt;D xsi:type="xsd:double"&gt;1.7009404&lt;/D&gt;&lt;/FQL&gt;&lt;FQL&gt;&lt;Q&gt;TSM-US^P_BETA_LOCIDX(45434,45259,,"SPX")&lt;/Q&gt;&lt;R&gt;1&lt;/R&gt;&lt;C&gt;1&lt;/C&gt;&lt;D xsi:type="xsd:double"&gt;1.7225176&lt;/D&gt;&lt;/FQL&gt;&lt;FQL&gt;&lt;Q&gt;TSM-US^P_BETA_LOCIDX(45433,45258,,"SPX")&lt;/Q&gt;&lt;R&gt;1&lt;/R&gt;&lt;C&gt;1&lt;/C&gt;&lt;D xsi:type="xsd:double"&gt;1.7355245&lt;/D&gt;&lt;/FQL&gt;&lt;FQL&gt;&lt;Q&gt;TSM-US^P_BETA_LOCIDX(45432,45257,,"SPX")&lt;/Q&gt;&lt;R&gt;1&lt;/R&gt;&lt;C&gt;1&lt;/C&gt;&lt;D xsi:type="xsd:double"&gt;1.7392888&lt;/D&gt;&lt;/FQL&gt;&lt;FQL&gt;&lt;Q&gt;TSM-US^P_BETA_LOCIDX(45429,45254,,"SPX")&lt;/Q&gt;&lt;R&gt;1&lt;/R&gt;&lt;C&gt;1&lt;/C&gt;&lt;D xsi:type="xsd:double"&gt;1.7411704&lt;/D&gt;&lt;/FQL&gt;&lt;FQL&gt;&lt;Q&gt;TSM-US^P_BETA_LOCIDX(45428,45252,,"SPX")&lt;/Q&gt;&lt;R&gt;1&lt;/R&gt;&lt;C&gt;1&lt;/C&gt;&lt;D xsi:type="xsd:double"&gt;1.738024&lt;/D&gt;&lt;/FQL&gt;&lt;FQL&gt;&lt;Q&gt;TSM-US^P_BETA_LOCIDX(45427,45251,,"SPX")&lt;/Q&gt;&lt;R&gt;1&lt;/R&gt;&lt;C&gt;1&lt;/C&gt;&lt;D xsi:type="xsd:double"&gt;1.7343997&lt;/D&gt;&lt;/FQL&gt;&lt;FQL&gt;&lt;Q&gt;TSM-US^P_BETA_LOCIDX(45426,45250,,"SPX")&lt;/Q&gt;&lt;R&gt;1&lt;/R&gt;&lt;C&gt;1&lt;/C&gt;&lt;D xsi:type="xsd:double"&gt;1.719394&lt;/D&gt;&lt;/FQL&gt;&lt;FQL&gt;&lt;Q&gt;TSM-US^P_BETA_LOCIDX(45425,45247,,"SPX")&lt;/Q&gt;&lt;R&gt;1&lt;/R&gt;&lt;C&gt;1&lt;/C&gt;&lt;D xsi:type="xsd:double"&gt;1.7017001&lt;/D&gt;&lt;/FQL&gt;&lt;FQL&gt;&lt;Q&gt;TSM-US^P_BETA_LOCIDX(45422,45246,,"SPX")&lt;/Q&gt;&lt;R&gt;1&lt;/R&gt;&lt;C&gt;1&lt;/C&gt;&lt;D xsi:type="xsd:double"&gt;1.6964821&lt;/D&gt;&lt;/FQL&gt;&lt;FQL&gt;&lt;Q&gt;TSM-US^P_BETA_LOCIDX(45421,45245,,"SPX")&lt;/Q&gt;&lt;R&gt;1&lt;/R&gt;&lt;C&gt;1&lt;/C&gt;&lt;D xsi:type="xsd:double"&gt;1.6932622&lt;/D&gt;&lt;/FQL&gt;&lt;FQL&gt;&lt;Q&gt;TSM-US^P_BETA_LOCIDX(45420,45244,,"SPX")&lt;/Q&gt;&lt;R&gt;1&lt;/R&gt;&lt;C&gt;1&lt;/C&gt;&lt;D xsi:type="xsd:double"&gt;1.680276&lt;/D&gt;&lt;/FQL&gt;&lt;FQL&gt;&lt;Q&gt;TSM-US^P_BETA_LOCIDX(45419,45243,,"SPX")&lt;/Q&gt;&lt;R&gt;1&lt;/R&gt;&lt;C&gt;1&lt;/C&gt;&lt;D xsi:type="xsd:double"&gt;1.6878047&lt;/D&gt;&lt;/FQL&gt;&lt;FQL&gt;&lt;Q&gt;TSM-US^P_BETA_LOCIDX(45418,45240,,"SPX")&lt;/Q&gt;&lt;R&gt;1&lt;/R&gt;&lt;C&gt;1&lt;/C&gt;&lt;D xsi:type="xsd:double"&gt;1.7702826&lt;/D&gt;&lt;/FQL&gt;&lt;FQL&gt;&lt;Q&gt;TSM-US^P_BETA_LOCIDX(45415,45239,,"SPX")&lt;/Q&gt;&lt;R&gt;1&lt;/R&gt;&lt;C&gt;1&lt;/C&gt;&lt;D xsi:type="xsd:double"&gt;1.7722179&lt;/D&gt;&lt;/FQL&gt;&lt;FQL&gt;&lt;Q&gt;TSM-US^P_BETA_LOCIDX(45414,45238,,"SPX")&lt;/Q&gt;&lt;R&gt;1&lt;/R&gt;&lt;C&gt;1&lt;/C&gt;&lt;D xsi:type="xsd:double"&gt;1.7436869&lt;/D&gt;&lt;/FQL&gt;&lt;FQL&gt;&lt;Q&gt;TSM-US^P_BETA_LOCIDX(45413,45237,,"SPX")&lt;/Q&gt;&lt;R&gt;1&lt;/R&gt;&lt;C&gt;1&lt;/C&gt;&lt;D xsi:type="xsd:double"&gt;1.7515374&lt;/D&gt;&lt;/FQL&gt;&lt;FQL&gt;&lt;Q&gt;TSM-US^P_BETA_LOCIDX(45412,45236,,"SPX")&lt;/Q&gt;&lt;R&gt;1&lt;/R&gt;&lt;C&gt;1&lt;/C&gt;&lt;D xsi:type="xsd:double"&gt;1.7420113&lt;/D&gt;&lt;/FQL&gt;&lt;FQL&gt;&lt;Q&gt;TSM-US^P_BETA_LOCIDX(45411,45233,,"SPX")&lt;/Q&gt;&lt;R&gt;1&lt;/R&gt;&lt;C&gt;1&lt;/C&gt;&lt;D xsi:type="xsd:double"&gt;1.7898495&lt;/D&gt;&lt;/FQL&gt;&lt;FQL&gt;&lt;Q&gt;TSM-US^P_BETA_LOCIDX(45408,45232,,"SPX")&lt;/Q&gt;&lt;R&gt;1&lt;/R&gt;&lt;C&gt;1&lt;/C&gt;&lt;D xsi:type="xsd:double"&gt;1.7786369&lt;/D&gt;&lt;/FQL&gt;&lt;FQL&gt;&lt;Q&gt;TSM-US^P_BETA_LOCIDX(45407,45231,,"SPX")&lt;/Q&gt;&lt;R&gt;1&lt;/R&gt;&lt;C&gt;1&lt;/C&gt;&lt;D xsi:type="xsd:double"&gt;1.7844229&lt;/D&gt;&lt;/FQL&gt;&lt;FQL&gt;&lt;Q&gt;TSM-US^P_BETA_LOCIDX(45406,45230,,"SPX")&lt;/Q&gt;&lt;R&gt;1&lt;/R&gt;&lt;C&gt;1&lt;/C&gt;&lt;D xsi:type="xsd:double"&gt;1.8116201&lt;/D&gt;&lt;/FQL&gt;&lt;FQL&gt;&lt;Q&gt;TSM-US^P_BETA_LOCIDX(45405,45229,,"SPX")&lt;/Q&gt;&lt;R&gt;1&lt;/R&gt;&lt;C&gt;1&lt;/C&gt;&lt;D xsi:type="xsd:double"&gt;1.7740713&lt;/D&gt;&lt;/FQL&gt;&lt;FQL&gt;&lt;Q&gt;TSM-US^P_BETA_LOCIDX(45404,45226,,"SPX")&lt;/Q&gt;&lt;R&gt;1&lt;/R&gt;&lt;C&gt;1&lt;/C&gt;&lt;D xsi:type="xsd:double"&gt;1.77266&lt;/D&gt;&lt;/FQL&gt;&lt;FQL&gt;&lt;Q&gt;TSM-US^P_BETA_LOCIDX(45401,45225,,"SPX")&lt;/Q&gt;&lt;R&gt;1&lt;/R&gt;&lt;C&gt;1&lt;/C&gt;&lt;D xsi:type="xsd:double"&gt;1.7339162&lt;/D&gt;&lt;/FQL&gt;&lt;FQL&gt;&lt;Q&gt;TSM-US^P_BETA_LOCIDX(45400,45224,,"SPX")&lt;/Q&gt;&lt;R&gt;1&lt;/R&gt;&lt;C&gt;1&lt;/C&gt;&lt;D xsi:type="xsd:double"&gt;1.7502409&lt;/D&gt;&lt;/FQL&gt;&lt;FQL&gt;&lt;Q&gt;TSM-US^P_BETA_LOCIDX(45399,45223,,"SPX")&lt;/Q&gt;&lt;R&gt;1&lt;/R&gt;&lt;C&gt;1&lt;/C&gt;&lt;D xsi:type="xsd:double"&gt;1.7168936&lt;/D&gt;&lt;/FQL&gt;&lt;FQL&gt;&lt;Q&gt;TSM-US^P_BETA_LOCIDX(45398,45222,,"SPX")&lt;/Q&gt;&lt;R&gt;1&lt;/R&gt;&lt;C&gt;1&lt;/C&gt;&lt;D xsi:type="xsd:double"&gt;1.7208487&lt;/D&gt;&lt;/FQL&gt;&lt;FQL&gt;&lt;Q&gt;TSM-US^P_BETA_LOCIDX(45397,45219,,"SPX")&lt;/Q&gt;&lt;R&gt;1&lt;/R&gt;&lt;C&gt;1&lt;/C&gt;&lt;D xsi:type="xsd:double"&gt;1.7137798&lt;/D&gt;&lt;/FQL&gt;&lt;FQL&gt;&lt;Q&gt;TSM-US^P_BETA_LOCIDX(45394,45218,,"SPX")&lt;/Q&gt;&lt;R&gt;1&lt;/R&gt;&lt;C&gt;1&lt;/C&gt;&lt;D xsi:type="xsd:double"&gt;1.6418331&lt;/D&gt;&lt;/FQL&gt;&lt;FQL&gt;&lt;Q&gt;TSM-US^P_BETA_LOCIDX(45393,45217,,"SPX")&lt;/Q&gt;&lt;R&gt;1&lt;/R&gt;&lt;C&gt;1&lt;/C&gt;&lt;D xsi:type="xsd:double"&gt;1.6063925&lt;/D&gt;&lt;/FQL&gt;&lt;FQL&gt;&lt;Q&gt;TSM-US^P_BETA_LOCIDX(45392,45216,,"SPX")&lt;/Q&gt;&lt;R&gt;1&lt;/R&gt;&lt;C&gt;1&lt;/C&gt;&lt;D xsi:type="xsd:double"&gt;1.614129&lt;/D&gt;&lt;/FQL&gt;&lt;FQL&gt;&lt;Q&gt;TSM-US^P_BETA_LOCIDX(45391,45215,,"SPX")&lt;/Q&gt;&lt;R&gt;1&lt;/R&gt;&lt;C&gt;1&lt;/C&gt;&lt;D xsi:type="xsd:double"&gt;1.6321532&lt;/D&gt;&lt;/FQL&gt;&lt;FQL&gt;&lt;Q&gt;TSM-US^P_BETA_LOCIDX(45390,45212,,"SPX")&lt;/Q&gt;&lt;R&gt;1&lt;/R&gt;&lt;C&gt;1&lt;/C&gt;&lt;D xsi:type="xsd:double"&gt;1.6472692&lt;/D&gt;&lt;/FQL&gt;&lt;FQL&gt;&lt;Q&gt;TSM-US^P_BETA_LOCIDX(45387,45211,,"SPX")&lt;/Q&gt;&lt;R&gt;1&lt;/R&gt;&lt;C&gt;1&lt;/C&gt;&lt;D xsi:type="xsd:double"&gt;1.6337504&lt;/D&gt;&lt;/FQL&gt;&lt;FQL&gt;&lt;Q&gt;TSM-US^P_BETA_LOCIDX(45386,45210,,"SPX")&lt;/Q&gt;&lt;R&gt;1&lt;/R&gt;&lt;C&gt;1&lt;/C&gt;&lt;D xsi:type="xsd:double"&gt;1.6481612&lt;/D&gt;&lt;/FQL&gt;&lt;FQL&gt;&lt;Q&gt;TSM-US^P_BETA_LOCIDX(45385,45209,,"SPX")&lt;/Q&gt;&lt;R&gt;1&lt;/R&gt;&lt;C&gt;1&lt;/C&gt;&lt;D xsi:type="xsd:double"&gt;1.658287&lt;/D&gt;&lt;/FQL&gt;&lt;FQL&gt;&lt;Q&gt;TSM-US^P_BETA_LOCIDX(45384,45208,,"SPX")&lt;/Q&gt;&lt;R&gt;1&lt;/R&gt;&lt;C&gt;1&lt;/C&gt;&lt;D xsi:type="xsd:double"&gt;1.6473547&lt;/D&gt;&lt;/FQL&gt;&lt;FQL&gt;&lt;Q&gt;TSM-US^P_BETA_LOCIDX(45383,45205,,"SPX")&lt;/Q&gt;&lt;R&gt;1&lt;/R&gt;&lt;C&gt;1&lt;/C&gt;&lt;D xsi:type="xsd:double"&gt;1.6580521&lt;/D&gt;&lt;/FQL&gt;&lt;FQL&gt;&lt;Q&gt;TSM-US^P_BETA_LOCIDX(45379,45204,,"SPX")&lt;/Q&gt;&lt;R&gt;1&lt;/R&gt;&lt;C&gt;1&lt;/C&gt;&lt;D xsi:type="xsd:double"&gt;1.6810846&lt;/D&gt;&lt;/FQL&gt;&lt;FQL&gt;&lt;Q&gt;TSM-US^P_BETA_LOCIDX(45378,45203,,"SPX")&lt;/Q&gt;&lt;R&gt;1&lt;/R&gt;&lt;C&gt;1&lt;/C&gt;&lt;D xsi:type="xsd:double"&gt;1.6803576&lt;/D&gt;&lt;/FQL&gt;&lt;FQL&gt;&lt;Q&gt;TSM-US^P_BETA_LOCIDX(45377,45202,,"SPX")&lt;/Q&gt;&lt;R&gt;1&lt;/R&gt;&lt;C&gt;1&lt;/C&gt;&lt;D xsi:type="xsd:double"&gt;1.7225853&lt;/D&gt;&lt;/FQL&gt;&lt;FQL&gt;&lt;Q&gt;TSM-US^P_BETA_LOCIDX(45376,45201,,"SPX")&lt;/Q&gt;&lt;R&gt;1&lt;/R&gt;&lt;C&gt;1&lt;/C&gt;&lt;D xsi:type="xsd:double"&gt;1.7164274&lt;/D&gt;&lt;/FQL&gt;&lt;FQL&gt;&lt;Q&gt;TSM-US^P_BETA_LOCIDX(45373,45198,,"SPX")&lt;/Q&gt;&lt;R&gt;1&lt;/R&gt;&lt;C&gt;1&lt;/C&gt;&lt;D xsi:type="xsd:double"&gt;1.7115661&lt;/D&gt;&lt;/FQL&gt;&lt;FQL&gt;&lt;Q&gt;TSM-US^P_BETA_LOCIDX(45372,45197,,"SPX")&lt;/Q&gt;&lt;R&gt;1&lt;/R&gt;&lt;C&gt;1&lt;/C&gt;&lt;D xsi:type="xsd:double"&gt;1.7157326&lt;/D&gt;&lt;/FQL&gt;&lt;FQL&gt;&lt;Q&gt;TSM-US^P_BETA_LOCIDX(45371,45196,,"SPX")&lt;/Q&gt;&lt;R&gt;1&lt;/R&gt;&lt;C&gt;1&lt;/C&gt;&lt;D xsi:type="xsd:double"&gt;1.7099302&lt;/D&gt;&lt;/FQL&gt;&lt;FQL&gt;&lt;Q&gt;TSM-US^P_BETA_LOCIDX(45370,45195,,"SPX")&lt;/Q&gt;&lt;R&gt;1&lt;/R&gt;&lt;C&gt;1&lt;/C&gt;&lt;D xsi:type="xsd:double"&gt;1.7098236&lt;/D&gt;&lt;/FQL&gt;&lt;FQL&gt;&lt;Q&gt;TSM-US^P_BETA_LOCIDX(45369,45194,,"SPX")&lt;/Q&gt;&lt;R&gt;1&lt;/R&gt;&lt;C&gt;1&lt;/C&gt;&lt;D xsi:type="xsd:double"&gt;1.7244372&lt;/D&gt;&lt;/FQL&gt;&lt;FQL&gt;&lt;Q&gt;TSM-US^P_BETA_LOCIDX(45366,45191,,"SPX")&lt;/Q&gt;&lt;R&gt;1&lt;/R&gt;&lt;C&gt;1&lt;/C&gt;&lt;D xsi:type="xsd:double"&gt;1.7323138&lt;/D&gt;&lt;/FQL&gt;&lt;FQL&gt;&lt;Q&gt;TSM-US^P_BETA_LOCIDX(45365,45190,,"SPX")&lt;/Q&gt;&lt;R&gt;1&lt;/R&gt;&lt;C&gt;1&lt;/C&gt;&lt;D xsi:type="xsd:double"&gt;1.7097806&lt;/D&gt;&lt;/FQL&gt;&lt;FQL&gt;&lt;Q&gt;TSM-US^P_BETA_LOCIDX(45364,45189,,"SPX")&lt;/Q&gt;&lt;R&gt;1&lt;/R&gt;&lt;C&gt;1&lt;/C&gt;&lt;D xsi:type="xsd:double"&gt;1.6945709&lt;/D&gt;&lt;/FQL&gt;&lt;FQL&gt;&lt;Q&gt;TSM-US^P_BETA_LOCIDX(45363,45188,,"SPX")&lt;/Q&gt;&lt;R&gt;1&lt;/R&gt;&lt;C&gt;1&lt;/C&gt;&lt;D xsi:type="xsd:double"&gt;1.6908144&lt;/D&gt;&lt;/FQL&gt;&lt;FQL&gt;&lt;Q&gt;TSM-US^P_BETA_LOCIDX(45362,45187,,"SPX")&lt;/Q&gt;&lt;R&gt;1&lt;/R&gt;&lt;C&gt;1&lt;/C&gt;&lt;D xsi:type="xsd:double"&gt;1.6655985&lt;/D&gt;&lt;/FQL&gt;&lt;FQL&gt;&lt;Q&gt;TSM-US^P_BETA_LOCIDX(45359,45184,,"SPX")&lt;/Q&gt;&lt;R&gt;1&lt;/R&gt;&lt;C&gt;1&lt;/C&gt;&lt;D xsi:type="xsd:double"&gt;1.6609484&lt;/D&gt;&lt;/FQL&gt;&lt;FQL&gt;&lt;Q&gt;TSM-US^P_BETA_LOCIDX(45358,45183,,"SPX")&lt;/Q&gt;&lt;R&gt;1&lt;/R&gt;&lt;C&gt;1&lt;/C&gt;&lt;D xsi:type="xsd:double"&gt;1.6356034&lt;/D&gt;&lt;/FQL&gt;&lt;FQL&gt;&lt;Q&gt;TSM-US^P_BETA_LOCIDX(45357,45182,,"SPX")&lt;/Q&gt;&lt;R&gt;1&lt;/R&gt;&lt;C&gt;1&lt;/C&gt;&lt;D xsi:type="xsd:double"&gt;1.5898598&lt;/D&gt;&lt;/FQL&gt;&lt;FQL&gt;&lt;Q&gt;TSM-US^P_BETA_LOCIDX(45356,45181,,"SPX")&lt;/Q&gt;&lt;R&gt;1&lt;/R&gt;&lt;C&gt;1&lt;/C&gt;&lt;D xsi:type="xsd:double"&gt;1.5510038&lt;/D&gt;&lt;/FQL&gt;&lt;FQL&gt;&lt;Q&gt;TSM-US^P_BETA_LOCIDX(45355,45180,,"SPX")&lt;/Q&gt;&lt;R&gt;1&lt;/R&gt;&lt;C&gt;1&lt;/C&gt;&lt;D xsi:type="xsd:double"&gt;1.5242813&lt;/D&gt;&lt;/FQL&gt;&lt;FQL&gt;&lt;Q&gt;TSM-US^P_BETA_LOCIDX(45352,45177,,"SPX")&lt;/Q&gt;&lt;R&gt;1&lt;/R&gt;&lt;C&gt;1&lt;/C&gt;&lt;D xsi:type="xsd:double"&gt;1.5353565&lt;/D&gt;&lt;/FQL&gt;&lt;FQL&gt;&lt;Q&gt;TSM-US^P_BETA_LOCIDX(45351,45176,,"SPX")&lt;/Q&gt;&lt;R&gt;1&lt;/R&gt;&lt;C&gt;1&lt;/C&gt;&lt;D xsi:type="xsd:double"&gt;1.5215105&lt;/D&gt;&lt;/FQL&gt;&lt;FQL&gt;&lt;Q&gt;TSM-US^P_BETA_LOCIDX(45350,45175,,"SPX")&lt;/Q&gt;&lt;R&gt;1&lt;/R&gt;&lt;C&gt;1&lt;/C&gt;&lt;D xsi:type="xsd:double"&gt;1.5387167&lt;/D&gt;&lt;/FQL&gt;&lt;FQL&gt;&lt;Q&gt;TSM-US^P_BETA_LOCIDX(45349,45174,,"SPX")&lt;/Q&gt;&lt;R&gt;1&lt;/R&gt;&lt;C&gt;1&lt;/C&gt;&lt;D xsi:type="xsd:double"&gt;1.5202773&lt;/D&gt;&lt;/FQL&gt;&lt;FQL&gt;&lt;Q&gt;TSM-US^P_BETA_LOCIDX(45348,45170,,"SPX")&lt;/Q&gt;&lt;R&gt;1&lt;/R&gt;&lt;C&gt;1&lt;/C&gt;&lt;D xsi:type="xsd:double"&gt;1.5213412&lt;/D&gt;&lt;/FQL&gt;&lt;FQL&gt;&lt;Q&gt;TSM-US^P_BETA_LOCIDX(45345,45169,,"SPX")&lt;/Q&gt;&lt;R&gt;1&lt;/R&gt;&lt;C&gt;1&lt;/C&gt;&lt;D xsi:type="xsd:double"&gt;1.5347795&lt;/D&gt;&lt;/FQL&gt;&lt;FQL&gt;&lt;Q&gt;TSM-US^P_BETA_LOCIDX(45344,45168,,"SPX")&lt;/Q&gt;&lt;R&gt;1&lt;/R&gt;&lt;C&gt;1&lt;/C&gt;&lt;D xsi:type="xsd:double"&gt;1.5308354&lt;/D&gt;&lt;/FQL&gt;&lt;FQL&gt;&lt;Q&gt;TSM-US^P_BETA_LOCIDX(45343,45167,,"SPX")&lt;/Q&gt;&lt;R&gt;1&lt;/R&gt;&lt;C&gt;1&lt;/C&gt;&lt;D xsi:type="xsd:double"&gt;1.5180213&lt;/D&gt;&lt;/FQL&gt;&lt;FQL&gt;&lt;Q&gt;TSM-US^P_BETA_LOCIDX(45342,45166,,"SPX")&lt;/Q&gt;&lt;R&gt;1&lt;/R&gt;&lt;C&gt;1&lt;/C&gt;&lt;D xsi:type="xsd:double"&gt;1.5174234&lt;/D&gt;&lt;/FQL&gt;&lt;FQL&gt;&lt;Q&gt;TSM-US^P_BETA_LOCIDX(45338,45163,,"SPX")&lt;/Q&gt;&lt;R&gt;1&lt;/R&gt;&lt;C&gt;1&lt;/C&gt;&lt;D xsi:type="xsd:double"&gt;1.5103008&lt;/D&gt;&lt;/FQL&gt;&lt;FQL&gt;&lt;Q&gt;TSM-US^P_BETA_LOCIDX(45337,45162,,"SPX")&lt;/Q&gt;&lt;R&gt;1&lt;/R&gt;&lt;C&gt;1&lt;/C&gt;&lt;D xsi:type="xsd:double"&gt;1.4972941&lt;/D&gt;&lt;/FQL&gt;&lt;FQL&gt;&lt;Q&gt;TSM-US^P_BETA_LOCIDX(45336,45161,,"SPX")&lt;/Q&gt;&lt;R&gt;1&lt;/R&gt;&lt;C&gt;1&lt;/C&gt;&lt;D xsi:type="xsd:double"&gt;1.5106146&lt;/D&gt;&lt;/FQL&gt;&lt;FQL&gt;&lt;Q&gt;TSM-US^P_BETA_LOCIDX(45335,45160,,"SPX")&lt;/Q&gt;&lt;R&gt;1&lt;/R&gt;&lt;C&gt;1&lt;/C&gt;&lt;D xsi:type="xsd:double"&gt;1.5137563&lt;/D&gt;&lt;/FQL&gt;&lt;FQL&gt;&lt;Q&gt;TSM-US^P_BETA_LOCIDX(45334,45159,,"SPX")&lt;/Q&gt;&lt;R&gt;1&lt;/R&gt;&lt;C&gt;1&lt;/C&gt;&lt;D xsi:type="xsd:double"&gt;1.51097&lt;/D&gt;&lt;/FQL&gt;&lt;FQL&gt;&lt;Q&gt;TSM-US^P_BETA_LOCIDX(45331,45156,,"SPX")&lt;/Q&gt;&lt;R&gt;1&lt;/R&gt;&lt;C&gt;1&lt;/C&gt;&lt;D xsi:type="xsd:double"&gt;1.5060562&lt;/D&gt;&lt;/FQL&gt;&lt;FQL&gt;&lt;Q&gt;TSM-US^P_BETA_LOCIDX(45330,45155,,"SPX")&lt;/Q&gt;&lt;R&gt;1&lt;/R&gt;&lt;C&gt;1&lt;/C&gt;&lt;D xsi:type="xsd:double"&gt;1.5050634&lt;/D&gt;&lt;/FQL&gt;&lt;FQL&gt;&lt;Q&gt;TSM-US^P_BETA_LOCIDX(45329,45154,,"SPX")&lt;/Q&gt;&lt;R&gt;1&lt;/R&gt;&lt;C&gt;1&lt;/C&gt;&lt;D xsi:type="xsd:double"&gt;1.4958544&lt;/D&gt;&lt;/FQL&gt;&lt;FQL&gt;&lt;Q&gt;TSM-US^P_BETA_LOCIDX(45328,45153,,"SPX")&lt;/Q&gt;&lt;R&gt;1&lt;/R&gt;&lt;C&gt;1&lt;/C&gt;&lt;D xsi:type="xsd:double"&gt;1.4582633&lt;/D&gt;&lt;/FQL&gt;&lt;FQL&gt;&lt;Q&gt;TSM-US^P_BETA_LOCIDX(45327,45152,,"SPX")&lt;/Q&gt;&lt;R&gt;1&lt;/R&gt;&lt;C&gt;1&lt;/C&gt;&lt;D xsi:type="xsd:double"&gt;1.4598&lt;/D&gt;&lt;/FQL&gt;&lt;FQL&gt;&lt;Q&gt;TSM-US^P_BETA_LOCIDX(45324,45149,,"SPX")&lt;/Q&gt;&lt;R&gt;1&lt;/R&gt;&lt;C&gt;1&lt;/C&gt;&lt;D xsi:type="xsd:double"&gt;1.4855422&lt;/D&gt;&lt;/FQL&gt;&lt;FQL&gt;&lt;Q&gt;TSM-US^P_BETA_LOCIDX(45323,45148,,"SPX")&lt;/Q&gt;&lt;R&gt;1&lt;/R&gt;&lt;C&gt;1&lt;/C&gt;&lt;D xsi:type="xsd:double"&gt;1.4784796&lt;/D&gt;&lt;/FQL&gt;&lt;FQL&gt;&lt;Q&gt;TSM-US^P_BETA_LOCIDX(45322,45147,,"SPX")&lt;/Q&gt;&lt;R&gt;1&lt;/R&gt;&lt;C&gt;1&lt;/C&gt;&lt;D xsi:type="xsd:double"&gt;1.4999541&lt;/D&gt;&lt;/FQL&gt;&lt;FQL&gt;&lt;Q&gt;TSM-US^P_BETA_LOCIDX(45321,45146,,"SPX")&lt;/Q&gt;&lt;R&gt;1&lt;/R&gt;&lt;C&gt;1&lt;/C&gt;&lt;D xsi:type="xsd:double"&gt;1.5020137&lt;/D&gt;&lt;/FQL&gt;&lt;FQL&gt;&lt;Q&gt;TSM-US^P_BETA_LOCIDX(45320,45145,,"SPX")&lt;/Q&gt;&lt;R&gt;1&lt;/R&gt;&lt;C&gt;1&lt;/C&gt;&lt;D xsi:type="xsd:double"&gt;1.4852308&lt;/D&gt;&lt;/FQL&gt;&lt;FQL&gt;&lt;Q&gt;TSM-US^P_BETA_LOCIDX(45317,45142,,"SPX")&lt;/Q&gt;&lt;R&gt;1&lt;/R&gt;&lt;C&gt;1&lt;/C&gt;&lt;D xsi:type="xsd:double"&gt;1.4819226&lt;/D&gt;&lt;/FQL&gt;&lt;FQL&gt;&lt;Q&gt;TSM-US^P_BETA_LOCIDX(45316,45141,,"SPX")&lt;/Q&gt;&lt;R&gt;1&lt;/R&gt;&lt;C&gt;1&lt;/C&gt;&lt;D xsi:type="xsd:double"&gt;1.4854401&lt;/D&gt;&lt;/FQL&gt;&lt;FQL&gt;&lt;Q&gt;TSM-US^P_BETA_LOCIDX(45315,45140,,"SPX")&lt;/Q&gt;&lt;R&gt;1&lt;/R&gt;&lt;C&gt;1&lt;/C&gt;&lt;D xsi:type="xsd:double"&gt;1.5073737&lt;/D&gt;&lt;/FQL&gt;&lt;FQL&gt;&lt;Q&gt;TSM-US^P_BETA_LOCIDX(45314,45139,,"SPX")&lt;/Q&gt;&lt;R&gt;1&lt;/R&gt;&lt;C&gt;1&lt;/C&gt;&lt;D xsi:type="xsd:double"&gt;1.5085363&lt;/D&gt;&lt;/FQL&gt;&lt;FQL&gt;&lt;Q&gt;TSM-US^P_BETA_LOCIDX(45313,45138,,"SPX")&lt;/Q&gt;&lt;R&gt;1&lt;/R&gt;&lt;C&gt;1&lt;/C&gt;&lt;D xsi:type="xsd:double"&gt;1.5040017&lt;/D&gt;&lt;/FQL&gt;&lt;FQL&gt;&lt;Q&gt;TSM-US^P_BETA_LOCIDX(45310,45135,,"SPX")&lt;/Q&gt;&lt;R&gt;1&lt;/R&gt;&lt;C&gt;1&lt;/C&gt;&lt;D xsi:type="xsd:double"&gt;1.5073043&lt;/D&gt;&lt;/FQL&gt;&lt;FQL&gt;&lt;Q&gt;TSM-US^P_BETA_LOCIDX(45309,45134,,"SPX")&lt;/Q&gt;&lt;R&gt;1&lt;/R&gt;&lt;C&gt;1&lt;/C&gt;&lt;D xsi:type="xsd:double"&gt;1.5138519&lt;/D&gt;&lt;/FQL&gt;&lt;FQL&gt;&lt;Q&gt;TSM-US^P_BETA_LOCIDX(45308,45133,,"SPX")&lt;/Q&gt;&lt;R&gt;1&lt;/R&gt;&lt;C&gt;1&lt;/C&gt;&lt;D xsi:type="xsd:double"&gt;1.4082593&lt;/D&gt;&lt;/FQL&gt;&lt;FQL&gt;&lt;Q&gt;TSM-US^P_BETA_LOCIDX(45307,45132,,"SPX")&lt;/Q&gt;&lt;R&gt;1&lt;/R&gt;&lt;C&gt;1&lt;/C&gt;&lt;D xsi:type="xsd:double"&gt;1.4331383&lt;/D&gt;&lt;/FQL&gt;&lt;FQL&gt;&lt;Q&gt;TSM-US^P_BETA_LOCIDX(45303,45131,,"SPX")&lt;/Q&gt;&lt;R&gt;1&lt;/R&gt;&lt;C&gt;1&lt;/C&gt;&lt;D xsi:type="xsd:double"&gt;1.4418018&lt;/D&gt;&lt;/FQL&gt;&lt;FQL&gt;&lt;Q&gt;TSM-US^P_BETA_LOCIDX(45302,45128,,"SPX")&lt;/Q&gt;&lt;R&gt;1&lt;/R&gt;&lt;C&gt;1&lt;/C&gt;&lt;D xsi:type="xsd:double"&gt;1.4419656&lt;/D&gt;&lt;/FQL&gt;&lt;FQL&gt;&lt;Q&gt;TSM-US^P_BETA_LOCIDX(45301,45127,,"SPX")&lt;/Q&gt;&lt;R&gt;1&lt;/R&gt;&lt;C&gt;1&lt;/C&gt;&lt;D xsi:type="xsd:double"&gt;1.4860435&lt;/D&gt;&lt;/FQL&gt;&lt;FQL&gt;&lt;Q&gt;TSM-US^P_BETA_LOCIDX(45300,45126,,"SPX")&lt;/Q&gt;&lt;R&gt;1&lt;/R&gt;&lt;C&gt;1&lt;/C&gt;&lt;D xsi:type="xsd:double"&gt;1.499518&lt;/D&gt;&lt;/FQL&gt;&lt;FQL&gt;&lt;Q&gt;TSM-US^P_BETA_LOCIDX(45299,45125,,"SPX")&lt;/Q&gt;&lt;R&gt;1&lt;/R&gt;&lt;C&gt;1&lt;/C&gt;&lt;D xsi:type="xsd:double"&gt;1.4738172&lt;/D&gt;&lt;/FQL&gt;&lt;FQL&gt;&lt;Q&gt;TSM-US^P_BETA_LOCIDX(45296,45124,,"SPX")&lt;/Q&gt;&lt;R&gt;1&lt;/R&gt;&lt;C&gt;1&lt;/C&gt;&lt;D xsi:type="xsd:double"&gt;1.4561114&lt;/D&gt;&lt;/FQL&gt;&lt;FQL&gt;&lt;Q&gt;TSM-US^P_BETA_LOCIDX(45295,45121,,"SPX")&lt;/Q&gt;&lt;R&gt;1&lt;/R&gt;&lt;C&gt;1&lt;/C&gt;&lt;D xsi:type="xsd:double"&gt;1.4557853&lt;/D&gt;&lt;/FQL&gt;&lt;FQL&gt;&lt;Q&gt;TSM-US^P_BETA_LOCIDX(45294,45120,,"SPX")&lt;/Q&gt;&lt;R&gt;1&lt;/R&gt;&lt;C&gt;1&lt;/C&gt;&lt;D xsi:type="xsd:double"&gt;1.4587913&lt;/D&gt;&lt;/FQL&gt;&lt;FQL&gt;&lt;Q&gt;TSM-US^P_BETA_LOCIDX(45293,45119,,"SPX")&lt;/Q&gt;&lt;R&gt;1&lt;/R&gt;&lt;C&gt;1&lt;/C&gt;&lt;D xsi:type="xsd:double"&gt;1.4743692&lt;/D&gt;&lt;/FQL&gt;&lt;FQL&gt;&lt;Q&gt;TSM-US^P_BETA_LOCIDX(45289,45118,,"SPX")&lt;/Q&gt;&lt;R&gt;1&lt;/R&gt;&lt;C&gt;1&lt;/C&gt;&lt;D xsi:type="xsd:double"&gt;1.4654413&lt;/D&gt;&lt;/FQL&gt;&lt;FQL&gt;&lt;Q&gt;TSM-US^P_BETA_LOCIDX(45288,45117,,"SPX")&lt;/Q&gt;&lt;R&gt;1&lt;/R&gt;&lt;C&gt;1&lt;/C&gt;&lt;D xsi:type="xsd:double"&gt;1.4623995&lt;/D&gt;&lt;/FQL&gt;&lt;FQL&gt;&lt;Q&gt;TSM-US^P_BETA_LOCIDX(45287,45114,,"SPX")&lt;/Q&gt;&lt;R&gt;1&lt;/R&gt;&lt;C&gt;1&lt;/C&gt;&lt;D xsi:type="xsd:double"&gt;1.4553915&lt;/D&gt;&lt;/FQL&gt;&lt;FQL&gt;&lt;Q&gt;TSM-US^P_BETA_LOCIDX(45286,45113,,"SPX")&lt;/Q&gt;&lt;R&gt;1&lt;/R&gt;&lt;C&gt;1&lt;/C&gt;&lt;D xsi:type="xsd:double"&gt;1.4600524&lt;/D&gt;&lt;/FQL&gt;&lt;FQL&gt;&lt;Q&gt;TSM-US^P_BETA_LOCIDX(45282,45112,,"SPX")&lt;/Q&gt;&lt;R&gt;1&lt;/R&gt;&lt;C&gt;1&lt;/C&gt;&lt;D xsi:type="xsd:double"&gt;1.4629345&lt;/D&gt;&lt;/FQL&gt;&lt;FQL&gt;&lt;Q&gt;TSM-US^P_BETA_LOCIDX(45281,45110,,"SPX")&lt;/Q&gt;&lt;R&gt;1&lt;/R&gt;&lt;C&gt;1&lt;/C&gt;&lt;D xsi:type="xsd:double"&gt;1.464189&lt;/D&gt;&lt;/FQL&gt;&lt;FQL&gt;&lt;Q&gt;TSM-US^P_BETA_LOCIDX(45280,45107,,"SPX")&lt;/Q&gt;&lt;R&gt;1&lt;/R&gt;&lt;C&gt;1&lt;/C&gt;&lt;D xsi:type="xsd:double"&gt;1.4232514&lt;/D&gt;&lt;/FQL&gt;&lt;FQL&gt;&lt;Q&gt;TSM-US^P_BETA_LOCIDX(45279,45106,,"SPX")&lt;/Q&gt;&lt;R&gt;1&lt;/R&gt;&lt;C&gt;1&lt;/C&gt;&lt;D xsi:type="xsd:double"&gt;1.382067&lt;/D&gt;&lt;/FQL&gt;&lt;FQL&gt;&lt;Q&gt;TSM-US^P_BETA_LOCIDX(45278,45105,,"SPX")&lt;/Q&gt;&lt;R&gt;1&lt;/R&gt;&lt;C&gt;1&lt;/C&gt;&lt;D xsi:type="xsd:double"&gt;1.3823628&lt;/D&gt;&lt;/FQL&gt;&lt;FQL&gt;&lt;Q&gt;TSM-US^P_BETA_LOCIDX(45275,45104,,"SPX")&lt;/Q&gt;&lt;R&gt;1&lt;/R&gt;&lt;C&gt;1&lt;/C&gt;&lt;D xsi:type="xsd:double"&gt;1.3908759&lt;/D&gt;&lt;/FQL&gt;&lt;FQL&gt;&lt;Q&gt;TSM-US^P_BETA_LOCIDX(45274,45103,,"SPX")&lt;/Q&gt;&lt;R&gt;1&lt;/R&gt;&lt;C&gt;1&lt;/C&gt;&lt;D xsi:type="xsd:double"&gt;1.3983966&lt;/D&gt;&lt;/FQL&gt;&lt;FQL&gt;&lt;Q&gt;TSM-US^P_BETA_LOCIDX(45273,45100,,"SPX")&lt;/Q&gt;&lt;R&gt;1&lt;/R&gt;&lt;C&gt;1&lt;/C&gt;&lt;D xsi:type="xsd:double"&gt;1.3958027&lt;/D&gt;&lt;/FQL&gt;&lt;FQL&gt;&lt;Q&gt;TSM-US^P_BETA_LOCIDX(45272,45099,,"SPX")&lt;/Q&gt;&lt;R&gt;1&lt;/R&gt;&lt;C&gt;1&lt;/C&gt;&lt;D xsi:type="xsd:double"&gt;1.4274304&lt;/D&gt;&lt;/FQL&gt;&lt;FQL&gt;&lt;Q&gt;TSM-US^P_BETA_LOCIDX(45271,45098,,"SPX")&lt;/Q&gt;&lt;R&gt;1&lt;/R&gt;&lt;C&gt;1&lt;/C&gt;&lt;D xsi:type="xsd:double"&gt;1.4397315&lt;/D&gt;&lt;/FQL&gt;&lt;FQL&gt;&lt;Q&gt;TSM-US^P_BETA_LOCIDX(45268,45097,,"SPX")&lt;/Q&gt;&lt;R&gt;1&lt;/R&gt;&lt;C&gt;1&lt;/C&gt;&lt;D xsi:type="xsd:double"&gt;1.4375999&lt;/D&gt;&lt;/FQL&gt;&lt;FQL&gt;&lt;Q&gt;TSM-US^P_BETA_LOCIDX(45267,45093,,"SPX")&lt;/Q&gt;&lt;R&gt;1&lt;/R&gt;&lt;C&gt;1&lt;/C&gt;&lt;D xsi:type="xsd:double"&gt;1.4342289&lt;/D&gt;&lt;/FQL&gt;&lt;FQL&gt;&lt;Q&gt;TSM-US^P_BETA_LOCIDX(45266,45092,,"SPX")&lt;/Q&gt;&lt;R&gt;1&lt;/R&gt;&lt;C&gt;1&lt;/C&gt;&lt;D xsi:type="xsd:double"&gt;1.3623205&lt;/D&gt;&lt;/FQL&gt;&lt;FQL&gt;&lt;Q&gt;TSM-US^P_BETA_LOCIDX(45265,45091,,"SPX")&lt;/Q&gt;&lt;R&gt;1&lt;/R&gt;&lt;C&gt;1&lt;/C&gt;&lt;D xsi:type="xsd:double"&gt;1.3747643&lt;/D&gt;&lt;/FQL&gt;&lt;FQL&gt;&lt;Q&gt;TSM-US^P_BETA_LOCIDX(45264,45090,,"SPX")&lt;/Q&gt;&lt;R&gt;1&lt;/R&gt;&lt;C&gt;1&lt;/C&gt;&lt;D xsi:type="xsd:double"&gt;1.364056&lt;/D&gt;&lt;/FQL&gt;&lt;FQL&gt;&lt;Q&gt;TSM-US^P_BETA_LOCIDX(45261,45089,,"SPX")&lt;/Q&gt;&lt;R&gt;1&lt;/R&gt;&lt;C&gt;1&lt;/C&gt;&lt;D xsi:type="xsd:double"&gt;1.3972836&lt;/D&gt;&lt;/FQL&gt;&lt;FQL&gt;&lt;Q&gt;TSM-US^P_BETA_LOCIDX(45260,45086,,"SPX")&lt;/Q&gt;&lt;R&gt;1&lt;/R&gt;&lt;C&gt;1&lt;/C&gt;&lt;D xsi:type="xsd:double"&gt;1.3953884&lt;/D&gt;&lt;/FQL&gt;&lt;FQL&gt;&lt;Q&gt;TSM-US^P_BETA_LOCIDX(45259,45085,,"SPX")&lt;/Q&gt;&lt;R&gt;1&lt;/R&gt;&lt;C&gt;1&lt;/C&gt;&lt;D xsi:type="xsd:double"&gt;1.3956876&lt;/D&gt;&lt;/FQL&gt;&lt;FQL&gt;&lt;Q&gt;TSM-US^P_BETA_LOCIDX(45258,45084,,"SPX")&lt;/Q&gt;&lt;R&gt;1&lt;/R&gt;&lt;C&gt;1&lt;/C&gt;&lt;D xsi:type="xsd:double"&gt;1.3911531&lt;/D&gt;&lt;/FQL&gt;&lt;FQL&gt;&lt;Q&gt;TSM-US^P_BETA_LOCIDX(45257,45083,,"SPX")&lt;/Q&gt;&lt;R&gt;1&lt;/R&gt;&lt;C&gt;1&lt;/C&gt;&lt;D xsi:type="xsd:double"&gt;1.3948909&lt;/D&gt;&lt;/FQL&gt;&lt;FQL&gt;&lt;Q&gt;TSM-US^P_BETA_LOCIDX(45254,45082,,"SPX")&lt;/Q&gt;&lt;R&gt;1&lt;/R&gt;&lt;C&gt;1&lt;/C&gt;&lt;D xsi:type="xsd:double"&gt;1.3959026&lt;/D&gt;&lt;/FQL&gt;&lt;FQL&gt;&lt;Q&gt;TSM-US^P_BETA_LOCIDX(45252,45079,,"SPX")&lt;/Q&gt;&lt;R&gt;1&lt;/R&gt;&lt;C&gt;1&lt;/C&gt;&lt;D xsi:type="xsd:double"&gt;1.3582878&lt;/D&gt;&lt;/FQL&gt;&lt;FQL&gt;&lt;Q&gt;TSM-US^P_BETA_LOCIDX(45251,45078,,"SPX")&lt;/Q&gt;&lt;R&gt;1&lt;/R&gt;&lt;C&gt;1&lt;/C&gt;&lt;D xsi:type="xsd:double"&gt;1.3461109&lt;/D&gt;&lt;/FQL&gt;&lt;FQL&gt;&lt;Q&gt;TSM-US^P_BETA_LOCIDX(45250,45077,,"SPX")&lt;/Q&gt;&lt;R&gt;1&lt;/R&gt;&lt;C&gt;1&lt;/C&gt;&lt;D xsi:type="xsd:double"&gt;1.3650241&lt;/D&gt;&lt;/FQL&gt;&lt;FQL&gt;&lt;Q&gt;TSM-US^P_BETA_LOCIDX(45247,45076,,"SPX")&lt;/Q&gt;&lt;R&gt;1&lt;/R&gt;&lt;C&gt;1&lt;/C&gt;&lt;D xsi:type="xsd:double"&gt;1.3711835&lt;/D&gt;&lt;/FQL&gt;&lt;FQL&gt;&lt;Q&gt;TSM-US^P_BETA_LOCIDX(45246,45072,,"SPX")&lt;/Q&gt;&lt;R&gt;1&lt;/R&gt;&lt;C&gt;1&lt;/C&gt;&lt;D xsi:type="xsd:double"&gt;1.3799634&lt;/D&gt;&lt;/FQL&gt;&lt;FQL&gt;&lt;Q&gt;TSM-US^P_BETA_LOCIDX(45245,45071,,"SPX")&lt;/Q&gt;&lt;R&gt;1&lt;/R&gt;&lt;C&gt;1&lt;/C&gt;&lt;D xsi:type="xsd:double"&gt;1.5019811&lt;/D&gt;&lt;/FQL&gt;&lt;FQL&gt;&lt;Q&gt;TSM-US^P_BETA_LOCIDX(45244,45070,,"SPX")&lt;/Q&gt;&lt;R&gt;1&lt;/R&gt;&lt;C&gt;1&lt;/C&gt;&lt;D xsi:type="xsd:double"&gt;1.4937488&lt;/D&gt;&lt;/FQL&gt;&lt;FQL&gt;&lt;Q&gt;TSM-US^P_BETA_LOCIDX(45243,45069,,"SPX")&lt;/Q&gt;&lt;R&gt;1&lt;/R&gt;&lt;C&gt;1&lt;/C&gt;&lt;D xsi:type="xsd:double"&gt;1.4957024&lt;/D&gt;&lt;/FQL&gt;&lt;FQL&gt;&lt;Q&gt;TSM-US^P_BETA_LOCIDX(45240,45068,,"SPX")&lt;/Q&gt;&lt;R&gt;1&lt;/R&gt;&lt;C&gt;1&lt;/C&gt;&lt;D xsi:type="xsd:double"&gt;1.4944202&lt;/D&gt;&lt;/FQL&gt;&lt;FQL&gt;&lt;Q&gt;TSM-US^P_BETA_LOCIDX(45239,45065,,"SPX")&lt;/Q&gt;&lt;R&gt;1&lt;/R&gt;&lt;C&gt;1&lt;/C&gt;&lt;D xsi:type="xsd:double"&gt;1.4031316&lt;/D&gt;&lt;/FQL&gt;&lt;FQL&gt;&lt;Q&gt;TSM-US^P_BETA_LOCIDX(45238,45064,,"SPX")&lt;/Q&gt;&lt;R&gt;1&lt;/R&gt;&lt;C&gt;1&lt;/C&gt;&lt;D xsi:type="xsd:double"&gt;1.4213779&lt;/D&gt;&lt;/FQL&gt;&lt;FQL&gt;&lt;Q&gt;TSM-US^P_BETA_LOCIDX(45237,45063,,"SPX")&lt;/Q&gt;&lt;R&gt;1&lt;/R&gt;&lt;C&gt;1&lt;/C&gt;&lt;D xsi:type="xsd:double"&gt;1.4901167&lt;/D&gt;&lt;/FQL&gt;&lt;FQL&gt;&lt;Q&gt;TSM-US^P_BETA_LOCIDX(45236,45062,,"SPX")&lt;/Q&gt;&lt;R&gt;1&lt;/R&gt;&lt;C&gt;1&lt;/C&gt;&lt;D xsi:type="xsd:double"&gt;1.4803314&lt;/D&gt;&lt;/FQL&gt;&lt;FQL&gt;&lt;Q&gt;TSM-US^P_BETA_LOCIDX(45233,45061,,"SPX")&lt;/Q&gt;&lt;R&gt;1&lt;/R&gt;&lt;C&gt;1&lt;/C&gt;&lt;D xsi:type="xsd:double"&gt;1.4871137&lt;/D&gt;&lt;/FQL&gt;&lt;FQL&gt;&lt;Q&gt;TSM-US^P_BETA_LOCIDX(45232,45058,,"SPX")&lt;/Q&gt;&lt;R&gt;1&lt;/R&gt;&lt;C&gt;1&lt;/C&gt;&lt;D xsi:type="xsd:double"&gt;1.4861951&lt;/D&gt;&lt;/FQL&gt;&lt;FQL&gt;&lt;Q&gt;TSM-US^P_BETA_LOCIDX(45231,45057,,"SPX")&lt;/Q&gt;&lt;R&gt;1&lt;/R&gt;&lt;C&gt;1&lt;/C&gt;&lt;D xsi:type="xsd:double"&gt;1.4843127&lt;/D&gt;&lt;/FQL&gt;&lt;FQL&gt;&lt;Q&gt;TSM-US^P_BETA_LOCIDX(45230,45056,,"SPX")&lt;/Q&gt;&lt;R&gt;1&lt;/R&gt;&lt;C&gt;1&lt;/C&gt;&lt;D xsi:type="xsd:double"&gt;1.4760739&lt;/D&gt;&lt;/FQL&gt;&lt;FQL&gt;&lt;Q&gt;TSM-US^P_BETA_LOCIDX(45229,45055,,"SPX")&lt;/Q&gt;&lt;R&gt;1&lt;/R&gt;&lt;C&gt;1&lt;/C&gt;&lt;D xsi:type="xsd:double"&gt;1.4819416&lt;/D&gt;&lt;/FQL&gt;&lt;FQL&gt;&lt;Q&gt;TSM-US^P_BETA_LOCIDX(45226,45054,,"SPX")&lt;/Q&gt;&lt;R&gt;1&lt;/R&gt;&lt;C&gt;1&lt;/C&gt;&lt;D xsi:type="xsd:double"&gt;1.5150409&lt;/D&gt;&lt;/FQL&gt;&lt;FQL&gt;&lt;Q&gt;TSM-US^P_BETA_LOCIDX(45225,45051,,"SPX")&lt;/Q&gt;&lt;R&gt;1&lt;/R&gt;&lt;C&gt;1&lt;/C&gt;&lt;D xsi:type="xsd:double"&gt;1.4784402&lt;/D&gt;&lt;/FQL&gt;&lt;FQL&gt;&lt;Q&gt;TSM-US^P_BETA_LOCIDX(45224,45050,,"SPX")&lt;/Q&gt;&lt;R&gt;1&lt;/R&gt;&lt;C&gt;1&lt;/C&gt;&lt;D xsi:type="xsd:double"&gt;1.4834774&lt;/D&gt;&lt;/FQL&gt;&lt;FQL&gt;&lt;Q&gt;TSM-US^P_BETA_LOCIDX(45223,45049,,"SPX")&lt;/Q&gt;&lt;R&gt;1&lt;/R&gt;&lt;C&gt;1&lt;/C&gt;&lt;D xsi:type="xsd:double"&gt;1.4233408&lt;/D&gt;&lt;/FQL&gt;&lt;FQL&gt;&lt;Q&gt;TSM-US^P_BETA_LOCIDX(45222,45048,,"SPX")&lt;/Q&gt;&lt;R&gt;1&lt;/R&gt;&lt;C&gt;1&lt;/C&gt;&lt;D xsi:type="xsd:double"&gt;1.422247&lt;/D&gt;&lt;/FQL&gt;&lt;FQL&gt;&lt;Q&gt;TSM-US^P_BETA_LOCIDX(45219,45047,,"SPX")&lt;/Q&gt;&lt;R&gt;1&lt;/R&gt;&lt;C&gt;1&lt;/C&gt;&lt;D xsi:type="xsd:double"&gt;1.4224297&lt;/D&gt;&lt;/FQL&gt;&lt;FQL&gt;&lt;Q&gt;TSM-US^P_BETA_LOCIDX(45218,45044,,"SPX")&lt;/Q&gt;&lt;R&gt;1&lt;/R&gt;&lt;C&gt;1&lt;/C&gt;&lt;D xsi:type="xsd:double"&gt;1.4163873&lt;/D&gt;&lt;/FQL&gt;&lt;FQL&gt;&lt;Q&gt;TSM-US^P_BETA_LOCIDX(45217,45043,,"SPX")&lt;/Q&gt;&lt;R&gt;1&lt;/R&gt;&lt;C&gt;1&lt;/C&gt;&lt;D xsi:type="xsd:double"&gt;1.4503864&lt;/D&gt;&lt;/FQL&gt;&lt;FQL&gt;&lt;Q&gt;TSM-US^P_BETA_LOCIDX(45216,45042,,"SPX")&lt;/Q&gt;&lt;R&gt;1&lt;/R&gt;&lt;C&gt;1&lt;/C&gt;&lt;D xsi:type="xsd:double"&gt;1.4555076&lt;/D&gt;&lt;/FQL&gt;&lt;FQL&gt;&lt;Q&gt;TSM-US^P_BETA_LOCIDX(45215,45041,,"SPX")&lt;/Q&gt;&lt;R&gt;1&lt;/R&gt;&lt;C&gt;1&lt;/C&gt;&lt;D xsi:type="xsd:double"&gt;1.4670916&lt;/D&gt;&lt;/FQL&gt;&lt;FQL&gt;&lt;Q&gt;TSM-US^P_BETA_LOCIDX(45212,45040,,"SPX")&lt;/Q&gt;&lt;R&gt;1&lt;/R&gt;&lt;C&gt;1&lt;/C&gt;&lt;D xsi:type="xsd:double"&gt;1.4775484&lt;/D&gt;&lt;/FQL&gt;&lt;FQL&gt;&lt;Q&gt;TSM-US^P_BETA_LOCIDX(45211,45037,,"SPX")&lt;/Q&gt;&lt;R&gt;1&lt;/R&gt;&lt;C&gt;1&lt;/C&gt;&lt;D xsi:type="xsd:double"&gt;1.4629706&lt;/D&gt;&lt;/FQL&gt;&lt;FQL&gt;&lt;Q&gt;TSM-US^P_BETA_LOCIDX(45210,45036,,"SPX")&lt;/Q&gt;&lt;R&gt;1&lt;/R&gt;&lt;C&gt;1&lt;/C&gt;&lt;D xsi:type="xsd:double"&gt;1.4454716&lt;/D&gt;&lt;/FQL&gt;&lt;FQL&gt;&lt;Q&gt;TSM-US^P_BETA_LOCIDX(45209,45035,,"SPX")&lt;/Q&gt;&lt;R&gt;1&lt;/R&gt;&lt;C&gt;1&lt;/C&gt;&lt;D xsi:type="xsd:double"&gt;1.4408585&lt;/D&gt;&lt;/FQL&gt;&lt;FQL&gt;&lt;Q&gt;TSM-US^P_BETA_LOCIDX(45208,45034,,"SPX")&lt;/Q&gt;&lt;R&gt;1&lt;/R&gt;&lt;C&gt;1&lt;/C&gt;&lt;D xsi:type="xsd:double"&gt;1.4328914&lt;/D&gt;&lt;/FQL&gt;&lt;FQL&gt;&lt;Q&gt;TSM-US^P_BETA_LOCIDX(45205,45033,,"SPX")&lt;/Q&gt;&lt;R&gt;1&lt;/R&gt;&lt;C&gt;1&lt;/C&gt;&lt;D xsi:type="xsd:double"&gt;1.4460051&lt;/D&gt;&lt;/FQL&gt;&lt;FQL&gt;&lt;Q&gt;TSM-US^P_BETA_LOCIDX(45204,45030,,"SPX")&lt;/Q&gt;&lt;R&gt;1&lt;/R&gt;&lt;C&gt;1&lt;/C&gt;&lt;D xsi:type="xsd:double"&gt;1.4279387&lt;/D&gt;&lt;/FQL&gt;&lt;FQL&gt;&lt;Q&gt;TSM-US^P_BETA_LOCIDX(45203,45029,,"SPX")&lt;/Q&gt;&lt;R&gt;1&lt;/R&gt;&lt;C&gt;1&lt;/C&gt;&lt;D xsi:type="xsd:double"&gt;1.396699&lt;/D&gt;&lt;/FQL&gt;&lt;FQL&gt;&lt;Q&gt;TSM-US^P_BETA_LOCIDX(45202,45028,,"SPX")&lt;/Q&gt;&lt;R&gt;1&lt;/R&gt;&lt;C&gt;1&lt;/C&gt;&lt;D xsi:type="xsd:double"&gt;1.4059566&lt;/D&gt;&lt;/FQL&gt;&lt;FQL&gt;&lt;Q&gt;TSM-US^P_BETA_LOCIDX(45201,45027,,"SPX")&lt;/Q&gt;&lt;R&gt;1&lt;/R&gt;&lt;C&gt;1&lt;/C&gt;&lt;D xsi:type="xsd:double"&gt;1.3930541&lt;/D&gt;&lt;/FQL&gt;&lt;FQL&gt;&lt;Q&gt;TSM-US^P_BETA_LOCIDX(45198,45026,,"SPX")&lt;/Q&gt;&lt;R&gt;1&lt;/R&gt;&lt;C&gt;1&lt;/C&gt;&lt;D xsi:type="xsd:double"&gt;1.3920991&lt;/D&gt;&lt;/FQL&gt;&lt;FQL&gt;&lt;Q&gt;TSM-US^P_BETA_LOCIDX(45197,45022,,"SPX")&lt;/Q&gt;&lt;R&gt;1&lt;/R&gt;&lt;C&gt;1&lt;/C&gt;&lt;D xsi:type="xsd:double"&gt;1.3952041&lt;/D&gt;&lt;/FQL&gt;&lt;FQL&gt;&lt;Q&gt;TSM-US^P_BETA_LOCIDX(45196,45021,,"SPX")&lt;/Q&gt;&lt;R&gt;1&lt;/R&gt;&lt;C&gt;1&lt;/C&gt;&lt;D xsi:type="xsd:double"&gt;1.3995485&lt;/D&gt;&lt;/FQL&gt;&lt;FQL&gt;&lt;Q&gt;TSM-US^P_BETA_LOCIDX(45195,45020,,"SPX")&lt;/Q&gt;&lt;R&gt;1&lt;/R&gt;&lt;C&gt;1&lt;/C&gt;&lt;D xsi:type="xsd:double"&gt;1.3979658&lt;/D&gt;&lt;/FQL&gt;&lt;FQL&gt;&lt;Q&gt;TSM-US^P_BETA_LOCIDX(45194,45019,,"SPX")&lt;/Q&gt;&lt;R&gt;1&lt;/R&gt;&lt;C&gt;1&lt;/C&gt;&lt;D xsi:type="xsd:double"&gt;1.3924034&lt;/D&gt;&lt;/FQL&gt;&lt;FQL&gt;&lt;Q&gt;TSM-US^P_BETA_LOCIDX(45191,45016,,"SPX")&lt;/Q&gt;&lt;R&gt;1&lt;/R&gt;&lt;C&gt;1&lt;/C&gt;&lt;D xsi:type="xsd:double"&gt;1.3622837&lt;/D&gt;&lt;/FQL&gt;&lt;FQL&gt;&lt;Q&gt;TSM-US^P_BETA_LOCIDX(45190,45015,,"SPX")&lt;/Q&gt;&lt;R&gt;1&lt;/R&gt;&lt;C&gt;1&lt;/C&gt;&lt;D xsi:type="xsd:double"&gt;1.3579863&lt;/D&gt;&lt;/FQL&gt;&lt;FQL&gt;&lt;Q&gt;TSM-US^P_BETA_LOCIDX(45189,45014,,"SPX")&lt;/Q&gt;&lt;R&gt;1&lt;/R&gt;&lt;C&gt;1&lt;/C&gt;&lt;D xsi:type="xsd:double"&gt;1.3696936&lt;/D&gt;&lt;/FQL&gt;&lt;FQL&gt;&lt;Q&gt;TSM-US^P_BETA_LOCIDX(45188,45013,,"SPX")&lt;/Q&gt;&lt;R&gt;1&lt;/R&gt;&lt;C&gt;1&lt;/C&gt;&lt;D xsi:type="xsd:double"&gt;1.3747281&lt;/D&gt;&lt;/FQL&gt;&lt;FQL&gt;&lt;Q&gt;TSM-US^P_BETA_LOCIDX(45187,45012,,"SPX")&lt;/Q&gt;&lt;R&gt;1&lt;/R&gt;&lt;C&gt;1&lt;/C&gt;&lt;D xsi:type="xsd:double"&gt;1.370487&lt;/D&gt;&lt;/FQL&gt;&lt;FQL&gt;&lt;Q&gt;TSM-US^P_BETA_LOCIDX(45184,45009,,"SPX")&lt;/Q&gt;&lt;R&gt;1&lt;/R&gt;&lt;C&gt;1&lt;/C&gt;&lt;D xsi:type="xsd:double"&gt;1.3512073&lt;/D&gt;&lt;/FQL&gt;&lt;FQL&gt;&lt;Q&gt;TSM-US^P_BETA_LOCIDX(45183,45008,,"SPX")&lt;/Q&gt;&lt;R&gt;1&lt;/R&gt;&lt;C&gt;1&lt;/C&gt;&lt;D xsi:type="xsd:double"&gt;1.3432595&lt;/D&gt;&lt;/FQL&gt;&lt;FQL&gt;&lt;Q&gt;TSM-US^P_BETA_LOCIDX(45182,45007,,"SPX")&lt;/Q&gt;&lt;R&gt;1&lt;/R&gt;&lt;C&gt;1&lt;/C&gt;&lt;D xsi:type="xsd:double"&gt;1.2821649&lt;/D&gt;&lt;/FQL&gt;&lt;FQL&gt;&lt;Q&gt;TSM-US^P_BETA_LOCIDX(45181,45006,,"SPX")&lt;/Q&gt;&lt;R&gt;1&lt;/R&gt;&lt;C&gt;1&lt;/C&gt;&lt;D xsi:type="xsd:double"&gt;1.3041308&lt;/D&gt;&lt;/FQL&gt;&lt;FQL&gt;&lt;Q&gt;TSM-US^P_BETA_LOCIDX(45180,45005,,"SPX")&lt;/Q&gt;&lt;R&gt;1&lt;/R&gt;&lt;C&gt;1&lt;/C&gt;&lt;D xsi:type="xsd:double"&gt;1.3188318&lt;/D&gt;&lt;/FQL&gt;&lt;FQL&gt;&lt;Q&gt;TSM-US^P_BETA_LOCIDX(45177,45002,,"SPX")&lt;/Q&gt;&lt;R&gt;1&lt;/R&gt;&lt;C&gt;1&lt;/C&gt;&lt;D xsi:type="xsd:double"&gt;1.2929336&lt;/D&gt;&lt;/FQL&gt;&lt;FQL&gt;&lt;Q&gt;TSM-US^P_BETA_LOCIDX(45176,45001,,"SPX")&lt;/Q&gt;&lt;R&gt;1&lt;/R&gt;&lt;C&gt;1&lt;/C&gt;&lt;D xsi:type="xsd:double"&gt;1.3135068&lt;/D&gt;&lt;/FQL&gt;&lt;FQL&gt;&lt;Q&gt;TSM-US^P_BETA_LOCIDX(45175,45000,,"SPX")&lt;/Q&gt;&lt;R&gt;1&lt;/R&gt;&lt;C&gt;1&lt;/C&gt;&lt;D xsi:type="xsd:double"&gt;1.3240291&lt;/D&gt;&lt;/FQL&gt;&lt;FQL&gt;&lt;Q&gt;TSM-US^P_BETA_LOCIDX(45174,44999,,"SPX")&lt;/Q&gt;&lt;R&gt;1&lt;/R&gt;&lt;C&gt;1&lt;/C&gt;&lt;D xsi:type="xsd:double"&gt;1.2999234&lt;/D&gt;&lt;/FQL&gt;&lt;FQL&gt;&lt;Q&gt;TSM-US^P_BETA_LOCIDX(45170,44998,,"SPX")&lt;/Q&gt;&lt;R&gt;1&lt;/R&gt;&lt;C&gt;1&lt;/C&gt;&lt;D xsi:type="xsd:double"&gt;1.3135333&lt;/D&gt;&lt;/FQL&gt;&lt;FQL&gt;&lt;Q&gt;TSM-US^P_BETA_LOCIDX(45169,44995,,"SPX")&lt;/Q&gt;&lt;R&gt;1&lt;/R&gt;&lt;C&gt;1&lt;/C&gt;&lt;D xsi:type="xsd:double"&gt;1.3103359&lt;/D&gt;&lt;/FQL&gt;&lt;FQL&gt;&lt;Q&gt;TSM-US^P_BETA_LOCIDX(45168,44994,,"SPX")&lt;/Q&gt;&lt;R&gt;1&lt;/R&gt;&lt;C&gt;1&lt;/C&gt;&lt;D xsi:type="xsd:double"&gt;1.2974954&lt;/D&gt;&lt;/FQL&gt;&lt;FQL&gt;&lt;Q&gt;TSM-US^P_BETA_LOCIDX(45167,44993,,"SPX")&lt;/Q&gt;&lt;R&gt;1&lt;/R&gt;&lt;C&gt;1&lt;/C&gt;&lt;D xsi:type="xsd:double"&gt;1.3012971&lt;/D&gt;&lt;/FQL&gt;&lt;FQL&gt;&lt;Q&gt;TSM-US^P_BETA_LOCIDX(45166,44992,,"SPX")&lt;/Q&gt;&lt;R&gt;1&lt;/R&gt;&lt;C&gt;1&lt;/C&gt;&lt;D xsi:type="xsd:double"&gt;1.2874203&lt;/D&gt;&lt;/FQL&gt;&lt;FQL&gt;&lt;Q&gt;TSM-US^P_BETA_LOCIDX(45163,44991,,"SPX")&lt;/Q&gt;&lt;R&gt;1&lt;/R&gt;&lt;C&gt;1&lt;/C&gt;&lt;D xsi:type="xsd:double"&gt;1.2859743&lt;/D&gt;&lt;/FQL&gt;&lt;FQL&gt;&lt;Q&gt;TSM-US^P_BETA_LOCIDX(45162,44988,,"SPX")&lt;/Q&gt;&lt;R&gt;1&lt;/R&gt;&lt;C&gt;1&lt;/C&gt;&lt;D xsi:type="xsd:double"&gt;1.2643635&lt;/D&gt;&lt;/FQL&gt;&lt;FQL&gt;&lt;Q&gt;TSM-US^P_BETA_LOCIDX(45161,44987,,"SPX")&lt;/Q&gt;&lt;R&gt;1&lt;/R&gt;&lt;C&gt;1&lt;/C&gt;&lt;D xsi:type="xsd:double"&gt;1.2617167&lt;/D&gt;&lt;/FQL&gt;&lt;FQL&gt;&lt;Q&gt;TSM-US^P_BETA_LOCIDX(45160,44986,,"SPX")&lt;/Q&gt;&lt;R&gt;1&lt;/R&gt;&lt;C&gt;1&lt;/C&gt;&lt;D xsi:type="xsd:double"&gt;1.2346607&lt;/D&gt;&lt;/FQL&gt;&lt;FQL&gt;&lt;Q&gt;TSM-US^P_BETA_LOCIDX(45159,44985,,"SPX")&lt;/Q&gt;&lt;R&gt;1&lt;/R&gt;&lt;C&gt;1&lt;/C&gt;&lt;D xsi:type="xsd:double"&gt;1.2340617&lt;/D&gt;&lt;/FQL&gt;&lt;FQL&gt;&lt;Q&gt;TSM-US^P_BETA_LOCIDX(45156,44984,,"SPX")&lt;/Q&gt;&lt;R&gt;1&lt;/R&gt;&lt;C&gt;1&lt;/C&gt;&lt;D xsi:type="xsd:double"&gt;1.223948&lt;/D&gt;&lt;/FQL&gt;&lt;FQL&gt;&lt;Q&gt;TSM-US^P_BETA_LOCIDX(45155,44981,,"SPX")&lt;/Q&gt;&lt;R&gt;1&lt;/R&gt;&lt;C&gt;1&lt;/C&gt;&lt;D xsi:type="xsd:double"&gt;1.2357503&lt;/D&gt;&lt;/FQL&gt;&lt;FQL&gt;&lt;Q&gt;TSM-US^P_BETA_LOCIDX(45154,44980,,"SPX")&lt;/Q&gt;&lt;R&gt;1&lt;/R&gt;&lt;C&gt;1&lt;/C&gt;&lt;D xsi:type="xsd:double"&gt;1.2638829&lt;/D&gt;&lt;/FQL&gt;&lt;FQL&gt;&lt;Q&gt;TSM-US^P_BETA_LOCIDX(45153,44979,,"SPX")&lt;/Q&gt;&lt;R&gt;1&lt;/R&gt;&lt;C&gt;1&lt;/C&gt;&lt;D xsi:type="xsd:double"&gt;1.2784847&lt;/D&gt;&lt;/FQL&gt;&lt;FQL&gt;&lt;Q&gt;TSM-US^P_BETA_LOCIDX(45152,44978,,"SPX")&lt;/Q&gt;&lt;R&gt;1&lt;/R&gt;&lt;C&gt;1&lt;/C&gt;&lt;D xsi:type="xsd:double"&gt;1.2820784&lt;/D&gt;&lt;/FQL&gt;&lt;FQL&gt;&lt;Q&gt;TSM-US^P_BETA_LOCIDX(45149,44974,,"SPX")&lt;/Q&gt;&lt;R&gt;1&lt;/R&gt;&lt;C&gt;1&lt;/C&gt;&lt;D xsi:type="xsd:double"&gt;1.2806238&lt;/D&gt;&lt;/FQL&gt;&lt;FQL&gt;&lt;Q&gt;TSM-US^P_BETA_LOCIDX(45148,44973,,"SPX")&lt;/Q&gt;&lt;R&gt;1&lt;/R&gt;&lt;C&gt;1&lt;/C&gt;&lt;D xsi:type="xsd:double"&gt;1.2793845&lt;/D&gt;&lt;/FQL&gt;&lt;FQL&gt;&lt;Q&gt;TSM-US^P_BETA_LOCIDX(45147,44972,,"SPX")&lt;/Q&gt;&lt;R&gt;1&lt;/R&gt;&lt;C&gt;1&lt;/C&gt;&lt;D xsi:type="xsd:double"&gt;1.2651453&lt;/D&gt;&lt;/FQL&gt;&lt;FQL&gt;&lt;Q&gt;TSM-US^P_BETA_LOCIDX(45146,44971,,"SPX")&lt;/Q&gt;&lt;R&gt;1&lt;/R&gt;&lt;C&gt;1&lt;/C&gt;&lt;D xsi:type="xsd:double"&gt;1.2669135&lt;/D&gt;&lt;/FQL&gt;&lt;FQL&gt;&lt;Q&gt;TSM-US^P_BETA_LOCIDX(45145,44970,,"SPX")&lt;/Q&gt;&lt;R&gt;1&lt;/R&gt;&lt;C&gt;1&lt;/C&gt;&lt;D xsi:type="xsd:double"&gt;1.2509103&lt;/D&gt;&lt;/FQL&gt;&lt;FQL&gt;&lt;Q&gt;TSM-US^P_BETA_LOCIDX(45142,44967,,"SPX")&lt;/Q&gt;&lt;R&gt;1&lt;/R&gt;&lt;C&gt;1&lt;/C&gt;&lt;D xsi:type="xsd:double"&gt;1.2569656&lt;/D&gt;&lt;/FQL&gt;&lt;FQL&gt;&lt;Q&gt;TSM-US^P_BETA_LOCIDX(45141,44966,,"SPX")&lt;/Q&gt;&lt;R&gt;1&lt;/R&gt;&lt;C&gt;1&lt;/C&gt;&lt;D xsi:type="xsd:double"&gt;1.2272846&lt;/D&gt;&lt;/FQL&gt;&lt;FQL&gt;&lt;Q&gt;TSM-US^P_BETA_LOCIDX(45140,44965,,"SPX")&lt;/Q&gt;&lt;R&gt;1&lt;/R&gt;&lt;C&gt;1&lt;/C&gt;&lt;D xsi:type="xsd:double"&gt;1.2093763&lt;/D&gt;&lt;/FQL&gt;&lt;FQL&gt;&lt;Q&gt;TSM-US^P_BETA_LOCIDX(45139,44964,,"SPX")&lt;/Q&gt;&lt;R&gt;1&lt;/R&gt;&lt;C&gt;1&lt;/C&gt;&lt;D xsi:type="xsd:double"&gt;1.2123508&lt;/D&gt;&lt;/FQL&gt;&lt;FQL&gt;&lt;Q&gt;TSM-US^P_BETA_LOCIDX(45138,44963,,"SPX")&lt;/Q&gt;&lt;R&gt;1&lt;/R&gt;&lt;C&gt;1&lt;/C&gt;&lt;D xsi:type="xsd:double"&gt;1.2296923&lt;/D&gt;&lt;/FQL&gt;&lt;FQL&gt;&lt;Q&gt;TSM-US^P_BETA_LOCIDX(45135,44960,,"SPX")&lt;/Q&gt;&lt;R&gt;1&lt;/R&gt;&lt;C&gt;1&lt;/C&gt;&lt;D xsi:type="xsd:double"&gt;1.2411019&lt;/D&gt;&lt;/FQL&gt;&lt;FQL&gt;&lt;Q&gt;TSM-US^P_BETA_LOCIDX(45134,44959,,"SPX")&lt;/Q&gt;&lt;R&gt;1&lt;/R&gt;&lt;C&gt;1&lt;/C&gt;&lt;D xsi:type="xsd:double"&gt;1.2413381&lt;/D&gt;&lt;/FQL&gt;&lt;FQL&gt;&lt;Q&gt;TSM-US^P_BETA_LOCIDX(45133,44958,,"SPX")&lt;/Q&gt;&lt;R&gt;1&lt;/R&gt;&lt;C&gt;1&lt;/C&gt;&lt;D xsi:type="xsd:double"&gt;1.258446&lt;/D&gt;&lt;/FQL&gt;&lt;FQL&gt;&lt;Q&gt;TSM-US^P_BETA_LOCIDX(45132,44957,,"SPX")&lt;/Q&gt;&lt;R&gt;1&lt;/R&gt;&lt;C&gt;1&lt;/C&gt;&lt;D xsi:type="xsd:double"&gt;1.2221279&lt;/D&gt;&lt;/FQL&gt;&lt;FQL&gt;&lt;Q&gt;TSM-US^P_BETA_LOCIDX(45131,44956,,"SPX")&lt;/Q&gt;&lt;R&gt;1&lt;/R&gt;&lt;C&gt;1&lt;/C&gt;&lt;D xsi:type="xsd:double"&gt;1.195314&lt;/D&gt;&lt;/FQL&gt;&lt;FQL&gt;&lt;Q&gt;TSM-US^P_BETA_LOCIDX(45128,44953,,"SPX")&lt;/Q&gt;&lt;R&gt;1&lt;/R&gt;&lt;C&gt;1&lt;/C&gt;&lt;D xsi:type="xsd:double"&gt;1.1925075&lt;/D&gt;&lt;/FQL&gt;&lt;FQL&gt;&lt;Q&gt;TSM-US^P_BETA_LOCIDX(45127,44952,,"SPX")&lt;/Q&gt;&lt;R&gt;1&lt;/R&gt;&lt;C&gt;1&lt;/C&gt;&lt;D xsi:type="xsd:double"&gt;1.1905777&lt;/D&gt;&lt;/FQL&gt;&lt;FQL&gt;&lt;Q&gt;TSM-US^P_BETA_LOCIDX(45126,44951,,"SPX")&lt;/Q&gt;&lt;R&gt;1&lt;/R&gt;&lt;C&gt;1&lt;/C&gt;&lt;D xsi:type="xsd:double"&gt;1.1565367&lt;/D&gt;&lt;/FQL&gt;&lt;FQL&gt;&lt;Q&gt;TSM-US^P_BETA_LOCIDX(45125,44950,,"SPX")&lt;/Q&gt;&lt;R&gt;1&lt;/R&gt;&lt;C&gt;1&lt;/C&gt;&lt;D xsi:type="xsd:double"&gt;1.1590953&lt;/D&gt;&lt;/FQL&gt;&lt;FQL&gt;&lt;Q&gt;TSM-US^P_BETA_LOCIDX(45124,44949,,"SPX")&lt;/Q&gt;&lt;R&gt;1&lt;/R&gt;&lt;C&gt;1&lt;/C&gt;&lt;D xsi:type="xsd:double"&gt;1.2202356&lt;/D&gt;&lt;/FQL&gt;&lt;FQL&gt;&lt;Q&gt;TSM-US^P_BETA_LOCIDX(45121,44946,,"SPX")&lt;/Q&gt;&lt;R&gt;1&lt;/R&gt;&lt;C&gt;1&lt;/C&gt;&lt;D xsi:type="xsd:double"&gt;1.235248&lt;/D&gt;&lt;/FQL&gt;&lt;FQL&gt;&lt;Q&gt;TSM-US^P_BETA_LOCIDX(45120,44945,,"SPX")&lt;/Q&gt;&lt;R&gt;1&lt;/R&gt;&lt;C&gt;1&lt;/C&gt;&lt;D xsi:type="xsd:double"&gt;1.2370733&lt;/D&gt;&lt;/FQL&gt;&lt;FQL&gt;&lt;Q&gt;TSM-US^P_BETA_LOCIDX(45119,44944,,"SPX")&lt;/Q&gt;&lt;R&gt;1&lt;/R&gt;&lt;C&gt;1&lt;/C&gt;&lt;D xsi:type="xsd:double"&gt;1.1901779&lt;/D&gt;&lt;/FQL&gt;&lt;FQL&gt;&lt;Q&gt;TSM-US^P_BETA_LOCIDX(45118,44943,,"SPX")&lt;/Q&gt;&lt;R&gt;1&lt;/R&gt;&lt;C&gt;1&lt;/C&gt;&lt;D xsi:type="xsd:double"&gt;1.1701294&lt;/D&gt;&lt;/FQL&gt;&lt;FQL&gt;&lt;Q&gt;TSM-US^P_BETA_LOCIDX(45117,44939,,"SPX")&lt;/Q&gt;&lt;R&gt;1&lt;/R&gt;&lt;C&gt;1&lt;/C&gt;&lt;D xsi:type="xsd:double"&gt;1.1635942&lt;/D&gt;&lt;/FQL&gt;&lt;FQL&gt;&lt;Q&gt;TSM-US^P_BETA_LOCIDX(45114,44938,,"SPX")&lt;/Q&gt;&lt;R&gt;1&lt;/R&gt;&lt;C&gt;1&lt;/C&gt;&lt;D xsi:type="xsd:double"&gt;1.1807284&lt;/D&gt;&lt;/FQL&gt;&lt;FQL&gt;&lt;Q&gt;TSM-US^P_BETA_LOCIDX(45113,44937,,"SPX")&lt;/Q&gt;&lt;R&gt;1&lt;/R&gt;&lt;C&gt;1&lt;/C&gt;&lt;D xsi:type="xsd:double"&gt;1.1730324&lt;/D&gt;&lt;/FQL&gt;&lt;FQL&gt;&lt;Q&gt;TSM-US^P_BETA_LOCIDX(45112,44936,,"SPX")&lt;/Q&gt;&lt;R&gt;1&lt;/R&gt;&lt;C&gt;1&lt;/C&gt;&lt;D xsi:type="xsd:double"&gt;1.1681939&lt;/D&gt;&lt;/FQL&gt;&lt;FQL&gt;&lt;Q&gt;TSM-US^P_BETA_LOCIDX(45110,44935,,"SPX")&lt;/Q&gt;&lt;R&gt;1&lt;/R&gt;&lt;C&gt;1&lt;/C&gt;&lt;D xsi:type="xsd:double"&gt;1.1560457&lt;/D&gt;&lt;/FQL&gt;&lt;FQL&gt;&lt;Q&gt;TSM-US^P_BETA_LOCIDX(45107,44932,,"SPX")&lt;/Q&gt;&lt;R&gt;1&lt;/R&gt;&lt;C&gt;1&lt;/C&gt;&lt;D xsi:type="xsd:double"&gt;1.1634094&lt;/D&gt;&lt;/FQL&gt;&lt;FQL&gt;&lt;Q&gt;TSM-US^P_BETA_LOCIDX(45106,44931,,"SPX")&lt;/Q&gt;&lt;R&gt;1&lt;/R&gt;&lt;C&gt;1&lt;/C&gt;&lt;D xsi:type="xsd:double"&gt;1.1712914&lt;/D&gt;&lt;/FQL&gt;&lt;FQL&gt;&lt;Q&gt;TSM-US^P_BETA_LOCIDX(45105,44930,,"SPX")&lt;/Q&gt;&lt;R&gt;1&lt;/R&gt;&lt;C&gt;1&lt;/C&gt;&lt;D xsi:type="xsd:double"&gt;1.1875541&lt;/D&gt;&lt;/FQL&gt;&lt;FQL&gt;&lt;Q&gt;TSM-US^P_BETA_LOCIDX(45104,44929,,"SPX")&lt;/Q&gt;&lt;R&gt;1&lt;/R&gt;&lt;C&gt;1&lt;/C&gt;&lt;D xsi:type="xsd:double"&gt;1.1871897&lt;/D&gt;&lt;/FQL&gt;&lt;FQL&gt;&lt;Q&gt;TSM-US^P_BETA_LOCIDX(45103,44925,,"SPX")&lt;/Q&gt;&lt;R&gt;1&lt;/R&gt;&lt;C&gt;1&lt;/C&gt;&lt;D xsi:type="xsd:double"&gt;1.1889452&lt;/D&gt;&lt;/FQL&gt;&lt;FQL&gt;&lt;Q&gt;TSM-US^P_BETA_LOCIDX(45100,44924,,"SPX")&lt;/Q&gt;&lt;R&gt;1&lt;/R&gt;&lt;C&gt;1&lt;/C&gt;&lt;D xsi:type="xsd:double"&gt;1.2102101&lt;/D&gt;&lt;/FQL&gt;&lt;FQL&gt;&lt;Q&gt;TSM-US^P_BETA_LOCIDX(45099,44923,,"SPX")&lt;/Q&gt;&lt;R&gt;1&lt;/R&gt;&lt;C&gt;1&lt;/C&gt;&lt;D xsi:type="xsd:double"&gt;1.2117507&lt;/D&gt;&lt;/FQL&gt;&lt;FQL&gt;&lt;Q&gt;TSM-US^P_BETA_LOCIDX(45098,44922,,"SPX")&lt;/Q&gt;&lt;R&gt;1&lt;/R&gt;&lt;C&gt;1&lt;/C&gt;&lt;D xsi:type="xsd:double"&gt;1.2116929&lt;/D&gt;&lt;/FQL&gt;&lt;FQL&gt;&lt;Q&gt;TSM-US^P_BETA_LOCIDX(45097,44918,,"SPX")&lt;/Q&gt;&lt;R&gt;1&lt;/R&gt;&lt;C&gt;1&lt;/C&gt;&lt;D xsi:type="xsd:double"&gt;1.194528&lt;/D&gt;&lt;/FQL&gt;&lt;FQL&gt;&lt;Q&gt;TSM-US^P_BETA_LOCIDX(45093,44917,,"SPX")&lt;/Q&gt;&lt;R&gt;1&lt;/R&gt;&lt;C&gt;1&lt;/C&gt;&lt;D xsi:type="xsd:double"&gt;1.2060187&lt;/D&gt;&lt;/FQL&gt;&lt;FQL&gt;&lt;Q&gt;TSM-US^P_BETA_LOCIDX(45092,44916,,"SPX")&lt;/Q&gt;&lt;R&gt;1&lt;/R&gt;&lt;C&gt;1&lt;/C&gt;&lt;D xsi:type="xsd:double"&gt;1.20566&lt;/D&gt;&lt;/FQL&gt;&lt;FQL&gt;&lt;Q&gt;TSM-US^P_BETA_LOCIDX(45091,44915,,"SPX")&lt;/Q&gt;&lt;R&gt;1&lt;/R&gt;&lt;C&gt;1&lt;/C&gt;&lt;D xsi:type="xsd:double"&gt;1.2441304&lt;/D&gt;&lt;/FQL&gt;&lt;FQL&gt;&lt;Q&gt;TSM-US^P_BETA_LOCIDX(45090,44914,,"SPX")&lt;/Q&gt;&lt;R&gt;1&lt;/R&gt;&lt;C&gt;1&lt;/C&gt;&lt;D xsi:type="xsd:double"&gt;1.2376639&lt;/D&gt;&lt;/FQL&gt;&lt;FQL&gt;&lt;Q&gt;TSM-US^P_BETA_LOCIDX(45089,44911,,"SPX")&lt;/Q&gt;&lt;R&gt;1&lt;/R&gt;&lt;C&gt;1&lt;/C&gt;&lt;D xsi:type="xsd:double"&gt;1.2500513&lt;/D&gt;&lt;/FQL&gt;&lt;FQL&gt;&lt;Q&gt;TSM-US^P_BETA_LOCIDX(45086,44910,,"SPX")&lt;/Q&gt;&lt;R&gt;1&lt;/R&gt;&lt;C&gt;1&lt;/C&gt;&lt;D xsi:type="xsd:double"&gt;1.2303119&lt;/D&gt;&lt;/FQL&gt;&lt;FQL&gt;&lt;Q&gt;TSM-US^P_BETA_LOCIDX(45085,44909,,"SPX")&lt;/Q&gt;&lt;R&gt;1&lt;/R&gt;&lt;C&gt;1&lt;/C&gt;&lt;D xsi:type="xsd:double"&gt;1.2291576&lt;/D&gt;&lt;/FQL&gt;&lt;FQL&gt;&lt;Q&gt;TSM-US^P_BETA_LOCIDX(45084,44908,,"SPX")&lt;/Q&gt;&lt;R&gt;1&lt;/R&gt;&lt;C&gt;1&lt;/C&gt;&lt;D xsi:type="xsd:double"&gt;1.2297933&lt;/D&gt;&lt;/FQL&gt;&lt;FQL&gt;&lt;Q&gt;TSM-US^P_BETA_LOCIDX(45083,44907,,"SPX")&lt;/Q&gt;&lt;R&gt;1&lt;/R&gt;&lt;C&gt;1&lt;/C&gt;&lt;D xsi:type="xsd:double"&gt;1.2072195&lt;/D&gt;&lt;/FQL&gt;&lt;FQL&gt;&lt;Q&gt;TSM-US^P_BETA_LOCIDX(45082,44904,,"SPX")&lt;/Q&gt;&lt;R&gt;1&lt;/R&gt;&lt;C&gt;1&lt;/C&gt;&lt;D xsi:type="xsd:double"&gt;1.2007855&lt;/D&gt;&lt;/FQL&gt;&lt;FQL&gt;&lt;Q&gt;TSM-US^P_BETA_LOCIDX(45079,44903,,"SPX")&lt;/Q&gt;&lt;R&gt;1&lt;/R&gt;&lt;C&gt;1&lt;/C&gt;&lt;D xsi:type="xsd:double"&gt;1.2045478&lt;/D&gt;&lt;/FQL&gt;&lt;FQL&gt;&lt;Q&gt;TSM-US^P_BETA_LOCIDX(45078,44902,,"SPX")&lt;/Q&gt;&lt;R&gt;1&lt;/R&gt;&lt;C&gt;1&lt;/C&gt;&lt;D xsi:type="xsd:double"&gt;1.226507&lt;/D&gt;&lt;/FQL&gt;&lt;FQL&gt;&lt;Q&gt;TSM-US^P_BETA_LOCIDX(45077,44901,,"SPX")&lt;/Q&gt;&lt;R&gt;1&lt;/R&gt;&lt;C&gt;1&lt;/C&gt;&lt;D xsi:type="xsd:double"&gt;1.2465234&lt;/D&gt;&lt;/FQL&gt;&lt;FQL&gt;&lt;Q&gt;TSM-US^P_BETA_LOCIDX(45076,44900,,"SPX")&lt;/Q&gt;&lt;R&gt;1&lt;/R&gt;&lt;C&gt;1&lt;/C&gt;&lt;D xsi:type="xsd:double"&gt;1.1978439&lt;/D&gt;&lt;/FQL&gt;&lt;FQL&gt;&lt;Q&gt;TSM-US^P_BETA_LOCIDX(45072,44897,,"SPX")&lt;/Q&gt;&lt;R&gt;1&lt;/R&gt;&lt;C&gt;1&lt;/C&gt;&lt;D xsi:type="xsd:double"&gt;1.1993396&lt;/D&gt;&lt;/FQL&gt;&lt;FQL&gt;&lt;Q&gt;TSM-US^P_BETA_LOCIDX(45071,44896,,"SPX")&lt;/Q&gt;&lt;R&gt;1&lt;/R&gt;&lt;C&gt;1&lt;/C&gt;&lt;D xsi:type="xsd:double"&gt;1.1942497&lt;/D&gt;&lt;/FQL&gt;&lt;FQL&gt;&lt;Q&gt;TSM-US^P_BETA_LOCIDX(45070,44895,,"SPX")&lt;/Q&gt;&lt;R&gt;1&lt;/R&gt;&lt;C&gt;1&lt;/C&gt;&lt;D xsi:type="xsd:double"&gt;1.1407301&lt;/D&gt;&lt;/FQL&gt;&lt;FQL&gt;&lt;Q&gt;TSM-US^P_BETA_LOCIDX(45069,44894,,"SPX")&lt;/Q&gt;&lt;R&gt;1&lt;/R&gt;&lt;C&gt;1&lt;/C&gt;&lt;D xsi:type="xsd:double"&gt;1.1428635&lt;/D&gt;&lt;/FQL&gt;&lt;FQL&gt;&lt;Q&gt;TSM-US^P_BETA_LOCIDX(45068,44893,,"SPX")&lt;/Q&gt;&lt;R&gt;1&lt;/R&gt;&lt;C&gt;1&lt;/C&gt;&lt;D xsi:type="xsd:double"&gt;1.1534544&lt;/D&gt;&lt;/FQL&gt;&lt;FQL&gt;&lt;Q&gt;TSM-US^P_BETA_LOCIDX(45065,44890,,"SPX")&lt;/Q&gt;&lt;R&gt;1&lt;/R&gt;&lt;C&gt;1&lt;/C&gt;&lt;D xsi:type="xsd:double"&gt;1.1536568&lt;/D&gt;&lt;/FQL&gt;&lt;FQL&gt;&lt;Q&gt;TSM-US^P_BETA_LOCIDX(45064,44888,,"SPX")&lt;/Q&gt;&lt;R&gt;1&lt;/R&gt;&lt;C&gt;1&lt;/C&gt;&lt;D xsi:type="xsd:double"&gt;1.1474667&lt;/D&gt;&lt;/FQL&gt;&lt;FQL&gt;&lt;Q&gt;TSM-US^P_BETA_LOCIDX(45063,44887,,"SPX")&lt;/Q&gt;&lt;R&gt;1&lt;/R&gt;&lt;C&gt;1&lt;/C&gt;&lt;D xsi:type="xsd:double"&gt;1.1586351&lt;/D&gt;&lt;/FQL&gt;&lt;FQL&gt;&lt;Q&gt;TSM-US^P_BETA_LOCIDX(45062,44886,,"SPX")&lt;/Q&gt;&lt;R&gt;1&lt;/R&gt;&lt;C&gt;1&lt;/C&gt;&lt;D xsi:type="xsd:double"&gt;1.1271966&lt;/D&gt;&lt;/FQL&gt;&lt;FQL&gt;&lt;Q&gt;TSM-US^P_BETA_LOCIDX(45061,44883,,"SPX")&lt;/Q&gt;&lt;R&gt;1&lt;/R&gt;&lt;C&gt;1&lt;/C&gt;&lt;D xsi:type="xsd:double"&gt;1.1337664&lt;/D&gt;&lt;/FQL&gt;&lt;FQL&gt;&lt;Q&gt;TSM-US^P_BETA_LOCIDX(45058,44882,,"SPX")&lt;/Q&gt;&lt;R&gt;1&lt;/R&gt;&lt;C&gt;1&lt;/C&gt;&lt;D xsi:type="xsd:double"&gt;1.1211475&lt;/D&gt;&lt;/FQL&gt;&lt;FQL&gt;&lt;Q&gt;TSM-US^P_BETA_LOCIDX(45057,44881,,"SPX")&lt;/Q&gt;&lt;R&gt;1&lt;/R&gt;&lt;C&gt;1&lt;/C&gt;&lt;D xsi:type="xsd:double"&gt;1.1237134&lt;/D&gt;&lt;/FQL&gt;&lt;FQL&gt;&lt;Q&gt;TSM-US^P_BETA_LOCIDX(45056,44880,,"SPX")&lt;/Q&gt;&lt;R&gt;1&lt;/R&gt;&lt;C&gt;1&lt;/C&gt;&lt;D xsi:type="xsd:double"&gt;1.1826437&lt;/D&gt;&lt;/FQL&gt;&lt;FQL&gt;&lt;Q&gt;TSM-US^P_BETA_LOCIDX(45055,44879,,"SPX")&lt;/Q&gt;&lt;R&gt;1&lt;/R&gt;&lt;C&gt;1&lt;/C&gt;&lt;D xsi:type="xsd:double"&gt;1.1884301&lt;/D&gt;&lt;/FQL&gt;&lt;FQL&gt;&lt;Q&gt;TSM-US^P_BETA_LOCIDX(45054,44876,,"SPX")&lt;/Q&gt;&lt;R&gt;1&lt;/R&gt;&lt;C&gt;1&lt;/C&gt;&lt;D xsi:type="xsd:double"&gt;1.2084751&lt;/D&gt;&lt;/FQL&gt;&lt;FQL&gt;&lt;Q&gt;TSM-US^P_BETA_LOCIDX(45051,44875,,"SPX")&lt;/Q&gt;&lt;R&gt;1&lt;/R&gt;&lt;C&gt;1&lt;/C&gt;&lt;D xsi:type="xsd:double"&gt;1.2822471&lt;/D&gt;&lt;/FQL&gt;&lt;FQL&gt;&lt;Q&gt;TSM-US^P_BETA_LOCIDX(45050,44874,,"SPX")&lt;/Q&gt;&lt;R&gt;1&lt;/R&gt;&lt;C&gt;1&lt;/C&gt;&lt;D xsi:type="xsd:double"&gt;1.2573444&lt;/D&gt;&lt;/FQL&gt;&lt;FQL&gt;&lt;Q&gt;TSM-US^P_BETA_LOCIDX(45049,44873,,"SPX")&lt;/Q&gt;&lt;R&gt;1&lt;/R&gt;&lt;C&gt;1&lt;/C&gt;&lt;D xsi:type="xsd:double"&gt;1.2740518&lt;/D&gt;&lt;/FQL&gt;&lt;FQL&gt;&lt;Q&gt;TSM-US^P_BETA_LOCIDX(45048,44872,,"SPX")&lt;/Q&gt;&lt;R&gt;1&lt;/R&gt;&lt;C&gt;1&lt;/C&gt;&lt;D xsi:type="xsd:double"&gt;1.2708297&lt;/D&gt;&lt;/FQL&gt;&lt;FQL&gt;&lt;Q&gt;TSM-US^P_BETA_LOCIDX(45047,44869,,"SPX")&lt;/Q&gt;&lt;R&gt;1&lt;/R&gt;&lt;C&gt;1&lt;/C&gt;&lt;D xsi:type="xsd:double"&gt;1.2853523&lt;/D&gt;&lt;/FQL&gt;&lt;FQL&gt;&lt;Q&gt;TSM-US^P_BETA_LOCIDX(45044,44868,,"SPX")&lt;/Q&gt;&lt;R&gt;1&lt;/R&gt;&lt;C&gt;1&lt;/C&gt;&lt;D xsi:type="xsd:double"&gt;1.2793423&lt;/D&gt;&lt;/FQL&gt;&lt;FQL&gt;&lt;Q&gt;TSM-US^P_BETA_LOCIDX(45043,44867,,"SPX")&lt;/Q&gt;&lt;R&gt;1&lt;/R&gt;&lt;C&gt;1&lt;/C&gt;&lt;D xsi:type="xsd:double"&gt;1.2618608&lt;/D&gt;&lt;/FQL&gt;&lt;FQL&gt;&lt;Q&gt;TSM-US^P_BETA_LOCIDX(45042,44866,,"SPX")&lt;/Q&gt;&lt;R&gt;1&lt;/R&gt;&lt;C&gt;1&lt;/C&gt;&lt;D xsi:type="xsd:double"&gt;1.2717607&lt;/D&gt;&lt;/FQL&gt;&lt;FQL&gt;&lt;Q&gt;TSM-US^P_BETA_LOCIDX(45041,44865,,"SPX")&lt;/Q&gt;&lt;R&gt;1&lt;/R&gt;&lt;C&gt;1&lt;/C&gt;&lt;D xsi:type="xsd:double"&gt;1.2723714&lt;/D&gt;&lt;/FQL&gt;&lt;FQL&gt;&lt;Q&gt;TSM-US^P_BETA_LOCIDX(45040,44862,,"SPX")&lt;/Q&gt;&lt;R&gt;1&lt;/R&gt;&lt;C&gt;1&lt;/C&gt;&lt;D xsi:type="xsd:double"&gt;1.2401311&lt;/D&gt;&lt;/FQL&gt;&lt;FQL&gt;&lt;Q&gt;TSM-US^P_BETA_LOCIDX(45037,44861,,"SPX")&lt;/Q&gt;&lt;R&gt;1&lt;/R&gt;&lt;C&gt;1&lt;/C&gt;&lt;D xsi:type="xsd:double"&gt;1.2373117&lt;/D&gt;&lt;/FQL&gt;&lt;FQL&gt;&lt;Q&gt;TSM-US^P_BETA_LOCIDX(45036,44860,,"SPX")&lt;/Q&gt;&lt;R&gt;1&lt;/R&gt;&lt;C&gt;1&lt;/C&gt;&lt;D xsi:type="xsd:double"&gt;1.2371179&lt;/D&gt;&lt;/FQL&gt;&lt;FQL&gt;&lt;Q&gt;TSM-US^P_BETA_LOCIDX(45035,44859,,"SPX")&lt;/Q&gt;&lt;R&gt;1&lt;/R&gt;&lt;C&gt;1&lt;/C&gt;&lt;D xsi:type="xsd:double"&gt;1.2256223&lt;/D&gt;&lt;/FQL&gt;&lt;FQL&gt;&lt;Q&gt;TSM-US^P_BETA_LOCIDX(45034,44858,,"SPX")&lt;/Q&gt;&lt;R&gt;1&lt;/R&gt;&lt;C&gt;1&lt;/C&gt;&lt;D xsi:type="xsd:double"&gt;1.1898082&lt;/D&gt;&lt;/FQL&gt;&lt;FQL&gt;&lt;Q&gt;TSM-US^P_BETA_LOCIDX(45033,44855,,"SPX")&lt;/Q&gt;&lt;R&gt;1&lt;/R&gt;&lt;C&gt;1&lt;/C&gt;&lt;D xsi:type="xsd:double"&gt;1.1549628&lt;/D&gt;&lt;/FQL&gt;&lt;FQL&gt;&lt;Q&gt;TSM-US^P_BETA_LOCIDX(45030,44854,,"SPX")&lt;/Q&gt;&lt;R&gt;1&lt;/R&gt;&lt;C&gt;1&lt;/C&gt;&lt;D xsi:type="xsd:double"&gt;1.151382&lt;/D&gt;&lt;/FQL&gt;&lt;FQL&gt;&lt;Q&gt;TSM-US^P_BETA_LOCIDX(45029,44853,,"SPX")&lt;/Q&gt;&lt;R&gt;1&lt;/R&gt;&lt;C&gt;1&lt;/C&gt;&lt;D xsi:type="xsd:double"&gt;1.1495788&lt;/D&gt;&lt;/FQL&gt;&lt;FQL&gt;&lt;Q&gt;TSM-US^P_BETA_LOCIDX(45028,44852,,"SPX")&lt;/Q&gt;&lt;R&gt;1&lt;/R&gt;&lt;C&gt;1&lt;/C&gt;&lt;D xsi:type="xsd:double"&gt;1.1404884&lt;/D&gt;&lt;/FQL&gt;&lt;FQL&gt;&lt;Q&gt;TSM-US^P_BETA_LOCIDX(45027,44851,,"SPX")&lt;/Q&gt;&lt;R&gt;1&lt;/R&gt;&lt;C&gt;1&lt;/C&gt;&lt;D xsi:type="xsd:double"&gt;1.1110315&lt;/D&gt;&lt;/FQL&gt;&lt;FQL&gt;&lt;Q&gt;TSM-US^P_BETA_LOCIDX(45026,44848,,"SPX")&lt;/Q&gt;&lt;R&gt;1&lt;/R&gt;&lt;C&gt;1&lt;/C&gt;&lt;D xsi:type="xsd:double"&gt;1.131628&lt;/D&gt;&lt;/FQL&gt;&lt;FQL&gt;&lt;Q&gt;TSM-US^P_BETA_LOCIDX(45022,44847,,"SPX")&lt;/Q&gt;&lt;R&gt;1&lt;/R&gt;&lt;C&gt;1&lt;/C&gt;&lt;D xsi:type="xsd:double"&gt;1.1417706&lt;/D&gt;&lt;/FQL&gt;&lt;FQL&gt;&lt;Q&gt;TSM-US^P_BETA_LOCIDX(45021,44846,,"SPX")&lt;/Q&gt;&lt;R&gt;1&lt;/R&gt;&lt;C&gt;1&lt;/C&gt;&lt;D xsi</t>
        </r>
      </text>
    </comment>
    <comment ref="A23" authorId="0" shapeId="0" xr:uid="{801F7AD0-21B0-426F-9B10-312EB31E08B4}">
      <text>
        <r>
          <rPr>
            <b/>
            <sz val="9"/>
            <color indexed="81"/>
            <rFont val="Tahoma"/>
            <charset val="1"/>
          </rPr>
          <t>:type="xsd:double"&gt;1.1396224&lt;/D&gt;&lt;/FQL&gt;&lt;FQL&gt;&lt;Q&gt;TSM-US^P_BETA_LOCIDX(45020,44845,,"SPX")&lt;/Q&gt;&lt;R&gt;1&lt;/R&gt;&lt;C&gt;1&lt;/C&gt;&lt;D xsi:type="xsd:double"&gt;1.1565952&lt;/D&gt;&lt;/FQL&gt;&lt;FQL&gt;&lt;Q&gt;TSM-US^P_BETA_LOCIDX(45019,44844,,"SPX")&lt;/Q&gt;&lt;R&gt;1&lt;/R&gt;&lt;C&gt;1&lt;/C&gt;&lt;D xsi:type="xsd:double"&gt;1.1671666&lt;/D&gt;&lt;/FQL&gt;&lt;FQL&gt;&lt;Q&gt;TSM-US^P_BETA_LOCIDX(45016,44841,,"SPX")&lt;/Q&gt;&lt;R&gt;1&lt;/R&gt;&lt;C&gt;1&lt;/C&gt;&lt;D xsi:type="xsd:double"&gt;1.210884&lt;/D&gt;&lt;/FQL&gt;&lt;FQL&gt;&lt;Q&gt;TSM-US^P_BETA_LOCIDX(45015,44840,,"SPX")&lt;/Q&gt;&lt;R&gt;1&lt;/R&gt;&lt;C&gt;1&lt;/C&gt;&lt;D xsi:type="xsd:double"&gt;1.2143309&lt;/D&gt;&lt;/FQL&gt;&lt;FQL&gt;&lt;Q&gt;TSM-US^P_BETA_LOCIDX(45014,44839,,"SPX")&lt;/Q&gt;&lt;R&gt;1&lt;/R&gt;&lt;C&gt;1&lt;/C&gt;&lt;D xsi:type="xsd:double"&gt;1.2141246&lt;/D&gt;&lt;/FQL&gt;&lt;FQL&gt;&lt;Q&gt;TSM-US^P_BETA_LOCIDX(45013,44838,,"SPX")&lt;/Q&gt;&lt;R&gt;1&lt;/R&gt;&lt;C&gt;1&lt;/C&gt;&lt;D xsi:type="xsd:double"&gt;1.2302526&lt;/D&gt;&lt;/FQL&gt;&lt;FQL&gt;&lt;Q&gt;TSM-US^P_BETA_LOCIDX(45012,44837,,"SPX")&lt;/Q&gt;&lt;R&gt;1&lt;/R&gt;&lt;C&gt;1&lt;/C&gt;&lt;D xsi:type="xsd:double"&gt;1.2037653&lt;/D&gt;&lt;/FQL&gt;&lt;FQL&gt;&lt;Q&gt;TSM-US^P_BETA_LOCIDX(45009,44834,,"SPX")&lt;/Q&gt;&lt;R&gt;1&lt;/R&gt;&lt;C&gt;1&lt;/C&gt;&lt;D xsi:type="xsd:double"&gt;1.2002919&lt;/D&gt;&lt;/FQL&gt;&lt;FQL&gt;&lt;Q&gt;TSM-US^P_BETA_LOCIDX(45008,44833,,"SPX")&lt;/Q&gt;&lt;R&gt;1&lt;/R&gt;&lt;C&gt;1&lt;/C&gt;&lt;D xsi:type="xsd:double"&gt;1.2217444&lt;/D&gt;&lt;/FQL&gt;&lt;FQL&gt;&lt;Q&gt;TSM-US^P_BETA_LOCIDX(45007,44832,,"SPX")&lt;/Q&gt;&lt;R&gt;1&lt;/R&gt;&lt;C&gt;1&lt;/C&gt;&lt;D xsi:type="xsd:double"&gt;1.1886755&lt;/D&gt;&lt;/FQL&gt;&lt;FQL&gt;&lt;Q&gt;TSM-US^P_BETA_LOCIDX(45006,44831,,"SPX")&lt;/Q&gt;&lt;R&gt;1&lt;/R&gt;&lt;C&gt;1&lt;/C&gt;&lt;D xsi:type="xsd:double"&gt;1.2033254&lt;/D&gt;&lt;/FQL&gt;&lt;FQL&gt;&lt;Q&gt;TSM-US^P_BETA_LOCIDX(45005,44830,,"SPX")&lt;/Q&gt;&lt;R&gt;1&lt;/R&gt;&lt;C&gt;1&lt;/C&gt;&lt;D xsi:type="xsd:double"&gt;1.1978803&lt;/D&gt;&lt;/FQL&gt;&lt;FQL&gt;&lt;Q&gt;TSM-US^P_BETA_LOCIDX(45002,44827,,"SPX")&lt;/Q&gt;&lt;R&gt;1&lt;/R&gt;&lt;C&gt;1&lt;/C&gt;&lt;D xsi:type="xsd:double"&gt;1.2028608&lt;/D&gt;&lt;/FQL&gt;&lt;FQL&gt;&lt;Q&gt;TSM-US^P_BETA_LOCIDX(45001,44826,,"SPX")&lt;/Q&gt;&lt;R&gt;1&lt;/R&gt;&lt;C&gt;1&lt;/C&gt;&lt;D xsi:type="xsd:double"&gt;1.2140087&lt;/D&gt;&lt;/FQL&gt;&lt;FQL&gt;&lt;Q&gt;TSM-US^P_BETA_LOCIDX(45000,44825,,"SPX")&lt;/Q&gt;&lt;R&gt;1&lt;/R&gt;&lt;C&gt;1&lt;/C&gt;&lt;D xsi:type="xsd:double"&gt;1.2029735&lt;/D&gt;&lt;/FQL&gt;&lt;FQL&gt;&lt;Q&gt;TSM-US^P_BETA_LOCIDX(44999,44824,,"SPX")&lt;/Q&gt;&lt;R&gt;1&lt;/R&gt;&lt;C&gt;1&lt;/C&gt;&lt;D xsi:type="xsd:double"&gt;1.1905274&lt;/D&gt;&lt;/FQL&gt;&lt;FQL&gt;&lt;Q&gt;TSM-US^P_BETA_LOCIDX(44998,44823,,"SPX")&lt;/Q&gt;&lt;R&gt;1&lt;/R&gt;&lt;C&gt;1&lt;/C&gt;&lt;D xsi:type="xsd:double"&gt;1.191334&lt;/D&gt;&lt;/FQL&gt;&lt;FQL&gt;&lt;Q&gt;TSM-US^P_BETA_LOCIDX(44995,44820,,"SPX")&lt;/Q&gt;&lt;R&gt;1&lt;/R&gt;&lt;C&gt;1&lt;/C&gt;&lt;D xsi:type="xsd:double"&gt;1.1898006&lt;/D&gt;&lt;/FQL&gt;&lt;FQL&gt;&lt;Q&gt;TSM-US^P_BETA_LOCIDX(44994,44819,,"SPX")&lt;/Q&gt;&lt;R&gt;1&lt;/R&gt;&lt;C&gt;1&lt;/C&gt;&lt;D xsi:type="xsd:double"&gt;1.1927309&lt;/D&gt;&lt;/FQL&gt;&lt;FQL&gt;&lt;Q&gt;TSM-US^P_BETA_LOCIDX(44993,44818,,"SPX")&lt;/Q&gt;&lt;R&gt;1&lt;/R&gt;&lt;C&gt;1&lt;/C&gt;&lt;D xsi:type="xsd:double"&gt;1.1929814&lt;/D&gt;&lt;/FQL&gt;&lt;FQL&gt;&lt;Q&gt;TSM-US^P_BETA_LOCIDX(44992,44817,,"SPX")&lt;/Q&gt;&lt;R&gt;1&lt;/R&gt;&lt;C&gt;1&lt;/C&gt;&lt;D xsi:type="xsd:double"&gt;1.1745055&lt;/D&gt;&lt;/FQL&gt;&lt;FQL&gt;&lt;Q&gt;TSM-US^P_BETA_LOCIDX(44991,44816,,"SPX")&lt;/Q&gt;&lt;R&gt;1&lt;/R&gt;&lt;C&gt;1&lt;/C&gt;&lt;D xsi:type="xsd:double"&gt;1.1774418&lt;/D&gt;&lt;/FQL&gt;&lt;FQL&gt;&lt;Q&gt;TSM-US^P_BETA_LOCIDX(44988,44813,,"SPX")&lt;/Q&gt;&lt;R&gt;1&lt;/R&gt;&lt;C&gt;1&lt;/C&gt;&lt;D xsi:type="xsd:double"&gt;1.175703&lt;/D&gt;&lt;/FQL&gt;&lt;FQL&gt;&lt;Q&gt;TSM-US^P_BETA_LOCIDX(44987,44812,,"SPX")&lt;/Q&gt;&lt;R&gt;1&lt;/R&gt;&lt;C&gt;1&lt;/C&gt;&lt;D xsi:type="xsd:double"&gt;1.1819528&lt;/D&gt;&lt;/FQL&gt;&lt;FQL&gt;&lt;Q&gt;TSM-US^P_BETA_LOCIDX(44986,44811,,"SPX")&lt;/Q&gt;&lt;R&gt;1&lt;/R&gt;&lt;C&gt;1&lt;/C&gt;&lt;D xsi:type="xsd:double"&gt;1.1652137&lt;/D&gt;&lt;/FQL&gt;&lt;FQL&gt;&lt;Q&gt;TSM-US^P_BETA_LOCIDX(44985,44810,,"SPX")&lt;/Q&gt;&lt;R&gt;1&lt;/R&gt;&lt;C&gt;1&lt;/C&gt;&lt;D xsi:type="xsd:double"&gt;1.1704843&lt;/D&gt;&lt;/FQL&gt;&lt;FQL&gt;&lt;Q&gt;TSM-US^P_BETA_LOCIDX(44984,44806,,"SPX")&lt;/Q&gt;&lt;R&gt;1&lt;/R&gt;&lt;C&gt;1&lt;/C&gt;&lt;D xsi:type="xsd:double"&gt;1.1692716&lt;/D&gt;&lt;/FQL&gt;&lt;FQL&gt;&lt;Q&gt;TSM-US^P_BETA_LOCIDX(44981,44805,,"SPX")&lt;/Q&gt;&lt;R&gt;1&lt;/R&gt;&lt;C&gt;1&lt;/C&gt;&lt;D xsi:type="xsd:double"&gt;1.1680001&lt;/D&gt;&lt;/FQL&gt;&lt;FQL&gt;&lt;Q&gt;TSM-US^P_BETA_LOCIDX(44980,44804,,"SPX")&lt;/Q&gt;&lt;R&gt;1&lt;/R&gt;&lt;C&gt;1&lt;/C&gt;&lt;D xsi:type="xsd:double"&gt;1.1585605&lt;/D&gt;&lt;/FQL&gt;&lt;FQL&gt;&lt;Q&gt;TSM-US^P_BETA_LOCIDX(44979,44803,,"SPX")&lt;/Q&gt;&lt;R&gt;1&lt;/R&gt;&lt;C&gt;1&lt;/C&gt;&lt;D xsi:type="xsd:double"&gt;1.1469351&lt;/D&gt;&lt;/FQL&gt;&lt;FQL&gt;&lt;Q&gt;TSM-US^P_BETA_LOCIDX(44978,44802,,"SPX")&lt;/Q&gt;&lt;R&gt;1&lt;/R&gt;&lt;C&gt;1&lt;/C&gt;&lt;D xsi:type="xsd:double"&gt;1.1505717&lt;/D&gt;&lt;/FQL&gt;&lt;FQL&gt;&lt;Q&gt;TSM-US^P_BETA_LOCIDX(44974,44799,,"SPX")&lt;/Q&gt;&lt;R&gt;1&lt;/R&gt;&lt;C&gt;1&lt;/C&gt;&lt;D xsi:type="xsd:double"&gt;1.139031&lt;/D&gt;&lt;/FQL&gt;&lt;FQL&gt;&lt;Q&gt;TSM-US^P_BETA_LOCIDX(44973,44798,,"SPX")&lt;/Q&gt;&lt;R&gt;1&lt;/R&gt;&lt;C&gt;1&lt;/C&gt;&lt;D xsi:type="xsd:double"&gt;1.142148&lt;/D&gt;&lt;/FQL&gt;&lt;FQL&gt;&lt;Q&gt;TSM-US^P_BETA_LOCIDX(44972,44797,,"SPX")&lt;/Q&gt;&lt;R&gt;1&lt;/R&gt;&lt;C&gt;1&lt;/C&gt;&lt;D xsi:type="xsd:double"&gt;1.1378009&lt;/D&gt;&lt;/FQL&gt;&lt;FQL&gt;&lt;Q&gt;TSM-US^P_BETA_LOCIDX(44971,44796,,"SPX")&lt;/Q&gt;&lt;R&gt;1&lt;/R&gt;&lt;C&gt;1&lt;/C&gt;&lt;D xsi:type="xsd:double"&gt;1.1428034&lt;/D&gt;&lt;/FQL&gt;&lt;FQL&gt;&lt;Q&gt;TSM-US^P_BETA_LOCIDX(44970,44795,,"SPX")&lt;/Q&gt;&lt;R&gt;1&lt;/R&gt;&lt;C&gt;1&lt;/C&gt;&lt;D xsi:type="xsd:double"&gt;1.1424307&lt;/D&gt;&lt;/FQL&gt;&lt;FQL&gt;&lt;Q&gt;TSM-US^P_BETA_LOCIDX(44967,44792,,"SPX")&lt;/Q&gt;&lt;R&gt;1&lt;/R&gt;&lt;C&gt;1&lt;/C&gt;&lt;D xsi:type="xsd:double"&gt;1.1501226&lt;/D&gt;&lt;/FQL&gt;&lt;FQL&gt;&lt;Q&gt;TSM-US^P_BETA_LOCIDX(44966,44791,,"SPX")&lt;/Q&gt;&lt;R&gt;1&lt;/R&gt;&lt;C&gt;1&lt;/C&gt;&lt;D xsi:type="xsd:double"&gt;1.151488&lt;/D&gt;&lt;/FQL&gt;&lt;FQL&gt;&lt;Q&gt;TSM-US^P_BETA_LOCIDX(44965,44790,,"SPX")&lt;/Q&gt;&lt;R&gt;1&lt;/R&gt;&lt;C&gt;1&lt;/C&gt;&lt;D xsi:type="xsd:double"&gt;1.1632862&lt;/D&gt;&lt;/FQL&gt;&lt;FQL&gt;&lt;Q&gt;TSM-US^P_BETA_LOCIDX(44964,44789,,"SPX")&lt;/Q&gt;&lt;R&gt;1&lt;/R&gt;&lt;C&gt;1&lt;/C&gt;&lt;D xsi:type="xsd:double"&gt;1.1654768&lt;/D&gt;&lt;/FQL&gt;&lt;FQL&gt;&lt;Q&gt;TSM-US^P_BETA_LOCIDX(44963,44788,,"SPX")&lt;/Q&gt;&lt;R&gt;1&lt;/R&gt;&lt;C&gt;1&lt;/C&gt;&lt;D xsi:type="xsd:double"&gt;1.1587603&lt;/D&gt;&lt;/FQL&gt;&lt;FQL&gt;&lt;Q&gt;TSM-US^P_BETA_LOCIDX(44960,44785,,"SPX")&lt;/Q&gt;&lt;R&gt;1&lt;/R&gt;&lt;C&gt;1&lt;/C&gt;&lt;D xsi:type="xsd:double"&gt;1.1493195&lt;/D&gt;&lt;/FQL&gt;&lt;FQL&gt;&lt;Q&gt;TSM-US^P_BETA_LOCIDX(44959,44784,,"SPX")&lt;/Q&gt;&lt;R&gt;1&lt;/R&gt;&lt;C&gt;1&lt;/C&gt;&lt;D xsi:type="xsd:double"&gt;1.1451893&lt;/D&gt;&lt;/FQL&gt;&lt;FQL&gt;&lt;Q&gt;TSM-US^P_BETA_LOCIDX(44958,44783,,"SPX")&lt;/Q&gt;&lt;R&gt;1&lt;/R&gt;&lt;C&gt;1&lt;/C&gt;&lt;D xsi:type="xsd:double"&gt;1.1563383&lt;/D&gt;&lt;/FQL&gt;&lt;FQL&gt;&lt;Q&gt;TSM-US^P_BETA_LOCIDX(44957,44782,,"SPX")&lt;/Q&gt;&lt;R&gt;1&lt;/R&gt;&lt;C&gt;1&lt;/C&gt;&lt;D xsi:type="xsd:double"&gt;1.1573397&lt;/D&gt;&lt;/FQL&gt;&lt;FQL&gt;&lt;Q&gt;TSM-US^P_BETA_LOCIDX(44956,44781,,"SPX")&lt;/Q&gt;&lt;R&gt;1&lt;/R&gt;&lt;C&gt;1&lt;/C&gt;&lt;D xsi:type="xsd:double"&gt;1.1709037&lt;/D&gt;&lt;/FQL&gt;&lt;FQL&gt;&lt;Q&gt;TSM-US^P_BETA_LOCIDX(44953,44778,,"SPX")&lt;/Q&gt;&lt;R&gt;1&lt;/R&gt;&lt;C&gt;1&lt;/C&gt;&lt;D xsi:type="xsd:double"&gt;1.1762704&lt;/D&gt;&lt;/FQL&gt;&lt;FQL&gt;&lt;Q&gt;TSM-US^P_BETA_LOCIDX(44952,44777,,"SPX")&lt;/Q&gt;&lt;R&gt;1&lt;/R&gt;&lt;C&gt;1&lt;/C&gt;&lt;D xsi:type="xsd:double"&gt;1.1762131&lt;/D&gt;&lt;/FQL&gt;&lt;FQL&gt;&lt;Q&gt;TSM-US^P_BETA_LOCIDX(44951,44776,,"SPX")&lt;/Q&gt;&lt;R&gt;1&lt;/R&gt;&lt;C&gt;1&lt;/C&gt;&lt;D xsi:type="xsd:double"&gt;1.168744&lt;/D&gt;&lt;/FQL&gt;&lt;FQL&gt;&lt;Q&gt;TSM-US^P_BETA_LOCIDX(44950,44775,,"SPX")&lt;/Q&gt;&lt;R&gt;1&lt;/R&gt;&lt;C&gt;1&lt;/C&gt;&lt;D xsi:type="xsd:double"&gt;1.1676941&lt;/D&gt;&lt;/FQL&gt;&lt;FQL&gt;&lt;Q&gt;TSM-US^P_BETA_LOCIDX(44949,44774,,"SPX")&lt;/Q&gt;&lt;R&gt;1&lt;/R&gt;&lt;C&gt;1&lt;/C&gt;&lt;D xsi:type="xsd:double"&gt;1.1697876&lt;/D&gt;&lt;/FQL&gt;&lt;FQL&gt;&lt;Q&gt;TSM-US^P_BETA_LOCIDX(44946,44771,,"SPX")&lt;/Q&gt;&lt;R&gt;1&lt;/R&gt;&lt;C&gt;1&lt;/C&gt;&lt;D xsi:type="xsd:double"&gt;1.1423509&lt;/D&gt;&lt;/FQL&gt;&lt;FQL&gt;&lt;Q&gt;TSM-US^P_BETA_LOCIDX(44945,44770,,"SPX")&lt;/Q&gt;&lt;R&gt;1&lt;/R&gt;&lt;C&gt;1&lt;/C&gt;&lt;D xsi:type="xsd:double"&gt;1.1351316&lt;/D&gt;&lt;/FQL&gt;&lt;FQL&gt;&lt;Q&gt;TSM-US^P_BETA_LOCIDX(44944,44769,,"SPX")&lt;/Q&gt;&lt;R&gt;1&lt;/R&gt;&lt;C&gt;1&lt;/C&gt;&lt;D xsi:type="xsd:double"&gt;1.1417484&lt;/D&gt;&lt;/FQL&gt;&lt;FQL&gt;&lt;Q&gt;TSM-US^P_BETA_LOCIDX(44943,44768,,"SPX")&lt;/Q&gt;&lt;R&gt;1&lt;/R&gt;&lt;C&gt;1&lt;/C&gt;&lt;D xsi:type="xsd:double"&gt;1.1595443&lt;/D&gt;&lt;/FQL&gt;&lt;FQL&gt;&lt;Q&gt;TSM-US^P_BETA_LOCIDX(44939,44767,,"SPX")&lt;/Q&gt;&lt;R&gt;1&lt;/R&gt;&lt;C&gt;1&lt;/C&gt;&lt;D xsi:type="xsd:double"&gt;1.1617712&lt;/D&gt;&lt;/FQL&gt;&lt;FQL&gt;&lt;Q&gt;TSM-US^P_BETA_LOCIDX(44938,44764,,"SPX")&lt;/Q&gt;&lt;R&gt;1&lt;/R&gt;&lt;C&gt;1&lt;/C&gt;&lt;D xsi:type="xsd:double"&gt;1.1650227&lt;/D&gt;&lt;/FQL&gt;&lt;FQL&gt;&lt;Q&gt;TSM-US^P_BETA_LOCIDX(44937,44763,,"SPX")&lt;/Q&gt;&lt;R&gt;1&lt;/R&gt;&lt;C&gt;1&lt;/C&gt;&lt;D xsi:type="xsd:double"&gt;1.1584663&lt;/D&gt;&lt;/FQL&gt;&lt;FQL&gt;&lt;Q&gt;TSM-US^P_BETA_LOCIDX(44936,44762,,"SPX")&lt;/Q&gt;&lt;R&gt;1&lt;/R&gt;&lt;C&gt;1&lt;/C&gt;&lt;D xsi:type="xsd:double"&gt;1.1621495&lt;/D&gt;&lt;/FQL&gt;&lt;FQL&gt;&lt;Q&gt;TSM-US^P_BETA_LOCIDX(44935,44761,,"SPX")&lt;/Q&gt;&lt;R&gt;1&lt;/R&gt;&lt;C&gt;1&lt;/C&gt;&lt;D xsi:type="xsd:double"&gt;1.1599904&lt;/D&gt;&lt;/FQL&gt;&lt;FQL&gt;&lt;Q&gt;TSM-US^P_BETA_LOCIDX(44932,44760,,"SPX")&lt;/Q&gt;&lt;R&gt;1&lt;/R&gt;&lt;C&gt;1&lt;/C&gt;&lt;D xsi:type="xsd:double"&gt;1.1654903&lt;/D&gt;&lt;/FQL&gt;&lt;FQL&gt;&lt;Q&gt;TSM-US^P_BETA_LOCIDX(44931,44757,,"SPX")&lt;/Q&gt;&lt;R&gt;1&lt;/R&gt;&lt;C&gt;1&lt;/C&gt;&lt;D xsi:type="xsd:double"&gt;1.162501&lt;/D&gt;&lt;/FQL&gt;&lt;FQL&gt;&lt;Q&gt;TSM-US^P_BETA_LOCIDX(44930,44756,,"SPX")&lt;/Q&gt;&lt;R&gt;1&lt;/R&gt;&lt;C&gt;1&lt;/C&gt;&lt;D xsi:type="xsd:double"&gt;1.1613494&lt;/D&gt;&lt;/FQL&gt;&lt;FQL&gt;&lt;Q&gt;TSM-US^P_BETA_LOCIDX(44929,44755,,"SPX")&lt;/Q&gt;&lt;R&gt;1&lt;/R&gt;&lt;C&gt;1&lt;/C&gt;&lt;D xsi:type="xsd:double"&gt;1.1492332&lt;/D&gt;&lt;/FQL&gt;&lt;FQL&gt;&lt;Q&gt;TSM-US^P_BETA_LOCIDX(44925,44754,,"SPX")&lt;/Q&gt;&lt;R&gt;1&lt;/R&gt;&lt;C&gt;1&lt;/C&gt;&lt;D xsi:type="xsd:double"&gt;1.1452274&lt;/D&gt;&lt;/FQL&gt;&lt;FQL&gt;&lt;Q&gt;TSM-US^P_BETA_LOCIDX(44924,44753,,"SPX")&lt;/Q&gt;&lt;R&gt;1&lt;/R&gt;&lt;C&gt;1&lt;/C&gt;&lt;D xsi:type="xsd:double"&gt;1.1505384&lt;/D&gt;&lt;/FQL&gt;&lt;FQL&gt;&lt;Q&gt;TSM-US^P_BETA_LOCIDX(44923,44750,,"SPX")&lt;/Q&gt;&lt;R&gt;1&lt;/R&gt;&lt;C&gt;1&lt;/C&gt;&lt;D xsi:type="xsd:double"&gt;1.1365801&lt;/D&gt;&lt;/FQL&gt;&lt;FQL&gt;&lt;Q&gt;TSM-US^P_BETA_LOCIDX(44922,44749,,"SPX")&lt;/Q&gt;&lt;R&gt;1&lt;/R&gt;&lt;C&gt;1&lt;/C&gt;&lt;D xsi:type="xsd:double"&gt;1.1637949&lt;/D&gt;&lt;/FQL&gt;&lt;FQL&gt;&lt;Q&gt;TSM-US^P_BETA_LOCIDX(44918,44748,,"SPX")&lt;/Q&gt;&lt;R&gt;1&lt;/R&gt;&lt;C&gt;1&lt;/C&gt;&lt;D xsi:type="xsd:double"&gt;1.1618297&lt;/D&gt;&lt;/FQL&gt;&lt;FQL&gt;&lt;Q&gt;TSM-US^P_BETA_LOCIDX(44917,44747,,"SPX")&lt;/Q&gt;&lt;R&gt;1&lt;/R&gt;&lt;C&gt;1&lt;/C&gt;&lt;D xsi:type="xsd:double"&gt;1.1637015&lt;/D&gt;&lt;/FQL&gt;&lt;FQL&gt;&lt;Q&gt;TSM-US^P_BETA_LOCIDX(44916,44743,,"SPX")&lt;/Q&gt;&lt;R&gt;1&lt;/R&gt;&lt;C&gt;1&lt;/C&gt;&lt;D xsi:type="xsd:double"&gt;1.1321708&lt;/D&gt;&lt;/FQL&gt;&lt;FQL&gt;&lt;Q&gt;TSM-US^P_BETA_LOCIDX(44915,44742,,"SPX")&lt;/Q&gt;&lt;R&gt;1&lt;/R&gt;&lt;C&gt;1&lt;/C&gt;&lt;D xsi:type="xsd:double"&gt;1.1342149&lt;/D&gt;&lt;/FQL&gt;&lt;FQL&gt;&lt;Q&gt;TSM-US^P_BETA_LOCIDX(44914,44741,,"SPX")&lt;/Q&gt;&lt;R&gt;1&lt;/R&gt;&lt;C&gt;1&lt;/C&gt;&lt;D xsi:type="xsd:double"&gt;1.1346694&lt;/D&gt;&lt;/FQL&gt;&lt;FQL&gt;&lt;Q&gt;TSM-US^P_BETA_LOCIDX(44911,44740,,"SPX")&lt;/Q&gt;&lt;R&gt;1&lt;/R&gt;&lt;C&gt;1&lt;/C&gt;&lt;D xsi:type="xsd:double"&gt;1.133069&lt;/D&gt;&lt;/FQL&gt;&lt;FQL&gt;&lt;Q&gt;TSM-US^P_BETA_LOCIDX(44910,44739,,"SPX")&lt;/Q&gt;&lt;R&gt;1&lt;/R&gt;&lt;C&gt;1&lt;/C&gt;&lt;D xsi:type="xsd:double"&gt;1.1311517&lt;/D&gt;&lt;/FQL&gt;&lt;FQL&gt;&lt;Q&gt;TSM-US^P_BETA_LOCIDX(44909,44736,,"SPX")&lt;/Q&gt;&lt;R&gt;1&lt;/R&gt;&lt;C&gt;1&lt;/C&gt;&lt;D xsi:type="xsd:double"&gt;1.1157076&lt;/D&gt;&lt;/FQL&gt;&lt;FQL&gt;&lt;Q&gt;TSM-US^P_BETA_LOCIDX(44908,44735,,"SPX")&lt;/Q&gt;&lt;R&gt;1&lt;/R&gt;&lt;C&gt;1&lt;/C&gt;&lt;D xsi:type="xsd:double"&gt;1.1096452&lt;/D&gt;&lt;/FQL&gt;&lt;FQL&gt;&lt;Q&gt;TSM-US^P_BETA_LOCIDX(44907,44734,,"SPX")&lt;/Q&gt;&lt;R&gt;1&lt;/R&gt;&lt;C&gt;1&lt;/C&gt;&lt;D xsi:type="xsd:double"&gt;1.1127197&lt;/D&gt;&lt;/FQL&gt;&lt;FQL&gt;&lt;Q&gt;TSM-US^P_BETA_LOCIDX(44904,44733,,"SPX")&lt;/Q&gt;&lt;R&gt;1&lt;/R&gt;&lt;C&gt;1&lt;/C&gt;&lt;D xsi:type="xsd:double"&gt;1.1189246&lt;/D&gt;&lt;/FQL&gt;&lt;FQL&gt;&lt;Q&gt;TSM-US^P_BETA_LOCIDX(44903,44729,,"SPX")&lt;/Q&gt;&lt;R&gt;1&lt;/R&gt;&lt;C&gt;1&lt;/C&gt;&lt;D xsi:type="xsd:double"&gt;1.1214628&lt;/D&gt;&lt;/FQL&gt;&lt;FQL&gt;&lt;Q&gt;TSM-US^P_BETA_LOCIDX(44902,44728,,"SPX")&lt;/Q&gt;&lt;R&gt;1&lt;/R&gt;&lt;C&gt;1&lt;/C&gt;&lt;D xsi:type="xsd:double"&gt;1.1352891&lt;/D&gt;&lt;/FQL&gt;&lt;FQL&gt;&lt;Q&gt;TSM-US^P_BETA_LOCIDX(44901,44727,,"SPX")&lt;/Q&gt;&lt;R&gt;1&lt;/R&gt;&lt;C&gt;1&lt;/C&gt;&lt;D xsi:type="xsd:double"&gt;1.1386024&lt;/D&gt;&lt;/FQL&gt;&lt;FQL&gt;&lt;Q&gt;TSM-US^P_BETA_LOCIDX(44900,44726,,"SPX")&lt;/Q&gt;&lt;R&gt;1&lt;/R&gt;&lt;C&gt;1&lt;/C&gt;&lt;D xsi:type="xsd:double"&gt;1.1305423&lt;/D&gt;&lt;/FQL&gt;&lt;FQL&gt;&lt;Q&gt;TSM-US^P_BETA_LOCIDX(44897,44725,,"SPX")&lt;/Q&gt;&lt;R&gt;1&lt;/R&gt;&lt;C&gt;1&lt;/C&gt;&lt;D xsi:type="xsd:double"&gt;1.1321688&lt;/D&gt;&lt;/FQL&gt;&lt;FQL&gt;&lt;Q&gt;TSM-US^P_BETA_LOCIDX(44896,44722,,"SPX")&lt;/Q&gt;&lt;R&gt;1&lt;/R&gt;&lt;C&gt;1&lt;/C&gt;&lt;D xsi:type="xsd:double"&gt;1.1218685&lt;/D&gt;&lt;/FQL&gt;&lt;FQL&gt;&lt;Q&gt;TSM-US^P_BETA_LOCIDX(44895,44721,,"SPX")&lt;/Q&gt;&lt;R&gt;1&lt;/R&gt;&lt;C&gt;1&lt;/C&gt;&lt;D xsi:type="xsd:double"&gt;1.1222982&lt;/D&gt;&lt;/FQL&gt;&lt;FQL&gt;&lt;Q&gt;TSM-US^P_BETA_LOCIDX(44894,44720,,"SPX")&lt;/Q&gt;&lt;R&gt;1&lt;/R&gt;&lt;C&gt;1&lt;/C&gt;&lt;D xsi:type="xsd:double"&gt;1.1066188&lt;/D&gt;&lt;/FQL&gt;&lt;FQL&gt;&lt;Q&gt;TSM-US^P_BETA_LOCIDX(44893,44719,,"SPX")&lt;/Q&gt;&lt;R&gt;1&lt;/R&gt;&lt;C&gt;1&lt;/C&gt;&lt;D xsi:type="xsd:double"&gt;1.106157&lt;/D&gt;&lt;/FQL&gt;&lt;FQL&gt;&lt;Q&gt;TSM-US^P_BETA_LOCIDX(44890,44718,,"SPX")&lt;/Q&gt;&lt;R&gt;1&lt;/R&gt;&lt;C&gt;1&lt;/C&gt;&lt;D xsi:type="xsd:double"&gt;1.100478&lt;/D&gt;&lt;/FQL&gt;&lt;FQL&gt;&lt;Q&gt;TSM-US^P_BETA_LOCIDX(44888,44715,,"SPX")&lt;/Q&gt;&lt;R&gt;1&lt;/R&gt;&lt;C&gt;1&lt;/C&gt;&lt;D xsi:type="xsd:double"&gt;1.1047304&lt;/D&gt;&lt;/FQL&gt;&lt;FQL&gt;&lt;Q&gt;TSM-US^P_BETA_LOCIDX(44887,44714,,"SPX")&lt;/Q&gt;&lt;R&gt;1&lt;/R&gt;&lt;C&gt;1&lt;/C&gt;&lt;D xsi:type="xsd:double"&gt;1.1055306&lt;/D&gt;&lt;/FQL&gt;&lt;FQL&gt;&lt;Q&gt;TSM-US^P_BETA_LOCIDX(44886,44713,,"SPX")&lt;/Q&gt;&lt;R&gt;1&lt;/R&gt;&lt;C&gt;1&lt;/C&gt;&lt;D xsi:type="xsd:double"&gt;1.096324&lt;/D&gt;&lt;/FQL&gt;&lt;FQL&gt;&lt;Q&gt;TSM-US^P_BETA_LOCIDX(44883,44712,,"SPX")&lt;/Q&gt;&lt;R&gt;1&lt;/R&gt;&lt;C&gt;1&lt;/C&gt;&lt;D xsi:type="xsd:double"&gt;1.0887283&lt;/D&gt;&lt;/FQL&gt;&lt;FQL&gt;&lt;Q&gt;TSM-US^P_BETA_LOCIDX(44882,44708,,"SPX")&lt;/Q&gt;&lt;R&gt;1&lt;/R&gt;&lt;C&gt;1&lt;/C&gt;&lt;D xsi:type="xsd:double"&gt;1.0911404&lt;/D&gt;&lt;/FQL&gt;&lt;FQL&gt;&lt;Q&gt;TSM-US^P_BETA_LOCIDX(44881,44707,,"SPX")&lt;/Q&gt;&lt;R&gt;1&lt;/R&gt;&lt;C&gt;1&lt;/C&gt;&lt;D xsi:type="xsd:double"&gt;1.0847778&lt;/D&gt;&lt;/FQL&gt;&lt;FQL&gt;&lt;Q&gt;TSM-US^P_BETA_LOCIDX(44880,44706,,"SPX")&lt;/Q&gt;&lt;R&gt;1&lt;/R&gt;&lt;C&gt;1&lt;/C&gt;&lt;D xsi:type="xsd:double"&gt;1.0868703&lt;/D&gt;&lt;/FQL&gt;&lt;FQL&gt;&lt;Q&gt;TSM-US^P_BETA_LOCIDX(44879,44705,,"SPX")&lt;/Q&gt;&lt;R&gt;1&lt;/R&gt;&lt;C&gt;1&lt;/C&gt;&lt;D xsi:type="xsd:double"&gt;1.0656453&lt;/D&gt;&lt;/FQL&gt;&lt;FQL&gt;&lt;Q&gt;TSM-US^P_BETA_LOCIDX(44876,44704,,"SPX")&lt;/Q&gt;&lt;R&gt;1&lt;/R&gt;&lt;C&gt;1&lt;/C&gt;&lt;D xsi:type="xsd:double"&gt;1.0589347&lt;/D&gt;&lt;/FQL&gt;&lt;FQL&gt;&lt;Q&gt;TSM-US^P_BETA_LOCIDX(44875,44701,,"SPX")&lt;/Q&gt;&lt;R&gt;1&lt;/R&gt;&lt;C&gt;1&lt;/C&gt;&lt;D xsi:type="xsd:double"&gt;1.0490849&lt;/D&gt;&lt;/FQL&gt;&lt;FQL&gt;&lt;Q&gt;TSM-US^P_BETA_LOCIDX(44874,44700,,"SPX")&lt;/Q&gt;&lt;R&gt;1&lt;/R&gt;&lt;C&gt;1&lt;/C&gt;&lt;D xsi:type="xsd:double"&gt;0.98182774&lt;/D&gt;&lt;/FQL&gt;&lt;FQL&gt;&lt;Q&gt;TSM-US^P_BETA_LOCIDX(44873,44699,,"SPX")&lt;/Q&gt;&lt;R&gt;1&lt;/R&gt;&lt;C&gt;1&lt;/C&gt;&lt;D xsi:type="xsd:double"&gt;0.98098284&lt;/D&gt;&lt;/FQL&gt;&lt;FQL&gt;&lt;Q&gt;TSM-US^P_BETA_LOCIDX(44872,44698,,"SPX")&lt;/Q&gt;&lt;R&gt;1&lt;/R&gt;&lt;C&gt;1&lt;/C&gt;&lt;D xsi:type="xsd:double"&gt;0.9845852&lt;/D&gt;&lt;/FQL&gt;&lt;FQL&gt;&lt;Q&gt;TSM-US^P_BETA_LOCIDX(44869,44697,,"SPX")&lt;/Q&gt;&lt;R&gt;1&lt;/R&gt;&lt;C&gt;1&lt;/C&gt;&lt;D xsi:type="xsd:double"&gt;0.9854033&lt;/D&gt;&lt;/FQL&gt;&lt;FQL&gt;&lt;Q&gt;TSM-US^P_BETA_LOCIDX(44868,44694,,"SPX")&lt;/Q&gt;&lt;R&gt;1&lt;/R&gt;&lt;C&gt;1&lt;/C&gt;&lt;D xsi:type="xsd:double"&gt;0.98660684&lt;/D&gt;&lt;/FQL&gt;&lt;FQL&gt;&lt;Q&gt;TSM-US^P_BETA_LOCIDX(44867,44693,,"SPX")&lt;/Q&gt;&lt;R&gt;1&lt;/R&gt;&lt;C&gt;1&lt;/C&gt;&lt;D xsi:type="xsd:double"&gt;0.9896242&lt;/D&gt;&lt;/FQL&gt;&lt;FQL&gt;&lt;Q&gt;TSM-US^P_BETA_LOCIDX(44866,44692,,"SPX")&lt;/Q&gt;&lt;R&gt;1&lt;/R&gt;&lt;C&gt;1&lt;/C&gt;&lt;D xsi:type="xsd:double"&gt;0.9938367&lt;/D&gt;&lt;/FQL&gt;&lt;FQL&gt;&lt;Q&gt;TSM-US^P_BETA_LOCIDX(44865,44691,,"SPX")&lt;/Q&gt;&lt;R&gt;1&lt;/R&gt;&lt;C&gt;1&lt;/C&gt;&lt;D xsi:type="xsd:double"&gt;0.9963241&lt;/D&gt;&lt;/FQL&gt;&lt;FQL&gt;&lt;Q&gt;TSM-US^P_BETA_LOCIDX(44862,44690,,"SPX")&lt;/Q&gt;&lt;R&gt;1&lt;/R&gt;&lt;C&gt;1&lt;/C&gt;&lt;D xsi:type="xsd:double"&gt;1.0102028&lt;/D&gt;&lt;/FQL&gt;&lt;FQL&gt;&lt;Q&gt;TSM-US^P_BETA_LOCIDX(44861,44687,,"SPX")&lt;/Q&gt;&lt;R&gt;1&lt;/R&gt;&lt;C&gt;1&lt;/C&gt;&lt;D xsi:type="xsd:double"&gt;1.0138316&lt;/D&gt;&lt;/FQL&gt;&lt;FQL&gt;&lt;Q&gt;TSM-US^P_BETA_LOCIDX(44860,44686,,"SPX")&lt;/Q&gt;&lt;R&gt;1&lt;/R&gt;&lt;C&gt;1&lt;/C&gt;&lt;D xsi:type="xsd:double"&gt;1.0170641&lt;/D&gt;&lt;/FQL&gt;&lt;FQL&gt;&lt;Q&gt;TSM-US^P_BETA_LOCIDX(44859,44685,,"SPX")&lt;/Q&gt;&lt;R&gt;1&lt;/R&gt;&lt;C&gt;1&lt;/C&gt;&lt;D xsi:type="xsd:double"&gt;1.0158061&lt;/D&gt;&lt;/FQL&gt;&lt;FQL&gt;&lt;Q&gt;TSM-US^P_BETA_LOCIDX(44858,44684,,"SPX")&lt;/Q&gt;&lt;R&gt;1&lt;/R&gt;&lt;C&gt;1&lt;/C&gt;&lt;D xsi:type="xsd:double"&gt;1.0238101&lt;/D&gt;&lt;/FQL&gt;&lt;FQL&gt;&lt;Q&gt;TSM-US^P_BETA_LOCIDX(44855,44683,,"SPX")&lt;/Q&gt;&lt;R&gt;1&lt;/R&gt;&lt;C&gt;1&lt;/C&gt;&lt;D xsi:type="xsd:double"&gt;1.0439944&lt;/D&gt;&lt;/FQL&gt;&lt;FQL&gt;&lt;Q&gt;TSM-US^P_BETA_LOCIDX(44854,44680,,"SPX")&lt;/Q&gt;&lt;R&gt;1&lt;/R&gt;&lt;C&gt;1&lt;/C&gt;&lt;D xsi:type="xsd:double"&gt;1.041994&lt;/D&gt;&lt;/FQL&gt;&lt;FQL&gt;&lt;Q&gt;TSM-US^P_BETA_LOCIDX(44853,44679,,"SPX")&lt;/Q&gt;&lt;R&gt;1&lt;/R&gt;&lt;C&gt;1&lt;/C&gt;&lt;D xsi:type="xsd:double"&gt;1.0680013&lt;/D&gt;&lt;/FQL&gt;&lt;FQL&gt;&lt;Q&gt;TSM-US^P_BETA_LOCIDX(44852,44678,,"SPX")&lt;/Q&gt;&lt;R&gt;1&lt;/R&gt;&lt;C&gt;1&lt;/C&gt;&lt;D xsi:type="xsd:double"&gt;1.0669743&lt;/D&gt;&lt;/FQL&gt;&lt;FQL&gt;&lt;Q&gt;TSM-US^P_BETA_LOCIDX(44851,44677,,"SPX")&lt;/Q&gt;&lt;R&gt;1&lt;/R&gt;&lt;C&gt;1&lt;/C&gt;&lt;D xsi:type="xsd:double"&gt;1.0809195&lt;/D&gt;&lt;/FQL&gt;&lt;FQL&gt;&lt;Q&gt;TSM-US^P_BETA_LOCIDX(44848,44676,,"SPX")&lt;/Q&gt;&lt;R&gt;1&lt;/R&gt;&lt;C&gt;1&lt;/C&gt;&lt;D xsi:type="xsd:double"&gt;1.0911506&lt;/D&gt;&lt;/FQL&gt;&lt;FQL&gt;&lt;Q&gt;TSM-US^P_BETA_LOCIDX(44847,44673,,"SPX")&lt;/Q&gt;&lt;R&gt;1&lt;/R&gt;&lt;C&gt;1&lt;/C&gt;&lt;D xsi:type="xsd:double"&gt;1.0730277&lt;/D&gt;&lt;/FQL&gt;&lt;FQL&gt;&lt;Q&gt;TSM-US^P_BETA_LOCIDX(44846,44672,,"SPX")&lt;/Q&gt;&lt;R&gt;1&lt;/R&gt;&lt;C&gt;1&lt;/C&gt;&lt;D xsi:type="xsd:double"&gt;1.0607376&lt;/D&gt;&lt;/FQL&gt;&lt;FQL&gt;&lt;Q&gt;TSM-US^P_BETA_LOCIDX(44845,44671,,"SPX")&lt;/Q&gt;&lt;R&gt;1&lt;/R&gt;&lt;C&gt;1&lt;/C&gt;&lt;D xsi:type="xsd:double"&gt;1.0614378&lt;/D&gt;&lt;/FQL&gt;&lt;FQL&gt;&lt;Q&gt;TSM-US^P_BETA_LOCIDX(44844,44670,,"SPX")&lt;/Q&gt;&lt;R&gt;1&lt;/R&gt;&lt;C&gt;1&lt;/C&gt;&lt;D xsi:type="xsd:double"&gt;1.0490925&lt;/D&gt;&lt;/FQL&gt;&lt;FQL&gt;&lt;Q&gt;TSM-US^P_BETA_LOCIDX(44841,44669,,"SPX")&lt;/Q&gt;&lt;R&gt;1&lt;/R&gt;&lt;C&gt;1&lt;/C&gt;&lt;D xsi:type="xsd:double"&gt;1.0448582&lt;/D&gt;&lt;/FQL&gt;&lt;FQL&gt;&lt;Q&gt;TSM-US^P_BETA_LOCIDX(44840,44665,,"SPX")&lt;/Q&gt;&lt;R&gt;1&lt;/R&gt;&lt;C&gt;1&lt;/C&gt;&lt;D xsi:type="xsd:double"&gt;1.0244281&lt;/D&gt;&lt;/FQL&gt;&lt;FQL&gt;&lt;Q&gt;TSM-US^P_BETA_LOCIDX(44839,44664,,"SPX")&lt;/Q&gt;&lt;R&gt;1&lt;/R&gt;&lt;C&gt;1&lt;/C&gt;&lt;D xsi:type="xsd:double"&gt;1.0391179&lt;/D&gt;&lt;/FQL&gt;&lt;FQL&gt;&lt;Q&gt;TSM-US^P_BETA_LOCIDX(44838,44663,,"SPX")&lt;/Q&gt;&lt;R&gt;1&lt;/R&gt;&lt;C&gt;1&lt;/C&gt;&lt;D xsi:type="xsd:double"&gt;1.0396227&lt;/D&gt;&lt;/FQL&gt;&lt;FQL&gt;&lt;Q&gt;TSM-US^P_BETA_LOCIDX(44837,44662,,"SPX")&lt;/Q&gt;&lt;R&gt;1&lt;/R&gt;&lt;C&gt;1&lt;/C&gt;&lt;D xsi:type="xsd:double"&gt;1.0179615&lt;/D&gt;&lt;/FQL&gt;&lt;FQL&gt;&lt;Q&gt;TSM-US^P_BETA_LOCIDX(44834,44659,,"SPX")&lt;/Q&gt;&lt;R&gt;1&lt;/R&gt;&lt;C&gt;1&lt;/C&gt;&lt;D xsi:type="xsd:double"&gt;1.0318207&lt;/D&gt;&lt;/FQL&gt;&lt;FQL&gt;&lt;Q&gt;TSM-US^P_BETA_LOCIDX(44833,44658,,"SPX")&lt;/Q&gt;&lt;R&gt;1&lt;/R&gt;&lt;C&gt;1&lt;/C&gt;&lt;D xsi:type="xsd:double"&gt;1.0327098&lt;/D&gt;&lt;/FQL&gt;&lt;FQL&gt;&lt;Q&gt;TSM-US^P_BETA_LOCIDX(44832,44657,,"SPX")&lt;/Q&gt;&lt;R&gt;1&lt;/R&gt;&lt;C&gt;1&lt;/C&gt;&lt;D xsi:type="xsd:double"&gt;1.0224437&lt;/D&gt;&lt;/FQL&gt;&lt;FQL&gt;&lt;Q&gt;TSM-US^P_BETA_LOCIDX(44831,44656,,"SPX")&lt;/Q&gt;&lt;R&gt;1&lt;/R&gt;&lt;C&gt;1&lt;/C&gt;&lt;D xsi:type="xsd:double"&gt;1.047775&lt;/D&gt;&lt;/FQL&gt;&lt;FQL&gt;&lt;Q&gt;TSM-US^P_BETA_LOCIDX(44830,44655,,"SPX")&lt;/Q&gt;&lt;R&gt;1&lt;/R&gt;&lt;C&gt;1&lt;/C&gt;&lt;D xsi:type="xsd:double"&gt;1.0516983&lt;/D&gt;&lt;/FQL&gt;&lt;FQL&gt;&lt;Q&gt;TSM-US^P_BETA_LOCIDX(44827,44652,,"SPX")&lt;/Q&gt;&lt;R&gt;1&lt;/R&gt;&lt;C&gt;1&lt;/C&gt;&lt;D xsi:type="xsd:double"&gt;1.0489067&lt;/D&gt;&lt;/FQL&gt;&lt;FQL&gt;&lt;Q&gt;TSM-US^P_BETA_LOCIDX(44826,44651,,"SPX")&lt;/Q&gt;&lt;R&gt;1&lt;/R&gt;&lt;C&gt;1&lt;/C&gt;&lt;D xsi:type="xsd:double"&gt;1.0494049&lt;/D&gt;&lt;/FQL&gt;&lt;FQL&gt;&lt;Q&gt;TSM-US^P_BETA_LOCIDX(44825,44650,,"SPX")&lt;/Q&gt;&lt;R&gt;1&lt;/R&gt;&lt;C&gt;1&lt;/C&gt;&lt;D xsi:type="xsd:double"&gt;1.0496217&lt;/D&gt;&lt;/FQL&gt;&lt;FQL&gt;&lt;Q&gt;TSM-US^P_BETA_LOCIDX(44824,44649,,"SPX")&lt;/Q&gt;&lt;R&gt;1&lt;/R&gt;&lt;C&gt;1&lt;/C&gt;&lt;D xsi:type="xsd:double"&gt;1.0599539&lt;/D&gt;&lt;/FQL&gt;&lt;FQL&gt;&lt;Q&gt;TSM-US^P_BETA_LOCIDX(44823,44648,,"SPX")&lt;/Q&gt;&lt;R&gt;1&lt;/R&gt;&lt;C&gt;1&lt;/C&gt;&lt;D xsi:type="xsd:double"&gt;1.0610994&lt;/D&gt;&lt;/FQL&gt;&lt;FQL&gt;&lt;Q&gt;TSM-US^P_BETA_LOCIDX(44820,44645,,"SPX")&lt;/Q&gt;&lt;R&gt;1&lt;/R&gt;&lt;C&gt;1&lt;/C&gt;&lt;D xsi:type="xsd:double"&gt;1.0583837&lt;/D&gt;&lt;/FQL&gt;&lt;FQL&gt;&lt;Q&gt;TSM-US^P_BETA_LOCIDX(44819,44644,,"SPX")&lt;/Q&gt;&lt;R&gt;1&lt;/R&gt;&lt;C&gt;1&lt;/C&gt;&lt;D xsi:type="xsd:double"&gt;1.0653235&lt;/D&gt;&lt;/FQL&gt;&lt;FQL&gt;&lt;Q&gt;TSM-US^P_BETA_LOCIDX(44818,44643,,"SPX")&lt;/Q&gt;&lt;R&gt;1&lt;/R&gt;&lt;C&gt;1&lt;/C&gt;&lt;D xsi:type="xsd:double"&gt;1.0631896&lt;/D&gt;&lt;/FQL&gt;&lt;FQL&gt;&lt;Q&gt;TSM-US^P_BETA_LOCIDX(44817,44642,,"SPX")&lt;/Q&gt;&lt;R&gt;1&lt;/R&gt;&lt;C&gt;1&lt;/C&gt;&lt;D xsi:type="xsd:double"&gt;1.0580324&lt;/D&gt;&lt;/FQL&gt;&lt;FQL&gt;&lt;Q&gt;TSM-US^P_BETA_LOCIDX(44816,44641,,"SPX")&lt;/Q&gt;&lt;R&gt;1&lt;/R&gt;&lt;C&gt;1&lt;/C&gt;&lt;D xsi:type="xsd:double"&gt;1.0676981&lt;/D&gt;&lt;/FQL&gt;&lt;FQL&gt;&lt;Q&gt;TSM-US^P_BETA_LOCIDX(44813,44638,,"SPX")&lt;/Q&gt;&lt;R&gt;1&lt;/R&gt;&lt;C&gt;1&lt;/C&gt;&lt;D xsi:type="xsd:double"&gt;1.0647578&lt;/D&gt;&lt;/FQL&gt;&lt;FQL&gt;&lt;Q&gt;TSM-US^P_BETA_LOCIDX(44812,44637,,"SPX")&lt;/Q&gt;&lt;R&gt;1&lt;/R&gt;&lt;C&gt;1&lt;/C&gt;&lt;D xsi:type="xsd:double"&gt;1.0621611&lt;/D&gt;&lt;/FQL&gt;&lt;FQL&gt;&lt;Q&gt;TSM-US^P_BETA_LOCIDX(44811,44636,,"SPX")&lt;/Q&gt;&lt;R&gt;1&lt;/R&gt;&lt;C&gt;1&lt;/C&gt;&lt;D xsi:type="xsd:double"&gt;1.0729277&lt;/D&gt;&lt;/FQL&gt;&lt;FQL&gt;&lt;Q&gt;TSM-US^P_BETA_LOCIDX(44810,44635,,"SPX")&lt;/Q&gt;&lt;R&gt;1&lt;/R&gt;&lt;C&gt;1&lt;/C&gt;&lt;D xsi:type="xsd:double"&gt;1.0904295&lt;/D&gt;&lt;/FQL&gt;&lt;FQL&gt;&lt;Q&gt;TSM-US^P_BETA_LOCIDX(44806,44634,,"SPX")&lt;/Q&gt;&lt;R&gt;1&lt;/R&gt;&lt;C&gt;1&lt;/C&gt;&lt;D xsi:type="xsd:double"&gt;1.0925857&lt;/D&gt;&lt;/FQL&gt;&lt;FQL&gt;&lt;Q&gt;TSM-US^P_BETA_LOCIDX(44805,44631,,"SPX")&lt;/Q&gt;&lt;R&gt;1&lt;/R&gt;&lt;C&gt;1&lt;/C&gt;&lt;D xsi:type="xsd:double"&gt;1.0979327&lt;/D&gt;&lt;/FQL&gt;&lt;FQL&gt;&lt;Q&gt;TSM-US^P_BETA_LOCIDX(44804,44630,,"SPX")&lt;/Q&gt;&lt;R&gt;1&lt;/R&gt;&lt;C&gt;1&lt;/C&gt;&lt;D xsi:type="xsd:double"&gt;1.1011435&lt;/D&gt;&lt;/FQL&gt;&lt;FQL&gt;&lt;Q&gt;TSM-US^P_BETA_LOCIDX(44803,44629,,"SPX")&lt;/Q&gt;&lt;R&gt;1&lt;/R&gt;&lt;C&gt;1&lt;/C&gt;&lt;D xsi:type="xsd:double"&gt;1.1249478&lt;/D&gt;&lt;/FQL&gt;&lt;FQL&gt;&lt;Q&gt;TSM-US^P_BETA_LOCIDX(44802,44628,,"SPX")&lt;/Q&gt;&lt;R&gt;1&lt;/R&gt;&lt;C&gt;1&lt;/C&gt;&lt;D xsi:type="xsd:double"&gt;1.125725&lt;/D&gt;&lt;/FQL&gt;&lt;FQL&gt;&lt;Q&gt;TSM-US^P_BETA_LOCIDX(44799,44627,,"SPX")&lt;/Q&gt;&lt;R&gt;1&lt;/R&gt;&lt;C&gt;1&lt;/C&gt;&lt;D xsi:type="xsd:double"&gt;1.1427945&lt;/D&gt;&lt;/FQL&gt;&lt;FQL&gt;&lt;Q&gt;TSM-US^P_BETA_LOCIDX(44798,44624,,"SPX")&lt;/Q&gt;&lt;R&gt;1&lt;/R&gt;&lt;C&gt;1&lt;/C&gt;&lt;D xsi:type="xsd:double"&gt;1.1574838&lt;/D&gt;&lt;/FQL&gt;&lt;FQL&gt;&lt;Q&gt;TSM-US^P_BETA_LOCIDX(44797,44623,,"SPX")&lt;/Q&gt;&lt;R&gt;1&lt;/R&gt;&lt;C&gt;1&lt;/C&gt;&lt;D xsi:type="xsd:double"&gt;1.1532824&lt;/D&gt;&lt;/FQL&gt;&lt;FQL&gt;&lt;Q&gt;TSM-US^P_BETA_LOCIDX(44796,44622,,"SPX")&lt;/Q&gt;&lt;R&gt;1&lt;/R&gt;&lt;C&gt;1&lt;/C&gt;&lt;D xsi:type="xsd:double"&gt;1.1504185&lt;/D&gt;&lt;/FQL&gt;&lt;FQL&gt;&lt;Q&gt;TSM-US^P_BETA_LOCIDX(44795,44621,,"SPX")&lt;/Q&gt;&lt;R&gt;1&lt;/R&gt;&lt;C&gt;1&lt;/C&gt;&lt;D xsi:type="xsd:double"&gt;1.1364954&lt;/D&gt;&lt;/FQL&gt;&lt;FQL&gt;&lt;Q&gt;TSM-US^P_BETA_LOCIDX(44792,44620,,"SPX")&lt;/Q&gt;&lt;R&gt;1&lt;/R&gt;&lt;C&gt;1&lt;/C&gt;&lt;D xsi:type="xsd:double"&gt;1.1413662&lt;/D&gt;&lt;/FQL&gt;&lt;FQL&gt;&lt;Q&gt;TSM-US^P_BETA_LOCIDX(44791,44617,,"SPX")&lt;/Q&gt;&lt;R&gt;1&lt;/R&gt;&lt;C&gt;1&lt;/C&gt;&lt;D xsi:type="xsd:double"&gt;1.1157917&lt;/D&gt;&lt;/FQL&gt;&lt;FQL&gt;&lt;Q&gt;TSM-US^P_BETA_LOCIDX(44790,44616,,"SPX")&lt;/Q&gt;&lt;R&gt;1&lt;/R&gt;&lt;C&gt;1&lt;/C&gt;&lt;D xsi:type="xsd:double"&gt;1.0911454&lt;/D&gt;&lt;/FQL&gt;&lt;FQL&gt;&lt;Q&gt;TSM-US^P_BETA_LOCIDX(44789,44615,,"SPX")&lt;/Q&gt;&lt;R&gt;1&lt;/R&gt;&lt;C&gt;1&lt;/C&gt;&lt;D xsi:type="xsd:double"&gt;1.0831674&lt;/D&gt;&lt;/FQL&gt;&lt;FQL&gt;&lt;Q&gt;TSM-US^P_BETA_LOCIDX(44788,44614,,"SPX")&lt;/Q&gt;&lt;R&gt;1&lt;/R&gt;&lt;C&gt;1&lt;/C&gt;&lt;D xsi:type="xsd:double"&gt;1.0866581&lt;/D&gt;&lt;/FQL&gt;&lt;FQL&gt;&lt;Q&gt;TSM-US^P_BETA_LOCIDX(44785,44610,,"SPX")&lt;/Q&gt;&lt;R&gt;1&lt;/R&gt;&lt;C&gt;1&lt;/C&gt;&lt;D xsi:type="xsd:double"&gt;1.0845243&lt;/D&gt;&lt;/FQL&gt;&lt;FQL&gt;&lt;Q&gt;TSM-US^P_BETA_LOCIDX(44784,44609,,"SPX")&lt;/Q&gt;&lt;R&gt;1&lt;/R&gt;&lt;C&gt;1&lt;/C&gt;&lt;D xsi:type="xsd:double"&gt;1.0898732&lt;/D&gt;&lt;/FQL&gt;&lt;FQL&gt;&lt;Q&gt;TSM-US^P_BETA_LOCIDX(44783,44608,,"SPX")&lt;/Q&gt;&lt;R&gt;1&lt;/R&gt;&lt;C&gt;1&lt;/C&gt;&lt;D xsi:type="xsd:double"&gt;1.0897449&lt;/D&gt;&lt;/FQL&gt;&lt;FQL&gt;&lt;Q&gt;TSM-US^P_BETA_LOCIDX(44782,44607,,"SPX")&lt;/Q&gt;&lt;R&gt;1&lt;/R&gt;&lt;C&gt;1&lt;/C&gt;&lt;D xsi:type="xsd:double"&gt;1.0888885&lt;/D&gt;&lt;/FQL&gt;&lt;FQL&gt;&lt;Q&gt;TSM-US^P_BETA_LOCIDX(44781,44606,,"SPX")&lt;/Q&gt;&lt;R&gt;1&lt;/R&gt;&lt;C&gt;1&lt;/C&gt;&lt;D xsi:type="xsd:double"&gt;1.086236&lt;/D&gt;&lt;/FQL&gt;&lt;FQL&gt;&lt;Q&gt;TSM-US^P_BETA_LOCIDX(44778,44603,,"SPX")&lt;/Q&gt;&lt;R&gt;1&lt;/R&gt;&lt;C&gt;1&lt;/C&gt;&lt;D xsi:type="xsd:double"&gt;1.090189&lt;/D&gt;&lt;/FQL&gt;&lt;FQL&gt;&lt;Q&gt;TSM-US^P_BETA_LOCIDX(44777,44602,,"SPX")&lt;/Q&gt;&lt;R&gt;1&lt;/R&gt;&lt;C&gt;1&lt;/C&gt;&lt;D xsi:type="xsd:double"&gt;1.0821772&lt;/D&gt;&lt;/FQL&gt;&lt;FQL&gt;&lt;Q&gt;TSM-US^P_BETA_LOCIDX(44776,44601,,"SPX")&lt;/Q&gt;&lt;R&gt;1&lt;/R&gt;&lt;C&gt;1&lt;/C&gt;&lt;D xsi:type="xsd:double"&gt;1.0827249&lt;/D&gt;&lt;/FQL&gt;&lt;FQL&gt;&lt;Q&gt;TSM-US^P_BETA_LOCIDX(44775,44600,,"SPX")&lt;/Q&gt;&lt;R&gt;1&lt;/R&gt;&lt;C&gt;1&lt;/C&gt;&lt;D xsi:type="xsd:double"&gt;1.0890636&lt;/D&gt;&lt;/FQL&gt;&lt;FQL&gt;&lt;Q&gt;TSM-US^P_BETA_LOCIDX(44774,44599,,"SPX")&lt;/Q&gt;&lt;R&gt;1&lt;/R&gt;&lt;C&gt;1&lt;/C&gt;&lt;D xsi:type="xsd:double"&gt;1.0886062&lt;/D&gt;&lt;/FQL&gt;&lt;FQL&gt;&lt;Q&gt;TSM-US^P_BETA_LOCIDX(45845,45670,,"SPX")&lt;/Q&gt;&lt;R&gt;1&lt;/R&gt;&lt;C&gt;1&lt;/C&gt;&lt;D xsi:type="xsd:double"&gt;1.4896824&lt;/D&gt;&lt;/FQL&gt;&lt;FQL&gt;&lt;Q&gt;FIX-US^P_BETA_LOCIDX(45841,45665,,"SPX")&lt;/Q&gt;&lt;R&gt;1&lt;/R&gt;&lt;C&gt;1&lt;/C&gt;&lt;D xsi:type="xsd:double"&gt;1.7657659&lt;/D&gt;&lt;/FQL&gt;&lt;FQL&gt;&lt;Q&gt;FIX-US^P_BETA_LOCIDX(45840,45664,,"SPX")&lt;/Q&gt;&lt;R&gt;1&lt;/R&gt;&lt;C&gt;1&lt;/C&gt;&lt;D xsi:type="xsd:double"&gt;1.7599282&lt;/D&gt;&lt;/FQL&gt;&lt;FQL&gt;&lt;Q&gt;FIX-US^P_BETA_LOCIDX(45839,45663,,"SPX")&lt;/Q&gt;&lt;R&gt;1&lt;/R&gt;&lt;C&gt;1&lt;/C&gt;&lt;D xsi:type="xsd:double"&gt;1.7600057&lt;/D&gt;&lt;/FQL&gt;&lt;FQL&gt;&lt;Q&gt;FIX-US^P_BETA_LOCIDX(45838,45660,,"SPX")&lt;/Q&gt;&lt;R&gt;1&lt;/R&gt;&lt;C&gt;1&lt;/C&gt;&lt;D xsi:type="xsd:double"&gt;1.7681465&lt;/D&gt;&lt;/FQL&gt;&lt;FQL&gt;&lt;Q&gt;FIX-US^P_BETA_LOCIDX(45835,45659,,"SPX")&lt;/Q&gt;&lt;R&gt;1&lt;/R&gt;&lt;C&gt;1&lt;/C&gt;&lt;D xsi:type="xsd:double"&gt;1.7683308&lt;/D&gt;&lt;/FQL&gt;&lt;FQL&gt;&lt;Q&gt;FIX-US^P_BETA_LOCIDX(45834,45657,,"SPX")&lt;/Q&gt;&lt;R&gt;1&lt;/R&gt;&lt;C&gt;1&lt;/C&gt;&lt;D xsi:type="xsd:double"&gt;1.7651706&lt;/D&gt;&lt;/FQL&gt;&lt;FQL&gt;&lt;Q&gt;FIX-US^P_BETA_LOCIDX(45833,45656,,"SPX")&lt;/Q&gt;&lt;R&gt;1&lt;/R&gt;&lt;C&gt;1&lt;/C&gt;&lt;D xsi:type="xsd:double"&gt;1.7607899&lt;/D&gt;&lt;/FQL&gt;&lt;FQL&gt;&lt;Q&gt;FIX-US^P_BETA_LOCIDX(45832,45653,,"SPX")&lt;/Q&gt;&lt;R&gt;1&lt;/R&gt;&lt;C&gt;1&lt;/C&gt;&lt;D xsi:type="xsd:double"&gt;1.7598553&lt;/D&gt;&lt;/FQL&gt;&lt;FQL&gt;&lt;Q&gt;FIX-US^P_BETA_LOCIDX(45831,45652,,"SPX")&lt;/Q&gt;&lt;R&gt;1&lt;/R&gt;&lt;C&gt;1&lt;/C&gt;&lt;D xsi:type="xsd:double"&gt;1.76013&lt;/D&gt;&lt;/FQL&gt;&lt;FQL&gt;&lt;Q&gt;FIX-US^P_BETA_LOCIDX(45828,45650,,"SPX")&lt;/Q&gt;&lt;R&gt;1&lt;/R&gt;&lt;C&gt;1&lt;/C&gt;&lt;D xsi:type="xsd:double"&gt;1.7578878&lt;/D&gt;&lt;/FQL&gt;&lt;FQL&gt;&lt;Q&gt;FIX-US^P_BETA_LOCIDX(45826,45649,,"SPX")&lt;/Q&gt;&lt;R&gt;1&lt;/R&gt;&lt;C&gt;1&lt;/C&gt;&lt;D xsi:type="xsd:double"&gt;1.7526948&lt;/D&gt;&lt;/FQL&gt;&lt;FQL&gt;&lt;Q&gt;FIX-US^P_BETA_LOCIDX(45825,45646,,"SPX")&lt;/Q&gt;&lt;R&gt;1&lt;/R&gt;&lt;C&gt;1&lt;/C&gt;&lt;D xsi:type="xsd:double"&gt;1.7479815&lt;/D&gt;&lt;/FQL&gt;&lt;FQL&gt;&lt;Q&gt;FIX-US^P_BETA_LOCIDX(45824,45645,,"SPX")&lt;/Q&gt;&lt;R&gt;1&lt;/R&gt;&lt;C&gt;1&lt;/C&gt;&lt;D xsi:type="xsd:double"&gt;1.7483938&lt;/D&gt;&lt;/FQL&gt;&lt;FQL&gt;&lt;Q&gt;FIX-US^P_BETA_LOCIDX(45821,45644,,"SPX")&lt;/Q&gt;&lt;R&gt;1&lt;/R&gt;&lt;C&gt;1&lt;/C&gt;&lt;D xsi:type="xsd:double"&gt;1.7457594&lt;/D&gt;&lt;/FQL&gt;&lt;FQL&gt;&lt;Q&gt;FIX-US^P_BETA_LOCIDX(45820,45643,,"SPX")&lt;/Q&gt;&lt;R&gt;1&lt;/R&gt;&lt;C&gt;1&lt;/C&gt;&lt;D xsi:type="xsd:double"&gt;1.747954&lt;/D&gt;&lt;/FQL&gt;&lt;FQL&gt;&lt;Q&gt;FIX-US^P_BETA_LOCIDX(45819,45642,,"SPX")&lt;/Q&gt;&lt;R&gt;1&lt;/R&gt;&lt;C&gt;1&lt;/C&gt;&lt;D xsi:type="xsd:double"&gt;1.7469878&lt;/D&gt;&lt;/FQL&gt;&lt;FQL&gt;&lt;Q&gt;FIX-US^P_BETA_LOCIDX(45818,45639,,"SPX")&lt;/Q&gt;&lt;R&gt;1&lt;/R&gt;&lt;C&gt;1&lt;/C&gt;&lt;D xsi:type="xsd:double"&gt;1.7491542&lt;/D&gt;&lt;/FQL&gt;&lt;FQL&gt;&lt;Q&gt;FIX-US^P_BETA_LOCIDX(45817,45638,,"SPX")&lt;/Q&gt;&lt;R&gt;1&lt;/R&gt;&lt;C&gt;1&lt;/C&gt;&lt;D xsi:type="xsd:double"&gt;1.7558177&lt;/D&gt;&lt;/FQL&gt;&lt;FQL&gt;&lt;Q&gt;FIX-US^P_BETA_LOCIDX(45814,45637,,"SPX")&lt;/Q&gt;&lt;R&gt;1&lt;/R&gt;&lt;C&gt;1&lt;/C&gt;&lt;D xsi:type="xsd:double"&gt;1.7598736&lt;/D&gt;&lt;/FQL&gt;&lt;FQL&gt;&lt;Q&gt;FIX-US^P_BETA_LOCIDX(45813,45636,,"SPX")&lt;/Q&gt;&lt;R&gt;1&lt;/R&gt;&lt;C&gt;1&lt;/C&gt;&lt;D xsi:type="xsd:double"&gt;1.7592062&lt;/D&gt;&lt;/FQL&gt;&lt;FQL&gt;&lt;Q&gt;FIX-US^P_BETA_LOCIDX(45812,45635,,"SPX")&lt;/Q&gt;&lt;R&gt;1&lt;/R&gt;&lt;C&gt;1&lt;/C&gt;&lt;D xsi:type="xsd:double"&gt;1.7730289&lt;/D&gt;&lt;/FQL&gt;&lt;FQL&gt;&lt;Q&gt;FIX-US^P_BETA_LOCIDX(45811,45632,,"SPX")&lt;/Q&gt;&lt;R&gt;1&lt;/R&gt;&lt;C&gt;1&lt;/C&gt;&lt;D xsi:type="xsd:double"&gt;1.7725337&lt;/D&gt;&lt;/FQL&gt;&lt;FQL&gt;&lt;Q&gt;FIX-US^P_BETA_LOCIDX(45810,45631,,"SPX")&lt;/Q&gt;&lt;R&gt;1&lt;/R&gt;&lt;C&gt;1&lt;/C&gt;&lt;D xsi:type="xsd:double"&gt;1.7668887&lt;/D&gt;&lt;/FQL&gt;&lt;FQL&gt;&lt;Q&gt;FIX-US^P_BETA_LOCIDX(45807,45630,,"SPX")&lt;/Q&gt;&lt;R&gt;1&lt;/R&gt;&lt;C&gt;1&lt;/C&gt;&lt;D xsi:type="xsd:double"&gt;1.7681723&lt;/D&gt;&lt;/FQL&gt;&lt;FQL&gt;&lt;Q&gt;FIX-US^P_BETA_LOCIDX(45806,45629,,"SPX")&lt;/Q&gt;&lt;R&gt;1&lt;/R&gt;&lt;C&gt;1&lt;/C&gt;&lt;D xsi:type="xsd:double"&gt;1.7683655&lt;/D&gt;&lt;/FQL&gt;&lt;FQL&gt;&lt;Q&gt;FIX-US^P_BETA_LOCIDX(45805,45628,,"SPX")&lt;/Q&gt;&lt;R&gt;1&lt;/R&gt;&lt;C&gt;1&lt;/C&gt;&lt;D xsi:type="xsd:double"&gt;1.7678219&lt;/D&gt;&lt;/FQL&gt;&lt;FQL&gt;&lt;Q&gt;FIX-US^P_BETA_LOCIDX(45804,45625,,"SPX")&lt;/Q&gt;&lt;R&gt;1&lt;/R&gt;&lt;C&gt;1&lt;/C&gt;&lt;D xsi:type="xsd:double"&gt;1.7667862&lt;/D&gt;&lt;/FQL&gt;&lt;FQL&gt;&lt;Q&gt;FIX-US^P_BETA_LOCIDX(45800,45623,,"SPX")&lt;/Q&gt;&lt;R&gt;1&lt;/R&gt;&lt;C&gt;1&lt;/C&gt;&lt;D xsi:type="xsd:double"&gt;1.7756736&lt;/D&gt;&lt;/FQL&gt;&lt;FQL&gt;&lt;Q&gt;FIX-US^P_BETA_LOCIDX(45799,45622,,"SPX")&lt;/Q&gt;&lt;R&gt;1&lt;/R&gt;&lt;C&gt;1&lt;/C&gt;&lt;D xsi:type="xsd:double"&gt;1.7842189&lt;/D&gt;&lt;/FQL&gt;&lt;FQL&gt;&lt;Q&gt;FIX-US^P_BETA_LOCIDX(45798,45621,,"SPX")&lt;/Q&gt;&lt;R&gt;1&lt;/R&gt;&lt;C&gt;1&lt;/C&gt;&lt;D xsi:type="xsd:double"&gt;1.784377&lt;/D&gt;&lt;/FQL&gt;&lt;FQL&gt;&lt;Q&gt;FIX-US^P_BETA_LOCIDX(45797,45618,,"SPX")&lt;/Q&gt;&lt;R&gt;1&lt;/R&gt;&lt;C&gt;1&lt;/C&gt;&lt;D xsi:type="xsd:double"&gt;1.7909756&lt;/D&gt;&lt;/FQL&gt;&lt;FQL&gt;&lt;Q&gt;FIX-US^P_BETA_LOCIDX(45796,45617,,"SPX")&lt;/Q&gt;&lt;R&gt;1&lt;/R&gt;&lt;C&gt;1&lt;/C&gt;&lt;D xsi:type="xsd:double"&gt;1.795925&lt;/D&gt;&lt;/FQL&gt;&lt;FQL&gt;&lt;Q&gt;FIX-US^P_BETA_LOCIDX(45793,45616,,"SPX")&lt;/Q&gt;&lt;R&gt;1&lt;/R&gt;&lt;C&gt;1&lt;/C&gt;&lt;D xsi:type="xsd:double"&gt;1.7960457&lt;/D&gt;&lt;/FQL&gt;&lt;FQL&gt;&lt;Q&gt;FIX-US^P_BETA_LOCIDX(45792,45615,,"SPX")&lt;/Q&gt;&lt;R&gt;1&lt;/R&gt;&lt;C&gt;1&lt;/C&gt;&lt;D xsi:type="xsd:double"&gt;1.8005894&lt;/D&gt;&lt;/FQL&gt;&lt;FQL&gt;&lt;Q&gt;FIX-US^P_BETA_LOCIDX(45791,45614,,"SPX")&lt;/Q&gt;&lt;R&gt;1&lt;/R&gt;&lt;C&gt;1&lt;/C&gt;&lt;D xsi:type="xsd:double"&gt;1.8036658&lt;/D&gt;&lt;/FQL&gt;&lt;FQL&gt;&lt;Q&gt;FIX-US^P_BETA_LOCIDX(45790,45611,,"SPX")&lt;/Q&gt;&lt;R&gt;1&lt;/R&gt;&lt;C&gt;1&lt;/C&gt;&lt;D xsi:type="xsd:double"&gt;1.7874804&lt;/D&gt;&lt;/FQL&gt;&lt;FQL&gt;&lt;Q&gt;FIX-US^P_BETA_LOCIDX(45789,45610,,"SPX")&lt;/Q&gt;&lt;R&gt;1&lt;/R&gt;&lt;C&gt;1&lt;/C&gt;&lt;D xsi:type="xsd:double"&gt;1.7848555&lt;/D&gt;&lt;/FQL&gt;&lt;FQL&gt;&lt;Q&gt;FIX-US^P_BETA_LOCIDX(45786,45609,,"SPX")&lt;/Q&gt;&lt;R&gt;1&lt;/R&gt;&lt;C&gt;1&lt;/C&gt;&lt;D xsi:type="xsd:double"&gt;1.807817&lt;/D&gt;&lt;/FQL&gt;&lt;FQL&gt;&lt;Q&gt;FIX-US^P_BETA_LOCIDX(45785,45608,,"SPX")&lt;/Q&gt;&lt;R&gt;1&lt;/R&gt;&lt;C&gt;1&lt;/C&gt;&lt;D xsi:type="xsd:double"&gt;1.8080307&lt;/D&gt;&lt;/FQL&gt;&lt;FQL&gt;&lt;Q&gt;FIX-US^P_BETA_LOCIDX(45784,45607,,"SPX")&lt;/Q&gt;&lt;R&gt;1&lt;/R&gt;&lt;C&gt;1&lt;/C&gt;&lt;D xsi:type="xsd:double"&gt;1.8073658&lt;/D&gt;&lt;/FQL&gt;&lt;FQL&gt;&lt;Q&gt;FIX-US^P_BETA_LOCIDX(45783,45604,,"SPX")&lt;/Q&gt;&lt;R&gt;1&lt;/R&gt;&lt;C&gt;1&lt;/C&gt;&lt;D xsi:type="xsd:double"&gt;1.8127675&lt;/D&gt;&lt;/FQL&gt;&lt;FQL&gt;&lt;Q&gt;FIX-US^P_BETA_LOCIDX(45782,45603,,"SPX")&lt;/Q&gt;&lt;R&gt;1&lt;/R&gt;&lt;C&gt;1&lt;/C&gt;&lt;D xsi:type="xsd:double"&gt;1.811885&lt;/D&gt;&lt;/FQL&gt;&lt;FQL&gt;&lt;Q&gt;FIX-US^P_BETA_LOCIDX(45779,45602,,"SPX")&lt;/Q&gt;&lt;R&gt;1&lt;/R&gt;&lt;C&gt;1&lt;/C&gt;&lt;D xsi:type="xsd:double"&gt;1.8305514&lt;/D&gt;&lt;/FQL&gt;&lt;FQL&gt;&lt;Q&gt;FIX-US^P_BETA_LOCIDX(45778,45601,,"SPX")&lt;/Q&gt;&lt;R&gt;1&lt;/R&gt;&lt;C&gt;1&lt;/C&gt;&lt;D xsi:type="xsd:double"&gt;1.8403031&lt;/D&gt;&lt;/FQL&gt;&lt;FQL&gt;&lt;Q&gt;FIX-US^P_BETA_LOCIDX(45777,45600,,"SPX")&lt;/Q&gt;&lt;R&gt;1&lt;/R&gt;&lt;C&gt;1&lt;/C&gt;&lt;D xsi:type="xsd:double"&gt;1.8318073&lt;/D&gt;&lt;/FQL&gt;&lt;FQL&gt;&lt;Q&gt;FIX-US^P_BETA_LOCIDX(45776,45597,,"SPX")&lt;/Q&gt;&lt;R&gt;1&lt;/R&gt;&lt;C&gt;1&lt;/C&gt;&lt;D xsi:type="xsd:double"&gt;1.8312154&lt;/D&gt;&lt;/FQL&gt;&lt;FQL&gt;&lt;Q&gt;FIX-US^P_BETA_LOCIDX(45775,45596,,"SPX")&lt;/Q&gt;&lt;R&gt;1&lt;/R&gt;&lt;C&gt;1&lt;/C&gt;&lt;D xsi:type="xsd:double"&gt;1.8097677&lt;/D&gt;&lt;/FQL&gt;&lt;FQL&gt;&lt;Q&gt;FIX-US^P_BETA_LOCIDX(45772,45595,,"SPX")&lt;/Q&gt;&lt;R&gt;1&lt;/R&gt;&lt;C&gt;1&lt;/C&gt;&lt;D xsi:type="xsd:double"&gt;1.8112228&lt;/D&gt;&lt;/FQL&gt;&lt;FQL&gt;&lt;Q&gt;FIX-US^P_BETA_LOCIDX(45771,45594,,"SPX")&lt;/Q&gt;&lt;R&gt;1&lt;/R&gt;&lt;C&gt;1&lt;/C&gt;&lt;D xsi:type="xsd:double"&gt;1.8009732&lt;/D&gt;&lt;/FQL&gt;&lt;FQL&gt;&lt;Q&gt;FIX-US^P_BETA_LOCIDX(45770,45593,,"SPX")&lt;/Q&gt;&lt;R&gt;1&lt;/R&gt;&lt;C&gt;1&lt;/C&gt;&lt;D xsi:type="xsd:double"&gt;1.7914459&lt;/D&gt;&lt;/FQL&gt;&lt;FQL&gt;&lt;Q&gt;FIX-US^P_BETA_LOCIDX(45769,45590,,"SPX")&lt;/Q&gt;&lt;R&gt;1&lt;/R&gt;&lt;C&gt;1&lt;/C&gt;&lt;D xsi:type="xsd:double"&gt;1.7815964&lt;/D&gt;&lt;/FQL&gt;&lt;FQL&gt;&lt;Q&gt;FIX-US^P_BETA_LOCIDX(45768,45589,,"SPX")&lt;/Q&gt;&lt;R&gt;1&lt;/R&gt;&lt;C&gt;1&lt;/C&gt;&lt;D xsi:type="xsd:double"&gt;1.7893127&lt;/D&gt;&lt;/FQL&gt;&lt;FQL&gt;&lt;Q&gt;FIX-US^P_BETA_LOCIDX(45764,45588,,"SPX")&lt;/Q&gt;&lt;R&gt;1&lt;/R&gt;&lt;C&gt;1&lt;/C&gt;&lt;D xsi:type="xsd:double"&gt;1.7735182&lt;/D&gt;&lt;/FQL&gt;&lt;FQL&gt;&lt;Q&gt;FIX-US^P_BETA_LOCIDX(45763,45587,,"SPX")&lt;/Q&gt;&lt;R&gt;1&lt;/R&gt;&lt;C&gt;1&lt;/C&gt;&lt;D xsi:type="xsd:double"&gt;1.7738019&lt;/D&gt;&lt;/FQL&gt;&lt;FQL&gt;&lt;Q&gt;FIX-US^P_BETA_LOCIDX(45762,45586,,"SPX")&lt;/Q&gt;&lt;R&gt;1&lt;/R&gt;&lt;C&gt;1&lt;/C&gt;&lt;D xsi:type="xsd:double"&gt;1.7887956&lt;/D&gt;&lt;/FQL&gt;&lt;FQL&gt;&lt;Q&gt;FIX-US^P_BETA_LOCIDX(45761,45583,,"SPX")&lt;/Q&gt;&lt;R&gt;1&lt;/R&gt;&lt;C&gt;1&lt;/C&gt;&lt;D xsi:type="xsd:double"&gt;1.7875372&lt;/D&gt;&lt;/FQL&gt;&lt;FQL&gt;&lt;Q&gt;FIX-US^P_BETA_LOCIDX(45758,45582,,"SPX")&lt;/Q&gt;&lt;R&gt;1&lt;/R&gt;&lt;C&gt;1&lt;/C&gt;&lt;D xsi:type="xsd:double"&gt;1.789822&lt;/D&gt;&lt;/FQL&gt;&lt;FQL&gt;&lt;Q&gt;FIX-US^P_BETA_LOCIDX(45757,45581,,"SPX")&lt;/Q&gt;&lt;R&gt;1&lt;/R&gt;&lt;C&gt;1&lt;/C&gt;&lt;D xsi:type="xsd:double"&gt;1.7880212&lt;/D&gt;&lt;/FQL&gt;&lt;FQL&gt;&lt;Q&gt;FIX-US^P_BETA_LOCIDX(45756,45580,,"SPX")&lt;/Q&gt;&lt;R&gt;1&lt;/R&gt;&lt;C&gt;1&lt;/C&gt;&lt;D xsi:type="xsd:double"&gt;1.797712&lt;/D&gt;&lt;/FQL&gt;&lt;FQL&gt;&lt;Q&gt;FIX-US^P_BETA_LOCIDX(45755,45579,,"SPX")&lt;/Q&gt;&lt;R&gt;1&lt;/R&gt;&lt;C&gt;1&lt;/C&gt;&lt;D xsi:type="xsd:double"&gt;1.9691982&lt;/D&gt;&lt;/FQL&gt;&lt;FQL&gt;&lt;Q&gt;FIX-US^P_BETA_LOCIDX(45754,45576,,"SPX")&lt;/Q&gt;&lt;R&gt;1&lt;/R&gt;&lt;C&gt;1&lt;/C&gt;&lt;D xsi:type="xsd:double"&gt;2.0009565&lt;/D&gt;&lt;/FQL&gt;&lt;FQL&gt;&lt;Q&gt;FIX-US^P_BETA_LOCIDX(45751,45575,,"SPX")&lt;/Q&gt;&lt;R&gt;1&lt;/R&gt;&lt;C&gt;1&lt;/C&gt;&lt;D xsi:type="xsd:double"&gt;2.0059674&lt;/D&gt;&lt;/FQL&gt;&lt;FQL&gt;&lt;Q&gt;FIX-US^P_BETA_LOCIDX(45750,45574,,"SPX")&lt;/Q&gt;&lt;R&gt;1&lt;/R&gt;&lt;C&gt;1&lt;/C&gt;&lt;D xsi:type="xsd:double"&gt;2.3514774&lt;/D&gt;&lt;/FQL&gt;&lt;FQL&gt;&lt;Q&gt;FIX-US^P_BETA_LOCIDX(45749,45573,,"SPX")&lt;/Q&gt;&lt;R&gt;1&lt;/R&gt;&lt;C&gt;1&lt;/C&gt;&lt;D xsi:type="xsd:double"&gt;2.4406044&lt;/D&gt;&lt;/FQL&gt;&lt;FQL&gt;&lt;Q&gt;FIX-US^P_BETA_LOCIDX(45748,45572,,"SPX")&lt;/Q&gt;&lt;R&gt;1&lt;/R&gt;&lt;C&gt;1&lt;/C&gt;&lt;D xsi:type="xsd:double"&gt;2.3943174&lt;/D&gt;&lt;/FQL&gt;&lt;FQL&gt;&lt;Q&gt;FIX-US^P_BETA_LOCIDX(45747,45569,,"SPX")&lt;/Q&gt;&lt;R&gt;1&lt;/R&gt;&lt;C&gt;1&lt;/C&gt;&lt;D xsi:type="xsd:double"&gt;2.3879707&lt;/D&gt;&lt;/FQL&gt;&lt;FQL&gt;&lt;Q&gt;FIX-US^P_BETA_LOCIDX(45744,45568,,"SPX")&lt;/Q&gt;&lt;R&gt;1&lt;/R&gt;&lt;C&gt;1&lt;/C&gt;&lt;D xsi:type="xsd:double"&gt;2.3985054&lt;/D&gt;&lt;/FQL&gt;&lt;FQL&gt;&lt;Q&gt;FIX-US^P_BETA_LOCIDX(45743,45567,,"SPX")&lt;/Q&gt;&lt;R&gt;1&lt;/R&gt;&lt;C&gt;1&lt;/C&gt;&lt;D xsi:type="xsd:double"&gt;2.44578&lt;/D&gt;&lt;/FQL&gt;&lt;FQL&gt;&lt;Q&gt;FIX-US^P_BETA_LOCIDX(45742,45566,,"SPX")&lt;/Q&gt;&lt;R&gt;1&lt;/R&gt;&lt;C&gt;1&lt;/C&gt;&lt;D xsi:type="xsd:double"&gt;2.4156733&lt;/D&gt;&lt;/FQL&gt;&lt;FQL&gt;&lt;Q&gt;FIX-US^P_BETA_LOCIDX(45741,45565,,"SPX")&lt;/Q&gt;&lt;R&gt;1&lt;/R&gt;&lt;C&gt;1&lt;/C&gt;&lt;D xsi:type="xsd:double"&gt;2.358007&lt;/D&gt;&lt;/FQL&gt;&lt;FQL&gt;&lt;Q&gt;FIX-US^P_BETA_LOCIDX(45740,45562,,"SPX")&lt;/Q&gt;&lt;R&gt;1&lt;/R&gt;&lt;C&gt;1&lt;/C&gt;&lt;D xsi:type="xsd:double"&gt;2.3630548&lt;/D&gt;&lt;/FQL&gt;&lt;FQL&gt;&lt;Q&gt;FIX-US^P_BETA_LOCIDX(45737,45561,,"SPX")&lt;/Q&gt;&lt;R&gt;1&lt;/R&gt;&lt;C&gt;1&lt;/C&gt;&lt;D xsi:type="xsd:double"&gt;2.2979472&lt;/D&gt;&lt;/FQL&gt;&lt;FQL&gt;&lt;Q&gt;FIX-US^P_BETA_LOCIDX(45736,45560,,"SPX")&lt;/Q&gt;&lt;R&gt;1&lt;/R&gt;&lt;C&gt;1&lt;/C&gt;&lt;D xsi:type="xsd:double"&gt;2.2963264&lt;/D&gt;&lt;/FQL&gt;&lt;FQL&gt;&lt;Q&gt;FIX-US^P_BETA_LOCIDX(45735,45559,,"SPX")&lt;/Q&gt;&lt;R&gt;1&lt;/R&gt;&lt;C&gt;1&lt;/C&gt;&lt;D xsi:type="xsd:double"&gt;2.2958379&lt;/D&gt;&lt;/FQL&gt;&lt;FQL&gt;&lt;Q&gt;FIX-US^P_BETA_LOCIDX(45734,45558,,"SPX")&lt;/Q&gt;&lt;R&gt;1&lt;/R&gt;&lt;C&gt;1&lt;/C&gt;&lt;D xsi:type="xsd:double"&gt;2.262127&lt;/D&gt;&lt;/FQL&gt;&lt;FQL&gt;&lt;Q&gt;FIX-US^P_BETA_LOCIDX(45733,45555,,"SPX")&lt;/Q&gt;&lt;R&gt;1&lt;/R&gt;&lt;C&gt;1&lt;/C&gt;&lt;D xsi:type="xsd:double"&gt;2.2629404&lt;/D&gt;&lt;/FQL&gt;&lt;FQL&gt;&lt;Q&gt;FIX-US^P_BETA_LOCIDX(45730,45554,,"SPX")&lt;/Q&gt;&lt;R&gt;1&lt;/R&gt;&lt;C&gt;1&lt;/C&gt;&lt;D xsi:type="xsd:double"&gt;2.3125567&lt;/D&gt;&lt;/FQL&gt;&lt;FQL&gt;&lt;Q&gt;FIX-US^P_BETA_LOCIDX(45729,45553,,"SPX")&lt;/Q&gt;&lt;R&gt;1&lt;/R&gt;&lt;C&gt;1&lt;/C&gt;&lt;D xsi:type="xsd:double"&gt;2.3274777&lt;/D&gt;&lt;/FQL&gt;&lt;FQL&gt;&lt;Q&gt;FIX-US^P_BETA_LOCIDX(45728,45552,,"SPX")&lt;/Q&gt;&lt;R&gt;1&lt;/R&gt;&lt;C&gt;1&lt;/C&gt;&lt;D xsi:type="xsd:double"&gt;2.3377533&lt;/D&gt;&lt;/FQL&gt;&lt;FQL&gt;&lt;Q&gt;FIX-US^P_BETA_LOCIDX(45727,45551,,"SPX")&lt;/Q&gt;&lt;R&gt;1&lt;/R&gt;&lt;C&gt;1&lt;/C&gt;&lt;D xsi:type="xsd:double"&gt;2.325382&lt;/D&gt;&lt;/FQL&gt;&lt;FQL&gt;&lt;Q&gt;FIX-US^P_BETA_LOCIDX(45726,45548,,"SPX")&lt;/Q&gt;&lt;R&gt;1&lt;/R&gt;&lt;C&gt;1&lt;/C&gt;&lt;D xsi:type="xsd:double"&gt;2.3795455&lt;/D&gt;&lt;/FQL&gt;&lt;FQL&gt;&lt;Q&gt;FIX-US^P_BETA_LOCIDX(45723,45547,,"SPX")&lt;/Q&gt;&lt;R&gt;1&lt;/R&gt;&lt;C&gt;1&lt;/C&gt;&lt;D xsi:type="xsd:double"&gt;2.4793043&lt;/D&gt;&lt;/FQL&gt;&lt;FQL&gt;&lt;Q&gt;FIX-US^P_BETA_LOCIDX(45722,45546,,"SPX")&lt;/Q&gt;&lt;R&gt;1&lt;/R&gt;&lt;C&gt;1&lt;/C&gt;&lt;D xsi:type="xsd:double"&gt;2.5287597&lt;/D&gt;&lt;/FQL&gt;&lt;FQL&gt;&lt;Q&gt;FIX-US^P_BETA_LOCIDX(45721,45545,,"SPX")&lt;/Q&gt;&lt;R&gt;1&lt;/R&gt;&lt;C&gt;1&lt;/C&gt;&lt;D xsi:type="xsd:double"&gt;2.5032825&lt;/D&gt;&lt;/FQL&gt;&lt;FQL&gt;&lt;Q&gt;FIX-US^P_BETA_LOCIDX(45720,45544,,"SPX")&lt;/Q&gt;&lt;R&gt;1&lt;/R&gt;&lt;C&gt;1&lt;/C&gt;&lt;D xsi:type="xsd:double"&gt;2.49311&lt;/D&gt;&lt;/FQL&gt;&lt;FQL&gt;&lt;Q&gt;FIX-US^P_BETA_LOCIDX(45719,45541,,"SPX")&lt;/Q&gt;&lt;R&gt;1&lt;/R&gt;&lt;C&gt;1&lt;/C&gt;&lt;D xsi:type="xsd:double"&gt;2.4504738&lt;/D&gt;&lt;/FQL&gt;&lt;FQL&gt;&lt;Q&gt;FIX-US^P_BETA_LOCIDX(45716,45540,,"SPX")&lt;/Q&gt;&lt;R&gt;1&lt;/R&gt;&lt;C&gt;1&lt;/C&gt;&lt;D xsi:type="xsd:double"&gt;2.4428616&lt;/D&gt;&lt;/FQL&gt;&lt;FQL&gt;&lt;Q&gt;FIX-US^P_BETA_LOCIDX(45715,45539,,"SPX")&lt;/Q&gt;&lt;R&gt;1&lt;/R&gt;&lt;C&gt;1&lt;/C&gt;&lt;D xsi:type="xsd:double"&gt;2.4841063&lt;/D&gt;&lt;/FQL&gt;&lt;FQL&gt;&lt;Q&gt;FIX-US^P_BETA_LOCIDX(45714,45538,,"SPX")&lt;/Q&gt;&lt;R&gt;1&lt;/R&gt;&lt;C&gt;1&lt;/C&gt;&lt;D xsi:type="xsd:double"&gt;2.6252127&lt;/D&gt;&lt;/FQL&gt;&lt;FQL&gt;&lt;Q&gt;FIX-US^P_BETA_LOCIDX(45713,45534,,"SPX")&lt;/Q&gt;&lt;R&gt;1&lt;/R&gt;&lt;C&gt;1&lt;/C&gt;&lt;D xsi:type="xsd:double"&gt;2.615584&lt;/D&gt;&lt;/FQL&gt;&lt;FQL&gt;&lt;Q&gt;FIX-US^P_BETA_LOCIDX(45712,45533,,"SPX")&lt;/Q&gt;&lt;R&gt;1&lt;/R&gt;&lt;C&gt;1&lt;/C&gt;&lt;D xsi:type="xsd:double"&gt;2.6392205&lt;/D&gt;&lt;/FQL&gt;&lt;FQL&gt;&lt;Q&gt;FIX-US^P_BETA_LOCIDX(45709,45532,,"SPX")&lt;/Q&gt;&lt;R&gt;1&lt;/R&gt;&lt;C&gt;1&lt;/C&gt;&lt;D xsi:type="xsd:double"&gt;2.6153288&lt;/D&gt;&lt;/FQL&gt;&lt;FQL&gt;&lt;Q&gt;FIX-US^P_BETA_LOCIDX(45708,45531,,"SPX")&lt;/Q&gt;&lt;R&gt;1&lt;/R&gt;&lt;C&gt;1&lt;/C&gt;&lt;D xsi:type="xsd:double"&gt;2.6076522&lt;/D&gt;&lt;/FQL&gt;&lt;FQL&gt;&lt;Q&gt;FIX-US^P_BETA_LOCIDX(45707,45530,,"SPX")&lt;/Q&gt;&lt;R&gt;1&lt;/R&gt;&lt;C&gt;1&lt;/C&gt;&lt;D xsi:type="xsd:double"&gt;2.588938&lt;/D&gt;&lt;/FQL&gt;&lt;FQL&gt;&lt;Q&gt;FIX-US^P_BETA_LOCIDX(45706,45527,,"SPX")&lt;/Q&gt;&lt;R&gt;1&lt;/R&gt;&lt;C&gt;1&lt;/C&gt;&lt;D xsi:type="xsd:double"&gt;2.5537744&lt;/D&gt;&lt;/FQL&gt;&lt;FQL&gt;&lt;Q&gt;FIX-US^P_BETA_LOCIDX(45702,45526,,"SPX")&lt;/Q&gt;&lt;R&gt;1&lt;/R&gt;&lt;C&gt;1&lt;/C&gt;&lt;D xsi:type="xsd:double"&gt;2.5501812&lt;/D&gt;&lt;/FQL&gt;&lt;FQL&gt;&lt;Q&gt;FIX-US^P_BETA_LOCIDX(45701,45525,,"SPX")&lt;/Q&gt;&lt;R&gt;1&lt;/R&gt;&lt;C&gt;1&lt;/C&gt;&lt;D xsi:type="xsd:double"&gt;2.5625238&lt;/D&gt;&lt;/FQL&gt;&lt;FQL&gt;&lt;Q&gt;FIX-US^P_BETA_LOCIDX(45700,45524,,"SPX")&lt;/Q&gt;&lt;R&gt;1&lt;/R&gt;&lt;C&gt;1&lt;/C&gt;&lt;D xsi:type="xsd:double"&gt;2.608472&lt;/D&gt;&lt;/FQL&gt;&lt;FQL&gt;&lt;Q&gt;FIX-US^P_BETA_LOCIDX(45699,45523,,"SPX")&lt;/Q&gt;&lt;R&gt;1&lt;/R&gt;&lt;C&gt;1&lt;/C&gt;&lt;D xsi:type="xsd:double"&gt;2.5507991&lt;/D&gt;&lt;/FQL&gt;&lt;FQL&gt;&lt;Q&gt;FIX-US^P_BETA_LOCIDX(45698,45520,,"SPX")&lt;/Q&gt;&lt;R&gt;1&lt;/R&gt;&lt;C&gt;1&lt;/C&gt;&lt;D xsi:type="xsd:double"&gt;2.5427847&lt;/D&gt;&lt;/FQL&gt;&lt;FQL&gt;&lt;Q&gt;FIX-US^P_BETA_LOCIDX(45695,45519,,"SPX")&lt;/Q&gt;&lt;R&gt;1&lt;/R&gt;&lt;C&gt;1&lt;/C&gt;&lt;D xsi:type="xsd:double"&gt;2.512214&lt;/D&gt;&lt;/FQL&gt;&lt;FQL&gt;&lt;Q&gt;FIX-US^P_BETA_LOCIDX(45694,45518,,"SPX")&lt;/Q&gt;&lt;R&gt;1&lt;/R&gt;&lt;C&gt;1&lt;/C&gt;&lt;D xsi:type="xsd:double"&gt;2.5208216&lt;/D&gt;&lt;/FQL&gt;&lt;FQL&gt;&lt;Q&gt;FIX-US^P_BETA_LOCIDX(45693,45517,,"SPX")&lt;/Q&gt;&lt;R&gt;1&lt;/R&gt;&lt;C&gt;1&lt;/C&gt;&lt;D xsi:type="xsd:double"&gt;2.4696476&lt;/D&gt;&lt;/FQL&gt;&lt;FQL&gt;&lt;Q&gt;FIX-US^P_BETA_LOCIDX(45692,45516,,"SPX")&lt;/Q&gt;&lt;R&gt;1&lt;/R&gt;&lt;C&gt;1&lt;/C&gt;&lt;D xsi:type="xsd:double"&gt;2.4567792&lt;/D&gt;&lt;/FQL&gt;&lt;FQL&gt;&lt;Q&gt;FIX-US^P_BETA_LOCIDX(45691,45513,,"SPX")&lt;/Q&gt;&lt;R&gt;1&lt;/R&gt;&lt;C&gt;1&lt;/C&gt;&lt;D xsi:type="xsd:double"&gt;2.465541&lt;/D&gt;&lt;/FQL&gt;&lt;FQL&gt;&lt;Q&gt;FIX-US^P_BETA_LOCIDX(45688,45512,,"SPX")&lt;/Q&gt;&lt;R&gt;1&lt;/R&gt;&lt;C&gt;1&lt;/C&gt;&lt;D xsi:type="xsd:double"&gt;2.4446516&lt;/D&gt;&lt;/FQL&gt;&lt;FQL&gt;&lt;Q&gt;FIX-US^P_BETA_LOCIDX(45687,45511,,"SPX")&lt;/Q&gt;&lt;R&gt;1&lt;/R&gt;&lt;C&gt;1&lt;/C&gt;&lt;D xsi:type="xsd:double"&gt;2.4696772&lt;/D&gt;&lt;/FQL&gt;&lt;FQL&gt;&lt;Q&gt;FIX-US^P_BETA_LOCIDX(45686,45510,,"SPX")&lt;/Q&gt;&lt;R&gt;1&lt;/R&gt;&lt;C&gt;1&lt;/C&gt;&lt;D xsi:type="xsd:double"&gt;2.471015&lt;/D&gt;&lt;/FQL&gt;&lt;FQL&gt;&lt;Q&gt;FIX-US^P_BETA_LOCIDX(45685,45509,,"SPX")&lt;/Q&gt;&lt;R&gt;1&lt;/R&gt;&lt;C&gt;1&lt;/C&gt;&lt;D xsi:type="xsd:double"&gt;2.306583&lt;/D&gt;&lt;/FQL&gt;&lt;FQL&gt;&lt;Q&gt;FIX-US^P_BETA_LOCIDX(45684,45506,,"SPX")&lt;/Q&gt;&lt;R&gt;1&lt;/R&gt;&lt;C&gt;1&lt;/C&gt;&lt;D xsi:type="xsd:double"&gt;2.3418608&lt;/D&gt;&lt;/FQL&gt;&lt;FQL&gt;&lt;Q&gt;FIX-US^P_BETA_LOCIDX(45681,45505,,"SPX")&lt;/Q&gt;&lt;R&gt;1&lt;/R&gt;&lt;C&gt;1&lt;/C&gt;&lt;D xsi:type="xsd:double"&gt;1.9638647&lt;/D&gt;&lt;/FQL&gt;&lt;FQL&gt;&lt;Q&gt;FIX-US^P_BETA_LOCIDX(45680,45504,,"SPX")&lt;/Q&gt;&lt;R&gt;1&lt;/R&gt;&lt;C&gt;1&lt;/C&gt;&lt;D xsi:type="xsd:double"&gt;2.0428944&lt;/D&gt;&lt;/FQL&gt;&lt;FQL&gt;&lt;Q&gt;FIX-US^P_BETA_LOCIDX(45679,45503,,"SPX")&lt;/Q&gt;&lt;R&gt;1&lt;/R&gt;&lt;C&gt;1&lt;/C&gt;&lt;D xsi:type="xsd:double"&gt;2.0630708&lt;/D&gt;&lt;/FQL&gt;&lt;FQL&gt;&lt;Q&gt;FIX-US^P_BETA_LOCIDX(45678,45502,,"SPX")&lt;/Q&gt;&lt;R&gt;1&lt;/R&gt;&lt;C&gt;1&lt;/C&gt;&lt;D xsi:type="xsd:double"&gt;2.0502634&lt;/D&gt;&lt;/FQL&gt;&lt;FQL&gt;&lt;Q&gt;FIX-US^P_BETA_LOCIDX(45674,45499,,"SPX")&lt;/Q&gt;&lt;R&gt;1&lt;/R&gt;&lt;C&gt;1&lt;/C&gt;&lt;D xsi:type="xsd:double"&gt;2.0623572&lt;/D&gt;&lt;/FQL&gt;&lt;FQL&gt;&lt;Q&gt;FIX-US^P_BETA_LOCIDX(45673,45498,,"SPX")&lt;/Q&gt;&lt;R&gt;1&lt;/R&gt;&lt;C&gt;1&lt;/C&gt;&lt;D xsi:type="xsd:double"&gt;2.0979235&lt;/D&gt;&lt;/FQL&gt;&lt;FQL&gt;&lt;Q&gt;FIX-US^P_BETA_LOCIDX(45672,45497,,"SPX")&lt;/Q&gt;&lt;R&gt;1&lt;/R&gt;&lt;C&gt;1&lt;/C&gt;&lt;D xsi:type="xsd:double"&gt;2.2030714&lt;/D&gt;&lt;/FQL&gt;&lt;FQL&gt;&lt;Q&gt;FIX-US^P_BETA_LOCIDX(45671,45496,,"SPX")&lt;/Q&gt;&lt;R&gt;1&lt;/R&gt;&lt;C&gt;1&lt;/C&gt;&lt;D xsi:type="xsd:double"&gt;2.1674588&lt;/D&gt;&lt;/FQL&gt;&lt;FQL&gt;&lt;Q&gt;FIX-US^P_BETA_LOCIDX(45670,45495,,"SPX")&lt;/Q&gt;&lt;R&gt;1&lt;/R&gt;&lt;C&gt;1&lt;/C&gt;&lt;D xsi:type="xsd:double"&gt;2.182556&lt;/D&gt;&lt;/FQL&gt;&lt;FQL&gt;&lt;Q&gt;FIX-US^P_BETA_LOCIDX(45667,45492,,"SPX")&lt;/Q&gt;&lt;R&gt;1&lt;/R&gt;&lt;C&gt;1&lt;/C&gt;&lt;D xsi:type="xsd:double"&gt;2.1664402&lt;/D&gt;&lt;/FQL&gt;&lt;FQL&gt;&lt;Q&gt;FIX-US^P_BETA_LOCIDX(45665,45491,,"SPX")&lt;/Q&gt;&lt;R&gt;1&lt;/R&gt;&lt;C</t>
        </r>
      </text>
    </comment>
    <comment ref="A24" authorId="0" shapeId="0" xr:uid="{911556F7-B613-44B3-AECD-6C397AAA2971}">
      <text>
        <r>
          <rPr>
            <b/>
            <sz val="9"/>
            <color indexed="81"/>
            <rFont val="Tahoma"/>
            <charset val="1"/>
          </rPr>
          <t>&gt;1&lt;/C&gt;&lt;D xsi:type="xsd:double"&gt;2.1715462&lt;/D&gt;&lt;/FQL&gt;&lt;FQL&gt;&lt;Q&gt;FIX-US^P_BETA_LOCIDX(45664,45490,,"SPX")&lt;/Q&gt;&lt;R&gt;1&lt;/R&gt;&lt;C&gt;1&lt;/C&gt;&lt;D xsi:type="xsd:double"&gt;2.2487426&lt;/D&gt;&lt;/FQL&gt;&lt;FQL&gt;&lt;Q&gt;FIX-US^P_BETA_LOCIDX(45663,45489,,"SPX")&lt;/Q&gt;&lt;R&gt;1&lt;/R&gt;&lt;C&gt;1&lt;/C&gt;&lt;D xsi:type="xsd:double"&gt;2.2699206&lt;/D&gt;&lt;/FQL&gt;&lt;FQL&gt;&lt;Q&gt;FIX-US^P_BETA_LOCIDX(45660,45488,,"SPX")&lt;/Q&gt;&lt;R&gt;1&lt;/R&gt;&lt;C&gt;1&lt;/C&gt;&lt;D xsi:type="xsd:double"&gt;2.2676654&lt;/D&gt;&lt;/FQL&gt;&lt;FQL&gt;&lt;Q&gt;FIX-US^P_BETA_LOCIDX(45659,45485,,"SPX")&lt;/Q&gt;&lt;R&gt;1&lt;/R&gt;&lt;C&gt;1&lt;/C&gt;&lt;D xsi:type="xsd:double"&gt;2.245179&lt;/D&gt;&lt;/FQL&gt;&lt;FQL&gt;&lt;Q&gt;FIX-US^P_BETA_LOCIDX(45657,45484,,"SPX")&lt;/Q&gt;&lt;R&gt;1&lt;/R&gt;&lt;C&gt;1&lt;/C&gt;&lt;D xsi:type="xsd:double"&gt;2.2050836&lt;/D&gt;&lt;/FQL&gt;&lt;FQL&gt;&lt;Q&gt;FIX-US^P_BETA_LOCIDX(45656,45483,,"SPX")&lt;/Q&gt;&lt;R&gt;1&lt;/R&gt;&lt;C&gt;1&lt;/C&gt;&lt;D xsi:type="xsd:double"&gt;2.2060783&lt;/D&gt;&lt;/FQL&gt;&lt;FQL&gt;&lt;Q&gt;FIX-US^P_BETA_LOCIDX(45653,45482,,"SPX")&lt;/Q&gt;&lt;R&gt;1&lt;/R&gt;&lt;C&gt;1&lt;/C&gt;&lt;D xsi:type="xsd:double"&gt;2.2228162&lt;/D&gt;&lt;/FQL&gt;&lt;FQL&gt;&lt;Q&gt;FIX-US^P_BETA_LOCIDX(45652,45481,,"SPX")&lt;/Q&gt;&lt;R&gt;1&lt;/R&gt;&lt;C&gt;1&lt;/C&gt;&lt;D xsi:type="xsd:double"&gt;2.2309008&lt;/D&gt;&lt;/FQL&gt;&lt;FQL&gt;&lt;Q&gt;FIX-US^P_BETA_LOCIDX(45650,45478,,"SPX")&lt;/Q&gt;&lt;R&gt;1&lt;/R&gt;&lt;C&gt;1&lt;/C&gt;&lt;D xsi:type="xsd:double"&gt;2.2103086&lt;/D&gt;&lt;/FQL&gt;&lt;FQL&gt;&lt;Q&gt;FIX-US^P_BETA_LOCIDX(45649,45476,,"SPX")&lt;/Q&gt;&lt;R&gt;1&lt;/R&gt;&lt;C&gt;1&lt;/C&gt;&lt;D xsi:type="xsd:double"&gt;2.2544947&lt;/D&gt;&lt;/FQL&gt;&lt;FQL&gt;&lt;Q&gt;FIX-US^P_BETA_LOCIDX(45646,45475,,"SPX")&lt;/Q&gt;&lt;R&gt;1&lt;/R&gt;&lt;C&gt;1&lt;/C&gt;&lt;D xsi:type="xsd:double"&gt;2.2614534&lt;/D&gt;&lt;/FQL&gt;&lt;FQL&gt;&lt;Q&gt;FIX-US^P_BETA_LOCIDX(45645,45474,,"SPX")&lt;/Q&gt;&lt;R&gt;1&lt;/R&gt;&lt;C&gt;1&lt;/C&gt;&lt;D xsi:type="xsd:double"&gt;2.2735894&lt;/D&gt;&lt;/FQL&gt;&lt;FQL&gt;&lt;Q&gt;FIX-US^P_BETA_LOCIDX(45644,45471,,"SPX")&lt;/Q&gt;&lt;R&gt;1&lt;/R&gt;&lt;C&gt;1&lt;/C&gt;&lt;D xsi:type="xsd:double"&gt;2.2887404&lt;/D&gt;&lt;/FQL&gt;&lt;FQL&gt;&lt;Q&gt;FIX-US^P_BETA_LOCIDX(45643,45470,,"SPX")&lt;/Q&gt;&lt;R&gt;1&lt;/R&gt;&lt;C&gt;1&lt;/C&gt;&lt;D xsi:type="xsd:double"&gt;2.3530655&lt;/D&gt;&lt;/FQL&gt;&lt;FQL&gt;&lt;Q&gt;FIX-US^P_BETA_LOCIDX(45642,45469,,"SPX")&lt;/Q&gt;&lt;R&gt;1&lt;/R&gt;&lt;C&gt;1&lt;/C&gt;&lt;D xsi:type="xsd:double"&gt;2.3450549&lt;/D&gt;&lt;/FQL&gt;&lt;FQL&gt;&lt;Q&gt;FIX-US^P_BETA_LOCIDX(45639,45468,,"SPX")&lt;/Q&gt;&lt;R&gt;1&lt;/R&gt;&lt;C&gt;1&lt;/C&gt;&lt;D xsi:type="xsd:double"&gt;2.347546&lt;/D&gt;&lt;/FQL&gt;&lt;FQL&gt;&lt;Q&gt;FIX-US^P_BETA_LOCIDX(45638,45467,,"SPX")&lt;/Q&gt;&lt;R&gt;1&lt;/R&gt;&lt;C&gt;1&lt;/C&gt;&lt;D xsi:type="xsd:double"&gt;2.3408692&lt;/D&gt;&lt;/FQL&gt;&lt;FQL&gt;&lt;Q&gt;FIX-US^P_BETA_LOCIDX(45637,45464,,"SPX")&lt;/Q&gt;&lt;R&gt;1&lt;/R&gt;&lt;C&gt;1&lt;/C&gt;&lt;D xsi:type="xsd:double"&gt;2.3486192&lt;/D&gt;&lt;/FQL&gt;&lt;FQL&gt;&lt;Q&gt;FIX-US^P_BETA_LOCIDX(45636,45463,,"SPX")&lt;/Q&gt;&lt;R&gt;1&lt;/R&gt;&lt;C&gt;1&lt;/C&gt;&lt;D xsi:type="xsd:double"&gt;2.3460345&lt;/D&gt;&lt;/FQL&gt;&lt;FQL&gt;&lt;Q&gt;FIX-US^P_BETA_LOCIDX(45635,45461,,"SPX")&lt;/Q&gt;&lt;R&gt;1&lt;/R&gt;&lt;C&gt;1&lt;/C&gt;&lt;D xsi:type="xsd:double"&gt;2.3469086&lt;/D&gt;&lt;/FQL&gt;&lt;FQL&gt;&lt;Q&gt;FIX-US^P_BETA_LOCIDX(45632,45460,,"SPX")&lt;/Q&gt;&lt;R&gt;1&lt;/R&gt;&lt;C&gt;1&lt;/C&gt;&lt;D xsi:type="xsd:double"&gt;2.3060422&lt;/D&gt;&lt;/FQL&gt;&lt;FQL&gt;&lt;Q&gt;FIX-US^P_BETA_LOCIDX(45631,45457,,"SPX")&lt;/Q&gt;&lt;R&gt;1&lt;/R&gt;&lt;C&gt;1&lt;/C&gt;&lt;D xsi:type="xsd:double"&gt;2.3128648&lt;/D&gt;&lt;/FQL&gt;&lt;FQL&gt;&lt;Q&gt;FIX-US^P_BETA_LOCIDX(45630,45456,,"SPX")&lt;/Q&gt;&lt;R&gt;1&lt;/R&gt;&lt;C&gt;1&lt;/C&gt;&lt;D xsi:type="xsd:double"&gt;2.3130524&lt;/D&gt;&lt;/FQL&gt;&lt;FQL&gt;&lt;Q&gt;FIX-US^P_BETA_LOCIDX(45629,45455,,"SPX")&lt;/Q&gt;&lt;R&gt;1&lt;/R&gt;&lt;C&gt;1&lt;/C&gt;&lt;D xsi:type="xsd:double"&gt;2.3477168&lt;/D&gt;&lt;/FQL&gt;&lt;FQL&gt;&lt;Q&gt;FIX-US^P_BETA_LOCIDX(45628,45454,,"SPX")&lt;/Q&gt;&lt;R&gt;1&lt;/R&gt;&lt;C&gt;1&lt;/C&gt;&lt;D xsi:type="xsd:double"&gt;2.342819&lt;/D&gt;&lt;/FQL&gt;&lt;FQL&gt;&lt;Q&gt;FIX-US^P_BETA_LOCIDX(45625,45453,,"SPX")&lt;/Q&gt;&lt;R&gt;1&lt;/R&gt;&lt;C&gt;1&lt;/C&gt;&lt;D xsi:type="xsd:double"&gt;2.3453782&lt;/D&gt;&lt;/FQL&gt;&lt;FQL&gt;&lt;Q&gt;FIX-US^P_BETA_LOCIDX(45623,45450,,"SPX")&lt;/Q&gt;&lt;R&gt;1&lt;/R&gt;&lt;C&gt;1&lt;/C&gt;&lt;D xsi:type="xsd:double"&gt;2.3463204&lt;/D&gt;&lt;/FQL&gt;&lt;FQL&gt;&lt;Q&gt;FIX-US^P_BETA_LOCIDX(45622,45449,,"SPX")&lt;/Q&gt;&lt;R&gt;1&lt;/R&gt;&lt;C&gt;1&lt;/C&gt;&lt;D xsi:type="xsd:double"&gt;2.3375938&lt;/D&gt;&lt;/FQL&gt;&lt;FQL&gt;&lt;Q&gt;FIX-US^P_BETA_LOCIDX(45621,45448,,"SPX")&lt;/Q&gt;&lt;R&gt;1&lt;/R&gt;&lt;C&gt;1&lt;/C&gt;&lt;D xsi:type="xsd:double"&gt;2.3754208&lt;/D&gt;&lt;/FQL&gt;&lt;FQL&gt;&lt;Q&gt;FIX-US^P_BETA_LOCIDX(45618,45447,,"SPX")&lt;/Q&gt;&lt;R&gt;1&lt;/R&gt;&lt;C&gt;1&lt;/C&gt;&lt;D xsi:type="xsd:double"&gt;2.3728101&lt;/D&gt;&lt;/FQL&gt;&lt;FQL&gt;&lt;Q&gt;FIX-US^P_BETA_LOCIDX(45617,45446,,"SPX")&lt;/Q&gt;&lt;R&gt;1&lt;/R&gt;&lt;C&gt;1&lt;/C&gt;&lt;D xsi:type="xsd:double"&gt;2.374554&lt;/D&gt;&lt;/FQL&gt;&lt;FQL&gt;&lt;Q&gt;FIX-US^P_BETA_LOCIDX(45616,45443,,"SPX")&lt;/Q&gt;&lt;R&gt;1&lt;/R&gt;&lt;C&gt;1&lt;/C&gt;&lt;D xsi:type="xsd:double"&gt;2.3328867&lt;/D&gt;&lt;/FQL&gt;&lt;FQL&gt;&lt;Q&gt;FIX-US^P_BETA_LOCIDX(45615,45442,,"SPX")&lt;/Q&gt;&lt;R&gt;1&lt;/R&gt;&lt;C&gt;1&lt;/C&gt;&lt;D xsi:type="xsd:double"&gt;2.3292677&lt;/D&gt;&lt;/FQL&gt;&lt;FQL&gt;&lt;Q&gt;FIX-US^P_BETA_LOCIDX(45614,45441,,"SPX")&lt;/Q&gt;&lt;R&gt;1&lt;/R&gt;&lt;C&gt;1&lt;/C&gt;&lt;D xsi:type="xsd:double"&gt;2.3027384&lt;/D&gt;&lt;/FQL&gt;&lt;FQL&gt;&lt;Q&gt;FIX-US^P_BETA_LOCIDX(45611,45440,,"SPX")&lt;/Q&gt;&lt;R&gt;1&lt;/R&gt;&lt;C&gt;1&lt;/C&gt;&lt;D xsi:type="xsd:double"&gt;2.3023174&lt;/D&gt;&lt;/FQL&gt;&lt;FQL&gt;&lt;Q&gt;FIX-US^P_BETA_LOCIDX(45610,45436,,"SPX")&lt;/Q&gt;&lt;R&gt;1&lt;/R&gt;&lt;C&gt;1&lt;/C&gt;&lt;D xsi:type="xsd:double"&gt;2.3835418&lt;/D&gt;&lt;/FQL&gt;&lt;FQL&gt;&lt;Q&gt;FIX-US^P_BETA_LOCIDX(45609,45435,,"SPX")&lt;/Q&gt;&lt;R&gt;1&lt;/R&gt;&lt;C&gt;1&lt;/C&gt;&lt;D xsi:type="xsd:double"&gt;2.360838&lt;/D&gt;&lt;/FQL&gt;&lt;FQL&gt;&lt;Q&gt;FIX-US^P_BETA_LOCIDX(45608,45434,,"SPX")&lt;/Q&gt;&lt;R&gt;1&lt;/R&gt;&lt;C&gt;1&lt;/C&gt;&lt;D xsi:type="xsd:double"&gt;2.3532887&lt;/D&gt;&lt;/FQL&gt;&lt;FQL&gt;&lt;Q&gt;FIX-US^P_BETA_LOCIDX(45607,45433,,"SPX")&lt;/Q&gt;&lt;R&gt;1&lt;/R&gt;&lt;C&gt;1&lt;/C&gt;&lt;D xsi:type="xsd:double"&gt;2.354372&lt;/D&gt;&lt;/FQL&gt;&lt;FQL&gt;&lt;Q&gt;FIX-US^P_BETA_LOCIDX(45604,45432,,"SPX")&lt;/Q&gt;&lt;R&gt;1&lt;/R&gt;&lt;C&gt;1&lt;/C&gt;&lt;D xsi:type="xsd:double"&gt;2.3542433&lt;/D&gt;&lt;/FQL&gt;&lt;FQL&gt;&lt;Q&gt;FIX-US^P_BETA_LOCIDX(45603,45429,,"SPX")&lt;/Q&gt;&lt;R&gt;1&lt;/R&gt;&lt;C&gt;1&lt;/C&gt;&lt;D xsi:type="xsd:double"&gt;2.3438957&lt;/D&gt;&lt;/FQL&gt;&lt;FQL&gt;&lt;Q&gt;FIX-US^P_BETA_LOCIDX(45602,45428,,"SPX")&lt;/Q&gt;&lt;R&gt;1&lt;/R&gt;&lt;C&gt;1&lt;/C&gt;&lt;D xsi:type="xsd:double"&gt;2.364072&lt;/D&gt;&lt;/FQL&gt;&lt;FQL&gt;&lt;Q&gt;FIX-US^P_BETA_LOCIDX(45601,45427,,"SPX")&lt;/Q&gt;&lt;R&gt;1&lt;/R&gt;&lt;C&gt;1&lt;/C&gt;&lt;D xsi:type="xsd:double"&gt;2.3366997&lt;/D&gt;&lt;/FQL&gt;&lt;FQL&gt;&lt;Q&gt;FIX-US^P_BETA_LOCIDX(45600,45426,,"SPX")&lt;/Q&gt;&lt;R&gt;1&lt;/R&gt;&lt;C&gt;1&lt;/C&gt;&lt;D xsi:type="xsd:double"&gt;2.3002713&lt;/D&gt;&lt;/FQL&gt;&lt;FQL&gt;&lt;Q&gt;FIX-US^P_BETA_LOCIDX(45597,45425,,"SPX")&lt;/Q&gt;&lt;R&gt;1&lt;/R&gt;&lt;C&gt;1&lt;/C&gt;&lt;D xsi:type="xsd:double"&gt;2.3054044&lt;/D&gt;&lt;/FQL&gt;&lt;FQL&gt;&lt;Q&gt;FIX-US^P_BETA_LOCIDX(45596,45422,,"SPX")&lt;/Q&gt;&lt;R&gt;1&lt;/R&gt;&lt;C&gt;1&lt;/C&gt;&lt;D xsi:type="xsd:double"&gt;2.3066843&lt;/D&gt;&lt;/FQL&gt;&lt;FQL&gt;&lt;Q&gt;FIX-US^P_BETA_LOCIDX(45595,45421,,"SPX")&lt;/Q&gt;&lt;R&gt;1&lt;/R&gt;&lt;C&gt;1&lt;/C&gt;&lt;D xsi:type="xsd:double"&gt;2.4162235&lt;/D&gt;&lt;/FQL&gt;&lt;FQL&gt;&lt;Q&gt;FIX-US^P_BETA_LOCIDX(45594,45420,,"SPX")&lt;/Q&gt;&lt;R&gt;1&lt;/R&gt;&lt;C&gt;1&lt;/C&gt;&lt;D xsi:type="xsd:double"&gt;2.4116662&lt;/D&gt;&lt;/FQL&gt;&lt;FQL&gt;&lt;Q&gt;FIX-US^P_BETA_LOCIDX(45593,45419,,"SPX")&lt;/Q&gt;&lt;R&gt;1&lt;/R&gt;&lt;C&gt;1&lt;/C&gt;&lt;D xsi:type="xsd:double"&gt;2.4114811&lt;/D&gt;&lt;/FQL&gt;&lt;FQL&gt;&lt;Q&gt;FIX-US^P_BETA_LOCIDX(45590,45418,,"SPX")&lt;/Q&gt;&lt;R&gt;1&lt;/R&gt;&lt;C&gt;1&lt;/C&gt;&lt;D xsi:type="xsd:double"&gt;2.4504263&lt;/D&gt;&lt;/FQL&gt;&lt;FQL&gt;&lt;Q&gt;FIX-US^P_BETA_LOCIDX(45589,45415,,"SPX")&lt;/Q&gt;&lt;R&gt;1&lt;/R&gt;&lt;C&gt;1&lt;/C&gt;&lt;D xsi:type="xsd:double"&gt;2.4228246&lt;/D&gt;&lt;/FQL&gt;&lt;FQL&gt;&lt;Q&gt;FIX-US^P_BETA_LOCIDX(45588,45414,,"SPX")&lt;/Q&gt;&lt;R&gt;1&lt;/R&gt;&lt;C&gt;1&lt;/C&gt;&lt;D xsi:type="xsd:double"&gt;2.420013&lt;/D&gt;&lt;/FQL&gt;&lt;FQL&gt;&lt;Q&gt;FIX-US^P_BETA_LOCIDX(45587,45413,,"SPX")&lt;/Q&gt;&lt;R&gt;1&lt;/R&gt;&lt;C&gt;1&lt;/C&gt;&lt;D xsi:type="xsd:double"&gt;2.4496167&lt;/D&gt;&lt;/FQL&gt;&lt;FQL&gt;&lt;Q&gt;FIX-US^P_BETA_LOCIDX(45586,45412,,"SPX")&lt;/Q&gt;&lt;R&gt;1&lt;/R&gt;&lt;C&gt;1&lt;/C&gt;&lt;D xsi:type="xsd:double"&gt;2.3748477&lt;/D&gt;&lt;/FQL&gt;&lt;FQL&gt;&lt;Q&gt;FIX-US^P_BETA_LOCIDX(45583,45411,,"SPX")&lt;/Q&gt;&lt;R&gt;1&lt;/R&gt;&lt;C&gt;1&lt;/C&gt;&lt;D xsi:type="xsd:double"&gt;2.3872113&lt;/D&gt;&lt;/FQL&gt;&lt;FQL&gt;&lt;Q&gt;FIX-US^P_BETA_LOCIDX(45582,45408,,"SPX")&lt;/Q&gt;&lt;R&gt;1&lt;/R&gt;&lt;C&gt;1&lt;/C&gt;&lt;D xsi:type="xsd:double"&gt;2.332681&lt;/D&gt;&lt;/FQL&gt;&lt;FQL&gt;&lt;Q&gt;FIX-US^P_BETA_LOCIDX(45581,45407,,"SPX")&lt;/Q&gt;&lt;R&gt;1&lt;/R&gt;&lt;C&gt;1&lt;/C&gt;&lt;D xsi:type="xsd:double"&gt;2.3210924&lt;/D&gt;&lt;/FQL&gt;&lt;FQL&gt;&lt;Q&gt;FIX-US^P_BETA_LOCIDX(45580,45406,,"SPX")&lt;/Q&gt;&lt;R&gt;1&lt;/R&gt;&lt;C&gt;1&lt;/C&gt;&lt;D xsi:type="xsd:double"&gt;2.324538&lt;/D&gt;&lt;/FQL&gt;&lt;FQL&gt;&lt;Q&gt;FIX-US^P_BETA_LOCIDX(45579,45405,,"SPX")&lt;/Q&gt;&lt;R&gt;1&lt;/R&gt;&lt;C&gt;1&lt;/C&gt;&lt;D xsi:type="xsd:double"&gt;2.3502727&lt;/D&gt;&lt;/FQL&gt;&lt;FQL&gt;&lt;Q&gt;FIX-US^P_BETA_LOCIDX(45576,45404,,"SPX")&lt;/Q&gt;&lt;R&gt;1&lt;/R&gt;&lt;C&gt;1&lt;/C&gt;&lt;D xsi:type="xsd:double"&gt;2.353187&lt;/D&gt;&lt;/FQL&gt;&lt;FQL&gt;&lt;Q&gt;FIX-US^P_BETA_LOCIDX(45575,45401,,"SPX")&lt;/Q&gt;&lt;R&gt;1&lt;/R&gt;&lt;C&gt;1&lt;/C&gt;&lt;D xsi:type="xsd:double"&gt;2.3319345&lt;/D&gt;&lt;/FQL&gt;&lt;FQL&gt;&lt;Q&gt;FIX-US^P_BETA_LOCIDX(45574,45400,,"SPX")&lt;/Q&gt;&lt;R&gt;1&lt;/R&gt;&lt;C&gt;1&lt;/C&gt;&lt;D xsi:type="xsd:double"&gt;2.338529&lt;/D&gt;&lt;/FQL&gt;&lt;FQL&gt;&lt;Q&gt;FIX-US^P_BETA_LOCIDX(45573,45399,,"SPX")&lt;/Q&gt;&lt;R&gt;1&lt;/R&gt;&lt;C&gt;1&lt;/C&gt;&lt;D xsi:type="xsd:double"&gt;2.3410738&lt;/D&gt;&lt;/FQL&gt;&lt;FQL&gt;&lt;Q&gt;FIX-US^P_BETA_LOCIDX(45572,45398,,"SPX")&lt;/Q&gt;&lt;R&gt;1&lt;/R&gt;&lt;C&gt;1&lt;/C&gt;&lt;D xsi:type="xsd:double"&gt;2.3666208&lt;/D&gt;&lt;/FQL&gt;&lt;FQL&gt;&lt;Q&gt;FIX-US^P_BETA_LOCIDX(45569,45397,,"SPX")&lt;/Q&gt;&lt;R&gt;1&lt;/R&gt;&lt;C&gt;1&lt;/C&gt;&lt;D xsi:type="xsd:double"&gt;2.3817945&lt;/D&gt;&lt;/FQL&gt;&lt;FQL&gt;&lt;Q&gt;FIX-US^P_BETA_LOCIDX(45568,45394,,"SPX")&lt;/Q&gt;&lt;R&gt;1&lt;/R&gt;&lt;C&gt;1&lt;/C&gt;&lt;D xsi:type="xsd:double"&gt;2.336973&lt;/D&gt;&lt;/FQL&gt;&lt;FQL&gt;&lt;Q&gt;FIX-US^P_BETA_LOCIDX(45567,45393,,"SPX")&lt;/Q&gt;&lt;R&gt;1&lt;/R&gt;&lt;C&gt;1&lt;/C&gt;&lt;D xsi:type="xsd:double"&gt;2.3380022&lt;/D&gt;&lt;/FQL&gt;&lt;FQL&gt;&lt;Q&gt;FIX-US^P_BETA_LOCIDX(45566,45392,,"SPX")&lt;/Q&gt;&lt;R&gt;1&lt;/R&gt;&lt;C&gt;1&lt;/C&gt;&lt;D xsi:type="xsd:double"&gt;2.323578&lt;/D&gt;&lt;/FQL&gt;&lt;FQL&gt;&lt;Q&gt;FIX-US^P_BETA_LOCIDX(45565,45391,,"SPX")&lt;/Q&gt;&lt;R&gt;1&lt;/R&gt;&lt;C&gt;1&lt;/C&gt;&lt;D xsi:type="xsd:double"&gt;2.3424432&lt;/D&gt;&lt;/FQL&gt;&lt;FQL&gt;&lt;Q&gt;FIX-US^P_BETA_LOCIDX(45562,45390,,"SPX")&lt;/Q&gt;&lt;R&gt;1&lt;/R&gt;&lt;C&gt;1&lt;/C&gt;&lt;D xsi:type="xsd:double"&gt;2.3464634&lt;/D&gt;&lt;/FQL&gt;&lt;FQL&gt;&lt;Q&gt;FIX-US^P_BETA_LOCIDX(45561,45387,,"SPX")&lt;/Q&gt;&lt;R&gt;1&lt;/R&gt;&lt;C&gt;1&lt;/C&gt;&lt;D xsi:type="xsd:double"&gt;2.3530638&lt;/D&gt;&lt;/FQL&gt;&lt;FQL&gt;&lt;Q&gt;FIX-US^P_BETA_LOCIDX(45560,45386,,"SPX")&lt;/Q&gt;&lt;R&gt;1&lt;/R&gt;&lt;C&gt;1&lt;/C&gt;&lt;D xsi:type="xsd:double"&gt;2.3474097&lt;/D&gt;&lt;/FQL&gt;&lt;FQL&gt;&lt;Q&gt;FIX-US^P_BETA_LOCIDX(45559,45385,,"SPX")&lt;/Q&gt;&lt;R&gt;1&lt;/R&gt;&lt;C&gt;1&lt;/C&gt;&lt;D xsi:type="xsd:double"&gt;2.352624&lt;/D&gt;&lt;/FQL&gt;&lt;FQL&gt;&lt;Q&gt;FIX-US^P_BETA_LOCIDX(45558,45384,,"SPX")&lt;/Q&gt;&lt;R&gt;1&lt;/R&gt;&lt;C&gt;1&lt;/C&gt;&lt;D xsi:type="xsd:double"&gt;2.3538065&lt;/D&gt;&lt;/FQL&gt;&lt;FQL&gt;&lt;Q&gt;FIX-US^P_BETA_LOCIDX(45555,45383,,"SPX")&lt;/Q&gt;&lt;R&gt;1&lt;/R&gt;&lt;C&gt;1&lt;/C&gt;&lt;D xsi:type="xsd:double"&gt;2.350985&lt;/D&gt;&lt;/FQL&gt;&lt;FQL&gt;&lt;Q&gt;FIX-US^P_BETA_LOCIDX(45554,45379,,"SPX")&lt;/Q&gt;&lt;R&gt;1&lt;/R&gt;&lt;C&gt;1&lt;/C&gt;&lt;D xsi:type="xsd:double"&gt;2.3558831&lt;/D&gt;&lt;/FQL&gt;&lt;FQL&gt;&lt;Q&gt;FIX-US^P_BETA_LOCIDX(45553,45378,,"SPX")&lt;/Q&gt;&lt;R&gt;1&lt;/R&gt;&lt;C&gt;1&lt;/C&gt;&lt;D xsi:type="xsd:double"&gt;2.287791&lt;/D&gt;&lt;/FQL&gt;&lt;FQL&gt;&lt;Q&gt;FIX-US^P_BETA_LOCIDX(45552,45377,,"SPX")&lt;/Q&gt;&lt;R&gt;1&lt;/R&gt;&lt;C&gt;1&lt;/C&gt;&lt;D xsi:type="xsd:double"&gt;2.288337&lt;/D&gt;&lt;/FQL&gt;&lt;FQL&gt;&lt;Q&gt;FIX-US^P_BETA_LOCIDX(45551,45376,,"SPX")&lt;/Q&gt;&lt;R&gt;1&lt;/R&gt;&lt;C&gt;1&lt;/C&gt;&lt;D xsi:type="xsd:double"&gt;2.2896342&lt;/D&gt;&lt;/FQL&gt;&lt;FQL&gt;&lt;Q&gt;FIX-US^P_BETA_LOCIDX(45548,45373,,"SPX")&lt;/Q&gt;&lt;R&gt;1&lt;/R&gt;&lt;C&gt;1&lt;/C&gt;&lt;D xsi:type="xsd:double"&gt;2.2897341&lt;/D&gt;&lt;/FQL&gt;&lt;FQL&gt;&lt;Q&gt;FIX-US^P_BETA_LOCIDX(45547,45372,,"SPX")&lt;/Q&gt;&lt;R&gt;1&lt;/R&gt;&lt;C&gt;1&lt;/C&gt;&lt;D xsi:type="xsd:double"&gt;2.2887151&lt;/D&gt;&lt;/FQL&gt;&lt;FQL&gt;&lt;Q&gt;FIX-US^P_BETA_LOCIDX(45546,45371,,"SPX")&lt;/Q&gt;&lt;R&gt;1&lt;/R&gt;&lt;C&gt;1&lt;/C&gt;&lt;D xsi:type="xsd:double"&gt;2.2826834&lt;/D&gt;&lt;/FQL&gt;&lt;FQL&gt;&lt;Q&gt;FIX-US^P_BETA_LOCIDX(45545,45370,,"SPX")&lt;/Q&gt;&lt;R&gt;1&lt;/R&gt;&lt;C&gt;1&lt;/C&gt;&lt;D xsi:type="xsd:double"&gt;2.2439847&lt;/D&gt;&lt;/FQL&gt;&lt;FQL&gt;&lt;Q&gt;FIX-US^P_BETA_LOCIDX(45544,45369,,"SPX")&lt;/Q&gt;&lt;R&gt;1&lt;/R&gt;&lt;C&gt;1&lt;/C&gt;&lt;D xsi:type="xsd:double"&gt;2.229869&lt;/D&gt;&lt;/FQL&gt;&lt;FQL&gt;&lt;Q&gt;FIX-US^P_BETA_LOCIDX(45541,45366,,"SPX")&lt;/Q&gt;&lt;R&gt;1&lt;/R&gt;&lt;C&gt;1&lt;/C&gt;&lt;D xsi:type="xsd:double"&gt;2.2056553&lt;/D&gt;&lt;/FQL&gt;&lt;FQL&gt;&lt;Q&gt;FIX-US^P_BETA_LOCIDX(45540,45365,,"SPX")&lt;/Q&gt;&lt;R&gt;1&lt;/R&gt;&lt;C&gt;1&lt;/C&gt;&lt;D xsi:type="xsd:double"&gt;2.24934&lt;/D&gt;&lt;/FQL&gt;&lt;FQL&gt;&lt;Q&gt;FIX-US^P_BETA_LOCIDX(45539,45364,,"SPX")&lt;/Q&gt;&lt;R&gt;1&lt;/R&gt;&lt;C&gt;1&lt;/C&gt;&lt;D xsi:type="xsd:double"&gt;2.2438142&lt;/D&gt;&lt;/FQL&gt;&lt;FQL&gt;&lt;Q&gt;FIX-US^P_BETA_LOCIDX(45538,45363,,"SPX")&lt;/Q&gt;&lt;R&gt;1&lt;/R&gt;&lt;C&gt;1&lt;/C&gt;&lt;D xsi:type="xsd:double"&gt;2.2356417&lt;/D&gt;&lt;/FQL&gt;&lt;FQL&gt;&lt;Q&gt;FIX-US^P_BETA_LOCIDX(45534,45362,,"SPX")&lt;/Q&gt;&lt;R&gt;1&lt;/R&gt;&lt;C&gt;1&lt;/C&gt;&lt;D xsi:type="xsd:double"&gt;2.0764978&lt;/D&gt;&lt;/FQL&gt;&lt;FQL&gt;&lt;Q&gt;FIX-US^P_BETA_LOCIDX(45533,45359,,"SPX")&lt;/Q&gt;&lt;R&gt;1&lt;/R&gt;&lt;C&gt;1&lt;/C&gt;&lt;D xsi:type="xsd:double"&gt;2.0796168&lt;/D&gt;&lt;/FQL&gt;&lt;FQL&gt;&lt;Q&gt;FIX-US^P_BETA_LOCIDX(45532,45358,,"SPX")&lt;/Q&gt;&lt;R&gt;1&lt;/R&gt;&lt;C&gt;1&lt;/C&gt;&lt;D xsi:type="xsd:double"&gt;2.0599496&lt;/D&gt;&lt;/FQL&gt;&lt;FQL&gt;&lt;Q&gt;FIX-US^P_BETA_LOCIDX(45531,45357,,"SPX")&lt;/Q&gt;&lt;R&gt;1&lt;/R&gt;&lt;C&gt;1&lt;/C&gt;&lt;D xsi:type="xsd:double"&gt;2.0724688&lt;/D&gt;&lt;/FQL&gt;&lt;FQL&gt;&lt;Q&gt;FIX-US^P_BETA_LOCIDX(45530,45356,,"SPX")&lt;/Q&gt;&lt;R&gt;1&lt;/R&gt;&lt;C&gt;1&lt;/C&gt;&lt;D xsi:type="xsd:double"&gt;2.0658343&lt;/D&gt;&lt;/FQL&gt;&lt;FQL&gt;&lt;Q&gt;FIX-US^P_BETA_LOCIDX(45527,45355,,"SPX")&lt;/Q&gt;&lt;R&gt;1&lt;/R&gt;&lt;C&gt;1&lt;/C&gt;&lt;D xsi:type="xsd:double"&gt;2.0626798&lt;/D&gt;&lt;/FQL&gt;&lt;FQL&gt;&lt;Q&gt;FIX-US^P_BETA_LOCIDX(45526,45352,,"SPX")&lt;/Q&gt;&lt;R&gt;1&lt;/R&gt;&lt;C&gt;1&lt;/C&gt;&lt;D xsi:type="xsd:double"&gt;2.098473&lt;/D&gt;&lt;/FQL&gt;&lt;FQL&gt;&lt;Q&gt;FIX-US^P_BETA_LOCIDX(45525,45351,,"SPX")&lt;/Q&gt;&lt;R&gt;1&lt;/R&gt;&lt;C&gt;1&lt;/C&gt;&lt;D xsi:type="xsd:double"&gt;2.1129615&lt;/D&gt;&lt;/FQL&gt;&lt;FQL&gt;&lt;Q&gt;FIX-US^P_BETA_LOCIDX(45524,45350,,"SPX")&lt;/Q&gt;&lt;R&gt;1&lt;/R&gt;&lt;C&gt;1&lt;/C&gt;&lt;D xsi:type="xsd:double"&gt;2.0955632&lt;/D&gt;&lt;/FQL&gt;&lt;FQL&gt;&lt;Q&gt;FIX-US^P_BETA_LOCIDX(45523,45349,,"SPX")&lt;/Q&gt;&lt;R&gt;1&lt;/R&gt;&lt;C&gt;1&lt;/C&gt;&lt;D xsi:type="xsd:double"&gt;2.0969117&lt;/D&gt;&lt;/FQL&gt;&lt;FQL&gt;&lt;Q&gt;FIX-US^P_BETA_LOCIDX(45520,45348,,"SPX")&lt;/Q&gt;&lt;R&gt;1&lt;/R&gt;&lt;C&gt;1&lt;/C&gt;&lt;D xsi:type="xsd:double"&gt;2.0961611&lt;/D&gt;&lt;/FQL&gt;&lt;FQL&gt;&lt;Q&gt;FIX-US^P_BETA_LOCIDX(45519,45345,,"SPX")&lt;/Q&gt;&lt;R&gt;1&lt;/R&gt;&lt;C&gt;1&lt;/C&gt;&lt;D xsi:type="xsd:double"&gt;2.0938094&lt;/D&gt;&lt;/FQL&gt;&lt;FQL&gt;&lt;Q&gt;FIX-US^P_BETA_LOCIDX(45518,45344,,"SPX")&lt;/Q&gt;&lt;R&gt;1&lt;/R&gt;&lt;C&gt;1&lt;/C&gt;&lt;D xsi:type="xsd:double"&gt;2.063276&lt;/D&gt;&lt;/FQL&gt;&lt;FQL&gt;&lt;Q&gt;FIX-US^P_BETA_LOCIDX(45517,45343,,"SPX")&lt;/Q&gt;&lt;R&gt;1&lt;/R&gt;&lt;C&gt;1&lt;/C&gt;&lt;D xsi:type="xsd:double"&gt;2.0548563&lt;/D&gt;&lt;/FQL&gt;&lt;FQL&gt;&lt;Q&gt;FIX-US^P_BETA_LOCIDX(45516,45342,,"SPX")&lt;/Q&gt;&lt;R&gt;1&lt;/R&gt;&lt;C&gt;1&lt;/C&gt;&lt;D xsi:type="xsd:double"&gt;2.072049&lt;/D&gt;&lt;/FQL&gt;&lt;FQL&gt;&lt;Q&gt;FIX-US^P_BETA_LOCIDX(45513,45338,,"SPX")&lt;/Q&gt;&lt;R&gt;1&lt;/R&gt;&lt;C&gt;1&lt;/C&gt;&lt;D xsi:type="xsd:double"&gt;2.077379&lt;/D&gt;&lt;/FQL&gt;&lt;FQL&gt;&lt;Q&gt;FIX-US^P_BETA_LOCIDX(45512,45337,,"SPX")&lt;/Q&gt;&lt;R&gt;1&lt;/R&gt;&lt;C&gt;1&lt;/C&gt;&lt;D xsi:type="xsd:double"&gt;2.092259&lt;/D&gt;&lt;/FQL&gt;&lt;FQL&gt;&lt;Q&gt;FIX-US^P_BETA_LOCIDX(45511,45336,,"SPX")&lt;/Q&gt;&lt;R&gt;1&lt;/R&gt;&lt;C&gt;1&lt;/C&gt;&lt;D xsi:type="xsd:double"&gt;2.1120393&lt;/D&gt;&lt;/FQL&gt;&lt;FQL&gt;&lt;Q&gt;FIX-US^P_BETA_LOCIDX(45510,45335,,"SPX")&lt;/Q&gt;&lt;R&gt;1&lt;/R&gt;&lt;C&gt;1&lt;/C&gt;&lt;D xsi:type="xsd:double"&gt;2.0920258&lt;/D&gt;&lt;/FQL&gt;&lt;FQL&gt;&lt;Q&gt;FIX-US^P_BETA_LOCIDX(45509,45334,,"SPX")&lt;/Q&gt;&lt;R&gt;1&lt;/R&gt;&lt;C&gt;1&lt;/C&gt;&lt;D xsi:type="xsd:double"&gt;2.0821738&lt;/D&gt;&lt;/FQL&gt;&lt;FQL&gt;&lt;Q&gt;FIX-US^P_BETA_LOCIDX(45506,45331,,"SPX")&lt;/Q&gt;&lt;R&gt;1&lt;/R&gt;&lt;C&gt;1&lt;/C&gt;&lt;D xsi:type="xsd:double"&gt;2.281834&lt;/D&gt;&lt;/FQL&gt;&lt;FQL&gt;&lt;Q&gt;FIX-US^P_BETA_LOCIDX(45505,45330,,"SPX")&lt;/Q&gt;&lt;R&gt;1&lt;/R&gt;&lt;C&gt;1&lt;/C&gt;&lt;D xsi:type="xsd:double"&gt;2.2143776&lt;/D&gt;&lt;/FQL&gt;&lt;FQL&gt;&lt;Q&gt;FIX-US^P_BETA_LOCIDX(45504,45329,,"SPX")&lt;/Q&gt;&lt;R&gt;1&lt;/R&gt;&lt;C&gt;1&lt;/C&gt;&lt;D xsi:type="xsd:double"&gt;2.2461371&lt;/D&gt;&lt;/FQL&gt;&lt;FQL&gt;&lt;Q&gt;FIX-US^P_BETA_LOCIDX(45503,45328,,"SPX")&lt;/Q&gt;&lt;R&gt;1&lt;/R&gt;&lt;C&gt;1&lt;/C&gt;&lt;D xsi:type="xsd:double"&gt;2.1195943&lt;/D&gt;&lt;/FQL&gt;&lt;FQL&gt;&lt;Q&gt;FIX-US^P_BETA_LOCIDX(45502,45327,,"SPX")&lt;/Q&gt;&lt;R&gt;1&lt;/R&gt;&lt;C&gt;1&lt;/C&gt;&lt;D xsi:type="xsd:double"&gt;2.1202044&lt;/D&gt;&lt;/FQL&gt;&lt;FQL&gt;&lt;Q&gt;FIX-US^P_BETA_LOCIDX(45499,45324,,"SPX")&lt;/Q&gt;&lt;R&gt;1&lt;/R&gt;&lt;C&gt;1&lt;/C&gt;&lt;D xsi:type="xsd:double"&gt;2.1270607&lt;/D&gt;&lt;/FQL&gt;&lt;FQL&gt;&lt;Q&gt;FIX-US^P_BETA_LOCIDX(45498,45323,,"SPX")&lt;/Q&gt;&lt;R&gt;1&lt;/R&gt;&lt;C&gt;1&lt;/C&gt;&lt;D xsi:type="xsd:double"&gt;2.0802808&lt;/D&gt;&lt;/FQL&gt;&lt;FQL&gt;&lt;Q&gt;FIX-US^P_BETA_LOCIDX(45497,45322,,"SPX")&lt;/Q&gt;&lt;R&gt;1&lt;/R&gt;&lt;C&gt;1&lt;/C&gt;&lt;D xsi:type="xsd:double"&gt;2.034373&lt;/D&gt;&lt;/FQL&gt;&lt;FQL&gt;&lt;Q&gt;FIX-US^P_BETA_LOCIDX(45496,45321,,"SPX")&lt;/Q&gt;&lt;R&gt;1&lt;/R&gt;&lt;C&gt;1&lt;/C&gt;&lt;D xsi:type="xsd:double"&gt;1.8399822&lt;/D&gt;&lt;/FQL&gt;&lt;FQL&gt;&lt;Q&gt;FIX-US^P_BETA_LOCIDX(45495,45320,,"SPX")&lt;/Q&gt;&lt;R&gt;1&lt;/R&gt;&lt;C&gt;1&lt;/C&gt;&lt;D xsi:type="xsd:double"&gt;1.8693906&lt;/D&gt;&lt;/FQL&gt;&lt;FQL&gt;&lt;Q&gt;FIX-US^P_BETA_LOCIDX(45492,45317,,"SPX")&lt;/Q&gt;&lt;R&gt;1&lt;/R&gt;&lt;C&gt;1&lt;/C&gt;&lt;D xsi:type="xsd:double"&gt;1.8280096&lt;/D&gt;&lt;/FQL&gt;&lt;FQL&gt;&lt;Q&gt;FIX-US^P_BETA_LOCIDX(45491,45316,,"SPX")&lt;/Q&gt;&lt;R&gt;1&lt;/R&gt;&lt;C&gt;1&lt;/C&gt;&lt;D xsi:type="xsd:double"&gt;1.8691274&lt;/D&gt;&lt;/FQL&gt;&lt;FQL&gt;&lt;Q&gt;FIX-US^P_BETA_LOCIDX(45490,45315,,"SPX")&lt;/Q&gt;&lt;R&gt;1&lt;/R&gt;&lt;C&gt;1&lt;/C&gt;&lt;D xsi:type="xsd:double"&gt;1.8833001&lt;/D&gt;&lt;/FQL&gt;&lt;FQL&gt;&lt;Q&gt;FIX-US^P_BETA_LOCIDX(45489,45314,,"SPX")&lt;/Q&gt;&lt;R&gt;1&lt;/R&gt;&lt;C&gt;1&lt;/C&gt;&lt;D xsi:type="xsd:double"&gt;1.7079364&lt;/D&gt;&lt;/FQL&gt;&lt;FQL&gt;&lt;Q&gt;FIX-US^P_BETA_LOCIDX(45488,45313,,"SPX")&lt;/Q&gt;&lt;R&gt;1&lt;/R&gt;&lt;C&gt;1&lt;/C&gt;&lt;D xsi:type="xsd:double"&gt;1.7015103&lt;/D&gt;&lt;/FQL&gt;&lt;FQL&gt;&lt;Q&gt;FIX-US^P_BETA_LOCIDX(45485,45310,,"SPX")&lt;/Q&gt;&lt;R&gt;1&lt;/R&gt;&lt;C&gt;1&lt;/C&gt;&lt;D xsi:type="xsd:double"&gt;1.6572119&lt;/D&gt;&lt;/FQL&gt;&lt;FQL&gt;&lt;Q&gt;FIX-US^P_BETA_LOCIDX(45484,45309,,"SPX")&lt;/Q&gt;&lt;R&gt;1&lt;/R&gt;&lt;C&gt;1&lt;/C&gt;&lt;D xsi:type="xsd:double"&gt;1.6508828&lt;/D&gt;&lt;/FQL&gt;&lt;FQL&gt;&lt;Q&gt;FIX-US^P_BETA_LOCIDX(45483,45308,,"SPX")&lt;/Q&gt;&lt;R&gt;1&lt;/R&gt;&lt;C&gt;1&lt;/C&gt;&lt;D xsi:type="xsd:double"&gt;1.7214322&lt;/D&gt;&lt;/FQL&gt;&lt;FQL&gt;&lt;Q&gt;FIX-US^P_BETA_LOCIDX(45482,45307,,"SPX")&lt;/Q&gt;&lt;R&gt;1&lt;/R&gt;&lt;C&gt;1&lt;/C&gt;&lt;D xsi:type="xsd:double"&gt;1.706512&lt;/D&gt;&lt;/FQL&gt;&lt;FQL&gt;&lt;Q&gt;FIX-US^P_BETA_LOCIDX(45481,45303,,"SPX")&lt;/Q&gt;&lt;R&gt;1&lt;/R&gt;&lt;C&gt;1&lt;/C&gt;&lt;D xsi:type="xsd:double"&gt;1.7073741&lt;/D&gt;&lt;/FQL&gt;&lt;FQL&gt;&lt;Q&gt;FIX-US^P_BETA_LOCIDX(45478,45302,,"SPX")&lt;/Q&gt;&lt;R&gt;1&lt;/R&gt;&lt;C&gt;1&lt;/C&gt;&lt;D xsi:type="xsd:double"&gt;1.7024778&lt;/D&gt;&lt;/FQL&gt;&lt;FQL&gt;&lt;Q&gt;FIX-US^P_BETA_LOCIDX(45476,45301,,"SPX")&lt;/Q&gt;&lt;R&gt;1&lt;/R&gt;&lt;C&gt;1&lt;/C&gt;&lt;D xsi:type="xsd:double"&gt;1.7430232&lt;/D&gt;&lt;/FQL&gt;&lt;FQL&gt;&lt;Q&gt;FIX-US^P_BETA_LOCIDX(45475,45300,,"SPX")&lt;/Q&gt;&lt;R&gt;1&lt;/R&gt;&lt;C&gt;1&lt;/C&gt;&lt;D xsi:type="xsd:double"&gt;1.7059603&lt;/D&gt;&lt;/FQL&gt;&lt;FQL&gt;&lt;Q&gt;FIX-US^P_BETA_LOCIDX(45474,45299,,"SPX")&lt;/Q&gt;&lt;R&gt;1&lt;/R&gt;&lt;C&gt;1&lt;/C&gt;&lt;D xsi:type="xsd:double"&gt;1.6961876&lt;/D&gt;&lt;/FQL&gt;&lt;FQL&gt;&lt;Q&gt;FIX-US^P_BETA_LOCIDX(45471,45296,,"SPX")&lt;/Q&gt;&lt;R&gt;1&lt;/R&gt;&lt;C&gt;1&lt;/C&gt;&lt;D xsi:type="xsd:double"&gt;1.7044389&lt;/D&gt;&lt;/FQL&gt;&lt;FQL&gt;&lt;Q&gt;FIX-US^P_BETA_LOCIDX(45470,45295,,"SPX")&lt;/Q&gt;&lt;R&gt;1&lt;/R&gt;&lt;C&gt;1&lt;/C&gt;&lt;D xsi:type="xsd:double"&gt;1.6633211&lt;/D&gt;&lt;/FQL&gt;&lt;FQL&gt;&lt;Q&gt;FIX-US^P_BETA_LOCIDX(45469,45294,,"SPX")&lt;/Q&gt;&lt;R&gt;1&lt;/R&gt;&lt;C&gt;1&lt;/C&gt;&lt;D xsi:type="xsd:double"&gt;1.6953987&lt;/D&gt;&lt;/FQL&gt;&lt;FQL&gt;&lt;Q&gt;FIX-US^P_BETA_LOCIDX(45468,45293,,"SPX")&lt;/Q&gt;&lt;R&gt;1&lt;/R&gt;&lt;C&gt;1&lt;/C&gt;&lt;D xsi:type="xsd:double"&gt;1.7094363&lt;/D&gt;&lt;/FQL&gt;&lt;FQL&gt;&lt;Q&gt;FIX-US^P_BETA_LOCIDX(45467,45289,,"SPX")&lt;/Q&gt;&lt;R&gt;1&lt;/R&gt;&lt;C&gt;1&lt;/C&gt;&lt;D xsi:type="xsd:double"&gt;1.7098371&lt;/D&gt;&lt;/FQL&gt;&lt;FQL&gt;&lt;Q&gt;FIX-US^P_BETA_LOCIDX(45464,45288,,"SPX")&lt;/Q&gt;&lt;R&gt;1&lt;/R&gt;&lt;C&gt;1&lt;/C&gt;&lt;D xsi:type="xsd:double"&gt;1.7174916&lt;/D&gt;&lt;/FQL&gt;&lt;FQL&gt;&lt;Q&gt;FIX-US^P_BETA_LOCIDX(45463,45287,,"SPX")&lt;/Q&gt;&lt;R&gt;1&lt;/R&gt;&lt;C&gt;1&lt;/C&gt;&lt;D xsi:type="xsd:double"&gt;1.7080034&lt;/D&gt;&lt;/FQL&gt;&lt;FQL&gt;&lt;Q&gt;FIX-US^P_BETA_LOCIDX(45461,45286,,"SPX")&lt;/Q&gt;&lt;R&gt;1&lt;/R&gt;&lt;C&gt;1&lt;/C&gt;&lt;D xsi:type="xsd:double"&gt;1.6986314&lt;/D&gt;&lt;/FQL&gt;&lt;FQL&gt;&lt;Q&gt;FIX-US^P_BETA_LOCIDX(45460,45282,,"SPX")&lt;/Q&gt;&lt;R&gt;1&lt;/R&gt;&lt;C&gt;1&lt;/C&gt;&lt;D xsi:type="xsd:double"&gt;1.6962826&lt;/D&gt;&lt;/FQL&gt;&lt;FQL&gt;&lt;Q&gt;FIX-US^P_BETA_LOCIDX(45457,45281,,"SPX")&lt;/Q&gt;&lt;R&gt;1&lt;/R&gt;&lt;C&gt;1&lt;/C&gt;&lt;D xsi:type="xsd:double"&gt;1.6483232&lt;/D&gt;&lt;/FQL&gt;&lt;FQL&gt;&lt;Q&gt;FIX-US^P_BETA_LOCIDX(45456,45280,,"SPX")&lt;/Q&gt;&lt;R&gt;1&lt;/R&gt;&lt;C&gt;1&lt;/C&gt;&lt;D xsi:type="xsd:double"&gt;1.5807309&lt;/D&gt;&lt;/FQL&gt;&lt;FQL&gt;&lt;Q&gt;FIX-US^P_BETA_LOCIDX(45455,45279,,"SPX")&lt;/Q&gt;&lt;R&gt;1&lt;/R&gt;&lt;C&gt;1&lt;/C&gt;&lt;D xsi:type="xsd:double"&gt;1.5851909&lt;/D&gt;&lt;/FQL&gt;&lt;FQL&gt;&lt;Q&gt;FIX-US^P_BETA_LOCIDX(45454,45278,,"SPX")&lt;/Q&gt;&lt;R&gt;1&lt;/R&gt;&lt;C&gt;1&lt;/C&gt;&lt;D xsi:type="xsd:double"&gt;1.5241412&lt;/D&gt;&lt;/FQL&gt;&lt;FQL&gt;&lt;Q&gt;FIX-US^P_BETA_LOCIDX(45453,45275,,"SPX")&lt;/Q&gt;&lt;R&gt;1&lt;/R&gt;&lt;C&gt;1&lt;/C&gt;&lt;D xsi:type="xsd:double"&gt;1.5338346&lt;/D&gt;&lt;/FQL&gt;&lt;FQL&gt;&lt;Q&gt;FIX-US^P_BETA_LOCIDX(45450,45274,,"SPX")&lt;/Q&gt;&lt;R&gt;1&lt;/R&gt;&lt;C&gt;1&lt;/C&gt;&lt;D xsi:type="xsd:double"&gt;1.5374341&lt;/D&gt;&lt;/FQL&gt;&lt;FQL&gt;&lt;Q&gt;FIX-US^P_BETA_LOCIDX(45449,45273,,"SPX")&lt;/Q&gt;&lt;R&gt;1&lt;/R&gt;&lt;C&gt;1&lt;/C&gt;&lt;D xsi:type="xsd:double"&gt;1.5201824&lt;/D&gt;&lt;/FQL&gt;&lt;FQL&gt;&lt;Q&gt;FIX-US^P_BETA_LOCIDX(45448,45272,,"SPX")&lt;/Q&gt;&lt;R&gt;1&lt;/R&gt;&lt;C&gt;1&lt;/C&gt;&lt;D xsi:type="xsd:double"&gt;1.5092909&lt;/D&gt;&lt;/FQL&gt;&lt;FQL&gt;&lt;Q&gt;FIX-US^P_BETA_LOCIDX(45447,45271,,"SPX")&lt;/Q&gt;&lt;R&gt;1&lt;/R&gt;&lt;C&gt;1&lt;/C&gt;&lt;D xsi:type="xsd:double"&gt;1.434685&lt;/D&gt;&lt;/FQL&gt;&lt;FQL&gt;&lt;Q&gt;FIX-US^P_BETA_LOCIDX(45446,45268,,"SPX")&lt;/Q&gt;&lt;R&gt;1&lt;/R&gt;&lt;C&gt;1&lt;/C&gt;&lt;D xsi:type="xsd:double"&gt;1.4469241&lt;/D&gt;&lt;/FQL&gt;&lt;FQL&gt;&lt;Q&gt;FIX-US^P_BETA_LOCIDX(45443,45267,,"SPX")&lt;/Q&gt;&lt;R&gt;1&lt;/R&gt;&lt;C&gt;1&lt;/C&gt;&lt;D xsi:type="xsd:double"&gt;1.4439757&lt;/D&gt;&lt;/FQL&gt;&lt;FQL&gt;&lt;Q&gt;FIX-US^P_BETA_LOCIDX(45442,45266,,"SPX")&lt;/Q&gt;&lt;R&gt;1&lt;/R&gt;&lt;C&gt;1&lt;/C&gt;&lt;D xsi:type="xsd:double"&gt;1.4961431&lt;/D&gt;&lt;/FQL&gt;&lt;FQL&gt;&lt;Q&gt;FIX-US^P_BETA_LOCIDX(45441,45265,,"SPX")&lt;/Q&gt;&lt;R&gt;1&lt;/R&gt;&lt;C&gt;1&lt;/C&gt;&lt;D xsi:type="xsd:double"&gt;1.4944674&lt;/D&gt;&lt;/FQL&gt;&lt;FQL&gt;&lt;Q&gt;FIX-US^P_BETA_LOCIDX(45440,45264,,"SPX")&lt;/Q&gt;&lt;R&gt;1&lt;/R&gt;&lt;C&gt;1&lt;/C&gt;&lt;D xsi:type="xsd:double"&gt;1.5405332&lt;/D&gt;&lt;/FQL&gt;&lt;FQL&gt;&lt;Q&gt;FIX-US^P_BETA_LOCIDX(45436,45261,,"SPX")&lt;/Q&gt;&lt;R&gt;1&lt;/R&gt;&lt;C&gt;1&lt;/C&gt;&lt;D xsi:type="xsd:double"&gt;1.5411184&lt;/D&gt;&lt;/FQL&gt;&lt;FQL&gt;&lt;Q&gt;FIX-US^P_BETA_LOCIDX(45435,45260,,"SPX")&lt;/Q&gt;&lt;R&gt;1&lt;/R&gt;&lt;C&gt;1&lt;/C&gt;&lt;D xsi:type="xsd:double"&gt;1.5211618&lt;/D&gt;&lt;/FQL&gt;&lt;FQL&gt;&lt;Q&gt;FIX-US^P_BETA_LOCIDX(45434,45259,,"SPX")&lt;/Q&gt;&lt;R&gt;1&lt;/R&gt;&lt;C&gt;1&lt;/C&gt;&lt;D xsi:type="xsd:double"&gt;1.538481&lt;/D&gt;&lt;/FQL&gt;&lt;FQL&gt;&lt;Q&gt;FIX-US^P_BETA_LOCIDX(45433,45258,,"SPX")&lt;/Q&gt;&lt;R&gt;1&lt;/R&gt;&lt;C&gt;1&lt;/C&gt;&lt;D xsi:type="xsd:double"&gt;1.5455258&lt;/D&gt;&lt;/FQL&gt;&lt;FQL&gt;&lt;Q&gt;FIX-US^P_BETA_LOCIDX(45432,45257,,"SPX")&lt;/Q&gt;&lt;R&gt;1&lt;/R&gt;&lt;C&gt;1&lt;/C&gt;&lt;D xsi:type="xsd:double"&gt;1.5429664&lt;/D&gt;&lt;/FQL&gt;&lt;FQL&gt;&lt;Q&gt;FIX-US^P_BETA_LOCIDX(45429,45254,,"SPX")&lt;/Q&gt;&lt;R&gt;1&lt;/R&gt;&lt;C&gt;1&lt;/C&gt;&lt;D xsi:type="xsd:double"&gt;1.5434831&lt;/D&gt;&lt;/FQL&gt;&lt;FQL&gt;&lt;Q&gt;FIX-US^P_BETA_LOCIDX(45428,45252,,"SPX")&lt;/Q&gt;&lt;R&gt;1&lt;/R&gt;&lt;C&gt;1&lt;/C&gt;&lt;D xsi:type="xsd:double"&gt;1.5510341&lt;/D&gt;&lt;/FQL&gt;&lt;FQL&gt;&lt;Q&gt;FIX-US^P_BETA_LOCIDX(45427,45251,,"SPX")&lt;/Q&gt;&lt;R&gt;1&lt;/R&gt;&lt;C&gt;1&lt;/C&gt;&lt;D xsi:type="xsd:double"&gt;1.5237756&lt;/D&gt;&lt;/FQL&gt;&lt;FQL&gt;&lt;Q&gt;FIX-US^P_BETA_LOCIDX(45426,45250,,"SPX")&lt;/Q&gt;&lt;R&gt;1&lt;/R&gt;&lt;C&gt;1&lt;/C&gt;&lt;D xsi:type="xsd:double"&gt;1.5134414&lt;/D&gt;&lt;/FQL&gt;&lt;FQL&gt;&lt;Q&gt;FIX-US^P_BETA_LOCIDX(45425,45247,,"SPX")&lt;/Q&gt;&lt;R&gt;1&lt;/R&gt;&lt;C&gt;1&lt;/C&gt;&lt;D xsi:type="xsd:double"&gt;1.5163872&lt;/D&gt;&lt;/FQL&gt;&lt;FQL&gt;&lt;Q&gt;FIX-US^P_BETA_LOCIDX(45422,45246,,"SPX")&lt;/Q&gt;&lt;R&gt;1&lt;/R&gt;&lt;C&gt;1&lt;/C&gt;&lt;D xsi:type="xsd:double"&gt;1.5066878&lt;/D&gt;&lt;/FQL&gt;&lt;FQL&gt;&lt;Q&gt;FIX-US^P_BETA_LOCIDX(45421,45245,,"SPX")&lt;/Q&gt;&lt;R&gt;1&lt;/R&gt;&lt;C&gt;1&lt;/C&gt;&lt;D xsi:type="xsd:double"&gt;1.5065446&lt;/D&gt;&lt;/FQL&gt;&lt;FQL&gt;&lt;Q&gt;FIX-US^P_BETA_LOCIDX(45420,45244,,"SPX")&lt;/Q&gt;&lt;R&gt;1&lt;/R&gt;&lt;C&gt;1&lt;/C&gt;&lt;D xsi:type="xsd:double"&gt;1.6119225&lt;/D&gt;&lt;/FQL&gt;&lt;FQL&gt;&lt;Q&gt;FIX-US^P_BETA_LOCIDX(45419,45243,,"SPX")&lt;/Q&gt;&lt;R&gt;1&lt;/R&gt;&lt;C&gt;1&lt;/C&gt;&lt;D xsi:type="xsd:double"&gt;1.6105778&lt;/D&gt;&lt;/FQL&gt;&lt;FQL&gt;&lt;Q&gt;FIX-US^P_BETA_LOCIDX(45418,45240,,"SPX")&lt;/Q&gt;&lt;R&gt;1&lt;/R&gt;&lt;C&gt;1&lt;/C&gt;&lt;D xsi:type="xsd:double"&gt;1.5762212&lt;/D&gt;&lt;/FQL&gt;&lt;FQL&gt;&lt;Q&gt;FIX-US^P_BETA_LOCIDX(45415,45239,,"SPX")&lt;/Q&gt;&lt;R&gt;1&lt;/R&gt;&lt;C&gt;1&lt;/C&gt;&lt;D xsi:type="xsd:double"&gt;1.4928367&lt;/D&gt;&lt;/FQL&gt;&lt;FQL&gt;&lt;Q&gt;FIX-US^P_BETA_LOCIDX(45414,45238,,"SPX")&lt;/Q&gt;&lt;R&gt;1&lt;/R&gt;&lt;C&gt;1&lt;/C&gt;&lt;D xsi:type="xsd:double"&gt;1.4888214&lt;/D&gt;&lt;/FQL&gt;&lt;FQL&gt;&lt;Q&gt;FIX-US^P_BETA_LOCIDX(45413,45237,,"SPX")&lt;/Q&gt;&lt;R&gt;1&lt;/R&gt;&lt;C&gt;1&lt;/C&gt;&lt;D xsi:type="xsd:double"&gt;1.4816755&lt;/D&gt;&lt;/FQL&gt;&lt;FQL&gt;&lt;Q&gt;FIX-US^P_BETA_LOCIDX(45412,45236,,"SPX")&lt;/Q&gt;&lt;R&gt;1&lt;/R&gt;&lt;C&gt;1&lt;/C&gt;&lt;D xsi:type="xsd:double"&gt;1.4641864&lt;/D&gt;&lt;/FQL&gt;&lt;FQL&gt;&lt;Q&gt;FIX-US^P_BETA_LOCIDX(45411,45233,,"SPX")&lt;/Q&gt;&lt;R&gt;1&lt;/R&gt;&lt;C&gt;1&lt;/C&gt;&lt;D xsi:type="xsd:double"&gt;1.4913747&lt;/D&gt;&lt;/FQL&gt;&lt;FQL&gt;&lt;Q&gt;FIX-US^P_BETA_LOCIDX(45408,45232,,"SPX")&lt;/Q&gt;&lt;R&gt;1&lt;/R&gt;&lt;C&gt;1&lt;/C&gt;&lt;D xsi:type="xsd:double"&gt;1.4414003&lt;/D&gt;&lt;/FQL&gt;&lt;FQL&gt;&lt;Q&gt;FIX-US^P_BETA_LOCIDX(45407,45231,,"SPX")&lt;/Q&gt;&lt;R&gt;1&lt;/R&gt;&lt;C&gt;1&lt;/C&gt;&lt;D xsi:type="xsd:double"&gt;1.5076741&lt;/D&gt;&lt;/FQL&gt;&lt;FQL&gt;&lt;Q&gt;FIX-US^P_BETA_LOCIDX(45406,45230,,"SPX")&lt;/Q&gt;&lt;R&gt;1&lt;/R&gt;&lt;C&gt;1&lt;/C&gt;&lt;D xsi:type="xsd:double"&gt;1.5222408&lt;/D&gt;&lt;/FQL&gt;&lt;FQL&gt;&lt;Q&gt;FIX-US^P_BETA_LOCIDX(45405,45229,,"SPX")&lt;/Q&gt;&lt;R&gt;1&lt;/R&gt;&lt;C&gt;1&lt;/C&gt;&lt;D xsi:type="xsd:double"&gt;1.5214292&lt;/D&gt;&lt;/FQL&gt;&lt;FQL&gt;&lt;Q&gt;FIX-US^P_BETA_LOCIDX(45404,45226,,"SPX")&lt;/Q&gt;&lt;R&gt;1&lt;/R&gt;&lt;C&gt;1&lt;/C&gt;&lt;D xsi:type="xsd:double"&gt;1.3212496&lt;/D&gt;&lt;/FQL&gt;&lt;FQL&gt;&lt;Q&gt;FIX-US^P_BETA_LOCIDX(45401,45225,,"SPX")&lt;/Q&gt;&lt;R&gt;1&lt;/R&gt;&lt;C&gt;1&lt;/C&gt;&lt;D xsi:type="xsd:double"&gt;1.2746152&lt;/D&gt;&lt;/FQL&gt;&lt;FQL&gt;&lt;Q&gt;FIX-US^P_BETA_LOCIDX(45400,45224,,"SPX")&lt;/Q&gt;&lt;R&gt;1&lt;/R&gt;&lt;C&gt;1&lt;/C&gt;&lt;D xsi:type="xsd:double"&gt;1.2856574&lt;/D&gt;&lt;/FQL&gt;&lt;FQL&gt;&lt;Q&gt;FIX-US^P_BETA_LOCIDX(45399,45223,,"SPX")&lt;/Q&gt;&lt;R&gt;1&lt;/R&gt;&lt;C&gt;1&lt;/C&gt;&lt;D xsi:type="xsd:double"&gt;1.269372&lt;/D&gt;&lt;/FQL&gt;&lt;FQL&gt;&lt;Q&gt;FIX-US^P_BETA_LOCIDX(45398,45222,,"SPX")&lt;/Q&gt;&lt;R&gt;1&lt;/R&gt;&lt;C&gt;1&lt;/C&gt;&lt;D xsi:type="xsd:double"&gt;1.2605933&lt;/D&gt;&lt;/FQL&gt;&lt;FQL&gt;&lt;Q&gt;FIX-US^P_BETA_LOCIDX(45397,45219,,"SPX")&lt;/Q&gt;&lt;R&gt;1&lt;/R&gt;&lt;C&gt;1&lt;/C&gt;&lt;D xsi:type="xsd:double"&gt;1.2403884&lt;/D&gt;&lt;/FQL&gt;&lt;FQL&gt;&lt;Q&gt;FIX-US^P_BETA_LOCIDX(45394,45218,,"SPX")&lt;/Q&gt;&lt;R&gt;1&lt;/R&gt;&lt;C&gt;1&lt;/C&gt;&lt;D xsi:type="xsd:double"&gt;1.2667435&lt;/D&gt;&lt;/FQL&gt;&lt;FQL&gt;&lt;Q&gt;FIX-US^P_BETA_LOCIDX(45393,45217,,"SPX")&lt;/Q&gt;&lt;R&gt;1&lt;/R&gt;&lt;C&gt;1&lt;/C&gt;&lt;D xsi:type="xsd:double"&gt;1.3326864&lt;/D&gt;&lt;/FQL&gt;&lt;FQL&gt;&lt;Q&gt;FIX-US^P_BETA_LOCIDX(45392,45216,,"SPX")&lt;/Q&gt;&lt;R&gt;1&lt;/R&gt;&lt;C&gt;1&lt;/C&gt;&lt;D xsi:type="xsd:double"&gt;1.3215437&lt;/D&gt;&lt;/FQL&gt;&lt;FQL&gt;&lt;Q&gt;FIX-US^P_BETA_LOCIDX(45391,45215,,"SPX")&lt;/Q&gt;&lt;R&gt;1&lt;/R&gt;&lt;C&gt;1&lt;/C&gt;&lt;D xsi:type="xsd:double"&gt;1.3103459&lt;/D&gt;&lt;/FQL&gt;&lt;FQL&gt;&lt;Q&gt;FIX-US^P_BETA_LOCIDX(45390,45212,,"SPX")&lt;/Q&gt;&lt;R&gt;1&lt;/R&gt;&lt;C&gt;1&lt;/C&gt;&lt;D xsi:type="xsd:double"&gt;1.3458956&lt;/D&gt;&lt;/FQL&gt;&lt;FQL&gt;&lt;Q&gt;FIX-US^P_BETA_LOCIDX(45387,45211,,"SPX")&lt;/Q&gt;&lt;R&gt;1&lt;/R&gt;&lt;C&gt;1&lt;/C&gt;&lt;D xsi:type="xsd:double"&gt;1.3659235&lt;/D&gt;&lt;/FQL&gt;&lt;FQL&gt;&lt;Q&gt;FIX-US^P_BETA_LOCIDX(45386,45210,,"SPX")&lt;/Q&gt;&lt;R&gt;1&lt;/R&gt;&lt;C&gt;1&lt;/C&gt;&lt;D xsi:type="xsd:double"&gt;1.3372314&lt;/D&gt;&lt;/FQL&gt;&lt;FQL&gt;&lt;Q&gt;FIX-US^P_BETA_LOCIDX(45385,45209,,"SPX")&lt;/Q&gt;&lt;R&gt;1&lt;/R&gt;&lt;C&gt;1&lt;/C&gt;&lt;D xsi:type="xsd:double"&gt;1.299798&lt;/D&gt;&lt;/FQL&gt;&lt;FQL&gt;&lt;Q&gt;FIX-US^P_BETA_LOCIDX(45384,45208,,"SPX")&lt;/Q&gt;&lt;R&gt;1&lt;/R&gt;&lt;C&gt;1&lt;/C&gt;&lt;D xsi:type="xsd:double"&gt;1.2979078&lt;/D&gt;&lt;/FQL&gt;&lt;FQL&gt;&lt;Q&gt;FIX-US^P_BETA_LOCIDX(45383,45205,,"SPX")&lt;/Q&gt;&lt;R&gt;1&lt;/R&gt;&lt;C&gt;1&lt;/C&gt;&lt;D xsi:type="xsd:double"&gt;1.2781287&lt;/D&gt;&lt;/FQL&gt;&lt;FQL&gt;&lt;Q&gt;FIX-US^P_BETA_LOCIDX(45379,45204,,"SPX")&lt;/Q&gt;&lt;R&gt;1&lt;/R&gt;&lt;C&gt;1&lt;/C&gt;&lt;D xsi:type="xsd:double"&gt;1.2830846&lt;/D&gt;&lt;/FQL&gt;&lt;FQL&gt;&lt;Q&gt;FIX-US^P_BETA_LOCIDX(45378,45203,,"SPX")&lt;/Q&gt;&lt;R&gt;1&lt;/R&gt;&lt;C&gt;1&lt;/C&gt;&lt;D xsi:type="xsd:double"&gt;1.2751082&lt;/D&gt;&lt;/FQL&gt;&lt;FQL&gt;&lt;Q&gt;FIX-US^P_BETA_LOCIDX(45377,45202,,"SPX")&lt;/Q&gt;&lt;R&gt;1&lt;/R&gt;&lt;C&gt;1&lt;/C&gt;&lt;D xsi:type="xsd:double"&gt;1.2697347&lt;/D&gt;&lt;/FQL&gt;&lt;FQL&gt;&lt;Q&gt;FIX-US^P_BETA_LOCIDX(45376,45201,,"SPX")&lt;/Q&gt;&lt;R&gt;1&lt;/R&gt;&lt;C&gt;1&lt;/C&gt;&lt;D xsi:type="xsd:double"&gt;1.2752299&lt;/D&gt;&lt;/FQL&gt;&lt;FQL&gt;&lt;Q&gt;FIX-US^P_BETA_LOCIDX(45373,45198,,"SPX")&lt;/Q&gt;&lt;R&gt;1&lt;/R&gt;&lt;C&gt;1&lt;/C&gt;&lt;D xsi:type="xsd:double"&gt;1.2928352&lt;/D&gt;&lt;/FQL&gt;&lt;FQL&gt;&lt;Q&gt;FIX-US^P_BETA_LOCIDX(45372,45197,,"SPX")&lt;/Q&gt;&lt;R&gt;1&lt;/R&gt;&lt;C&gt;1&lt;/C&gt;&lt;D xsi:type="xsd:double"&gt;1.2965475&lt;/D&gt;&lt;/FQL&gt;&lt;FQL&gt;&lt;Q&gt;FIX-US^P_BETA_LOCIDX(45371,45196,,"SPX")&lt;/Q&gt;&lt;R&gt;1&lt;/R&gt;&lt;C&gt;1&lt;/C&gt;&lt;D xsi:type="xsd:double"&gt;1.288035&lt;/D&gt;&lt;/FQL&gt;&lt;FQL&gt;&lt;Q&gt;FIX-US^P_BETA_LOCIDX(45370,45195,,"SPX")&lt;/Q&gt;&lt;R&gt;1&lt;/R&gt;&lt;C&gt;1&lt;/C&gt;&lt;D xsi:type="xsd:double"&gt;1.2863058&lt;/D&gt;&lt;/FQL&gt;&lt;FQL&gt;&lt;Q&gt;FIX-US^P_BETA_LOCIDX(45369,45194,,"SPX")&lt;/Q&gt;&lt;R&gt;1&lt;/R&gt;&lt;C&gt;1&lt;/C&gt;&lt;D xsi:type="xsd:double"&gt;1.2911674&lt;/D&gt;&lt;/FQL&gt;&lt;FQL&gt;&lt;Q&gt;FIX-US^P_BETA_LOCIDX(45366,45191,,"SPX")&lt;/Q&gt;&lt;R&gt;1&lt;/R&gt;&lt;C&gt;1&lt;/C&gt;&lt;D xsi:type="xsd:double"&gt;1.2980192&lt;/D&gt;&lt;/FQL&gt;&lt;FQL&gt;&lt;Q&gt;FIX-US^P_BETA_LOCIDX(45365,45190,,"SPX")&lt;/Q&gt;&lt;R&gt;1&lt;/R&gt;&lt;C&gt;1&lt;/C&gt;&lt;D xsi:type="xsd:double"&gt;1.4094154&lt;/D&gt;&lt;/FQL&gt;&lt;FQL&gt;&lt;Q&gt;FIX-US^P_BETA_LOCIDX(45364,45189,,"SPX")&lt;/Q&gt;&lt;R&gt;1&lt;/R&gt;&lt;C&gt;1&lt;/C&gt;&lt;D xsi:type="xsd:double"&gt;1.4219754&lt;/D&gt;&lt;/FQL&gt;&lt;FQL&gt;&lt;Q&gt;FIX-US^P_BETA_LOCIDX(45363,45188,,"SPX")&lt;/Q&gt;&lt;R&gt;1&lt;/R&gt;&lt;C&gt;1&lt;/C&gt;&lt;D xsi:type="xsd:double"&gt;1.4232829&lt;/D&gt;&lt;/FQL&gt;&lt;FQL&gt;&lt;Q&gt;FIX-US^P_BETA_LOCIDX(45362,45187,,"SPX")&lt;/Q&gt;&lt;R&gt;1&lt;/R&gt;&lt;C&gt;1&lt;/C&gt;&lt;D xsi:type="xsd:double"&gt;1.4261286&lt;/D&gt;&lt;/FQL&gt;&lt;FQL&gt;&lt;Q&gt;FIX-US^P_BETA_LOCIDX(45359,45184,,"SPX")&lt;/Q&gt;&lt;R&gt;1&lt;/R&gt;&lt;C&gt;1&lt;/C&gt;&lt;D xsi:type="xsd:double"&gt;1.3940483&lt;/D&gt;&lt;/FQL&gt;&lt;FQL&gt;&lt;Q&gt;FIX-US^P_BETA_LOCIDX(45358,45183,,"SPX")&lt;/Q&gt;&lt;R&gt;1&lt;/R&gt;&lt;C&gt;1&lt;/C&gt;&lt;D xsi:type="xsd:double"&gt;1.3718439&lt;/D&gt;&lt;/FQL&gt;&lt;FQL&gt;&lt;Q&gt;FIX-US^P_BETA_LOCIDX(45357,45182,,"SPX")&lt;/Q&gt;&lt;R&gt;1&lt;/R&gt;&lt;C&gt;1&lt;/C&gt;&lt;D xsi:type="xsd:double"&gt;1.3911355&lt;/D&gt;&lt;/FQL&gt;&lt;FQL&gt;&lt;Q&gt;FIX-US^P_BETA_LOCIDX(45356,45181,,"SPX")&lt;/Q&gt;&lt;R&gt;1&lt;/R&gt;&lt;C&gt;1&lt;/C&gt;&lt;D xsi:type="xsd:double"&gt;1.3983406&lt;/D&gt;&lt;/FQL&gt;&lt;FQL&gt;&lt;Q&gt;FIX-US^P_BETA_LOCIDX(45355,45180,,"SPX")&lt;/Q&gt;&lt;R&gt;1&lt;/R&gt;&lt;C&gt;1&lt;/C&gt;&lt;D xsi:type="xsd:double"&gt;1.3849001&lt;/D&gt;&lt;/FQL&gt;&lt;FQL&gt;&lt;Q&gt;FIX-US^P_BETA_LOCIDX(45352,45177,,"SPX")&lt;/Q&gt;&lt;R&gt;1&lt;/R&gt;&lt;C&gt;1&lt;/C&gt;&lt;D xsi:type="xsd:double"&gt;1.3904427&lt;/D&gt;&lt;/FQL&gt;&lt;FQL&gt;&lt;Q&gt;FIX-US^P_BETA_LOCIDX(45351,45176,,"SPX")&lt;/Q&gt;&lt;R&gt;1&lt;/R&gt;&lt;C&gt;1&lt;/C&gt;&lt;D xsi:type="xsd:double"&gt;1.3742306&lt;/D&gt;&lt;/FQL&gt;&lt;FQL&gt;&lt;Q&gt;FIX-US^P_BETA_LOCIDX(45350,45175,,"SPX")&lt;/Q&gt;&lt;R&gt;1&lt;/R&gt;&lt;C&gt;1&lt;/C&gt;&lt;D xsi:type="xsd:double"&gt;1.3323513&lt;/D&gt;&lt;/FQL&gt;&lt;FQL&gt;&lt;Q&gt;FIX-US^P_BETA_LOCIDX(45349,45174,,"SPX")&lt;/Q&gt;&lt;R&gt;1&lt;/R&gt;&lt;C&gt;1&lt;/C&gt;&lt;D xsi:type="xsd:double"&gt;1.335894&lt;/D&gt;&lt;/FQL&gt;&lt;FQL&gt;&lt;Q&gt;FIX-US^P_BETA_LOCIDX(45348,45170,,"SPX")&lt;/Q&gt;&lt;R&gt;1&lt;/R&gt;&lt;C&gt;1&lt;/C&gt;&lt;D xsi:type="xsd:double"&gt;1.3343627&lt;/D&gt;&lt;/FQL&gt;&lt;FQL&gt;&lt;Q&gt;FIX-US^P_BETA_LOCIDX(45345,45169,,"SPX")&lt;/Q&gt;&lt;R&gt;1&lt;/R&gt;&lt;C&gt;1&lt;/C&gt;&lt;D xsi:type="xsd:double"&gt;1.3484812&lt;/D&gt;&lt;/FQL&gt;&lt;FQL&gt;&lt;Q&gt;FIX-US^P_BETA_LOCIDX(45344,45168,,"SPX")&lt;/Q&gt;&lt;R&gt;1&lt;/R&gt;&lt;C&gt;1&lt;/C&gt;&lt;D xsi:type="xsd:double"&gt;1.3568008&lt;/D&gt;&lt;/FQL&gt;&lt;FQL&gt;&lt;Q&gt;FIX-US^P_BETA_LOCIDX(45343,45167,,"SPX")&lt;/Q&gt;&lt;R&gt;1&lt;/R&gt;&lt;C&gt;1&lt;/C&gt;&lt;D xsi:type="xsd:double"&gt;1.3634713&lt;/D&gt;&lt;/FQL&gt;&lt;FQL&gt;&lt;Q&gt;FIX-US^P_BETA_LOCIDX(45342,45166,,"SPX")&lt;/Q&gt;&lt;R&gt;1&lt;/R&gt;&lt;C&gt;1&lt;/C&gt;&lt;D xsi:type="xsd:double"&gt;1.354234&lt;/D&gt;&lt;/FQL&gt;&lt;FQL&gt;&lt;Q&gt;FIX-US^P_BETA_LOCIDX(45338,45163,,"SPX")&lt;/Q&gt;&lt;R&gt;1&lt;/R&gt;&lt;C&gt;1&lt;/C&gt;&lt;D xsi:type="xsd:double"&gt;1.3570733&lt;/D&gt;&lt;/FQL&gt;&lt;FQL&gt;&lt;Q&gt;FIX-US^P_BETA_LOCIDX(45337,45162,,"SPX")&lt;/Q&gt;&lt;R&gt;1&lt;/R&gt;&lt;C&gt;1&lt;/C&gt;&lt;D xsi:type="xsd:double"&gt;1.3378011&lt;/D&gt;&lt;/FQL&gt;&lt;FQL&gt;&lt;Q&gt;FIX-US^P_BETA_LOCIDX(45336,45161,,"SPX")&lt;/Q&gt;&lt;R&gt;1&lt;/R&gt;&lt;C&gt;1&lt;/C&gt;&lt;D xsi:type="xsd:double"&gt;1.3314236&lt;/D&gt;&lt;/FQL&gt;&lt;FQL&gt;&lt;Q&gt;FIX-US^P_BETA_LOCIDX(45335,45160,,"SPX")&lt;/Q&gt;&lt;R&gt;1&lt;/R&gt;&lt;C&gt;1&lt;/C&gt;&lt;D xsi:type="xsd:double"&gt;1.2913194&lt;/D&gt;&lt;/FQL&gt;&lt;FQL&gt;&lt;Q&gt;FIX-US^P_BETA_LOCIDX(45334,45159,,"SPX")&lt;/Q&gt;&lt;R&gt;1&lt;/R&gt;&lt;C&gt;1&lt;/C&gt;&lt;D xsi:type="xsd:double"&gt;1.2657578&lt;/D&gt;&lt;/FQL&gt;&lt;FQL&gt;&lt;Q&gt;FIX-US^P_BETA_LOCIDX(45331,45156,,"SPX")&lt;/Q&gt;&lt;R&gt;1&lt;/R&gt;&lt;C&gt;1&lt;/C&gt;&lt;D xsi:type="xsd:double"&gt;1.2668072&lt;/D&gt;&lt;/FQL&gt;&lt;FQL&gt;&lt;Q&gt;FIX-US^P_BETA_LOCIDX(45330,45155,,"SPX")&lt;/Q&gt;&lt;R&gt;1&lt;/R&gt;&lt;C&gt;1&lt;/C&gt;&lt;D xsi:type="xsd:double"&gt;1.2909484&lt;/D&gt;&lt;/FQL&gt;&lt;FQL&gt;&lt;Q&gt;FIX-US^P_BETA_LOCIDX(45329,45154,,"SPX")&lt;/Q&gt;&lt;R&gt;1&lt;/R&gt;&lt;C&gt;1&lt;/C&gt;&lt;D xsi:type="xsd:double"&gt;1.2804055&lt;/D&gt;&lt;/FQL&gt;&lt;FQL&gt;&lt;Q&gt;FIX-US^P_BETA_LOCIDX(45328,45153,,"SPX")&lt;/Q&gt;&lt;R&gt;1&lt;/R&gt;&lt;C&gt;1&lt;/C&gt;&lt;D xsi:type="xsd:double"&gt;1.2321668&lt;/D&gt;&lt;/FQL&gt;&lt;FQL&gt;&lt;Q&gt;FIX-US^P_BETA_LOCIDX(45327,45152,,"SPX")&lt;/Q&gt;&lt;R&gt;1&lt;/R&gt;&lt;C&gt;1&lt;/C&gt;&lt;D xsi:type="xsd:double"&gt;1.2241874&lt;/D&gt;&lt;/FQL&gt;&lt;FQL&gt;&lt;Q&gt;FIX-US^P_BETA_LOCIDX(45324,45149,,"SPX")&lt;/Q&gt;&lt;R&gt;1&lt;/R&gt;&lt;C&gt;1&lt;/C&gt;&lt;D xsi:type="xsd:double"&gt;1.20551&lt;/D&gt;&lt;/FQL&gt;&lt;FQL&gt;&lt;Q&gt;FIX-US^P_BETA_LOCIDX(45323,45148,,"SPX")&lt;/Q&gt;&lt;R&gt;1&lt;/R&gt;&lt;C&gt;1&lt;/C&gt;&lt;D xsi:type="xsd:double"&gt;1.1861789&lt;/D&gt;&lt;/FQL&gt;&lt;FQL&gt;&lt;Q&gt;FIX-US^P_BETA_LOCIDX(45322,45147,,"SPX")&lt;/Q&gt;&lt;R&gt;1&lt;/R&gt;&lt;C&gt;1&lt;/C&gt;&lt;D xsi:type="xsd:double"&gt;1.1683812&lt;/D&gt;&lt;/FQL&gt;&lt;FQL&gt;&lt;Q&gt;FIX-US^P_BETA_LOCIDX(45321,45146,,"SPX")&lt;/Q&gt;&lt;R&gt;1&lt;/R&gt;&lt;C&gt;1&lt;/C&gt;&lt;D xsi:type="xsd:double"&gt;1.157117&lt;/D&gt;&lt;/FQL&gt;&lt;FQL&gt;&lt;Q&gt;FIX-US^P_BETA_LOCIDX(45320,45145,,"SPX")&lt;/Q&gt;&lt;R&gt;1&lt;/R&gt;&lt;C&gt;1&lt;/C&gt;&lt;D xsi:type="xsd:double"&gt;1.1775577&lt;/D&gt;&lt;/FQL&gt;&lt;FQL&gt;&lt;Q&gt;FIX-US^P_BETA_LOCIDX(45317,45142,,"SPX")&lt;/Q&gt;&lt;R&gt;1&lt;/R&gt;&lt;C&gt;1&lt;/C&gt;&lt;D xsi:type="xsd:double"&gt;1.150613&lt;/D&gt;&lt;/FQL&gt;&lt;FQL&gt;&lt;Q&gt;FIX-US^P_BETA_LOCIDX(45316,45141,,"SPX")&lt;/Q&gt;&lt;R&gt;1&lt;/R&gt;&lt;C&gt;1&lt;/C&gt;&lt;D xsi:type="xsd:double"&gt;1.1455485&lt;/D&gt;&lt;/FQL&gt;&lt;FQL&gt;&lt;Q&gt;FIX-US^P_BETA_LOCIDX(45315,45140,,"SPX")&lt;/Q&gt;&lt;R&gt;1&lt;/R&gt;&lt;C&gt;1&lt;/C&gt;&lt;D xsi:type="xsd:double"&gt;1.0871978&lt;/D&gt;&lt;/FQL&gt;&lt;FQL&gt;&lt;Q&gt;FIX-US^P_BETA_LOCIDX(45314,45139,,"SPX")&lt;/Q&gt;&lt;R&gt;1&lt;/R&gt;&lt;C&gt;1&lt;/C&gt;&lt;D xsi:type="xsd:double"&gt;1.0879308&lt;/D&gt;&lt;/FQL&gt;&lt;FQL&gt;&lt;Q&gt;FIX-US^P_BETA_LOCIDX(45313,45138,,"SPX")&lt;/Q&gt;&lt;R&gt;1&lt;/R&gt;&lt;C&gt;1&lt;/C&gt;&lt;D xsi:type="xsd:double"&gt;1.0981929&lt;/D&gt;&lt;/FQL&gt;&lt;FQL&gt;&lt;Q&gt;FIX-US^P_BETA_LOCIDX(45310,45135,,"SPX")&lt;/Q&gt;&lt;R&gt;1&lt;/R&gt;&lt;C&gt;1&lt;/C&gt;&lt;D xsi:type="xsd:double"&gt;1.146209&lt;/D&gt;&lt;/FQL&gt;&lt;FQL&gt;&lt;Q&gt;FIX-US^P_BETA_LOCIDX(45309,45134,,"SPX")&lt;/Q&gt;&lt;R&gt;1&lt;/R&gt;&lt;C&gt;1&lt;/C&gt;&lt;D xsi:type="xsd:double"&gt;1.1692507&lt;/D&gt;&lt;/FQL&gt;&lt;FQL&gt;&lt;Q&gt;FIX-US^P_BETA_LOCIDX(45308,45133,,"SPX")&lt;/Q&gt;&lt;R&gt;1&lt;/R&gt;&lt;C&gt;1&lt;/C&gt;&lt;D xsi:type="xsd:double"&gt;1.1716406&lt;/D&gt;&lt;/FQL&gt;&lt;FQL&gt;&lt;Q&gt;FIX-US^P_BETA_LOCIDX(45307,45132,,"SPX")&lt;/Q&gt;&lt;R&gt;1&lt;/R&gt;&lt;C&gt;1&lt;/C&gt;&lt;D xsi:type="xsd:double"&gt;1.1765147&lt;/D&gt;&lt;/FQL&gt;&lt;FQL&gt;&lt;Q&gt;FIX-US^P_BETA_LOCIDX(45303,45131,,"SPX")&lt;/Q&gt;&lt;R&gt;1&lt;/R&gt;&lt;C&gt;1&lt;/C&gt;&lt;D xsi:type="xsd:double"&gt;1.1792288&lt;/D&gt;&lt;/FQL&gt;&lt;FQL&gt;&lt;Q&gt;FIX-US^P_BETA_LOCIDX(45302,45128,,"SPX")&lt;/Q&gt;&lt;R&gt;1&lt;/R&gt;&lt;C&gt;1&lt;/C&gt;&lt;D xsi:type="xsd:double"&gt;1.1800112&lt;/D&gt;&lt;/FQL&gt;&lt;FQL&gt;&lt;Q&gt;FIX-US^P_BETA_LOCIDX(45301,45127,,"SPX")&lt;/Q&gt;&lt;R&gt;1&lt;/R&gt;&lt;C&gt;1&lt;/C&gt;&lt;D xsi:type="xsd:double"&gt;1.1962023&lt;/D&gt;&lt;/FQL&gt;&lt;FQL&gt;&lt;Q&gt;FIX-US^P_BETA_LOCIDX(45300,45126,,"SPX")&lt;/Q&gt;&lt;R&gt;1&lt;/R&gt;&lt;C&gt;1&lt;/C&gt;&lt;D xsi:type="xsd:double"&gt;1.1832527&lt;/D&gt;&lt;/FQL&gt;&lt;FQL&gt;&lt;Q&gt;FIX-US^P_BETA_LOCIDX(45299,45125,,"SPX")&lt;/Q&gt;&lt;R&gt;1&lt;/R&gt;&lt;C&gt;1&lt;/C&gt;&lt;D xsi:type="xsd:double"&gt;1.1985649&lt;/D&gt;&lt;/FQL&gt;&lt;FQL&gt;&lt;Q&gt;FIX-US^P_BETA_LOCIDX(45296,45124,,"SPX")&lt;/Q&gt;&lt;R&gt;1&lt;/R&gt;&lt;C&gt;1&lt;/C&gt;&lt;D xsi:type="xsd:double"&gt;1.2077122&lt;/D&gt;&lt;/FQL&gt;&lt;FQL&gt;&lt;Q&gt;FIX-US^P_BETA_LOCIDX(45295,45121,,"SPX")&lt;/Q&gt;&lt;R&gt;1&lt;/R&gt;&lt;C&gt;1&lt;/C&gt;&lt;D xsi:type="xsd:double"&gt;1.2130849&lt;/D&gt;&lt;/FQL&gt;&lt;FQL&gt;&lt;Q&gt;FIX-US^P_BETA_LOCIDX(45294,45120,,"SPX")&lt;/Q&gt;&lt;R&gt;1&lt;/R&gt;&lt;C&gt;1&lt;/C&gt;&lt;D xsi:type="xsd:double"&gt;1.216682&lt;/D&gt;&lt;/FQL&gt;&lt;FQL&gt;&lt;Q&gt;FIX-US^P_BETA_LOCIDX(45293,45119,,"SPX")&lt;/Q&gt;&lt;R&gt;1&lt;/R&gt;&lt;C&gt;1&lt;/C&gt;&lt;D xsi:type="xsd:double"&gt;1.1813434&lt;/D&gt;&lt;/FQL&gt;&lt;FQL&gt;&lt;Q&gt;FIX-US^P_BETA_LOCIDX(45289,45118,,"SPX")&lt;/Q&gt;&lt;R&gt;1&lt;/R&gt;&lt;C&gt;1&lt;/C&gt;&lt;D xsi:type="xsd:double"&gt;1.165408&lt;/D&gt;&lt;/FQL&gt;&lt;FQL&gt;&lt;Q&gt;FIX-US^P_BETA_LOCIDX(45288,45117,,"SPX")&lt;/Q&gt;&lt;R&gt;1&lt;/R&gt;&lt;C&gt;1&lt;/C&gt;&lt;D xsi:type="xsd:double"&gt;1.1688254&lt;/D&gt;&lt;/FQL&gt;&lt;FQL&gt;&lt;Q&gt;FIX-US^P_BETA_LOCIDX(45287,45114,,"SPX")&lt;/Q&gt;&lt;R&gt;1&lt;/R&gt;&lt;C&gt;1&lt;/C&gt;&lt;D xsi:type="xsd:double"&gt;1.1672714&lt;/D&gt;&lt;/FQL&gt;&lt;FQL&gt;&lt;Q&gt;FIX-US^P_BETA_LOCIDX(45286,45113,,"SPX")&lt;/Q&gt;&lt;R&gt;1&lt;/R&gt;&lt;C&gt;1&lt;/C&gt;&lt;D xsi:type="xsd:double"&gt;1.1758592&lt;/D&gt;&lt;/FQL&gt;&lt;FQL&gt;&lt;Q&gt;FIX-US^P_BETA_LOCIDX(45282,45112,,"SPX")&lt;/Q&gt;&lt;R&gt;1&lt;/R&gt;&lt;C&gt;1&lt;/C&gt;&lt;D xsi:type="xsd:double"&gt;1.1811916&lt;/D&gt;&lt;/FQL&gt;&lt;FQL&gt;&lt;Q&gt;FIX-US^P_BETA_LOCIDX(45281,45110,,"SPX")&lt;/Q&gt;&lt;R&gt;1&lt;/R&gt;&lt;C&gt;1&lt;/C&gt;&lt;D xsi:type="xsd:double"&gt;1.1806393&lt;/D&gt;&lt;/FQL&gt;&lt;FQL&gt;&lt;Q&gt;FIX-US^P_BETA_LOCIDX(45280,45107,,"SPX")&lt;/Q&gt;&lt;R&gt;1&lt;/R&gt;&lt;C&gt;1&lt;/C&gt;&lt;D xsi:type="xsd:double"&gt;1.1543512&lt;/D&gt;&lt;/FQL&gt;&lt;FQL&gt;&lt;Q&gt;FIX-US^P_BETA_LOCIDX(45279,45106,,"SPX")&lt;/Q&gt;&lt;R&gt;1&lt;/R&gt;&lt;C&gt;1&lt;/C&gt;&lt;D xsi:type="xsd:double"&gt;1.2051823&lt;/D&gt;&lt;/FQL&gt;&lt;FQL&gt;&lt;Q&gt;FIX-US^P_BETA_LOCIDX(45278,45105,,"SPX")&lt;/Q&gt;&lt;R&gt;1&lt;/R&gt;&lt;C&gt;1&lt;/C&gt;&lt;D xsi:type="xsd:double"&gt;1.1967655&lt;/D&gt;&lt;/FQL&gt;&lt;FQL&gt;&lt;Q&gt;FIX-US^P_BETA_LOCIDX(45275,45104,,"SPX")&lt;/Q&gt;&lt;R&gt;1&lt;/R&gt;&lt;C&gt;1&lt;/C&gt;&lt;D xsi:type="xsd:double"&gt;1.1870946&lt;/D&gt;&lt;/FQL&gt;&lt;FQL&gt;&lt;Q&gt;FIX-US^P_BETA_LOCIDX(45274,45103,,"SPX")&lt;/Q&gt;&lt;R&gt;1&lt;/R&gt;&lt;C&gt;1&lt;/C&gt;&lt;D xsi:type="xsd:double"&gt;1.1804676&lt;/D&gt;&lt;/FQL&gt;&lt;FQL&gt;&lt;Q&gt;FIX-US^P_BETA_LOCIDX(45273,45100,,"SPX")&lt;/Q&gt;&lt;R&gt;1&lt;/R&gt;&lt;C&gt;1&lt;/C&gt;&lt;D xsi:type="xsd:double"&gt;1.1772784&lt;/D&gt;&lt;/FQL&gt;&lt;FQL&gt;&lt;Q&gt;FIX-US^P_BETA_LOCIDX(45272,45099,,"SPX")&lt;/Q&gt;&lt;R&gt;1&lt;/R&gt;&lt;C&gt;1&lt;/C&gt;&lt;D xsi:type="xsd:double"&gt;1.1723856&lt;/D&gt;&lt;/FQL&gt;&lt;FQL&gt;&lt;Q&gt;FIX-US^P_BETA_LOCIDX(45271,45098,,"SPX")&lt;/Q&gt;&lt;R&gt;1&lt;/R&gt;&lt;C&gt;1&lt;/C&gt;&lt;D xsi:type="xsd:double"&gt;1.1401759&lt;/D&gt;&lt;/FQL&gt;&lt;FQL&gt;&lt;Q&gt;FIX-US^P_BETA_LOCIDX(45268,45097,,"SPX")&lt;/Q&gt;&lt;R&gt;1&lt;/R&gt;&lt;C&gt;1&lt;/C&gt;&lt;D xsi:type="xsd:double"&gt;1.1436921&lt;/D&gt;&lt;/FQL&gt;&lt;FQL&gt;&lt;Q&gt;FIX-US^P_BETA_LOCIDX(45267,45093,,"SPX")&lt;/Q&gt;&lt;R&gt;1&lt;/R&gt;&lt;C&gt;1&lt;/C&gt;&lt;D xsi:type="xsd:double"&gt;1.1336263&lt;/D&gt;&lt;/FQL&gt;&lt;FQL&gt;&lt;Q&gt;FIX-US^P_BETA_LOCIDX(45266,45092,,"SPX")&lt;/Q&gt;&lt;R&gt;1&lt;/R&gt;&lt;C&gt;1&lt;/C&gt;&lt;D xsi:type="xsd:double"&gt;1.1295538&lt;/D&gt;&lt;/FQL&gt;&lt;FQL&gt;&lt;Q&gt;FIX-US^P_BETA_LOCIDX(45265,45091,,"SPX")&lt;/Q&gt;&lt;R&gt;1&lt;/R&gt;&lt;C&gt;1&lt;/C&gt;&lt;D xsi:type="xsd:double"&gt;1.1248832&lt;/D&gt;&lt;/FQL&gt;&lt;FQL&gt;&lt;Q&gt;FIX-US^P_BETA_LOCIDX(45264,45090,,"SPX")&lt;/Q&gt;&lt;R&gt;1&lt;/R&gt;&lt;C&gt;1&lt;/C&gt;&lt;D xsi:type="xsd:double"&gt;1.1038246&lt;/D&gt;&lt;/FQL&gt;&lt;FQL&gt;&lt;Q&gt;FIX-US^P_BETA_LOCIDX(45261,45089,,"SPX")&lt;/Q&gt;&lt;R&gt;1&lt;/R&gt;&lt;C&gt;1&lt;/C&gt;&lt;D xsi:type="xsd:double"&gt;1.0769767&lt;/D&gt;&lt;/FQL&gt;&lt;FQL&gt;&lt;Q&gt;FIX-US^P_BETA_LOCIDX(45260,45086,,"SPX")&lt;/Q&gt;&lt;R&gt;1&lt;/R&gt;&lt;C&gt;1&lt;/C&gt;&lt;D xsi:type="xsd:double"&gt;1.0702411&lt;/D&gt;&lt;/FQL&gt;&lt;FQL&gt;&lt;Q&gt;FIX-US^P_BETA_LOCIDX(45259,45085,,"SPX")&lt;/Q&gt;&lt;R&gt;1&lt;/R&gt;&lt;C&gt;1&lt;/C&gt;&lt;D xsi:type="xsd:double"&gt;1.0607139&lt;/D&gt;&lt;/FQL&gt;&lt;FQL&gt;&lt;Q&gt;FIX-US^P_BETA_LOCIDX(45258,45084,,"SPX")&lt;/Q&gt;&lt;R&gt;1&lt;/R&gt;&lt;C&gt;1&lt;/C&gt;&lt;D xsi:type="xsd:double"&gt;1.0639732&lt;/D&gt;&lt;/FQL&gt;&lt;FQL&gt;&lt;Q&gt;FIX-US^P_BETA_LOCIDX(45257,45083,,"SPX")&lt;/Q&gt;&lt;R&gt;1&lt;/R&gt;&lt;C&gt;1&lt;/C&gt;&lt;D xsi:type="xsd:double"&gt;1.0778787&lt;/D&gt;&lt;/FQL&gt;&lt;FQL&gt;&lt;Q&gt;FIX-US^P_BETA_LOCIDX(45254,45082,,"SPX")&lt;/Q&gt;&lt;R&gt;1&lt;/R&gt;&lt;C&gt;1&lt;/C&gt;&lt;D xsi:type="xsd:double"&gt;1.0838693&lt;/D&gt;&lt;/FQL&gt;&lt;FQL&gt;&lt;Q&gt;FIX-US^P_BETA_LOCIDX(45252,45079,,"SPX")&lt;/Q&gt;&lt;R&gt;1&lt;/R&gt;&lt;C&gt;1&lt;/C&gt;&lt;D xsi:type="xsd:double"&gt;1.1369407&lt;/D&gt;&lt;/FQL&gt;&lt;FQL&gt;&lt;Q&gt;FIX-US^P_BETA_LOCIDX(45251,45078,,"SPX")&lt;/Q&gt;&lt;R&gt;1&lt;/R&gt;&lt;C&gt;1&lt;/C&gt;&lt;D xsi:type="xsd:double"&gt;1.1142058&lt;/D&gt;&lt;/FQL&gt;&lt;FQL&gt;&lt;Q&gt;FIX-US^P_BETA_LOCIDX(45250,45077,,"SPX")&lt;/Q&gt;&lt;R&gt;1&lt;/R&gt;&lt;C&gt;1&lt;/C&gt;&lt;D xsi:type="xsd:double"&gt;1.1284802&lt;/D&gt;&lt;/FQL&gt;&lt;FQL&gt;&lt;Q&gt;FIX-US^P_BETA_LOCIDX(45247,45076,,"SPX")&lt;/Q&gt;&lt;R&gt;1&lt;/R&gt;&lt;C&gt;1&lt;/C&gt;&lt;D xsi:type="xsd:double"&gt;1.1415056&lt;/D&gt;&lt;/FQL&gt;&lt;FQL&gt;&lt;Q&gt;FIX-US^P_BETA_LOCIDX(45246,45072,,"SPX")&lt;/Q&gt;&lt;R&gt;1&lt;/R&gt;&lt;C&gt;1&lt;/C&gt;&lt;D xsi:type="xsd:double"&gt;1.1104927&lt;/D&gt;&lt;/FQL&gt;&lt;FQL&gt;&lt;Q&gt;FIX-US^P_BETA_LOCIDX(45245,45071,,"SPX")&lt;/Q&gt;&lt;R&gt;1&lt;/R&gt;&lt;C&gt;1&lt;/C&gt;&lt;D xsi:type="xsd:double"&gt;1.1407523&lt;/D&gt;&lt;/FQL&gt;&lt;FQL&gt;&lt;Q&gt;FIX-US^P_BETA_LOCIDX(45244,45070,,"SPX")&lt;/Q&gt;&lt;R&gt;1&lt;/R&gt;&lt;C&gt;1&lt;/C&gt;&lt;D xsi:type="xsd:double"&gt;1.152409&lt;/D&gt;&lt;/FQL&gt;&lt;FQL&gt;&lt;Q&gt;FIX-US^P_BETA_LOCIDX(45243,45069,,"SPX")&lt;/Q&gt;&lt;R&gt;1&lt;/R&gt;&lt;C&gt;1&lt;/C&gt;&lt;D xsi:type="xsd:double"&gt;1.067074&lt;/D&gt;&lt;/FQL&gt;&lt;FQL&gt;&lt;Q&gt;FIX-US^P_BETA_LOCIDX(45240,45068,,"SPX")&lt;/Q&gt;&lt;R&gt;1&lt;/R&gt;&lt;C&gt;1&lt;/C&gt;&lt;D xsi:type="xsd:double"&gt;1.06862&lt;/D&gt;&lt;/FQL&gt;&lt;FQL&gt;&lt;Q&gt;FIX-US^P_BETA_LOCIDX(45239,45065,,"SPX")&lt;/Q&gt;&lt;R&gt;1&lt;/R&gt;&lt;C&gt;1&lt;/C&gt;&lt;D xsi:type="xsd:double"&gt;1.0847683&lt;/D&gt;&lt;/FQL&gt;&lt;FQL&gt;&lt;Q&gt;FIX-US^P_BETA_LOCIDX(45238,45064,,"SPX")&lt;/Q&gt;&lt;R&gt;1&lt;/R&gt;&lt;C&gt;1&lt;/C&gt;&lt;D xsi:type="xsd:double"&gt;1.1045628&lt;/D&gt;&lt;/FQL&gt;&lt;FQL&gt;&lt;Q&gt;FIX-US^P_BETA_LOCIDX(45237,45063,,"SPX")&lt;/Q&gt;&lt;R&gt;1&lt;/R</t>
        </r>
      </text>
    </comment>
    <comment ref="A25" authorId="0" shapeId="0" xr:uid="{13B39BAB-692A-469B-8AB0-D7AEEEFA82FC}">
      <text>
        <r>
          <rPr>
            <b/>
            <sz val="9"/>
            <color indexed="81"/>
            <rFont val="Tahoma"/>
            <charset val="1"/>
          </rPr>
          <t>&gt;&lt;C&gt;1&lt;/C&gt;&lt;D xsi:type="xsd:double"&gt;1.087347&lt;/D&gt;&lt;/FQL&gt;&lt;FQL&gt;&lt;Q&gt;FIX-US^P_BETA_LOCIDX(45236,45062,,"SPX")&lt;/Q&gt;&lt;R&gt;1&lt;/R&gt;&lt;C&gt;1&lt;/C&gt;&lt;D xsi:type="xsd:double"&gt;1.0901883&lt;/D&gt;&lt;/FQL&gt;&lt;FQL&gt;&lt;Q&gt;FIX-US^P_BETA_LOCIDX(45233,45061,,"SPX")&lt;/Q&gt;&lt;R&gt;1&lt;/R&gt;&lt;C&gt;1&lt;/C&gt;&lt;D xsi:type="xsd:double"&gt;1.092454&lt;/D&gt;&lt;/FQL&gt;&lt;FQL&gt;&lt;Q&gt;FIX-US^P_BETA_LOCIDX(45232,45058,,"SPX")&lt;/Q&gt;&lt;R&gt;1&lt;/R&gt;&lt;C&gt;1&lt;/C&gt;&lt;D xsi:type="xsd:double"&gt;1.106134&lt;/D&gt;&lt;/FQL&gt;&lt;FQL&gt;&lt;Q&gt;FIX-US^P_BETA_LOCIDX(45231,45057,,"SPX")&lt;/Q&gt;&lt;R&gt;1&lt;/R&gt;&lt;C&gt;1&lt;/C&gt;&lt;D xsi:type="xsd:double"&gt;1.128019&lt;/D&gt;&lt;/FQL&gt;&lt;FQL&gt;&lt;Q&gt;FIX-US^P_BETA_LOCIDX(45230,45056,,"SPX")&lt;/Q&gt;&lt;R&gt;1&lt;/R&gt;&lt;C&gt;1&lt;/C&gt;&lt;D xsi:type="xsd:double"&gt;1.1272761&lt;/D&gt;&lt;/FQL&gt;&lt;FQL&gt;&lt;Q&gt;FIX-US^P_BETA_LOCIDX(45229,45055,,"SPX")&lt;/Q&gt;&lt;R&gt;1&lt;/R&gt;&lt;C&gt;1&lt;/C&gt;&lt;D xsi:type="xsd:double"&gt;1.118541&lt;/D&gt;&lt;/FQL&gt;&lt;FQL&gt;&lt;Q&gt;FIX-US^P_BETA_LOCIDX(45226,45054,,"SPX")&lt;/Q&gt;&lt;R&gt;1&lt;/R&gt;&lt;C&gt;1&lt;/C&gt;&lt;D xsi:type="xsd:double"&gt;1.1066403&lt;/D&gt;&lt;/FQL&gt;&lt;FQL&gt;&lt;Q&gt;FIX-US^P_BETA_LOCIDX(45225,45051,,"SPX")&lt;/Q&gt;&lt;R&gt;1&lt;/R&gt;&lt;C&gt;1&lt;/C&gt;&lt;D xsi:type="xsd:double"&gt;1.231167&lt;/D&gt;&lt;/FQL&gt;&lt;FQL&gt;&lt;Q&gt;FIX-US^P_BETA_LOCIDX(45224,45050,,"SPX")&lt;/Q&gt;&lt;R&gt;1&lt;/R&gt;&lt;C&gt;1&lt;/C&gt;&lt;D xsi:type="xsd:double"&gt;1.2785714&lt;/D&gt;&lt;/FQL&gt;&lt;FQL&gt;&lt;Q&gt;FIX-US^P_BETA_LOCIDX(45223,45049,,"SPX")&lt;/Q&gt;&lt;R&gt;1&lt;/R&gt;&lt;C&gt;1&lt;/C&gt;&lt;D xsi:type="xsd:double"&gt;1.2748227&lt;/D&gt;&lt;/FQL&gt;&lt;FQL&gt;&lt;Q&gt;FIX-US^P_BETA_LOCIDX(45222,45048,,"SPX")&lt;/Q&gt;&lt;R&gt;1&lt;/R&gt;&lt;C&gt;1&lt;/C&gt;&lt;D xsi:type="xsd:double"&gt;1.2112509&lt;/D&gt;&lt;/FQL&gt;&lt;FQL&gt;&lt;Q&gt;FIX-US^P_BETA_LOCIDX(45219,45047,,"SPX")&lt;/Q&gt;&lt;R&gt;1&lt;/R&gt;&lt;C&gt;1&lt;/C&gt;&lt;D xsi:type="xsd:double"&gt;1.2118993&lt;/D&gt;&lt;/FQL&gt;&lt;FQL&gt;&lt;Q&gt;FIX-US^P_BETA_LOCIDX(45218,45044,,"SPX")&lt;/Q&gt;&lt;R&gt;1&lt;/R&gt;&lt;C&gt;1&lt;/C&gt;&lt;D xsi:type="xsd:double"&gt;1.2289001&lt;/D&gt;&lt;/FQL&gt;&lt;FQL&gt;&lt;Q&gt;FIX-US^P_BETA_LOCIDX(45217,45043,,"SPX")&lt;/Q&gt;&lt;R&gt;1&lt;/R&gt;&lt;C&gt;1&lt;/C&gt;&lt;D xsi:type="xsd:double"&gt;1.4863034&lt;/D&gt;&lt;/FQL&gt;&lt;FQL&gt;&lt;Q&gt;FIX-US^P_BETA_LOCIDX(45216,45042,,"SPX")&lt;/Q&gt;&lt;R&gt;1&lt;/R&gt;&lt;C&gt;1&lt;/C&gt;&lt;D xsi:type="xsd:double"&gt;1.4440451&lt;/D&gt;&lt;/FQL&gt;&lt;FQL&gt;&lt;Q&gt;FIX-US^P_BETA_LOCIDX(45215,45041,,"SPX")&lt;/Q&gt;&lt;R&gt;1&lt;/R&gt;&lt;C&gt;1&lt;/C&gt;&lt;D xsi:type="xsd:double"&gt;1.4315888&lt;/D&gt;&lt;/FQL&gt;&lt;FQL&gt;&lt;Q&gt;FIX-US^P_BETA_LOCIDX(45212,45040,,"SPX")&lt;/Q&gt;&lt;R&gt;1&lt;/R&gt;&lt;C&gt;1&lt;/C&gt;&lt;D xsi:type="xsd:double"&gt;1.4416238&lt;/D&gt;&lt;/FQL&gt;&lt;FQL&gt;&lt;Q&gt;FIX-US^P_BETA_LOCIDX(45211,45037,,"SPX")&lt;/Q&gt;&lt;R&gt;1&lt;/R&gt;&lt;C&gt;1&lt;/C&gt;&lt;D xsi:type="xsd:double"&gt;1.4144826&lt;/D&gt;&lt;/FQL&gt;&lt;FQL&gt;&lt;Q&gt;FIX-US^P_BETA_LOCIDX(45210,45036,,"SPX")&lt;/Q&gt;&lt;R&gt;1&lt;/R&gt;&lt;C&gt;1&lt;/C&gt;&lt;D xsi:type="xsd:double"&gt;1.3672913&lt;/D&gt;&lt;/FQL&gt;&lt;FQL&gt;&lt;Q&gt;FIX-US^P_BETA_LOCIDX(45209,45035,,"SPX")&lt;/Q&gt;&lt;R&gt;1&lt;/R&gt;&lt;C&gt;1&lt;/C&gt;&lt;D xsi:type="xsd:double"&gt;1.3707099&lt;/D&gt;&lt;/FQL&gt;&lt;FQL&gt;&lt;Q&gt;FIX-US^P_BETA_LOCIDX(45208,45034,,"SPX")&lt;/Q&gt;&lt;R&gt;1&lt;/R&gt;&lt;C&gt;1&lt;/C&gt;&lt;D xsi:type="xsd:double"&gt;1.3817714&lt;/D&gt;&lt;/FQL&gt;&lt;FQL&gt;&lt;Q&gt;FIX-US^P_BETA_LOCIDX(45205,45033,,"SPX")&lt;/Q&gt;&lt;R&gt;1&lt;/R&gt;&lt;C&gt;1&lt;/C&gt;&lt;D xsi:type="xsd:double"&gt;1.3866208&lt;/D&gt;&lt;/FQL&gt;&lt;FQL&gt;&lt;Q&gt;FIX-US^P_BETA_LOCIDX(45204,45030,,"SPX")&lt;/Q&gt;&lt;R&gt;1&lt;/R&gt;&lt;C&gt;1&lt;/C&gt;&lt;D xsi:type="xsd:double"&gt;1.3914386&lt;/D&gt;&lt;/FQL&gt;&lt;FQL&gt;&lt;Q&gt;FIX-US^P_BETA_LOCIDX(45203,45029,,"SPX")&lt;/Q&gt;&lt;R&gt;1&lt;/R&gt;&lt;C&gt;1&lt;/C&gt;&lt;D xsi:type="xsd:double"&gt;1.3690434&lt;/D&gt;&lt;/FQL&gt;&lt;FQL&gt;&lt;Q&gt;FIX-US^P_BETA_LOCIDX(45202,45028,,"SPX")&lt;/Q&gt;&lt;R&gt;1&lt;/R&gt;&lt;C&gt;1&lt;/C&gt;&lt;D xsi:type="xsd:double"&gt;1.3692517&lt;/D&gt;&lt;/FQL&gt;&lt;FQL&gt;&lt;Q&gt;FIX-US^P_BETA_LOCIDX(45201,45027,,"SPX")&lt;/Q&gt;&lt;R&gt;1&lt;/R&gt;&lt;C&gt;1&lt;/C&gt;&lt;D xsi:type="xsd:double"&gt;1.3968827&lt;/D&gt;&lt;/FQL&gt;&lt;FQL&gt;&lt;Q&gt;FIX-US^P_BETA_LOCIDX(45198,45026,,"SPX")&lt;/Q&gt;&lt;R&gt;1&lt;/R&gt;&lt;C&gt;1&lt;/C&gt;&lt;D xsi:type="xsd:double"&gt;1.3962197&lt;/D&gt;&lt;/FQL&gt;&lt;FQL&gt;&lt;Q&gt;FIX-US^P_BETA_LOCIDX(45197,45022,,"SPX")&lt;/Q&gt;&lt;R&gt;1&lt;/R&gt;&lt;C&gt;1&lt;/C&gt;&lt;D xsi:type="xsd:double"&gt;1.3679066&lt;/D&gt;&lt;/FQL&gt;&lt;FQL&gt;&lt;Q&gt;FIX-US^P_BETA_LOCIDX(45196,45021,,"SPX")&lt;/Q&gt;&lt;R&gt;1&lt;/R&gt;&lt;C&gt;1&lt;/C&gt;&lt;D xsi:type="xsd:double"&gt;1.3850975&lt;/D&gt;&lt;/FQL&gt;&lt;FQL&gt;&lt;Q&gt;FIX-US^P_BETA_LOCIDX(45195,45020,,"SPX")&lt;/Q&gt;&lt;R&gt;1&lt;/R&gt;&lt;C&gt;1&lt;/C&gt;&lt;D xsi:type="xsd:double"&gt;1.4211226&lt;/D&gt;&lt;/FQL&gt;&lt;FQL&gt;&lt;Q&gt;FIX-US^P_BETA_LOCIDX(45194,45019,,"SPX")&lt;/Q&gt;&lt;R&gt;1&lt;/R&gt;&lt;C&gt;1&lt;/C&gt;&lt;D xsi:type="xsd:double"&gt;1.435633&lt;/D&gt;&lt;/FQL&gt;&lt;FQL&gt;&lt;Q&gt;FIX-US^P_BETA_LOCIDX(45191,45016,,"SPX")&lt;/Q&gt;&lt;R&gt;1&lt;/R&gt;&lt;C&gt;1&lt;/C&gt;&lt;D xsi:type="xsd:double"&gt;1.4395896&lt;/D&gt;&lt;/FQL&gt;&lt;FQL&gt;&lt;Q&gt;FIX-US^P_BETA_LOCIDX(45190,45015,,"SPX")&lt;/Q&gt;&lt;R&gt;1&lt;/R&gt;&lt;C&gt;1&lt;/C&gt;&lt;D xsi:type="xsd:double"&gt;1.4250393&lt;/D&gt;&lt;/FQL&gt;&lt;FQL&gt;&lt;Q&gt;FIX-US^P_BETA_LOCIDX(45189,45014,,"SPX")&lt;/Q&gt;&lt;R&gt;1&lt;/R&gt;&lt;C&gt;1&lt;/C&gt;&lt;D xsi:type="xsd:double"&gt;1.3346443&lt;/D&gt;&lt;/FQL&gt;&lt;FQL&gt;&lt;Q&gt;FIX-US^P_BETA_LOCIDX(45188,45013,,"SPX")&lt;/Q&gt;&lt;R&gt;1&lt;/R&gt;&lt;C&gt;1&lt;/C&gt;&lt;D xsi:type="xsd:double"&gt;1.3216658&lt;/D&gt;&lt;/FQL&gt;&lt;FQL&gt;&lt;Q&gt;FIX-US^P_BETA_LOCIDX(45187,45012,,"SPX")&lt;/Q&gt;&lt;R&gt;1&lt;/R&gt;&lt;C&gt;1&lt;/C&gt;&lt;D xsi:type="xsd:double"&gt;1.3189795&lt;/D&gt;&lt;/FQL&gt;&lt;FQL&gt;&lt;Q&gt;FIX-US^P_BETA_LOCIDX(45184,45009,,"SPX")&lt;/Q&gt;&lt;R&gt;1&lt;/R&gt;&lt;C&gt;1&lt;/C&gt;&lt;D xsi:type="xsd:double"&gt;1.323568&lt;/D&gt;&lt;/FQL&gt;&lt;FQL&gt;&lt;Q&gt;FIX-US^P_BETA_LOCIDX(45183,45008,,"SPX")&lt;/Q&gt;&lt;R&gt;1&lt;/R&gt;&lt;C&gt;1&lt;/C&gt;&lt;D xsi:type="xsd:double"&gt;1.3334556&lt;/D&gt;&lt;/FQL&gt;&lt;FQL&gt;&lt;Q&gt;FIX-US^P_BETA_LOCIDX(45182,45007,,"SPX")&lt;/Q&gt;&lt;R&gt;1&lt;/R&gt;&lt;C&gt;1&lt;/C&gt;&lt;D xsi:type="xsd:double"&gt;1.313835&lt;/D&gt;&lt;/FQL&gt;&lt;FQL&gt;&lt;Q&gt;FIX-US^P_BETA_LOCIDX(45181,45006,,"SPX")&lt;/Q&gt;&lt;R&gt;1&lt;/R&gt;&lt;C&gt;1&lt;/C&gt;&lt;D xsi:type="xsd:double"&gt;1.3071036&lt;/D&gt;&lt;/FQL&gt;&lt;FQL&gt;&lt;Q&gt;FIX-US^P_BETA_LOCIDX(45180,45005,,"SPX")&lt;/Q&gt;&lt;R&gt;1&lt;/R&gt;&lt;C&gt;1&lt;/C&gt;&lt;D xsi:type="xsd:double"&gt;1.3369733&lt;/D&gt;&lt;/FQL&gt;&lt;FQL&gt;&lt;Q&gt;FIX-US^P_BETA_LOCIDX(45177,45002,,"SPX")&lt;/Q&gt;&lt;R&gt;1&lt;/R&gt;&lt;C&gt;1&lt;/C&gt;&lt;D xsi:type="xsd:double"&gt;1.376838&lt;/D&gt;&lt;/FQL&gt;&lt;FQL&gt;&lt;Q&gt;FIX-US^P_BETA_LOCIDX(45176,45001,,"SPX")&lt;/Q&gt;&lt;R&gt;1&lt;/R&gt;&lt;C&gt;1&lt;/C&gt;&lt;D xsi:type="xsd:double"&gt;1.367185&lt;/D&gt;&lt;/FQL&gt;&lt;FQL&gt;&lt;Q&gt;FIX-US^P_BETA_LOCIDX(45175,45000,,"SPX")&lt;/Q&gt;&lt;R&gt;1&lt;/R&gt;&lt;C&gt;1&lt;/C&gt;&lt;D xsi:type="xsd:double"&gt;1.3979032&lt;/D&gt;&lt;/FQL&gt;&lt;FQL&gt;&lt;Q&gt;FIX-US^P_BETA_LOCIDX(45174,44999,,"SPX")&lt;/Q&gt;&lt;R&gt;1&lt;/R&gt;&lt;C&gt;1&lt;/C&gt;&lt;D xsi:type="xsd:double"&gt;1.4288013&lt;/D&gt;&lt;/FQL&gt;&lt;FQL&gt;&lt;Q&gt;FIX-US^P_BETA_LOCIDX(45170,44998,,"SPX")&lt;/Q&gt;&lt;R&gt;1&lt;/R&gt;&lt;C&gt;1&lt;/C&gt;&lt;D xsi:type="xsd:double"&gt;1.4414867&lt;/D&gt;&lt;/FQL&gt;&lt;FQL&gt;&lt;Q&gt;FIX-US^P_BETA_LOCIDX(45169,44995,,"SPX")&lt;/Q&gt;&lt;R&gt;1&lt;/R&gt;&lt;C&gt;1&lt;/C&gt;&lt;D xsi:type="xsd:double"&gt;1.4573555&lt;/D&gt;&lt;/FQL&gt;&lt;FQL&gt;&lt;Q&gt;FIX-US^P_BETA_LOCIDX(45168,44994,,"SPX")&lt;/Q&gt;&lt;R&gt;1&lt;/R&gt;&lt;C&gt;1&lt;/C&gt;&lt;D xsi:type="xsd:double"&gt;1.4577105&lt;/D&gt;&lt;/FQL&gt;&lt;FQL&gt;&lt;Q&gt;FIX-US^P_BETA_LOCIDX(45167,44993,,"SPX")&lt;/Q&gt;&lt;R&gt;1&lt;/R&gt;&lt;C&gt;1&lt;/C&gt;&lt;D xsi:type="xsd:double"&gt;1.4607152&lt;/D&gt;&lt;/FQL&gt;&lt;FQL&gt;&lt;Q&gt;FIX-US^P_BETA_LOCIDX(45166,44992,,"SPX")&lt;/Q&gt;&lt;R&gt;1&lt;/R&gt;&lt;C&gt;1&lt;/C&gt;&lt;D xsi:type="xsd:double"&gt;1.448095&lt;/D&gt;&lt;/FQL&gt;&lt;FQL&gt;&lt;Q&gt;FIX-US^P_BETA_LOCIDX(45163,44991,,"SPX")&lt;/Q&gt;&lt;R&gt;1&lt;/R&gt;&lt;C&gt;1&lt;/C&gt;&lt;D xsi:type="xsd:double"&gt;1.457388&lt;/D&gt;&lt;/FQL&gt;&lt;FQL&gt;&lt;Q&gt;FIX-US^P_BETA_LOCIDX(45162,44988,,"SPX")&lt;/Q&gt;&lt;R&gt;1&lt;/R&gt;&lt;C&gt;1&lt;/C&gt;&lt;D xsi:type="xsd:double"&gt;1.4591733&lt;/D&gt;&lt;/FQL&gt;&lt;FQL&gt;&lt;Q&gt;FIX-US^P_BETA_LOCIDX(45161,44987,,"SPX")&lt;/Q&gt;&lt;R&gt;1&lt;/R&gt;&lt;C&gt;1&lt;/C&gt;&lt;D xsi:type="xsd:double"&gt;1.4627187&lt;/D&gt;&lt;/FQL&gt;&lt;FQL&gt;&lt;Q&gt;FIX-US^P_BETA_LOCIDX(45160,44986,,"SPX")&lt;/Q&gt;&lt;R&gt;1&lt;/R&gt;&lt;C&gt;1&lt;/C&gt;&lt;D xsi:type="xsd:double"&gt;1.4495001&lt;/D&gt;&lt;/FQL&gt;&lt;FQL&gt;&lt;Q&gt;FIX-US^P_BETA_LOCIDX(45159,44985,,"SPX")&lt;/Q&gt;&lt;R&gt;1&lt;/R&gt;&lt;C&gt;1&lt;/C&gt;&lt;D xsi:type="xsd:double"&gt;1.458582&lt;/D&gt;&lt;/FQL&gt;&lt;FQL&gt;&lt;Q&gt;FIX-US^P_BETA_LOCIDX(45156,44984,,"SPX")&lt;/Q&gt;&lt;R&gt;1&lt;/R&gt;&lt;C&gt;1&lt;/C&gt;&lt;D xsi:type="xsd:double"&gt;1.4643793&lt;/D&gt;&lt;/FQL&gt;&lt;FQL&gt;&lt;Q&gt;FIX-US^P_BETA_LOCIDX(45155,44981,,"SPX")&lt;/Q&gt;&lt;R&gt;1&lt;/R&gt;&lt;C&gt;1&lt;/C&gt;&lt;D xsi:type="xsd:double"&gt;1.3275517&lt;/D&gt;&lt;/FQL&gt;&lt;FQL&gt;&lt;Q&gt;FIX-US^P_BETA_LOCIDX(45154,44980,,"SPX")&lt;/Q&gt;&lt;R&gt;1&lt;/R&gt;&lt;C&gt;1&lt;/C&gt;&lt;D xsi:type="xsd:double"&gt;1.3567294&lt;/D&gt;&lt;/FQL&gt;&lt;FQL&gt;&lt;Q&gt;FIX-US^P_BETA_LOCIDX(45153,44979,,"SPX")&lt;/Q&gt;&lt;R&gt;1&lt;/R&gt;&lt;C&gt;1&lt;/C&gt;&lt;D xsi:type="xsd:double"&gt;1.3661481&lt;/D&gt;&lt;/FQL&gt;&lt;FQL&gt;&lt;Q&gt;FIX-US^P_BETA_LOCIDX(45152,44978,,"SPX")&lt;/Q&gt;&lt;R&gt;1&lt;/R&gt;&lt;C&gt;1&lt;/C&gt;&lt;D xsi:type="xsd:double"&gt;1.4128717&lt;/D&gt;&lt;/FQL&gt;&lt;FQL&gt;&lt;Q&gt;FIX-US^P_BETA_LOCIDX(45149,44974,,"SPX")&lt;/Q&gt;&lt;R&gt;1&lt;/R&gt;&lt;C&gt;1&lt;/C&gt;&lt;D xsi:type="xsd:double"&gt;1.4127047&lt;/D&gt;&lt;/FQL&gt;&lt;FQL&gt;&lt;Q&gt;FIX-US^P_BETA_LOCIDX(45148,44973,,"SPX")&lt;/Q&gt;&lt;R&gt;1&lt;/R&gt;&lt;C&gt;1&lt;/C&gt;&lt;D xsi:type="xsd:double"&gt;1.3625602&lt;/D&gt;&lt;/FQL&gt;&lt;FQL&gt;&lt;Q&gt;FIX-US^P_BETA_LOCIDX(45147,44972,,"SPX")&lt;/Q&gt;&lt;R&gt;1&lt;/R&gt;&lt;C&gt;1&lt;/C&gt;&lt;D xsi:type="xsd:double"&gt;1.3651222&lt;/D&gt;&lt;/FQL&gt;&lt;FQL&gt;&lt;Q&gt;FIX-US^P_BETA_LOCIDX(45146,44971,,"SPX")&lt;/Q&gt;&lt;R&gt;1&lt;/R&gt;&lt;C&gt;1&lt;/C&gt;&lt;D xsi:type="xsd:double"&gt;1.3528237&lt;/D&gt;&lt;/FQL&gt;&lt;FQL&gt;&lt;Q&gt;FIX-US^P_BETA_LOCIDX(45145,44970,,"SPX")&lt;/Q&gt;&lt;R&gt;1&lt;/R&gt;&lt;C&gt;1&lt;/C&gt;&lt;D xsi:type="xsd:double"&gt;1.3571559&lt;/D&gt;&lt;/FQL&gt;&lt;FQL&gt;&lt;Q&gt;FIX-US^P_BETA_LOCIDX(45142,44967,,"SPX")&lt;/Q&gt;&lt;R&gt;1&lt;/R&gt;&lt;C&gt;1&lt;/C&gt;&lt;D xsi:type="xsd:double"&gt;1.3520187&lt;/D&gt;&lt;/FQL&gt;&lt;FQL&gt;&lt;Q&gt;FIX-US^P_BETA_LOCIDX(45141,44966,,"SPX")&lt;/Q&gt;&lt;R&gt;1&lt;/R&gt;&lt;C&gt;1&lt;/C&gt;&lt;D xsi:type="xsd:double"&gt;1.3622392&lt;/D&gt;&lt;/FQL&gt;&lt;FQL&gt;&lt;Q&gt;FIX-US^P_BETA_LOCIDX(45140,44965,,"SPX")&lt;/Q&gt;&lt;R&gt;1&lt;/R&gt;&lt;C&gt;1&lt;/C&gt;&lt;D xsi:type="xsd:double"&gt;1.3631598&lt;/D&gt;&lt;/FQL&gt;&lt;FQL&gt;&lt;Q&gt;FIX-US^P_BETA_LOCIDX(45139,44964,,"SPX")&lt;/Q&gt;&lt;R&gt;1&lt;/R&gt;&lt;C&gt;1&lt;/C&gt;&lt;D xsi:type="xsd:double"&gt;1.3818132&lt;/D&gt;&lt;/FQL&gt;&lt;FQL&gt;&lt;Q&gt;FIX-US^P_BETA_LOCIDX(45138,44963,,"SPX")&lt;/Q&gt;&lt;R&gt;1&lt;/R&gt;&lt;C&gt;1&lt;/C&gt;&lt;D xsi:type="xsd:double"&gt;1.3857652&lt;/D&gt;&lt;/FQL&gt;&lt;FQL&gt;&lt;Q&gt;FIX-US^P_BETA_LOCIDX(45135,44960,,"SPX")&lt;/Q&gt;&lt;R&gt;1&lt;/R&gt;&lt;C&gt;1&lt;/C&gt;&lt;D xsi:type="xsd:double"&gt;1.3654377&lt;/D&gt;&lt;/FQL&gt;&lt;FQL&gt;&lt;Q&gt;FIX-US^P_BETA_LOCIDX(45134,44959,,"SPX")&lt;/Q&gt;&lt;R&gt;1&lt;/R&gt;&lt;C&gt;1&lt;/C&gt;&lt;D xsi:type="xsd:double"&gt;1.2916166&lt;/D&gt;&lt;/FQL&gt;&lt;FQL&gt;&lt;Q&gt;FIX-US^P_BETA_LOCIDX(45133,44958,,"SPX")&lt;/Q&gt;&lt;R&gt;1&lt;/R&gt;&lt;C&gt;1&lt;/C&gt;&lt;D xsi:type="xsd:double"&gt;1.2858156&lt;/D&gt;&lt;/FQL&gt;&lt;FQL&gt;&lt;Q&gt;FIX-US^P_BETA_LOCIDX(45132,44957,,"SPX")&lt;/Q&gt;&lt;R&gt;1&lt;/R&gt;&lt;C&gt;1&lt;/C&gt;&lt;D xsi:type="xsd:double"&gt;1.291734&lt;/D&gt;&lt;/FQL&gt;&lt;FQL&gt;&lt;Q&gt;FIX-US^P_BETA_LOCIDX(45131,44956,,"SPX")&lt;/Q&gt;&lt;R&gt;1&lt;/R&gt;&lt;C&gt;1&lt;/C&gt;&lt;D xsi:type="xsd:double"&gt;1.2830654&lt;/D&gt;&lt;/FQL&gt;&lt;FQL&gt;&lt;Q&gt;FIX-US^P_BETA_LOCIDX(45128,44953,,"SPX")&lt;/Q&gt;&lt;R&gt;1&lt;/R&gt;&lt;C&gt;1&lt;/C&gt;&lt;D xsi:type="xsd:double"&gt;1.2793945&lt;/D&gt;&lt;/FQL&gt;&lt;FQL&gt;&lt;Q&gt;FIX-US^P_BETA_LOCIDX(45127,44952,,"SPX")&lt;/Q&gt;&lt;R&gt;1&lt;/R&gt;&lt;C&gt;1&lt;/C&gt;&lt;D xsi:type="xsd:double"&gt;1.2722826&lt;/D&gt;&lt;/FQL&gt;&lt;FQL&gt;&lt;Q&gt;FIX-US^P_BETA_LOCIDX(45126,44951,,"SPX")&lt;/Q&gt;&lt;R&gt;1&lt;/R&gt;&lt;C&gt;1&lt;/C&gt;&lt;D xsi:type="xsd:double"&gt;1.2627661&lt;/D&gt;&lt;/FQL&gt;&lt;FQL&gt;&lt;Q&gt;FIX-US^P_BETA_LOCIDX(45125,44950,,"SPX")&lt;/Q&gt;&lt;R&gt;1&lt;/R&gt;&lt;C&gt;1&lt;/C&gt;&lt;D xsi:type="xsd:double"&gt;1.2616147&lt;/D&gt;&lt;/FQL&gt;&lt;FQL&gt;&lt;Q&gt;FIX-US^P_BETA_LOCIDX(45124,44949,,"SPX")&lt;/Q&gt;&lt;R&gt;1&lt;/R&gt;&lt;C&gt;1&lt;/C&gt;&lt;D xsi:type="xsd:double"&gt;1.2418369&lt;/D&gt;&lt;/FQL&gt;&lt;FQL&gt;&lt;Q&gt;FIX-US^P_BETA_LOCIDX(45121,44946,,"SPX")&lt;/Q&gt;&lt;R&gt;1&lt;/R&gt;&lt;C&gt;1&lt;/C&gt;&lt;D xsi:type="xsd:double"&gt;1.230757&lt;/D&gt;&lt;/FQL&gt;&lt;FQL&gt;&lt;Q&gt;FIX-US^P_BETA_LOCIDX(45120,44945,,"SPX")&lt;/Q&gt;&lt;R&gt;1&lt;/R&gt;&lt;C&gt;1&lt;/C&gt;&lt;D xsi:type="xsd:double"&gt;1.2528272&lt;/D&gt;&lt;/FQL&gt;&lt;FQL&gt;&lt;Q&gt;FIX-US^P_BETA_LOCIDX(45119,44944,,"SPX")&lt;/Q&gt;&lt;R&gt;1&lt;/R&gt;&lt;C&gt;1&lt;/C&gt;&lt;D xsi:type="xsd:double"&gt;1.2371835&lt;/D&gt;&lt;/FQL&gt;&lt;FQL&gt;&lt;Q&gt;FIX-US^P_BETA_LOCIDX(45118,44943,,"SPX")&lt;/Q&gt;&lt;R&gt;1&lt;/R&gt;&lt;C&gt;1&lt;/C&gt;&lt;D xsi:type="xsd:double"&gt;1.2531009&lt;/D&gt;&lt;/FQL&gt;&lt;FQL&gt;&lt;Q&gt;FIX-US^P_BETA_LOCIDX(45117,44939,,"SPX")&lt;/Q&gt;&lt;R&gt;1&lt;/R&gt;&lt;C&gt;1&lt;/C&gt;&lt;D xsi:type="xsd:double"&gt;1.2636796&lt;/D&gt;&lt;/FQL&gt;&lt;FQL&gt;&lt;Q&gt;FIX-US^P_BETA_LOCIDX(45114,44938,,"SPX")&lt;/Q&gt;&lt;R&gt;1&lt;/R&gt;&lt;C&gt;1&lt;/C&gt;&lt;D xsi:type="xsd:double"&gt;1.267776&lt;/D&gt;&lt;/FQL&gt;&lt;FQL&gt;&lt;Q&gt;FIX-US^P_BETA_LOCIDX(45113,44937,,"SPX")&lt;/Q&gt;&lt;R&gt;1&lt;/R&gt;&lt;C&gt;1&lt;/C&gt;&lt;D xsi:type="xsd:double"&gt;1.2648813&lt;/D&gt;&lt;/FQL&gt;&lt;FQL&gt;&lt;Q&gt;FIX-US^P_BETA_LOCIDX(45112,44936,,"SPX")&lt;/Q&gt;&lt;R&gt;1&lt;/R&gt;&lt;C&gt;1&lt;/C&gt;&lt;D xsi:type="xsd:double"&gt;1.2579759&lt;/D&gt;&lt;/FQL&gt;&lt;FQL&gt;&lt;Q&gt;FIX-US^P_BETA_LOCIDX(45110,44935,,"SPX")&lt;/Q&gt;&lt;R&gt;1&lt;/R&gt;&lt;C&gt;1&lt;/C&gt;&lt;D xsi:type="xsd:double"&gt;1.251825&lt;/D&gt;&lt;/FQL&gt;&lt;FQL&gt;&lt;Q&gt;FIX-US^P_BETA_LOCIDX(45107,44932,,"SPX")&lt;/Q&gt;&lt;R&gt;1&lt;/R&gt;&lt;C&gt;1&lt;/C&gt;&lt;D xsi:type="xsd:double"&gt;1.2227802&lt;/D&gt;&lt;/FQL&gt;&lt;FQL&gt;&lt;Q&gt;FIX-US^P_BETA_LOCIDX(45106,44931,,"SPX")&lt;/Q&gt;&lt;R&gt;1&lt;/R&gt;&lt;C&gt;1&lt;/C&gt;&lt;D xsi:type="xsd:double"&gt;1.2730764&lt;/D&gt;&lt;/FQL&gt;&lt;FQL&gt;&lt;Q&gt;FIX-US^P_BETA_LOCIDX(45105,44930,,"SPX")&lt;/Q&gt;&lt;R&gt;1&lt;/R&gt;&lt;C&gt;1&lt;/C&gt;&lt;D xsi:type="xsd:double"&gt;1.2453169&lt;/D&gt;&lt;/FQL&gt;&lt;FQL&gt;&lt;Q&gt;FIX-US^P_BETA_LOCIDX(45104,44929,,"SPX")&lt;/Q&gt;&lt;R&gt;1&lt;/R&gt;&lt;C&gt;1&lt;/C&gt;&lt;D xsi:type="xsd:double"&gt;1.2335061&lt;/D&gt;&lt;/FQL&gt;&lt;FQL&gt;&lt;Q&gt;FIX-US^P_BETA_LOCIDX(45103,44925,,"SPX")&lt;/Q&gt;&lt;R&gt;1&lt;/R&gt;&lt;C&gt;1&lt;/C&gt;&lt;D xsi:type="xsd:double"&gt;1.2511727&lt;/D&gt;&lt;/FQL&gt;&lt;FQL&gt;&lt;Q&gt;FIX-US^P_BETA_LOCIDX(45100,44924,,"SPX")&lt;/Q&gt;&lt;R&gt;1&lt;/R&gt;&lt;C&gt;1&lt;/C&gt;&lt;D xsi:type="xsd:double"&gt;1.2506697&lt;/D&gt;&lt;/FQL&gt;&lt;FQL&gt;&lt;Q&gt;FIX-US^P_BETA_LOCIDX(45099,44923,,"SPX")&lt;/Q&gt;&lt;R&gt;1&lt;/R&gt;&lt;C&gt;1&lt;/C&gt;&lt;D xsi:type="xsd:double"&gt;1.2549484&lt;/D&gt;&lt;/FQL&gt;&lt;FQL&gt;&lt;Q&gt;FIX-US^P_BETA_LOCIDX(45098,44922,,"SPX")&lt;/Q&gt;&lt;R&gt;1&lt;/R&gt;&lt;C&gt;1&lt;/C&gt;&lt;D xsi:type="xsd:double"&gt;1.261323&lt;/D&gt;&lt;/FQL&gt;&lt;FQL&gt;&lt;Q&gt;FIX-US^P_BETA_LOCIDX(45097,44918,,"SPX")&lt;/Q&gt;&lt;R&gt;1&lt;/R&gt;&lt;C&gt;1&lt;/C&gt;&lt;D xsi:type="xsd:double"&gt;1.2834642&lt;/D&gt;&lt;/FQL&gt;&lt;FQL&gt;&lt;Q&gt;FIX-US^P_BETA_LOCIDX(45093,44917,,"SPX")&lt;/Q&gt;&lt;R&gt;1&lt;/R&gt;&lt;C&gt;1&lt;/C&gt;&lt;D xsi:type="xsd:double"&gt;1.2586833&lt;/D&gt;&lt;/FQL&gt;&lt;FQL&gt;&lt;Q&gt;FIX-US^P_BETA_LOCIDX(45092,44916,,"SPX")&lt;/Q&gt;&lt;R&gt;1&lt;/R&gt;&lt;C&gt;1&lt;/C&gt;&lt;D xsi:type="xsd:double"&gt;1.2451345&lt;/D&gt;&lt;/FQL&gt;&lt;FQL&gt;&lt;Q&gt;FIX-US^P_BETA_LOCIDX(45091,44915,,"SPX")&lt;/Q&gt;&lt;R&gt;1&lt;/R&gt;&lt;C&gt;1&lt;/C&gt;&lt;D xsi:type="xsd:double"&gt;1.2478685&lt;/D&gt;&lt;/FQL&gt;&lt;FQL&gt;&lt;Q&gt;FIX-US^P_BETA_LOCIDX(45090,44914,,"SPX")&lt;/Q&gt;&lt;R&gt;1&lt;/R&gt;&lt;C&gt;1&lt;/C&gt;&lt;D xsi:type="xsd:double"&gt;1.233207&lt;/D&gt;&lt;/FQL&gt;&lt;FQL&gt;&lt;Q&gt;FIX-US^P_BETA_LOCIDX(45089,44911,,"SPX")&lt;/Q&gt;&lt;R&gt;1&lt;/R&gt;&lt;C&gt;1&lt;/C&gt;&lt;D xsi:type="xsd:double"&gt;1.2464386&lt;/D&gt;&lt;/FQL&gt;&lt;FQL&gt;&lt;Q&gt;FIX-US^P_BETA_LOCIDX(45086,44910,,"SPX")&lt;/Q&gt;&lt;R&gt;1&lt;/R&gt;&lt;C&gt;1&lt;/C&gt;&lt;D xsi:type="xsd:double"&gt;1.2258135&lt;/D&gt;&lt;/FQL&gt;&lt;FQL&gt;&lt;Q&gt;FIX-US^P_BETA_LOCIDX(45085,44909,,"SPX")&lt;/Q&gt;&lt;R&gt;1&lt;/R&gt;&lt;C&gt;1&lt;/C&gt;&lt;D xsi:type="xsd:double"&gt;1.2304304&lt;/D&gt;&lt;/FQL&gt;&lt;FQL&gt;&lt;Q&gt;FIX-US^P_BETA_LOCIDX(45084,44908,,"SPX")&lt;/Q&gt;&lt;R&gt;1&lt;/R&gt;&lt;C&gt;1&lt;/C&gt;&lt;D xsi:type="xsd:double"&gt;1.2345082&lt;/D&gt;&lt;/FQL&gt;&lt;FQL&gt;&lt;Q&gt;FIX-US^P_BETA_LOCIDX(45083,44907,,"SPX")&lt;/Q&gt;&lt;R&gt;1&lt;/R&gt;&lt;C&gt;1&lt;/C&gt;&lt;D xsi:type="xsd:double"&gt;1.2087209&lt;/D&gt;&lt;/FQL&gt;&lt;FQL&gt;&lt;Q&gt;FIX-US^P_BETA_LOCIDX(45082,44904,,"SPX")&lt;/Q&gt;&lt;R&gt;1&lt;/R&gt;&lt;C&gt;1&lt;/C&gt;&lt;D xsi:type="xsd:double"&gt;1.2053548&lt;/D&gt;&lt;/FQL&gt;&lt;FQL&gt;&lt;Q&gt;FIX-US^P_BETA_LOCIDX(45079,44903,,"SPX")&lt;/Q&gt;&lt;R&gt;1&lt;/R&gt;&lt;C&gt;1&lt;/C&gt;&lt;D xsi:type="xsd:double"&gt;1.1986591&lt;/D&gt;&lt;/FQL&gt;&lt;FQL&gt;&lt;Q&gt;FIX-US^P_BETA_LOCIDX(45078,44902,,"SPX")&lt;/Q&gt;&lt;R&gt;1&lt;/R&gt;&lt;C&gt;1&lt;/C&gt;&lt;D xsi:type="xsd:double"&gt;1.1691725&lt;/D&gt;&lt;/FQL&gt;&lt;FQL&gt;&lt;Q&gt;FIX-US^P_BETA_LOCIDX(45077,44901,,"SPX")&lt;/Q&gt;&lt;R&gt;1&lt;/R&gt;&lt;C&gt;1&lt;/C&gt;&lt;D xsi:type="xsd:double"&gt;1.1750133&lt;/D&gt;&lt;/FQL&gt;&lt;FQL&gt;&lt;Q&gt;FIX-US^P_BETA_LOCIDX(45076,44900,,"SPX")&lt;/Q&gt;&lt;R&gt;1&lt;/R&gt;&lt;C&gt;1&lt;/C&gt;&lt;D xsi:type="xsd:double"&gt;1.167983&lt;/D&gt;&lt;/FQL&gt;&lt;FQL&gt;&lt;Q&gt;FIX-US^P_BETA_LOCIDX(45072,44897,,"SPX")&lt;/Q&gt;&lt;R&gt;1&lt;/R&gt;&lt;C&gt;1&lt;/C&gt;&lt;D xsi:type="xsd:double"&gt;1.1679481&lt;/D&gt;&lt;/FQL&gt;&lt;FQL&gt;&lt;Q&gt;FIX-US^P_BETA_LOCIDX(45071,44896,,"SPX")&lt;/Q&gt;&lt;R&gt;1&lt;/R&gt;&lt;C&gt;1&lt;/C&gt;&lt;D xsi:type="xsd:double"&gt;1.1879277&lt;/D&gt;&lt;/FQL&gt;&lt;FQL&gt;&lt;Q&gt;FIX-US^P_BETA_LOCIDX(45070,44895,,"SPX")&lt;/Q&gt;&lt;R&gt;1&lt;/R&gt;&lt;C&gt;1&lt;/C&gt;&lt;D xsi:type="xsd:double"&gt;1.126836&lt;/D&gt;&lt;/FQL&gt;&lt;FQL&gt;&lt;Q&gt;FIX-US^P_BETA_LOCIDX(45069,44894,,"SPX")&lt;/Q&gt;&lt;R&gt;1&lt;/R&gt;&lt;C&gt;1&lt;/C&gt;&lt;D xsi:type="xsd:double"&gt;1.1210929&lt;/D&gt;&lt;/FQL&gt;&lt;FQL&gt;&lt;Q&gt;FIX-US^P_BETA_LOCIDX(45068,44893,,"SPX")&lt;/Q&gt;&lt;R&gt;1&lt;/R&gt;&lt;C&gt;1&lt;/C&gt;&lt;D xsi:type="xsd:double"&gt;1.1100672&lt;/D&gt;&lt;/FQL&gt;&lt;FQL&gt;&lt;Q&gt;FIX-US^P_BETA_LOCIDX(45065,44890,,"SPX")&lt;/Q&gt;&lt;R&gt;1&lt;/R&gt;&lt;C&gt;1&lt;/C&gt;&lt;D xsi:type="xsd:double"&gt;1.110071&lt;/D&gt;&lt;/FQL&gt;&lt;FQL&gt;&lt;Q&gt;FIX-US^P_BETA_LOCIDX(45064,44888,,"SPX")&lt;/Q&gt;&lt;R&gt;1&lt;/R&gt;&lt;C&gt;1&lt;/C&gt;&lt;D xsi:type="xsd:double"&gt;1.1012037&lt;/D&gt;&lt;/FQL&gt;&lt;FQL&gt;&lt;Q&gt;FIX-US^P_BETA_LOCIDX(45063,44887,,"SPX")&lt;/Q&gt;&lt;R&gt;1&lt;/R&gt;&lt;C&gt;1&lt;/C&gt;&lt;D xsi:type="xsd:double"&gt;1.0873677&lt;/D&gt;&lt;/FQL&gt;&lt;FQL&gt;&lt;Q&gt;FIX-US^P_BETA_LOCIDX(45062,44886,,"SPX")&lt;/Q&gt;&lt;R&gt;1&lt;/R&gt;&lt;C&gt;1&lt;/C&gt;&lt;D xsi:type="xsd:double"&gt;1.0937203&lt;/D&gt;&lt;/FQL&gt;&lt;FQL&gt;&lt;Q&gt;FIX-US^P_BETA_LOCIDX(45061,44883,,"SPX")&lt;/Q&gt;&lt;R&gt;1&lt;/R&gt;&lt;C&gt;1&lt;/C&gt;&lt;D xsi:type="xsd:double"&gt;1.0954977&lt;/D&gt;&lt;/FQL&gt;&lt;FQL&gt;&lt;Q&gt;FIX-US^P_BETA_LOCIDX(45058,44882,,"SPX")&lt;/Q&gt;&lt;R&gt;1&lt;/R&gt;&lt;C&gt;1&lt;/C&gt;&lt;D xsi:type="xsd:double"&gt;1.0891759&lt;/D&gt;&lt;/FQL&gt;&lt;FQL&gt;&lt;Q&gt;FIX-US^P_BETA_LOCIDX(45057,44881,,"SPX")&lt;/Q&gt;&lt;R&gt;1&lt;/R&gt;&lt;C&gt;1&lt;/C&gt;&lt;D xsi:type="xsd:double"&gt;1.0837493&lt;/D&gt;&lt;/FQL&gt;&lt;FQL&gt;&lt;Q&gt;FIX-US^P_BETA_LOCIDX(45056,44880,,"SPX")&lt;/Q&gt;&lt;R&gt;1&lt;/R&gt;&lt;C&gt;1&lt;/C&gt;&lt;D xsi:type="xsd:double"&gt;1.0730615&lt;/D&gt;&lt;/FQL&gt;&lt;FQL&gt;&lt;Q&gt;FIX-US^P_BETA_LOCIDX(45055,44879,,"SPX")&lt;/Q&gt;&lt;R&gt;1&lt;/R&gt;&lt;C&gt;1&lt;/C&gt;&lt;D xsi:type="xsd:double"&gt;1.0631115&lt;/D&gt;&lt;/FQL&gt;&lt;FQL&gt;&lt;Q&gt;FIX-US^P_BETA_LOCIDX(45054,44876,,"SPX")&lt;/Q&gt;&lt;R&gt;1&lt;/R&gt;&lt;C&gt;1&lt;/C&gt;&lt;D xsi:type="xsd:double"&gt;1.0451928&lt;/D&gt;&lt;/FQL&gt;&lt;FQL&gt;&lt;Q&gt;FIX-US^P_BETA_LOCIDX(45051,44875,,"SPX")&lt;/Q&gt;&lt;R&gt;1&lt;/R&gt;&lt;C&gt;1&lt;/C&gt;&lt;D xsi:type="xsd:double"&gt;1.0196786&lt;/D&gt;&lt;/FQL&gt;&lt;FQL&gt;&lt;Q&gt;FIX-US^P_BETA_LOCIDX(45050,44874,,"SPX")&lt;/Q&gt;&lt;R&gt;1&lt;/R&gt;&lt;C&gt;1&lt;/C&gt;&lt;D xsi:type="xsd:double"&gt;1.0112112&lt;/D&gt;&lt;/FQL&gt;&lt;FQL&gt;&lt;Q&gt;FIX-US^P_BETA_LOCIDX(45049,44873,,"SPX")&lt;/Q&gt;&lt;R&gt;1&lt;/R&gt;&lt;C&gt;1&lt;/C&gt;&lt;D xsi:type="xsd:double"&gt;1.0017126&lt;/D&gt;&lt;/FQL&gt;&lt;FQL&gt;&lt;Q&gt;FIX-US^P_BETA_LOCIDX(45048,44872,,"SPX")&lt;/Q&gt;&lt;R&gt;1&lt;/R&gt;&lt;C&gt;1&lt;/C&gt;&lt;D xsi:type="xsd:double"&gt;1.0074531&lt;/D&gt;&lt;/FQL&gt;&lt;FQL&gt;&lt;Q&gt;FIX-US^P_BETA_LOCIDX(45047,44869,,"SPX")&lt;/Q&gt;&lt;R&gt;1&lt;/R&gt;&lt;C&gt;1&lt;/C&gt;&lt;D xsi:type="xsd:double"&gt;1.0328897&lt;/D&gt;&lt;/FQL&gt;&lt;FQL&gt;&lt;Q&gt;FIX-US^P_BETA_LOCIDX(45044,44868,,"SPX")&lt;/Q&gt;&lt;R&gt;1&lt;/R&gt;&lt;C&gt;1&lt;/C&gt;&lt;D xsi:type="xsd:double"&gt;1.0217267&lt;/D&gt;&lt;/FQL&gt;&lt;FQL&gt;&lt;Q&gt;FIX-US^P_BETA_LOCIDX(45043,44867,,"SPX")&lt;/Q&gt;&lt;R&gt;1&lt;/R&gt;&lt;C&gt;1&lt;/C&gt;&lt;D xsi:type="xsd:double"&gt;1.041272&lt;/D&gt;&lt;/FQL&gt;&lt;FQL&gt;&lt;Q&gt;FIX-US^P_BETA_LOCIDX(45042,44866,,"SPX")&lt;/Q&gt;&lt;R&gt;1&lt;/R&gt;&lt;C&gt;1&lt;/C&gt;&lt;D xsi:type="xsd:double"&gt;0.9310889&lt;/D&gt;&lt;/FQL&gt;&lt;FQL&gt;&lt;Q&gt;FIX-US^P_BETA_LOCIDX(45041,44865,,"SPX")&lt;/Q&gt;&lt;R&gt;1&lt;/R&gt;&lt;C&gt;1&lt;/C&gt;&lt;D xsi:type="xsd:double"&gt;0.9236862&lt;/D&gt;&lt;/FQL&gt;&lt;FQL&gt;&lt;Q&gt;FIX-US^P_BETA_LOCIDX(45040,44862,,"SPX")&lt;/Q&gt;&lt;R&gt;1&lt;/R&gt;&lt;C&gt;1&lt;/C&gt;&lt;D xsi:type="xsd:double"&gt;0.9255565&lt;/D&gt;&lt;/FQL&gt;&lt;FQL&gt;&lt;Q&gt;FIX-US^P_BETA_LOCIDX(45037,44861,,"SPX")&lt;/Q&gt;&lt;R&gt;1&lt;/R&gt;&lt;C&gt;1&lt;/C&gt;&lt;D xsi:type="xsd:double"&gt;0.89165306&lt;/D&gt;&lt;/FQL&gt;&lt;FQL&gt;&lt;Q&gt;FIX-US^P_BETA_LOCIDX(45036,44860,,"SPX")&lt;/Q&gt;&lt;R&gt;1&lt;/R&gt;&lt;C&gt;1&lt;/C&gt;&lt;D xsi:type="xsd:double"&gt;0.89171493&lt;/D&gt;&lt;/FQL&gt;&lt;FQL&gt;&lt;Q&gt;FIX-US^P_BETA_LOCIDX(45035,44859,,"SPX")&lt;/Q&gt;&lt;R&gt;1&lt;/R&gt;&lt;C&gt;1&lt;/C&gt;&lt;D xsi:type="xsd:double"&gt;0.904502&lt;/D&gt;&lt;/FQL&gt;&lt;FQL&gt;&lt;Q&gt;FIX-US^P_BETA_LOCIDX(45034,44858,,"SPX")&lt;/Q&gt;&lt;R&gt;1&lt;/R&gt;&lt;C&gt;1&lt;/C&gt;&lt;D xsi:type="xsd:double"&gt;0.9076929&lt;/D&gt;&lt;/FQL&gt;&lt;FQL&gt;&lt;Q&gt;FIX-US^P_BETA_LOCIDX(45033,44855,,"SPX")&lt;/Q&gt;&lt;R&gt;1&lt;/R&gt;&lt;C&gt;1&lt;/C&gt;&lt;D xsi:type="xsd:double"&gt;0.9145472&lt;/D&gt;&lt;/FQL&gt;&lt;FQL&gt;&lt;Q&gt;FIX-US^P_BETA_LOCIDX(45030,44854,,"SPX")&lt;/Q&gt;&lt;R&gt;1&lt;/R&gt;&lt;C&gt;1&lt;/C&gt;&lt;D xsi:type="xsd:double"&gt;0.92509466&lt;/D&gt;&lt;/FQL&gt;&lt;FQL&gt;&lt;Q&gt;FIX-US^P_BETA_LOCIDX(45029,44853,,"SPX")&lt;/Q&gt;&lt;R&gt;1&lt;/R&gt;&lt;C&gt;1&lt;/C&gt;&lt;D xsi:type="xsd:double"&gt;0.92609185&lt;/D&gt;&lt;/FQL&gt;&lt;FQL&gt;&lt;Q&gt;FIX-US^P_BETA_LOCIDX(45028,44852,,"SPX")&lt;/Q&gt;&lt;R&gt;1&lt;/R&gt;&lt;C&gt;1&lt;/C&gt;&lt;D xsi:type="xsd:double"&gt;0.94014764&lt;/D&gt;&lt;/FQL&gt;&lt;FQL&gt;&lt;Q&gt;FIX-US^P_BETA_LOCIDX(45027,44851,,"SPX")&lt;/Q&gt;&lt;R&gt;1&lt;/R&gt;&lt;C&gt;1&lt;/C&gt;&lt;D xsi:type="xsd:double"&gt;0.9509373&lt;/D&gt;&lt;/FQL&gt;&lt;FQL&gt;&lt;Q&gt;FIX-US^P_BETA_LOCIDX(45026,44848,,"SPX")&lt;/Q&gt;&lt;R&gt;1&lt;/R&gt;&lt;C&gt;1&lt;/C&gt;&lt;D xsi:type="xsd:double"&gt;0.94769245&lt;/D&gt;&lt;/FQL&gt;&lt;FQL&gt;&lt;Q&gt;FIX-US^P_BETA_LOCIDX(45022,44847,,"SPX")&lt;/Q&gt;&lt;R&gt;1&lt;/R&gt;&lt;C&gt;1&lt;/C&gt;&lt;D xsi:type="xsd:double"&gt;0.94633615&lt;/D&gt;&lt;/FQL&gt;&lt;FQL&gt;&lt;Q&gt;FIX-US^P_BETA_LOCIDX(45021,44846,,"SPX")&lt;/Q&gt;&lt;R&gt;1&lt;/R&gt;&lt;C&gt;1&lt;/C&gt;&lt;D xsi:type="xsd:double"&gt;0.9518205&lt;/D&gt;&lt;/FQL&gt;&lt;FQL&gt;&lt;Q&gt;FIX-US^P_BETA_LOCIDX(45020,44845,,"SPX")&lt;/Q&gt;&lt;R&gt;1&lt;/R&gt;&lt;C&gt;1&lt;/C&gt;&lt;D xsi:type="xsd:double"&gt;0.93417764&lt;/D&gt;&lt;/FQL&gt;&lt;FQL&gt;&lt;Q&gt;FIX-US^P_BETA_LOCIDX(45019,44844,,"SPX")&lt;/Q&gt;&lt;R&gt;1&lt;/R&gt;&lt;C&gt;1&lt;/C&gt;&lt;D xsi:type="xsd:double"&gt;0.91678506&lt;/D&gt;&lt;/FQL&gt;&lt;FQL&gt;&lt;Q&gt;FIX-US^P_BETA_LOCIDX(45016,44841,,"SPX")&lt;/Q&gt;&lt;R&gt;1&lt;/R&gt;&lt;C&gt;1&lt;/C&gt;&lt;D xsi:type="xsd:double"&gt;0.91881764&lt;/D&gt;&lt;/FQL&gt;&lt;FQL&gt;&lt;Q&gt;FIX-US^P_BETA_LOCIDX(45015,44840,,"SPX")&lt;/Q&gt;&lt;R&gt;1&lt;/R&gt;&lt;C&gt;1&lt;/C&gt;&lt;D xsi:type="xsd:double"&gt;0.90779525&lt;/D&gt;&lt;/FQL&gt;&lt;FQL&gt;&lt;Q&gt;FIX-US^P_BETA_LOCIDX(45014,44839,,"SPX")&lt;/Q&gt;&lt;R&gt;1&lt;/R&gt;&lt;C&gt;1&lt;/C&gt;&lt;D xsi:type="xsd:double"&gt;0.91682875&lt;/D&gt;&lt;/FQL&gt;&lt;FQL&gt;&lt;Q&gt;FIX-US^P_BETA_LOCIDX(45013,44838,,"SPX")&lt;/Q&gt;&lt;R&gt;1&lt;/R&gt;&lt;C&gt;1&lt;/C&gt;&lt;D xsi:type="xsd:double"&gt;0.9228417&lt;/D&gt;&lt;/FQL&gt;&lt;FQL&gt;&lt;Q&gt;FIX-US^P_BETA_LOCIDX(45012,44837,,"SPX")&lt;/Q&gt;&lt;R&gt;1&lt;/R&gt;&lt;C&gt;1&lt;/C&gt;&lt;D xsi:type="xsd:double"&gt;0.9656383&lt;/D&gt;&lt;/FQL&gt;&lt;FQL&gt;&lt;Q&gt;FIX-US^P_BETA_LOCIDX(45009,44834,,"SPX")&lt;/Q&gt;&lt;R&gt;1&lt;/R&gt;&lt;C&gt;1&lt;/C&gt;&lt;D xsi:type="xsd:double"&gt;0.9525462&lt;/D&gt;&lt;/FQL&gt;&lt;FQL&gt;&lt;Q&gt;FIX-US^P_BETA_LOCIDX(45008,44833,,"SPX")&lt;/Q&gt;&lt;R&gt;1&lt;/R&gt;&lt;C&gt;1&lt;/C&gt;&lt;D xsi:type="xsd:double"&gt;0.96178675&lt;/D&gt;&lt;/FQL&gt;&lt;FQL&gt;&lt;Q&gt;FIX-US^P_BETA_LOCIDX(45007,44832,,"SPX")&lt;/Q&gt;&lt;R&gt;1&lt;/R&gt;&lt;C&gt;1&lt;/C&gt;&lt;D xsi:type="xsd:double"&gt;0.97544706&lt;/D&gt;&lt;/FQL&gt;&lt;FQL&gt;&lt;Q&gt;FIX-US^P_BETA_LOCIDX(45006,44831,,"SPX")&lt;/Q&gt;&lt;R&gt;1&lt;/R&gt;&lt;C&gt;1&lt;/C&gt;&lt;D xsi:type="xsd:double"&gt;0.9791711&lt;/D&gt;&lt;/FQL&gt;&lt;FQL&gt;&lt;Q&gt;FIX-US^P_BETA_LOCIDX(45005,44830,,"SPX")&lt;/Q&gt;&lt;R&gt;1&lt;/R&gt;&lt;C&gt;1&lt;/C&gt;&lt;D xsi:type="xsd:double"&gt;0.98340046&lt;/D&gt;&lt;/FQL&gt;&lt;FQL&gt;&lt;Q&gt;FIX-US^P_BETA_LOCIDX(45002,44827,,"SPX")&lt;/Q&gt;&lt;R&gt;1&lt;/R&gt;&lt;C&gt;1&lt;/C&gt;&lt;D xsi:type="xsd:double"&gt;0.98020405&lt;/D&gt;&lt;/FQL&gt;&lt;FQL&gt;&lt;Q&gt;FIX-US^P_BETA_LOCIDX(45001,44826,,"SPX")&lt;/Q&gt;&lt;R&gt;1&lt;/R&gt;&lt;C&gt;1&lt;/C&gt;&lt;D xsi:type="xsd:double"&gt;0.9759876&lt;/D&gt;&lt;/FQL&gt;&lt;FQL&gt;&lt;Q&gt;FIX-US^P_BETA_LOCIDX(45000,44825,,"SPX")&lt;/Q&gt;&lt;R&gt;1&lt;/R&gt;&lt;C&gt;1&lt;/C&gt;&lt;D xsi:type="xsd:double"&gt;0.9677455&lt;/D&gt;&lt;/FQL&gt;&lt;FQL&gt;&lt;Q&gt;FIX-US^P_BETA_LOCIDX(44999,44824,,"SPX")&lt;/Q&gt;&lt;R&gt;1&lt;/R&gt;&lt;C&gt;1&lt;/C&gt;&lt;D xsi:type="xsd:double"&gt;0.9512681&lt;/D&gt;&lt;/FQL&gt;&lt;FQL&gt;&lt;Q&gt;FIX-US^P_BETA_LOCIDX(44998,44823,,"SPX")&lt;/Q&gt;&lt;R&gt;1&lt;/R&gt;&lt;C&gt;1&lt;/C&gt;&lt;D xsi:type="xsd:double"&gt;0.9521227&lt;/D&gt;&lt;/FQL&gt;&lt;FQL&gt;&lt;Q&gt;FIX-US^P_BETA_LOCIDX(44995,44820,,"SPX")&lt;/Q&gt;&lt;R&gt;1&lt;/R&gt;&lt;C&gt;1&lt;/C&gt;&lt;D xsi:type="xsd:double"&gt;0.9466476&lt;/D&gt;&lt;/FQL&gt;&lt;FQL&gt;&lt;Q&gt;FIX-US^P_BETA_LOCIDX(44994,44819,,"SPX")&lt;/Q&gt;&lt;R&gt;1&lt;/R&gt;&lt;C&gt;1&lt;/C&gt;&lt;D xsi:type="xsd:double"&gt;0.9365771&lt;/D&gt;&lt;/FQL&gt;&lt;FQL&gt;&lt;Q&gt;FIX-US^P_BETA_LOCIDX(44993,44818,,"SPX")&lt;/Q&gt;&lt;R&gt;1&lt;/R&gt;&lt;C&gt;1&lt;/C&gt;&lt;D xsi:type="xsd:double"&gt;0.9234382&lt;/D&gt;&lt;/FQL&gt;&lt;FQL&gt;&lt;Q&gt;FIX-US^P_BETA_LOCIDX(44992,44817,,"SPX")&lt;/Q&gt;&lt;R&gt;1&lt;/R&gt;&lt;C&gt;1&lt;/C&gt;&lt;D xsi:type="xsd:double"&gt;0.903129&lt;/D&gt;&lt;/FQL&gt;&lt;FQL&gt;&lt;Q&gt;FIX-US^P_BETA_LOCIDX(44991,44816,,"SPX")&lt;/Q&gt;&lt;R&gt;1&lt;/R&gt;&lt;C&gt;1&lt;/C&gt;&lt;D xsi:type="xsd:double"&gt;0.9031175&lt;/D&gt;&lt;/FQL&gt;&lt;FQL&gt;&lt;Q&gt;FIX-US^P_BETA_LOCIDX(44988,44813,,"SPX")&lt;/Q&gt;&lt;R&gt;1&lt;/R&gt;&lt;C&gt;1&lt;/C&gt;&lt;D xsi:type="xsd:double"&gt;0.90263325&lt;/D&gt;&lt;/FQL&gt;&lt;FQL&gt;&lt;Q&gt;FIX-US^P_BETA_LOCIDX(44987,44812,,"SPX")&lt;/Q&gt;&lt;R&gt;1&lt;/R&gt;&lt;C&gt;1&lt;/C&gt;&lt;D xsi:type="xsd:double"&gt;0.8962326&lt;/D&gt;&lt;/FQL&gt;&lt;FQL&gt;&lt;Q&gt;FIX-US^P_BETA_LOCIDX(44986,44811,,"SPX")&lt;/Q&gt;&lt;R&gt;1&lt;/R&gt;&lt;C&gt;1&lt;/C&gt;&lt;D xsi:type="xsd:double"&gt;0.89999163&lt;/D&gt;&lt;/FQL&gt;&lt;FQL&gt;&lt;Q&gt;FIX-US^P_BETA_LOCIDX(44985,44810,,"SPX")&lt;/Q&gt;&lt;R&gt;1&lt;/R&gt;&lt;C&gt;1&lt;/C&gt;&lt;D xsi:type="xsd:double"&gt;0.905558&lt;/D&gt;&lt;/FQL&gt;&lt;FQL&gt;&lt;Q&gt;FIX-US^P_BETA_LOCIDX(44984,44806,,"SPX")&lt;/Q&gt;&lt;R&gt;1&lt;/R&gt;&lt;C&gt;1&lt;/C&gt;&lt;D xsi:type="xsd:double"&gt;0.903319&lt;/D&gt;&lt;/FQL&gt;&lt;FQL&gt;&lt;Q&gt;FIX-US^P_BETA_LOCIDX(44981,44805,,"SPX")&lt;/Q&gt;&lt;R&gt;1&lt;/R&gt;&lt;C&gt;1&lt;/C&gt;&lt;D xsi:type="xsd:double"&gt;0.90402997&lt;/D&gt;&lt;/FQL&gt;&lt;FQL&gt;&lt;Q&gt;FIX-US^P_BETA_LOCIDX(44980,44804,,"SPX")&lt;/Q&gt;&lt;R&gt;1&lt;/R&gt;&lt;C&gt;1&lt;/C&gt;&lt;D xsi:type="xsd:double"&gt;0.9386058&lt;/D&gt;&lt;/FQL&gt;&lt;FQL&gt;&lt;Q&gt;FIX-US^P_BETA_LOCIDX(44979,44803,,"SPX")&lt;/Q&gt;&lt;R&gt;1&lt;/R&gt;&lt;C&gt;1&lt;/C&gt;&lt;D xsi:type="xsd:double"&gt;0.92862165&lt;/D&gt;&lt;/FQL&gt;&lt;FQL&gt;&lt;Q&gt;FIX-US^P_BETA_LOCIDX(44978,44802,,"SPX")&lt;/Q&gt;&lt;R&gt;1&lt;/R&gt;&lt;C&gt;1&lt;/C&gt;&lt;D xsi:type="xsd:double"&gt;0.92657024&lt;/D&gt;&lt;/FQL&gt;&lt;FQL&gt;&lt;Q&gt;FIX-US^P_BETA_LOCIDX(44974,44799,,"SPX")&lt;/Q&gt;&lt;R&gt;1&lt;/R&gt;&lt;C&gt;1&lt;/C&gt;&lt;D xsi:type="xsd:double"&gt;0.9123004&lt;/D&gt;&lt;/FQL&gt;&lt;FQL&gt;&lt;Q&gt;FIX-US^P_BETA_LOCIDX(44973,44798,,"SPX")&lt;/Q&gt;&lt;R&gt;1&lt;/R&gt;&lt;C&gt;1&lt;/C&gt;&lt;D xsi:type="xsd:double"&gt;0.9218118&lt;/D&gt;&lt;/FQL&gt;&lt;FQL&gt;&lt;Q&gt;FIX-US^P_BETA_LOCIDX(44972,44797,,"SPX")&lt;/Q&gt;&lt;R&gt;1&lt;/R&gt;&lt;C&gt;1&lt;/C&gt;&lt;D xsi:type="xsd:double"&gt;0.9340097&lt;/D&gt;&lt;/FQL&gt;&lt;FQL&gt;&lt;Q&gt;FIX-US^P_BETA_LOCIDX(44971,44796,,"SPX")&lt;/Q&gt;&lt;R&gt;1&lt;/R&gt;&lt;C&gt;1&lt;/C&gt;&lt;D xsi:type="xsd:double"&gt;0.9333954&lt;/D&gt;&lt;/FQL&gt;&lt;FQL&gt;&lt;Q&gt;FIX-US^P_BETA_LOCIDX(44970,44795,,"SPX")&lt;/Q&gt;&lt;R&gt;1&lt;/R&gt;&lt;C&gt;1&lt;/C&gt;&lt;D xsi:type="xsd:double"&gt;0.93729144&lt;/D&gt;&lt;/FQL&gt;&lt;FQL&gt;&lt;Q&gt;FIX-US^P_BETA_LOCIDX(44967,44792,,"SPX")&lt;/Q&gt;&lt;R&gt;1&lt;/R&gt;&lt;C&gt;1&lt;/C&gt;&lt;D xsi:type="xsd:double"&gt;0.94100744&lt;/D&gt;&lt;/FQL&gt;&lt;FQL&gt;&lt;Q&gt;FIX-US^P_BETA_LOCIDX(44966,44791,,"SPX")&lt;/Q&gt;&lt;R&gt;1&lt;/R&gt;&lt;C&gt;1&lt;/C&gt;&lt;D xsi:type="xsd:double"&gt;0.9404612&lt;/D&gt;&lt;/FQL&gt;&lt;FQL&gt;&lt;Q&gt;FIX-US^P_BETA_LOCIDX(44965,44790,,"SPX")&lt;/Q&gt;&lt;R&gt;1&lt;/R&gt;&lt;C&gt;1&lt;/C&gt;&lt;D xsi:type="xsd:double"&gt;0.9376299&lt;/D&gt;&lt;/FQL&gt;&lt;FQL&gt;&lt;Q&gt;FIX-US^P_BETA_LOCIDX(44964,44789,,"SPX")&lt;/Q&gt;&lt;R&gt;1&lt;/R&gt;&lt;C&gt;1&lt;/C&gt;&lt;D xsi:type="xsd:double"&gt;0.93651664&lt;/D&gt;&lt;/FQL&gt;&lt;FQL&gt;&lt;Q&gt;FIX-US^P_BETA_LOCIDX(44963,44788,,"SPX")&lt;/Q&gt;&lt;R&gt;1&lt;/R&gt;&lt;C&gt;1&lt;/C&gt;&lt;D xsi:type="xsd:double"&gt;0.94008416&lt;/D&gt;&lt;/FQL&gt;&lt;FQL&gt;&lt;Q&gt;FIX-US^P_BETA_LOCIDX(44960,44785,,"SPX")&lt;/Q&gt;&lt;R&gt;1&lt;/R&gt;&lt;C&gt;1&lt;/C&gt;&lt;D xsi:type="xsd:double"&gt;0.95277506&lt;/D&gt;&lt;/FQL&gt;&lt;FQL&gt;&lt;Q&gt;FIX-US^P_BETA_LOCIDX(44959,44784,,"SPX")&lt;/Q&gt;&lt;R&gt;1&lt;/R&gt;&lt;C&gt;1&lt;/C&gt;&lt;D xsi:type="xsd:double"&gt;0.95686525&lt;/D&gt;&lt;/FQL&gt;&lt;FQL&gt;&lt;Q&gt;FIX-US^P_BETA_LOCIDX(44958,44783,,"SPX")&lt;/Q&gt;&lt;R&gt;1&lt;/R&gt;&lt;C&gt;1&lt;/C&gt;&lt;D xsi:type="xsd:double"&gt;0.9645973&lt;/D&gt;&lt;/FQL&gt;&lt;FQL&gt;&lt;Q&gt;FIX-US^P_BETA_LOCIDX(44957,44782,,"SPX")&lt;/Q&gt;&lt;R&gt;1&lt;/R&gt;&lt;C&gt;1&lt;/C&gt;&lt;D xsi:type="xsd:double"&gt;0.97040564&lt;/D&gt;&lt;/FQL&gt;&lt;FQL&gt;&lt;Q&gt;FIX-US^P_BETA_LOCIDX(44956,44781,,"SPX")&lt;/Q&gt;&lt;R&gt;1&lt;/R&gt;&lt;C&gt;1&lt;/C&gt;&lt;D xsi:type="xsd:double"&gt;0.9645802&lt;/D&gt;&lt;/FQL&gt;&lt;FQL&gt;&lt;Q&gt;FIX-US^P_BETA_LOCIDX(44953,44778,,"SPX")&lt;/Q&gt;&lt;R&gt;1&lt;/R&gt;&lt;C&gt;1&lt;/C&gt;&lt;D xsi:type="xsd:double"&gt;0.965002&lt;/D&gt;&lt;/FQL&gt;&lt;FQL&gt;&lt;Q&gt;FIX-US^P_BETA_LOCIDX(44952,44777,,"SPX")&lt;/Q&gt;&lt;R&gt;1&lt;/R&gt;&lt;C&gt;1&lt;/C&gt;&lt;D xsi:type="xsd:double"&gt;0.9663561&lt;/D&gt;&lt;/FQL&gt;&lt;FQL&gt;&lt;Q&gt;FIX-US^P_BETA_LOCIDX(44951,44776,,"SPX")&lt;/Q&gt;&lt;R&gt;1&lt;/R&gt;&lt;C&gt;1&lt;/C&gt;&lt;D xsi:type="xsd:double"&gt;0.9557831&lt;/D&gt;&lt;/FQL&gt;&lt;FQL&gt;&lt;Q&gt;FIX-US^P_BETA_LOCIDX(44950,44775,,"SPX")&lt;/Q&gt;&lt;R&gt;1&lt;/R&gt;&lt;C&gt;1&lt;/C&gt;&lt;D xsi:type="xsd:double"&gt;0.95618236&lt;/D&gt;&lt;/FQL&gt;&lt;FQL&gt;&lt;Q&gt;FIX-US^P_BETA_LOCIDX(44949,44774,,"SPX")&lt;/Q&gt;&lt;R&gt;1&lt;/R&gt;&lt;C&gt;1&lt;/C&gt;&lt;D xsi:type="xsd:double"&gt;0.9565706&lt;/D&gt;&lt;/FQL&gt;&lt;FQL&gt;&lt;Q&gt;FIX-US^P_BETA_LOCIDX(44946,44771,,"SPX")&lt;/Q&gt;&lt;R&gt;1&lt;/R&gt;&lt;C&gt;1&lt;/C&gt;&lt;D xsi:type="xsd:double"&gt;0.9913263&lt;/D&gt;&lt;/FQL&gt;&lt;FQL&gt;&lt;Q&gt;FIX-US^P_BETA_LOCIDX(44945,44770,,"SPX")&lt;/Q&gt;&lt;R&gt;1&lt;/R&gt;&lt;C&gt;1&lt;/C&gt;&lt;D xsi:type="xsd:double"&gt;1.0150956&lt;/D&gt;&lt;/FQL&gt;&lt;FQL&gt;&lt;Q&gt;FIX-US^P_BETA_LOCIDX(44944,44769,,"SPX")&lt;/Q&gt;&lt;R&gt;1&lt;/R&gt;&lt;C&gt;1&lt;/C&gt;&lt;D xsi:type="xsd:double"&gt;0.99654406&lt;/D&gt;&lt;/FQL&gt;&lt;FQL&gt;&lt;Q&gt;FIX-US^P_BETA_LOCIDX(44943,44768,,"SPX")&lt;/Q&gt;&lt;R&gt;1&lt;/R&gt;&lt;C&gt;1&lt;/C&gt;&lt;D xsi:type="xsd:double"&gt;0.99042237&lt;/D&gt;&lt;/FQL&gt;&lt;FQL&gt;&lt;Q&gt;FIX-US^P_BETA_LOCIDX(44939,44767,,"SPX")&lt;/Q&gt;&lt;R&gt;1&lt;/R&gt;&lt;C&gt;1&lt;/C&gt;&lt;D xsi:type="xsd:double"&gt;0.98649055&lt;/D&gt;&lt;/FQL&gt;&lt;FQL&gt;&lt;Q&gt;FIX-US^P_BETA_LOCIDX(44938,44764,,"SPX")&lt;/Q&gt;&lt;R&gt;1&lt;/R&gt;&lt;C&gt;1&lt;/C&gt;&lt;D xsi:type="xsd:double"&gt;0.98080254&lt;/D&gt;&lt;/FQL&gt;&lt;FQL&gt;&lt;Q&gt;FIX-US^P_BETA_LOCIDX(44937,44763,,"SPX")&lt;/Q&gt;&lt;R&gt;1&lt;/R&gt;&lt;C&gt;1&lt;/C&gt;&lt;D xsi:type="xsd:double"&gt;0.9799664&lt;/D&gt;&lt;/FQL&gt;&lt;FQL&gt;&lt;Q&gt;FIX-US^P_BETA_LOCIDX(44936,44762,,"SPX")&lt;/Q&gt;&lt;R&gt;1&lt;/R&gt;&lt;C&gt;1&lt;/C&gt;&lt;D xsi:type="xsd:double"&gt;0.980072&lt;/D&gt;&lt;/FQL&gt;&lt;FQL&gt;&lt;Q&gt;FIX-US^P_BETA_LOCIDX(44935,44761,,"SPX")&lt;/Q&gt;&lt;R&gt;1&lt;/R&gt;&lt;C&gt;1&lt;/C&gt;&lt;D xsi:type="xsd:double"&gt;1.0059885&lt;/D&gt;&lt;/FQL&gt;&lt;FQL&gt;&lt;Q&gt;FIX-US^P_BETA_LOCIDX(44932,44760,,"SPX")&lt;/Q&gt;&lt;R&gt;1&lt;/R&gt;&lt;C&gt;1&lt;/C&gt;&lt;D xsi:type="xsd:double"&gt;1.0079114&lt;/D&gt;&lt;/FQL&gt;&lt;FQL&gt;&lt;Q&gt;FIX-US^P_BETA_LOCIDX(44931,44757,,"SPX")&lt;/Q&gt;&lt;R&gt;1&lt;/R&gt;&lt;C&gt;1&lt;/C&gt;&lt;D xsi:type="xsd:double"&gt;1.0082921&lt;/D&gt;&lt;/FQL&gt;&lt;FQL&gt;&lt;Q&gt;FIX-US^P_BETA_LOCIDX(44930,44756,,"SPX")&lt;/Q&gt;&lt;R&gt;1&lt;/R&gt;&lt;C&gt;1&lt;/C&gt;&lt;D xsi:type="xsd:double"&gt;1.0004126&lt;/D&gt;&lt;/FQL&gt;&lt;FQL&gt;&lt;Q&gt;FIX-US^P_BETA_LOCIDX(44929,44755,,"SPX")&lt;/Q&gt;&lt;R&gt;1&lt;/R&gt;&lt;C&gt;1&lt;/C&gt;&lt;D xsi:type="xsd:double"&gt;1.0096972&lt;/D&gt;&lt;/FQL&gt;&lt;FQL&gt;&lt;Q&gt;FIX-US^P_BETA_LOCIDX(44925,44754,,"SPX")&lt;/Q&gt;&lt;R&gt;1&lt;/R&gt;&lt;C&gt;1&lt;/C&gt;&lt;D xsi:type="xsd:double"&gt;1.0155109&lt;/D&gt;&lt;/FQL&gt;&lt;FQL&gt;&lt;Q&gt;FIX-US^P_BETA_LOCIDX(44924,44753,,"SPX")&lt;/Q&gt;&lt;R&gt;1&lt;/R&gt;&lt;C&gt;1&lt;/C&gt;&lt;D xsi:type="xsd:double"&gt;1.0090264&lt;/D&gt;&lt;/FQL&gt;&lt;FQL&gt;&lt;Q&gt;FIX-US^P_BETA_LOCIDX(44923,44750,,"SPX")&lt;/Q&gt;&lt;R&gt;1&lt;/R&gt;&lt;C&gt;1&lt;/C&gt;&lt;D xsi:type="xsd:double"&gt;1.0092108&lt;/D&gt;&lt;/FQL&gt;&lt;FQL&gt;&lt;Q&gt;FIX-US^P_BETA_LOCIDX(44922,44749,,"SPX")&lt;/Q&gt;&lt;R&gt;1&lt;/R&gt;&lt;C&gt;1&lt;/C&gt;&lt;D xsi:type="xsd:double"&gt;1.0103784&lt;/D&gt;&lt;/FQL&gt;&lt;FQL&gt;&lt;Q&gt;FIX-US^P_BETA_LOCIDX(44918,44748,,"SPX")&lt;/Q&gt;&lt;R&gt;1&lt;/R&gt;&lt;C&gt;1&lt;/C&gt;&lt;D xsi:type="xsd:double"&gt;1.006641&lt;/D&gt;&lt;/FQL&gt;&lt;FQL&gt;&lt;Q&gt;FIX-US^P_BETA_LOCIDX(44917,44747,,"SPX")&lt;/Q&gt;&lt;R&gt;1&lt;/R&gt;&lt;C&gt;1&lt;/C&gt;&lt;D xsi:type="xsd:double"&gt;1.0073297&lt;/D&gt;&lt;/FQL&gt;&lt;FQL&gt;&lt;Q&gt;FIX-US^P_BETA_LOCIDX(44916,44743,,"SPX")&lt;/Q&gt;&lt;R&gt;1&lt;/R&gt;&lt;C&gt;1&lt;/C&gt;&lt;D xsi:type="xsd:double"&gt;1.0117512&lt;/D&gt;&lt;/FQL&gt;&lt;FQL&gt;&lt;Q&gt;FIX-US^P_BETA_LOCIDX(44915,44742,,"SPX")&lt;/Q&gt;&lt;R&gt;1&lt;/R&gt;&lt;C&gt;1&lt;/C&gt;&lt;D xsi:type="xsd:double"&gt;1.0056708&lt;/D&gt;&lt;/FQL&gt;&lt;FQL&gt;&lt;Q&gt;FIX-US^P_BETA_LOCIDX(44914,44741,,"SPX")&lt;/Q&gt;&lt;R&gt;1&lt;/R&gt;&lt;C&gt;1&lt;/C&gt;&lt;D xsi:type="xsd:double"&gt;1.0065379&lt;/D&gt;&lt;/FQL&gt;&lt;FQL&gt;&lt;Q&gt;FIX-US^P_BETA_LOCIDX(44911,44740,,"SPX")&lt;/Q&gt;&lt;R&gt;1&lt;/R&gt;&lt;C&gt;1&lt;/C&gt;&lt;D xsi:type="xsd:double"&gt;1.0095223&lt;/D&gt;&lt;/FQL&gt;&lt;FQL&gt;&lt;Q&gt;FIX-US^P_BETA_LOCIDX(44910,44739,,"SPX")&lt;/Q&gt;&lt;R&gt;1&lt;/R&gt;&lt;C&gt;1&lt;/C&gt;&lt;D xsi:type="xsd:double"&gt;1.0065651&lt;/D&gt;&lt;/FQL&gt;&lt;FQL&gt;&lt;Q&gt;FIX-US^P_BETA_LOCIDX(44909,44736,,"SPX")&lt;/Q&gt;&lt;R&gt;1&lt;/R&gt;&lt;C&gt;1&lt;/C&gt;&lt;D xsi:type="xsd:double"&gt;1.0228051&lt;/D&gt;&lt;/FQL&gt;&lt;FQL&gt;&lt;Q&gt;FIX-US^P_BETA_LOCIDX(44908,44735,,"SPX")&lt;/Q&gt;&lt;R&gt;1&lt;/R&gt;&lt;C&gt;1&lt;/C&gt;&lt;D xsi:type="xsd:double"&gt;1.0219364&lt;/D&gt;&lt;/FQL&gt;&lt;FQL&gt;&lt;Q&gt;FIX-US^P_BETA_LOCIDX(44907,44734,,"SPX")&lt;/Q&gt;&lt;R&gt;1&lt;/R&gt;&lt;C&gt;1&lt;/C&gt;&lt;D xsi:type="xsd:double"&gt;1.0206945&lt;/D&gt;&lt;/FQL&gt;&lt;FQL&gt;&lt;Q&gt;FIX-US^P_BETA_LOCIDX(44904,44733,,"SPX")&lt;/Q&gt;&lt;R&gt;1&lt;/R&gt;&lt;C&gt;1&lt;/C&gt;&lt;D xsi:type="xsd:double"&gt;1.017322&lt;/D&gt;&lt;/FQL&gt;&lt;FQL&gt;&lt;Q&gt;FIX-US^P_BETA_LOCIDX(44903,44729,,"SPX")&lt;/Q&gt;&lt;R&gt;1&lt;/R&gt;&lt;C&gt;1&lt;/C&gt;&lt;D xsi:type="xsd:double"&gt;1.0147455&lt;/D&gt;&lt;/FQL&gt;&lt;FQL&gt;&lt;Q&gt;FIX-US^P_BETA_LOCIDX(44902,44728,,"SPX")&lt;/Q&gt;&lt;R&gt;1&lt;/R&gt;&lt;C&gt;1&lt;/C&gt;&lt;D xsi:type="xsd:double"&gt;1.0943354&lt;/D&gt;&lt;/FQL&gt;&lt;FQL&gt;&lt;Q&gt;FIX-US^P_BETA_LOCIDX(44901,44727,,"SPX")&lt;/Q&gt;&lt;R&gt;1&lt;/R&gt;&lt;C&gt;1&lt;/C&gt;&lt;D xsi:type="xsd:double"&gt;1.074445&lt;/D&gt;&lt;/FQL&gt;&lt;FQL&gt;&lt;Q&gt;FIX-US^P_BETA_LOCIDX(44900,44726,,"SPX")&lt;/Q&gt;&lt;R&gt;1&lt;/R&gt;&lt;C&gt;1&lt;/C&gt;&lt;D xsi:type="xsd:double"&gt;1.0762601&lt;/D&gt;&lt;/FQL&gt;&lt;FQL&gt;&lt;Q&gt;FIX-US^P_BETA_LOCIDX(44897,44725,,"SPX")&lt;/Q&gt;&lt;R&gt;1&lt;/R&gt;&lt;C&gt;1&lt;/C&gt;&lt;D xsi:type="xsd:double"&gt;1.0534892&lt;/D&gt;&lt;/FQL&gt;&lt;FQL&gt;&lt;Q&gt;FIX-US^P_BETA_LOCIDX(44896,44722,,"SPX")&lt;/Q&gt;&lt;R&gt;1&lt;/R&gt;&lt;C&gt;1&lt;/C&gt;&lt;D xsi:type="xsd:double"&gt;1.0521499&lt;/D&gt;&lt;/FQL&gt;&lt;FQL&gt;&lt;Q&gt;FIX-US^P_BETA_LOCIDX(44895,44721,,"SPX")&lt;/Q&gt;&lt;R&gt;1&lt;/R&gt;&lt;C&gt;1&lt;/C&gt;&lt;D xsi:type="xsd:double"&gt;1.0395067&lt;/D&gt;&lt;/FQL&gt;&lt;FQL&gt;&lt;Q&gt;FIX-US^P_BETA_LOCIDX(44894,44720,,"SPX")&lt;/Q&gt;&lt;R&gt;1&lt;/R&gt;&lt;C&gt;1&lt;/C&gt;&lt;D xsi:type="xsd:double"&gt;1.0538607&lt;/D&gt;&lt;/FQL&gt;&lt;FQL&gt;&lt;Q&gt;FIX-US^P_BETA_LOCIDX(44893,44719,,"SPX")&lt;/Q&gt;&lt;R&gt;1&lt;/R&gt;&lt;C&gt;1&lt;/C&gt;&lt;D xsi:type="xsd:double"&gt;1.0521213&lt;/D&gt;&lt;/FQL&gt;&lt;FQL&gt;&lt;Q&gt;FIX-US^P_BETA_LOCIDX(44890,44718,,"SPX")&lt;/Q&gt;&lt;R&gt;1&lt;/R&gt;&lt;C&gt;1&lt;/C&gt;&lt;D xsi:type="xsd:double"&gt;1.0497258&lt;/D&gt;&lt;/FQL&gt;&lt;FQL&gt;&lt;Q&gt;FIX-US^P_BETA_LOCIDX(44888,44715,,"SPX")&lt;/Q&gt;&lt;R&gt;1&lt;/R&gt;&lt;C&gt;1&lt;/C&gt;&lt;D xsi:type="xsd:double"&gt;1.0461795&lt;/D&gt;&lt;/FQL&gt;&lt;FQL&gt;&lt;Q&gt;FIX-US^P_BETA_LOCIDX(44887,44714,,"SPX")&lt;/Q&gt;&lt;R&gt;1&lt;/R&gt;&lt;C&gt;1&lt;/C&gt;&lt;D xsi:type="xsd:double"&gt;1.0541745&lt;/D&gt;&lt;/FQL&gt;&lt;FQL&gt;&lt;Q&gt;FIX-US^P_BETA_LOCIDX(44886,44713,,"SPX")&lt;/Q&gt;&lt;R&gt;1&lt;/R&gt;&lt;C&gt;1&lt;/C&gt;&lt;D xsi:type="xsd:double"&gt;1.0588527&lt;/D&gt;&lt;/FQL&gt;&lt;FQL&gt;&lt;Q&gt;FIX-US^P_BETA_LOCIDX(44883,44712,,"SPX")&lt;/Q&gt;&lt;R&gt;1&lt;/R&gt;&lt;C&gt;1&lt;/C&gt;&lt;D xsi:type="xsd:double"&gt;1.063178&lt;/D&gt;&lt;/FQL&gt;&lt;FQL&gt;&lt;Q&gt;FIX-US^P_BETA_LOCIDX(44882,44708,,"SPX")&lt;/Q&gt;&lt;R&gt;1&lt;/R&gt;&lt;C&gt;1&lt;/C&gt;&lt;D xsi:type="xsd:double"&gt;1.0678458&lt;/D&gt;&lt;/FQL&gt;&lt;FQL&gt;&lt;Q&gt;FIX-US^P_BETA_LOCIDX(44881,44707,,"SPX")&lt;/Q&gt;&lt;R&gt;1&lt;/R&gt;&lt;C&gt;1&lt;/C&gt;&lt;D xsi:type="xsd:double"&gt;1.0682936&lt;/D&gt;&lt;/FQL&gt;&lt;FQL&gt;&lt;Q&gt;FIX-US^P_BETA_LOCIDX(44880,44706,,"SPX")&lt;/Q&gt;&lt;R&gt;1&lt;/R&gt;&lt;C&gt;1&lt;/C&gt;&lt;D xsi:type="xsd:double"&gt;1.0630534&lt;/D&gt;&lt;/FQL&gt;&lt;FQL&gt;&lt;Q&gt;FIX-US^P_BETA_LOCIDX(44879,44705,,"SPX")&lt;/Q&gt;&lt;R&gt;1&lt;/R&gt;&lt;C&gt;1&lt;/C&gt;&lt;D xsi:type="xsd:double"&gt;1.0557073&lt;/D&gt;&lt;/FQL&gt;&lt;FQL&gt;&lt;Q&gt;FIX-US^P_BETA_LOCIDX(44876,44704,,"SPX")&lt;/Q&gt;&lt;R&gt;1&lt;/R&gt;&lt;C&gt;1&lt;/C&gt;&lt;D xsi:type="xsd:double"&gt;1.056754&lt;/D&gt;&lt;/FQL&gt;&lt;FQL&gt;&lt;Q&gt;FIX-US^P_BETA_LOCIDX(44875,44701,,"SPX")&lt;/Q&gt;&lt;R&gt;1&lt;/R&gt;&lt;C&gt;1&lt;/C&gt;&lt;D xsi:type="xsd:double"&gt;1.0658358&lt;/D&gt;&lt;/FQL&gt;&lt;FQL&gt;&lt;Q&gt;FIX-US^P_BETA_LOCIDX(44874,44700,,"SPX")&lt;/Q&gt;&lt;R&gt;1&lt;/R&gt;&lt;C&gt;1&lt;/C&gt;&lt;D xsi:type="xsd:double"&gt;1.0867957&lt;/D&gt;&lt;/FQL&gt;&lt;FQL&gt;&lt;Q&gt;FIX-US^P_BETA_LOCIDX(44873,44699,,"SPX")&lt;/Q&gt;&lt;R&gt;1&lt;/R&gt;&lt;C&gt;1&lt;/C&gt;&lt;D xsi:type="xsd:double"&gt;1.0619491&lt;/D&gt;&lt;/FQL&gt;&lt;FQL&gt;&lt;Q&gt;FIX-US^P_BETA_LOCIDX(44872,44698,,"SPX")&lt;/Q&gt;&lt;R&gt;1&lt;/R&gt;&lt;C&gt;1&lt;/C&gt;&lt;D xsi:type="xsd:double"&gt;1.0618939&lt;/D&gt;&lt;/FQL&gt;&lt;FQL&gt;&lt;Q&gt;FIX-US^P_BETA_LOCIDX(44869,44697,,"SPX")&lt;/Q&gt;&lt;R&gt;1&lt;/R&gt;&lt;C&gt;1&lt;/C&gt;&lt;D xsi:type="xsd:double"&gt;1.059825&lt;/D&gt;&lt;/FQL&gt;&lt;FQL&gt;&lt;Q&gt;FIX-US^P_BETA_LOCIDX(44868,44694,,"SPX")&lt;/Q&gt;&lt;R&gt;1&lt;/R&gt;&lt;C&gt;1&lt;/C&gt;&lt;D xsi:type="xsd:double"&gt;1.0512016&lt;/D&gt;&lt;/FQL&gt;&lt;FQL&gt;&lt;Q&gt;FIX-US^P_BETA_LOCIDX(44867,44693,,"SPX")&lt;/Q&gt;&lt;R&gt;1&lt;/R&gt;&lt;C&gt;1&lt;/C&gt;&lt;D xsi:type="xsd:double"&gt;1.0549659&lt;/D&gt;&lt;/FQL&gt;&lt;FQL&gt;&lt;Q&gt;FIX-US^P_BETA_LOCIDX(44866,44692,,"SPX")&lt;/Q&gt;&lt;R&gt;1&lt;/R&gt;&lt;C&gt;1&lt;/C&gt;&lt;D xsi:type="xsd:double"&gt;1.0526367&lt;/D&gt;&lt;/FQL&gt;&lt;FQL&gt;&lt;Q&gt;FIX-US^P_BETA_LOCIDX(44865,44691,,"SPX")&lt;/Q&gt;&lt;R&gt;1&lt;/R&gt;&lt;C&gt;1&lt;/C&gt;&lt;D xsi:type="xsd:double"&gt;1.0507854&lt;/D&gt;&lt;/FQL&gt;&lt;FQL&gt;&lt;Q&gt;FIX-US^P_BETA_LOCIDX(44862,44690,,"SPX")&lt;/Q&gt;&lt;R&gt;1&lt;/R&gt;&lt;C&gt;1&lt;/C&gt;&lt;D xsi:type="xsd:double"&gt;1.0512336&lt;/D&gt;&lt;/FQL&gt;&lt;FQL&gt;&lt;Q&gt;FIX-US^P_BETA_LOCIDX(44861,44687,,"SPX")&lt;/Q&gt;&lt;R&gt;1&lt;/R&gt;&lt;C&gt;1&lt;/C&gt;&lt;D xsi:type="xsd:double"&gt;1.0568957&lt;/D&gt;&lt;/FQL&gt;&lt;FQL&gt;&lt;Q&gt;FIX-US^P_BETA_LOCIDX(44860,44686,,"SPX")&lt;/Q&gt;&lt;R&gt;1&lt;/R&gt;&lt;C&gt;1&lt;/C&gt;&lt;D xsi:type="xsd:double"&gt;1.0765637&lt;/D&gt;&lt;/FQL&gt;&lt;FQL&gt;&lt;Q&gt;FIX-US^P_BETA_LOCIDX(44859,44685,,"SPX")&lt;/Q&gt;&lt;R&gt;1&lt;/R&gt;&lt;C&gt;1&lt;/C&gt;&lt;D xsi:type="xsd:double"&gt;1.094716&lt;/D&gt;&lt;/FQL&gt;&lt;FQL&gt;&lt;Q&gt;FIX-US^P_BETA_LOCIDX(44858,44684,,"SPX")&lt;/Q&gt;&lt;R&gt;1&lt;/R&gt;&lt;C&gt;1&lt;/C&gt;&lt;D xsi:type="xsd:double"&gt;1.09839&lt;/D&gt;&lt;/FQL&gt;&lt;FQL&gt;&lt;Q&gt;FIX-US^P_BETA_LOCIDX(44855,44683,,"SPX")&lt;/Q&gt;&lt;R&gt;1&lt;/R&gt;&lt;C&gt;1&lt;/C&gt;&lt;D xsi:type="xsd:double"&gt;1.0955172&lt;/D&gt;&lt;/FQL&gt;&lt;FQL&gt;&lt;Q&gt;FIX-US^P_BETA_LOCIDX(44854,44680,,"SPX")&lt;/Q&gt;&lt;R&gt;1&lt;/R&gt;&lt;C&gt;1&lt;/C&gt;&lt;D xsi:type="xsd:double"&gt;1.0763625&lt;/D&gt;&lt;/FQL&gt;&lt;FQL&gt;&lt;Q&gt;FIX-US^P_BETA_LOCIDX(44853,44679,,"SPX")&lt;/Q&gt;&lt;R&gt;1&lt;/R&gt;&lt;C&gt;1&lt;/C&gt;&lt;D xsi:type="xsd:double"&gt;1.0570302&lt;/D&gt;&lt;/FQL&gt;&lt;FQL&gt;&lt;Q&gt;FIX-US^P_BETA_LOCIDX(44852,44678,,"SPX")&lt;/Q&gt;&lt;R&gt;1&lt;/R&gt;&lt;C&gt;1&lt;/C&gt;&lt;D xsi:type="xsd:double"&gt;1.0564078&lt;/D&gt;&lt;/FQL&gt;&lt;FQL&gt;&lt;Q&gt;FIX-US^P_BETA_LOCIDX(44851,44677,,"SPX")&lt;/Q&gt;&lt;R&gt;1&lt;/R&gt;&lt;C&gt;1&lt;/C&gt;&lt;D xsi:type="xsd:double"&gt;1.052173&lt;/D&gt;&lt;/FQL&gt;&lt;FQL&gt;&lt;Q&gt;FIX-US^P_BETA_LOCIDX(44848,44676,,"SPX")&lt;/Q&gt;&lt;R&gt;1&lt;/R&gt;&lt;C&gt;1&lt;/C&gt;&lt;D xsi:type="xsd:double"&gt;1.0495764&lt;/D&gt;&lt;/FQL&gt;&lt;FQL&gt;&lt;Q&gt;FIX-US^P_BETA_LOCIDX(44847,44673,,"SPX")&lt;/Q&gt;&lt;R&gt;1&lt;/R&gt;&lt;C&gt;1&lt;/C&gt;&lt;D xsi:type="xsd:double"&gt;1.0554361&lt;/D&gt;&lt;/FQL&gt;&lt;FQL&gt;&lt;Q&gt;FIX-US^P_BETA_LOCIDX(44846,44672,,"SPX")&lt;/Q&gt;&lt;R&gt;1&lt;/R&gt;&lt;C&gt;1&lt;/C&gt;&lt;D xsi:type="xsd:double"&gt;1.0649574&lt;/D&gt;&lt;/FQL&gt;&lt;FQL&gt;&lt;Q&gt;FIX-US^P_BETA_LOCIDX(44845,44671,,"SPX")&lt;/Q&gt;&lt;R&gt;1&lt;/R&gt;&lt;C&gt;1&lt;/C&gt;&lt;D xsi:type="xsd:double"&gt;1.0651389&lt;/D&gt;&lt;/FQL&gt;&lt;FQL&gt;&lt;Q&gt;FIX-US^P_BETA_LOCIDX(44844,44670,,"SPX")&lt;/Q&gt;&lt;R&gt;1&lt;/R&gt;&lt;C&gt;1&lt;/C&gt;&lt;D xsi:type="xsd:double"&gt;1.0684648&lt;/D&gt;&lt;/FQL&gt;&lt;FQL&gt;&lt;Q&gt;FIX-US^P_BETA_LOCIDX(44841,44669,,"SPX")&lt;/Q&gt;&lt;R&gt;1&lt;/R&gt;&lt;C&gt;1&lt;/C&gt;&lt;D xsi:type="xsd:double"&gt;1.0691835&lt;/D&gt;&lt;/FQL&gt;&lt;FQL&gt;&lt;Q&gt;FIX-US^P_BETA_LOCIDX(44840,44665,,"SPX")&lt;/Q&gt;&lt;R&gt;1&lt;/R&gt;&lt;C&gt;1&lt;/C&gt;&lt;D xsi:type="xsd:double"&gt;1.0686998&lt;/D&gt;&lt;/FQL&gt;&lt;FQL&gt;&lt;Q&gt;FIX-US^P_BETA_LOCIDX(44839,44664,,"SPX")&lt;/Q&gt;&lt;R&gt;1&lt;/R&gt;&lt;C&gt;1&lt;/C&gt;&lt;D xsi:type="xsd:double"&gt;1.0708195&lt;/D&gt;&lt;/FQL&gt;&lt;FQL&gt;&lt;Q&gt;FIX-US^P_BETA_LOCIDX(44838,44663,,"SPX")&lt;/Q&gt;&lt;R&gt;1&lt;/R&gt;&lt;C&gt;1&lt;/C&gt;&lt;D xsi:type="xsd:double"&gt;1.0688583&lt;/D&gt;&lt;/FQL&gt;&lt;FQL&gt;&lt;Q&gt;FIX-US^P_BETA_LOCIDX(44837,44662,,"SPX")&lt;/Q&gt;&lt;R&gt;1&lt;/R&gt;&lt;C&gt;1&lt;/C&gt;&lt;D xsi:type="xsd:double"&gt;1.0651324&lt;/D&gt;&lt;/FQL&gt;&lt;FQL&gt;&lt;Q&gt;FIX-US^P_BETA_LOCIDX(44834,44659,,"SPX")&lt;/Q&gt;&lt;R&gt;1&lt;/R&gt;&lt;C&gt;1&lt;/C&gt;&lt;D xsi:type="xsd:double"&gt;1.0372077&lt;/D&gt;&lt;/FQL&gt;&lt;FQL&gt;&lt;Q&gt;FIX-US^P_BETA_LOCIDX(44833,44658,,"SPX")&lt;/Q&gt;&lt;R&gt;1&lt;/R&gt;&lt;C&gt;1&lt;/C&gt;&lt;D xsi:type="xsd:double"&gt;1.0445093&lt;/D&gt;&lt;/FQL&gt;&lt;FQL&gt;&lt;Q&gt;FIX-US^P_BETA_LOCIDX(44832,44657,,"SPX")&lt;/Q&gt;&lt;R&gt;1&lt;/R&gt;&lt;C&gt;1&lt;/C&gt;&lt;D xsi:type="xsd:double"&gt;1.0403869&lt;/D&gt;&lt;/FQL&gt;&lt;FQL&gt;&lt;Q&gt;FIX-US^P_BETA_LOCIDX(44831,44656,,"SPX")&lt;/Q&gt;&lt;R&gt;1&lt;/R&gt;&lt;C&gt;1&lt;/C&gt;&lt;D xsi:type="xsd:double"&gt;1.0329337&lt;/D&gt;&lt;/FQL&gt;&lt;FQL&gt;&lt;Q&gt;FIX-US^P_BETA_LOCIDX(44830,44655,,"SPX")&lt;/Q&gt;&lt;R&gt;1&lt;/R&gt;&lt;C&gt;1&lt;/C&gt;&lt;D xsi:type="xsd:double"&gt;1.0281161&lt;/D&gt;&lt;/FQL&gt;&lt;FQL&gt;&lt;Q&gt;FIX-US^P_BETA_LOCIDX(44827,44652,,"SPX")&lt;/Q&gt;&lt;R&gt;1&lt;/R&gt;&lt;C&gt;1&lt;/C&gt;&lt;D xsi:type="xsd:double"&gt;1.0269346&lt;/D&gt;&lt;/FQL&gt;&lt;FQL&gt;&lt;Q&gt;FIX-US^P_BETA_LOCIDX(44826,44651,,"SPX")&lt;/Q&gt;&lt;R&gt;1&lt;/R&gt;&lt;C&gt;1&lt;/C&gt;&lt;D xsi:type="xsd:double"&gt;1.0222771&lt;/D&gt;&lt;/FQL&gt;&lt;FQL&gt;&lt;Q&gt;FIX-US^P_BETA_LOCIDX(44825,44650,,"SPX")&lt;/Q&gt;&lt;R&gt;1&lt;/R&gt;&lt;C&gt;1&lt;/C&gt;&lt;D xsi:type="xsd:double"&gt;1.0188178&lt;/D&gt;&lt;/FQL&gt;&lt;FQL&gt;&lt;Q&gt;FIX-US^P_BETA_LOCIDX(44824,44649,,"SPX")&lt;/Q&gt;&lt;R&gt;1&lt;/R&gt;&lt;C&gt;1&lt;/C&gt;&lt;D xsi:type="xsd:double"&gt;1.0317501&lt;/D&gt;&lt;/FQL&gt;&lt;FQL&gt;&lt;Q&gt;FIX-US^P_BETA_LOCIDX(44823,44648,,"SPX")&lt;/Q&gt;&lt;R&gt;1&lt;/R&gt;&lt;C&gt;1&lt;/C&gt;&lt;D xsi:type="xsd:double"&gt;1.0347809&lt;/D&gt;&lt;/FQL&gt;&lt;FQL&gt;&lt;Q&gt;FIX-US^P_BETA_LOCIDX(44820,44645,,"SPX")&lt;/Q&gt;&lt;R&gt;1&lt;/R&gt;&lt;C&gt;1&lt;/C&gt;&lt;D xsi:type="xsd:double"&gt;1.0280312&lt;/D&gt;&lt;/FQL&gt;&lt;FQL&gt;&lt;Q&gt;FIX-US^P_BETA_LOCIDX(44819,44644,,"SPX")&lt;/Q&gt;&lt;R&gt;1&lt;/R&gt;&lt;C&gt;1&lt;/C&gt;&lt;D xsi:type="xsd:double"&gt;1.0029693&lt;/D&gt;&lt;/FQL&gt;&lt;FQL&gt;&lt;Q&gt;FIX-US^P_BETA_LOCIDX(44818,44643,,"SPX")&lt;/Q&gt;&lt;R&gt;1&lt;/R&gt;&lt;C&gt;1&lt;/C&gt;&lt;D xsi:type="xsd:double"&gt;1.0125122&lt;/D&gt;&lt;/FQL&gt;&lt;FQL&gt;&lt;Q&gt;FIX-US^P_BETA_LOCIDX(44817,44642,,"SPX")&lt;/Q&gt;&lt;R&gt;1&lt;/R&gt;&lt;C&gt;1&lt;/C&gt;&lt;D xsi:type="xsd:double"&gt;1.0170729&lt;/D&gt;&lt;/FQL&gt;&lt;FQL&gt;&lt;Q&gt;FIX-US^P_BETA_LOCIDX(44816,44641,,"SPX")&lt;/Q&gt;&lt;R&gt;1&lt;/R&gt;&lt;C&gt;1&lt;/C&gt;&lt;D xsi:type="xsd:double"&gt;1.0426844&lt;/D&gt;&lt;/FQL&gt;&lt;FQL&gt;&lt;Q&gt;FIX-US^P_BETA_LOCIDX(44813,44638,,"SPX")&lt;/Q&gt;&lt;R&gt;1&lt;/R&gt;&lt;C&gt;1&lt;/C&gt;&lt;D xsi:type="xsd:double"&gt;1.0352106&lt;/D&gt;&lt;/FQL&gt;&lt;FQL&gt;&lt;Q&gt;FIX-US^P</t>
        </r>
      </text>
    </comment>
    <comment ref="A26" authorId="0" shapeId="0" xr:uid="{F19607E1-C049-4DAE-900A-414545652BC7}">
      <text>
        <r>
          <rPr>
            <b/>
            <sz val="9"/>
            <color indexed="81"/>
            <rFont val="Tahoma"/>
            <charset val="1"/>
          </rPr>
          <t>_BETA_LOCIDX(44812,44637,,"SPX")&lt;/Q&gt;&lt;R&gt;1&lt;/R&gt;&lt;C&gt;1&lt;/C&gt;&lt;D xsi:type="xsd:double"&gt;1.0322064&lt;/D&gt;&lt;/FQL&gt;&lt;FQL&gt;&lt;Q&gt;FIX-US^P_BETA_LOCIDX(44811,44636,,"SPX")&lt;/Q&gt;&lt;R&gt;1&lt;/R&gt;&lt;C&gt;1&lt;/C&gt;&lt;D xsi:type="xsd:double"&gt;1.0201691&lt;/D&gt;&lt;/FQL&gt;&lt;FQL&gt;&lt;Q&gt;FIX-US^P_BETA_LOCIDX(44810,44635,,"SPX")&lt;/Q&gt;&lt;R&gt;1&lt;/R&gt;&lt;C&gt;1&lt;/C&gt;&lt;D xsi:type="xsd:double"&gt;1.0053717&lt;/D&gt;&lt;/FQL&gt;&lt;FQL&gt;&lt;Q&gt;FIX-US^P_BETA_LOCIDX(44806,44634,,"SPX")&lt;/Q&gt;&lt;R&gt;1&lt;/R&gt;&lt;C&gt;1&lt;/C&gt;&lt;D xsi:type="xsd:double"&gt;1.0020982&lt;/D&gt;&lt;/FQL&gt;&lt;FQL&gt;&lt;Q&gt;FIX-US^P_BETA_LOCIDX(44805,44631,,"SPX")&lt;/Q&gt;&lt;R&gt;1&lt;/R&gt;&lt;C&gt;1&lt;/C&gt;&lt;D xsi:type="xsd:double"&gt;0.9975617&lt;/D&gt;&lt;/FQL&gt;&lt;FQL&gt;&lt;Q&gt;FIX-US^P_BETA_LOCIDX(44804,44630,,"SPX")&lt;/Q&gt;&lt;R&gt;1&lt;/R&gt;&lt;C&gt;1&lt;/C&gt;&lt;D xsi:type="xsd:double"&gt;0.99537164&lt;/D&gt;&lt;/FQL&gt;&lt;FQL&gt;&lt;Q&gt;FIX-US^P_BETA_LOCIDX(44803,44629,,"SPX")&lt;/Q&gt;&lt;R&gt;1&lt;/R&gt;&lt;C&gt;1&lt;/C&gt;&lt;D xsi:type="xsd:double"&gt;1.0091043&lt;/D&gt;&lt;/FQL&gt;&lt;FQL&gt;&lt;Q&gt;FIX-US^P_BETA_LOCIDX(44802,44628,,"SPX")&lt;/Q&gt;&lt;R&gt;1&lt;/R&gt;&lt;C&gt;1&lt;/C&gt;&lt;D xsi:type="xsd:double"&gt;0.9949489&lt;/D&gt;&lt;/FQL&gt;&lt;FQL&gt;&lt;Q&gt;FIX-US^P_BETA_LOCIDX(44799,44627,,"SPX")&lt;/Q&gt;&lt;R&gt;1&lt;/R&gt;&lt;C&gt;1&lt;/C&gt;&lt;D xsi:type="xsd:double"&gt;0.98184615&lt;/D&gt;&lt;/FQL&gt;&lt;FQL&gt;&lt;Q&gt;FIX-US^P_BETA_LOCIDX(44798,44624,,"SPX")&lt;/Q&gt;&lt;R&gt;1&lt;/R&gt;&lt;C&gt;1&lt;/C&gt;&lt;D xsi:type="xsd:double"&gt;0.9869641&lt;/D&gt;&lt;/FQL&gt;&lt;FQL&gt;&lt;Q&gt;FIX-US^P_BETA_LOCIDX(44797,44623,,"SPX")&lt;/Q&gt;&lt;R&gt;1&lt;/R&gt;&lt;C&gt;1&lt;/C&gt;&lt;D xsi:type="xsd:double"&gt;0.98204195&lt;/D&gt;&lt;/FQL&gt;&lt;FQL&gt;&lt;Q&gt;FIX-US^P_BETA_LOCIDX(44796,44622,,"SPX")&lt;/Q&gt;&lt;R&gt;1&lt;/R&gt;&lt;C&gt;1&lt;/C&gt;&lt;D xsi:type="xsd:double"&gt;0.99444073&lt;/D&gt;&lt;/FQL&gt;&lt;FQL&gt;&lt;Q&gt;FIX-US^P_BETA_LOCIDX(44795,44621,,"SPX")&lt;/Q&gt;&lt;R&gt;1&lt;/R&gt;&lt;C&gt;1&lt;/C&gt;&lt;D xsi:type="xsd:double"&gt;1.0017077&lt;/D&gt;&lt;/FQL&gt;&lt;FQL&gt;&lt;Q&gt;FIX-US^P_BETA_LOCIDX(44792,44620,,"SPX")&lt;/Q&gt;&lt;R&gt;1&lt;/R&gt;&lt;C&gt;1&lt;/C&gt;&lt;D xsi:type="xsd:double"&gt;0.9990288&lt;/D&gt;&lt;/FQL&gt;&lt;FQL&gt;&lt;Q&gt;FIX-US^P_BETA_LOCIDX(44791,44617,,"SPX")&lt;/Q&gt;&lt;R&gt;1&lt;/R&gt;&lt;C&gt;1&lt;/C&gt;&lt;D xsi:type="xsd:double"&gt;1.0051688&lt;/D&gt;&lt;/FQL&gt;&lt;FQL&gt;&lt;Q&gt;FIX-US^P_BETA_LOCIDX(44790,44616,,"SPX")&lt;/Q&gt;&lt;R&gt;1&lt;/R&gt;&lt;C&gt;1&lt;/C&gt;&lt;D xsi:type="xsd:double"&gt;0.9865126&lt;/D&gt;&lt;/FQL&gt;&lt;FQL&gt;&lt;Q&gt;FIX-US^P_BETA_LOCIDX(44789,44615,,"SPX")&lt;/Q&gt;&lt;R&gt;1&lt;/R&gt;&lt;C&gt;1&lt;/C&gt;&lt;D xsi:type="xsd:double"&gt;0.9877853&lt;/D&gt;&lt;/FQL&gt;&lt;FQL&gt;&lt;Q&gt;FIX-US^P_BETA_LOCIDX(44788,44614,,"SPX")&lt;/Q&gt;&lt;R&gt;1&lt;/R&gt;&lt;C&gt;1&lt;/C&gt;&lt;D xsi:type="xsd:double"&gt;0.99484974&lt;/D&gt;&lt;/FQL&gt;&lt;FQL&gt;&lt;Q&gt;FIX-US^P_BETA_LOCIDX(44785,44610,,"SPX")&lt;/Q&gt;&lt;R&gt;1&lt;/R&gt;&lt;C&gt;1&lt;/C&gt;&lt;D xsi:type="xsd:double"&gt;0.9939838&lt;/D&gt;&lt;/FQL&gt;&lt;FQL&gt;&lt;Q&gt;FIX-US^P_BETA_LOCIDX(44784,44609,,"SPX")&lt;/Q&gt;&lt;R&gt;1&lt;/R&gt;&lt;C&gt;1&lt;/C&gt;&lt;D xsi:type="xsd:double"&gt;0.98591816&lt;/D&gt;&lt;/FQL&gt;&lt;FQL&gt;&lt;Q&gt;FIX-US^P_BETA_LOCIDX(44783,44608,,"SPX")&lt;/Q&gt;&lt;R&gt;1&lt;/R&gt;&lt;C&gt;1&lt;/C&gt;&lt;D xsi:type="xsd:double"&gt;0.98623645&lt;/D&gt;&lt;/FQL&gt;&lt;FQL&gt;&lt;Q&gt;FIX-US^P_BETA_LOCIDX(44782,44607,,"SPX")&lt;/Q&gt;&lt;R&gt;1&lt;/R&gt;&lt;C&gt;1&lt;/C&gt;&lt;D xsi:type="xsd:double"&gt;0.9922192&lt;/D&gt;&lt;/FQL&gt;&lt;FQL&gt;&lt;Q&gt;FIX-US^P_BETA_LOCIDX(44781,44606,,"SPX")&lt;/Q&gt;&lt;R&gt;1&lt;/R&gt;&lt;C&gt;1&lt;/C&gt;&lt;D xsi:type="xsd:double"&gt;0.9882588&lt;/D&gt;&lt;/FQL&gt;&lt;FQL&gt;&lt;Q&gt;FIX-US^P_BETA_LOCIDX(44778,44603,,"SPX")&lt;/Q&gt;&lt;R&gt;1&lt;/R&gt;&lt;C&gt;1&lt;/C&gt;&lt;D xsi:type="xsd:double"&gt;0.9809931&lt;/D&gt;&lt;/FQL&gt;&lt;FQL&gt;&lt;Q&gt;FIX-US^P_BETA_LOCIDX(44777,44602,,"SPX")&lt;/Q&gt;&lt;R&gt;1&lt;/R&gt;&lt;C&gt;1&lt;/C&gt;&lt;D xsi:type="xsd:double"&gt;0.9872029&lt;/D&gt;&lt;/FQL&gt;&lt;FQL&gt;&lt;Q&gt;FIX-US^P_BETA_LOCIDX(44776,44601,,"SPX")&lt;/Q&gt;&lt;R&gt;1&lt;/R&gt;&lt;C&gt;1&lt;/C&gt;&lt;D xsi:type="xsd:double"&gt;0.9994856&lt;/D&gt;&lt;/FQL&gt;&lt;FQL&gt;&lt;Q&gt;FIX-US^P_BETA_LOCIDX(44775,44600,,"SPX")&lt;/Q&gt;&lt;R&gt;1&lt;/R&gt;&lt;C&gt;1&lt;/C&gt;&lt;D xsi:type="xsd:double"&gt;1.0105492&lt;/D&gt;&lt;/FQL&gt;&lt;FQL&gt;&lt;Q&gt;FIX-US^P_BETA_LOCIDX(44774,44599,,"SPX")&lt;/Q&gt;&lt;R&gt;1&lt;/R&gt;&lt;C&gt;1&lt;/C&gt;&lt;D xsi:type="xsd:double"&gt;1.0095161&lt;/D&gt;&lt;/FQL&gt;&lt;FQL&gt;&lt;Q&gt;FIX-US^P_BETA_LOCIDX(45845,45670,,"SPX")&lt;/Q&gt;&lt;R&gt;1&lt;/R&gt;&lt;C&gt;1&lt;/C&gt;&lt;D xsi:type="xsd:double"&gt;1.7638309&lt;/D&gt;&lt;/FQL&gt;&lt;FQL&gt;&lt;Q&gt;FERG-US^P_BETA_LOCIDX(45841,45665,,"SPX")&lt;/Q&gt;&lt;R&gt;1&lt;/R&gt;&lt;C&gt;1&lt;/C&gt;&lt;D xsi:type="xsd:double"&gt;0.9144162&lt;/D&gt;&lt;/FQL&gt;&lt;FQL&gt;&lt;Q&gt;FERG-US^P_BETA_LOCIDX(45840,45664,,"SPX")&lt;/Q&gt;&lt;R&gt;1&lt;/R&gt;&lt;C&gt;1&lt;/C&gt;&lt;D xsi:type="xsd:double"&gt;0.91586024&lt;/D&gt;&lt;/FQL&gt;&lt;FQL&gt;&lt;Q&gt;FERG-US^P_BETA_LOCIDX(45839,45663,,"SPX")&lt;/Q&gt;&lt;R&gt;1&lt;/R&gt;&lt;C&gt;1&lt;/C&gt;&lt;D xsi:type="xsd:double"&gt;0.9151354&lt;/D&gt;&lt;/FQL&gt;&lt;FQL&gt;&lt;Q&gt;FERG-US^P_BETA_LOCIDX(45838,45660,,"SPX")&lt;/Q&gt;&lt;R&gt;1&lt;/R&gt;&lt;C&gt;1&lt;/C&gt;&lt;D xsi:type="xsd:double"&gt;0.912491&lt;/D&gt;&lt;/FQL&gt;&lt;FQL&gt;&lt;Q&gt;FERG-US^P_BETA_LOCIDX(45835,45659,,"SPX")&lt;/Q&gt;&lt;R&gt;1&lt;/R&gt;&lt;C&gt;1&lt;/C&gt;&lt;D xsi:type="xsd:double"&gt;0.91376686&lt;/D&gt;&lt;/FQL&gt;&lt;FQL&gt;&lt;Q&gt;FERG-US^P_BETA_LOCIDX(45834,45657,,"SPX")&lt;/Q&gt;&lt;R&gt;1&lt;/R&gt;&lt;C&gt;1&lt;/C&gt;&lt;D xsi:type="xsd:double"&gt;0.91466683&lt;/D&gt;&lt;/FQL&gt;&lt;FQL&gt;&lt;Q&gt;FERG-US^P_BETA_LOCIDX(45833,45656,,"SPX")&lt;/Q&gt;&lt;R&gt;1&lt;/R&gt;&lt;C&gt;1&lt;/C&gt;&lt;D xsi:type="xsd:double"&gt;0.91886157&lt;/D&gt;&lt;/FQL&gt;&lt;FQL&gt;&lt;Q&gt;FERG-US^P_BETA_LOCIDX(45832,45653,,"SPX")&lt;/Q&gt;&lt;R&gt;1&lt;/R&gt;&lt;C&gt;1&lt;/C&gt;&lt;D xsi:type="xsd:double"&gt;0.92166334&lt;/D&gt;&lt;/FQL&gt;&lt;FQL&gt;&lt;Q&gt;FERG-US^P_BETA_LOCIDX(45831,45652,,"SPX")&lt;/Q&gt;&lt;R&gt;1&lt;/R&gt;&lt;C&gt;1&lt;/C&gt;&lt;D xsi:type="xsd:double"&gt;0.91887766&lt;/D&gt;&lt;/FQL&gt;&lt;FQL&gt;&lt;Q&gt;FERG-US^P_BETA_LOCIDX(45828,45650,,"SPX")&lt;/Q&gt;&lt;R&gt;1&lt;/R&gt;&lt;C&gt;1&lt;/C&gt;&lt;D xsi:type="xsd:double"&gt;0.9196471&lt;/D&gt;&lt;/FQL&gt;&lt;FQL&gt;&lt;Q&gt;FERG-US^P_BETA_LOCIDX(45826,45649,,"SPX")&lt;/Q&gt;&lt;R&gt;1&lt;/R&gt;&lt;C&gt;1&lt;/C&gt;&lt;D xsi:type="xsd:double"&gt;0.9155613&lt;/D&gt;&lt;/FQL&gt;&lt;FQL&gt;&lt;Q&gt;FERG-US^P_BETA_LOCIDX(45825,45646,,"SPX")&lt;/Q&gt;&lt;R&gt;1&lt;/R&gt;&lt;C&gt;1&lt;/C&gt;&lt;D xsi:type="xsd:double"&gt;0.9186608&lt;/D&gt;&lt;/FQL&gt;&lt;FQL&gt;&lt;Q&gt;FERG-US^P_BETA_LOCIDX(45824,45645,,"SPX")&lt;/Q&gt;&lt;R&gt;1&lt;/R&gt;&lt;C&gt;1&lt;/C&gt;&lt;D xsi:type="xsd:double"&gt;0.91899794&lt;/D&gt;&lt;/FQL&gt;&lt;FQL&gt;&lt;Q&gt;FERG-US^P_BETA_LOCIDX(45821,45644,,"SPX")&lt;/Q&gt;&lt;R&gt;1&lt;/R&gt;&lt;C&gt;1&lt;/C&gt;&lt;D xsi:type="xsd:double"&gt;0.9366864&lt;/D&gt;&lt;/FQL&gt;&lt;FQL&gt;&lt;Q&gt;FERG-US^P_BETA_LOCIDX(45820,45643,,"SPX")&lt;/Q&gt;&lt;R&gt;1&lt;/R&gt;&lt;C&gt;1&lt;/C&gt;&lt;D xsi:type="xsd:double"&gt;0.93879926&lt;/D&gt;&lt;/FQL&gt;&lt;FQL&gt;&lt;Q&gt;FERG-US^P_BETA_LOCIDX(45819,45642,,"SPX")&lt;/Q&gt;&lt;R&gt;1&lt;/R&gt;&lt;C&gt;1&lt;/C&gt;&lt;D xsi:type="xsd:double"&gt;0.93743324&lt;/D&gt;&lt;/FQL&gt;&lt;FQL&gt;&lt;Q&gt;FERG-US^P_BETA_LOCIDX(45818,45639,,"SPX")&lt;/Q&gt;&lt;R&gt;1&lt;/R&gt;&lt;C&gt;1&lt;/C&gt;&lt;D xsi:type="xsd:double"&gt;0.9361631&lt;/D&gt;&lt;/FQL&gt;&lt;FQL&gt;&lt;Q&gt;FERG-US^P_BETA_LOCIDX(45817,45638,,"SPX")&lt;/Q&gt;&lt;R&gt;1&lt;/R&gt;&lt;C&gt;1&lt;/C&gt;&lt;D xsi:type="xsd:double"&gt;0.93727577&lt;/D&gt;&lt;/FQL&gt;&lt;FQL&gt;&lt;Q&gt;FERG-US^P_BETA_LOCIDX(45814,45637,,"SPX")&lt;/Q&gt;&lt;R&gt;1&lt;/R&gt;&lt;C&gt;1&lt;/C&gt;&lt;D xsi:type="xsd:double"&gt;0.93279886&lt;/D&gt;&lt;/FQL&gt;&lt;FQL&gt;&lt;Q&gt;FERG-US^P_BETA_LOCIDX(45813,45636,,"SPX")&lt;/Q&gt;&lt;R&gt;1&lt;/R&gt;&lt;C&gt;1&lt;/C&gt;&lt;D xsi:type="xsd:double"&gt;0.95256996&lt;/D&gt;&lt;/FQL&gt;&lt;FQL&gt;&lt;Q&gt;FERG-US^P_BETA_LOCIDX(45812,45635,,"SPX")&lt;/Q&gt;&lt;R&gt;1&lt;/R&gt;&lt;C&gt;1&lt;/C&gt;&lt;D xsi:type="xsd:double"&gt;0.9503013&lt;/D&gt;&lt;/FQL&gt;&lt;FQL&gt;&lt;Q&gt;FERG-US^P_BETA_LOCIDX(45811,45632,,"SPX")&lt;/Q&gt;&lt;R&gt;1&lt;/R&gt;&lt;C&gt;1&lt;/C&gt;&lt;D xsi:type="xsd:double"&gt;0.9506882&lt;/D&gt;&lt;/FQL&gt;&lt;FQL&gt;&lt;Q&gt;FERG-US^P_BETA_LOCIDX(45810,45631,,"SPX")&lt;/Q&gt;&lt;R&gt;1&lt;/R&gt;&lt;C&gt;1&lt;/C&gt;&lt;D xsi:type="xsd:double"&gt;0.9195876&lt;/D&gt;&lt;/FQL&gt;&lt;FQL&gt;&lt;Q&gt;FERG-US^P_BETA_LOCIDX(45807,45630,,"SPX")&lt;/Q&gt;&lt;R&gt;1&lt;/R&gt;&lt;C&gt;1&lt;/C&gt;&lt;D xsi:type="xsd:double"&gt;0.92236286&lt;/D&gt;&lt;/FQL&gt;&lt;FQL&gt;&lt;Q&gt;FERG-US^P_BETA_LOCIDX(45806,45629,,"SPX")&lt;/Q&gt;&lt;R&gt;1&lt;/R&gt;&lt;C&gt;1&lt;/C&gt;&lt;D xsi:type="xsd:double"&gt;0.9229377&lt;/D&gt;&lt;/FQL&gt;&lt;FQL&gt;&lt;Q&gt;FERG-US^P_BETA_LOCIDX(45805,45628,,"SPX")&lt;/Q&gt;&lt;R&gt;1&lt;/R&gt;&lt;C&gt;1&lt;/C&gt;&lt;D xsi:type="xsd:double"&gt;0.9220204&lt;/D&gt;&lt;/FQL&gt;&lt;FQL&gt;&lt;Q&gt;FERG-US^P_BETA_LOCIDX(45804,45625,,"SPX")&lt;/Q&gt;&lt;R&gt;1&lt;/R&gt;&lt;C&gt;1&lt;/C&gt;&lt;D xsi:type="xsd:double"&gt;0.9243291&lt;/D&gt;&lt;/FQL&gt;&lt;FQL&gt;&lt;Q&gt;FERG-US^P_BETA_LOCIDX(45800,45623,,"SPX")&lt;/Q&gt;&lt;R&gt;1&lt;/R&gt;&lt;C&gt;1&lt;/C&gt;&lt;D xsi:type="xsd:double"&gt;0.91736084&lt;/D&gt;&lt;/FQL&gt;&lt;FQL&gt;&lt;Q&gt;FERG-US^P_BETA_LOCIDX(45799,45622,,"SPX")&lt;/Q&gt;&lt;R&gt;1&lt;/R&gt;&lt;C&gt;1&lt;/C&gt;&lt;D xsi:type="xsd:double"&gt;0.9135637&lt;/D&gt;&lt;/FQL&gt;&lt;FQL&gt;&lt;Q&gt;FERG-US^P_BETA_LOCIDX(45798,45621,,"SPX")&lt;/Q&gt;&lt;R&gt;1&lt;/R&gt;&lt;C&gt;1&lt;/C&gt;&lt;D xsi:type="xsd:double"&gt;0.9170307&lt;/D&gt;&lt;/FQL&gt;&lt;FQL&gt;&lt;Q&gt;FERG-US^P_BETA_LOCIDX(45797,45618,,"SPX")&lt;/Q&gt;&lt;R&gt;1&lt;/R&gt;&lt;C&gt;1&lt;/C&gt;&lt;D xsi:type="xsd:double"&gt;0.9165331&lt;/D&gt;&lt;/FQL&gt;&lt;FQL&gt;&lt;Q&gt;FERG-US^P_BETA_LOCIDX(45796,45617,,"SPX")&lt;/Q&gt;&lt;R&gt;1&lt;/R&gt;&lt;C&gt;1&lt;/C&gt;&lt;D xsi:type="xsd:double"&gt;0.91881925&lt;/D&gt;&lt;/FQL&gt;&lt;FQL&gt;&lt;Q&gt;FERG-US^P_BETA_LOCIDX(45793,45616,,"SPX")&lt;/Q&gt;&lt;R&gt;1&lt;/R&gt;&lt;C&gt;1&lt;/C&gt;&lt;D xsi:type="xsd:double"&gt;0.91898793&lt;/D&gt;&lt;/FQL&gt;&lt;FQL&gt;&lt;Q&gt;FERG-US^P_BETA_LOCIDX(45792,45615,,"SPX")&lt;/Q&gt;&lt;R&gt;1&lt;/R&gt;&lt;C&gt;1&lt;/C&gt;&lt;D xsi:type="xsd:double"&gt;0.9167719&lt;/D&gt;&lt;/FQL&gt;&lt;FQL&gt;&lt;Q&gt;FERG-US^P_BETA_LOCIDX(45791,45614,,"SPX")&lt;/Q&gt;&lt;R&gt;1&lt;/R&gt;&lt;C&gt;1&lt;/C&gt;&lt;D xsi:type="xsd:double"&gt;0.91221225&lt;/D&gt;&lt;/FQL&gt;&lt;FQL&gt;&lt;Q&gt;FERG-US^P_BETA_LOCIDX(45790,45611,,"SPX")&lt;/Q&gt;&lt;R&gt;1&lt;/R&gt;&lt;C&gt;1&lt;/C&gt;&lt;D xsi:type="xsd:double"&gt;0.9139829&lt;/D&gt;&lt;/FQL&gt;&lt;FQL&gt;&lt;Q&gt;FERG-US^P_BETA_LOCIDX(45789,45610,,"SPX")&lt;/Q&gt;&lt;R&gt;1&lt;/R&gt;&lt;C&gt;1&lt;/C&gt;&lt;D xsi:type="xsd:double"&gt;0.9158038&lt;/D&gt;&lt;/FQL&gt;&lt;FQL&gt;&lt;Q&gt;FERG-US^P_BETA_LOCIDX(45786,45609,,"SPX")&lt;/Q&gt;&lt;R&gt;1&lt;/R&gt;&lt;C&gt;1&lt;/C&gt;&lt;D xsi:type="xsd:double"&gt;0.91251975&lt;/D&gt;&lt;/FQL&gt;&lt;FQL&gt;&lt;Q&gt;FERG-US^P_BETA_LOCIDX(45785,45608,,"SPX")&lt;/Q&gt;&lt;R&gt;1&lt;/R&gt;&lt;C&gt;1&lt;/C&gt;&lt;D xsi:type="xsd:double"&gt;0.91345644&lt;/D&gt;&lt;/FQL&gt;&lt;FQL&gt;&lt;Q&gt;FERG-US^P_BETA_LOCIDX(45784,45607,,"SPX")&lt;/Q&gt;&lt;R&gt;1&lt;/R&gt;&lt;C&gt;1&lt;/C&gt;&lt;D xsi:type="xsd:double"&gt;0.9108617&lt;/D&gt;&lt;/FQL&gt;&lt;FQL&gt;&lt;Q&gt;FERG-US^P_BETA_LOCIDX(45783,45604,,"SPX")&lt;/Q&gt;&lt;R&gt;1&lt;/R&gt;&lt;C&gt;1&lt;/C&gt;&lt;D xsi:type="xsd:double"&gt;0.909164&lt;/D&gt;&lt;/FQL&gt;&lt;FQL&gt;&lt;Q&gt;FERG-US^P_BETA_LOCIDX(45782,45603,,"SPX")&lt;/Q&gt;&lt;R&gt;1&lt;/R&gt;&lt;C&gt;1&lt;/C&gt;&lt;D xsi:type="xsd:double"&gt;0.9038947&lt;/D&gt;&lt;/FQL&gt;&lt;FQL&gt;&lt;Q&gt;FERG-US^P_BETA_LOCIDX(45779,45602,,"SPX")&lt;/Q&gt;&lt;R&gt;1&lt;/R&gt;&lt;C&gt;1&lt;/C&gt;&lt;D xsi:type="xsd:double"&gt;0.9249525&lt;/D&gt;&lt;/FQL&gt;&lt;FQL&gt;&lt;Q&gt;FERG-US^P_BETA_LOCIDX(45778,45601,,"SPX")&lt;/Q&gt;&lt;R&gt;1&lt;/R&gt;&lt;C&gt;1&lt;/C&gt;&lt;D xsi:type="xsd:double"&gt;0.9278475&lt;/D&gt;&lt;/FQL&gt;&lt;FQL&gt;&lt;Q&gt;FERG-US^P_BETA_LOCIDX(45777,45600,,"SPX")&lt;/Q&gt;&lt;R&gt;1&lt;/R&gt;&lt;C&gt;1&lt;/C&gt;&lt;D xsi:type="xsd:double"&gt;0.9284659&lt;/D&gt;&lt;/FQL&gt;&lt;FQL&gt;&lt;Q&gt;FERG-US^P_BETA_LOCIDX(45776,45597,,"SPX")&lt;/Q&gt;&lt;R&gt;1&lt;/R&gt;&lt;C&gt;1&lt;/C&gt;&lt;D xsi:type="xsd:double"&gt;0.92903894&lt;/D&gt;&lt;/FQL&gt;&lt;FQL&gt;&lt;Q&gt;FERG-US^P_BETA_LOCIDX(45775,45596,,"SPX")&lt;/Q&gt;&lt;R&gt;1&lt;/R&gt;&lt;C&gt;1&lt;/C&gt;&lt;D xsi:type="xsd:double"&gt;0.9203992&lt;/D&gt;&lt;/FQL&gt;&lt;FQL&gt;&lt;Q&gt;FERG-US^P_BETA_LOCIDX(45772,45595,,"SPX")&lt;/Q&gt;&lt;R&gt;1&lt;/R&gt;&lt;C&gt;1&lt;/C&gt;&lt;D xsi:type="xsd:double"&gt;0.91874236&lt;/D&gt;&lt;/FQL&gt;&lt;FQL&gt;&lt;Q&gt;FERG-US^P_BETA_LOCIDX(45771,45594,,"SPX")&lt;/Q&gt;&lt;R&gt;1&lt;/R&gt;&lt;C&gt;1&lt;/C&gt;&lt;D xsi:type="xsd:double"&gt;0.9196819&lt;/D&gt;&lt;/FQL&gt;&lt;FQL&gt;&lt;Q&gt;FERG-US^P_BETA_LOCIDX(45770,45593,,"SPX")&lt;/Q&gt;&lt;R&gt;1&lt;/R&gt;&lt;C&gt;1&lt;/C&gt;&lt;D xsi:type="xsd:double"&gt;0.9048266&lt;/D&gt;&lt;/FQL&gt;&lt;FQL&gt;&lt;Q&gt;FERG-US^P_BETA_LOCIDX(45769,45590,,"SPX")&lt;/Q&gt;&lt;R&gt;1&lt;/R&gt;&lt;C&gt;1&lt;/C&gt;&lt;D xsi:type="xsd:double"&gt;0.9137922&lt;/D&gt;&lt;/FQL&gt;&lt;FQL&gt;&lt;Q&gt;FERG-US^P_BETA_LOCIDX(45768,45589,,"SPX")&lt;/Q&gt;&lt;R&gt;1&lt;/R&gt;&lt;C&gt;1&lt;/C&gt;&lt;D xsi:type="xsd:double"&gt;0.92091954&lt;/D&gt;&lt;/FQL&gt;&lt;FQL&gt;&lt;Q&gt;FERG-US^P_BETA_LOCIDX(45764,45588,,"SPX")&lt;/Q&gt;&lt;R&gt;1&lt;/R&gt;&lt;C&gt;1&lt;/C&gt;&lt;D xsi:type="xsd:double"&gt;0.91925675&lt;/D&gt;&lt;/FQL&gt;&lt;FQL&gt;&lt;Q&gt;FERG-US^P_BETA_LOCIDX(45763,45587,,"SPX")&lt;/Q&gt;&lt;R&gt;1&lt;/R&gt;&lt;C&gt;1&lt;/C&gt;&lt;D xsi:type="xsd:double"&gt;0.9182501&lt;/D&gt;&lt;/FQL&gt;&lt;FQL&gt;&lt;Q&gt;FERG-US^P_BETA_LOCIDX(45762,45586,,"SPX")&lt;/Q&gt;&lt;R&gt;1&lt;/R&gt;&lt;C&gt;1&lt;/C&gt;&lt;D xsi:type="xsd:double"&gt;0.92003906&lt;/D&gt;&lt;/FQL&gt;&lt;FQL&gt;&lt;Q&gt;FERG-US^P_BETA_LOCIDX(45761,45583,,"SPX")&lt;/Q&gt;&lt;R&gt;1&lt;/R&gt;&lt;C&gt;1&lt;/C&gt;&lt;D xsi:type="xsd:double"&gt;0.91897935&lt;/D&gt;&lt;/FQL&gt;&lt;FQL&gt;&lt;Q&gt;FERG-US^P_BETA_LOCIDX(45758,45582,,"SPX")&lt;/Q&gt;&lt;R&gt;1&lt;/R&gt;&lt;C&gt;1&lt;/C&gt;&lt;D xsi:type="xsd:double"&gt;0.91768754&lt;/D&gt;&lt;/FQL&gt;&lt;FQL&gt;&lt;Q&gt;FERG-US^P_BETA_LOCIDX(45757,45581,,"SPX")&lt;/Q&gt;&lt;R&gt;1&lt;/R&gt;&lt;C&gt;1&lt;/C&gt;&lt;D xsi:type="xsd:double"&gt;0.917816&lt;/D&gt;&lt;/FQL&gt;&lt;FQL&gt;&lt;Q&gt;FERG-US^P_BETA_LOCIDX(45756,45580,,"SPX")&lt;/Q&gt;&lt;R&gt;1&lt;/R&gt;&lt;C&gt;1&lt;/C&gt;&lt;D xsi:type="xsd:double"&gt;0.9382889&lt;/D&gt;&lt;/FQL&gt;&lt;FQL&gt;&lt;Q&gt;FERG-US^P_BETA_LOCIDX(45755,45579,,"SPX")&lt;/Q&gt;&lt;R&gt;1&lt;/R&gt;&lt;C&gt;1&lt;/C&gt;&lt;D xsi:type="xsd:double"&gt;0.7985783&lt;/D&gt;&lt;/FQL&gt;&lt;FQL&gt;&lt;Q&gt;FERG-US^P_BETA_LOCIDX(45754,45576,,"SPX")&lt;/Q&gt;&lt;R&gt;1&lt;/R&gt;&lt;C&gt;1&lt;/C&gt;&lt;D xsi:type="xsd:double"&gt;0.785792&lt;/D&gt;&lt;/FQL&gt;&lt;FQL&gt;&lt;Q&gt;FERG-US^P_BETA_LOCIDX(45751,45575,,"SPX")&lt;/Q&gt;&lt;R&gt;1&lt;/R&gt;&lt;C&gt;1&lt;/C&gt;&lt;D xsi:type="xsd:double"&gt;0.7838837&lt;/D&gt;&lt;/FQL&gt;&lt;FQL&gt;&lt;Q&gt;FERG-US^P_BETA_LOCIDX(45750,45574,,"SPX")&lt;/Q&gt;&lt;R&gt;1&lt;/R&gt;&lt;C&gt;1&lt;/C&gt;&lt;D xsi:type="xsd:double"&gt;0.933862&lt;/D&gt;&lt;/FQL&gt;&lt;FQL&gt;&lt;Q&gt;FERG-US^P_BETA_LOCIDX(45749,45573,,"SPX")&lt;/Q&gt;&lt;R&gt;1&lt;/R&gt;&lt;C&gt;1&lt;/C&gt;&lt;D xsi:type="xsd:double"&gt;0.96100557&lt;/D&gt;&lt;/FQL&gt;&lt;FQL&gt;&lt;Q&gt;FERG-US^P_BETA_LOCIDX(45748,45572,,"SPX")&lt;/Q&gt;&lt;R&gt;1&lt;/R&gt;&lt;C&gt;1&lt;/C&gt;&lt;D xsi:type="xsd:double"&gt;0.93786603&lt;/D&gt;&lt;/FQL&gt;&lt;FQL&gt;&lt;Q&gt;FERG-US^P_BETA_LOCIDX(45747,45569,,"SPX")&lt;/Q&gt;&lt;R&gt;1&lt;/R&gt;&lt;C&gt;1&lt;/C&gt;&lt;D xsi:type="xsd:double"&gt;0.9462283&lt;/D&gt;&lt;/FQL&gt;&lt;FQL&gt;&lt;Q&gt;FERG-US^P_BETA_LOCIDX(45744,45568,,"SPX")&lt;/Q&gt;&lt;R&gt;1&lt;/R&gt;&lt;C&gt;1&lt;/C&gt;&lt;D xsi:type="xsd:double"&gt;0.95225203&lt;/D&gt;&lt;/FQL&gt;&lt;FQL&gt;&lt;Q&gt;FERG-US^P_BETA_LOCIDX(45743,45567,,"SPX")&lt;/Q&gt;&lt;R&gt;1&lt;/R&gt;&lt;C&gt;1&lt;/C&gt;&lt;D xsi:type="xsd:double"&gt;0.9620868&lt;/D&gt;&lt;/FQL&gt;&lt;FQL&gt;&lt;Q&gt;FERG-US^P_BETA_LOCIDX(45742,45566,,"SPX")&lt;/Q&gt;&lt;R&gt;1&lt;/R&gt;&lt;C&gt;1&lt;/C&gt;&lt;D xsi:type="xsd:double"&gt;0.9465889&lt;/D&gt;&lt;/FQL&gt;&lt;FQL&gt;&lt;Q&gt;FERG-US^P_BETA_LOCIDX(45741,45565,,"SPX")&lt;/Q&gt;&lt;R&gt;1&lt;/R&gt;&lt;C&gt;1&lt;/C&gt;&lt;D xsi:type="xsd:double"&gt;0.94761264&lt;/D&gt;&lt;/FQL&gt;&lt;FQL&gt;&lt;Q&gt;FERG-US^P_BETA_LOCIDX(45740,45562,,"SPX")&lt;/Q&gt;&lt;R&gt;1&lt;/R&gt;&lt;C&gt;1&lt;/C&gt;&lt;D xsi:type="xsd:double"&gt;0.946789&lt;/D&gt;&lt;/FQL&gt;&lt;FQL&gt;&lt;Q&gt;FERG-US^P_BETA_LOCIDX(45737,45561,,"SPX")&lt;/Q&gt;&lt;R&gt;1&lt;/R&gt;&lt;C&gt;1&lt;/C&gt;&lt;D xsi:type="xsd:double"&gt;0.9547666&lt;/D&gt;&lt;/FQL&gt;&lt;FQL&gt;&lt;Q&gt;FERG-US^P_BETA_LOCIDX(45736,45560,,"SPX")&lt;/Q&gt;&lt;R&gt;1&lt;/R&gt;&lt;C&gt;1&lt;/C&gt;&lt;D xsi:type="xsd:double"&gt;0.9565293&lt;/D&gt;&lt;/FQL&gt;&lt;FQL&gt;&lt;Q&gt;FERG-US^P_BETA_LOCIDX(45735,45559,,"SPX")&lt;/Q&gt;&lt;R&gt;1&lt;/R&gt;&lt;C&gt;1&lt;/C&gt;&lt;D xsi:type="xsd:double"&gt;0.9574134&lt;/D&gt;&lt;/FQL&gt;&lt;FQL&gt;&lt;Q&gt;FERG-US^P_BETA_LOCIDX(45734,45558,,"SPX")&lt;/Q&gt;&lt;R&gt;1&lt;/R&gt;&lt;C&gt;1&lt;/C&gt;&lt;D xsi:type="xsd:double"&gt;0.9616466&lt;/D&gt;&lt;/FQL&gt;&lt;FQL&gt;&lt;Q&gt;FERG-US^P_BETA_LOCIDX(45733,45555,,"SPX")&lt;/Q&gt;&lt;R&gt;1&lt;/R&gt;&lt;C&gt;1&lt;/C&gt;&lt;D xsi:type="xsd:double"&gt;0.9888244&lt;/D&gt;&lt;/FQL&gt;&lt;FQL&gt;&lt;Q&gt;FERG-US^P_BETA_LOCIDX(45730,45554,,"SPX")&lt;/Q&gt;&lt;R&gt;1&lt;/R&gt;&lt;C&gt;1&lt;/C&gt;&lt;D xsi:type="xsd:double"&gt;0.9770895&lt;/D&gt;&lt;/FQL&gt;&lt;FQL&gt;&lt;Q&gt;FERG-US^P_BETA_LOCIDX(45729,45553,,"SPX")&lt;/Q&gt;&lt;R&gt;1&lt;/R&gt;&lt;C&gt;1&lt;/C&gt;&lt;D xsi:type="xsd:double"&gt;0.94889927&lt;/D&gt;&lt;/FQL&gt;&lt;FQL&gt;&lt;Q&gt;FERG-US^P_BETA_LOCIDX(45728,45552,,"SPX")&lt;/Q&gt;&lt;R&gt;1&lt;/R&gt;&lt;C&gt;1&lt;/C&gt;&lt;D xsi:type="xsd:double"&gt;0.96710575&lt;/D&gt;&lt;/FQL&gt;&lt;FQL&gt;&lt;Q&gt;FERG-US^P_BETA_LOCIDX(45727,45551,,"SPX")&lt;/Q&gt;&lt;R&gt;1&lt;/R&gt;&lt;C&gt;1&lt;/C&gt;&lt;D xsi:type="xsd:double"&gt;0.9761784&lt;/D&gt;&lt;/FQL&gt;&lt;FQL&gt;&lt;Q&gt;FERG-US^P_BETA_LOCIDX(45726,45548,,"SPX")&lt;/Q&gt;&lt;R&gt;1&lt;/R&gt;&lt;C&gt;1&lt;/C&gt;&lt;D xsi:type="xsd:double"&gt;0.945826&lt;/D&gt;&lt;/FQL&gt;&lt;FQL&gt;&lt;Q&gt;FERG-US^P_BETA_LOCIDX(45723,45547,,"SPX")&lt;/Q&gt;&lt;R&gt;1&lt;/R&gt;&lt;C&gt;1&lt;/C&gt;&lt;D xsi:type="xsd:double"&gt;0.9846397&lt;/D&gt;&lt;/FQL&gt;&lt;FQL&gt;&lt;Q&gt;FERG-US^P_BETA_LOCIDX(45722,45546,,"SPX")&lt;/Q&gt;&lt;R&gt;1&lt;/R&gt;&lt;C&gt;1&lt;/C&gt;&lt;D xsi:type="xsd:double"&gt;0.96380454&lt;/D&gt;&lt;/FQL&gt;&lt;FQL&gt;&lt;Q&gt;FERG-US^P_BETA_LOCIDX(45721,45545,,"SPX")&lt;/Q&gt;&lt;R&gt;1&lt;/R&gt;&lt;C&gt;1&lt;/C&gt;&lt;D xsi:type="xsd:double"&gt;0.96445966&lt;/D&gt;&lt;/FQL&gt;&lt;FQL&gt;&lt;Q&gt;FERG-US^P_BETA_LOCIDX(45720,45544,,"SPX")&lt;/Q&gt;&lt;R&gt;1&lt;/R&gt;&lt;C&gt;1&lt;/C&gt;&lt;D xsi:type="xsd:double"&gt;0.91423875&lt;/D&gt;&lt;/FQL&gt;&lt;FQL&gt;&lt;Q&gt;FERG-US^P_BETA_LOCIDX(45719,45541,,"SPX")&lt;/Q&gt;&lt;R&gt;1&lt;/R&gt;&lt;C&gt;1&lt;/C&gt;&lt;D xsi:type="xsd:double"&gt;0.8835758&lt;/D&gt;&lt;/FQL&gt;&lt;FQL&gt;&lt;Q&gt;FERG-US^P_BETA_LOCIDX(45716,45540,,"SPX")&lt;/Q&gt;&lt;R&gt;1&lt;/R&gt;&lt;C&gt;1&lt;/C&gt;&lt;D xsi:type="xsd:double"&gt;0.87446165&lt;/D&gt;&lt;/FQL&gt;&lt;FQL&gt;&lt;Q&gt;FERG-US^P_BETA_LOCIDX(45715,45539,,"SPX")&lt;/Q&gt;&lt;R&gt;1&lt;/R&gt;&lt;C&gt;1&lt;/C&gt;&lt;D xsi:type="xsd:double"&gt;0.8827763&lt;/D&gt;&lt;/FQL&gt;&lt;FQL&gt;&lt;Q&gt;FERG-US^P_BETA_LOCIDX(45714,45538,,"SPX")&lt;/Q&gt;&lt;R&gt;1&lt;/R&gt;&lt;C&gt;1&lt;/C&gt;&lt;D xsi:type="xsd:double"&gt;0.8958974&lt;/D&gt;&lt;/FQL&gt;&lt;FQL&gt;&lt;Q&gt;FERG-US^P_BETA_LOCIDX(45713,45534,,"SPX")&lt;/Q&gt;&lt;R&gt;1&lt;/R&gt;&lt;C&gt;1&lt;/C&gt;&lt;D xsi:type="xsd:double"&gt;0.89154714&lt;/D&gt;&lt;/FQL&gt;&lt;FQL&gt;&lt;Q&gt;FERG-US^P_BETA_LOCIDX(45712,45533,,"SPX")&lt;/Q&gt;&lt;R&gt;1&lt;/R&gt;&lt;C&gt;1&lt;/C&gt;&lt;D xsi:type="xsd:double"&gt;0.9043477&lt;/D&gt;&lt;/FQL&gt;&lt;FQL&gt;&lt;Q&gt;FERG-US^P_BETA_LOCIDX(45709,45532,,"SPX")&lt;/Q&gt;&lt;R&gt;1&lt;/R&gt;&lt;C&gt;1&lt;/C&gt;&lt;D xsi:type="xsd:double"&gt;0.9092319&lt;/D&gt;&lt;/FQL&gt;&lt;FQL&gt;&lt;Q&gt;FERG-US^P_BETA_LOCIDX(45708,45531,,"SPX")&lt;/Q&gt;&lt;R&gt;1&lt;/R&gt;&lt;C&gt;1&lt;/C&gt;&lt;D xsi:type="xsd:double"&gt;0.9003957&lt;/D&gt;&lt;/FQL&gt;&lt;FQL&gt;&lt;Q&gt;FERG-US^P_BETA_LOCIDX(45707,45530,,"SPX")&lt;/Q&gt;&lt;R&gt;1&lt;/R&gt;&lt;C&gt;1&lt;/C&gt;&lt;D xsi:type="xsd:double"&gt;0.88921136&lt;/D&gt;&lt;/FQL&gt;&lt;FQL&gt;&lt;Q&gt;FERG-US^P_BETA_LOCIDX(45706,45527,,"SPX")&lt;/Q&gt;&lt;R&gt;1&lt;/R&gt;&lt;C&gt;1&lt;/C&gt;&lt;D xsi:type="xsd:double"&gt;0.9166827&lt;/D&gt;&lt;/FQL&gt;&lt;FQL&gt;&lt;Q&gt;FERG-US^P_BETA_LOCIDX(45702,45526,,"SPX")&lt;/Q&gt;&lt;R&gt;1&lt;/R&gt;&lt;C&gt;1&lt;/C&gt;&lt;D xsi:type="xsd:double"&gt;0.91817206&lt;/D&gt;&lt;/FQL&gt;&lt;FQL&gt;&lt;Q&gt;FERG-US^P_BETA_LOCIDX(45701,45525,,"SPX")&lt;/Q&gt;&lt;R&gt;1&lt;/R&gt;&lt;C&gt;1&lt;/C&gt;&lt;D xsi:type="xsd:double"&gt;0.92892814&lt;/D&gt;&lt;/FQL&gt;&lt;FQL&gt;&lt;Q&gt;FERG-US^P_BETA_LOCIDX(45700,45524,,"SPX")&lt;/Q&gt;&lt;R&gt;1&lt;/R&gt;&lt;C&gt;1&lt;/C&gt;&lt;D xsi:type="xsd:double"&gt;0.9196251&lt;/D&gt;&lt;/FQL&gt;&lt;FQL&gt;&lt;Q&gt;FERG-US^P_BETA_LOCIDX(45699,45523,,"SPX")&lt;/Q&gt;&lt;R&gt;1&lt;/R&gt;&lt;C&gt;1&lt;/C&gt;&lt;D xsi:type="xsd:double"&gt;0.91270393&lt;/D&gt;&lt;/FQL&gt;&lt;FQL&gt;&lt;Q&gt;FERG-US^P_BETA_LOCIDX(45698,45520,,"SPX")&lt;/Q&gt;&lt;R&gt;1&lt;/R&gt;&lt;C&gt;1&lt;/C&gt;&lt;D xsi:type="xsd:double"&gt;0.9102464&lt;/D&gt;&lt;/FQL&gt;&lt;FQL&gt;&lt;Q&gt;FERG-US^P_BETA_LOCIDX(45695,45519,,"SPX")&lt;/Q&gt;&lt;R&gt;1&lt;/R&gt;&lt;C&gt;1&lt;/C&gt;&lt;D xsi:type="xsd:double"&gt;0.92841893&lt;/D&gt;&lt;/FQL&gt;&lt;FQL&gt;&lt;Q&gt;FERG-US^P_BETA_LOCIDX(45694,45518,,"SPX")&lt;/Q&gt;&lt;R&gt;1&lt;/R&gt;&lt;C&gt;1&lt;/C&gt;&lt;D xsi:type="xsd:double"&gt;0.9062185&lt;/D&gt;&lt;/FQL&gt;&lt;FQL&gt;&lt;Q&gt;FERG-US^P_BETA_LOCIDX(45693,45517,,"SPX")&lt;/Q&gt;&lt;R&gt;1&lt;/R&gt;&lt;C&gt;1&lt;/C&gt;&lt;D xsi:type="xsd:double"&gt;0.95379245&lt;/D&gt;&lt;/FQL&gt;&lt;FQL&gt;&lt;Q&gt;FERG-US^P_BETA_LOCIDX(45692,45516,,"SPX")&lt;/Q&gt;&lt;R&gt;1&lt;/R&gt;&lt;C&gt;1&lt;/C&gt;&lt;D xsi:type="xsd:double"&gt;0.94946605&lt;/D&gt;&lt;/FQL&gt;&lt;FQL&gt;&lt;Q&gt;FERG-US^P_BETA_LOCIDX(45691,45513,,"SPX")&lt;/Q&gt;&lt;R&gt;1&lt;/R&gt;&lt;C&gt;1&lt;/C&gt;&lt;D xsi:type="xsd:double"&gt;0.9729074&lt;/D&gt;&lt;/FQL&gt;&lt;FQL&gt;&lt;Q&gt;FERG-US^P_BETA_LOCIDX(45688,45512,,"SPX")&lt;/Q&gt;&lt;R&gt;1&lt;/R&gt;&lt;C&gt;1&lt;/C&gt;&lt;D xsi:type="xsd:double"&gt;0.9817735&lt;/D&gt;&lt;/FQL&gt;&lt;FQL&gt;&lt;Q&gt;FERG-US^P_BETA_LOCIDX(45687,45511,,"SPX")&lt;/Q&gt;&lt;R&gt;1&lt;/R&gt;&lt;C&gt;1&lt;/C&gt;&lt;D xsi:type="xsd:double"&gt;1.0026253&lt;/D&gt;&lt;/FQL&gt;&lt;FQL&gt;&lt;Q&gt;FERG-US^P_BETA_LOCIDX(45686,45510,,"SPX")&lt;/Q&gt;&lt;R&gt;1&lt;/R&gt;&lt;C&gt;1&lt;/C&gt;&lt;D xsi:type="xsd:double"&gt;1.0012983&lt;/D&gt;&lt;/FQL&gt;&lt;FQL&gt;&lt;Q&gt;FERG-US^P_BETA_LOCIDX(45685,45509,,"SPX")&lt;/Q&gt;&lt;R&gt;1&lt;/R&gt;&lt;C&gt;1&lt;/C&gt;&lt;D xsi:type="xsd:double"&gt;1.0177919&lt;/D&gt;&lt;/FQL&gt;&lt;FQL&gt;&lt;Q&gt;FERG-US^P_BETA_LOCIDX(45684,45506,,"SPX")&lt;/Q&gt;&lt;R&gt;1&lt;/R&gt;&lt;C&gt;1&lt;/C&gt;&lt;D xsi:type="xsd:double"&gt;1.0920486&lt;/D&gt;&lt;/FQL&gt;&lt;FQL&gt;&lt;Q&gt;FERG-US^P_BETA_LOCIDX(45681,45505,,"SPX")&lt;/Q&gt;&lt;R&gt;1&lt;/R&gt;&lt;C&gt;1&lt;/C&gt;&lt;D xsi:type="xsd:double"&gt;1.1710387&lt;/D&gt;&lt;/FQL&gt;&lt;FQL&gt;&lt;Q&gt;FERG-US^P_BETA_LOCIDX(45680,45504,,"SPX")&lt;/Q&gt;&lt;R&gt;1&lt;/R&gt;&lt;C&gt;1&lt;/C&gt;&lt;D xsi:type="xsd:double"&gt;1.174157&lt;/D&gt;&lt;/FQL&gt;&lt;FQL&gt;&lt;Q&gt;FERG-US^P_BETA_LOCIDX(45679,45503,,"SPX")&lt;/Q&gt;&lt;R&gt;1&lt;/R&gt;&lt;C&gt;1&lt;/C&gt;&lt;D xsi:type="xsd:double"&gt;1.1793855&lt;/D&gt;&lt;/FQL&gt;&lt;FQL&gt;&lt;Q&gt;FERG-US^P_BETA_LOCIDX(45678,45502,,"SPX")&lt;/Q&gt;&lt;R&gt;1&lt;/R&gt;&lt;C&gt;1&lt;/C&gt;&lt;D xsi:type="xsd:double"&gt;1.172004&lt;/D&gt;&lt;/FQL&gt;&lt;FQL&gt;&lt;Q&gt;FERG-US^P_BETA_LOCIDX(45674,45499,,"SPX")&lt;/Q&gt;&lt;R&gt;1&lt;/R&gt;&lt;C&gt;1&lt;/C&gt;&lt;D xsi:type="xsd:double"&gt;1.1718402&lt;/D&gt;&lt;/FQL&gt;&lt;FQL&gt;&lt;Q&gt;FERG-US^P_BETA_LOCIDX(45673,45498,,"SPX")&lt;/Q&gt;&lt;R&gt;1&lt;/R&gt;&lt;C&gt;1&lt;/C&gt;&lt;D xsi:type="xsd:double"&gt;1.1559014&lt;/D&gt;&lt;/FQL&gt;&lt;FQL&gt;&lt;Q&gt;FERG-US^P_BETA_LOCIDX(45672,45497,,"SPX")&lt;/Q&gt;&lt;R&gt;1&lt;/R&gt;&lt;C&gt;1&lt;/C&gt;&lt;D xsi:type="xsd:double"&gt;1.1345209&lt;/D&gt;&lt;/FQL&gt;&lt;FQL&gt;&lt;Q&gt;FERG-US^P_BETA_LOCIDX(45671,45496,,"SPX")&lt;/Q&gt;&lt;R&gt;1&lt;/R&gt;&lt;C&gt;1&lt;/C&gt;&lt;D xsi:type="xsd:double"&gt;1.1749625&lt;/D&gt;&lt;/FQL&gt;&lt;FQL&gt;&lt;Q&gt;FERG-US^P_BETA_LOCIDX(45670,45495,,"SPX")&lt;/Q&gt;&lt;R&gt;1&lt;/R&gt;&lt;C&gt;1&lt;/C&gt;&lt;D xsi:type="xsd:double"&gt;1.1777854&lt;/D&gt;&lt;/FQL&gt;&lt;FQL&gt;&lt;Q&gt;FERG-US^P_BETA_LOCIDX(45667,45492,,"SPX")&lt;/Q&gt;&lt;R&gt;1&lt;/R&gt;&lt;C&gt;1&lt;/C&gt;&lt;D xsi:type="xsd:double"&gt;1.1776291&lt;/D&gt;&lt;/FQL&gt;&lt;FQL&gt;&lt;Q&gt;FERG-US^P_BETA_LOCIDX(45665,45491,,"SPX")&lt;/Q&gt;&lt;R&gt;1&lt;/R&gt;&lt;C&gt;1&lt;/C&gt;&lt;D xsi:type="xsd:double"&gt;1.1839797&lt;/D&gt;&lt;/FQL&gt;&lt;FQL&gt;&lt;Q&gt;FERG-US^P_BETA_LOCIDX(45664,45490,,"SPX")&lt;/Q&gt;&lt;R&gt;1&lt;/R&gt;&lt;C&gt;1&lt;/C&gt;&lt;D xsi:type="xsd:double"&gt;1.1924766&lt;/D&gt;&lt;/FQL&gt;&lt;FQL&gt;&lt;Q&gt;FERG-US^P_BETA_LOCIDX(45663,45489,,"SPX")&lt;/Q&gt;&lt;R&gt;1&lt;/R&gt;&lt;C&gt;1&lt;/C&gt;&lt;D xsi:type="xsd:double"&gt;1.2229322&lt;/D&gt;&lt;/FQL&gt;&lt;FQL&gt;&lt;Q&gt;FERG-US^P_BETA_LOCIDX(45660,45488,,"SPX")&lt;/Q&gt;&lt;R&gt;1&lt;/R&gt;&lt;C&gt;1&lt;/C&gt;&lt;D xsi:type="xsd:double"&gt;1.227175&lt;/D&gt;&lt;/FQL&gt;&lt;FQL&gt;&lt;Q&gt;FERG-US^P_BETA_LOCIDX(45659,45485,,"SPX")&lt;/Q&gt;&lt;R&gt;1&lt;/R&gt;&lt;C&gt;1&lt;/C&gt;&lt;D xsi:type="xsd:double"&gt;1.2569516&lt;/D&gt;&lt;/FQL&gt;&lt;FQL&gt;&lt;Q&gt;FERG-US^P_BETA_LOCIDX(45657,45484,,"SPX")&lt;/Q&gt;&lt;R&gt;1&lt;/R&gt;&lt;C&gt;1&lt;/C&gt;&lt;D xsi:type="xsd:double"&gt;1.2281513&lt;/D&gt;&lt;/FQL&gt;&lt;FQL&gt;&lt;Q&gt;FERG-US^P_BETA_LOCIDX(45656,45483,,"SPX")&lt;/Q&gt;&lt;R&gt;1&lt;/R&gt;&lt;C&gt;1&lt;/C&gt;&lt;D xsi:type="xsd:double"&gt;1.2383928&lt;/D&gt;&lt;/FQL&gt;&lt;FQL&gt;&lt;Q&gt;FERG-US^P_BETA_LOCIDX(45653,45482,,"SPX")&lt;/Q&gt;&lt;R&gt;1&lt;/R&gt;&lt;C&gt;1&lt;/C&gt;&lt;D xsi:type="xsd:double"&gt;1.2442868&lt;/D&gt;&lt;/FQL&gt;&lt;FQL&gt;&lt;Q&gt;FERG-US^P_BETA_LOCIDX(45652,45481,,"SPX")&lt;/Q&gt;&lt;R&gt;1&lt;/R&gt;&lt;C&gt;1&lt;/C&gt;&lt;D xsi:type="xsd:double"&gt;1.2436339&lt;/D&gt;&lt;/FQL&gt;&lt;FQL&gt;&lt;Q&gt;FERG-US^P_BETA_LOCIDX(45650,45478,,"SPX")&lt;/Q&gt;&lt;R&gt;1&lt;/R&gt;&lt;C&gt;1&lt;/C&gt;&lt;D xsi:type="xsd:double"&gt;1.2437222&lt;/D&gt;&lt;/FQL&gt;&lt;FQL&gt;&lt;Q&gt;FERG-US^P_BETA_LOCIDX(45649,45476,,"SPX")&lt;/Q&gt;&lt;R&gt;1&lt;/R&gt;&lt;C&gt;1&lt;/C&gt;&lt;D xsi:type="xsd:double"&gt;1.2477168&lt;/D&gt;&lt;/FQL&gt;&lt;FQL&gt;&lt;Q&gt;FERG-US^P_BETA_LOCIDX(45646,45475,,"SPX")&lt;/Q&gt;&lt;R&gt;1&lt;/R&gt;&lt;C&gt;1&lt;/C&gt;&lt;D xsi:type="xsd:double"&gt;1.2579926&lt;/D&gt;&lt;/FQL&gt;&lt;FQL&gt;&lt;Q&gt;FERG-US^P_BETA_LOCIDX(45645,45474,,"SPX")&lt;/Q&gt;&lt;R&gt;1&lt;/R&gt;&lt;C&gt;1&lt;/C&gt;&lt;D xsi:type="xsd:double"&gt;1.2462549&lt;/D&gt;&lt;/FQL&gt;&lt;FQL&gt;&lt;Q&gt;FERG-US^P_BETA_LOCIDX(45644,45471,,"SPX")&lt;/Q&gt;&lt;R&gt;1&lt;/R&gt;&lt;C&gt;1&lt;/C&gt;&lt;D xsi:type="xsd:double"&gt;1.2407405&lt;/D&gt;&lt;/FQL&gt;&lt;FQL&gt;&lt;Q&gt;FERG-US^P_BETA_LOCIDX(45643,45470,,"SPX")&lt;/Q&gt;&lt;R&gt;1&lt;/R&gt;&lt;C&gt;1&lt;/C&gt;&lt;D xsi:type="xsd:double"&gt;1.2302772&lt;/D&gt;&lt;/FQL&gt;&lt;FQL&gt;&lt;Q&gt;FERG-US^P_BETA_LOCIDX(45642,45469,,"SPX")&lt;/Q&gt;&lt;R&gt;1&lt;/R&gt;&lt;C&gt;1&lt;/C&gt;&lt;D xsi:type="xsd:double"&gt;1.2310882&lt;/D&gt;&lt;/FQL&gt;&lt;FQL&gt;&lt;Q&gt;FERG-US^P_BETA_LOCIDX(45639,45468,,"SPX")&lt;/Q&gt;&lt;R&gt;1&lt;/R&gt;&lt;C&gt;1&lt;/C&gt;&lt;D xsi:type="xsd:double"&gt;1.2282866&lt;/D&gt;&lt;/FQL&gt;&lt;FQL&gt;&lt;Q&gt;FERG-US^P_BETA_LOCIDX(45638,45467,,"SPX")&lt;/Q&gt;&lt;R&gt;1&lt;/R&gt;&lt;C&gt;1&lt;/C&gt;&lt;D xsi:type="xsd:double"&gt;1.2257737&lt;/D&gt;&lt;/FQL&gt;&lt;FQL&gt;&lt;Q&gt;FERG-US^P_BETA_LOCIDX(45637,45464,,"SPX")&lt;/Q&gt;&lt;R&gt;1&lt;/R&gt;&lt;C&gt;1&lt;/C&gt;&lt;D xsi:type="xsd:double"&gt;1.2189181&lt;/D&gt;&lt;/FQL&gt;&lt;FQL&gt;&lt;Q&gt;FERG-US^P_BETA_LOCIDX(45636,45463,,"SPX")&lt;/Q&gt;&lt;R&gt;1&lt;/R&gt;&lt;C&gt;1&lt;/C&gt;&lt;D xsi:type="xsd:double"&gt;1.2412946&lt;/D&gt;&lt;/FQL&gt;&lt;FQL&gt;&lt;Q&gt;FERG-US^P_BETA_LOCIDX(45635,45461,,"SPX")&lt;/Q&gt;&lt;R&gt;1&lt;/R&gt;&lt;C&gt;1&lt;/C&gt;&lt;D xsi:type="xsd:double"&gt;1.1985224&lt;/D&gt;&lt;/FQL&gt;&lt;FQL&gt;&lt;Q&gt;FERG-US^P_BETA_LOCIDX(45632,45460,,"SPX")&lt;/Q&gt;&lt;R&gt;1&lt;/R&gt;&lt;C&gt;1&lt;/C&gt;&lt;D xsi:type="xsd:double"&gt;1.1987725&lt;/D&gt;&lt;/FQL&gt;&lt;FQL&gt;&lt;Q&gt;FERG-US^P_BETA_LOCIDX(45631,45457,,"SPX")&lt;/Q&gt;&lt;R&gt;1&lt;/R&gt;&lt;C&gt;1&lt;/C&gt;&lt;D xsi:type="xsd:double"&gt;1.2027895&lt;/D&gt;&lt;/FQL&gt;&lt;FQL&gt;&lt;Q&gt;FERG-US^P_BETA_LOCIDX(45630,45456,,"SPX")&lt;/Q&gt;&lt;R&gt;1&lt;/R&gt;&lt;C&gt;1&lt;/C&gt;&lt;D xsi:type="xsd:double"&gt;1.1918972&lt;/D&gt;&lt;/FQL&gt;&lt;FQL&gt;&lt;Q&gt;FERG-US^P_BETA_LOCIDX(45629,45455,,"SPX")&lt;/Q&gt;&lt;R&gt;1&lt;/R&gt;&lt;C&gt;1&lt;/C&gt;&lt;D xsi:type="xsd:double"&gt;1.2123228&lt;/D&gt;&lt;/FQL&gt;&lt;FQL&gt;&lt;Q&gt;FERG-US^P_BETA_LOCIDX(45628,45454,,"SPX")&lt;/Q&gt;&lt;R&gt;1&lt;/R&gt;&lt;C&gt;1&lt;/C&gt;&lt;D xsi:type="xsd:double"&gt;1.2155108&lt;/D&gt;&lt;/FQL&gt;&lt;FQL&gt;&lt;Q&gt;FERG-US^P_BETA_LOCIDX(45625,45453,,"SPX")&lt;/Q&gt;&lt;R&gt;1&lt;/R&gt;&lt;C&gt;1&lt;/C&gt;&lt;D xsi:type="xsd:double"&gt;1.2180364&lt;/D&gt;&lt;/FQL&gt;&lt;FQL&gt;&lt;Q&gt;FERG-US^P_BETA_LOCIDX(45623,45450,,"SPX")&lt;/Q&gt;&lt;R&gt;1&lt;/R&gt;&lt;C&gt;1&lt;/C&gt;&lt;D xsi:type="xsd:double"&gt;1.215848&lt;/D&gt;&lt;/FQL&gt;&lt;FQL&gt;&lt;Q&gt;FERG-US^P_BETA_LOCIDX(45622,45449,,"SPX")&lt;/Q&gt;&lt;R&gt;1&lt;/R&gt;&lt;C&gt;1&lt;/C&gt;&lt;D xsi:type="xsd:double"&gt;1.2216543&lt;/D&gt;&lt;/FQL&gt;&lt;FQL&gt;&lt;Q&gt;FERG-US^P_BETA_LOCIDX(45621,45448,,"SPX")&lt;/Q&gt;&lt;R&gt;1&lt;/R&gt;&lt;C&gt;1&lt;/C&gt;&lt;D xsi:type="xsd:double"&gt;1.2449719&lt;/D&gt;&lt;/FQL&gt;&lt;FQL&gt;&lt;Q&gt;FERG-US^P_BETA_LOCIDX(45618,45447,,"SPX")&lt;/Q&gt;&lt;R&gt;1&lt;/R&gt;&lt;C&gt;1&lt;/C&gt;&lt;D xsi:type="xsd:double"&gt;1.2366029&lt;/D&gt;&lt;/FQL&gt;&lt;FQL&gt;&lt;Q&gt;FERG-US^P_BETA_LOCIDX(45617,45446,,"SPX")&lt;/Q&gt;&lt;R&gt;1&lt;/R&gt;&lt;C&gt;1&lt;/C&gt;&lt;D xsi:type="xsd:double"&gt;1.2340736&lt;/D&gt;&lt;/FQL&gt;&lt;FQL&gt;&lt;Q&gt;FERG-US^P_BETA_LOCIDX(45616,45443,,"SPX")&lt;/Q&gt;&lt;R&gt;1&lt;/R&gt;&lt;C&gt;1&lt;/C&gt;&lt;D xsi:type="xsd:double"&gt;1.2229443&lt;/D&gt;&lt;/FQL&gt;&lt;FQL&gt;&lt;Q&gt;FERG-US^P_BETA_LOCIDX(45615,45442,,"SPX")&lt;/Q&gt;&lt;R&gt;1&lt;/R&gt;&lt;C&gt;1&lt;/C&gt;&lt;D xsi:type="xsd:double"&gt;1.2104138&lt;/D&gt;&lt;/FQL&gt;&lt;FQL&gt;&lt;Q&gt;FERG-US^P_BETA_LOCIDX(45614,45441,,"SPX")&lt;/Q&gt;&lt;R&gt;1&lt;/R&gt;&lt;C&gt;1&lt;/C&gt;&lt;D xsi:type="xsd:double"&gt;1.2090105&lt;/D&gt;&lt;/FQL&gt;&lt;FQL&gt;&lt;Q&gt;FERG-US^P_BETA_LOCIDX(45611,45440,,"SPX")&lt;/Q&gt;&lt;R&gt;1&lt;/R&gt;&lt;C&gt;1&lt;/C&gt;&lt;D xsi:type="xsd:double"&gt;1.2096627&lt;/D&gt;&lt;/FQL&gt;&lt;FQL&gt;&lt;Q&gt;FERG-US^P_BETA_LOCIDX(45610,45436,,"SPX")&lt;/Q&gt;&lt;R&gt;1&lt;/R&gt;&lt;C&gt;1&lt;/C&gt;&lt;D xsi:type="xsd:double"&gt;1.2092254&lt;/D&gt;&lt;/FQL&gt;&lt;FQL&gt;&lt;Q&gt;FERG-US^P_BETA_LOCIDX(45609,45435,,"SPX")&lt;/Q&gt;&lt;R&gt;1&lt;/R&gt;&lt;C&gt;1&lt;/C&gt;&lt;D xsi:type="xsd:double"&gt;1.20975&lt;/D&gt;&lt;/FQL&gt;&lt;FQL&gt;&lt;Q&gt;FERG-US^P_BETA_LOCIDX(45608,45434,,"SPX")&lt;/Q&gt;&lt;R&gt;1&lt;/R&gt;&lt;C&gt;1&lt;/C&gt;&lt;D xsi:type="xsd:double"&gt;1.2113038&lt;/D&gt;&lt;/FQL&gt;&lt;FQL&gt;&lt;Q&gt;FERG-US^P_BETA_LOCIDX(45607,45433,,"SPX")&lt;/Q&gt;&lt;R&gt;1&lt;/R&gt;&lt;C&gt;1&lt;/C&gt;&lt;D xsi:type="xsd:double"&gt;1.2065351&lt;/D&gt;&lt;/FQL&gt;&lt;FQL&gt;&lt;Q&gt;FERG-US^P_BETA_LOCIDX(45604,45432,,"SPX")&lt;/Q&gt;&lt;R&gt;1&lt;/R&gt;&lt;C&gt;1&lt;/C&gt;&lt;D xsi:type="xsd:double"&gt;1.2064542&lt;/D&gt;&lt;/FQL&gt;&lt;FQL&gt;&lt;Q&gt;FERG-US^P_BETA_LOCIDX(45603,45429,,"SPX")&lt;/Q&gt;&lt;R&gt;1&lt;/R&gt;&lt;C&gt;1&lt;/C&gt;&lt;D xsi:type="xsd:double"&gt;1.2122167&lt;/D&gt;&lt;/FQL&gt;&lt;FQL&gt;&lt;Q&gt;FERG-US^P_BETA_LOCIDX(45602,45428,,"SPX")&lt;/Q&gt;&lt;R&gt;1&lt;/R&gt;&lt;C&gt;1&lt;/C&gt;&lt;D xsi:type="xsd:double"&gt;1.2313316&lt;/D&gt;&lt;/FQL&gt;&lt;FQL&gt;&lt;Q&gt;FERG-US^P_BETA_LOCIDX(45601,45427,,"SPX")&lt;/Q&gt;&lt;R&gt;1&lt;/R&gt;&lt;C&gt;1&lt;/C&gt;&lt;D xsi:type="xsd:double"&gt;1.1855136&lt;/D&gt;&lt;/FQL&gt;&lt;FQL&gt;&lt;Q&gt;FERG-US^P_BETA_LOCIDX(45600,45426,,"SPX")&lt;/Q&gt;&lt;R&gt;1&lt;/R&gt;&lt;C&gt;1&lt;/C&gt;&lt;D xsi:type="xsd:double"&gt;1.1715343&lt;/D&gt;&lt;/FQL&gt;&lt;FQL&gt;&lt;Q&gt;FERG-US^P_BETA_LOCIDX(45597,45425,,"SPX")&lt;/Q&gt;&lt;R&gt;1&lt;/R&gt;&lt;C&gt;1&lt;/C&gt;&lt;D xsi:type="xsd:double"&gt;1.1748587&lt;/D&gt;&lt;/FQL&gt;&lt;FQL&gt;&lt;Q&gt;FERG-US^P_BETA_LOCIDX(45596,45422,,"SPX")&lt;/Q&gt;&lt;R&gt;1&lt;/R&gt;&lt;C&gt;1&lt;/C&gt;&lt;D xsi:type="xsd:double"&gt;1.1740298&lt;/D&gt;&lt;/FQL&gt;&lt;FQL&gt;&lt;Q&gt;FERG-US^P_BETA_LOCIDX(45595,45421,,"SPX")&lt;/Q&gt;&lt;R&gt;1&lt;/R&gt;&lt;C&gt;1&lt;/C&gt;&lt;D xsi:type="xsd:double"&gt;1.2290165&lt;/D&gt;&lt;/FQL&gt;&lt;FQL&gt;&lt;Q&gt;FERG-US^P_BETA_LOCIDX(45594,45420,,"SPX")&lt;/Q&gt;&lt;R&gt;1&lt;/R&gt;&lt;C&gt;1&lt;/C&gt;&lt;D xsi:type="xsd:double"&gt;1.2373806&lt;/D&gt;&lt;/FQL&gt;&lt;FQL&gt;&lt;Q&gt;FERG-US^P_BETA_LOCIDX(45593,45419,,"SPX")&lt;/Q&gt;&lt;R&gt;1&lt;/R&gt;&lt;C&gt;1&lt;/C&gt;&lt;D xsi:type="xsd:double"&gt;1.2383317&lt;/D&gt;&lt;/FQL&gt;&lt;FQL&gt;&lt;Q&gt;FERG-US^P_BETA_LOCIDX(45590,45418,,"SPX")&lt;/Q&gt;&lt;R&gt;1&lt;/R&gt;&lt;C&gt;1&lt;/C&gt;&lt;D xsi:type="xsd:double"&gt;1.2328492&lt;/D&gt;&lt;/FQL&gt;&lt;FQL&gt;&lt;Q&gt;FERG-US^P_BETA_LOCIDX(45589,45415,,"SPX")&lt;/Q&gt;&lt;R&gt;1&lt;/R&gt;&lt;C&gt;1&lt;/C&gt;&lt;D xsi:type="xsd:double"&gt;1.2379096&lt;/D&gt;&lt;/FQL&gt;&lt;FQL&gt;&lt;Q&gt;FERG-US^P_BETA_LOCIDX(45588,45414,,"SPX")&lt;/Q&gt;&lt;R&gt;1&lt;/R&gt;&lt;C&gt;1&lt;/C&gt;&lt;D xsi:type="xsd:double"&gt;1.2356739&lt;/D&gt;&lt;/FQL&gt;&lt;FQL&gt;&lt;Q&gt;FERG-US^P_BETA_LOCIDX(45587,45413,,"SPX")&lt;/Q&gt;&lt;R&gt;1&lt;/R&gt;&lt;C&gt;1&lt;/C&gt;&lt;D xsi:type="xsd:double"&gt;1.2418405&lt;/D&gt;&lt;/FQL&gt;&lt;FQL&gt;&lt;Q&gt;FERG-US^P_BETA_LOCIDX(45586,45412,,"SPX")&lt;/Q&gt;&lt;R&gt;1&lt;/R&gt;&lt;C&gt;1&lt;/C&gt;&lt;D xsi:type="xsd:double"&gt;1.2447214&lt;/D&gt;&lt;/FQL&gt;&lt;FQL&gt;&lt;Q&gt;FERG-US^P_BETA_LOCIDX(45583,45411,,"SPX")&lt;/Q&gt;&lt;R&gt;1&lt;/R&gt;&lt;C&gt;1&lt;/C&gt;&lt;D xsi:type="xsd:double"&gt;1.2392229&lt;/D&gt;&lt;/FQL&gt;&lt;FQL&gt;&lt;Q&gt;FERG-US^P_BETA_LOCIDX(45582,45408,,"SPX")&lt;/Q&gt;&lt;R&gt;1&lt;/R&gt;&lt;C&gt;1&lt;/C&gt;&lt;D xsi:type="xsd:double"&gt;1.2319839&lt;/D&gt;&lt;/FQL&gt;&lt;FQL&gt;&lt;Q&gt;FERG-US^P_BETA_LOCIDX(45581,45407,,"SPX")&lt;/Q&gt;&lt;R&gt;1&lt;/R&gt;&lt;C&gt;1&lt;/C&gt;&lt;D xsi:type="xsd:double"&gt;1.2170992&lt;/D&gt;&lt;/FQL&gt;&lt;FQL&gt;&lt;Q&gt;FERG-US^P_BETA_LOCIDX(45580,45406,,"SPX")&lt;/Q&gt;&lt;R&gt;1&lt;/R&gt;&lt;C&gt;1&lt;/C&gt;&lt;D xsi:type="xsd:double"&gt;1.214447&lt;/D&gt;&lt;/FQL&gt;&lt;FQL&gt;&lt;Q&gt;FERG-US^P_BETA_LOCIDX(45579,45405,,"SPX")&lt;/Q&gt;&lt;R&gt;1&lt;/R&gt;&lt;C&gt;1&lt;/C&gt;&lt;D xsi:type="xsd:double"&gt;1.2256287&lt;/D&gt;&lt;/FQL&gt;&lt;FQL&gt;&lt;Q&gt;FERG-US^P_BETA_LOCIDX(45576,45404,,"SPX")&lt;/Q&gt;&lt;R&gt;1&lt;/R&gt;&lt;C&gt;1&lt;/C&gt;&lt;D xsi:type="xsd:double"&gt;1.210774&lt;/D&gt;&lt;/FQL&gt;&lt;FQL&gt;&lt;Q&gt;FERG-US^P_BETA_LOCIDX(45575,45401,,"SPX")&lt;/Q&gt;&lt;R&gt;1&lt;/R&gt;&lt;C&gt;1&lt;/C&gt;&lt;D xsi:type="xsd:double"&gt;1.2016811&lt;/D&gt;&lt;/FQL&gt;&lt;FQL&gt;&lt;Q&gt;FERG-US^P_BETA_LOCIDX(45574,45400,,"SPX")&lt;/Q&gt;&lt;R&gt;1&lt;/R&gt;&lt;C&gt;1&lt;/C&gt;&lt;D xsi:type="xsd:double"&gt;1.2061251&lt;/D&gt;&lt;/FQL&gt;&lt;FQL&gt;&lt;Q&gt;FERG-US^P_BETA_LOCIDX(45573,45399,,"SPX")&lt;/Q&gt;&lt;R&gt;1&lt;/R&gt;&lt;C&gt;1&lt;/C&gt;&lt;D xsi:type="xsd:double"&gt;1.2082168&lt;/D&gt;&lt;/FQL&gt;&lt;FQL&gt;&lt;Q&gt;FERG-US^P_BETA_LOCIDX(45572,45398,,"SPX")&lt;/Q&gt;&lt;R&gt;1&lt;/R&gt;&lt;C&gt;1&lt;/C&gt;&lt;D xsi:type="xsd:double"&gt;1.2169143&lt;/D&gt;&lt;/FQL&gt;&lt;FQL&gt;&lt;Q&gt;FERG-US^P_BETA_LOCIDX(45569,45397,,"SPX")&lt;/Q&gt;&lt;R&gt;1&lt;/R&gt;&lt;C&gt;1&lt;/C&gt;&lt;D xsi:type="xsd:double"&gt;1.2175804&lt;/D&gt;&lt;/FQL&gt;&lt;FQL&gt;&lt;Q&gt;FERG-US^P_BETA_LOCIDX(45568,45394,,"SPX")&lt;/Q&gt;&lt;R&gt;1&lt;/R&gt;&lt;C&gt;1&lt;/C&gt;&lt;D xsi:type="xsd:double"&gt;1.1911505&lt;/D&gt;&lt;/FQL&gt;&lt;FQL&gt;&lt;Q&gt;FERG-US^P_BETA_LOCIDX(45567,45393,,"SPX")&lt;/Q&gt;&lt;R&gt;1&lt;/R&gt;&lt;C&gt;1&lt;/C&gt;&lt;D xsi:type="xsd:double"&gt;1.1732129&lt;/D&gt;&lt;/FQL&gt;&lt;FQL&gt;&lt;Q&gt;FERG-US^P_BETA_LOCIDX(45566,45392,,"SPX")&lt;/Q&gt;&lt;R&gt;1&lt;/R&gt;&lt;C&gt;1&lt;/C&gt;&lt;D xsi:type="xsd:double"&gt;1.1653466&lt;/D&gt;&lt;/FQL&gt;&lt;FQL&gt;&lt;Q&gt;FERG-US^P_BETA_LOCIDX(45565,45391,,"SPX")&lt;/Q&gt;&lt;R&gt;1&lt;/R&gt;&lt;C&gt;1&lt;/C&gt;&lt;D xsi:type="xsd:double"&gt;1.1850877&lt;/D&gt;&lt;/FQL&gt;&lt;FQL&gt;&lt;Q&gt;FERG-US^P_BETA_LOCIDX(45562,45390,,"SPX")&lt;/Q&gt;&lt;R&gt;1&lt;/R&gt;&lt;C&gt;1&lt;/C&gt;&lt;D xsi:type="xsd:double"&gt;1.1925249&lt;/D&gt;&lt;/FQL&gt;&lt;FQL&gt;&lt;Q&gt;FERG-US^P_BETA_LOCIDX(45561,45387,,"SPX")&lt;/Q&gt;&lt;R&gt;1&lt;/R&gt;&lt;C&gt;1&lt;/C&gt;&lt;D xsi:type="xsd:double"&gt;1.1930338&lt;/D&gt;&lt;/FQL&gt;&lt;FQL&gt;&lt;Q&gt;FERG-US^P_BETA_LOCIDX(45560,45386,,"SPX")&lt;/Q&gt;&lt;R&gt;1&lt;/R&gt;&lt;C&gt;1&lt;/C&gt;&lt;D xsi:type="xsd:double"&gt;1.1468492&lt;/D&gt;&lt;/FQL&gt;&lt;FQL&gt;&lt;Q&gt;FERG-US^P_BETA_LOCIDX(45559,45385,,"SPX")&lt;/Q&gt;&lt;R&gt;1&lt;/R&gt;&lt;C&gt;1&lt;/C&gt;&lt;D xsi:type="xsd:double"&gt;1.1457163&lt;/D&gt;&lt;/FQL&gt;&lt;FQL&gt;&lt;Q&gt;FERG-US^P_BETA_LOCIDX(45558,45384,,"SPX")&lt;/Q&gt;&lt;R&gt;1&lt;/R&gt;&lt;C&gt;1&lt;/C&gt;&lt;D xsi:type="xsd:double"&gt;1.1380634&lt;/D&gt;&lt;/FQL&gt;&lt;FQL&gt;&lt;Q&gt;FERG-US^P_BETA_LOCIDX(45555,45383,,"SPX")&lt;/Q&gt;&lt;R&gt;1&lt;/R&gt;&lt;C&gt;1&lt;/C&gt;&lt;D xsi:type="xsd:double"&gt;1.1346756&lt;/D&gt;&lt;/FQL&gt;&lt;FQL&gt;&lt;Q&gt;FERG-US^P_BETA_LOCIDX(45554,45379,,"SPX")&lt;/Q&gt;&lt;R&gt;1&lt;/R&gt;&lt;C&gt;1&lt;/C&gt;&lt;D xsi:type="xsd:double"&gt;1.1190434&lt;/D&gt;&lt;/FQL&gt;&lt;FQL&gt;&lt;Q&gt;FERG-US^P_BETA_LOCIDX(45553,45378,,"SPX")&lt;/Q&gt;&lt;R&gt;1&lt;/R&gt;&lt;C&gt;1&lt;/C&gt;&lt;D xsi:type="xsd:double"&gt;1.1188886&lt;/D&gt;&lt;/FQL&gt;&lt;FQL&gt;&lt;Q&gt;FERG-US^P_BETA_LOCIDX(45552,45377,,"SPX")&lt;/Q&gt;&lt;R&gt;1&lt;/R&gt;&lt;C&gt;1&lt;/C&gt;&lt;D xsi:type="xsd:double"&gt;1.1132578&lt;/D&gt;&lt;/FQL&gt;&lt;FQL&gt;&lt;Q&gt;FERG-US^P_BETA_LOCIDX(45551,45376,,"SPX")&lt;/Q&gt;&lt;R&gt;1&lt;/R&gt;&lt;C&gt;1&lt;/C&gt;&lt;D xsi:type="xsd:double"&gt;1.1200782&lt;/D&gt;&lt;/FQL&gt;&lt;FQL&gt;&lt;Q&gt;FERG-US^P_BETA_LOCIDX(45548,45373,,"SPX")&lt;/Q&gt;&lt;R&gt;1&lt;/R&gt;&lt;C&gt;1&lt;/C&gt;&lt;D xsi:type="xsd:double"&gt;1.1177018&lt;/D&gt;&lt;/FQL&gt;&lt;FQL&gt;&lt;Q&gt;FERG-US^P_BETA_LOCIDX(45547,45372,,"SPX")&lt;/Q&gt;&lt;R&gt;1&lt;/R&gt;&lt;C&gt;1&lt;/C&gt;&lt;D xsi:type="xsd:double"&gt;1.1170181&lt;/D&gt;&lt;/FQL&gt;&lt;FQL&gt;&lt;Q&gt;FERG-US^P_BETA_LOCIDX(45546,45371,,"SPX")&lt;/Q&gt;&lt;R&gt;1&lt;/R&gt;&lt;C&gt;1&lt;/C&gt;&lt;D xsi:type="xsd:double"&gt;1.1176448&lt;/D&gt;&lt;/FQL&gt;&lt;FQL&gt;&lt;Q&gt;FERG-US^P_BETA_LOCIDX(45545,45370,,"SPX")&lt;/Q&gt;&lt;R&gt;1&lt;/R&gt;&lt;C&gt;1&lt;/C&gt;&lt;D xsi:type="xsd:double"&gt;1.1555604&lt;/D&gt;&lt;/FQL&gt;&lt;FQL&gt;&lt;Q&gt;FERG-US^P_BETA_LOCIDX(45544,45369,,"SPX")&lt;/Q&gt;&lt;R&gt;1&lt;/R&gt;&lt;C&gt;1&lt;/C&gt;&lt;D xsi:type="xsd:double"&gt;1.1419241&lt;/D&gt;&lt;/FQL&gt;&lt;FQL&gt;&lt;Q&gt;FERG-US^P_BETA_LOCIDX(45541,45366,,"SPX")&lt;/Q&gt;&lt;R&gt;1&lt;/R&gt;&lt;C&gt;1&lt;/C&gt;&lt;D xsi:type="xsd:double"&gt;1.1727027&lt;/D&gt;&lt;/FQL&gt;&lt;FQL&gt;&lt;Q&gt;FERG-US^P_BETA_LOCIDX(45540,45365,,"SPX")&lt;/Q&gt;&lt;R&gt;1&lt;/R&gt;&lt;C&gt;1&lt;/C&gt;&lt;D xsi:type="xsd:double"&gt;1.1840466&lt;/D&gt;&lt;/FQL&gt;&lt;FQL&gt;&lt;Q&gt;FERG-US^P_BETA_LOCIDX(45539,45364,,"SPX")&lt;/Q&gt;&lt;R&gt;1&lt;/R&gt;&lt;C&gt;1&lt;/C&gt;&lt;D xsi:type="xsd:double"&gt;1.1763172&lt;/D&gt;&lt;/FQL&gt;&lt;FQL&gt;&lt;Q&gt;FERG-US^P_BETA_LOCIDX(45538,45363,,"SPX")&lt;/Q&gt;&lt;R&gt;1&lt;/R&gt;&lt;C&gt;1&lt;/C&gt;&lt;D xsi:type="xsd:double"&gt;1.1831499&lt;/D&gt;&lt;/FQL&gt;&lt;FQL&gt;&lt;Q&gt;FERG-US^P_BETA_LOCIDX(45534,45362,,"SPX")&lt;/Q&gt;&lt;R&gt;1&lt;/R&gt;&lt;C&gt;1&lt;/C&gt;&lt;D xsi:type="xsd:double"&gt;1.2077576&lt;/D&gt;&lt;/FQL&gt;&lt;FQL&gt;&lt;Q&gt;FERG-US^P_BETA_LOCIDX(45533,45359,,"SPX")&lt;/Q&gt;&lt;R&gt;1&lt;/R&gt;&lt;C&gt;1&lt;/C&gt;&lt;D xsi:type="xsd:double"&gt;1.2257434&lt;/D&gt;&lt;/FQL&gt;&lt;FQL&gt;&lt;Q&gt;FERG-US^P_BETA_LOCIDX(45532,45358,,"SPX")&lt;/Q&gt;&lt;R&gt;1&lt;/R&gt;&lt;C&gt;1&lt;/C&gt;&lt;D xsi:type="xsd:double"&gt;1.2175059&lt;/D&gt;&lt;/FQL&gt;&lt;FQL&gt;&lt;Q&gt;FERG-US^P_BETA_LOCIDX(45531,45357,,"SPX")&lt;/Q&gt;&lt;R&gt;1&lt;/R&gt;&lt;C&gt;1&lt;/C&gt;&lt;D xsi:type="xsd:double"&gt;1.1995295&lt;/D&gt;&lt;/FQL&gt;&lt;FQL&gt;&lt;Q&gt;FERG-US^P_BETA_LOCIDX(45530,45356,,"SPX")&lt;/Q&gt;&lt;R&gt;1&lt;/R&gt;&lt;C&gt;1&lt;/C&gt;&lt;D xsi:type="xsd:double"&gt;1.2757032&lt;/D&gt;&lt;/FQL&gt;&lt;FQL&gt;&lt;Q&gt;FERG-US^P_BETA_LOCIDX(45527,45355,,"SPX")&lt;/Q&gt;&lt;R&gt;1&lt;/R&gt;&lt;C&gt;1&lt;/C&gt;&lt;D xsi:type="xsd:double"&gt;1.2792541&lt;/D&gt;&lt;/FQL&gt;&lt;FQL&gt;&lt;Q&gt;FERG-US^P_BETA_LOCIDX(45526,45352,,"SPX")&lt;/Q&gt;&lt;R&gt;1&lt;/R&gt;&lt;C&gt;1&lt;/C&gt;&lt;D xsi:type="xsd:double"&gt;1.2686077&lt;/D&gt;&lt;/FQL&gt;&lt;FQL&gt;&lt;Q&gt;FERG-US^P_BETA_LOCIDX(45525,45351,,"SPX")&lt;/Q&gt;&lt;R&gt;1&lt;/R&gt;&lt;C&gt;1&lt;/C&gt;&lt;D xsi:type="xsd:double"&gt;1.2645326&lt;/D&gt;&lt;/FQL&gt;&lt;FQL&gt;&lt;Q&gt;FERG-US^P_BETA_LOCIDX(45524,45350,,"SPX")&lt;/Q&gt;&lt;R&gt;1&lt;/R&gt;&lt;C&gt;1&lt;/C&gt;&lt;D xsi:type="xsd:double"&gt;1.2516816&lt;/D&gt;&lt;/FQL&gt;&lt;FQL&gt;&lt;Q&gt;FERG-US^P_BETA_LOCIDX(45523,45349,,"SPX")&lt;/Q&gt;&lt;R&gt;1&lt;/R&gt;&lt;C&gt;1&lt;/C&gt;&lt;D xsi:type="xsd:double"&gt;1.251863&lt;/D&gt;&lt;/FQL&gt;&lt;FQL&gt;&lt;Q&gt;FERG-US^P_BETA_LOCIDX(45520,45348,,"SPX")&lt;/Q&gt;&lt;R&gt;1&lt;/R&gt;&lt;C&gt;1&lt;/C&gt;&lt;D xsi:type="xsd:double"&gt;1.2480166&lt;/D&gt;&lt;/FQL&gt;&lt;FQL&gt;&lt;Q&gt;FERG-US^P_BETA_LOCIDX(45519,45345,,"SPX")&lt;/Q&gt;&lt;R&gt;1&lt;/R&gt;&lt;C&gt;1&lt;/C&gt;&lt;D xsi:type="xsd:double"&gt;1.251087&lt;/D&gt;&lt;/FQL&gt;&lt;FQL&gt;&lt;Q&gt;FERG-US^P_BETA_LOCIDX(45518,45344,,"SPX")&lt;/Q&gt;&lt;R&gt;1&lt;/R&gt;&lt;C&gt;1&lt;/C&gt;&lt;D xsi:type="xsd:double"&gt;1.2366062&lt;/D&gt;&lt;/FQL&gt;&lt;FQL&gt;&lt;Q&gt;FERG-US^P_BETA_LOCIDX(45517,45343,,"SPX")&lt;/Q&gt;&lt;R&gt;1&lt;/R&gt;&lt;C&gt;1&lt;/C&gt;&lt;D xsi:type="xsd:double"&gt;1.2360173&lt;/D&gt;&lt;/FQL&gt;&lt;FQL&gt;&lt;Q&gt;FERG-US^P_BETA_LOCIDX(45516,45342,,"SPX")&lt;/Q&gt;&lt;R&gt;1&lt;/R&gt;&lt;C&gt;1&lt;/C&gt;&lt;D xsi:type="xsd:double"&gt;1.1817703&lt;/D&gt;&lt;/FQL&gt;&lt;FQL&gt;&lt;Q&gt;FERG-US^P_BETA_LOCIDX(45513,45338,,"SPX")&lt;/Q&gt;&lt;R&gt;1&lt;/R&gt;&lt;C&gt;1&lt;/C&gt;&lt;D xsi:type="xsd:double"&gt;1.17469&lt;/D&gt;&lt;/FQL&gt;&lt;FQL&gt;&lt;Q&gt;FERG-US^P_BETA_LOCIDX(45512,45337,,"SPX")&lt;/Q&gt;&lt;R&gt;1&lt;/R&gt;&lt;C&gt;1&lt;/C&gt;&lt;D xsi:type="xsd:double"&gt;1.186755&lt;/D&gt;&lt;/FQL&gt;&lt;FQL&gt;&lt;Q&gt;FERG-US^P_BETA_LOCIDX(45511,45336,,"SPX")&lt;/Q&gt;&lt;R&gt;1&lt;/R&gt;&lt;C&gt;1&lt;/C&gt;&lt;D xsi:type="xsd:double"&gt;1.2262069&lt;/D&gt;&lt;/FQL&gt;&lt;FQL&gt;&lt;Q&gt;FERG-US^P_BETA_LOCIDX(45510,45335,,"SPX")&lt;/Q&gt;&lt;R&gt;1&lt;/R&gt;&lt;C&gt;1&lt;/C&gt;&lt;D xsi:type="xsd:double"&gt;1.2404727&lt;/D&gt;&lt;/FQL&gt;&lt;FQL&gt;&lt;Q&gt;FERG-US^P_BETA_LOCIDX(45509,45334,,"SPX")&lt;/Q&gt;&lt;R&gt;1&lt;/R&gt;&lt;C&gt;1&lt;/C&gt;&lt;D xsi:type="xsd:double"&gt;1.2398089&lt;/D&gt;&lt;/FQL&gt;&lt;FQL&gt;&lt;Q&gt;FERG-US^P_BETA_LOCIDX(45506,45331,,"SPX")&lt;/Q&gt;&lt;R&gt;1&lt;/R&gt;&lt;C&gt;1&lt;/C&gt;&lt;D xsi:type="xsd:double"&gt;1.2285844&lt;/D&gt;&lt;/FQL&gt;&lt;FQL&gt;&lt;Q&gt;FERG-US^P_BETA_LOCIDX(45505,45330,,"SPX")&lt;/Q&gt;&lt;R&gt;1&lt;/R&gt;&lt;C&gt;1&lt;/C&gt;&lt;D xsi:type="xsd:double"&gt;1.143944&lt;/D&gt;&lt;/FQL&gt;&lt;FQL&gt;&lt;Q&gt;FERG-US^P_BETA_LOCIDX(45504,45329,,"SPX")&lt;/Q&gt;&lt;R&gt;1&lt;/R&gt;&lt;C&gt;1&lt;/C&gt;&lt;D xsi:type="xsd:double"&gt;1.1080215&lt;/D&gt;&lt;/FQL&gt;&lt;FQL&gt;&lt;Q&gt;FERG-US^P_BETA_LOCIDX(45503,45328,,"SPX")&lt;/Q&gt;&lt;R&gt;1&lt;/R&gt;&lt;C&gt;1&lt;/C&gt;&lt;D xsi:type="xsd:double"&gt;1.1112438&lt;/D&gt;&lt;/FQL&gt;&lt;FQL&gt;&lt;Q&gt;FERG-US^P_BETA_LOCIDX(45502,45327,,"SPX")&lt;/Q&gt;&lt;R&gt;1&lt;/R&gt;&lt;C&gt;1&lt;/C&gt;&lt;D xsi:type="xsd:double"&gt;1.124553&lt;/D&gt;&lt;/FQL&gt;&lt;FQL&gt;&lt;Q&gt;FERG-US^P_BETA_LOCIDX(45499,45324,,"SPX")&lt;/Q&gt;&lt;R&gt;1&lt;/R&gt;&lt;C&gt;1&lt;/C&gt;&lt;D xsi:type="xsd:double"&gt;1.1068734&lt;/D&gt;&lt;/FQL&gt;&lt;FQL&gt;&lt;Q&gt;FERG-US^P_BETA_LOCIDX(45498,45323,,"SPX")&lt;/Q&gt;&lt;R&gt;1&lt;/R&gt;&lt;C&gt;1&lt;/C&gt;&lt;D xsi:type="xsd:double"&gt;1.0973585&lt;/D&gt;&lt;/FQL&gt;&lt;FQL&gt;&lt;Q&gt;FERG-US^P_BETA_LOCIDX(45497,45322,,"SPX")&lt;/Q&gt;&lt;R&gt;1&lt;/R&gt;&lt;C&gt;1&lt;/C&gt;&lt;D xsi:type="xsd:double"&gt;1.1196057&lt;/D&gt;&lt;/FQL&gt;&lt;FQL&gt;&lt;Q&gt;FERG-US^P_BETA_LOCIDX(45496,45321,,"SPX")&lt;/Q&gt;&lt;R&gt;1&lt;/R&gt;&lt;C&gt;1&lt;/C&gt;&lt;D xsi:type="xsd:double"&gt;1.1505126&lt;/D&gt;&lt;/FQL&gt;&lt;FQL&gt;&lt;Q&gt;FERG-US^P_BETA_LOCIDX(45495,45320,,"SPX")&lt;/Q&gt;&lt;R&gt;1&lt;/R&gt;&lt;C&gt;1&lt;/C&gt;&lt;D xsi:type="xsd:double"&gt;1.1533866&lt;/D&gt;&lt;/FQL&gt;&lt;FQL&gt;&lt;Q&gt;FERG-US^P_BETA_LOCIDX(45492,45317,,"SPX")&lt;/Q&gt;&lt;R&gt;1&lt;/R&gt;&lt;C&gt;1&lt;/C&gt;&lt;D xsi:type="xsd:double"&gt;1.1484046&lt;/D&gt;&lt;/FQL&gt;&lt;FQL&gt;&lt;Q&gt;FERG-US^P_BETA_LOCIDX(45491,45316,,"SPX")&lt;/Q&gt;&lt;R&gt;1&lt;/R&gt;&lt;C&gt;1&lt;/C&gt;&lt;D xsi:type="xsd:double"&gt;1.1475723&lt;/D&gt;&lt;/FQL&gt;&lt;FQL&gt;&lt;Q&gt;FERG-US^P_BETA_LOCIDX(45490,45315,,"SPX")&lt;/Q&gt;&lt;R&gt;1&lt;/R&gt;&lt;C&gt;1&lt;/C&gt;&lt;D xsi:type="xsd:double"&gt;1.1544094&lt;/D&gt;&lt;/FQL&gt;&lt;FQL&gt;&lt;Q&gt;FERG-US^P_BETA_LOCIDX(45489,45314,,"SPX")&lt;/Q&gt;&lt;R&gt;1&lt;/R&gt;&lt;C&gt;1&lt;/C&gt;&lt;D xsi:type="xsd:double"&gt;1.1270032&lt;/D&gt;&lt;/FQL&gt;&lt;FQL&gt;&lt;Q&gt;FERG-US^P_BETA_LOCIDX(45488,45313,,"SPX")&lt;/Q&gt;&lt;R&gt;1&lt;/R&gt;&lt;C&gt;1&lt;/C&gt;&lt;D xsi:type="xsd:double"&gt;1.0859836&lt;/D&gt;&lt;/FQL&gt;&lt;FQL&gt;&lt;Q&gt;FERG-US^P_BETA_LOCIDX(45485,45310,,"SPX")&lt;/Q&gt;&lt;R&gt;1&lt;/R&gt;&lt;C&gt;1&lt;/C&gt;&lt;D xsi:type="xsd:double"&gt;1.0610957&lt;/D&gt;&lt;/FQL&gt;&lt;FQL&gt;&lt;Q&gt;FERG-US^P_BETA_LOCIDX(45484,45309,,"SPX")&lt;/Q&gt;&lt;R&gt;1&lt;/R&gt;&lt;C&gt;1&lt;/C&gt;&lt;D xsi:type="xsd:double"&gt;1.0549148&lt;/D&gt;&lt;/FQL&gt;&lt;FQL&gt;&lt;Q&gt;FERG-US^P_BETA_LOCIDX(45483,45308,,"SPX")&lt;/Q&gt;&lt;R&gt;1&lt;/R&gt;&lt;C&gt;1&lt;/C&gt;&lt;D xsi:type="xsd:double"&gt;1.114821&lt;/D&gt;&lt;/FQL&gt;&lt;FQL&gt;&lt;Q&gt;FERG-US^P_BETA_LOCIDX(45482,45307,,"SPX")&lt;/Q&gt;&lt;R&gt;1&lt;/R&gt;&lt;C&gt;1&lt;/C&gt;&lt;D xsi:type="xsd:double"&gt;1.0994972&lt;/D&gt;&lt;/FQL&gt;&lt;FQL&gt;&lt;Q&gt;FERG-US^P_BETA_LOCIDX(45481,45303,,"SPX")&lt;/Q&gt;&lt;R&gt;1&lt;/R&gt;&lt;C&gt;1&lt;/C&gt;&lt;D xsi:type="xsd:double"&gt;1.0976312&lt;/D&gt;&lt;/FQL&gt;&lt;FQL&gt;&lt;Q&gt;FERG-US^P_BETA_LOCIDX(45478,45302,,"SPX")&lt;/Q&gt;&lt;R&gt;1&lt;/R&gt;&lt;C&gt;1&lt;/C&gt;&lt;D xsi:type="xsd:double"&gt;1.0983781&lt;/D&gt;&lt;/FQL&gt;&lt;FQL&gt;&lt;Q&gt;FERG-US^P_BETA_LOCIDX(45476,45301,,"SPX")&lt;/Q&gt;&lt;R&gt;1&lt;/R&gt;&lt;C&gt;1&lt;/C&gt;&lt;D xsi:type="xsd:double"&gt;1.0944754&lt;/D&gt;&lt;/FQL&gt;&lt;FQL&gt;&lt;Q&gt;FERG-US^P_BETA_LOCIDX(45475,45300,,"SPX")&lt;/Q&gt;&lt;R&gt;1&lt;/R&gt;&lt;C&gt;1&lt;/C&gt;&lt;D xsi:type="xsd:double"&gt;1.099394&lt;/D&gt;&lt;/FQL&gt;&lt;FQL&gt;&lt;Q&gt;FERG-US^P_BETA_LOCIDX(45474,45299,,"SPX")&lt;/Q&gt;&lt;R&gt;1&lt;/R&gt;&lt;C&gt;1&lt;/C&gt;&lt;D xsi:type="xsd:double"&gt;1.0659486&lt;/D&gt;&lt;/FQL&gt;&lt;FQL&gt;&lt;Q&gt;FERG-US^P_BETA_LOCIDX(45471,45296,,"SPX")&lt;/Q&gt;&lt;R&gt;1&lt;/R&gt;&lt;C&gt;1&lt;/C&gt;&lt;D xsi:type="xsd:double"&gt;1.0714717&lt;/D&gt;&lt;/FQL&gt;&lt;FQL&gt;&lt;Q&gt;FERG-US^P_BETA_LOCIDX(45470,45295,,"SPX")&lt;/Q&gt;&lt;R&gt;1&lt;/R&gt;&lt;C&gt;1&lt;/C&gt;&lt;D xsi:type="xsd:double"&gt;1.0623479&lt;/D&gt;&lt;/FQL&gt;&lt;FQL&gt;&lt;Q&gt;FERG-US^P_BETA_LOCIDX(45469,45294,,"SPX")&lt;/Q&gt;&lt;R&gt;1&lt;/R&gt;&lt;C&gt;1&lt;/C&gt;&lt;D xsi:type="xsd:double"&gt;1.0876952&lt;/D&gt;&lt;/FQL&gt;&lt;FQL&gt;&lt;Q&gt;FERG-US^P_BETA_LOCIDX(45468,45293,,"SPX")&lt;/Q&gt;&lt;R&gt;1&lt;/R&gt;&lt;C&gt;1&lt;/C&gt;&lt;D xsi:type="xsd:double"&gt;1.1075039&lt;/D&gt;&lt;/FQL&gt;&lt;FQL&gt;&lt;Q&gt;FERG-US^P_BETA_LOCIDX(45467,45289,,"SPX")&lt;/Q&gt;&lt;R&gt;1&lt;/R&gt;&lt;C&gt;1&lt;/C&gt;&lt;D xsi:type="xsd:double"&gt;1.1148827&lt;/D&gt;&lt;/FQL&gt;&lt;FQL&gt;&lt;Q&gt;FERG-US^P_BETA_LOCIDX(45464,45288,,"SPX")&lt;/Q&gt;&lt;R&gt;1&lt;/R&gt;&lt;C&gt;1&lt;/C&gt;&lt;D xsi:type="xsd:double"&gt;1.1163552&lt;/D&gt;&lt;/FQL&gt;&lt;FQL&gt;&lt;Q&gt;FERG-US^P_BETA_LOCIDX(45463,45287,,"SPX")&lt;/Q&gt;&lt;R&gt;1&lt;/R&gt;&lt;C&gt;1&lt;/C&gt;&lt;D xsi:type="xsd:double"&gt;1.1165862&lt;/D&gt;&lt;/FQL&gt;&lt;FQL&gt;&lt;Q&gt;FERG-US^P_BETA_LOCIDX(45461,45286,,"SPX")&lt;/Q&gt;&lt;R&gt;1&lt;/R&gt;&lt;C&gt;1&lt;/C&gt;&lt;D xsi:type="xsd:double"&gt;1.099095&lt;/D&gt;&lt;/FQL&gt;&lt;FQL&gt;&lt;Q&gt;FERG-US</t>
        </r>
      </text>
    </comment>
    <comment ref="A27" authorId="0" shapeId="0" xr:uid="{35D94028-BC35-4258-8D03-53F1B4ADEB14}">
      <text>
        <r>
          <rPr>
            <b/>
            <sz val="9"/>
            <color indexed="81"/>
            <rFont val="Tahoma"/>
            <charset val="1"/>
          </rPr>
          <t>^P_BETA_LOCIDX(45460,45282,,"SPX")&lt;/Q&gt;&lt;R&gt;1&lt;/R&gt;&lt;C&gt;1&lt;/C&gt;&lt;D xsi:type="xsd:double"&gt;1.098864&lt;/D&gt;&lt;/FQL&gt;&lt;FQL&gt;&lt;Q&gt;FERG-US^P_BETA_LOCIDX(45457,45281,,"SPX")&lt;/Q&gt;&lt;R&gt;1&lt;/R&gt;&lt;C&gt;1&lt;/C&gt;&lt;D xsi:type="xsd:double"&gt;1.1204242&lt;/D&gt;&lt;/FQL&gt;&lt;FQL&gt;&lt;Q&gt;FERG-US^P_BETA_LOCIDX(45456,45280,,"SPX")&lt;/Q&gt;&lt;R&gt;1&lt;/R&gt;&lt;C&gt;1&lt;/C&gt;&lt;D xsi:type="xsd:double"&gt;1.0975776&lt;/D&gt;&lt;/FQL&gt;&lt;FQL&gt;&lt;Q&gt;FERG-US^P_BETA_LOCIDX(45455,45279,,"SPX")&lt;/Q&gt;&lt;R&gt;1&lt;/R&gt;&lt;C&gt;1&lt;/C&gt;&lt;D xsi:type="xsd:double"&gt;1.0969834&lt;/D&gt;&lt;/FQL&gt;&lt;FQL&gt;&lt;Q&gt;FERG-US^P_BETA_LOCIDX(45454,45278,,"SPX")&lt;/Q&gt;&lt;R&gt;1&lt;/R&gt;&lt;C&gt;1&lt;/C&gt;&lt;D xsi:type="xsd:double"&gt;1.0597199&lt;/D&gt;&lt;/FQL&gt;&lt;FQL&gt;&lt;Q&gt;FERG-US^P_BETA_LOCIDX(45453,45275,,"SPX")&lt;/Q&gt;&lt;R&gt;1&lt;/R&gt;&lt;C&gt;1&lt;/C&gt;&lt;D xsi:type="xsd:double"&gt;1.0579917&lt;/D&gt;&lt;/FQL&gt;&lt;FQL&gt;&lt;Q&gt;FERG-US^P_BETA_LOCIDX(45450,45274,,"SPX")&lt;/Q&gt;&lt;R&gt;1&lt;/R&gt;&lt;C&gt;1&lt;/C&gt;&lt;D xsi:type="xsd:double"&gt;1.063524&lt;/D&gt;&lt;/FQL&gt;&lt;FQL&gt;&lt;Q&gt;FERG-US^P_BETA_LOCIDX(45449,45273,,"SPX")&lt;/Q&gt;&lt;R&gt;1&lt;/R&gt;&lt;C&gt;1&lt;/C&gt;&lt;D xsi:type="xsd:double"&gt;1.0446409&lt;/D&gt;&lt;/FQL&gt;&lt;FQL&gt;&lt;Q&gt;FERG-US^P_BETA_LOCIDX(45448,45272,,"SPX")&lt;/Q&gt;&lt;R&gt;1&lt;/R&gt;&lt;C&gt;1&lt;/C&gt;&lt;D xsi:type="xsd:double"&gt;1.0417097&lt;/D&gt;&lt;/FQL&gt;&lt;FQL&gt;&lt;Q&gt;FERG-US^P_BETA_LOCIDX(45447,45271,,"SPX")&lt;/Q&gt;&lt;R&gt;1&lt;/R&gt;&lt;C&gt;1&lt;/C&gt;&lt;D xsi:type="xsd:double"&gt;1.0242727&lt;/D&gt;&lt;/FQL&gt;&lt;FQL&gt;&lt;Q&gt;FERG-US^P_BETA_LOCIDX(45446,45268,,"SPX")&lt;/Q&gt;&lt;R&gt;1&lt;/R&gt;&lt;C&gt;1&lt;/C&gt;&lt;D xsi:type="xsd:double"&gt;1.0294684&lt;/D&gt;&lt;/FQL&gt;&lt;FQL&gt;&lt;Q&gt;FERG-US^P_BETA_LOCIDX(45443,45267,,"SPX")&lt;/Q&gt;&lt;R&gt;1&lt;/R&gt;&lt;C&gt;1&lt;/C&gt;&lt;D xsi:type="xsd:double"&gt;1.0457318&lt;/D&gt;&lt;/FQL&gt;&lt;FQL&gt;&lt;Q&gt;FERG-US^P_BETA_LOCIDX(45442,45266,,"SPX")&lt;/Q&gt;&lt;R&gt;1&lt;/R&gt;&lt;C&gt;1&lt;/C&gt;&lt;D xsi:type="xsd:double"&gt;1.0464848&lt;/D&gt;&lt;/FQL&gt;&lt;FQL&gt;&lt;Q&gt;FERG-US^P_BETA_LOCIDX(45441,45265,,"SPX")&lt;/Q&gt;&lt;R&gt;1&lt;/R&gt;&lt;C&gt;1&lt;/C&gt;&lt;D xsi:type="xsd:double"&gt;1.0534047&lt;/D&gt;&lt;/FQL&gt;&lt;FQL&gt;&lt;Q&gt;FERG-US^P_BETA_LOCIDX(45440,45264,,"SPX")&lt;/Q&gt;&lt;R&gt;1&lt;/R&gt;&lt;C&gt;1&lt;/C&gt;&lt;D xsi:type="xsd:double"&gt;1.0722901&lt;/D&gt;&lt;/FQL&gt;&lt;FQL&gt;&lt;Q&gt;FERG-US^P_BETA_LOCIDX(45436,45261,,"SPX")&lt;/Q&gt;&lt;R&gt;1&lt;/R&gt;&lt;C&gt;1&lt;/C&gt;&lt;D xsi:type="xsd:double"&gt;1.0695628&lt;/D&gt;&lt;/FQL&gt;&lt;FQL&gt;&lt;Q&gt;FERG-US^P_BETA_LOCIDX(45435,45260,,"SPX")&lt;/Q&gt;&lt;R&gt;1&lt;/R&gt;&lt;C&gt;1&lt;/C&gt;&lt;D xsi:type="xsd:double"&gt;1.078252&lt;/D&gt;&lt;/FQL&gt;&lt;FQL&gt;&lt;Q&gt;FERG-US^P_BETA_LOCIDX(45434,45259,,"SPX")&lt;/Q&gt;&lt;R&gt;1&lt;/R&gt;&lt;C&gt;1&lt;/C&gt;&lt;D xsi:type="xsd:double"&gt;1.0667259&lt;/D&gt;&lt;/FQL&gt;&lt;FQL&gt;&lt;Q&gt;FERG-US^P_BETA_LOCIDX(45433,45258,,"SPX")&lt;/Q&gt;&lt;R&gt;1&lt;/R&gt;&lt;C&gt;1&lt;/C&gt;&lt;D xsi:type="xsd:double"&gt;1.0630081&lt;/D&gt;&lt;/FQL&gt;&lt;FQL&gt;&lt;Q&gt;FERG-US^P_BETA_LOCIDX(45432,45257,,"SPX")&lt;/Q&gt;&lt;R&gt;1&lt;/R&gt;&lt;C&gt;1&lt;/C&gt;&lt;D xsi:type="xsd:double"&gt;1.0606272&lt;/D&gt;&lt;/FQL&gt;&lt;FQL&gt;&lt;Q&gt;FERG-US^P_BETA_LOCIDX(45429,45254,,"SPX")&lt;/Q&gt;&lt;R&gt;1&lt;/R&gt;&lt;C&gt;1&lt;/C&gt;&lt;D xsi:type="xsd:double"&gt;1.0608604&lt;/D&gt;&lt;/FQL&gt;&lt;FQL&gt;&lt;Q&gt;FERG-US^P_BETA_LOCIDX(45428,45252,,"SPX")&lt;/Q&gt;&lt;R&gt;1&lt;/R&gt;&lt;C&gt;1&lt;/C&gt;&lt;D xsi:type="xsd:double"&gt;1.0598357&lt;/D&gt;&lt;/FQL&gt;&lt;FQL&gt;&lt;Q&gt;FERG-US^P_BETA_LOCIDX(45427,45251,,"SPX")&lt;/Q&gt;&lt;R&gt;1&lt;/R&gt;&lt;C&gt;1&lt;/C&gt;&lt;D xsi:type="xsd:double"&gt;1.0330117&lt;/D&gt;&lt;/FQL&gt;&lt;FQL&gt;&lt;Q&gt;FERG-US^P_BETA_LOCIDX(45426,45250,,"SPX")&lt;/Q&gt;&lt;R&gt;1&lt;/R&gt;&lt;C&gt;1&lt;/C&gt;&lt;D xsi:type="xsd:double"&gt;1.0268481&lt;/D&gt;&lt;/FQL&gt;&lt;FQL&gt;&lt;Q&gt;FERG-US^P_BETA_LOCIDX(45425,45247,,"SPX")&lt;/Q&gt;&lt;R&gt;1&lt;/R&gt;&lt;C&gt;1&lt;/C&gt;&lt;D xsi:type="xsd:double"&gt;1.0334324&lt;/D&gt;&lt;/FQL&gt;&lt;FQL&gt;&lt;Q&gt;FERG-US^P_BETA_LOCIDX(45422,45246,,"SPX")&lt;/Q&gt;&lt;R&gt;1&lt;/R&gt;&lt;C&gt;1&lt;/C&gt;&lt;D xsi:type="xsd:double"&gt;1.0309455&lt;/D&gt;&lt;/FQL&gt;&lt;FQL&gt;&lt;Q&gt;FERG-US^P_BETA_LOCIDX(45421,45245,,"SPX")&lt;/Q&gt;&lt;R&gt;1&lt;/R&gt;&lt;C&gt;1&lt;/C&gt;&lt;D xsi:type="xsd:double"&gt;1.0302627&lt;/D&gt;&lt;/FQL&gt;&lt;FQL&gt;&lt;Q&gt;FERG-US^P_BETA_LOCIDX(45420,45244,,"SPX")&lt;/Q&gt;&lt;R&gt;1&lt;/R&gt;&lt;C&gt;1&lt;/C&gt;&lt;D xsi:type="xsd:double"&gt;1.0492283&lt;/D&gt;&lt;/FQL&gt;&lt;FQL&gt;&lt;Q&gt;FERG-US^P_BETA_LOCIDX(45419,45243,,"SPX")&lt;/Q&gt;&lt;R&gt;1&lt;/R&gt;&lt;C&gt;1&lt;/C&gt;&lt;D xsi:type="xsd:double"&gt;1.0483805&lt;/D&gt;&lt;/FQL&gt;&lt;FQL&gt;&lt;Q&gt;FERG-US^P_BETA_LOCIDX(45418,45240,,"SPX")&lt;/Q&gt;&lt;R&gt;1&lt;/R&gt;&lt;C&gt;1&lt;/C&gt;&lt;D xsi:type="xsd:double"&gt;1.0536551&lt;/D&gt;&lt;/FQL&gt;&lt;FQL&gt;&lt;Q&gt;FERG-US^P_BETA_LOCIDX(45415,45239,,"SPX")&lt;/Q&gt;&lt;R&gt;1&lt;/R&gt;&lt;C&gt;1&lt;/C&gt;&lt;D xsi:type="xsd:double"&gt;1.0470992&lt;/D&gt;&lt;/FQL&gt;&lt;FQL&gt;&lt;Q&gt;FERG-US^P_BETA_LOCIDX(45414,45238,,"SPX")&lt;/Q&gt;&lt;R&gt;1&lt;/R&gt;&lt;C&gt;1&lt;/C&gt;&lt;D xsi:type="xsd:double"&gt;1.0404521&lt;/D&gt;&lt;/FQL&gt;&lt;FQL&gt;&lt;Q&gt;FERG-US^P_BETA_LOCIDX(45413,45237,,"SPX")&lt;/Q&gt;&lt;R&gt;1&lt;/R&gt;&lt;C&gt;1&lt;/C&gt;&lt;D xsi:type="xsd:double"&gt;1.0415092&lt;/D&gt;&lt;/FQL&gt;&lt;FQL&gt;&lt;Q&gt;FERG-US^P_BETA_LOCIDX(45412,45236,,"SPX")&lt;/Q&gt;&lt;R&gt;1&lt;/R&gt;&lt;C&gt;1&lt;/C&gt;&lt;D xsi:type="xsd:double"&gt;1.0484045&lt;/D&gt;&lt;/FQL&gt;&lt;FQL&gt;&lt;Q&gt;FERG-US^P_BETA_LOCIDX(45411,45233,,"SPX")&lt;/Q&gt;&lt;R&gt;1&lt;/R&gt;&lt;C&gt;1&lt;/C&gt;&lt;D xsi:type="xsd:double"&gt;1.0173097&lt;/D&gt;&lt;/FQL&gt;&lt;FQL&gt;&lt;Q&gt;FERG-US^P_BETA_LOCIDX(45408,45232,,"SPX")&lt;/Q&gt;&lt;R&gt;1&lt;/R&gt;&lt;C&gt;1&lt;/C&gt;&lt;D xsi:type="xsd:double"&gt;1.0021346&lt;/D&gt;&lt;/FQL&gt;&lt;FQL&gt;&lt;Q&gt;FERG-US^P_BETA_LOCIDX(45407,45231,,"SPX")&lt;/Q&gt;&lt;R&gt;1&lt;/R&gt;&lt;C&gt;1&lt;/C&gt;&lt;D xsi:type="xsd:double"&gt;1.0311188&lt;/D&gt;&lt;/FQL&gt;&lt;FQL&gt;&lt;Q&gt;FERG-US^P_BETA_LOCIDX(45406,45230,,"SPX")&lt;/Q&gt;&lt;R&gt;1&lt;/R&gt;&lt;C&gt;1&lt;/C&gt;&lt;D xsi:type="xsd:double"&gt;1.0274307&lt;/D&gt;&lt;/FQL&gt;&lt;FQL&gt;&lt;Q&gt;FERG-US^P_BETA_LOCIDX(45405,45229,,"SPX")&lt;/Q&gt;&lt;R&gt;1&lt;/R&gt;&lt;C&gt;1&lt;/C&gt;&lt;D xsi:type="xsd:double"&gt;1.0245388&lt;/D&gt;&lt;/FQL&gt;&lt;FQL&gt;&lt;Q&gt;FERG-US^P_BETA_LOCIDX(45404,45226,,"SPX")&lt;/Q&gt;&lt;R&gt;1&lt;/R&gt;&lt;C&gt;1&lt;/C&gt;&lt;D xsi:type="xsd:double"&gt;1.0189867&lt;/D&gt;&lt;/FQL&gt;&lt;FQL&gt;&lt;Q&gt;FERG-US^P_BETA_LOCIDX(45401,45225,,"SPX")&lt;/Q&gt;&lt;R&gt;1&lt;/R&gt;&lt;C&gt;1&lt;/C&gt;&lt;D xsi:type="xsd:double"&gt;1.0045971&lt;/D&gt;&lt;/FQL&gt;&lt;FQL&gt;&lt;Q&gt;FERG-US^P_BETA_LOCIDX(45400,45224,,"SPX")&lt;/Q&gt;&lt;R&gt;1&lt;/R&gt;&lt;C&gt;1&lt;/C&gt;&lt;D xsi:type="xsd:double"&gt;0.9893091&lt;/D&gt;&lt;/FQL&gt;&lt;FQL&gt;&lt;Q&gt;FERG-US^P_BETA_LOCIDX(45399,45223,,"SPX")&lt;/Q&gt;&lt;R&gt;1&lt;/R&gt;&lt;C&gt;1&lt;/C&gt;&lt;D xsi:type="xsd:double"&gt;0.97991663&lt;/D&gt;&lt;/FQL&gt;&lt;FQL&gt;&lt;Q&gt;FERG-US^P_BETA_LOCIDX(45398,45222,,"SPX")&lt;/Q&gt;&lt;R&gt;1&lt;/R&gt;&lt;C&gt;1&lt;/C&gt;&lt;D xsi:type="xsd:double"&gt;0.9670122&lt;/D&gt;&lt;/FQL&gt;&lt;FQL&gt;&lt;Q&gt;FERG-US^P_BETA_LOCIDX(45397,45219,,"SPX")&lt;/Q&gt;&lt;R&gt;1&lt;/R&gt;&lt;C&gt;1&lt;/C&gt;&lt;D xsi:type="xsd:double"&gt;0.9713821&lt;/D&gt;&lt;/FQL&gt;&lt;FQL&gt;&lt;Q&gt;FERG-US^P_BETA_LOCIDX(45394,45218,,"SPX")&lt;/Q&gt;&lt;R&gt;1&lt;/R&gt;&lt;C&gt;1&lt;/C&gt;&lt;D xsi:type="xsd:double"&gt;1.0134991&lt;/D&gt;&lt;/FQL&gt;&lt;FQL&gt;&lt;Q&gt;FERG-US^P_BETA_LOCIDX(45393,45217,,"SPX")&lt;/Q&gt;&lt;R&gt;1&lt;/R&gt;&lt;C&gt;1&lt;/C&gt;&lt;D xsi:type="xsd:double"&gt;1.1038045&lt;/D&gt;&lt;/FQL&gt;&lt;FQL&gt;&lt;Q&gt;FERG-US^P_BETA_LOCIDX(45392,45216,,"SPX")&lt;/Q&gt;&lt;R&gt;1&lt;/R&gt;&lt;C&gt;1&lt;/C&gt;&lt;D xsi:type="xsd:double"&gt;1.1171368&lt;/D&gt;&lt;/FQL&gt;&lt;FQL&gt;&lt;Q&gt;FERG-US^P_BETA_LOCIDX(45391,45215,,"SPX")&lt;/Q&gt;&lt;R&gt;1&lt;/R&gt;&lt;C&gt;1&lt;/C&gt;&lt;D xsi:type="xsd:double"&gt;1.0735177&lt;/D&gt;&lt;/FQL&gt;&lt;FQL&gt;&lt;Q&gt;FERG-US^P_BETA_LOCIDX(45390,45212,,"SPX")&lt;/Q&gt;&lt;R&gt;1&lt;/R&gt;&lt;C&gt;1&lt;/C&gt;&lt;D xsi:type="xsd:double"&gt;1.0722765&lt;/D&gt;&lt;/FQL&gt;&lt;FQL&gt;&lt;Q&gt;FERG-US^P_BETA_LOCIDX(45387,45211,,"SPX")&lt;/Q&gt;&lt;R&gt;1&lt;/R&gt;&lt;C&gt;1&lt;/C&gt;&lt;D xsi:type="xsd:double"&gt;1.0735554&lt;/D&gt;&lt;/FQL&gt;&lt;FQL&gt;&lt;Q&gt;FERG-US^P_BETA_LOCIDX(45386,45210,,"SPX")&lt;/Q&gt;&lt;R&gt;1&lt;/R&gt;&lt;C&gt;1&lt;/C&gt;&lt;D xsi:type="xsd:double"&gt;1.0806293&lt;/D&gt;&lt;/FQL&gt;&lt;FQL&gt;&lt;Q&gt;FERG-US^P_BETA_LOCIDX(45385,45209,,"SPX")&lt;/Q&gt;&lt;R&gt;1&lt;/R&gt;&lt;C&gt;1&lt;/C&gt;&lt;D xsi:type="xsd:double"&gt;1.1348076&lt;/D&gt;&lt;/FQL&gt;&lt;FQL&gt;&lt;Q&gt;FERG-US^P_BETA_LOCIDX(45384,45208,,"SPX")&lt;/Q&gt;&lt;R&gt;1&lt;/R&gt;&lt;C&gt;1&lt;/C&gt;&lt;D xsi:type="xsd:double"&gt;1.1447159&lt;/D&gt;&lt;/FQL&gt;&lt;FQL&gt;&lt;Q&gt;FERG-US^P_BETA_LOCIDX(45383,45205,,"SPX")&lt;/Q&gt;&lt;R&gt;1&lt;/R&gt;&lt;C&gt;1&lt;/C&gt;&lt;D xsi:type="xsd:double"&gt;1.1501116&lt;/D&gt;&lt;/FQL&gt;&lt;FQL&gt;&lt;Q&gt;FERG-US^P_BETA_LOCIDX(45379,45204,,"SPX")&lt;/Q&gt;&lt;R&gt;1&lt;/R&gt;&lt;C&gt;1&lt;/C&gt;&lt;D xsi:type="xsd:double"&gt;1.1495563&lt;/D&gt;&lt;/FQL&gt;&lt;FQL&gt;&lt;Q&gt;FERG-US^P_BETA_LOCIDX(45378,45203,,"SPX")&lt;/Q&gt;&lt;R&gt;1&lt;/R&gt;&lt;C&gt;1&lt;/C&gt;&lt;D xsi:type="xsd:double"&gt;1.1480263&lt;/D&gt;&lt;/FQL&gt;&lt;FQL&gt;&lt;Q&gt;FERG-US^P_BETA_LOCIDX(45377,45202,,"SPX")&lt;/Q&gt;&lt;R&gt;1&lt;/R&gt;&lt;C&gt;1&lt;/C&gt;&lt;D xsi:type="xsd:double"&gt;1.1675655&lt;/D&gt;&lt;/FQL&gt;&lt;FQL&gt;&lt;Q&gt;FERG-US^P_BETA_LOCIDX(45376,45201,,"SPX")&lt;/Q&gt;&lt;R&gt;1&lt;/R&gt;&lt;C&gt;1&lt;/C&gt;&lt;D xsi:type="xsd:double"&gt;1.1760002&lt;/D&gt;&lt;/FQL&gt;&lt;FQL&gt;&lt;Q&gt;FERG-US^P_BETA_LOCIDX(45373,45198,,"SPX")&lt;/Q&gt;&lt;R&gt;1&lt;/R&gt;&lt;C&gt;1&lt;/C&gt;&lt;D xsi:type="xsd:double"&gt;1.179355&lt;/D&gt;&lt;/FQL&gt;&lt;FQL&gt;&lt;Q&gt;FERG-US^P_BETA_LOCIDX(45372,45197,,"SPX")&lt;/Q&gt;&lt;R&gt;1&lt;/R&gt;&lt;C&gt;1&lt;/C&gt;&lt;D xsi:type="xsd:double"&gt;1.1938084&lt;/D&gt;&lt;/FQL&gt;&lt;FQL&gt;&lt;Q&gt;FERG-US^P_BETA_LOCIDX(45371,45196,,"SPX")&lt;/Q&gt;&lt;R&gt;1&lt;/R&gt;&lt;C&gt;1&lt;/C&gt;&lt;D xsi:type="xsd:double"&gt;1.1830482&lt;/D&gt;&lt;/FQL&gt;&lt;FQL&gt;&lt;Q&gt;FERG-US^P_BETA_LOCIDX(45370,45195,,"SPX")&lt;/Q&gt;&lt;R&gt;1&lt;/R&gt;&lt;C&gt;1&lt;/C&gt;&lt;D xsi:type="xsd:double"&gt;1.0276392&lt;/D&gt;&lt;/FQL&gt;&lt;FQL&gt;&lt;Q&gt;FERG-US^P_BETA_LOCIDX(45369,45194,,"SPX")&lt;/Q&gt;&lt;R&gt;1&lt;/R&gt;&lt;C&gt;1&lt;/C&gt;&lt;D xsi:type="xsd:double"&gt;1.0072829&lt;/D&gt;&lt;/FQL&gt;&lt;FQL&gt;&lt;Q&gt;FERG-US^P_BETA_LOCIDX(45366,45191,,"SPX")&lt;/Q&gt;&lt;R&gt;1&lt;/R&gt;&lt;C&gt;1&lt;/C&gt;&lt;D xsi:type="xsd:double"&gt;1.0128989&lt;/D&gt;&lt;/FQL&gt;&lt;FQL&gt;&lt;Q&gt;FERG-US^P_BETA_LOCIDX(45365,45190,,"SPX")&lt;/Q&gt;&lt;R&gt;1&lt;/R&gt;&lt;C&gt;1&lt;/C&gt;&lt;D xsi:type="xsd:double"&gt;1.0293044&lt;/D&gt;&lt;/FQL&gt;&lt;FQL&gt;&lt;Q&gt;FERG-US^P_BETA_LOCIDX(45364,45189,,"SPX")&lt;/Q&gt;&lt;R&gt;1&lt;/R&gt;&lt;C&gt;1&lt;/C&gt;&lt;D xsi:type="xsd:double"&gt;1.0328221&lt;/D&gt;&lt;/FQL&gt;&lt;FQL&gt;&lt;Q&gt;FERG-US^P_BETA_LOCIDX(45363,45188,,"SPX")&lt;/Q&gt;&lt;R&gt;1&lt;/R&gt;&lt;C&gt;1&lt;/C&gt;&lt;D xsi:type="xsd:double"&gt;1.0370752&lt;/D&gt;&lt;/FQL&gt;&lt;FQL&gt;&lt;Q&gt;FERG-US^P_BETA_LOCIDX(45362,45187,,"SPX")&lt;/Q&gt;&lt;R&gt;1&lt;/R&gt;&lt;C&gt;1&lt;/C&gt;&lt;D xsi:type="xsd:double"&gt;1.0200601&lt;/D&gt;&lt;/FQL&gt;&lt;FQL&gt;&lt;Q&gt;FERG-US^P_BETA_LOCIDX(45359,45184,,"SPX")&lt;/Q&gt;&lt;R&gt;1&lt;/R&gt;&lt;C&gt;1&lt;/C&gt;&lt;D xsi:type="xsd:double"&gt;1.0204985&lt;/D&gt;&lt;/FQL&gt;&lt;FQL&gt;&lt;Q&gt;FERG-US^P_BETA_LOCIDX(45358,45183,,"SPX")&lt;/Q&gt;&lt;R&gt;1&lt;/R&gt;&lt;C&gt;1&lt;/C&gt;&lt;D xsi:type="xsd:double"&gt;1.0055281&lt;/D&gt;&lt;/FQL&gt;&lt;FQL&gt;&lt;Q&gt;FERG-US^P_BETA_LOCIDX(45357,45182,,"SPX")&lt;/Q&gt;&lt;R&gt;1&lt;/R&gt;&lt;C&gt;1&lt;/C&gt;&lt;D xsi:type="xsd:double"&gt;1.0150145&lt;/D&gt;&lt;/FQL&gt;&lt;FQL&gt;&lt;Q&gt;FERG-US^P_BETA_LOCIDX(45356,45181,,"SPX")&lt;/Q&gt;&lt;R&gt;1&lt;/R&gt;&lt;C&gt;1&lt;/C&gt;&lt;D xsi:type="xsd:double"&gt;1.0232615&lt;/D&gt;&lt;/FQL&gt;&lt;FQL&gt;&lt;Q&gt;FERG-US^P_BETA_LOCIDX(45355,45180,,"SPX")&lt;/Q&gt;&lt;R&gt;1&lt;/R&gt;&lt;C&gt;1&lt;/C&gt;&lt;D xsi:type="xsd:double"&gt;0.9320019&lt;/D&gt;&lt;/FQL&gt;&lt;FQL&gt;&lt;Q&gt;FERG-US^P_BETA_LOCIDX(45352,45177,,"SPX")&lt;/Q&gt;&lt;R&gt;1&lt;/R&gt;&lt;C&gt;1&lt;/C&gt;&lt;D xsi:type="xsd:double"&gt;0.9335809&lt;/D&gt;&lt;/FQL&gt;&lt;FQL&gt;&lt;Q&gt;FERG-US^P_BETA_LOCIDX(45351,45176,,"SPX")&lt;/Q&gt;&lt;R&gt;1&lt;/R&gt;&lt;C&gt;1&lt;/C&gt;&lt;D xsi:type="xsd:double"&gt;0.9380816&lt;/D&gt;&lt;/FQL&gt;&lt;FQL&gt;&lt;Q&gt;FERG-US^P_BETA_LOCIDX(45350,45175,,"SPX")&lt;/Q&gt;&lt;R&gt;1&lt;/R&gt;&lt;C&gt;1&lt;/C&gt;&lt;D xsi:type="xsd:double"&gt;0.9478577&lt;/D&gt;&lt;/FQL&gt;&lt;FQL&gt;&lt;Q&gt;FERG-US^P_BETA_LOCIDX(45349,45174,,"SPX")&lt;/Q&gt;&lt;R&gt;1&lt;/R&gt;&lt;C&gt;1&lt;/C&gt;&lt;D xsi:type="xsd:double"&gt;0.97227776&lt;/D&gt;&lt;/FQL&gt;&lt;FQL&gt;&lt;Q&gt;FERG-US^P_BETA_LOCIDX(45348,45170,,"SPX")&lt;/Q&gt;&lt;R&gt;1&lt;/R&gt;&lt;C&gt;1&lt;/C&gt;&lt;D xsi:type="xsd:double"&gt;0.9732976&lt;/D&gt;&lt;/FQL&gt;&lt;FQL&gt;&lt;Q&gt;FERG-US^P_BETA_LOCIDX(45345,45169,,"SPX")&lt;/Q&gt;&lt;R&gt;1&lt;/R&gt;&lt;C&gt;1&lt;/C&gt;&lt;D xsi:type="xsd:double"&gt;0.9885713&lt;/D&gt;&lt;/FQL&gt;&lt;FQL&gt;&lt;Q&gt;FERG-US^P_BETA_LOCIDX(45344,45168,,"SPX")&lt;/Q&gt;&lt;R&gt;1&lt;/R&gt;&lt;C&gt;1&lt;/C&gt;&lt;D xsi:type="xsd:double"&gt;0.9940753&lt;/D&gt;&lt;/FQL&gt;&lt;FQL&gt;&lt;Q&gt;FERG-US^P_BETA_LOCIDX(45343,45167,,"SPX")&lt;/Q&gt;&lt;R&gt;1&lt;/R&gt;&lt;C&gt;1&lt;/C&gt;&lt;D xsi:type="xsd:double"&gt;0.9752981&lt;/D&gt;&lt;/FQL&gt;&lt;FQL&gt;&lt;Q&gt;FERG-US^P_BETA_LOCIDX(45342,45166,,"SPX")&lt;/Q&gt;&lt;R&gt;1&lt;/R&gt;&lt;C&gt;1&lt;/C&gt;&lt;D xsi:type="xsd:double"&gt;0.9759207&lt;/D&gt;&lt;/FQL&gt;&lt;FQL&gt;&lt;Q&gt;FERG-US^P_BETA_LOCIDX(45338,45163,,"SPX")&lt;/Q&gt;&lt;R&gt;1&lt;/R&gt;&lt;C&gt;1&lt;/C&gt;&lt;D xsi:type="xsd:double"&gt;0.99799126&lt;/D&gt;&lt;/FQL&gt;&lt;FQL&gt;&lt;Q&gt;FERG-US^P_BETA_LOCIDX(45337,45162,,"SPX")&lt;/Q&gt;&lt;R&gt;1&lt;/R&gt;&lt;C&gt;1&lt;/C&gt;&lt;D xsi:type="xsd:double"&gt;1.0131159&lt;/D&gt;&lt;/FQL&gt;&lt;FQL&gt;&lt;Q&gt;FERG-US^P_BETA_LOCIDX(45336,45161,,"SPX")&lt;/Q&gt;&lt;R&gt;1&lt;/R&gt;&lt;C&gt;1&lt;/C&gt;&lt;D xsi:type="xsd:double"&gt;1.0070693&lt;/D&gt;&lt;/FQL&gt;&lt;FQL&gt;&lt;Q&gt;FERG-US^P_BETA_LOCIDX(45335,45160,,"SPX")&lt;/Q&gt;&lt;R&gt;1&lt;/R&gt;&lt;C&gt;1&lt;/C&gt;&lt;D xsi:type="xsd:double"&gt;1.0014111&lt;/D&gt;&lt;/FQL&gt;&lt;FQL&gt;&lt;Q&gt;FERG-US^P_BETA_LOCIDX(45334,45159,,"SPX")&lt;/Q&gt;&lt;R&gt;1&lt;/R&gt;&lt;C&gt;1&lt;/C&gt;&lt;D xsi:type="xsd:double"&gt;0.94234276&lt;/D&gt;&lt;/FQL&gt;&lt;FQL&gt;&lt;Q&gt;FERG-US^P_BETA_LOCIDX(45331,45156,,"SPX")&lt;/Q&gt;&lt;R&gt;1&lt;/R&gt;&lt;C&gt;1&lt;/C&gt;&lt;D xsi:type="xsd:double"&gt;0.9417299&lt;/D&gt;&lt;/FQL&gt;&lt;FQL&gt;&lt;Q&gt;FERG-US^P_BETA_LOCIDX(45330,45155,,"SPX")&lt;/Q&gt;&lt;R&gt;1&lt;/R&gt;&lt;C&gt;1&lt;/C&gt;&lt;D xsi:type="xsd:double"&gt;0.96322113&lt;/D&gt;&lt;/FQL&gt;&lt;FQL&gt;&lt;Q&gt;FERG-US^P_BETA_LOCIDX(45329,45154,,"SPX")&lt;/Q&gt;&lt;R&gt;1&lt;/R&gt;&lt;C&gt;1&lt;/C&gt;&lt;D xsi:type="xsd:double"&gt;0.9658112&lt;/D&gt;&lt;/FQL&gt;&lt;FQL&gt;&lt;Q&gt;FERG-US^P_BETA_LOCIDX(45328,45153,,"SPX")&lt;/Q&gt;&lt;R&gt;1&lt;/R&gt;&lt;C&gt;1&lt;/C&gt;&lt;D xsi:type="xsd:double"&gt;0.96301913&lt;/D&gt;&lt;/FQL&gt;&lt;FQL&gt;&lt;Q&gt;FERG-US^P_BETA_LOCIDX(45327,45152,,"SPX")&lt;/Q&gt;&lt;R&gt;1&lt;/R&gt;&lt;C&gt;1&lt;/C&gt;&lt;D xsi:type="xsd:double"&gt;0.9620645&lt;/D&gt;&lt;/FQL&gt;&lt;FQL&gt;&lt;Q&gt;FERG-US^P_BETA_LOCIDX(45324,45149,,"SPX")&lt;/Q&gt;&lt;R&gt;1&lt;/R&gt;&lt;C&gt;1&lt;/C&gt;&lt;D xsi:type="xsd:double"&gt;0.95427835&lt;/D&gt;&lt;/FQL&gt;&lt;FQL&gt;&lt;Q&gt;FERG-US^P_BETA_LOCIDX(45323,45148,,"SPX")&lt;/Q&gt;&lt;R&gt;1&lt;/R&gt;&lt;C&gt;1&lt;/C&gt;&lt;D xsi:type="xsd:double"&gt;0.96829426&lt;/D&gt;&lt;/FQL&gt;&lt;FQL&gt;&lt;Q&gt;FERG-US^P_BETA_LOCIDX(45322,45147,,"SPX")&lt;/Q&gt;&lt;R&gt;1&lt;/R&gt;&lt;C&gt;1&lt;/C&gt;&lt;D xsi:type="xsd:double"&gt;0.9607234&lt;/D&gt;&lt;/FQL&gt;&lt;FQL&gt;&lt;Q&gt;FERG-US^P_BETA_LOCIDX(45321,45146,,"SPX")&lt;/Q&gt;&lt;R&gt;1&lt;/R&gt;&lt;C&gt;1&lt;/C&gt;&lt;D xsi:type="xsd:double"&gt;0.9592207&lt;/D&gt;&lt;/FQL&gt;&lt;FQL&gt;&lt;Q&gt;FERG-US^P_BETA_LOCIDX(45320,45145,,"SPX")&lt;/Q&gt;&lt;R&gt;1&lt;/R&gt;&lt;C&gt;1&lt;/C&gt;&lt;D xsi:type="xsd:double"&gt;0.9707204&lt;/D&gt;&lt;/FQL&gt;&lt;FQL&gt;&lt;Q&gt;FERG-US^P_BETA_LOCIDX(45317,45142,,"SPX")&lt;/Q&gt;&lt;R&gt;1&lt;/R&gt;&lt;C&gt;1&lt;/C&gt;&lt;D xsi:type="xsd:double"&gt;0.9672049&lt;/D&gt;&lt;/FQL&gt;&lt;FQL&gt;&lt;Q&gt;FERG-US^P_BETA_LOCIDX(45316,45141,,"SPX")&lt;/Q&gt;&lt;R&gt;1&lt;/R&gt;&lt;C&gt;1&lt;/C&gt;&lt;D xsi:type="xsd:double"&gt;0.9686267&lt;/D&gt;&lt;/FQL&gt;&lt;FQL&gt;&lt;Q&gt;FERG-US^P_BETA_LOCIDX(45315,45140,,"SPX")&lt;/Q&gt;&lt;R&gt;1&lt;/R&gt;&lt;C&gt;1&lt;/C&gt;&lt;D xsi:type="xsd:double"&gt;0.9716338&lt;/D&gt;&lt;/FQL&gt;&lt;FQL&gt;&lt;Q&gt;FERG-US^P_BETA_LOCIDX(45314,45139,,"SPX")&lt;/Q&gt;&lt;R&gt;1&lt;/R&gt;&lt;C&gt;1&lt;/C&gt;&lt;D xsi:type="xsd:double"&gt;0.9697574&lt;/D&gt;&lt;/FQL&gt;&lt;FQL&gt;&lt;Q&gt;FERG-US^P_BETA_LOCIDX(45313,45138,,"SPX")&lt;/Q&gt;&lt;R&gt;1&lt;/R&gt;&lt;C&gt;1&lt;/C&gt;&lt;D xsi:type="xsd:double"&gt;0.97477114&lt;/D&gt;&lt;/FQL&gt;&lt;FQL&gt;&lt;Q&gt;FERG-US^P_BETA_LOCIDX(45310,45135,,"SPX")&lt;/Q&gt;&lt;R&gt;1&lt;/R&gt;&lt;C&gt;1&lt;/C&gt;&lt;D xsi:type="xsd:double"&gt;0.94938904&lt;/D&gt;&lt;/FQL&gt;&lt;FQL&gt;&lt;Q&gt;FERG-US^P_BETA_LOCIDX(45309,45134,,"SPX")&lt;/Q&gt;&lt;R&gt;1&lt;/R&gt;&lt;C&gt;1&lt;/C&gt;&lt;D xsi:type="xsd:double"&gt;0.9553001&lt;/D&gt;&lt;/FQL&gt;&lt;FQL&gt;&lt;Q&gt;FERG-US^P_BETA_LOCIDX(45308,45133,,"SPX")&lt;/Q&gt;&lt;R&gt;1&lt;/R&gt;&lt;C&gt;1&lt;/C&gt;&lt;D xsi:type="xsd:double"&gt;0.93528324&lt;/D&gt;&lt;/FQL&gt;&lt;FQL&gt;&lt;Q&gt;FERG-US^P_BETA_LOCIDX(45307,45132,,"SPX")&lt;/Q&gt;&lt;R&gt;1&lt;/R&gt;&lt;C&gt;1&lt;/C&gt;&lt;D xsi:type="xsd:double"&gt;0.9335201&lt;/D&gt;&lt;/FQL&gt;&lt;FQL&gt;&lt;Q&gt;FERG-US^P_BETA_LOCIDX(45303,45131,,"SPX")&lt;/Q&gt;&lt;R&gt;1&lt;/R&gt;&lt;C&gt;1&lt;/C&gt;&lt;D xsi:type="xsd:double"&gt;0.9350017&lt;/D&gt;&lt;/FQL&gt;&lt;FQL&gt;&lt;Q&gt;FERG-US^P_BETA_LOCIDX(45302,45128,,"SPX")&lt;/Q&gt;&lt;R&gt;1&lt;/R&gt;&lt;C&gt;1&lt;/C&gt;&lt;D xsi:type="xsd:double"&gt;0.9348423&lt;/D&gt;&lt;/FQL&gt;&lt;FQL&gt;&lt;Q&gt;FERG-US^P_BETA_LOCIDX(45301,45127,,"SPX")&lt;/Q&gt;&lt;R&gt;1&lt;/R&gt;&lt;C&gt;1&lt;/C&gt;&lt;D xsi:type="xsd:double"&gt;0.93291473&lt;/D&gt;&lt;/FQL&gt;&lt;FQL&gt;&lt;Q&gt;FERG-US^P_BETA_LOCIDX(45300,45126,,"SPX")&lt;/Q&gt;&lt;R&gt;1&lt;/R&gt;&lt;C&gt;1&lt;/C&gt;&lt;D xsi:type="xsd:double"&gt;0.9352096&lt;/D&gt;&lt;/FQL&gt;&lt;FQL&gt;&lt;Q&gt;FERG-US^P_BETA_LOCIDX(45299,45125,,"SPX")&lt;/Q&gt;&lt;R&gt;1&lt;/R&gt;&lt;C&gt;1&lt;/C&gt;&lt;D xsi:type="xsd:double"&gt;0.923421&lt;/D&gt;&lt;/FQL&gt;&lt;FQL&gt;&lt;Q&gt;FERG-US^P_BETA_LOCIDX(45296,45124,,"SPX")&lt;/Q&gt;&lt;R&gt;1&lt;/R&gt;&lt;C&gt;1&lt;/C&gt;&lt;D xsi:type="xsd:double"&gt;0.94676&lt;/D&gt;&lt;/FQL&gt;&lt;FQL&gt;&lt;Q&gt;FERG-US^P_BETA_LOCIDX(45295,45121,,"SPX")&lt;/Q&gt;&lt;R&gt;1&lt;/R&gt;&lt;C&gt;1&lt;/C&gt;&lt;D xsi:type="xsd:double"&gt;0.9480444&lt;/D&gt;&lt;/FQL&gt;&lt;FQL&gt;&lt;Q&gt;FERG-US^P_BETA_LOCIDX(45294,45120,,"SPX")&lt;/Q&gt;&lt;R&gt;1&lt;/R&gt;&lt;C&gt;1&lt;/C&gt;&lt;D xsi:type="xsd:double"&gt;0.95610726&lt;/D&gt;&lt;/FQL&gt;&lt;FQL&gt;&lt;Q&gt;FERG-US^P_BETA_LOCIDX(45293,45119,,"SPX")&lt;/Q&gt;&lt;R&gt;1&lt;/R&gt;&lt;C&gt;1&lt;/C&gt;&lt;D xsi:type="xsd:double"&gt;0.93968254&lt;/D&gt;&lt;/FQL&gt;&lt;FQL&gt;&lt;Q&gt;FERG-US^P_BETA_LOCIDX(45289,45118,,"SPX")&lt;/Q&gt;&lt;R&gt;1&lt;/R&gt;&lt;C&gt;1&lt;/C&gt;&lt;D xsi:type="xsd:double"&gt;0.9346213&lt;/D&gt;&lt;/FQL&gt;&lt;FQL&gt;&lt;Q&gt;FERG-US^P_BETA_LOCIDX(45288,45117,,"SPX")&lt;/Q&gt;&lt;R&gt;1&lt;/R&gt;&lt;C&gt;1&lt;/C&gt;&lt;D xsi:type="xsd:double"&gt;0.9350176&lt;/D&gt;&lt;/FQL&gt;&lt;FQL&gt;&lt;Q&gt;FERG-US^P_BETA_LOCIDX(45287,45114,,"SPX")&lt;/Q&gt;&lt;R&gt;1&lt;/R&gt;&lt;C&gt;1&lt;/C&gt;&lt;D xsi:type="xsd:double"&gt;0.92238665&lt;/D&gt;&lt;/FQL&gt;&lt;FQL&gt;&lt;Q&gt;FERG-US^P_BETA_LOCIDX(45286,45113,,"SPX")&lt;/Q&gt;&lt;R&gt;1&lt;/R&gt;&lt;C&gt;1&lt;/C&gt;&lt;D xsi:type="xsd:double"&gt;0.95408267&lt;/D&gt;&lt;/FQL&gt;&lt;FQL&gt;&lt;Q&gt;FERG-US^P_BETA_LOCIDX(45282,45112,,"SPX")&lt;/Q&gt;&lt;R&gt;1&lt;/R&gt;&lt;C&gt;1&lt;/C&gt;&lt;D xsi:type="xsd:double"&gt;0.9576732&lt;/D&gt;&lt;/FQL&gt;&lt;FQL&gt;&lt;Q&gt;FERG-US^P_BETA_LOCIDX(45281,45110,,"SPX")&lt;/Q&gt;&lt;R&gt;1&lt;/R&gt;&lt;C&gt;1&lt;/C&gt;&lt;D xsi:type="xsd:double"&gt;0.95603544&lt;/D&gt;&lt;/FQL&gt;&lt;FQL&gt;&lt;Q&gt;FERG-US^P_BETA_LOCIDX(45280,45107,,"SPX")&lt;/Q&gt;&lt;R&gt;1&lt;/R&gt;&lt;C&gt;1&lt;/C&gt;&lt;D xsi:type="xsd:double"&gt;0.9386549&lt;/D&gt;&lt;/FQL&gt;&lt;FQL&gt;&lt;Q&gt;FERG-US^P_BETA_LOCIDX(45279,45106,,"SPX")&lt;/Q&gt;&lt;R&gt;1&lt;/R&gt;&lt;C&gt;1&lt;/C&gt;&lt;D xsi:type="xsd:double"&gt;0.94597495&lt;/D&gt;&lt;/FQL&gt;&lt;FQL&gt;&lt;Q&gt;FERG-US^P_BETA_LOCIDX(45278,45105,,"SPX")&lt;/Q&gt;&lt;R&gt;1&lt;/R&gt;&lt;C&gt;1&lt;/C&gt;&lt;D xsi:type="xsd:double"&gt;0.9479367&lt;/D&gt;&lt;/FQL&gt;&lt;FQL&gt;&lt;Q&gt;FERG-US^P_BETA_LOCIDX(45275,45104,,"SPX")&lt;/Q&gt;&lt;R&gt;1&lt;/R&gt;&lt;C&gt;1&lt;/C&gt;&lt;D xsi:type="xsd:double"&gt;0.96924204&lt;/D&gt;&lt;/FQL&gt;&lt;FQL&gt;&lt;Q&gt;FERG-US^P_BETA_LOCIDX(45274,45103,,"SPX")&lt;/Q&gt;&lt;R&gt;1&lt;/R&gt;&lt;C&gt;1&lt;/C&gt;&lt;D xsi:type="xsd:double"&gt;0.96619314&lt;/D&gt;&lt;/FQL&gt;&lt;FQL&gt;&lt;Q&gt;FERG-US^P_BETA_LOCIDX(45273,45100,,"SPX")&lt;/Q&gt;&lt;R&gt;1&lt;/R&gt;&lt;C&gt;1&lt;/C&gt;&lt;D xsi:type="xsd:double"&gt;0.96975636&lt;/D&gt;&lt;/FQL&gt;&lt;FQL&gt;&lt;Q&gt;FERG-US^P_BETA_LOCIDX(45272,45099,,"SPX")&lt;/Q&gt;&lt;R&gt;1&lt;/R&gt;&lt;C&gt;1&lt;/C&gt;&lt;D xsi:type="xsd:double"&gt;0.98477507&lt;/D&gt;&lt;/FQL&gt;&lt;FQL&gt;&lt;Q&gt;FERG-US^P_BETA_LOCIDX(45271,45098,,"SPX")&lt;/Q&gt;&lt;R&gt;1&lt;/R&gt;&lt;C&gt;1&lt;/C&gt;&lt;D xsi:type="xsd:double"&gt;0.9679519&lt;/D&gt;&lt;/FQL&gt;&lt;FQL&gt;&lt;Q&gt;FERG-US^P_BETA_LOCIDX(45268,45097,,"SPX")&lt;/Q&gt;&lt;R&gt;1&lt;/R&gt;&lt;C&gt;1&lt;/C&gt;&lt;D xsi:type="xsd:double"&gt;0.96706164&lt;/D&gt;&lt;/FQL&gt;&lt;FQL&gt;&lt;Q&gt;FERG-US^P_BETA_LOCIDX(45267,45093,,"SPX")&lt;/Q&gt;&lt;R&gt;1&lt;/R&gt;&lt;C&gt;1&lt;/C&gt;&lt;D xsi:type="xsd:double"&gt;0.9654313&lt;/D&gt;&lt;/FQL&gt;&lt;FQL&gt;&lt;Q&gt;FERG-US^P_BETA_LOCIDX(45266,45092,,"SPX")&lt;/Q&gt;&lt;R&gt;1&lt;/R&gt;&lt;C&gt;1&lt;/C&gt;&lt;D xsi:type="xsd:double"&gt;0.94829124&lt;/D&gt;&lt;/FQL&gt;&lt;FQL&gt;&lt;Q&gt;FERG-US^P_BETA_LOCIDX(45265,45091,,"SPX")&lt;/Q&gt;&lt;R&gt;1&lt;/R&gt;&lt;C&gt;1&lt;/C&gt;&lt;D xsi:type="xsd:double"&gt;0.95280224&lt;/D&gt;&lt;/FQL&gt;&lt;FQL&gt;&lt;Q&gt;FERG-US^P_BETA_LOCIDX(45264,45090,,"SPX")&lt;/Q&gt;&lt;R&gt;1&lt;/R&gt;&lt;C&gt;1&lt;/C&gt;&lt;D xsi:type="xsd:double"&gt;0.96549815&lt;/D&gt;&lt;/FQL&gt;&lt;FQL&gt;&lt;Q&gt;FERG-US^P_BETA_LOCIDX(45261,45089,,"SPX")&lt;/Q&gt;&lt;R&gt;1&lt;/R&gt;&lt;C&gt;1&lt;/C&gt;&lt;D xsi:type="xsd:double"&gt;0.94994307&lt;/D&gt;&lt;/FQL&gt;&lt;FQL&gt;&lt;Q&gt;FERG-US^P_BETA_LOCIDX(45260,45086,,"SPX")&lt;/Q&gt;&lt;R&gt;1&lt;/R&gt;&lt;C&gt;1&lt;/C&gt;&lt;D xsi:type="xsd:double"&gt;0.9498304&lt;/D&gt;&lt;/FQL&gt;&lt;FQL&gt;&lt;Q&gt;FERG-US^P_BETA_LOCIDX(45259,45085,,"SPX")&lt;/Q&gt;&lt;R&gt;1&lt;/R&gt;&lt;C&gt;1&lt;/C&gt;&lt;D xsi:type="xsd:double"&gt;0.9284205&lt;/D&gt;&lt;/FQL&gt;&lt;FQL&gt;&lt;Q&gt;FERG-US^P_BETA_LOCIDX(45258,45084,,"SPX")&lt;/Q&gt;&lt;R&gt;1&lt;/R&gt;&lt;C&gt;1&lt;/C&gt;&lt;D xsi:type="xsd:double"&gt;0.93069005&lt;/D&gt;&lt;/FQL&gt;&lt;FQL&gt;&lt;Q&gt;FERG-US^P_BETA_LOCIDX(45257,45083,,"SPX")&lt;/Q&gt;&lt;R&gt;1&lt;/R&gt;&lt;C&gt;1&lt;/C&gt;&lt;D xsi:type="xsd:double"&gt;0.9308648&lt;/D&gt;&lt;/FQL&gt;&lt;FQL&gt;&lt;Q&gt;FERG-US^P_BETA_LOCIDX(45254,45082,,"SPX")&lt;/Q&gt;&lt;R&gt;1&lt;/R&gt;&lt;C&gt;1&lt;/C&gt;&lt;D xsi:type="xsd:double"&gt;0.9348583&lt;/D&gt;&lt;/FQL&gt;&lt;FQL&gt;&lt;Q&gt;FERG-US^P_BETA_LOCIDX(45252,45079,,"SPX")&lt;/Q&gt;&lt;R&gt;1&lt;/R&gt;&lt;C&gt;1&lt;/C&gt;&lt;D xsi:type="xsd:double"&gt;0.9362644&lt;/D&gt;&lt;/FQL&gt;&lt;FQL&gt;&lt;Q&gt;FERG-US^P_BETA_LOCIDX(45251,45078,,"SPX")&lt;/Q&gt;&lt;R&gt;1&lt;/R&gt;&lt;C&gt;1&lt;/C&gt;&lt;D xsi:type="xsd:double"&gt;0.93006635&lt;/D&gt;&lt;/FQL&gt;&lt;FQL&gt;&lt;Q&gt;FERG-US^P_BETA_LOCIDX(45250,45077,,"SPX")&lt;/Q&gt;&lt;R&gt;1&lt;/R&gt;&lt;C&gt;1&lt;/C&gt;&lt;D xsi:type="xsd:double"&gt;0.9385534&lt;/D&gt;&lt;/FQL&gt;&lt;FQL&gt;&lt;Q&gt;FERG-US^P_BETA_LOCIDX(45247,45076,,"SPX")&lt;/Q&gt;&lt;R&gt;1&lt;/R&gt;&lt;C&gt;1&lt;/C&gt;&lt;D xsi:type="xsd:double"&gt;0.9504973&lt;/D&gt;&lt;/FQL&gt;&lt;FQL&gt;&lt;Q&gt;FERG-US^P_BETA_LOCIDX(45246,45072,,"SPX")&lt;/Q&gt;&lt;R&gt;1&lt;/R&gt;&lt;C&gt;1&lt;/C&gt;&lt;D xsi:type="xsd:double"&gt;0.9732376&lt;/D&gt;&lt;/FQL&gt;&lt;FQL&gt;&lt;Q&gt;FERG-US^P_BETA_LOCIDX(45245,45071,,"SPX")&lt;/Q&gt;&lt;R&gt;1&lt;/R&gt;&lt;C&gt;1&lt;/C&gt;&lt;D xsi:type="xsd:double"&gt;0.96328807&lt;/D&gt;&lt;/FQL&gt;&lt;FQL&gt;&lt;Q&gt;FERG-US^P_BETA_LOCIDX(45244,45070,,"SPX")&lt;/Q&gt;&lt;R&gt;1&lt;/R&gt;&lt;C&gt;1&lt;/C&gt;&lt;D xsi:type="xsd:double"&gt;0.96356845&lt;/D&gt;&lt;/FQL&gt;&lt;FQL&gt;&lt;Q&gt;FERG-US^P_BETA_LOCIDX(45243,45069,,"SPX")&lt;/Q&gt;&lt;R&gt;1&lt;/R&gt;&lt;C&gt;1&lt;/C&gt;&lt;D xsi:type="xsd:double"&gt;0.9897283&lt;/D&gt;&lt;/FQL&gt;&lt;FQL&gt;&lt;Q&gt;FERG-US^P_BETA_LOCIDX(45240,45068,,"SPX")&lt;/Q&gt;&lt;R&gt;1&lt;/R&gt;&lt;C&gt;1&lt;/C&gt;&lt;D xsi:type="xsd:double"&gt;0.98994046&lt;/D&gt;&lt;/FQL&gt;&lt;FQL&gt;&lt;Q&gt;FERG-US^P_BETA_LOCIDX(45239,45065,,"SPX")&lt;/Q&gt;&lt;R&gt;1&lt;/R&gt;&lt;C&gt;1&lt;/C&gt;&lt;D xsi:type="xsd:double"&gt;0.9823097&lt;/D&gt;&lt;/FQL&gt;&lt;FQL&gt;&lt;Q&gt;FERG-US^P_BETA_LOCIDX(45238,45064,,"SPX")&lt;/Q&gt;&lt;R&gt;1&lt;/R&gt;&lt;C&gt;1&lt;/C&gt;&lt;D xsi:type="xsd:double"&gt;1.0105891&lt;/D&gt;&lt;/FQL&gt;&lt;FQL&gt;&lt;Q&gt;FERG-US^P_BETA_LOCIDX(45237,45063,,"SPX")&lt;/Q&gt;&lt;R&gt;1&lt;/R&gt;&lt;C&gt;1&lt;/C&gt;&lt;D xsi:type="xsd:double"&gt;1.0045968&lt;/D&gt;&lt;/FQL&gt;&lt;FQL&gt;&lt;Q&gt;FERG-US^P_BETA_LOCIDX(45236,45062,,"SPX")&lt;/Q&gt;&lt;R&gt;1&lt;/R&gt;&lt;C&gt;1&lt;/C&gt;&lt;D xsi:type="xsd:double"&gt;1.0130965&lt;/D&gt;&lt;/FQL&gt;&lt;FQL&gt;&lt;Q&gt;FERG-US^P_BETA_LOCIDX(45233,45061,,"SPX")&lt;/Q&gt;&lt;R&gt;1&lt;/R&gt;&lt;C&gt;1&lt;/C&gt;&lt;D xsi:type="xsd:double"&gt;1.0202978&lt;/D&gt;&lt;/FQL&gt;&lt;FQL&gt;&lt;Q&gt;FERG-US^P_BETA_LOCIDX(45232,45058,,"SPX")&lt;/Q&gt;&lt;R&gt;1&lt;/R&gt;&lt;C&gt;1&lt;/C&gt;&lt;D xsi:type="xsd:double"&gt;1.0236118&lt;/D&gt;&lt;/FQL&gt;&lt;FQL&gt;&lt;Q&gt;FERG-US^P_BETA_LOCIDX(45231,45057,,"SPX")&lt;/Q&gt;&lt;R&gt;1&lt;/R&gt;&lt;C&gt;1&lt;/C&gt;&lt;D xsi:type="xsd:double"&gt;1.0339817&lt;/D&gt;&lt;/FQL&gt;&lt;FQL&gt;&lt;Q&gt;FERG-US^P_BETA_LOCIDX(45230,45056,,"SPX")&lt;/Q&gt;&lt;R&gt;1&lt;/R&gt;&lt;C&gt;1&lt;/C&gt;&lt;D xsi:type="xsd:double"&gt;1.0147951&lt;/D&gt;&lt;/FQL&gt;&lt;FQL&gt;&lt;Q&gt;FERG-US^P_BETA_LOCIDX(45229,45055,,"SPX")&lt;/Q&gt;&lt;R&gt;1&lt;/R&gt;&lt;C&gt;1&lt;/C&gt;&lt;D xsi:type="xsd:double"&gt;1.0231915&lt;/D&gt;&lt;/FQL&gt;&lt;FQL&gt;&lt;Q&gt;FERG-US^P_BETA_LOCIDX(45226,45054,,"SPX")&lt;/Q&gt;&lt;R&gt;1&lt;/R&gt;&lt;C&gt;1&lt;/C&gt;&lt;D xsi:type="xsd:double"&gt;1.0226276&lt;/D&gt;&lt;/FQL&gt;&lt;FQL&gt;&lt;Q&gt;FERG-US^P_BETA_LOCIDX(45225,45051,,"SPX")&lt;/Q&gt;&lt;R&gt;1&lt;/R&gt;&lt;C&gt;1&lt;/C&gt;&lt;D xsi:type="xsd:double"&gt;1.0035893&lt;/D&gt;&lt;/FQL&gt;&lt;FQL&gt;&lt;Q&gt;FERG-US^P_BETA_LOCIDX(45224,45050,,"SPX")&lt;/Q&gt;&lt;R&gt;1&lt;/R&gt;&lt;C&gt;1&lt;/C&gt;&lt;D xsi:type="xsd:double"&gt;1.0367134&lt;/D&gt;&lt;/FQL&gt;&lt;FQL&gt;&lt;Q&gt;FERG-US^P_BETA_LOCIDX(45223,45049,,"SPX")&lt;/Q&gt;&lt;R&gt;1&lt;/R&gt;&lt;C&gt;1&lt;/C&gt;&lt;D xsi:type="xsd:double"&gt;1.0428096&lt;/D&gt;&lt;/FQL&gt;&lt;FQL&gt;&lt;Q&gt;FERG-US^P_BETA_LOCIDX(45222,45048,,"SPX")&lt;/Q&gt;&lt;R&gt;1&lt;/R&gt;&lt;C&gt;1&lt;/C&gt;&lt;D xsi:type="xsd:double"&gt;1.0736835&lt;/D&gt;&lt;/FQL&gt;&lt;FQL&gt;&lt;Q&gt;FERG-US^P_BETA_LOCIDX(45219,45047,,"SPX")&lt;/Q&gt;&lt;R&gt;1&lt;/R&gt;&lt;C&gt;1&lt;/C&gt;&lt;D xsi:type="xsd:double"&gt;1.0714233&lt;/D&gt;&lt;/FQL&gt;&lt;FQL&gt;&lt;Q&gt;FERG-US^P_BETA_LOCIDX(45218,45044,,"SPX")&lt;/Q&gt;&lt;R&gt;1&lt;/R&gt;&lt;C&gt;1&lt;/C&gt;&lt;D xsi:type="xsd:double"&gt;1.0846558&lt;/D&gt;&lt;/FQL&gt;&lt;FQL&gt;&lt;Q&gt;FERG-US^P_BETA_LOCIDX(45217,45043,,"SPX")&lt;/Q&gt;&lt;R&gt;1&lt;/R&gt;&lt;C&gt;1&lt;/C&gt;&lt;D xsi:type="xsd:double"&gt;1.0879943&lt;/D&gt;&lt;/FQL&gt;&lt;FQL&gt;&lt;Q&gt;FERG-US^P_BETA_LOCIDX(45216,45042,,"SPX")&lt;/Q&gt;&lt;R&gt;1&lt;/R&gt;&lt;C&gt;1&lt;/C&gt;&lt;D xsi:type="xsd:double"&gt;1.0218997&lt;/D&gt;&lt;/FQL&gt;&lt;FQL&gt;&lt;Q&gt;FERG-US^P_BETA_LOCIDX(45215,45041,,"SPX")&lt;/Q&gt;&lt;R&gt;1&lt;/R&gt;&lt;C&gt;1&lt;/C&gt;&lt;D xsi:type="xsd:double"&gt;1.0355436&lt;/D&gt;&lt;/FQL&gt;&lt;FQL&gt;&lt;Q&gt;FERG-US^P_BETA_LOCIDX(45212,45040,,"SPX")&lt;/Q&gt;&lt;R&gt;1&lt;/R&gt;&lt;C&gt;1&lt;/C&gt;&lt;D xsi:type="xsd:double"&gt;1.0861235&lt;/D&gt;&lt;/FQL&gt;&lt;FQL&gt;&lt;Q&gt;FERG-US^P_BETA_LOCIDX(45211,45037,,"SPX")&lt;/Q&gt;&lt;R&gt;1&lt;/R&gt;&lt;C&gt;1&lt;/C&gt;&lt;D xsi:type="xsd:double"&gt;1.0868498&lt;/D&gt;&lt;/FQL&gt;&lt;FQL&gt;&lt;Q&gt;FERG-US^P_BETA_LOCIDX(45210,45036,,"SPX")&lt;/Q&gt;&lt;R&gt;1&lt;/R&gt;&lt;C&gt;1&lt;/C&gt;&lt;D xsi:type="xsd:double"&gt;1.0600542&lt;/D&gt;&lt;/FQL&gt;&lt;FQL&gt;&lt;Q&gt;FERG-US^P_BETA_LOCIDX(45209,45035,,"SPX")&lt;/Q&gt;&lt;R&gt;1&lt;/R&gt;&lt;C&gt;1&lt;/C&gt;&lt;D xsi:type="xsd:double"&gt;1.0536704&lt;/D&gt;&lt;/FQL&gt;&lt;FQL&gt;&lt;Q&gt;FERG-US^P_BETA_LOCIDX(45208,45034,,"SPX")&lt;/Q&gt;&lt;R&gt;1&lt;/R&gt;&lt;C&gt;1&lt;/C&gt;&lt;D xsi:type="xsd:double"&gt;1.0577258&lt;/D&gt;&lt;/FQL&gt;&lt;FQL&gt;&lt;Q&gt;FERG-US^P_BETA_LOCIDX(45205,45033,,"SPX")&lt;/Q&gt;&lt;R&gt;1&lt;/R&gt;&lt;C&gt;1&lt;/C&gt;&lt;D xsi:type="xsd:double"&gt;1.0506381&lt;/D&gt;&lt;/FQL&gt;&lt;FQL&gt;&lt;Q&gt;FERG-US^P_BETA_LOCIDX(45204,45030,,"SPX")&lt;/Q&gt;&lt;R&gt;1&lt;/R&gt;&lt;C&gt;1&lt;/C&gt;&lt;D xsi:type="xsd:double"&gt;1.0503616&lt;/D&gt;&lt;/FQL&gt;&lt;FQL&gt;&lt;Q&gt;FERG-US^P_BETA_LOCIDX(45203,45029,,"SPX")&lt;/Q&gt;&lt;R&gt;1&lt;/R&gt;&lt;C&gt;1&lt;/C&gt;&lt;D xsi:type="xsd:double"&gt;1.0337412&lt;/D&gt;&lt;/FQL&gt;&lt;FQL&gt;&lt;Q&gt;FERG-US^P_BETA_LOCIDX(45202,45028,,"SPX")&lt;/Q&gt;&lt;R&gt;1&lt;/R&gt;&lt;C&gt;1&lt;/C&gt;&lt;D xsi:type="xsd:double"&gt;1.0254908&lt;/D&gt;&lt;/FQL&gt;&lt;FQL&gt;&lt;Q&gt;FERG-US^P_BETA_LOCIDX(45201,45027,,"SPX")&lt;/Q&gt;&lt;R&gt;1&lt;/R&gt;&lt;C&gt;1&lt;/C&gt;&lt;D xsi:type="xsd:double"&gt;1.0129379&lt;/D&gt;&lt;/FQL&gt;&lt;FQL&gt;&lt;Q&gt;FERG-US^P_BETA_LOCIDX(45198,45026,,"SPX")&lt;/Q&gt;&lt;R&gt;1&lt;/R&gt;&lt;C&gt;1&lt;/C&gt;&lt;D xsi:type="xsd:double"&gt;1.0125763&lt;/D&gt;&lt;/FQL&gt;&lt;FQL&gt;&lt;Q&gt;FERG-US^P_BETA_LOCIDX(45197,45022,,"SPX")&lt;/Q&gt;&lt;R&gt;1&lt;/R&gt;&lt;C&gt;1&lt;/C&gt;&lt;D xsi:type="xsd:double"&gt;1.0005429&lt;/D&gt;&lt;/FQL&gt;&lt;FQL&gt;&lt;Q&gt;FERG-US^P_BETA_LOCIDX(45196,45021,,"SPX")&lt;/Q&gt;&lt;R&gt;1&lt;/R&gt;&lt;C&gt;1&lt;/C&gt;&lt;D xsi:type="xsd:double"&gt;0.99574536&lt;/D&gt;&lt;/FQL&gt;&lt;FQL&gt;&lt;Q&gt;FERG-US^P_BETA_LOCIDX(45195,45020,,"SPX")&lt;/Q&gt;&lt;R&gt;1&lt;/R&gt;&lt;C&gt;1&lt;/C&gt;&lt;D xsi:type="xsd:double"&gt;1.0253993&lt;/D&gt;&lt;/FQL&gt;&lt;FQL&gt;&lt;Q&gt;FERG-US^P_BETA_LOCIDX(45194,45019,,"SPX")&lt;/Q&gt;&lt;R&gt;1&lt;/R&gt;&lt;C&gt;1&lt;/C&gt;&lt;D xsi:type="xsd:double"&gt;1.17087&lt;/D&gt;&lt;/FQL&gt;&lt;FQL&gt;&lt;Q&gt;FERG-US^P_BETA_LOCIDX(45191,45016,,"SPX")&lt;/Q&gt;&lt;R&gt;1&lt;/R&gt;&lt;C&gt;1&lt;/C&gt;&lt;D xsi:type="xsd:double"&gt;1.1706709&lt;/D&gt;&lt;/FQL&gt;&lt;FQL&gt;&lt;Q&gt;FERG-US^P_BETA_LOCIDX(45190,45015,,"SPX")&lt;/Q&gt;&lt;R&gt;1&lt;/R&gt;&lt;C&gt;1&lt;/C&gt;&lt;D xsi:type="xsd:double"&gt;1.1670306&lt;/D&gt;&lt;/FQL&gt;&lt;FQL&gt;&lt;Q&gt;FERG-US^P_BETA_LOCIDX(45189,45014,,"SPX")&lt;/Q&gt;&lt;R&gt;1&lt;/R&gt;&lt;C&gt;1&lt;/C&gt;&lt;D xsi:type="xsd:double"&gt;1.1578526&lt;/D&gt;&lt;/FQL&gt;&lt;FQL&gt;&lt;Q&gt;FERG-US^P_BETA_LOCIDX(45188,45013,,"SPX")&lt;/Q&gt;&lt;R&gt;1&lt;/R&gt;&lt;C&gt;1&lt;/C&gt;&lt;D xsi:type="xsd:double"&gt;1.1560408&lt;/D&gt;&lt;/FQL&gt;&lt;FQL&gt;&lt;Q&gt;FERG-US^P_BETA_LOCIDX(45187,45012,,"SPX")&lt;/Q&gt;&lt;R&gt;1&lt;/R&gt;&lt;C&gt;1&lt;/C&gt;&lt;D xsi:type="xsd:double"&gt;1.1579477&lt;/D&gt;&lt;/FQL&gt;&lt;FQL&gt;&lt;Q&gt;FERG-US^P_BETA_LOCIDX(45184,45009,,"SPX")&lt;/Q&gt;&lt;R&gt;1&lt;/R&gt;&lt;C&gt;1&lt;/C&gt;&lt;D xsi:type="xsd:double"&gt;1.1440332&lt;/D&gt;&lt;/FQL&gt;&lt;FQL&gt;&lt;Q&gt;FERG-US^P_BETA_LOCIDX(45183,45008,,"SPX")&lt;/Q&gt;&lt;R&gt;1&lt;/R&gt;&lt;C&gt;1&lt;/C&gt;&lt;D xsi:type="xsd:double"&gt;1.149482&lt;/D&gt;&lt;/FQL&gt;&lt;FQL&gt;&lt;Q&gt;FERG-US^P_BETA_LOCIDX(45182,45007,,"SPX")&lt;/Q&gt;&lt;R&gt;1&lt;/R&gt;&lt;C&gt;1&lt;/C&gt;&lt;D xsi:type="xsd:double"&gt;1.1682197&lt;/D&gt;&lt;/FQL&gt;&lt;FQL&gt;&lt;Q&gt;FERG-US^P_BETA_LOCIDX(45181,45006,,"SPX")&lt;/Q&gt;&lt;R&gt;1&lt;/R&gt;&lt;C&gt;1&lt;/C&gt;&lt;D xsi:type="xsd:double"&gt;1.1746492&lt;/D&gt;&lt;/FQL&gt;&lt;FQL&gt;&lt;Q&gt;FERG-US^P_BETA_LOCIDX(45180,45005,,"SPX")&lt;/Q&gt;&lt;R&gt;1&lt;/R&gt;&lt;C&gt;1&lt;/C&gt;&lt;D xsi:type="xsd:double"&gt;1.183404&lt;/D&gt;&lt;/FQL&gt;&lt;FQL&gt;&lt;Q&gt;FERG-US^P_BETA_LOCIDX(45177,45002,,"SPX")&lt;/Q&gt;&lt;R&gt;1&lt;/R&gt;&lt;C&gt;1&lt;/C&gt;&lt;D xsi:type="xsd:double"&gt;1.1689484&lt;/D&gt;&lt;/FQL&gt;&lt;FQL&gt;&lt;Q&gt;FERG-US^P_BETA_LOCIDX(45176,45001,,"SPX")&lt;/Q&gt;&lt;R&gt;1&lt;/R&gt;&lt;C&gt;1&lt;/C&gt;&lt;D xsi:type="xsd:double"&gt;1.1241249&lt;/D&gt;&lt;/FQL&gt;&lt;FQL&gt;&lt;Q&gt;FERG-US^P_BETA_LOCIDX(45175,45000,,"SPX")&lt;/Q&gt;&lt;R&gt;1&lt;/R&gt;&lt;C&gt;1&lt;/C&gt;&lt;D xsi:type="xsd:double"&gt;1.1529899&lt;/D&gt;&lt;/FQL&gt;&lt;FQL&gt;&lt;Q&gt;FERG-US^P_BETA_LOCIDX(45174,44999,,"SPX")&lt;/Q&gt;&lt;R&gt;1&lt;/R&gt;&lt;C&gt;1&lt;/C&gt;&lt;D xsi:type="xsd:double"&gt;1.1093446&lt;/D&gt;&lt;/FQL&gt;&lt;FQL&gt;&lt;Q&gt;FERG-US^P_BETA_LOCIDX(45170,44998,,"SPX")&lt;/Q&gt;&lt;R&gt;1&lt;/R&gt;&lt;C&gt;1&lt;/C&gt;&lt;D xsi:type="xsd:double"&gt;1.0911522&lt;/D&gt;&lt;/FQL&gt;&lt;FQL&gt;&lt;Q&gt;FERG-US^P_BETA_LOCIDX(45169,44995,,"SPX")&lt;/Q&gt;&lt;R&gt;1&lt;/R&gt;&lt;C&gt;1&lt;/C&gt;&lt;D xsi:type="xsd:double"&gt;1.091237&lt;/D&gt;&lt;/FQL&gt;&lt;FQL&gt;&lt;Q&gt;FERG-US^P_BETA_LOCIDX(45168,44994,,"SPX")&lt;/Q&gt;&lt;R&gt;1&lt;/R&gt;&lt;C&gt;1&lt;/C&gt;&lt;D xsi:type="xsd:double"&gt;1.0908505&lt;/D&gt;&lt;/FQL&gt;&lt;FQL&gt;&lt;Q&gt;FERG-US^P_BETA_LOCIDX(45167,44993,,"SPX")&lt;/Q&gt;&lt;R&gt;1&lt;/R&gt;&lt;C&gt;1&lt;/C&gt;&lt;D xsi:type="xsd:double"&gt;1.086128&lt;/D&gt;&lt;/FQL&gt;&lt;FQL&gt;&lt;Q&gt;FERG-US^P_BETA_LOCIDX(45166,44992,,"SPX")&lt;/Q&gt;&lt;R&gt;1&lt;/R&gt;&lt;C&gt;1&lt;/C&gt;&lt;D xsi:type="xsd:double"&gt;1.1331606&lt;/D&gt;&lt;/FQL&gt;&lt;FQL&gt;&lt;Q&gt;FERG-US^P_BETA_LOCIDX(45163,44991,,"SPX")&lt;/Q&gt;&lt;R&gt;1&lt;/R&gt;&lt;C&gt;1&lt;/C&gt;&lt;D xsi:type="xsd:double"&gt;1.132605&lt;/D&gt;&lt;/FQL&gt;&lt;FQL&gt;&lt;Q&gt;FERG-US^P_BETA_LOCIDX(45162,44988,,"SPX")&lt;/Q&gt;&lt;R&gt;1&lt;/R&gt;&lt;C&gt;1&lt;/C&gt;&lt;D xsi:type="xsd:double"&gt;1.1011437&lt;/D&gt;&lt;/FQL&gt;&lt;FQL&gt;&lt;Q&gt;FERG-US^P_BETA_LOCIDX(45161,44987,,"SPX")&lt;/Q&gt;&lt;R&gt;1&lt;/R&gt;&lt;C&gt;1&lt;/C&gt;&lt;D xsi:type="xsd:double"&gt;1.0904328&lt;/D&gt;&lt;/FQL&gt;&lt;FQL&gt;&lt;Q&gt;FERG-US^P_BETA_LOCIDX(45160,44986,,"SPX")&lt;/Q&gt;&lt;R&gt;1&lt;/R&gt;&lt;C&gt;1&lt;/C&gt;&lt;D xsi:type="xsd:double"&gt;1.0772492&lt;/D&gt;&lt;/FQL&gt;&lt;FQL&gt;&lt;Q&gt;FERG-US^P_BETA_LOCIDX(45159,44985,,"SPX")&lt;/Q&gt;&lt;R&gt;1&lt;/R&gt;&lt;C&gt;1&lt;/C&gt;&lt;D xsi:type="xsd:double"&gt;1.079216&lt;/D&gt;&lt;/FQL&gt;&lt;FQL&gt;&lt;Q&gt;FERG-US^P_BETA_LOCIDX(45156,44984,,"SPX")&lt;/Q&gt;&lt;R&gt;1&lt;/R&gt;&lt;C&gt;1&lt;/C&gt;&lt;D xsi:type="xsd:double"&gt;1.0921267&lt;/D&gt;&lt;/FQL&gt;&lt;FQL&gt;&lt;Q&gt;FERG-US^P_BETA_LOCIDX(45155,44981,,"SPX")&lt;/Q&gt;&lt;R&gt;1&lt;/R&gt;&lt;C&gt;1&lt;/C&gt;&lt;D xsi:type="xsd:double"&gt;1.0991315&lt;/D&gt;&lt;/FQL&gt;&lt;FQL&gt;&lt;Q&gt;FERG-US^P_BETA_LOCIDX(45154,44980,,"SPX")&lt;/Q&gt;&lt;R&gt;1&lt;/R&gt;&lt;C&gt;1&lt;/C&gt;&lt;D xsi:type="xsd:double"&gt;1.0872035&lt;/D&gt;&lt;/FQL&gt;&lt;FQL&gt;&lt;Q&gt;FERG-US^P_BETA_LOCIDX(45153,44979,,"SPX")&lt;/Q&gt;&lt;R&gt;1&lt;/R&gt;&lt;C&gt;1&lt;/C&gt;&lt;D xsi:type="xsd:double"&gt;1.0887102&lt;/D&gt;&lt;/FQL&gt;&lt;FQL&gt;&lt;Q&gt;FERG-US^P_BETA_LOCIDX(45152,44978,,"SPX")&lt;/Q&gt;&lt;R&gt;1&lt;/R&gt;&lt;C&gt;1&lt;/C&gt;&lt;D xsi:type="xsd:double"&gt;1.1189661&lt;/D&gt;&lt;/FQL&gt;&lt;FQL&gt;&lt;Q&gt;FERG-US^P_BETA_LOCIDX(45149,44974,,"SPX")&lt;/Q&gt;&lt;R&gt;1&lt;/R&gt;&lt;C&gt;1&lt;/C&gt;&lt;D xsi:type="xsd:double"&gt;1.1168933&lt;/D&gt;&lt;/FQL&gt;&lt;FQL&gt;&lt;Q&gt;FERG-US^P_BETA_LOCIDX(45148,44973,,"SPX")&lt;/Q&gt;&lt;R&gt;1&lt;/R&gt;&lt;C&gt;1&lt;/C&gt;&lt;D xsi:type="xsd:double"&gt;1.105827&lt;/D&gt;&lt;/FQL&gt;&lt;FQL&gt;&lt;Q&gt;FERG-US^P_BETA_LOCIDX(45147,44972,,"SPX")&lt;/Q&gt;&lt;R&gt;1&lt;/R&gt;&lt;C&gt;1&lt;/C&gt;&lt;D xsi:type="xsd:double"&gt;1.1088282&lt;/D&gt;&lt;/FQL&gt;&lt;FQL&gt;&lt;Q&gt;FERG-US^P_BETA_LOCIDX(45146,44971,,"SPX")&lt;/Q&gt;&lt;R&gt;1&lt;/R&gt;&lt;C&gt;1&lt;/C&gt;&lt;D xsi:type="xsd:double"&gt;1.1057091&lt;/D&gt;&lt;/FQL&gt;&lt;FQL&gt;&lt;Q&gt;FERG-US^P_BETA_LOCIDX(45145,44970,,"SPX")&lt;/Q&gt;&lt;R&gt;1&lt;/R&gt;&lt;C&gt;1&lt;/C&gt;&lt;D xsi:type="xsd:double"&gt;1.1133392&lt;/D&gt;&lt;/FQL&gt;&lt;FQL&gt;&lt;Q&gt;FERG-US^P_BETA_LOCIDX(45142,44967,,"SPX")&lt;/Q&gt;&lt;R&gt;1&lt;/R&gt;&lt;C&gt;1&lt;/C&gt;&lt;D xsi:type="xsd:double"&gt;1.1058385&lt;/D&gt;&lt;/FQL&gt;&lt;FQL&gt;&lt;Q&gt;FERG-US^P_BETA_LOCIDX(45141,44966,,"SPX")&lt;/Q&gt;&lt;R&gt;1&lt;/R&gt;&lt;C&gt;1&lt;/C&gt;&lt;D xsi:type="xsd:double"&gt;1.1012543&lt;/D&gt;&lt;/FQL&gt;&lt;FQL&gt;&lt;Q&gt;FERG-US^P_BETA_LOCIDX(45140,44965,,"SPX")&lt;/Q&gt;&lt;R&gt;1&lt;/R&gt;&lt;C&gt;1&lt;/C&gt;&lt;D xsi:type="xsd:double"&gt;1.0968277&lt;/D&gt;&lt;/FQL&gt;&lt;FQL&gt;&lt;Q&gt;FERG-US^P_BETA_LOCIDX(45139,44964,,"SPX")&lt;/Q&gt;&lt;R&gt;1&lt;/R&gt;&lt;C&gt;1&lt;/C&gt;&lt;D xsi:type="xsd:double"&gt;1.0912915&lt;/D&gt;&lt;/FQL&gt;&lt;FQL&gt;&lt;Q&gt;FERG-US^P_BETA_LOCIDX(45138,44963,,"SPX")&lt;/Q&gt;&lt;R&gt;1&lt;/R&gt;&lt;C&gt;1&lt;/C&gt;&lt;D xsi:type="xsd:double"&gt;1.1080769&lt;/D&gt;&lt;/FQL&gt;&lt;FQL&gt;&lt;Q&gt;FERG-US^P_BETA_LOCIDX(45135,44960,,"SPX")&lt;/Q&gt;&lt;R&gt;1&lt;/R&gt;&lt;C&gt;1&lt;/C&gt;&lt;D xsi:type="xsd:double"&gt;1.1024265&lt;/D&gt;&lt;/FQL&gt;&lt;FQL&gt;&lt;Q&gt;FERG-US^P_BETA_LOCIDX(45134,44959,,"SPX")&lt;/Q&gt;&lt;R&gt;1&lt;/R&gt;&lt;C&gt;1&lt;/C&gt;&lt;D xsi:type="xsd:double"&gt;1.1459502&lt;/D&gt;&lt;/FQL&gt;&lt;FQL&gt;&lt;Q&gt;FERG-US^P_BETA_LOCIDX(45133,44958,,"SPX")&lt;/Q&gt;&lt;R&gt;1&lt;/R&gt;&lt;C&gt;1&lt;/C&gt;&lt;D xsi:type="xsd:double"&gt;1.1624763&lt;/D&gt;&lt;/FQL&gt;&lt;FQL&gt;&lt;Q&gt;FERG-US^P_BETA_LOCIDX(45132,44957,,"SPX")&lt;/Q&gt;&lt;R&gt;1&lt;/R&gt;&lt;C&gt;1&lt;/C&gt;&lt;D xsi:type="xsd:double"&gt;1.1669564&lt;/D&gt;&lt;/FQL&gt;&lt;FQL&gt;&lt;Q&gt;FERG-US^P_BETA_LOCIDX(45131,44956,,"SPX")&lt;/Q&gt;&lt;R&gt;1&lt;/R&gt;&lt;C&gt;1&lt;/C&gt;&lt;D xsi:type="xsd:double"&gt;1.150547&lt;/D&gt;&lt;/FQL&gt;&lt;FQL&gt;&lt;Q&gt;FERG-US^P_BETA_LOCIDX(45128,44953,,"SPX")&lt;/Q&gt;&lt;R&gt;1&lt;/R&gt;&lt;C&gt;1&lt;/C&gt;&lt;D xsi:type="xsd:double"&gt;1.1488062&lt;/D&gt;&lt;/FQL&gt;&lt;FQL&gt;&lt;Q&gt;FERG-US^P_BETA_LOCIDX(45127,44952,,"SPX")&lt;/Q&gt;&lt;R&gt;1&lt;/R&gt;&lt;C&gt;1&lt;/C&gt;&lt;D xsi:type="xsd:double"&gt;1.1476355&lt;/D&gt;&lt;/FQL&gt;&lt;FQL&gt;&lt;Q&gt;FERG-US^P_BETA_LOCIDX(45126,44951,,"SPX")&lt;/Q&gt;&lt;R&gt;1&lt;/R&gt;&lt;C&gt;1&lt;/C&gt;&lt;D xsi:type="xsd:double"&gt;1.1513275&lt;/D&gt;&lt;/FQL&gt;&lt;FQL&gt;&lt;Q&gt;FERG-US^P_BETA_LOCIDX(45125,44950,,"SPX")&lt;/Q&gt;&lt;R&gt;1&lt;/R&gt;&lt;C&gt;1&lt;/C&gt;&lt;D xsi:type="xsd:double"&gt;1.1525744&lt;/D&gt;&lt;/FQL&gt;&lt;FQL&gt;&lt;Q&gt;FERG-US^P_BETA_LOCIDX(45124,44949,,"SPX")&lt;/Q&gt;&lt;R&gt;1&lt;/R&gt;&lt;C&gt;1&lt;/C&gt;&lt;D xsi:type="xsd:double"&gt;1.1500733&lt;/D&gt;&lt;/FQL&gt;&lt;FQL&gt;&lt;Q&gt;FERG-US^P_BETA_LOCIDX(45121,44946,,"SPX")&lt;/Q&gt;&lt;R&gt;1&lt;/R&gt;&lt;C&gt;1&lt;/C&gt;&lt;D xsi:type="xsd:double"&gt;1.1514417&lt;/D&gt;&lt;/FQL&gt;&lt;FQL&gt;&lt;Q&gt;FERG-US^P_BETA_LOCIDX(45120,44945,,"SPX")&lt;/Q&gt;&lt;R&gt;1&lt;/R&gt;&lt;C&gt;1&lt;/C&gt;&lt;D xsi:type="xsd:double"&gt;1.1606933&lt;/D&gt;&lt;/FQL&gt;&lt;FQL&gt;&lt;Q&gt;FERG-US^P_BETA_LOCIDX(45119,44944,,"SPX")&lt;/Q&gt;&lt;R&gt;1&lt;/R&gt;&lt;C&gt;1&lt;/C&gt;&lt;D xsi:type="xsd:double"&gt;1.1362009&lt;/D&gt;&lt;/FQL&gt;&lt;FQL&gt;&lt;Q&gt;FERG-US^P_BETA_LOCIDX(45118,44943,,"SPX")&lt;/Q&gt;&lt;R&gt;1&lt;/R&gt;&lt;C&gt;1&lt;/C&gt;&lt;D xsi:type="xsd:double"&gt;1.1335962&lt;/D&gt;&lt;/FQL&gt;&lt;FQL&gt;&lt;Q&gt;FERG-US^P_BETA_LOCIDX(45117,44939,,"SPX")&lt;/Q&gt;&lt;R&gt;1&lt;/R&gt;&lt;C&gt;1&lt;/C&gt;&lt;D xsi:type="xsd:double"&gt;1.1249259&lt;/D&gt;&lt;/FQL&gt;&lt;FQL&gt;&lt;Q&gt;FERG-US^P_BETA_LOCIDX(45114,44938,,"SPX")&lt;/Q&gt;&lt;R&gt;1&lt;/R&gt;&lt;C&gt;1&lt;/C&gt;&lt;D xsi:type="xsd:double"&gt;1.1273093&lt;/D&gt;&lt;/FQL&gt;&lt;FQL&gt;&lt;Q&gt;FERG-US^P_BETA_LOCIDX(45113,44937,,"SPX")&lt;/Q&gt;&lt;R&gt;1&lt;/R&gt;&lt;C&gt;1&lt;/C&gt;&lt;D xsi:type="xsd:double"&gt;1.0956212&lt;/D&gt;&lt;/FQL&gt;&lt;FQL&gt;&lt;Q&gt;FERG-US^P_BETA_LOCIDX(45112,44936,,"SPX")&lt;/Q&gt;&lt;R&gt;1&lt;/R&gt;&lt;C&gt;1&lt;/C&gt;&lt;D xsi:type="xsd:double"&gt;1.0721864&lt;/D&gt;&lt;/FQL&gt;&lt;FQL&gt;&lt;Q&gt;FERG-US^P_BETA_LOCIDX(45110,44935,,"SPX")&lt;/Q&gt;&lt;R&gt;1&lt;/R&gt;&lt;C&gt;1&lt;/C&gt;&lt;D xsi:type="xsd:double"&gt;1.0725113&lt;/D&gt;&lt;/FQL&gt;&lt;FQL&gt;&lt;Q&gt;FERG-US^P_BETA_LOCIDX(45107,44932,,"SPX")&lt;/Q&gt;&lt;R&gt;1&lt;/R&gt;&lt;C&gt;1&lt;/C&gt;&lt;D xsi:type="xsd:double"&gt;1.1155796&lt;/D&gt;&lt;/FQL&gt;&lt;FQL&gt;&lt;Q&gt;FERG-US^P_BETA_LOCIDX(45106,44931,,"SPX")&lt;/Q&gt;&lt;R&gt;1&lt;/R&gt;&lt;C&gt;1&lt;/C&gt;&lt;D xsi:type="xsd:double"&gt;1.082835&lt;/D&gt;&lt;/FQL&gt;&lt;FQL&gt;&lt;Q&gt;FERG-US^P_BETA_LOCIDX(45105,44930,,"SPX")&lt;/Q&gt;&lt;R&gt;1&lt;/R&gt;&lt;C&gt;1&lt;/C&gt;&lt;D xsi:type="xsd:double"&gt;1.0914006&lt;/D&gt;&lt;/FQL&gt;&lt;FQL&gt;&lt;Q&gt;FERG-US^P_BETA_LOCIDX(45104,44929,,"SPX")&lt;/Q&gt;&lt;R&gt;1&lt;/R&gt;&lt;C&gt;1&lt;/C&gt;&lt;D xsi:type="xsd:double"&gt;1.082857&lt;/D&gt;&lt;/FQL&gt;&lt;FQL&gt;&lt;Q&gt;FERG-US^P_BETA_LOCIDX(45103,44925,,"SPX")&lt;/Q&gt;&lt;R&gt;1&lt;/R&gt;&lt;C&gt;1&lt;/C&gt;&lt;D xsi:type="xsd:double"&gt;1.0740937&lt;/D&gt;&lt;/FQL&gt;&lt;FQL&gt;&lt;Q&gt;FERG-US^P_BETA_LOCIDX(45100,44924,,"SPX")&lt;/Q&gt;&lt;R&gt;1&lt;/R&gt;&lt;C&gt;1&lt;/C&gt;&lt;D xsi:type="xsd:double"&gt;1.0820194&lt;/D&gt;&lt;/FQL&gt;&lt;FQL&gt;&lt;Q&gt;FERG-US^P_BETA_LOCIDX(45099,44923,,"SPX")&lt;/Q&gt;&lt;R&gt;1&lt;/R&gt;&lt;C&gt;1&lt;/C&gt;&lt;D xsi:type="xsd:double"&gt;1.0782558&lt;/D&gt;&lt;/FQL&gt;&lt;FQL&gt;&lt;Q&gt;FERG-US^P_BETA_LOCIDX(45098,44922,,"SPX")&lt;/Q&gt;&lt;R&gt;1&lt;/R&gt;&lt;C&gt;1&lt;/C&gt;&lt;D xsi:type="xsd:double"&gt;1.0707486&lt;/D&gt;&lt;/FQL&gt;&lt;FQL&gt;&lt;Q&gt;FERG-US^P_BETA_LOCIDX(45097,44918,,"SPX")&lt;/Q&gt;&lt;R&gt;1&lt;/R&gt;&lt;C&gt;1&lt;/C&gt;&lt;D xsi:type="xsd:double"&gt;1.0815322&lt;/D&gt;&lt;/FQL&gt;&lt;FQL&gt;&lt;Q&gt;FERG-US^P_BETA_LOCIDX(45093,44917,,"SPX")&lt;/Q&gt;&lt;R&gt;1&lt;/R&gt;&lt;C&gt;1&lt;/C&gt;&lt;D xsi:type="xsd:double"&gt;1.0729681&lt;/D&gt;&lt;/FQL&gt;&lt;FQL&gt;&lt;Q&gt;FERG-US^P_BETA_LOCIDX(45092,44916,,"SPX")&lt;/Q&gt;&lt;R&gt;1&lt;/R&gt;&lt;C&gt;1&lt;/C&gt;&lt;D xsi:type="xsd:double"&gt;1.0627131&lt;/D&gt;&lt;/FQL&gt;&lt;FQL&gt;&lt;Q&gt;FERG-US^P_BETA_LOCIDX(45091,44915,,"SPX")&lt;/Q&gt;&lt;R&gt;1&lt;/R&gt;&lt;C&gt;1&lt;/C&gt;&lt;D xsi:type="xsd:double"&gt;1.0638138&lt;/D&gt;&lt;/FQL&gt;&lt;FQL&gt;&lt;Q&gt;FERG-US^P_BETA_LOCIDX(45090,44914,,"SPX")&lt;/Q&gt;&lt;R&gt;1&lt;/R&gt;&lt;C&gt;1&lt;/C&gt;&lt;D xsi:type="xsd:double"&gt;1.0473027&lt;/D&gt;&lt;/FQL&gt;&lt;FQL&gt;&lt;Q&gt;FERG-US^P_BETA_LOCIDX(45089,44911,,"SPX")&lt;/Q&gt;&lt;R&gt;1&lt;/R&gt;&lt;C&gt;1&lt;/C&gt;&lt;D xsi:type="xsd:double"&gt;1.0509968&lt;/D&gt;&lt;/FQL&gt;&lt;FQL&gt;&lt;Q&gt;FERG-US^P_BETA_LOCIDX(45086,44910,,"SPX")&lt;/Q&gt;&lt;R&gt;1&lt;/R&gt;&lt;C&gt;1&lt;/C&gt;&lt;D xsi:type="xsd:double"&gt;1.0759841&lt;/D&gt;&lt;/FQL&gt;&lt;FQL&gt;&lt;Q&gt;FERG-US^P_BETA_LOCIDX(45085,44909,,"SPX")&lt;/Q&gt;&lt;R&gt;1&lt;/R&gt;&lt;C&gt;1&lt;/C&gt;&lt;D xsi:type="xsd:double"&gt;1.0688449&lt;/D&gt;&lt;/FQL&gt;&lt;FQL&gt;&lt;Q&gt;FERG-US^P_BETA_LOCIDX(45084,44908,,"SPX")&lt;/Q&gt;&lt;R&gt;1&lt;/R&gt;&lt;C&gt;1&lt;/C&gt;&lt;D xsi:type="xsd:double"&gt;1.0826408&lt;/D&gt;&lt;/FQL&gt;&lt;FQL&gt;&lt;Q&gt;FERG-US^P_BETA_LOCIDX(45083,44907,,"SPX")&lt;/Q&gt;&lt;R&gt;1&lt;/R&gt;&lt;C&gt;1&lt;/C&gt;&lt;D xsi:type="xsd:double"&gt;1.0785193&lt;/D&gt;&lt;/FQL&gt;&lt;FQL&gt;&lt;Q&gt;FERG-US^P_BETA_LOCIDX(45082,44904,,"SPX")&lt;/Q&gt;&lt;R&gt;1&lt;/R&gt;&lt;C&gt;1&lt;/C&gt;&lt;D xsi:type="xsd:double"&gt;1.0680275&lt;/D&gt;&lt;/FQL&gt;&lt;FQL&gt;&lt;Q&gt;FERG-US^P_BETA_LOCIDX(45079,44903,,"SPX")&lt;/Q&gt;&lt;R&gt;1&lt;/R&gt;&lt;C&gt;1&lt;/C&gt;&lt;D xsi:type="xsd:double"&gt;1.0740755&lt;/D&gt;&lt;/FQL&gt;&lt;FQL&gt;&lt;Q&gt;FERG-US^P_BETA_LOCIDX(45078,44902,,"SPX")&lt;/Q&gt;&lt;R&gt;1&lt;/R&gt;&lt;C&gt;1&lt;/C&gt;&lt;D xsi:type="xsd:double"&gt;1.0731213&lt;/D&gt;&lt;/FQL&gt;&lt;FQL&gt;&lt;Q&gt;FERG-US^P_BETA_LOCIDX(45077,44901,,"SPX")&lt;/Q&gt;&lt;R&gt;1&lt;/R&gt;&lt;C&gt;1&lt;/C&gt;&lt;D xsi:type="xsd:double"&gt;0.98962504&lt;/D&gt;&lt;/FQL&gt;&lt;FQL&gt;&lt;Q&gt;FERG-US^P_BETA_LOCIDX(45076,44900,,"SPX")&lt;/Q&gt;&lt;R&gt;1&lt;/R&gt;&lt;C&gt;1&lt;/C&gt;&lt;D xsi:type="xsd:double"&gt;0.9743936&lt;/D&gt;&lt;/FQL&gt;&lt;FQL&gt;&lt;Q&gt;FERG-US^P_BETA_LOCIDX(45072,44897,,"SPX")&lt;/Q&gt;&lt;R&gt;1&lt;/R&gt;&lt;C&gt;1&lt;/C&gt;&lt;D xsi:type="xsd:double"&gt;0.9760094&lt;/D&gt;&lt;/FQL&gt;&lt;FQL&gt;&lt;Q&gt;FERG-US^P_BETA_LOCIDX(45071,44896,,"SPX")&lt;/Q&gt;&lt;R&gt;1&lt;/R&gt;&lt;C&gt;1&lt;/C&gt;&lt;D xsi:type="xsd:double"&gt;0.9623307&lt;/D&gt;&lt;/FQL&gt;&lt;FQL&gt;&lt;Q&gt;FERG-US^P_BETA_LOCIDX(45070,44895,,"SPX")&lt;/Q&gt;&lt;R&gt;1&lt;/R&gt;&lt;C&gt;1&lt;/C&gt;&lt;D xsi:type="xsd:double"&gt;0.94779176&lt;/D&gt;&lt;/FQL&gt;&lt;FQL&gt;&lt;Q&gt;FERG-US^P_BETA_LOCIDX(45069,44894,,"SPX")&lt;/Q&gt;&lt;R&gt;1&lt;/R&gt;&lt;C&gt;1&lt;/C&gt;&lt;D xsi:type="xsd:double"&gt;0.9506018&lt;/D&gt;&lt;/FQL&gt;&lt;FQL&gt;&lt;Q&gt;FERG-US^P_BETA_LOCIDX(45068,44893,,"SPX")&lt;/Q&gt;&lt;R&gt;1&lt;/R&gt;&lt;C&gt;1&lt;/C&gt;&lt;D xsi:type="xsd:double"&gt;0.94337595&lt;/D&gt;&lt;/FQL&gt;&lt;FQL&gt;&lt;Q&gt;FERG-US^P_BETA_LOCIDX(45065,44890,,"SPX")&lt;/Q&gt;&lt;R&gt;1&lt;/R&gt;&lt;C&gt;1&lt;/C&gt;&lt;D xsi:type="xsd:double"&gt;0.94355917&lt;/D&gt;&lt;/FQL&gt;&lt;FQL&gt;&lt;Q&gt;FERG-US^P_BETA_LOCIDX(45064,44888,,"SPX")&lt;/Q&gt;&lt;R&gt;1&lt;/R&gt;&lt;C&gt;1&lt;/C&gt;&lt;D xsi:type="xsd:double"&gt;0.93828225&lt;/D&gt;&lt;/FQL&gt;&lt;FQL&gt;&lt;Q&gt;FERG-US^P_BETA_LOCIDX(45063,44887,,"SPX")&lt;/Q&gt;&lt;R&gt;1&lt;/R&gt;&lt;C&gt;1&lt;/C&gt;&lt;D xsi:type="xsd:double"&gt;0.9386711&lt;/D&gt;&lt;/FQL&gt;&lt;FQL&gt;&lt;Q&gt;FERG-US^P_BETA_LOCIDX(45062,44886,,"SPX")&lt;/Q&gt;&lt;R&gt;1&lt;/R&gt;&lt;C&gt;1&lt;/C&gt;&lt;D xsi:type="xsd:double"&gt;0.9388331&lt;/D&gt;&lt;/FQL&gt;&lt;FQL&gt;&lt;Q&gt;FERG-US^P_BETA_LOCIDX(45061,44883,,"SPX")&lt;/Q&gt;&lt;R&gt;1&lt;/R&gt;&lt;C&gt;1&lt;/C&gt;&lt;D xsi:type="xsd:double"&gt;0.9364324&lt;/D&gt;&lt;/FQL&gt;&lt;FQL&gt;&lt;Q&gt;FERG-US^P_BETA_LOCIDX(45058,44882,,"SPX")&lt;/Q&gt;&lt;R&gt;1&lt;/R&gt;&lt;C&gt;1&lt;/C&gt;&lt;D xsi:type="xsd:double"&gt;0.93552846&lt;/D&gt;&lt;/FQL&gt;&lt;FQL&gt;&lt;Q&gt;FERG-US^P_BETA_LOCIDX(45057,44881,,"SPX")&lt;/Q&gt;&lt;R&gt;1&lt;/R&gt;&lt;C&gt;1&lt;/C&gt;&lt;D xsi:type="xsd:double"&gt;0.9522572&lt;/D&gt;&lt;/FQL&gt;&lt;FQL&gt;&lt;Q&gt;FERG-US^P_BETA_LOCIDX(45056,44880,,"SPX")&lt;/Q&gt;&lt;R&gt;1&lt;/R&gt;&lt;C&gt;1&lt;/C&gt;&lt;D xsi:type="xsd:double"&gt;0.9439444&lt;/D&gt;&lt;/FQL&gt;&lt;FQL&gt;&lt;Q&gt;FERG-US^P_BETA_LOCIDX(45055,44879,,"SPX")&lt;/Q&gt;&lt;R&gt;1&lt;/R&gt;&lt;C&gt;1&lt;/C&gt;&lt;D xsi:type="xsd:double"&gt;0.9397949&lt;/D&gt;&lt;/FQL&gt;&lt;FQL&gt;&lt;Q&gt;FERG-US^P_BETA_LOCIDX(45054,44876,,"SPX")&lt;/Q&gt;&lt;R&gt;1&lt;/R&gt;&lt;C&gt;1&lt;/C&gt;&lt;D xsi:type="xsd:double"&gt;0.9305593&lt;/D&gt;&lt;/FQL&gt;&lt;FQL&gt;&lt;Q&gt;FERG-US^P_BETA_LOCIDX(45051,44875,,"SPX")&lt;/Q&gt;&lt;R&gt;1&lt;/R&gt;&lt;C&gt;1&lt;/C&gt;&lt;D xsi:type="xsd:double"&gt;1.1240242&lt;/D&gt;&lt;/FQL&gt;&lt;FQL&gt;&lt;Q&gt;FERG-US^P_BETA_LOCIDX(45050,44874,,"SPX")&lt;/Q&gt;&lt;R&gt;1&lt;/R&gt;&lt;C&gt;1&lt;/C&gt;&lt;D xsi:type="xsd:double"&gt;1.1138154&lt;/D&gt;&lt;/FQL&gt;&lt;FQL&gt;&lt;Q&gt;FERG-US^P_BETA_LOCIDX(45049,44873,,"SPX")&lt;/Q&gt;&lt;R&gt;1&lt;/R&gt;&lt;C&gt;1&lt;/C&gt;&lt;D xsi:type="xsd:double"&gt;1.1123537&lt;/D&gt;&lt;/FQL&gt;&lt;FQL&gt;&lt;Q&gt;FERG-US^P_BETA_LOCIDX(45048,44872,,"SPX")&lt;/Q&gt;&lt;R&gt;1&lt;/R&gt;&lt;C&gt;1&lt;/C&gt;&lt;D xsi:type="xsd:double"&gt;1.1162628&lt;/D&gt;&lt;/FQL&gt;&lt;FQL&gt;&lt;Q&gt;FERG-US^P_BETA_LOCIDX(45047,44869,,"SPX")&lt;/Q&gt;&lt;R&gt;1&lt;/R&gt;&lt;C&gt;1&lt;/C&gt;&lt;D xsi:type="xsd:double"&gt;1.1114935&lt;/D&gt;&lt;/FQL&gt;&lt;FQL&gt;&lt;Q&gt;FERG-US^P_BETA_LOCIDX(45044,44868,,"SPX")&lt;/Q&gt;&lt;R&gt;1&lt;/R&gt;&lt;C&gt;1&lt;/C&gt;&lt;D xsi:type="xsd:double"&gt;1.1112177&lt;/D&gt;&lt;/FQL&gt;&lt;FQL&gt;&lt;Q&gt;FERG-US^P_BETA_LOCIDX(45043,44867,,"SPX")&lt;/Q&gt;&lt;R&gt;1&lt;/R&gt;&lt;C&gt;1&lt;/C&gt;&lt;D xsi:type="xsd:double"&gt;1.0908663&lt;/D&gt;&lt;/FQL&gt;&lt;FQL&gt;&lt;Q&gt;FERG-US^P_BETA_LOCIDX(45042,44866,,"SPX")&lt;/Q&gt;&lt;R&gt;1&lt;/R&gt;&lt;C&gt;1&lt;/C&gt;&lt;D xsi:type="xsd:double"&gt;1.0764476&lt;/D&gt;&lt;/FQL&gt;&lt;FQL&gt;&lt;Q&gt;FERG-US^P_BETA_LOCIDX(45041,44865,,"SPX")&lt;/Q&gt;&lt;R&gt;1&lt;/R&gt;&lt;C&gt;1&lt;/C&gt;&lt;D xsi:type="xsd:double"&gt;1.0795151&lt;/D&gt;&lt;/FQL&gt;&lt;FQL&gt;&lt;Q&gt;FERG-US^P_BETA_LOCIDX(45040,44862,,"SPX")&lt;/Q&gt;&lt;R&gt;1&lt;/R&gt;&lt;C&gt;1&lt;/C&gt;&lt;D xsi:type="xsd:double"&gt;1.0576499&lt;</t>
        </r>
      </text>
    </comment>
    <comment ref="A28" authorId="0" shapeId="0" xr:uid="{71D15124-1B3E-4265-8A78-A22721FE83C2}">
      <text>
        <r>
          <rPr>
            <b/>
            <sz val="9"/>
            <color indexed="81"/>
            <rFont val="Tahoma"/>
            <charset val="1"/>
          </rPr>
          <t>/D&gt;&lt;/FQL&gt;&lt;FQL&gt;&lt;Q&gt;FERG-US^P_BETA_LOCIDX(45037,44861,,"SPX")&lt;/Q&gt;&lt;R&gt;1&lt;/R&gt;&lt;C&gt;1&lt;/C&gt;&lt;D xsi:type="xsd:double"&gt;1.0665101&lt;/D&gt;&lt;/FQL&gt;&lt;FQL&gt;&lt;Q&gt;FERG-US^P_BETA_LOCIDX(45036,44860,,"SPX")&lt;/Q&gt;&lt;R&gt;1&lt;/R&gt;&lt;C&gt;1&lt;/C&gt;&lt;D xsi:type="xsd:double"&gt;1.0493672&lt;/D&gt;&lt;/FQL&gt;&lt;FQL&gt;&lt;Q&gt;FERG-US^P_BETA_LOCIDX(45035,44859,,"SPX")&lt;/Q&gt;&lt;R&gt;1&lt;/R&gt;&lt;C&gt;1&lt;/C&gt;&lt;D xsi:type="xsd:double"&gt;1.0708885&lt;/D&gt;&lt;/FQL&gt;&lt;FQL&gt;&lt;Q&gt;FERG-US^P_BETA_LOCIDX(45034,44858,,"SPX")&lt;/Q&gt;&lt;R&gt;1&lt;/R&gt;&lt;C&gt;1&lt;/C&gt;&lt;D xsi:type="xsd:double"&gt;1.0767192&lt;/D&gt;&lt;/FQL&gt;&lt;FQL&gt;&lt;Q&gt;FERG-US^P_BETA_LOCIDX(45033,44855,,"SPX")&lt;/Q&gt;&lt;R&gt;1&lt;/R&gt;&lt;C&gt;1&lt;/C&gt;&lt;D xsi:type="xsd:double"&gt;1.0615743&lt;/D&gt;&lt;/FQL&gt;&lt;FQL&gt;&lt;Q&gt;FERG-US^P_BETA_LOCIDX(45030,44854,,"SPX")&lt;/Q&gt;&lt;R&gt;1&lt;/R&gt;&lt;C&gt;1&lt;/C&gt;&lt;D xsi:type="xsd:double"&gt;1.0633026&lt;/D&gt;&lt;/FQL&gt;&lt;FQL&gt;&lt;Q&gt;FERG-US^P_BETA_LOCIDX(45029,44853,,"SPX")&lt;/Q&gt;&lt;R&gt;1&lt;/R&gt;&lt;C&gt;1&lt;/C&gt;&lt;D xsi:type="xsd:double"&gt;1.0811485&lt;/D&gt;&lt;/FQL&gt;&lt;FQL&gt;&lt;Q&gt;FERG-US^P_BETA_LOCIDX(45028,44852,,"SPX")&lt;/Q&gt;&lt;R&gt;1&lt;/R&gt;&lt;C&gt;1&lt;/C&gt;&lt;D xsi:type="xsd:double"&gt;1.0823036&lt;/D&gt;&lt;/FQL&gt;&lt;FQL&gt;&lt;Q&gt;FERG-US^P_BETA_LOCIDX(45027,44851,,"SPX")&lt;/Q&gt;&lt;R&gt;1&lt;/R&gt;&lt;C&gt;1&lt;/C&gt;&lt;D xsi:type="xsd:double"&gt;1.0896093&lt;/D&gt;&lt;/FQL&gt;&lt;FQL&gt;&lt;Q&gt;FERG-US^P_BETA_LOCIDX(45026,44848,,"SPX")&lt;/Q&gt;&lt;R&gt;1&lt;/R&gt;&lt;C&gt;1&lt;/C&gt;&lt;D xsi:type="xsd:double"&gt;1.1018984&lt;/D&gt;&lt;/FQL&gt;&lt;FQL&gt;&lt;Q&gt;FERG-US^P_BETA_LOCIDX(45022,44847,,"SPX")&lt;/Q&gt;&lt;R&gt;1&lt;/R&gt;&lt;C&gt;1&lt;/C&gt;&lt;D xsi:type="xsd:double"&gt;1.087153&lt;/D&gt;&lt;/FQL&gt;&lt;FQL&gt;&lt;Q&gt;FERG-US^P_BETA_LOCIDX(45021,44846,,"SPX")&lt;/Q&gt;&lt;R&gt;1&lt;/R&gt;&lt;C&gt;1&lt;/C&gt;&lt;D xsi:type="xsd:double"&gt;1.091504&lt;/D&gt;&lt;/FQL&gt;&lt;FQL&gt;&lt;Q&gt;FERG-US^P_BETA_LOCIDX(45020,44845,,"SPX")&lt;/Q&gt;&lt;R&gt;1&lt;/R&gt;&lt;C&gt;1&lt;/C&gt;&lt;D xsi:type="xsd:double"&gt;1.0907081&lt;/D&gt;&lt;/FQL&gt;&lt;FQL&gt;&lt;Q&gt;FERG-US^P_BETA_LOCIDX(45019,44844,,"SPX")&lt;/Q&gt;&lt;R&gt;1&lt;/R&gt;&lt;C&gt;1&lt;/C&gt;&lt;D xsi:type="xsd:double"&gt;1.0724851&lt;/D&gt;&lt;/FQL&gt;&lt;FQL&gt;&lt;Q&gt;FERG-US^P_BETA_LOCIDX(45016,44841,,"SPX")&lt;/Q&gt;&lt;R&gt;1&lt;/R&gt;&lt;C&gt;1&lt;/C&gt;&lt;D xsi:type="xsd:double"&gt;1.0773191&lt;/D&gt;&lt;/FQL&gt;&lt;FQL&gt;&lt;Q&gt;FERG-US^P_BETA_LOCIDX(45015,44840,,"SPX")&lt;/Q&gt;&lt;R&gt;1&lt;/R&gt;&lt;C&gt;1&lt;/C&gt;&lt;D xsi:type="xsd:double"&gt;1.0759686&lt;/D&gt;&lt;/FQL&gt;&lt;FQL&gt;&lt;Q&gt;FERG-US^P_BETA_LOCIDX(45014,44839,,"SPX")&lt;/Q&gt;&lt;R&gt;1&lt;/R&gt;&lt;C&gt;1&lt;/C&gt;&lt;D xsi:type="xsd:double"&gt;1.0784191&lt;/D&gt;&lt;/FQL&gt;&lt;FQL&gt;&lt;Q&gt;FERG-US^P_BETA_LOCIDX(45013,44838,,"SPX")&lt;/Q&gt;&lt;R&gt;1&lt;/R&gt;&lt;C&gt;1&lt;/C&gt;&lt;D xsi:type="xsd:double"&gt;1.118016&lt;/D&gt;&lt;/FQL&gt;&lt;FQL&gt;&lt;Q&gt;FERG-US^P_BETA_LOCIDX(45012,44837,,"SPX")&lt;/Q&gt;&lt;R&gt;1&lt;/R&gt;&lt;C&gt;1&lt;/C&gt;&lt;D xsi:type="xsd:double"&gt;1.1422595&lt;/D&gt;&lt;/FQL&gt;&lt;FQL&gt;&lt;Q&gt;FERG-US^P_BETA_LOCIDX(45009,44834,,"SPX")&lt;/Q&gt;&lt;R&gt;1&lt;/R&gt;&lt;C&gt;1&lt;/C&gt;&lt;D xsi:type="xsd:double"&gt;1.1382492&lt;/D&gt;&lt;/FQL&gt;&lt;FQL&gt;&lt;Q&gt;FERG-US^P_BETA_LOCIDX(45008,44833,,"SPX")&lt;/Q&gt;&lt;R&gt;1&lt;/R&gt;&lt;C&gt;1&lt;/C&gt;&lt;D xsi:type="xsd:double"&gt;1.1465276&lt;/D&gt;&lt;/FQL&gt;&lt;FQL&gt;&lt;Q&gt;FERG-US^P_BETA_LOCIDX(45007,44832,,"SPX")&lt;/Q&gt;&lt;R&gt;1&lt;/R&gt;&lt;C&gt;1&lt;/C&gt;&lt;D xsi:type="xsd:double"&gt;1.1564904&lt;/D&gt;&lt;/FQL&gt;&lt;FQL&gt;&lt;Q&gt;FERG-US^P_BETA_LOCIDX(45006,44831,,"SPX")&lt;/Q&gt;&lt;R&gt;1&lt;/R&gt;&lt;C&gt;1&lt;/C&gt;&lt;D xsi:type="xsd:double"&gt;1.1572936&lt;/D&gt;&lt;/FQL&gt;&lt;FQL&gt;&lt;Q&gt;FERG-US^P_BETA_LOCIDX(45005,44830,,"SPX")&lt;/Q&gt;&lt;R&gt;1&lt;/R&gt;&lt;C&gt;1&lt;/C&gt;&lt;D xsi:type="xsd:double"&gt;1.1510088&lt;/D&gt;&lt;/FQL&gt;&lt;FQL&gt;&lt;Q&gt;FERG-US^P_BETA_LOCIDX(45002,44827,,"SPX")&lt;/Q&gt;&lt;R&gt;1&lt;/R&gt;&lt;C&gt;1&lt;/C&gt;&lt;D xsi:type="xsd:double"&gt;1.1377673&lt;/D&gt;&lt;/FQL&gt;&lt;FQL&gt;&lt;Q&gt;FERG-US^P_BETA_LOCIDX(45001,44826,,"SPX")&lt;/Q&gt;&lt;R&gt;1&lt;/R&gt;&lt;C&gt;1&lt;/C&gt;&lt;D xsi:type="xsd:double"&gt;1.1385044&lt;/D&gt;&lt;/FQL&gt;&lt;FQL&gt;&lt;Q&gt;FERG-US^P_BETA_LOCIDX(45000,44825,,"SPX")&lt;/Q&gt;&lt;R&gt;1&lt;/R&gt;&lt;C&gt;1&lt;/C&gt;&lt;D xsi:type="xsd:double"&gt;1.1468998&lt;/D&gt;&lt;/FQL&gt;&lt;FQL&gt;&lt;Q&gt;FERG-US^P_BETA_LOCIDX(44999,44824,,"SPX")&lt;/Q&gt;&lt;R&gt;1&lt;/R&gt;&lt;C&gt;1&lt;/C&gt;&lt;D xsi:type="xsd:double"&gt;1.1410798&lt;/D&gt;&lt;/FQL&gt;&lt;FQL&gt;&lt;Q&gt;FERG-US^P_BETA_LOCIDX(44998,44823,,"SPX")&lt;/Q&gt;&lt;R&gt;1&lt;/R&gt;&lt;C&gt;1&lt;/C&gt;&lt;D xsi:type="xsd:double"&gt;1.1567874&lt;/D&gt;&lt;/FQL&gt;&lt;FQL&gt;&lt;Q&gt;FERG-US^P_BETA_LOCIDX(44995,44820,,"SPX")&lt;/Q&gt;&lt;R&gt;1&lt;/R&gt;&lt;C&gt;1&lt;/C&gt;&lt;D xsi:type="xsd:double"&gt;1.1590896&lt;/D&gt;&lt;/FQL&gt;&lt;FQL&gt;&lt;Q&gt;FERG-US^P_BETA_LOCIDX(44994,44819,,"SPX")&lt;/Q&gt;&lt;R&gt;1&lt;/R&gt;&lt;C&gt;1&lt;/C&gt;&lt;D xsi:type="xsd:double"&gt;1.1628846&lt;/D&gt;&lt;/FQL&gt;&lt;FQL&gt;&lt;Q&gt;FERG-US^P_BETA_LOCIDX(44993,44818,,"SPX")&lt;/Q&gt;&lt;R&gt;1&lt;/R&gt;&lt;C&gt;1&lt;/C&gt;&lt;D xsi:type="xsd:double"&gt;1.1607352&lt;/D&gt;&lt;/FQL&gt;&lt;FQL&gt;&lt;Q&gt;FERG-US^P_BETA_LOCIDX(44992,44817,,"SPX")&lt;/Q&gt;&lt;R&gt;1&lt;/R&gt;&lt;C&gt;1&lt;/C&gt;&lt;D xsi:type="xsd:double"&gt;1.1266384&lt;/D&gt;&lt;/FQL&gt;&lt;FQL&gt;&lt;Q&gt;FERG-US^P_BETA_LOCIDX(44991,44816,,"SPX")&lt;/Q&gt;&lt;R&gt;1&lt;/R&gt;&lt;C&gt;1&lt;/C&gt;&lt;D xsi:type="xsd:double"&gt;1.1136824&lt;/D&gt;&lt;/FQL&gt;&lt;FQL&gt;&lt;Q&gt;FERG-US^P_BETA_LOCIDX(44988,44813,,"SPX")&lt;/Q&gt;&lt;R&gt;1&lt;/R&gt;&lt;C&gt;1&lt;/C&gt;&lt;D xsi:type="xsd:double"&gt;1.1167569&lt;/D&gt;&lt;/FQL&gt;&lt;FQL&gt;&lt;Q&gt;FERG-US^P_BETA_LOCIDX(44987,44812,,"SPX")&lt;/Q&gt;&lt;R&gt;1&lt;/R&gt;&lt;C&gt;1&lt;/C&gt;&lt;D xsi:type="xsd:double"&gt;1.126791&lt;/D&gt;&lt;/FQL&gt;&lt;FQL&gt;&lt;Q&gt;FERG-US^P_BETA_LOCIDX(44986,44811,,"SPX")&lt;/Q&gt;&lt;R&gt;1&lt;/R&gt;&lt;C&gt;1&lt;/C&gt;&lt;D xsi:type="xsd:double"&gt;1.1219269&lt;/D&gt;&lt;/FQL&gt;&lt;FQL&gt;&lt;Q&gt;FERG-US^P_BETA_LOCIDX(44985,44810,,"SPX")&lt;/Q&gt;&lt;R&gt;1&lt;/R&gt;&lt;C&gt;1&lt;/C&gt;&lt;D xsi:type="xsd:double"&gt;1.122428&lt;/D&gt;&lt;/FQL&gt;&lt;FQL&gt;&lt;Q&gt;FERG-US^P_BETA_LOCIDX(44984,44806,,"SPX")&lt;/Q&gt;&lt;R&gt;1&lt;/R&gt;&lt;C&gt;1&lt;/C&gt;&lt;D xsi:type="xsd:double"&gt;1.1246349&lt;/D&gt;&lt;/FQL&gt;&lt;FQL&gt;&lt;Q&gt;FERG-US^P_BETA_LOCIDX(44981,44805,,"SPX")&lt;/Q&gt;&lt;R&gt;1&lt;/R&gt;&lt;C&gt;1&lt;/C&gt;&lt;D xsi:type="xsd:double"&gt;1.1229837&lt;/D&gt;&lt;/FQL&gt;&lt;FQL&gt;&lt;Q&gt;FERG-US^P_BETA_LOCIDX(44980,44804,,"SPX")&lt;/Q&gt;&lt;R&gt;1&lt;/R&gt;&lt;C&gt;1&lt;/C&gt;&lt;D xsi:type="xsd:double"&gt;1.1238045&lt;/D&gt;&lt;/FQL&gt;&lt;FQL&gt;&lt;Q&gt;FERG-US^P_BETA_LOCIDX(44979,44803,,"SPX")&lt;/Q&gt;&lt;R&gt;1&lt;/R&gt;&lt;C&gt;1&lt;/C&gt;&lt;D xsi:type="xsd:double"&gt;1.1214051&lt;/D&gt;&lt;/FQL&gt;&lt;FQL&gt;&lt;Q&gt;FERG-US^P_BETA_LOCIDX(44978,44802,,"SPX")&lt;/Q&gt;&lt;R&gt;1&lt;/R&gt;&lt;C&gt;1&lt;/C&gt;&lt;D xsi:type="xsd:double"&gt;1.1185682&lt;/D&gt;&lt;/FQL&gt;&lt;FQL&gt;&lt;Q&gt;FERG-US^P_BETA_LOCIDX(44974,44799,,"SPX")&lt;/Q&gt;&lt;R&gt;1&lt;/R&gt;&lt;C&gt;1&lt;/C&gt;&lt;D xsi:type="xsd:double"&gt;1.1013821&lt;/D&gt;&lt;/FQL&gt;&lt;FQL&gt;&lt;Q&gt;FERG-US^P_BETA_LOCIDX(44973,44798,,"SPX")&lt;/Q&gt;&lt;R&gt;1&lt;/R&gt;&lt;C&gt;1&lt;/C&gt;&lt;D xsi:type="xsd:double"&gt;1.0965182&lt;/D&gt;&lt;/FQL&gt;&lt;FQL&gt;&lt;Q&gt;FERG-US^P_BETA_LOCIDX(44972,44797,,"SPX")&lt;/Q&gt;&lt;R&gt;1&lt;/R&gt;&lt;C&gt;1&lt;/C&gt;&lt;D xsi:type="xsd:double"&gt;1.0986606&lt;/D&gt;&lt;/FQL&gt;&lt;FQL&gt;&lt;Q&gt;FERG-US^P_BETA_LOCIDX(44971,44796,,"SPX")&lt;/Q&gt;&lt;R&gt;1&lt;/R&gt;&lt;C&gt;1&lt;/C&gt;&lt;D xsi:type="xsd:double"&gt;1.0994977&lt;/D&gt;&lt;/FQL&gt;&lt;FQL&gt;&lt;Q&gt;FERG-US^P_BETA_LOCIDX(44970,44795,,"SPX")&lt;/Q&gt;&lt;R&gt;1&lt;/R&gt;&lt;C&gt;1&lt;/C&gt;&lt;D xsi:type="xsd:double"&gt;1.0878665&lt;/D&gt;&lt;/FQL&gt;&lt;FQL&gt;&lt;Q&gt;FERG-US^P_BETA_LOCIDX(44967,44792,,"SPX")&lt;/Q&gt;&lt;R&gt;1&lt;/R&gt;&lt;C&gt;1&lt;/C&gt;&lt;D xsi:type="xsd:double"&gt;1.092745&lt;/D&gt;&lt;/FQL&gt;&lt;FQL&gt;&lt;Q&gt;FERG-US^P_BETA_LOCIDX(44966,44791,,"SPX")&lt;/Q&gt;&lt;R&gt;1&lt;/R&gt;&lt;C&gt;1&lt;/C&gt;&lt;D xsi:type="xsd:double"&gt;1.0922946&lt;/D&gt;&lt;/FQL&gt;&lt;FQL&gt;&lt;Q&gt;FERG-US^P_BETA_LOCIDX(44965,44790,,"SPX")&lt;/Q&gt;&lt;R&gt;1&lt;/R&gt;&lt;C&gt;1&lt;/C&gt;&lt;D xsi:type="xsd:double"&gt;1.0935072&lt;/D&gt;&lt;/FQL&gt;&lt;FQL&gt;&lt;Q&gt;FERG-US^P_BETA_LOCIDX(44964,44789,,"SPX")&lt;/Q&gt;&lt;R&gt;1&lt;/R&gt;&lt;C&gt;1&lt;/C&gt;&lt;D xsi:type="xsd:double"&gt;1.0946599&lt;/D&gt;&lt;/FQL&gt;&lt;FQL&gt;&lt;Q&gt;FERG-US^P_BETA_LOCIDX(44963,44788,,"SPX")&lt;/Q&gt;&lt;R&gt;1&lt;/R&gt;&lt;C&gt;1&lt;/C&gt;&lt;D xsi:type="xsd:double"&gt;1.0963657&lt;/D&gt;&lt;/FQL&gt;&lt;FQL&gt;&lt;Q&gt;FERG-US^P_BETA_LOCIDX(44960,44785,,"SPX")&lt;/Q&gt;&lt;R&gt;1&lt;/R&gt;&lt;C&gt;1&lt;/C&gt;&lt;D xsi:type="xsd:double"&gt;1.0779804&lt;/D&gt;&lt;/FQL&gt;&lt;FQL&gt;&lt;Q&gt;FERG-US^P_BETA_LOCIDX(44959,44784,,"SPX")&lt;/Q&gt;&lt;R&gt;1&lt;/R&gt;&lt;C&gt;1&lt;/C&gt;&lt;D xsi:type="xsd:double"&gt;1.0789624&lt;/D&gt;&lt;/FQL&gt;&lt;FQL&gt;&lt;Q&gt;FERG-US^P_BETA_LOCIDX(44958,44783,,"SPX")&lt;/Q&gt;&lt;R&gt;1&lt;/R&gt;&lt;C&gt;1&lt;/C&gt;&lt;D xsi:type="xsd:double"&gt;1.0930712&lt;/D&gt;&lt;/FQL&gt;&lt;FQL&gt;&lt;Q&gt;FERG-US^P_BETA_LOCIDX(44957,44782,,"SPX")&lt;/Q&gt;&lt;R&gt;1&lt;/R&gt;&lt;C&gt;1&lt;/C&gt;&lt;D xsi:type="xsd:double"&gt;1.0962304&lt;/D&gt;&lt;/FQL&gt;&lt;FQL&gt;&lt;Q&gt;FERG-US^P_BETA_LOCIDX(44956,44781,,"SPX")&lt;/Q&gt;&lt;R&gt;1&lt;/R&gt;&lt;C&gt;1&lt;/C&gt;&lt;D xsi:type="xsd:double"&gt;1.0951267&lt;/D&gt;&lt;/FQL&gt;&lt;FQL&gt;&lt;Q&gt;FERG-US^P_BETA_LOCIDX(44953,44778,,"SPX")&lt;/Q&gt;&lt;R&gt;1&lt;/R&gt;&lt;C&gt;1&lt;/C&gt;&lt;D xsi:type="xsd:double"&gt;1.0992725&lt;/D&gt;&lt;/FQL&gt;&lt;FQL&gt;&lt;Q&gt;FERG-US^P_BETA_LOCIDX(44952,44777,,"SPX")&lt;/Q&gt;&lt;R&gt;1&lt;/R&gt;&lt;C&gt;1&lt;/C&gt;&lt;D xsi:type="xsd:double"&gt;1.0985955&lt;/D&gt;&lt;/FQL&gt;&lt;FQL&gt;&lt;Q&gt;FERG-US^P_BETA_LOCIDX(44951,44776,,"SPX")&lt;/Q&gt;&lt;R&gt;1&lt;/R&gt;&lt;C&gt;1&lt;/C&gt;&lt;D xsi:type="xsd:double"&gt;1.0851308&lt;/D&gt;&lt;/FQL&gt;&lt;FQL&gt;&lt;Q&gt;FERG-US^P_BETA_LOCIDX(44950,44775,,"SPX")&lt;/Q&gt;&lt;R&gt;1&lt;/R&gt;&lt;C&gt;1&lt;/C&gt;&lt;D xsi:type="xsd:double"&gt;1.0867087&lt;/D&gt;&lt;/FQL&gt;&lt;FQL&gt;&lt;Q&gt;FERG-US^P_BETA_LOCIDX(44949,44774,,"SPX")&lt;/Q&gt;&lt;R&gt;1&lt;/R&gt;&lt;C&gt;1&lt;/C&gt;&lt;D xsi:type="xsd:double"&gt;1.0872786&lt;/D&gt;&lt;/FQL&gt;&lt;FQL&gt;&lt;Q&gt;FERG-US^P_BETA_LOCIDX(44946,44771,,"SPX")&lt;/Q&gt;&lt;R&gt;1&lt;/R&gt;&lt;C&gt;1&lt;/C&gt;&lt;D xsi:type="xsd:double"&gt;1.1084344&lt;/D&gt;&lt;/FQL&gt;&lt;FQL&gt;&lt;Q&gt;FERG-US^P_BETA_LOCIDX(44945,44770,,"SPX")&lt;/Q&gt;&lt;R&gt;1&lt;/R&gt;&lt;C&gt;1&lt;/C&gt;&lt;D xsi:type="xsd:double"&gt;1.1112381&lt;/D&gt;&lt;/FQL&gt;&lt;FQL&gt;&lt;Q&gt;FERG-US^P_BETA_LOCIDX(44944,44769,,"SPX")&lt;/Q&gt;&lt;R&gt;1&lt;/R&gt;&lt;C&gt;1&lt;/C&gt;&lt;D xsi:type="xsd:double"&gt;1.1015605&lt;/D&gt;&lt;/FQL&gt;&lt;FQL&gt;&lt;Q&gt;FERG-US^P_BETA_LOCIDX(44943,44768,,"SPX")&lt;/Q&gt;&lt;R&gt;1&lt;/R&gt;&lt;C&gt;1&lt;/C&gt;&lt;D xsi:type="xsd:double"&gt;1.119456&lt;/D&gt;&lt;/FQL&gt;&lt;FQL&gt;&lt;Q&gt;FERG-US^P_BETA_LOCIDX(44939,44767,,"SPX")&lt;/Q&gt;&lt;R&gt;1&lt;/R&gt;&lt;C&gt;1&lt;/C&gt;&lt;D xsi:type="xsd:double"&gt;1.1191937&lt;/D&gt;&lt;/FQL&gt;&lt;FQL&gt;&lt;Q&gt;FERG-US^P_BETA_LOCIDX(44938,44764,,"SPX")&lt;/Q&gt;&lt;R&gt;1&lt;/R&gt;&lt;C&gt;1&lt;/C&gt;&lt;D xsi:type="xsd:double"&gt;1.1131722&lt;/D&gt;&lt;/FQL&gt;&lt;FQL&gt;&lt;Q&gt;FERG-US^P_BETA_LOCIDX(44937,44763,,"SPX")&lt;/Q&gt;&lt;R&gt;1&lt;/R&gt;&lt;C&gt;1&lt;/C&gt;&lt;D xsi:type="xsd:double"&gt;1.1132525&lt;/D&gt;&lt;/FQL&gt;&lt;FQL&gt;&lt;Q&gt;FERG-US^P_BETA_LOCIDX(44936,44762,,"SPX")&lt;/Q&gt;&lt;R&gt;1&lt;/R&gt;&lt;C&gt;1&lt;/C&gt;&lt;D xsi:type="xsd:double"&gt;1.1294825&lt;/D&gt;&lt;/FQL&gt;&lt;FQL&gt;&lt;Q&gt;FERG-US^P_BETA_LOCIDX(44935,44761,,"SPX")&lt;/Q&gt;&lt;R&gt;1&lt;/R&gt;&lt;C&gt;1&lt;/C&gt;&lt;D xsi:type="xsd:double"&gt;1.1220763&lt;/D&gt;&lt;/FQL&gt;&lt;FQL&gt;&lt;Q&gt;FERG-US^P_BETA_LOCIDX(44932,44760,,"SPX")&lt;/Q&gt;&lt;R&gt;1&lt;/R&gt;&lt;C&gt;1&lt;/C&gt;&lt;D xsi:type="xsd:double"&gt;1.1213279&lt;/D&gt;&lt;/FQL&gt;&lt;FQL&gt;&lt;Q&gt;FERG-US^P_BETA_LOCIDX(44931,44757,,"SPX")&lt;/Q&gt;&lt;R&gt;1&lt;/R&gt;&lt;C&gt;1&lt;/C&gt;&lt;D xsi:type="xsd:double"&gt;1.1135576&lt;/D&gt;&lt;/FQL&gt;&lt;FQL&gt;&lt;Q&gt;FERG-US^P_BETA_LOCIDX(44930,44756,,"SPX")&lt;/Q&gt;&lt;R&gt;1&lt;/R&gt;&lt;C&gt;1&lt;/C&gt;&lt;D xsi:type="xsd:double"&gt;1.1246586&lt;/D&gt;&lt;/FQL&gt;&lt;FQL&gt;&lt;Q&gt;FERG-US^P_BETA_LOCIDX(44929,44755,,"SPX")&lt;/Q&gt;&lt;R&gt;1&lt;/R&gt;&lt;C&gt;1&lt;/C&gt;&lt;D xsi:type="xsd:double"&gt;1.121247&lt;/D&gt;&lt;/FQL&gt;&lt;FQL&gt;&lt;Q&gt;FERG-US^P_BETA_LOCIDX(44925,44754,,"SPX")&lt;/Q&gt;&lt;R&gt;1&lt;/R&gt;&lt;C&gt;1&lt;/C&gt;&lt;D xsi:type="xsd:double"&gt;1.1228211&lt;/D&gt;&lt;/FQL&gt;&lt;FQL&gt;&lt;Q&gt;FERG-US^P_BETA_LOCIDX(44924,44753,,"SPX")&lt;/Q&gt;&lt;R&gt;1&lt;/R&gt;&lt;C&gt;1&lt;/C&gt;&lt;D xsi:type="xsd:double"&gt;1.1199889&lt;/D&gt;&lt;/FQL&gt;&lt;FQL&gt;&lt;Q&gt;FERG-US^P_BETA_LOCIDX(44923,44750,,"SPX")&lt;/Q&gt;&lt;R&gt;1&lt;/R&gt;&lt;C&gt;1&lt;/C&gt;&lt;D xsi:type="xsd:double"&gt;1.1192579&lt;/D&gt;&lt;/FQL&gt;&lt;FQL&gt;&lt;Q&gt;FERG-US^P_BETA_LOCIDX(44922,44749,,"SPX")&lt;/Q&gt;&lt;R&gt;1&lt;/R&gt;&lt;C&gt;1&lt;/C&gt;&lt;D xsi:type="xsd:double"&gt;1.1223024&lt;/D&gt;&lt;/FQL&gt;&lt;FQL&gt;&lt;Q&gt;FERG-US^P_BETA_LOCIDX(44918,44748,,"SPX")&lt;/Q&gt;&lt;R&gt;1&lt;/R&gt;&lt;C&gt;1&lt;/C&gt;&lt;D xsi:type="xsd:double"&gt;1.1259702&lt;/D&gt;&lt;/FQL&gt;&lt;FQL&gt;&lt;Q&gt;FERG-US^P_BETA_LOCIDX(44917,44747,,"SPX")&lt;/Q&gt;&lt;R&gt;1&lt;/R&gt;&lt;C&gt;1&lt;/C&gt;&lt;D xsi:type="xsd:double"&gt;1.1265558&lt;/D&gt;&lt;/FQL&gt;&lt;FQL&gt;&lt;Q&gt;FERG-US^P_BETA_LOCIDX(44916,44743,,"SPX")&lt;/Q&gt;&lt;R&gt;1&lt;/R&gt;&lt;C&gt;1&lt;/C&gt;&lt;D xsi:type="xsd:double"&gt;1.1214123&lt;/D&gt;&lt;/FQL&gt;&lt;FQL&gt;&lt;Q&gt;FERG-US^P_BETA_LOCIDX(44915,44742,,"SPX")&lt;/Q&gt;&lt;R&gt;1&lt;/R&gt;&lt;C&gt;1&lt;/C&gt;&lt;D xsi:type="xsd:double"&gt;1.1329632&lt;/D&gt;&lt;/FQL&gt;&lt;FQL&gt;&lt;Q&gt;FERG-US^P_BETA_LOCIDX(44914,44741,,"SPX")&lt;/Q&gt;&lt;R&gt;1&lt;/R&gt;&lt;C&gt;1&lt;/C&gt;&lt;D xsi:type="xsd:double"&gt;1.1328496&lt;/D&gt;&lt;/FQL&gt;&lt;FQL&gt;&lt;Q&gt;FERG-US^P_BETA_LOCIDX(44911,44740,,"SPX")&lt;/Q&gt;&lt;R&gt;1&lt;/R&gt;&lt;C&gt;1&lt;/C&gt;&lt;D xsi:type="xsd:double"&gt;1.1350883&lt;/D&gt;&lt;/FQL&gt;&lt;FQL&gt;&lt;Q&gt;FERG-US^P_BETA_LOCIDX(44910,44739,,"SPX")&lt;/Q&gt;&lt;R&gt;1&lt;/R&gt;&lt;C&gt;1&lt;/C&gt;&lt;D xsi:type="xsd:double"&gt;1.1308439&lt;/D&gt;&lt;/FQL&gt;&lt;FQL&gt;&lt;Q&gt;FERG-US^P_BETA_LOCIDX(44909,44736,,"SPX")&lt;/Q&gt;&lt;R&gt;1&lt;/R&gt;&lt;C&gt;1&lt;/C&gt;&lt;D xsi:type="xsd:double"&gt;1.1550297&lt;/D&gt;&lt;/FQL&gt;&lt;FQL&gt;&lt;Q&gt;FERG-US^P_BETA_LOCIDX(44908,44735,,"SPX")&lt;/Q&gt;&lt;R&gt;1&lt;/R&gt;&lt;C&gt;1&lt;/C&gt;&lt;D xsi:type="xsd:double"&gt;1.1491256&lt;/D&gt;&lt;/FQL&gt;&lt;FQL&gt;&lt;Q&gt;FERG-US^P_BETA_LOCIDX(44907,44734,,"SPX")&lt;/Q&gt;&lt;R&gt;1&lt;/R&gt;&lt;C&gt;1&lt;/C&gt;&lt;D xsi:type="xsd:double"&gt;1.14925&lt;/D&gt;&lt;/FQL&gt;&lt;FQL&gt;&lt;Q&gt;FERG-US^P_BETA_LOCIDX(44904,44733,,"SPX")&lt;/Q&gt;&lt;R&gt;1&lt;/R&gt;&lt;C&gt;1&lt;/C&gt;&lt;D xsi:type="xsd:double"&gt;1.136127&lt;/D&gt;&lt;/FQL&gt;&lt;FQL&gt;&lt;Q&gt;FERG-US^P_BETA_LOCIDX(44903,44729,,"SPX")&lt;/Q&gt;&lt;R&gt;1&lt;/R&gt;&lt;C&gt;1&lt;/C&gt;&lt;D xsi:type="xsd:double"&gt;1.1425986&lt;/D&gt;&lt;/FQL&gt;&lt;FQL&gt;&lt;Q&gt;FERG-US^P_BETA_LOCIDX(44902,44728,,"SPX")&lt;/Q&gt;&lt;R&gt;1&lt;/R&gt;&lt;C&gt;1&lt;/C&gt;&lt;D xsi:type="xsd:double"&gt;1.1476984&lt;/D&gt;&lt;/FQL&gt;&lt;FQL&gt;&lt;Q&gt;FERG-US^P_BETA_LOCIDX(44901,44727,,"SPX")&lt;/Q&gt;&lt;R&gt;1&lt;/R&gt;&lt;C&gt;1&lt;/C&gt;&lt;D xsi:type="xsd:double"&gt;1.1414074&lt;/D&gt;&lt;/FQL&gt;&lt;FQL&gt;&lt;Q&gt;FERG-US^P_BETA_LOCIDX(44900,44726,,"SPX")&lt;/Q&gt;&lt;R&gt;1&lt;/R&gt;&lt;C&gt;1&lt;/C&gt;&lt;D xsi:type="xsd:double"&gt;1.1760242&lt;/D&gt;&lt;/FQL&gt;&lt;FQL&gt;&lt;Q&gt;FERG-US^P_BETA_LOCIDX(44897,44725,,"SPX")&lt;/Q&gt;&lt;R&gt;1&lt;/R&gt;&lt;C&gt;1&lt;/C&gt;&lt;D xsi:type="xsd:double"&gt;1.1743954&lt;/D&gt;&lt;/FQL&gt;&lt;FQL&gt;&lt;Q&gt;FERG-US^P_BETA_LOCIDX(44896,44722,,"SPX")&lt;/Q&gt;&lt;R&gt;1&lt;/R&gt;&lt;C&gt;1&lt;/C&gt;&lt;D xsi:type="xsd:double"&gt;1.1756263&lt;/D&gt;&lt;/FQL&gt;&lt;FQL&gt;&lt;Q&gt;FERG-US^P_BETA_LOCIDX(44895,44721,,"SPX")&lt;/Q&gt;&lt;R&gt;1&lt;/R&gt;&lt;C&gt;1&lt;/C&gt;&lt;D xsi:type="xsd:double"&gt;1.1725899&lt;/D&gt;&lt;/FQL&gt;&lt;FQL&gt;&lt;Q&gt;FERG-US^P_BETA_LOCIDX(44894,44720,,"SPX")&lt;/Q&gt;&lt;R&gt;1&lt;/R&gt;&lt;C&gt;1&lt;/C&gt;&lt;D xsi:type="xsd:double"&gt;1.1846664&lt;/D&gt;&lt;/FQL&gt;&lt;FQL&gt;&lt;Q&gt;FERG-US^P_BETA_LOCIDX(44893,44719,,"SPX")&lt;/Q&gt;&lt;R&gt;1&lt;/R&gt;&lt;C&gt;1&lt;/C&gt;&lt;D xsi:type="xsd:double"&gt;1.1804744&lt;/D&gt;&lt;/FQL&gt;&lt;FQL&gt;&lt;Q&gt;FERG-US^P_BETA_LOCIDX(44890,44718,,"SPX")&lt;/Q&gt;&lt;R&gt;1&lt;/R&gt;&lt;C&gt;1&lt;/C&gt;&lt;D xsi:type="xsd:double"&gt;1.1750225&lt;/D&gt;&lt;/FQL&gt;&lt;FQL&gt;&lt;Q&gt;FERG-US^P_BETA_LOCIDX(44888,44715,,"SPX")&lt;/Q&gt;&lt;R&gt;1&lt;/R&gt;&lt;C&gt;1&lt;/C&gt;&lt;D xsi:type="xsd:double"&gt;1.1747324&lt;/D&gt;&lt;/FQL&gt;&lt;FQL&gt;&lt;Q&gt;FERG-US^P_BETA_LOCIDX(44887,44714,,"SPX")&lt;/Q&gt;&lt;R&gt;1&lt;/R&gt;&lt;C&gt;1&lt;/C&gt;&lt;D xsi:type="xsd:double"&gt;1.1804079&lt;/D&gt;&lt;/FQL&gt;&lt;FQL&gt;&lt;Q&gt;FERG-US^P_BETA_LOCIDX(44886,44713,,"SPX")&lt;/Q&gt;&lt;R&gt;1&lt;/R&gt;&lt;C&gt;1&lt;/C&gt;&lt;D xsi:type="xsd:double"&gt;1.1784594&lt;/D&gt;&lt;/FQL&gt;&lt;FQL&gt;&lt;Q&gt;FERG-US^P_BETA_LOCIDX(44883,44712,,"SPX")&lt;/Q&gt;&lt;R&gt;1&lt;/R&gt;&lt;C&gt;1&lt;/C&gt;&lt;D xsi:type="xsd:double"&gt;1.1810018&lt;/D&gt;&lt;/FQL&gt;&lt;FQL&gt;&lt;Q&gt;FERG-US^P_BETA_LOCIDX(44882,44708,,"SPX")&lt;/Q&gt;&lt;R&gt;1&lt;/R&gt;&lt;C&gt;1&lt;/C&gt;&lt;D xsi:type="xsd:double"&gt;1.1675905&lt;/D&gt;&lt;/FQL&gt;&lt;FQL&gt;&lt;Q&gt;FERG-US^P_BETA_LOCIDX(44881,44707,,"SPX")&lt;/Q&gt;&lt;R&gt;1&lt;/R&gt;&lt;C&gt;1&lt;/C&gt;&lt;D xsi:type="xsd:double"&gt;1.1570116&lt;/D&gt;&lt;/FQL&gt;&lt;FQL&gt;&lt;Q&gt;FERG-US^P_BETA_LOCIDX(44880,44706,,"SPX")&lt;/Q&gt;&lt;R&gt;1&lt;/R&gt;&lt;C&gt;1&lt;/C&gt;&lt;D xsi:type="xsd:double"&gt;1.151165&lt;/D&gt;&lt;/FQL&gt;&lt;FQL&gt;&lt;Q&gt;FERG-US^P_BETA_LOCIDX(44879,44705,,"SPX")&lt;/Q&gt;&lt;R&gt;1&lt;/R&gt;&lt;C&gt;1&lt;/C&gt;&lt;D xsi:type="xsd:double"&gt;1.1558129&lt;/D&gt;&lt;/FQL&gt;&lt;FQL&gt;&lt;Q&gt;FERG-US^P_BETA_LOCIDX(44876,44704,,"SPX")&lt;/Q&gt;&lt;R&gt;1&lt;/R&gt;&lt;C&gt;1&lt;/C&gt;&lt;D xsi:type="xsd:double"&gt;1.1470755&lt;/D&gt;&lt;/FQL&gt;&lt;FQL&gt;&lt;Q&gt;FERG-US^P_BETA_LOCIDX(44875,44701,,"SPX")&lt;/Q&gt;&lt;R&gt;1&lt;/R&gt;&lt;C&gt;1&lt;/C&gt;&lt;D xsi:type="xsd:double"&gt;1.1558175&lt;/D&gt;&lt;/FQL&gt;&lt;FQL&gt;&lt;Q&gt;FERG-US^P_BETA_LOCIDX(44874,44700,,"SPX")&lt;/Q&gt;&lt;R&gt;1&lt;/R&gt;&lt;C&gt;1&lt;/C&gt;&lt;D xsi:type="xsd:double"&gt;1.0640918&lt;/D&gt;&lt;/FQL&gt;&lt;FQL&gt;&lt;Q&gt;FERG-US^P_BETA_LOCIDX(44873,44699,,"SPX")&lt;/Q&gt;&lt;R&gt;1&lt;/R&gt;&lt;C&gt;1&lt;/C&gt;&lt;D xsi:type="xsd:double"&gt;1.0902588&lt;/D&gt;&lt;/FQL&gt;&lt;FQL&gt;&lt;Q&gt;FERG-US^P_BETA_LOCIDX(44872,44698,,"SPX")&lt;/Q&gt;&lt;R&gt;1&lt;/R&gt;&lt;C&gt;1&lt;/C&gt;&lt;D xsi:type="xsd:double"&gt;1.0932876&lt;/D&gt;&lt;/FQL&gt;&lt;FQL&gt;&lt;Q&gt;FERG-US^P_BETA_LOCIDX(44869,44697,,"SPX")&lt;/Q&gt;&lt;R&gt;1&lt;/R&gt;&lt;C&gt;1&lt;/C&gt;&lt;D xsi:type="xsd:double"&gt;1.0961039&lt;/D&gt;&lt;/FQL&gt;&lt;FQL&gt;&lt;Q&gt;FERG-US^P_BETA_LOCIDX(44868,44694,,"SPX")&lt;/Q&gt;&lt;R&gt;1&lt;/R&gt;&lt;C&gt;1&lt;/C&gt;&lt;D xsi:type="xsd:double"&gt;1.0798438&lt;/D&gt;&lt;/FQL&gt;&lt;FQL&gt;&lt;Q&gt;FERG-US^P_BETA_LOCIDX(44867,44693,,"SPX")&lt;/Q&gt;&lt;R&gt;1&lt;/R&gt;&lt;C&gt;1&lt;/C&gt;&lt;D xsi:type="xsd:double"&gt;1.0790884&lt;/D&gt;&lt;/FQL&gt;&lt;FQL&gt;&lt;Q&gt;FERG-US^P_BETA_LOCIDX(44866,44692,,"SPX")&lt;/Q&gt;&lt;R&gt;1&lt;/R&gt;&lt;C&gt;1&lt;/C&gt;&lt;D xsi:type="xsd:double"&gt;1.0803561&lt;/D&gt;&lt;/FQL&gt;&lt;FQL&gt;&lt;Q&gt;FERG-US^P_BETA_LOCIDX(44865,44691,,"SPX")&lt;/Q&gt;&lt;R&gt;1&lt;/R&gt;&lt;C&gt;1&lt;/C&gt;&lt;D xsi:type="xsd:double"&gt;1.083665&lt;/D&gt;&lt;/FQL&gt;&lt;FQL&gt;&lt;Q&gt;FERG-US^P_BETA_LOCIDX(44862,44690,,"SPX")&lt;/Q&gt;&lt;R&gt;1&lt;/R&gt;&lt;C&gt;1&lt;/C&gt;&lt;D xsi:type="xsd:double"&gt;1.0685045&lt;/D&gt;&lt;/FQL&gt;&lt;FQL&gt;&lt;Q&gt;FERG-US^P_BETA_LOCIDX(44861,44687,,"SPX")&lt;/Q&gt;&lt;R&gt;1&lt;/R&gt;&lt;C&gt;1&lt;/C&gt;&lt;D xsi:type="xsd:double"&gt;1.0837567&lt;/D&gt;&lt;/FQL&gt;&lt;FQL&gt;&lt;Q&gt;FERG-US^P_BETA_LOCIDX(44860,44686,,"SPX")&lt;/Q&gt;&lt;R&gt;1&lt;/R&gt;&lt;C&gt;1&lt;/C&gt;&lt;D xsi:type="xsd:double"&gt;1.088013&lt;/D&gt;&lt;/FQL&gt;&lt;FQL&gt;&lt;Q&gt;FERG-US^P_BETA_LOCIDX(44859,44685,,"SPX")&lt;/Q&gt;&lt;R&gt;1&lt;/R&gt;&lt;C&gt;1&lt;/C&gt;&lt;D xsi:type="xsd:double"&gt;1.0826474&lt;/D&gt;&lt;/FQL&gt;&lt;FQL&gt;&lt;Q&gt;FERG-US^P_BETA_LOCIDX(44858,44684,,"SPX")&lt;/Q&gt;&lt;R&gt;1&lt;/R&gt;&lt;C&gt;1&lt;/C&gt;&lt;D xsi:type="xsd:double"&gt;1.0737888&lt;/D&gt;&lt;/FQL&gt;&lt;FQL&gt;&lt;Q&gt;FERG-US^P_BETA_LOCIDX(44855,44683,,"SPX")&lt;/Q&gt;&lt;R&gt;1&lt;/R&gt;&lt;C&gt;1&lt;/C&gt;&lt;D xsi:type="xsd:double"&gt;1.0682855&lt;/D&gt;&lt;/FQL&gt;&lt;FQL&gt;&lt;Q&gt;FERG-US^P_BETA_LOCIDX(44854,44680,,"SPX")&lt;/Q&gt;&lt;R&gt;1&lt;/R&gt;&lt;C&gt;1&lt;/C&gt;&lt;D xsi:type="xsd:double"&gt;1.0579714&lt;/D&gt;&lt;/FQL&gt;&lt;FQL&gt;&lt;Q&gt;FERG-US^P_BETA_LOCIDX(44853,44679,,"SPX")&lt;/Q&gt;&lt;R&gt;1&lt;/R&gt;&lt;C&gt;1&lt;/C&gt;&lt;D xsi:type="xsd:double"&gt;1.0467861&lt;/D&gt;&lt;/FQL&gt;&lt;FQL&gt;&lt;Q&gt;FERG-US^P_BETA_LOCIDX(44852,44678,,"SPX")&lt;/Q&gt;&lt;R&gt;1&lt;/R&gt;&lt;C&gt;1&lt;/C&gt;&lt;D xsi:type="xsd:double"&gt;1.039818&lt;/D&gt;&lt;/FQL&gt;&lt;FQL&gt;&lt;Q&gt;FERG-US^P_BETA_LOCIDX(44851,44677,,"SPX")&lt;/Q&gt;&lt;R&gt;1&lt;/R&gt;&lt;C&gt;1&lt;/C&gt;&lt;D xsi:type="xsd:double"&gt;1.0509015&lt;/D&gt;&lt;/FQL&gt;&lt;FQL&gt;&lt;Q&gt;FERG-US^P_BETA_LOCIDX(44848,44676,,"SPX")&lt;/Q&gt;&lt;R&gt;1&lt;/R&gt;&lt;C&gt;1&lt;/C&gt;&lt;D xsi:type="xsd:double"&gt;1.0417565&lt;/D&gt;&lt;/FQL&gt;&lt;FQL&gt;&lt;Q&gt;FERG-US^P_BETA_LOCIDX(44847,44673,,"SPX")&lt;/Q&gt;&lt;R&gt;1&lt;/R&gt;&lt;C&gt;1&lt;/C&gt;&lt;D xsi:type="xsd:double"&gt;1.0348856&lt;/D&gt;&lt;/FQL&gt;&lt;FQL&gt;&lt;Q&gt;FERG-US^P_BETA_LOCIDX(44846,44672,,"SPX")&lt;/Q&gt;&lt;R&gt;1&lt;/R&gt;&lt;C&gt;1&lt;/C&gt;&lt;D xsi:type="xsd:double"&gt;1.035257&lt;/D&gt;&lt;/FQL&gt;&lt;FQL&gt;&lt;Q&gt;FERG-US^P_BETA_LOCIDX(44845,44671,,"SPX")&lt;/Q&gt;&lt;R&gt;1&lt;/R&gt;&lt;C&gt;1&lt;/C&gt;&lt;D xsi:type="xsd:double"&gt;1.0350043&lt;/D&gt;&lt;/FQL&gt;&lt;FQL&gt;&lt;Q&gt;FERG-US^P_BETA_LOCIDX(44844,44670,,"SPX")&lt;/Q&gt;&lt;R&gt;1&lt;/R&gt;&lt;C&gt;1&lt;/C&gt;&lt;D xsi:type="xsd:double"&gt;1.040196&lt;/D&gt;&lt;/FQL&gt;&lt;FQL&gt;&lt;Q&gt;FERG-US^P_BETA_LOCIDX(44841,44669,,"SPX")&lt;/Q&gt;&lt;R&gt;1&lt;/R&gt;&lt;C&gt;1&lt;/C&gt;&lt;D xsi:type="xsd:double"&gt;1.0436894&lt;/D&gt;&lt;/FQL&gt;&lt;FQL&gt;&lt;Q&gt;FERG-US^P_BETA_LOCIDX(44840,44665,,"SPX")&lt;/Q&gt;&lt;R&gt;1&lt;/R&gt;&lt;C&gt;1&lt;/C&gt;&lt;D xsi:type="xsd:double"&gt;1.0358993&lt;/D&gt;&lt;/FQL&gt;&lt;FQL&gt;&lt;Q&gt;FERG-US^P_BETA_LOCIDX(44839,44664,,"SPX")&lt;/Q&gt;&lt;R&gt;1&lt;/R&gt;&lt;C&gt;1&lt;/C&gt;&lt;D xsi:type="xsd:double"&gt;1.0486389&lt;/D&gt;&lt;/FQL&gt;&lt;FQL&gt;&lt;Q&gt;FERG-US^P_BETA_LOCIDX(44838,44663,,"SPX")&lt;/Q&gt;&lt;R&gt;1&lt;/R&gt;&lt;C&gt;1&lt;/C&gt;&lt;D xsi:type="xsd:double"&gt;1.0494645&lt;/D&gt;&lt;/FQL&gt;&lt;FQL&gt;&lt;Q&gt;FERG-US^P_BETA_LOCIDX(44837,44662,,"SPX")&lt;/Q&gt;&lt;R&gt;1&lt;/R&gt;&lt;C&gt;1&lt;/C&gt;&lt;D xsi:type="xsd:double"&gt;1.0179305&lt;/D&gt;&lt;/FQL&gt;&lt;FQL&gt;&lt;Q&gt;FERG-US^P_BETA_LOCIDX(44834,44659,,"SPX")&lt;/Q&gt;&lt;R&gt;1&lt;/R&gt;&lt;C&gt;1&lt;/C&gt;&lt;D xsi:type="xsd:double"&gt;0.9960914&lt;/D&gt;&lt;/FQL&gt;&lt;FQL&gt;&lt;Q&gt;FERG-US^P_BETA_LOCIDX(44833,44658,,"SPX")&lt;/Q&gt;&lt;R&gt;1&lt;/R&gt;&lt;C&gt;1&lt;/C&gt;&lt;D xsi:type="xsd:double"&gt;1.0020565&lt;/D&gt;&lt;/FQL&gt;&lt;FQL&gt;&lt;Q&gt;FERG-US^P_BETA_LOCIDX(44832,44657,,"SPX")&lt;/Q&gt;&lt;R&gt;1&lt;/R&gt;&lt;C&gt;1&lt;/C&gt;&lt;D xsi:type="xsd:double"&gt;1.0046638&lt;/D&gt;&lt;/FQL&gt;&lt;FQL&gt;&lt;Q&gt;FERG-US^P_BETA_LOCIDX(44831,44656,,"SPX")&lt;/Q&gt;&lt;R&gt;1&lt;/R&gt;&lt;C&gt;1&lt;/C&gt;&lt;D xsi:type="xsd:double"&gt;1.0007375&lt;/D&gt;&lt;/FQL&gt;&lt;FQL&gt;&lt;Q&gt;FERG-US^P_BETA_LOCIDX(44830,44655,,"SPX")&lt;/Q&gt;&lt;R&gt;1&lt;/R&gt;&lt;C&gt;1&lt;/C&gt;&lt;D xsi:type="xsd:double"&gt;0.9984304&lt;/D&gt;&lt;/FQL&gt;&lt;FQL&gt;&lt;Q&gt;FERG-US^P_BETA_LOCIDX(44827,44652,,"SPX")&lt;/Q&gt;&lt;R&gt;1&lt;/R&gt;&lt;C&gt;1&lt;/C&gt;&lt;D xsi:type="xsd:double"&gt;1.000152&lt;/D&gt;&lt;/FQL&gt;&lt;FQL&gt;&lt;Q&gt;FERG-US^P_BETA_LOCIDX(44826,44651,,"SPX")&lt;/Q&gt;&lt;R&gt;1&lt;/R&gt;&lt;C&gt;1&lt;/C&gt;&lt;D xsi:type="xsd:double"&gt;1.0086633&lt;/D&gt;&lt;/FQL&gt;&lt;FQL&gt;&lt;Q&gt;FERG-US^P_BETA_LOCIDX(44825,44650,,"SPX")&lt;/Q&gt;&lt;R&gt;1&lt;/R&gt;&lt;C&gt;1&lt;/C&gt;&lt;D xsi:type="xsd:double"&gt;1.0083158&lt;/D&gt;&lt;/FQL&gt;&lt;FQL&gt;&lt;Q&gt;FERG-US^P_BETA_LOCIDX(44824,44649,,"SPX")&lt;/Q&gt;&lt;R&gt;1&lt;/R&gt;&lt;C&gt;1&lt;/C&gt;&lt;D xsi:type="xsd:double"&gt;1.0085784&lt;/D&gt;&lt;/FQL&gt;&lt;FQL&gt;&lt;Q&gt;FERG-US^P_BETA_LOCIDX(44823,44648,,"SPX")&lt;/Q&gt;&lt;R&gt;1&lt;/R&gt;&lt;C&gt;1&lt;/C&gt;&lt;D xsi:type="xsd:double"&gt;0.9968786&lt;/D&gt;&lt;/FQL&gt;&lt;FQL&gt;&lt;Q&gt;FERG-US^P_BETA_LOCIDX(44820,44645,,"SPX")&lt;/Q&gt;&lt;R&gt;1&lt;/R&gt;&lt;C&gt;1&lt;/C&gt;&lt;D xsi:type="xsd:double"&gt;0.9878495&lt;/D&gt;&lt;/FQL&gt;&lt;FQL&gt;&lt;Q&gt;FERG-US^P_BETA_LOCIDX(44819,44644,,"SPX")&lt;/Q&gt;&lt;R&gt;1&lt;/R&gt;&lt;C&gt;1&lt;/C&gt;&lt;D xsi:type="xsd:double"&gt;0.96978784&lt;/D&gt;&lt;/FQL&gt;&lt;FQL&gt;&lt;Q&gt;FERG-US^P_BETA_LOCIDX(44818,44643,,"SPX")&lt;/Q&gt;&lt;R&gt;1&lt;/R&gt;&lt;C&gt;1&lt;/C&gt;&lt;D xsi:type="xsd:double"&gt;0.96696585&lt;/D&gt;&lt;/FQL&gt;&lt;FQL&gt;&lt;Q&gt;FERG-US^P_BETA_LOCIDX(44817,44642,,"SPX")&lt;/Q&gt;&lt;R&gt;1&lt;/R&gt;&lt;C&gt;1&lt;/C&gt;&lt;D xsi:type="xsd:double"&gt;0.96995205&lt;/D&gt;&lt;/FQL&gt;&lt;FQL&gt;&lt;Q&gt;FERG-US^P_BETA_LOCIDX(44816,44641,,"SPX")&lt;/Q&gt;&lt;R&gt;1&lt;/R&gt;&lt;C&gt;1&lt;/C&gt;&lt;D xsi:type="xsd:double"&gt;0.98934317&lt;/D&gt;&lt;/FQL&gt;&lt;FQL&gt;&lt;Q&gt;FERG-US^P_BETA_LOCIDX(44813,44638,,"SPX")&lt;/Q&gt;&lt;R&gt;1&lt;/R&gt;&lt;C&gt;1&lt;/C&gt;&lt;D xsi:type="xsd:double"&gt;0.9892594&lt;/D&gt;&lt;/FQL&gt;&lt;FQL&gt;&lt;Q&gt;FERG-US^P_BETA_LOCIDX(44812,44637,,"SPX")&lt;/Q&gt;&lt;R&gt;1&lt;/R&gt;&lt;C&gt;1&lt;/C&gt;&lt;D xsi:type="xsd:double"&gt;0.9841886&lt;/D&gt;&lt;/FQL&gt;&lt;FQL&gt;&lt;Q&gt;FERG-US^P_BETA_LOCIDX(44811,44636,,"SPX")&lt;/Q&gt;&lt;R&gt;1&lt;/R&gt;&lt;C&gt;1&lt;/C&gt;&lt;D xsi:type="xsd:double"&gt;0.96096593&lt;/D&gt;&lt;/FQL&gt;&lt;FQL&gt;&lt;Q&gt;FERG-US^P_BETA_LOCIDX(44810,44635,,"SPX")&lt;/Q&gt;&lt;R&gt;1&lt;/R&gt;&lt;C&gt;1&lt;/C&gt;&lt;D xsi:type="xsd:double"&gt;0.9054938&lt;/D&gt;&lt;/FQL&gt;&lt;FQL&gt;&lt;Q&gt;FERG-US^P_BETA_LOCIDX(44806,44634,,"SPX")&lt;/Q&gt;&lt;R&gt;1&lt;/R&gt;&lt;C&gt;1&lt;/C&gt;&lt;D xsi:type="xsd:double"&gt;0.8876695&lt;/D&gt;&lt;/FQL&gt;&lt;FQL&gt;&lt;Q&gt;FERG-US^P_BETA_LOCIDX(44805,44631,,"SPX")&lt;/Q&gt;&lt;R&gt;1&lt;/R&gt;&lt;C&gt;1&lt;/C&gt;&lt;D xsi:type="xsd:double"&gt;0.87763923&lt;/D&gt;&lt;/FQL&gt;&lt;FQL&gt;&lt;Q&gt;FERG-US^P_BETA_LOCIDX(44804,44630,,"SPX")&lt;/Q&gt;&lt;R&gt;1&lt;/R&gt;&lt;C&gt;1&lt;/C&gt;&lt;D xsi:type="xsd:double"&gt;0.8823441&lt;/D&gt;&lt;/FQL&gt;&lt;FQL&gt;&lt;Q&gt;FERG-US^P_BETA_LOCIDX(44803,44629,,"SPX")&lt;/Q&gt;&lt;R&gt;1&lt;/R&gt;&lt;C&gt;1&lt;/C&gt;&lt;D xsi:type="xsd:double"&gt;0.86341363&lt;/D&gt;&lt;/FQL&gt;&lt;FQL&gt;&lt;Q&gt;FERG-US^P_BETA_LOCIDX(44802,44628,,"SPX")&lt;/Q&gt;&lt;R&gt;1&lt;/R&gt;&lt;C&gt;1&lt;/C&gt;&lt;D xsi:type="xsd:double"&gt;0.8424686&lt;/D&gt;&lt;/FQL&gt;&lt;FQL&gt;&lt;Q&gt;FERG-US^P_BETA_LOCIDX(44799,44627,,"SPX")&lt;/Q&gt;&lt;R&gt;1&lt;/R&gt;&lt;C&gt;1&lt;/C&gt;&lt;D xsi:type="xsd:double"&gt;0.87654763&lt;/D&gt;&lt;/FQL&gt;&lt;FQL&gt;&lt;Q&gt;FERG-US^P_BETA_LOCIDX(44798,44624,,"SPX")&lt;/Q&gt;&lt;R&gt;1&lt;/R&gt;&lt;C&gt;1&lt;/C&gt;&lt;D xsi:type="xsd:double"&gt;0.88682175&lt;/D&gt;&lt;/FQL&gt;&lt;FQL&gt;&lt;Q&gt;FERG-US^P_BETA_LOCIDX(44797,44623,,"SPX")&lt;/Q&gt;&lt;R&gt;1&lt;/R&gt;&lt;C&gt;1&lt;/C&gt;&lt;D xsi:type="xsd:double"&gt;0.8884456&lt;/D&gt;&lt;/FQL&gt;&lt;FQL&gt;&lt;Q&gt;FERG-US^P_BETA_LOCIDX(44796,44622,,"SPX")&lt;/Q&gt;&lt;R&gt;1&lt;/R&gt;&lt;C&gt;1&lt;/C&gt;&lt;D xsi:type="xsd:double"&gt;0.8870772&lt;/D&gt;&lt;/FQL&gt;&lt;FQL&gt;&lt;Q&gt;FERG-US^P_BETA_LOCIDX(44795,44621,,"SPX")&lt;/Q&gt;&lt;R&gt;1&lt;/R&gt;&lt;C&gt;1&lt;/C&gt;&lt;D xsi:type="xsd:double"&gt;0.88280195&lt;/D&gt;&lt;/FQL&gt;&lt;FQL&gt;&lt;Q&gt;FERG-US^P_BETA_LOCIDX(44792,44620,,"SPX")&lt;/Q&gt;&lt;R&gt;1&lt;/R&gt;&lt;C&gt;1&lt;/C&gt;&lt;D xsi:type="xsd:double"&gt;0.8924059&lt;/D&gt;&lt;/FQL&gt;&lt;FQL&gt;&lt;Q&gt;FERG-US^P_BETA_LOCIDX(44791,44617,,"SPX")&lt;/Q&gt;&lt;R&gt;1&lt;/R&gt;&lt;C&gt;1&lt;/C&gt;&lt;D xsi:type="xsd:double"&gt;0.8909545&lt;/D&gt;&lt;/FQL&gt;&lt;FQL&gt;&lt;Q&gt;FERG-US^P_BETA_LOCIDX(44790,44616,,"SPX")&lt;/Q&gt;&lt;R&gt;1&lt;/R&gt;&lt;C&gt;1&lt;/C&gt;&lt;D xsi:type="xsd:double"&gt;0.8812483&lt;/D&gt;&lt;/FQL&gt;&lt;FQL&gt;&lt;Q&gt;FERG-US^P_BETA_LOCIDX(44789,44615,,"SPX")&lt;/Q&gt;&lt;R&gt;1&lt;/R&gt;&lt;C&gt;1&lt;/C&gt;&lt;D xsi:type="xsd:double"&gt;0.8682753&lt;/D&gt;&lt;/FQL&gt;&lt;FQL&gt;&lt;Q&gt;FERG-US^P_BETA_LOCIDX(44788,44614,,"SPX")&lt;/Q&gt;&lt;R&gt;1&lt;/R&gt;&lt;C&gt;1&lt;/C&gt;&lt;D xsi:type="xsd:double"&gt;0.86672753&lt;/D&gt;&lt;/FQL&gt;&lt;FQL&gt;&lt;Q&gt;FERG-US^P_BETA_LOCIDX(44785,44610,,"SPX")&lt;/Q&gt;&lt;R&gt;1&lt;/R&gt;&lt;C&gt;1&lt;/C&gt;&lt;D xsi:type="xsd:double"&gt;0.8629672&lt;/D&gt;&lt;/FQL&gt;&lt;FQL&gt;&lt;Q&gt;FERG-US^P_BETA_LOCIDX(44784,44609,,"SPX")&lt;/Q&gt;&lt;R&gt;1&lt;/R&gt;&lt;C&gt;1&lt;/C&gt;&lt;D xsi:type="xsd:double"&gt;0.8630122&lt;/D&gt;&lt;/FQL&gt;&lt;FQL&gt;&lt;Q&gt;FERG-US^P_BETA_LOCIDX(44783,44608,,"SPX")&lt;/Q&gt;&lt;R&gt;1&lt;/R&gt;&lt;C&gt;1&lt;/C&gt;&lt;D xsi:type="xsd:double"&gt;0.8632594&lt;/D&gt;&lt;/FQL&gt;&lt;FQL&gt;&lt;Q&gt;FERG-US^P_BETA_LOCIDX(44782,44607,,"SPX")&lt;/Q&gt;&lt;R&gt;1&lt;/R&gt;&lt;C&gt;1&lt;/C&gt;&lt;D xsi:type="xsd:double"&gt;0.8417861&lt;/D&gt;&lt;/FQL&gt;&lt;FQL&gt;&lt;Q&gt;FERG-US^P_BETA_LOCIDX(44781,44606,,"SPX")&lt;/Q&gt;&lt;R&gt;1&lt;/R&gt;&lt;C&gt;1&lt;/C&gt;&lt;D xsi:type="xsd:double"&gt;0.8384284&lt;/D&gt;&lt;/FQL&gt;&lt;FQL&gt;&lt;Q&gt;FERG-US^P_BETA_LOCIDX(44778,44603,,"SPX")&lt;/Q&gt;&lt;R&gt;1&lt;/R&gt;&lt;C&gt;1&lt;/C&gt;&lt;D xsi:type="xsd:double"&gt;0.8459648&lt;/D&gt;&lt;/FQL&gt;&lt;FQL&gt;&lt;Q&gt;FERG-US^P_BETA_LOCIDX(44777,44602,,"SPX")&lt;/Q&gt;&lt;R&gt;1&lt;/R&gt;&lt;C&gt;1&lt;/C&gt;&lt;D xsi:type="xsd:double"&gt;0.8404043&lt;/D&gt;&lt;/FQL&gt;&lt;FQL&gt;&lt;Q&gt;FERG-US^P_BETA_LOCIDX(44776,44601,,"SPX")&lt;/Q&gt;&lt;R&gt;1&lt;/R&gt;&lt;C&gt;1&lt;/C&gt;&lt;D xsi:type="xsd:double"&gt;0.83921164&lt;/D&gt;&lt;/FQL&gt;&lt;FQL&gt;&lt;Q&gt;FERG-US^P_BETA_LOCIDX(44775,44600,,"SPX")&lt;/Q&gt;&lt;R&gt;1&lt;/R&gt;&lt;C&gt;1&lt;/C&gt;&lt;D xsi:type="xsd:double"&gt;0.84876424&lt;/D&gt;&lt;/FQL&gt;&lt;FQL&gt;&lt;Q&gt;FERG-US^P_BETA_LOCIDX(44774,44599,,"SPX")&lt;/Q&gt;&lt;R&gt;1&lt;/R&gt;&lt;C&gt;1&lt;/C&gt;&lt;D xsi:type="xsd:double"&gt;0.84812987&lt;/D&gt;&lt;/FQL&gt;&lt;FQL&gt;&lt;Q&gt;FERG-US^P_BETA_LOCIDX(45845,45670,,"SPX")&lt;/Q&gt;&lt;R&gt;1&lt;/R&gt;&lt;C&gt;1&lt;/C&gt;&lt;D xsi:type="xsd:double"&gt;0.9125943&lt;/D&gt;&lt;/FQL&gt;&lt;FQL&gt;&lt;Q&gt;HUBB-US^P_BETA_LOCIDX(45841,45665,,"SPX")&lt;/Q&gt;&lt;R&gt;1&lt;/R&gt;&lt;C&gt;1&lt;/C&gt;&lt;D xsi:type="xsd:double"&gt;1.1300628&lt;/D&gt;&lt;/FQL&gt;&lt;FQL&gt;&lt;Q&gt;HUBB-US^P_BETA_LOCIDX(45840,45664,,"SPX")&lt;/Q&gt;&lt;R&gt;1&lt;/R&gt;&lt;C&gt;1&lt;/C&gt;&lt;D xsi:type="xsd:double"&gt;1.1332606&lt;/D&gt;&lt;/FQL&gt;&lt;FQL&gt;&lt;Q&gt;HUBB-US^P_BETA_LOCIDX(45839,45663,,"SPX")&lt;/Q&gt;&lt;R&gt;1&lt;/R&gt;&lt;C&gt;1&lt;/C&gt;&lt;D xsi:type="xsd:double"&gt;1.1352319&lt;/D&gt;&lt;/FQL&gt;&lt;FQL&gt;&lt;Q&gt;HUBB-US^P_BETA_LOCIDX(45838,45660,,"SPX")&lt;/Q&gt;&lt;R&gt;1&lt;/R&gt;&lt;C&gt;1&lt;/C&gt;&lt;D xsi:type="xsd:double"&gt;1.1408476&lt;/D&gt;&lt;/FQL&gt;&lt;FQL&gt;&lt;Q&gt;HUBB-US^P_BETA_LOCIDX(45835,45659,,"SPX")&lt;/Q&gt;&lt;R&gt;1&lt;/R&gt;&lt;C&gt;1&lt;/C&gt;&lt;D xsi:type="xsd:double"&gt;1.1404378&lt;/D&gt;&lt;/FQL&gt;&lt;FQL&gt;&lt;Q&gt;HUBB-US^P_BETA_LOCIDX(45834,45657,,"SPX")&lt;/Q&gt;&lt;R&gt;1&lt;/R&gt;&lt;C&gt;1&lt;/C&gt;&lt;D xsi:type="xsd:double"&gt;1.1399987&lt;/D&gt;&lt;/FQL&gt;&lt;FQL&gt;&lt;Q&gt;HUBB-US^P_BETA_LOCIDX(45833,45656,,"SPX")&lt;/Q&gt;&lt;R&gt;1&lt;/R&gt;&lt;C&gt;1&lt;/C&gt;&lt;D xsi:type="xsd:double"&gt;1.1368417&lt;/D&gt;&lt;/FQL&gt;&lt;FQL&gt;&lt;Q&gt;HUBB-US^P_BETA_LOCIDX(45832,45653,,"SPX")&lt;/Q&gt;&lt;R&gt;1&lt;/R&gt;&lt;C&gt;1&lt;/C&gt;&lt;D xsi:type="xsd:double"&gt;1.1383178&lt;/D&gt;&lt;/FQL&gt;&lt;FQL&gt;&lt;Q&gt;HUBB-US^P_BETA_LOCIDX(45831,45652,,"SPX")&lt;/Q&gt;&lt;R&gt;1&lt;/R&gt;&lt;C&gt;1&lt;/C&gt;&lt;D xsi:type="xsd:double"&gt;1.134985&lt;/D&gt;&lt;/FQL&gt;&lt;FQL&gt;&lt;Q&gt;HUBB-US^P_BETA_LOCIDX(45828,45650,,"SPX")&lt;/Q&gt;&lt;R&gt;1&lt;/R&gt;&lt;C&gt;1&lt;/C&gt;&lt;D xsi:type="xsd:double"&gt;1.1402165&lt;/D&gt;&lt;/FQL&gt;&lt;FQL&gt;&lt;Q&gt;HUBB-US^P_BETA_LOCIDX(45826,45649,,"SPX")&lt;/Q&gt;&lt;R&gt;1&lt;/R&gt;&lt;C&gt;1&lt;/C&gt;&lt;D xsi:type="xsd:double"&gt;1.1374155&lt;/D&gt;&lt;/FQL&gt;&lt;FQL&gt;&lt;Q&gt;HUBB-US^P_BETA_LOCIDX(45825,45646,,"SPX")&lt;/Q&gt;&lt;R&gt;1&lt;/R&gt;&lt;C&gt;1&lt;/C&gt;&lt;D xsi:type="xsd:double"&gt;1.1354353&lt;/D&gt;&lt;/FQL&gt;&lt;FQL&gt;&lt;Q&gt;HUBB-US^P_BETA_LOCIDX(45824,45645,,"SPX")&lt;/Q&gt;&lt;R&gt;1&lt;/R&gt;&lt;C&gt;1&lt;/C&gt;&lt;D xsi:type="xsd:double"&gt;1.1379957&lt;/D&gt;&lt;/FQL&gt;&lt;FQL&gt;&lt;Q&gt;HUBB-US^P_BETA_LOCIDX(45821,45644,,"SPX")&lt;/Q&gt;&lt;R&gt;1&lt;/R&gt;&lt;C&gt;1&lt;/C&gt;&lt;D xsi:type="xsd:double"&gt;1.1307553&lt;/D&gt;&lt;/FQL&gt;&lt;FQL&gt;&lt;Q&gt;HUBB-US^P_BETA_LOCIDX(45820,45643,,"SPX")&lt;/Q&gt;&lt;R&gt;1&lt;/R&gt;&lt;C&gt;1&lt;/C&gt;&lt;D xsi:type="xsd:double"&gt;1.1312176&lt;/D&gt;&lt;/FQL&gt;&lt;FQL&gt;&lt;Q&gt;HUBB-US^P_BETA_LOCIDX(45819,45642,,"SPX")&lt;/Q&gt;&lt;R&gt;1&lt;/R&gt;&lt;C&gt;1&lt;/C&gt;&lt;D xsi:type="xsd:double"&gt;1.1311667&lt;/D&gt;&lt;/FQL&gt;&lt;FQL&gt;&lt;Q&gt;HUBB-US^P_BETA_LOCIDX(45818,45639,,"SPX")&lt;/Q&gt;&lt;R&gt;1&lt;/R&gt;&lt;C&gt;1&lt;/C&gt;&lt;D xsi:type="xsd:double"&gt;1.1318032&lt;/D&gt;&lt;/FQL&gt;&lt;FQL&gt;&lt;Q&gt;HUBB-US^P_BETA_LOCIDX(45817,45638,,"SPX")&lt;/Q&gt;&lt;R&gt;1&lt;/R&gt;&lt;C&gt;1&lt;/C&gt;&lt;D xsi:type="xsd:double"&gt;1.134057&lt;/D&gt;&lt;/FQL&gt;&lt;FQL&gt;&lt;Q&gt;HUBB-US^P_BETA_LOCIDX(45814,45637,,"SPX")&lt;/Q&gt;&lt;R&gt;1&lt;/R&gt;&lt;C&gt;1&lt;/C&gt;&lt;D xsi:type="xsd:double"&gt;1.137122&lt;/D&gt;&lt;/FQL&gt;&lt;FQL&gt;&lt;Q&gt;HUBB-US^P_BETA_LOCIDX(45813,45636,,"SPX")&lt;/Q&gt;&lt;R&gt;1&lt;/R&gt;&lt;C&gt;1&lt;/C&gt;&lt;D xsi:type="xsd:double"&gt;1.1352963&lt;/D&gt;&lt;/FQL&gt;&lt;FQL&gt;&lt;Q&gt;HUBB-US^P_BETA_LOCIDX(45812,45635,,"SPX")&lt;/Q&gt;&lt;R&gt;1&lt;/R&gt;&lt;C&gt;1&lt;/C&gt;&lt;D xsi:type="xsd:double"&gt;1.1382788&lt;/D&gt;&lt;/FQL&gt;&lt;FQL&gt;&lt;Q&gt;HUBB-US^P_BETA_LOCIDX(45811,45632,,"SPX")&lt;/Q&gt;&lt;R&gt;1&lt;/R&gt;&lt;C&gt;1&lt;/C&gt;&lt;D xsi:type="xsd:double"&gt;1.137184&lt;/D&gt;&lt;/FQL&gt;&lt;FQL&gt;&lt;Q&gt;HUBB-US^P_BETA_LOCIDX(45810,45631,,"SPX")&lt;/Q&gt;&lt;R&gt;1&lt;/R&gt;&lt;C&gt;1&lt;/C&gt;&lt;D xsi:type="xsd:double"&gt;1.133803&lt;/D&gt;&lt;/FQL&gt;&lt;FQL&gt;&lt;Q&gt;HUBB-US^P_BETA_LOCIDX(45807,45630,,"SPX")&lt;/Q&gt;&lt;R&gt;1&lt;/R&gt;&lt;C&gt;1&lt;/C&gt;&lt;D xsi:type="xsd:double"&gt;1.1413132&lt;/D&gt;&lt;/FQL&gt;&lt;FQL&gt;&lt;Q&gt;HUBB-US^P_BETA_LOCIDX(45806,45629,,"SPX")&lt;/Q&gt;&lt;R&gt;1&lt;/R&gt;&lt;C&gt;1&lt;/C&gt;&lt;D xsi:type="xsd:double"&gt;1.1413343&lt;/D&gt;&lt;/FQL&gt;&lt;FQL&gt;&lt;Q&gt;HUBB-US^P_BETA_LOCIDX(45805,45628,,"SPX")&lt;/Q&gt;&lt;R&gt;1&lt;/R&gt;&lt;C&gt;1&lt;/C&gt;&lt;D xsi:type="xsd:double"&gt;1.1405545&lt;/D&gt;&lt;/FQL&gt;&lt;FQL&gt;&lt;Q&gt;HUBB-US^P_BETA_LOCIDX(45804,45625,,"SPX")&lt;/Q&gt;&lt;R&gt;1&lt;/R&gt;&lt;C&gt;1&lt;/C&gt;&lt;D xsi:type="xsd:double"&gt;1.1396729&lt;/D&gt;&lt;/FQL&gt;&lt;FQL&gt;&lt;Q&gt;HUBB-US^P_BETA_LOCIDX(45800,45623,,"SPX")&lt;/Q&gt;&lt;R&gt;1&lt;/R&gt;&lt;C&gt;1&lt;/C&gt;&lt;D xsi:type="xsd:double"&gt;1.1404097&lt;/D&gt;&lt;/FQL&gt;&lt;FQL&gt;&lt;Q&gt;HUBB-US^P_BETA_LOCIDX(45799,45622,,"SPX")&lt;/Q&gt;&lt;R&gt;1&lt;/R&gt;&lt;C&gt;1&lt;/C&gt;&lt;D xsi:type="xsd:double"&gt;1.140585&lt;/D&gt;&lt;/FQL&gt;&lt;FQL&gt;&lt;Q&gt;HUBB-US^P_BETA_LOCIDX(45798,45621,,"SPX")&lt;/Q&gt;&lt;R&gt;1&lt;/R&gt;&lt;C&gt;1&lt;/C&gt;&lt;D xsi:type="xsd:double"&gt;1.1413145&lt;/D&gt;&lt;/FQL&gt;&lt;FQL&gt;&lt;Q&gt;HUBB-US^P_BETA_LOCIDX(45797,45618,,"SPX")&lt;/Q&gt;&lt;R&gt;1&lt;/R&gt;&lt;C&gt;1&lt;/C&gt;&lt;D xsi:type="xsd:double"&gt;1.1427722&lt;/D&gt;&lt;/FQL&gt;&lt;FQL&gt;&lt;Q&gt;HUBB-US^P_BETA_LOCIDX(45796,45617,,"SPX")&lt;/Q&gt;&lt;R&gt;1&lt;/R&gt;&lt;C&gt;1&lt;/C&gt;&lt;D xsi:type="xsd:double"&gt;1.146424&lt;/D&gt;&lt;/FQL&gt;&lt;FQL&gt;&lt;Q&gt;HUBB-US^P_BETA_LOCIDX(45793,45616,,"SPX")&lt;/Q&gt;&lt;R&gt;1&lt;/R&gt;&lt;C&gt;1&lt;/C&gt;&lt;D xsi:type="xsd:double"&gt;1.1465874&lt;/D&gt;&lt;/FQL&gt;&lt;FQL&gt;&lt;Q&gt;HUBB-US^P_BETA_LOCIDX(45792,45615,,"SPX")&lt;/Q&gt;&lt;R&gt;1&lt;/R&gt;&lt;C&gt;1&lt;/C&gt;&lt;D xsi:type="xsd:double"&gt;1.1465592&lt;/D&gt;&lt;/FQL&gt;&lt;FQL&gt;&lt;Q&gt;HUBB-US^P_BETA_LOCIDX(45791,45614,,"SPX")&lt;/Q&gt;&lt;R&gt;1&lt;/R&gt;&lt;C&gt;1&lt;/C&gt;&lt;D xsi:type="xsd:double"&gt;1.1484514&lt;/D&gt;&lt;/FQL&gt;&lt;FQL&gt;&lt;Q&gt;HUBB-US^P_BETA_LOCIDX(45790,45611,,"SPX")&lt;/Q&gt;&lt;R&gt;1&lt;/R&gt;&lt;C&gt;1&lt;/C&gt;&lt;D xsi:type="xsd:double"&gt;1.1437924&lt;/D&gt;&lt;/FQL&gt;&lt;FQL&gt;&lt;Q&gt;HUBB-US^P_BETA_LOCIDX(45789,45610,,"SPX")&lt;/Q&gt;&lt;R&gt;1&lt;/R&gt;&lt;C&gt;1&lt;/C&gt;&lt;D xsi:type="xsd:double"&gt;1.1447845&lt;/D&gt;&lt;/FQL&gt;&lt;FQL&gt;&lt;Q&gt;HUBB-US^P_BETA_LOCIDX(45786,45609,,"SPX")&lt;/Q&gt;&lt;R&gt;1&lt;/R&gt;&lt;C&gt;1&lt;/C&gt;&lt;D xsi:type="xsd:double"&gt;1.1159608&lt;/D&gt;&lt;/FQL&gt;&lt;FQL&gt;&lt;Q&gt;HUBB-US^P_BETA_LOCIDX(45785,45608,,"SPX")&lt;/Q&gt;&lt;R&gt;1&lt;/R&gt;&lt;C&gt;1&lt;/C&gt;&lt;D xsi:type="xsd:double"&gt;1.1183566&lt;/D&gt;&lt;/FQL&gt;&lt;FQL&gt;&lt;Q&gt;HUBB-US^P_BETA_LOCIDX(45784,45607,,"SPX")&lt;/Q&gt;&lt;R&gt;1&lt;/R&gt;&lt;C&gt;1&lt;/C&gt;&lt;D xsi:type="xsd:double"&gt;1.1178954&lt;/D&gt;&lt;/FQL&gt;&lt;FQL&gt;&lt;Q&gt;HUBB-US^P_BETA_LOCIDX(45783,45604,,"SPX")&lt;/Q&gt;&lt;R&gt;1&lt;/R&gt;&lt;C&gt;1&lt;/C&gt;&lt;D xsi:type="xsd:double"&gt;1.1163766&lt;/D&gt;&lt;/FQL&gt;&lt;FQL&gt;&lt;Q&gt;HUBB-US^P_BETA_LOCIDX(45782,45603,,"SPX")&lt;/Q&gt;&lt;R&gt;1&lt;/R&gt;&lt;C&gt;1&lt;/C&gt;&lt;D xsi:type="xsd:double"&gt;1.1103994&lt;/D&gt;&lt;/FQL&gt;&lt;FQL&gt;&lt;Q&gt;HUBB-US^P_BETA_LOCIDX(45779,45602,,"SPX")&lt;/Q&gt;&lt;R&gt;1&lt;/R&gt;&lt;C&gt;1&lt;/C&gt;&lt;D xsi:type="xsd:double"&gt;1.1529522&lt;/D&gt;&lt;/FQL&gt;&lt;FQL&gt;&lt;Q&gt;HUBB-US^P_BETA_LOCIDX(45778,45601,,"SPX")&lt;/Q&gt;&lt;R&gt;1&lt;/R&gt;&lt;C&gt;1&lt;/C&gt;&lt;D xsi:type="xsd:double"&gt;1.1511683&lt;/D&gt;&lt;/FQL&gt;&lt;FQL&gt;&lt;Q&gt;HUBB-US^P_BETA_LOCIDX(45777,45600,,"SPX")&lt;/Q&gt;&lt;R&gt;1&lt;/R&gt;&lt;C&gt;1&lt;/C&gt;&lt;D xsi:type="xsd:double"&gt;1.1646224&lt;/D&gt;&lt;/FQL&gt;&lt;FQL&gt;&lt;Q&gt;HUBB-US^P_BETA_LOCIDX(45776,45597,,"SPX")&lt;/Q&gt;&lt;R&gt;1&lt;/R&gt;&lt;C&gt;1&lt;/C&gt;&lt;D xsi:type="xsd:double"&gt;1.1630754&lt;/D&gt;&lt;/FQL&gt;&lt;FQL&gt;&lt;Q&gt;HUBB-US^P_BETA_LOCIDX(45775,45596,,"SPX")&lt;/Q&gt;&lt;R&gt;1&lt;/R&gt;&lt;C&gt;1&lt;/C&gt;&lt;D xsi:type="xsd:double"&gt;1.1558075&lt;/D&gt;&lt;/FQL&gt;&lt;FQL&gt;&lt;Q&gt;HUBB-US^P_BETA_LOCIDX(45772,45595,,"SPX")&lt;/Q&gt;&lt;R&gt;1&lt;/R&gt;&lt;C&gt;1&lt;/C&gt;&lt;D xsi:type="xsd:double"&gt;1.1574641&lt;/D&gt;&lt;/FQL&gt;&lt;FQL&gt;&lt;Q&gt;HUBB-US^P_BETA_LOCIDX(45771,45594,,"SPX")&lt;/Q&gt;&lt;R&gt;1&lt;/R&gt;&lt;C&gt;1&lt;/C&gt;&lt;D xsi:type="xsd:double"&gt;1.1582893&lt;/D&gt;&lt;/FQL&gt;&lt;FQL&gt;&lt;Q&gt;HUBB-US^P_BETA_LOCIDX(45770,45593,,"SPX")&lt;/Q&gt;&lt;R&gt;1&lt;/R&gt;&lt;C&gt;1&lt;/C&gt;&lt;D xsi:type="xsd:double"&gt;1.1454047&lt;/D&gt;&lt;/FQL&gt;&lt;FQL&gt;&lt;Q&gt;HUBB-US^P_BETA_LOCIDX(45769,45590,,"SPX")&lt;/Q&gt;&lt;R&gt;1&lt;/R&gt;&lt;C&gt;1&lt;/C&gt;&lt;D xsi:type="xsd:double"&gt;1.1464535&lt;/D&gt;&lt;/FQL&gt;&lt;FQL&gt;&lt;Q&gt;HUBB-US^P_BETA_LOCIDX(45768,45589,,"SPX")&lt;/Q&gt;&lt;R&gt;1&lt;/R&gt;&lt;C&gt;1&lt;/C&gt;&lt;D xsi:type="xsd:double"&gt;1.1412228&lt;/D&gt;&lt;/FQL&gt;&lt;FQL&gt;&lt;Q&gt;HUBB-US^P_BETA_LOCIDX(45764,45588,,"SPX")&lt;/Q&gt;&lt;R&gt;1&lt;/R&gt;&lt;C&gt;1&lt;/C&gt;&lt;D xsi:type="xsd:double"&gt;1.1395717&lt;/D&gt;&lt;/FQL&gt;&lt;FQL&gt;&lt;Q&gt;HUBB-US^P_BETA_LOCIDX(45763,45587,,"SPX")&lt;/Q&gt;&lt;R&gt;1&lt;/R&gt;&lt;C&gt;1&lt;/C&gt;&lt;D xsi:type="xsd:double"&gt;1.139384&lt;/D&gt;&lt;/FQL&gt;&lt;FQL&gt;&lt;Q&gt;HUBB-US^P_BETA_LOCIDX(45762,45586,,"SPX")&lt;/Q&gt;&lt;R&gt;1&lt;/R&gt;&lt;C&gt;1&lt;/C&gt;&lt;D xsi:type="xsd:double"&gt;1.1428173&lt;/D&gt;&lt;/FQL&gt;&lt;FQL&gt;&lt;Q&gt;HUBB-US^P_BETA_LOCIDX(45761,45583,,"SPX")&lt;/Q&gt;&lt;R&gt;1&lt;/R&gt;&lt;C&gt;1&lt;/C&gt;&lt;D xsi:type="xsd:double"&gt;1.1416644&lt;/D&gt;&lt;/FQL&gt;&lt;FQL&gt;&lt;Q&gt;HUBB-US^P_BETA_LOCIDX(45758,45582,,"SPX")&lt;/Q&gt;&lt;R&gt;1&lt;/R&gt;&lt;C&gt;1&lt;/C&gt;&lt;D xsi:type="xsd:double"&gt;1.1469767&lt;/D&gt;&lt;/FQL&gt;&lt;FQL&gt;&lt;Q&gt;HUBB-US^P_BETA_LOCIDX(45757,45581,,"SPX")&lt;/Q&gt;&lt;R&gt;1&lt;/R&gt;&lt;C&gt;1&lt;/C&gt;&lt;D xsi:type="xsd:double"&gt;1.1370504&lt;/D&gt;&lt;/FQL&gt;&lt;FQL&gt;&lt;Q&gt;HUBB-US^P_BETA_LOCIDX(45756,45580,,"SPX")&lt;/Q&gt;&lt;R&gt;1&lt;/R&gt;&lt;C&gt;1&lt;/C&gt;&lt;D xsi:type="xsd:double"&gt;1.1560355&lt;/D&gt;&lt;/FQL&gt;&lt;FQL&gt;&lt;Q&gt;HUBB-US^P_BETA_LOCIDX(45755,45579,,"SPX")&lt;/Q&gt;&lt;R&gt;1&lt;/R&gt;&lt;C&gt;1&lt;/C&gt;&lt;D xsi:type="xsd:double"&gt;1.1572045&lt;/D&gt;&lt;/FQL&gt;&lt;FQL&gt;&lt;Q&gt;HUBB-US^P_BETA_LOCIDX(45754,45576,,"SPX")&lt;/Q&gt;&lt;R&gt;1&lt;/R&gt;&lt;C&gt;1&lt;/C&gt;&lt;D xsi:type="xsd:double"&gt;1.1880509&lt;/D&gt;&lt;/FQL&gt;&lt;FQL&gt;&lt;Q&gt;HUBB-US^P_BETA_LOCIDX(45751,45575,,"SPX")&lt;/Q&gt;&lt;R&gt;1&lt;/R&gt;&lt;C&gt;1&lt;/C&gt;&lt;D xsi:type="xsd:double"&gt;1.189269&lt;/D&gt;&lt;/FQL&gt;&lt;FQL&gt;&lt;Q&gt;HUBB-US^P_BETA_LOCIDX(45750,45574,,"SPX")&lt;/Q&gt;&lt;R&gt;1&lt;/R&gt;&lt;C&gt;1&lt;/C&gt;&lt;D xsi:type="xsd:double"&gt;1.4648788&lt;/D&gt;&lt;/FQL&gt;&lt;FQL&gt;&lt;Q&gt;HUBB-US^P_BETA_LOCIDX(45749,45573,,"SPX")&lt;/Q&gt;&lt;R&gt;1&lt;/R&gt;&lt;C&gt;1&lt;/C&gt;&lt;D xsi:type="xsd:double"&gt;1.5224488&lt;/D&gt;&lt;/FQL&gt;&lt;FQL&gt;&lt;Q&gt;HUBB-US^P_BETA_LOCIDX(45748,45572,,"SPX")&lt;/Q&gt;&lt;R&gt;1&lt;/R&gt;&lt;C&gt;1&lt;/C&gt;&lt;D xsi:type="xsd:double"&gt;1.4760008&lt;/D&gt;&lt;/FQL&gt;&lt;FQL&gt;&lt;Q&gt;HUBB-US^P_BETA_LOCIDX(45747,45569,,"SPX")&lt;/Q&gt;&lt;R&gt;1&lt;/R&gt;&lt;C&gt;1&lt;/C&gt;&lt;D xsi:type="xsd:double"&gt;1.4729666&lt;/D&gt;&lt;/FQL&gt;&lt;FQL&gt;&lt;Q&gt;HUBB-US^P_BETA_LOCIDX(45744,45568,,"SPX")&lt;/Q&gt;&lt;R&gt;1&lt;/R&gt;&lt;C&gt;1&lt;/C&gt;&lt;D xsi:type="xsd:double"&gt;1.4783906&lt;/D&gt;&lt;/FQL&gt;&lt;FQL&gt;&lt;Q&gt;HUBB-US^P_BETA_LOCIDX(45743,45567,,"SPX")&lt;/Q&gt;&lt;R&gt;1&lt;/R&gt;&lt;C&gt;1&lt;/C&gt;&lt;D xsi:type="xsd:double"&gt;1.4817529&lt;/D&gt;&lt;/FQL&gt;&lt;FQL&gt;&lt;Q&gt;HUBB-US^P_BETA_LOCIDX(45742,45566,,"SPX")&lt;/Q&gt;&lt;R&gt;1&lt;/R&gt;&lt;C&gt;1&lt;/C&gt;&lt;D xsi:type="xsd:double"&gt;1.467227&lt;/D&gt;&lt;/FQL&gt;&lt;FQL&gt;&lt;Q&gt;HUBB-US^P_BETA_LOCIDX(45741,45565,,"SPX")&lt;/Q&gt;&lt;R&gt;1&lt;/R&gt;&lt;C&gt;1&lt;/C&gt;&lt;D xsi:type="xsd:double"&gt;1.4629229&lt;/D&gt;&lt;/FQL&gt;&lt;FQL&gt;&lt;Q&gt;HUBB-US^P_BETA_LOCIDX(45740,45562,,"SPX")&lt;/Q&gt;&lt;R&gt;1&lt;/R&gt;&lt;C&gt;1&lt;/C&gt;&lt;D xsi:type="xsd:double"&gt;1.4605979&lt;/D&gt;&lt;/FQL&gt;&lt;FQL&gt;&lt;Q&gt;HUBB-US^P_BETA_LOCIDX(45737,45561,,"SPX")&lt;/Q&gt;&lt;R&gt;1&lt;/R&gt;&lt;C&gt;1&lt;/C&gt;&lt;D xsi:type="xsd:double"&gt;1.4462743&lt;/D&gt;&lt;/FQL&gt;&lt;FQL&gt;&lt;Q&gt;HUBB-US^P_BETA_LOCIDX(45736,45560,,"SPX")&lt;/Q&gt;&lt;R&gt;1&lt;/R&gt;&lt;C&gt;1&lt;/C&gt;&lt;D xsi:type="xsd:double"&gt;1.4459666&lt;/D&gt;&lt;/FQL&gt;&lt;FQL&gt;&lt;Q&gt;HUBB-US^P_BETA_LOCIDX(45735,45559,,"SPX")&lt;/Q&gt;&lt;R&gt;1&lt;/R&gt;&lt;C&gt;1&lt;/C&gt;&lt;D xsi:type="xsd:double"&gt;1.4433925&lt;/D&gt;&lt;/FQL&gt;&lt;FQL&gt;&lt;Q&gt;HUBB-US^P_BETA_LOCIDX(45734,45558,,"SPX")&lt;/Q&gt;&lt;R&gt;1&lt;/R&gt;&lt;C&gt;1&lt;/C&gt;&lt;D xsi:type="xsd:double"&gt;1.4391555&lt;/D&gt;&lt;/FQL&gt;&lt;FQL&gt;&lt;Q&gt;HUBB-US^P_BETA_LOCIDX(45733,45555,,"SPX")&lt;/Q&gt;&lt;R&gt;1&lt;/R&gt;&lt;C&gt;1&lt;/C&gt;&lt;D xsi:type="xsd:double"&gt;1.4303641&lt;/D&gt;&lt;/FQL&gt;&lt;FQL&gt;&lt;Q&gt;HUBB-US^P_BETA_LOCIDX(45730,45554,,"SPX")&lt;/Q&gt;&lt;R&gt;1&lt;/R&gt;&lt;C&gt;1&lt;/C&gt;&lt;D xsi:type="xsd:double"&gt;1.4436641&lt;/D&gt;&lt;/FQL&gt;&lt;FQL&gt;&lt;Q&gt;HUBB-US^P_BETA_LOCIDX(45729,45553,,"SPX")&lt;/Q&gt;&lt;R&gt;1&lt;/R&gt;&lt;C&gt;1&lt;/C&gt;&lt;D xsi:type="xsd:double"&gt;1.4479221&lt;/D&gt;&lt;/FQL&gt;&lt;FQL&gt;&lt;Q&gt;HUBB-US^P_BETA_LOCIDX(45728,45552,,"SPX")&lt;/Q&gt;&lt;R&gt;1&lt;/R&gt;&lt;C&gt;1&lt;/C&gt;&lt;D xsi:type="xsd:double"&gt;1.4683453&lt;/D&gt;&lt;/FQL&gt;&lt;FQL&gt;&lt;Q&gt;HUBB-US^P_BETA_LOCIDX(45727,45551,,"SPX")&lt;/Q&gt;&lt;R&gt;1&lt;/R&gt;&lt;C&gt;1&lt;/C&gt;&lt;D xsi:type="xsd:double"&gt;1.4824094&lt;/D&gt;&lt;/FQL&gt;&lt;FQL&gt;&lt;Q&gt;HUBB-US^P_BETA_LOCIDX(45726,45548,,"SPX")&lt;/Q&gt;&lt;R&gt;1&lt;/R&gt;&lt;C&gt;1&lt;/C&gt;&lt;D xsi:type="xsd:double"&gt;1.504345&lt;/D&gt;&lt;/FQL&gt;&lt;FQL&gt;&lt;Q&gt;HUBB-US^P_BETA_LOCIDX(45723,45547,,"SPX")&lt;/Q&gt;&lt;R&gt;1&lt;/R&gt;&lt;C&gt;1&lt;/C&gt;&lt;D xsi:type="xsd:double"&gt;1.4912056&lt;/D&gt;&lt;/FQL&gt;&lt;FQL&gt;&lt;Q&gt;HUBB-US^P_BETA_LOCIDX(45722,45546,,"SPX")&lt;/Q&gt;&lt;R&gt;1&lt;/R&gt;&lt;C&gt;1&lt;/C&gt;&lt;D xsi:type="xsd:double"&gt;1.5042857&lt;/D&gt;&lt;/FQL&gt;&lt;FQL&gt;&lt;Q&gt;HUBB-US^P_BETA_LOCIDX(45721,45545,,"SPX")&lt;/Q&gt;&lt;R&gt;1&lt;/R&gt;&lt;C&gt;1&lt;/C&gt;&lt;D xsi:type="xsd:double"&gt;1.5196223&lt;/D&gt;&lt;/FQL&gt;&lt;FQL&gt;&lt;Q&gt;HUBB-US^P_BETA_LOCIDX(45720,45544,,"SPX")&lt;/Q&gt;&lt;R&gt;1&lt;/R&gt;&lt;C&gt;1&lt;/C&gt;&lt;D xsi:type="xsd:double"&gt;1.5370828&lt;/D&gt;&lt;/FQL&gt;&lt;FQL&gt;&lt;Q&gt;HUBB-US^P_BETA_LOCIDX(45719,45541,,"SPX")&lt;/Q&gt;&lt;R&gt;1&lt;/R&gt;&lt;C&gt;1&lt;/C&gt;&lt;D xsi:type="xsd:double"&gt;1.4902975999999999&lt;/D&gt;&lt;/FQL&gt;&lt;FQL&gt;&lt;Q&gt;HUBB-US^P_BETA_LOCIDX(45716,45540,,"SPX")&lt;/Q&gt;&lt;R&gt;1&lt;/R&gt;&lt;C&gt;1&lt;/C&gt;&lt;D xsi:type="xsd:double"&gt;1.4516456&lt;/D&gt;&lt;/FQL&gt;&lt;FQL&gt;&lt;Q&gt;HUBB-US^P_BETA_LOCIDX(45715,45539,,"SPX")&lt;/Q&gt;&lt;R&gt;1&lt;/R&gt;&lt;C&gt;1&lt;/C&gt;&lt;D xsi:type="xsd:double"&gt;1.4863784&lt;/D&gt;&lt;/FQL&gt;&lt;FQL&gt;&lt;Q&gt;HUBB-US^P_BETA_LOCIDX(45714,45538,,"SPX")&lt;/Q&gt;&lt;R&gt;1&lt;/R&gt;&lt;C&gt;1&lt;/C&gt;&lt;D xsi:type="xsd:double"&gt;1.5491625&lt;/D&gt;&lt;/FQL&gt;&lt;FQL&gt;&lt;Q&gt;HUBB-US^P_BETA_LOCIDX(45713,45534,,"SPX")&lt;/Q&gt;&lt;R&gt;1&lt;/R&gt;&lt;C&gt;1&lt;/C&gt;&lt;D xsi:type="xsd:double"&gt;1.5456841&lt;/D&gt;&lt;/FQL&gt;&lt;FQL&gt;&lt;Q&gt;HUBB-US^P_BETA_LOCIDX(45712,45533,,"SPX")&lt;/Q&gt;&lt;R&gt;1&lt;/R&gt;&lt;C&gt;1&lt;/C&gt;&lt;D xsi:type="xsd:double"&gt;1.5554007&lt;/D&gt;&lt;/FQL&gt;&lt;FQL&gt;&lt;Q&gt;HUBB-US^P_BETA_LOCIDX(45709,45532,,"SPX")&lt;/Q&gt;&lt;R&gt;1&lt;/R&gt;&lt;C&gt;1&lt;/C&gt;&lt;D xsi:type="xsd:double"&gt;1.5349481&lt;/D&gt;&lt;/FQL&gt;&lt;FQL&gt;&lt;Q&gt;HUBB-US^P_BETA_LOCIDX(45708,45531,,"SPX")&lt;/Q&gt;&lt;R&gt;1&lt;/R&gt;&lt;C&gt;1&lt;/C&gt;&lt;D xsi:type="xsd:double"&gt;1.5272155&lt;/D&gt;&lt;/FQL&gt;&lt;FQL&gt;&lt;Q&gt;HUBB-US^P_BETA_LOCIDX(45707,45530,,"SPX")&lt;/Q&gt;&lt;R&gt;1&lt;/R&gt;&lt;C&gt;1&lt;/C&gt;&lt;D xsi:type="xsd:double"&gt;1.5251075&lt;/D&gt;&lt;/FQL&gt;&lt;FQL&gt;&lt;Q&gt;HUBB-US^P_BETA_LOCIDX(45706,45527,,"SPX")&lt;/Q&gt;&lt;R&gt;1&lt;/R&gt;&lt;C&gt;1&lt;/C&gt;&lt;D xsi:type="xsd:double"&gt;1.5322953&lt;/D&gt;&lt;/FQL&gt;&lt;FQL&gt;&lt;Q&gt;HUBB-US^P_BETA_LOCIDX(45702,45526,,"SPX")&lt;/Q&gt;&lt;R&gt;1&lt;/R&gt;&lt;C&gt;1&lt;/C&gt;&lt;D xsi:type="xsd:double"&gt;1.5025173&lt;/D&gt;&lt;/FQL&gt;&lt;FQL&gt;&lt;Q&gt;HUBB-US^P_BETA_LOCIDX(45701,45525,,"SPX")&lt;/Q&gt;&lt;R&gt;1&lt;/R&gt;&lt;C&gt;1&lt;/C&gt;&lt;D xsi:type="xsd:double"&gt;1.5046265&lt;/D&gt;&lt;/FQL&gt;&lt;FQL&gt;&lt;Q&gt;HUBB-US^P_BETA_LOCIDX(45700,45524,,"SPX")&lt;/Q&gt;&lt;R&gt;1&lt;/R&gt;&lt;C&gt;1&lt;/C&gt;&lt;D xsi:type="xsd:double"&gt;1.5208126&lt;/D&gt;&lt;/FQL&gt;&lt;FQL&gt;&lt;Q&gt;HUBB-US^P_BETA_LOCIDX(45699,45523,,"SPX")&lt;/Q&gt;&lt;R&gt;1&lt;/R&gt;&lt;C&gt;1&lt;/C&gt;&lt;D xsi:type="xsd:double"&gt;1.5053698&lt;/D&gt;&lt;/FQL&gt;&lt;FQL&gt;&lt;Q&gt;HUBB-US^P_BETA_LOCIDX(45698,45520,,"SPX")&lt;/Q&gt;&lt;R&gt;1&lt;/R&gt;&lt;C&gt;1&lt;/C&gt;&lt;D xsi:type="xsd:double"&gt;1.5016041&lt;/D&gt;&lt;/FQL&gt;&lt;FQL&gt;&lt;Q&gt;HUBB-US^P_BETA_LOCIDX(45695,45519,,"SPX")&lt;/Q&gt;&lt;R&gt;1&lt;/R&gt;&lt;C&gt;1&lt;/C&gt;&lt;D xsi:type="xsd:double"&gt;1.4713751&lt;/D&gt;&lt;/FQL&gt;&lt;FQL&gt;&lt;Q&gt;HUBB-US^P_BETA_LOCIDX(45694,45518,,"SPX")&lt;/Q&gt;&lt;R&gt;1&lt;/R&gt;&lt;C&gt;1&lt;/C&gt;&lt;D xsi:type="xsd:double"&gt;1.5139284&lt;/D&gt;&lt;/FQL&gt;&lt;FQL&gt;&lt;Q&gt;HUBB-US^P_BETA_LOCIDX(45693,45517,,"SPX")&lt;/Q&gt;&lt;R&gt;1&lt;/R&gt;&lt;C&gt;1&lt;/C&gt;&lt;D xsi:type="xsd:double"&gt;1.4804146&lt;/D&gt;&lt;/FQL&gt;&lt;FQL&gt;&lt;Q&gt;HUBB-US^P_BETA_LOCIDX(45692,45516,,"SPX")&lt;/Q&gt;&lt;R&gt;1&lt;/R&gt;&lt;C&gt;1&lt;/C&gt;&lt;D xsi:type="xsd:double"&gt;1.484084&lt;/D&gt;&lt;/FQL&gt;&lt;FQL&gt;&lt;Q&gt;HUBB-US^P_BETA_LOCIDX(45691,45513,,"SPX")&lt;/Q&gt;&lt;R&gt;1&lt;/R&gt;&lt;C&gt;1&lt;/C&gt;&lt;D xsi:type="xsd:double"&gt;1.5078619&lt;/D&gt;&lt;/FQL&gt;&lt;FQL&gt;&lt;Q&gt;HUBB-US^P_BETA_LOCIDX(45688,45512,,"SPX")&lt;/Q&gt;&lt;R&gt;1&lt;/R&gt;&lt;C&gt;1&lt;/C&gt;&lt;D xsi:type="xsd:double"&gt;1.5029113&lt;/D&gt;</t>
        </r>
      </text>
    </comment>
    <comment ref="A29" authorId="0" shapeId="0" xr:uid="{A109AB28-F0E7-4D7B-AFF4-571ECA578F1D}">
      <text>
        <r>
          <rPr>
            <b/>
            <sz val="9"/>
            <color indexed="81"/>
            <rFont val="Tahoma"/>
            <charset val="1"/>
          </rPr>
          <t>&lt;/FQL&gt;&lt;FQL&gt;&lt;Q&gt;HUBB-US^P_BETA_LOCIDX(45687,45511,,"SPX")&lt;/Q&gt;&lt;R&gt;1&lt;/R&gt;&lt;C&gt;1&lt;/C&gt;&lt;D xsi:type="xsd:double"&gt;1.4956765&lt;/D&gt;&lt;/FQL&gt;&lt;FQL&gt;&lt;Q&gt;HUBB-US^P_BETA_LOCIDX(45686,45510,,"SPX")&lt;/Q&gt;&lt;R&gt;1&lt;/R&gt;&lt;C&gt;1&lt;/C&gt;&lt;D xsi:type="xsd:double"&gt;1.4630718&lt;/D&gt;&lt;/FQL&gt;&lt;FQL&gt;&lt;Q&gt;HUBB-US^P_BETA_LOCIDX(45685,45509,,"SPX")&lt;/Q&gt;&lt;R&gt;1&lt;/R&gt;&lt;C&gt;1&lt;/C&gt;&lt;D xsi:type="xsd:double"&gt;1.3432612&lt;/D&gt;&lt;/FQL&gt;&lt;FQL&gt;&lt;Q&gt;HUBB-US^P_BETA_LOCIDX(45684,45506,,"SPX")&lt;/Q&gt;&lt;R&gt;1&lt;/R&gt;&lt;C&gt;1&lt;/C&gt;&lt;D xsi:type="xsd:double"&gt;1.3774816&lt;/D&gt;&lt;/FQL&gt;&lt;FQL&gt;&lt;Q&gt;HUBB-US^P_BETA_LOCIDX(45681,45505,,"SPX")&lt;/Q&gt;&lt;R&gt;1&lt;/R&gt;&lt;C&gt;1&lt;/C&gt;&lt;D xsi:type="xsd:double"&gt;1.29881&lt;/D&gt;&lt;/FQL&gt;&lt;FQL&gt;&lt;Q&gt;HUBB-US^P_BETA_LOCIDX(45680,45504,,"SPX")&lt;/Q&gt;&lt;R&gt;1&lt;/R&gt;&lt;C&gt;1&lt;/C&gt;&lt;D xsi:type="xsd:double"&gt;1.3328888&lt;/D&gt;&lt;/FQL&gt;&lt;FQL&gt;&lt;Q&gt;HUBB-US^P_BETA_LOCIDX(45679,45503,,"SPX")&lt;/Q&gt;&lt;R&gt;1&lt;/R&gt;&lt;C&gt;1&lt;/C&gt;&lt;D xsi:type="xsd:double"&gt;1.3143983&lt;/D&gt;&lt;/FQL&gt;&lt;FQL&gt;&lt;Q&gt;HUBB-US^P_BETA_LOCIDX(45678,45502,,"SPX")&lt;/Q&gt;&lt;R&gt;1&lt;/R&gt;&lt;C&gt;1&lt;/C&gt;&lt;D xsi:type="xsd:double"&gt;1.3114549&lt;/D&gt;&lt;/FQL&gt;&lt;FQL&gt;&lt;Q&gt;HUBB-US^P_BETA_LOCIDX(45674,45499,,"SPX")&lt;/Q&gt;&lt;R&gt;1&lt;/R&gt;&lt;C&gt;1&lt;/C&gt;&lt;D xsi:type="xsd:double"&gt;1.315242&lt;/D&gt;&lt;/FQL&gt;&lt;FQL&gt;&lt;Q&gt;HUBB-US^P_BETA_LOCIDX(45673,45498,,"SPX")&lt;/Q&gt;&lt;R&gt;1&lt;/R&gt;&lt;C&gt;1&lt;/C&gt;&lt;D xsi:type="xsd:double"&gt;1.3194449&lt;/D&gt;&lt;/FQL&gt;&lt;FQL&gt;&lt;Q&gt;HUBB-US^P_BETA_LOCIDX(45672,45497,,"SPX")&lt;/Q&gt;&lt;R&gt;1&lt;/R&gt;&lt;C&gt;1&lt;/C&gt;&lt;D xsi:type="xsd:double"&gt;1.3908552&lt;/D&gt;&lt;/FQL&gt;&lt;FQL&gt;&lt;Q&gt;HUBB-US^P_BETA_LOCIDX(45671,45496,,"SPX")&lt;/Q&gt;&lt;R&gt;1&lt;/R&gt;&lt;C&gt;1&lt;/C&gt;&lt;D xsi:type="xsd:double"&gt;1.4329132&lt;/D&gt;&lt;/FQL&gt;&lt;FQL&gt;&lt;Q&gt;HUBB-US^P_BETA_LOCIDX(45670,45495,,"SPX")&lt;/Q&gt;&lt;R&gt;1&lt;/R&gt;&lt;C&gt;1&lt;/C&gt;&lt;D xsi:type="xsd:double"&gt;1.4403535&lt;/D&gt;&lt;/FQL&gt;&lt;FQL&gt;&lt;Q&gt;HUBB-US^P_BETA_LOCIDX(45667,45492,,"SPX")&lt;/Q&gt;&lt;R&gt;1&lt;/R&gt;&lt;C&gt;1&lt;/C&gt;&lt;D xsi:type="xsd:double"&gt;1.4304352&lt;/D&gt;&lt;/FQL&gt;&lt;FQL&gt;&lt;Q&gt;HUBB-US^P_BETA_LOCIDX(45665,45491,,"SPX")&lt;/Q&gt;&lt;R&gt;1&lt;/R&gt;&lt;C&gt;1&lt;/C&gt;&lt;D xsi:type="xsd:double"&gt;1.397964&lt;/D&gt;&lt;/FQL&gt;&lt;FQL&gt;&lt;Q&gt;HUBB-US^P_BETA_LOCIDX(45664,45490,,"SPX")&lt;/Q&gt;&lt;R&gt;1&lt;/R&gt;&lt;C&gt;1&lt;/C&gt;&lt;D xsi:type="xsd:double"&gt;1.4602706&lt;/D&gt;&lt;/FQL&gt;&lt;FQL&gt;&lt;Q&gt;HUBB-US^P_BETA_LOCIDX(45663,45489,,"SPX")&lt;/Q&gt;&lt;R&gt;1&lt;/R&gt;&lt;C&gt;1&lt;/C&gt;&lt;D xsi:type="xsd:double"&gt;1.4812855&lt;/D&gt;&lt;/FQL&gt;&lt;FQL&gt;&lt;Q&gt;HUBB-US^P_BETA_LOCIDX(45660,45488,,"SPX")&lt;/Q&gt;&lt;R&gt;1&lt;/R&gt;&lt;C&gt;1&lt;/C&gt;&lt;D xsi:type="xsd:double"&gt;1.4700898&lt;/D&gt;&lt;/FQL&gt;&lt;FQL&gt;&lt;Q&gt;HUBB-US^P_BETA_LOCIDX(45659,45485,,"SPX")&lt;/Q&gt;&lt;R&gt;1&lt;/R&gt;&lt;C&gt;1&lt;/C&gt;&lt;D xsi:type="xsd:double"&gt;1.459094&lt;/D&gt;&lt;/FQL&gt;&lt;FQL&gt;&lt;Q&gt;HUBB-US^P_BETA_LOCIDX(45657,45484,,"SPX")&lt;/Q&gt;&lt;R&gt;1&lt;/R&gt;&lt;C&gt;1&lt;/C&gt;&lt;D xsi:type="xsd:double"&gt;1.4404038&lt;/D&gt;&lt;/FQL&gt;&lt;FQL&gt;&lt;Q&gt;HUBB-US^P_BETA_LOCIDX(45656,45483,,"SPX")&lt;/Q&gt;&lt;R&gt;1&lt;/R&gt;&lt;C&gt;1&lt;/C&gt;&lt;D xsi:type="xsd:double"&gt;1.4389291&lt;/D&gt;&lt;/FQL&gt;&lt;FQL&gt;&lt;Q&gt;HUBB-US^P_BETA_LOCIDX(45653,45482,,"SPX")&lt;/Q&gt;&lt;R&gt;1&lt;/R&gt;&lt;C&gt;1&lt;/C&gt;&lt;D xsi:type="xsd:double"&gt;1.445081&lt;/D&gt;&lt;/FQL&gt;&lt;FQL&gt;&lt;Q&gt;HUBB-US^P_BETA_LOCIDX(45652,45481,,"SPX")&lt;/Q&gt;&lt;R&gt;1&lt;/R&gt;&lt;C&gt;1&lt;/C&gt;&lt;D xsi:type="xsd:double"&gt;1.4437674&lt;/D&gt;&lt;/FQL&gt;&lt;FQL&gt;&lt;Q&gt;HUBB-US^P_BETA_LOCIDX(45650,45478,,"SPX")&lt;/Q&gt;&lt;R&gt;1&lt;/R&gt;&lt;C&gt;1&lt;/C&gt;&lt;D xsi:type="xsd:double"&gt;1.4413493&lt;/D&gt;&lt;/FQL&gt;&lt;FQL&gt;&lt;Q&gt;HUBB-US^P_BETA_LOCIDX(45649,45476,,"SPX")&lt;/Q&gt;&lt;R&gt;1&lt;/R&gt;&lt;C&gt;1&lt;/C&gt;&lt;D xsi:type="xsd:double"&gt;1.4465144&lt;/D&gt;&lt;/FQL&gt;&lt;FQL&gt;&lt;Q&gt;HUBB-US^P_BETA_LOCIDX(45646,45475,,"SPX")&lt;/Q&gt;&lt;R&gt;1&lt;/R&gt;&lt;C&gt;1&lt;/C&gt;&lt;D xsi:type="xsd:double"&gt;1.4603494&lt;/D&gt;&lt;/FQL&gt;&lt;FQL&gt;&lt;Q&gt;HUBB-US^P_BETA_LOCIDX(45645,45474,,"SPX")&lt;/Q&gt;&lt;R&gt;1&lt;/R&gt;&lt;C&gt;1&lt;/C&gt;&lt;D xsi:type="xsd:double"&gt;1.4674848&lt;/D&gt;&lt;/FQL&gt;&lt;FQL&gt;&lt;Q&gt;HUBB-US^P_BETA_LOCIDX(45644,45471,,"SPX")&lt;/Q&gt;&lt;R&gt;1&lt;/R&gt;&lt;C&gt;1&lt;/C&gt;&lt;D xsi:type="xsd:double"&gt;1.4703112&lt;/D&gt;&lt;/FQL&gt;&lt;FQL&gt;&lt;Q&gt;HUBB-US^P_BETA_LOCIDX(45643,45470,,"SPX")&lt;/Q&gt;&lt;R&gt;1&lt;/R&gt;&lt;C&gt;1&lt;/C&gt;&lt;D xsi:type="xsd:double"&gt;1.5072025&lt;/D&gt;&lt;/FQL&gt;&lt;FQL&gt;&lt;Q&gt;HUBB-US^P_BETA_LOCIDX(45642,45469,,"SPX")&lt;/Q&gt;&lt;R&gt;1&lt;/R&gt;&lt;C&gt;1&lt;/C&gt;&lt;D xsi:type="xsd:double"&gt;1.489491&lt;/D&gt;&lt;/FQL&gt;&lt;FQL&gt;&lt;Q&gt;HUBB-US^P_BETA_LOCIDX(45639,45468,,"SPX")&lt;/Q&gt;&lt;R&gt;1&lt;/R&gt;&lt;C&gt;1&lt;/C&gt;&lt;D xsi:type="xsd:double"&gt;1.486376&lt;/D&gt;&lt;/FQL&gt;&lt;FQL&gt;&lt;Q&gt;HUBB-US^P_BETA_LOCIDX(45638,45467,,"SPX")&lt;/Q&gt;&lt;R&gt;1&lt;/R&gt;&lt;C&gt;1&lt;/C&gt;&lt;D xsi:type="xsd:double"&gt;1.4815192&lt;/D&gt;&lt;/FQL&gt;&lt;FQL&gt;&lt;Q&gt;HUBB-US^P_BETA_LOCIDX(45637,45464,,"SPX")&lt;/Q&gt;&lt;R&gt;1&lt;/R&gt;&lt;C&gt;1&lt;/C&gt;&lt;D xsi:type="xsd:double"&gt;1.4857965&lt;/D&gt;&lt;/FQL&gt;&lt;FQL&gt;&lt;Q&gt;HUBB-US^P_BETA_LOCIDX(45636,45463,,"SPX")&lt;/Q&gt;&lt;R&gt;1&lt;/R&gt;&lt;C&gt;1&lt;/C&gt;&lt;D xsi:type="xsd:double"&gt;1.4868125&lt;/D&gt;&lt;/FQL&gt;&lt;FQL&gt;&lt;Q&gt;HUBB-US^P_BETA_LOCIDX(45635,45461,,"SPX")&lt;/Q&gt;&lt;R&gt;1&lt;/R&gt;&lt;C&gt;1&lt;/C&gt;&lt;D xsi:type="xsd:double"&gt;1.487434&lt;/D&gt;&lt;/FQL&gt;&lt;FQL&gt;&lt;Q&gt;HUBB-US^P_BETA_LOCIDX(45632,45460,,"SPX")&lt;/Q&gt;&lt;R&gt;1&lt;/R&gt;&lt;C&gt;1&lt;/C&gt;&lt;D xsi:type="xsd:double"&gt;1.4825637&lt;/D&gt;&lt;/FQL&gt;&lt;FQL&gt;&lt;Q&gt;HUBB-US^P_BETA_LOCIDX(45631,45457,,"SPX")&lt;/Q&gt;&lt;R&gt;1&lt;/R&gt;&lt;C&gt;1&lt;/C&gt;&lt;D xsi:type="xsd:double"&gt;1.4893138&lt;/D&gt;&lt;/FQL&gt;&lt;FQL&gt;&lt;Q&gt;HUBB-US^P_BETA_LOCIDX(45630,45456,,"SPX")&lt;/Q&gt;&lt;R&gt;1&lt;/R&gt;&lt;C&gt;1&lt;/C&gt;&lt;D xsi:type="xsd:double"&gt;1.4885501&lt;/D&gt;&lt;/FQL&gt;&lt;FQL&gt;&lt;Q&gt;HUBB-US^P_BETA_LOCIDX(45629,45455,,"SPX")&lt;/Q&gt;&lt;R&gt;1&lt;/R&gt;&lt;C&gt;1&lt;/C&gt;&lt;D xsi:type="xsd:double"&gt;1.504892&lt;/D&gt;&lt;/FQL&gt;&lt;FQL&gt;&lt;Q&gt;HUBB-US^P_BETA_LOCIDX(45628,45454,,"SPX")&lt;/Q&gt;&lt;R&gt;1&lt;/R&gt;&lt;C&gt;1&lt;/C&gt;&lt;D xsi:type="xsd:double"&gt;1.5033602&lt;/D&gt;&lt;/FQL&gt;&lt;FQL&gt;&lt;Q&gt;HUBB-US^P_BETA_LOCIDX(45625,45453,,"SPX")&lt;/Q&gt;&lt;R&gt;1&lt;/R&gt;&lt;C&gt;1&lt;/C&gt;&lt;D xsi:type="xsd:double"&gt;1.5053787&lt;/D&gt;&lt;/FQL&gt;&lt;FQL&gt;&lt;Q&gt;HUBB-US^P_BETA_LOCIDX(45623,45450,,"SPX")&lt;/Q&gt;&lt;R&gt;1&lt;/R&gt;&lt;C&gt;1&lt;/C&gt;&lt;D xsi:type="xsd:double"&gt;1.5079153&lt;/D&gt;&lt;/FQL&gt;&lt;FQL&gt;&lt;Q&gt;HUBB-US^P_BETA_LOCIDX(45622,45449,,"SPX")&lt;/Q&gt;&lt;R&gt;1&lt;/R&gt;&lt;C&gt;1&lt;/C&gt;&lt;D xsi:type="xsd:double"&gt;1.5141851&lt;/D&gt;&lt;/FQL&gt;&lt;FQL&gt;&lt;Q&gt;HUBB-US^P_BETA_LOCIDX(45621,45448,,"SPX")&lt;/Q&gt;&lt;R&gt;1&lt;/R&gt;&lt;C&gt;1&lt;/C&gt;&lt;D xsi:type="xsd:double"&gt;1.532537&lt;/D&gt;&lt;/FQL&gt;&lt;FQL&gt;&lt;Q&gt;HUBB-US^P_BETA_LOCIDX(45618,45447,,"SPX")&lt;/Q&gt;&lt;R&gt;1&lt;/R&gt;&lt;C&gt;1&lt;/C&gt;&lt;D xsi:type="xsd:double"&gt;1.5301766&lt;/D&gt;&lt;/FQL&gt;&lt;FQL&gt;&lt;Q&gt;HUBB-US^P_BETA_LOCIDX(45617,45446,,"SPX")&lt;/Q&gt;&lt;R&gt;1&lt;/R&gt;&lt;C&gt;1&lt;/C&gt;&lt;D xsi:type="xsd:double"&gt;1.5289466&lt;/D&gt;&lt;/FQL&gt;&lt;FQL&gt;&lt;Q&gt;HUBB-US^P_BETA_LOCIDX(45616,45443,,"SPX")&lt;/Q&gt;&lt;R&gt;1&lt;/R&gt;&lt;C&gt;1&lt;/C&gt;&lt;D xsi:type="xsd:double"&gt;1.50784&lt;/D&gt;&lt;/FQL&gt;&lt;FQL&gt;&lt;Q&gt;HUBB-US^P_BETA_LOCIDX(45615,45442,,"SPX")&lt;/Q&gt;&lt;R&gt;1&lt;/R&gt;&lt;C&gt;1&lt;/C&gt;&lt;D xsi:type="xsd:double"&gt;1.4961585&lt;/D&gt;&lt;/FQL&gt;&lt;FQL&gt;&lt;Q&gt;HUBB-US^P_BETA_LOCIDX(45614,45441,,"SPX")&lt;/Q&gt;&lt;R&gt;1&lt;/R&gt;&lt;C&gt;1&lt;/C&gt;&lt;D xsi:type="xsd:double"&gt;1.501679&lt;/D&gt;&lt;/FQL&gt;&lt;FQL&gt;&lt;Q&gt;HUBB-US^P_BETA_LOCIDX(45611,45440,,"SPX")&lt;/Q&gt;&lt;R&gt;1&lt;/R&gt;&lt;C&gt;1&lt;/C&gt;&lt;D xsi:type="xsd:double"&gt;1.5005313&lt;/D&gt;&lt;/FQL&gt;&lt;FQL&gt;&lt;Q&gt;HUBB-US^P_BETA_LOCIDX(45610,45436,,"SPX")&lt;/Q&gt;&lt;R&gt;1&lt;/R&gt;&lt;C&gt;1&lt;/C&gt;&lt;D xsi:type="xsd:double"&gt;1.538657&lt;/D&gt;&lt;/FQL&gt;&lt;FQL&gt;&lt;Q&gt;HUBB-US^P_BETA_LOCIDX(45609,45435,,"SPX")&lt;/Q&gt;&lt;R&gt;1&lt;/R&gt;&lt;C&gt;1&lt;/C&gt;&lt;D xsi:type="xsd:double"&gt;1.5122863&lt;/D&gt;&lt;/FQL&gt;&lt;FQL&gt;&lt;Q&gt;HUBB-US^P_BETA_LOCIDX(45608,45434,,"SPX")&lt;/Q&gt;&lt;R&gt;1&lt;/R&gt;&lt;C&gt;1&lt;/C&gt;&lt;D xsi:type="xsd:double"&gt;1.5137407&lt;/D&gt;&lt;/FQL&gt;&lt;FQL&gt;&lt;Q&gt;HUBB-US^P_BETA_LOCIDX(45607,45433,,"SPX")&lt;/Q&gt;&lt;R&gt;1&lt;/R&gt;&lt;C&gt;1&lt;/C&gt;&lt;D xsi:type="xsd:double"&gt;1.5044897&lt;/D&gt;&lt;/FQL&gt;&lt;FQL&gt;&lt;Q&gt;HUBB-US^P_BETA_LOCIDX(45604,45432,,"SPX")&lt;/Q&gt;&lt;R&gt;1&lt;/R&gt;&lt;C&gt;1&lt;/C&gt;&lt;D xsi:type="xsd:double"&gt;1.5042635&lt;/D&gt;&lt;/FQL&gt;&lt;FQL&gt;&lt;Q&gt;HUBB-US^P_BETA_LOCIDX(45603,45429,,"SPX")&lt;/Q&gt;&lt;R&gt;1&lt;/R&gt;&lt;C&gt;1&lt;/C&gt;&lt;D xsi:type="xsd:double"&gt;1.5054318&lt;/D&gt;&lt;/FQL&gt;&lt;FQL&gt;&lt;Q&gt;HUBB-US^P_BETA_LOCIDX(45602,45428,,"SPX")&lt;/Q&gt;&lt;R&gt;1&lt;/R&gt;&lt;C&gt;1&lt;/C&gt;&lt;D xsi:type="xsd:double"&gt;1.5321501&lt;/D&gt;&lt;/FQL&gt;&lt;FQL&gt;&lt;Q&gt;HUBB-US^P_BETA_LOCIDX(45601,45427,,"SPX")&lt;/Q&gt;&lt;R&gt;1&lt;/R&gt;&lt;C&gt;1&lt;/C&gt;&lt;D xsi:type="xsd:double"&gt;1.4175404&lt;/D&gt;&lt;/FQL&gt;&lt;FQL&gt;&lt;Q&gt;HUBB-US^P_BETA_LOCIDX(45600,45426,,"SPX")&lt;/Q&gt;&lt;R&gt;1&lt;/R&gt;&lt;C&gt;1&lt;/C&gt;&lt;D xsi:type="xsd:double"&gt;1.3885732&lt;/D&gt;&lt;/FQL&gt;&lt;FQL&gt;&lt;Q&gt;HUBB-US^P_BETA_LOCIDX(45597,45425,,"SPX")&lt;/Q&gt;&lt;R&gt;1&lt;/R&gt;&lt;C&gt;1&lt;/C&gt;&lt;D xsi:type="xsd:double"&gt;1.3912153&lt;/D&gt;&lt;/FQL&gt;&lt;FQL&gt;&lt;Q&gt;HUBB-US^P_BETA_LOCIDX(45596,45422,,"SPX")&lt;/Q&gt;&lt;R&gt;1&lt;/R&gt;&lt;C&gt;1&lt;/C&gt;&lt;D xsi:type="xsd:double"&gt;1.3938679&lt;/D&gt;&lt;/FQL&gt;&lt;FQL&gt;&lt;Q&gt;HUBB-US^P_BETA_LOCIDX(45595,45421,,"SPX")&lt;/Q&gt;&lt;R&gt;1&lt;/R&gt;&lt;C&gt;1&lt;/C&gt;&lt;D xsi:type="xsd:double"&gt;1.4469416&lt;/D&gt;&lt;/FQL&gt;&lt;FQL&gt;&lt;Q&gt;HUBB-US^P_BETA_LOCIDX(45594,45420,,"SPX")&lt;/Q&gt;&lt;R&gt;1&lt;/R&gt;&lt;C&gt;1&lt;/C&gt;&lt;D xsi:type="xsd:double"&gt;1.4381062&lt;/D&gt;&lt;/FQL&gt;&lt;FQL&gt;&lt;Q&gt;HUBB-US^P_BETA_LOCIDX(45593,45419,,"SPX")&lt;/Q&gt;&lt;R&gt;1&lt;/R&gt;&lt;C&gt;1&lt;/C&gt;&lt;D xsi:type="xsd:double"&gt;1.4404408&lt;/D&gt;&lt;/FQL&gt;&lt;FQL&gt;&lt;Q&gt;HUBB-US^P_BETA_LOCIDX(45590,45418,,"SPX")&lt;/Q&gt;&lt;R&gt;1&lt;/R&gt;&lt;C&gt;1&lt;/C&gt;&lt;D xsi:type="xsd:double"&gt;1.4465071&lt;/D&gt;&lt;/FQL&gt;&lt;FQL&gt;&lt;Q&gt;HUBB-US^P_BETA_LOCIDX(45589,45415,,"SPX")&lt;/Q&gt;&lt;R&gt;1&lt;/R&gt;&lt;C&gt;1&lt;/C&gt;&lt;D xsi:type="xsd:double"&gt;1.4450275&lt;/D&gt;&lt;/FQL&gt;&lt;FQL&gt;&lt;Q&gt;HUBB-US^P_BETA_LOCIDX(45588,45414,,"SPX")&lt;/Q&gt;&lt;R&gt;1&lt;/R&gt;&lt;C&gt;1&lt;/C&gt;&lt;D xsi:type="xsd:double"&gt;1.4300872&lt;/D&gt;&lt;/FQL&gt;&lt;FQL&gt;&lt;Q&gt;HUBB-US^P_BETA_LOCIDX(45587,45413,,"SPX")&lt;/Q&gt;&lt;R&gt;1&lt;/R&gt;&lt;C&gt;1&lt;/C&gt;&lt;D xsi:type="xsd:double"&gt;1.4294051&lt;/D&gt;&lt;/FQL&gt;&lt;FQL&gt;&lt;Q&gt;HUBB-US^P_BETA_LOCIDX(45586,45412,,"SPX")&lt;/Q&gt;&lt;R&gt;1&lt;/R&gt;&lt;C&gt;1&lt;/C&gt;&lt;D xsi:type="xsd:double"&gt;1.5636718&lt;/D&gt;&lt;/FQL&gt;&lt;FQL&gt;&lt;Q&gt;HUBB-US^P_BETA_LOCIDX(45583,45411,,"SPX")&lt;/Q&gt;&lt;R&gt;1&lt;/R&gt;&lt;C&gt;1&lt;/C&gt;&lt;D xsi:type="xsd:double"&gt;1.5636011&lt;/D&gt;&lt;/FQL&gt;&lt;FQL&gt;&lt;Q&gt;HUBB-US^P_BETA_LOCIDX(45582,45408,,"SPX")&lt;/Q&gt;&lt;R&gt;1&lt;/R&gt;&lt;C&gt;1&lt;/C&gt;&lt;D xsi:type="xsd:double"&gt;1.563546&lt;/D&gt;&lt;/FQL&gt;&lt;FQL&gt;&lt;Q&gt;HUBB-US^P_BETA_LOCIDX(45581,45407,,"SPX")&lt;/Q&gt;&lt;R&gt;1&lt;/R&gt;&lt;C&gt;1&lt;/C&gt;&lt;D xsi:type="xsd:double"&gt;1.5531161&lt;/D&gt;&lt;/FQL&gt;&lt;FQL&gt;&lt;Q&gt;HUBB-US^P_BETA_LOCIDX(45580,45406,,"SPX")&lt;/Q&gt;&lt;R&gt;1&lt;/R&gt;&lt;C&gt;1&lt;/C&gt;&lt;D xsi:type="xsd:double"&gt;1.553262&lt;/D&gt;&lt;/FQL&gt;&lt;FQL&gt;&lt;Q&gt;HUBB-US^P_BETA_LOCIDX(45579,45405,,"SPX")&lt;/Q&gt;&lt;R&gt;1&lt;/R&gt;&lt;C&gt;1&lt;/C&gt;&lt;D xsi:type="xsd:double"&gt;1.5466485&lt;/D&gt;&lt;/FQL&gt;&lt;FQL&gt;&lt;Q&gt;HUBB-US^P_BETA_LOCIDX(45576,45404,,"SPX")&lt;/Q&gt;&lt;R&gt;1&lt;/R&gt;&lt;C&gt;1&lt;/C&gt;&lt;D xsi:type="xsd:double"&gt;1.5430775&lt;/D&gt;&lt;/FQL&gt;&lt;FQL&gt;&lt;Q&gt;HUBB-US^P_BETA_LOCIDX(45575,45401,,"SPX")&lt;/Q&gt;&lt;R&gt;1&lt;/R&gt;&lt;C&gt;1&lt;/C&gt;&lt;D xsi:type="xsd:double"&gt;1.5275413&lt;/D&gt;&lt;/FQL&gt;&lt;FQL&gt;&lt;Q&gt;HUBB-US^P_BETA_LOCIDX(45574,45400,,"SPX")&lt;/Q&gt;&lt;R&gt;1&lt;/R&gt;&lt;C&gt;1&lt;/C&gt;&lt;D xsi:type="xsd:double"&gt;1.5209166&lt;/D&gt;&lt;/FQL&gt;&lt;FQL&gt;&lt;Q&gt;HUBB-US^P_BETA_LOCIDX(45573,45399,,"SPX")&lt;/Q&gt;&lt;R&gt;1&lt;/R&gt;&lt;C&gt;1&lt;/C&gt;&lt;D xsi:type="xsd:double"&gt;1.5182873&lt;/D&gt;&lt;/FQL&gt;&lt;FQL&gt;&lt;Q&gt;HUBB-US^P_BETA_LOCIDX(45572,45398,,"SPX")&lt;/Q&gt;&lt;R&gt;1&lt;/R&gt;&lt;C&gt;1&lt;/C&gt;&lt;D xsi:type="xsd:double"&gt;1.5308896&lt;/D&gt;&lt;/FQL&gt;&lt;FQL&gt;&lt;Q&gt;HUBB-US^P_BETA_LOCIDX(45569,45397,,"SPX")&lt;/Q&gt;&lt;R&gt;1&lt;/R&gt;&lt;C&gt;1&lt;/C&gt;&lt;D xsi:type="xsd:double"&gt;1.5427836&lt;/D&gt;&lt;/FQL&gt;&lt;FQL&gt;&lt;Q&gt;HUBB-US^P_BETA_LOCIDX(45568,45394,,"SPX")&lt;/Q&gt;&lt;R&gt;1&lt;/R&gt;&lt;C&gt;1&lt;/C&gt;&lt;D xsi:type="xsd:double"&gt;1.5251765&lt;/D&gt;&lt;/FQL&gt;&lt;FQL&gt;&lt;Q&gt;HUBB-US^P_BETA_LOCIDX(45567,45393,,"SPX")&lt;/Q&gt;&lt;R&gt;1&lt;/R&gt;&lt;C&gt;1&lt;/C&gt;&lt;D xsi:type="xsd:double"&gt;1.5154947&lt;/D&gt;&lt;/FQL&gt;&lt;FQL&gt;&lt;Q&gt;HUBB-US^P_BETA_LOCIDX(45566,45392,,"SPX")&lt;/Q&gt;&lt;R&gt;1&lt;/R&gt;&lt;C&gt;1&lt;/C&gt;&lt;D xsi:type="xsd:double"&gt;1.504562&lt;/D&gt;&lt;/FQL&gt;&lt;FQL&gt;&lt;Q&gt;HUBB-US^P_BETA_LOCIDX(45565,45391,,"SPX")&lt;/Q&gt;&lt;R&gt;1&lt;/R&gt;&lt;C&gt;1&lt;/C&gt;&lt;D xsi:type="xsd:double"&gt;1.5176873&lt;/D&gt;&lt;/FQL&gt;&lt;FQL&gt;&lt;Q&gt;HUBB-US^P_BETA_LOCIDX(45562,45390,,"SPX")&lt;/Q&gt;&lt;R&gt;1&lt;/R&gt;&lt;C&gt;1&lt;/C&gt;&lt;D xsi:type="xsd:double"&gt;1.5202231&lt;/D&gt;&lt;/FQL&gt;&lt;FQL&gt;&lt;Q&gt;HUBB-US^P_BETA_LOCIDX(45561,45387,,"SPX")&lt;/Q&gt;&lt;R&gt;1&lt;/R&gt;&lt;C&gt;1&lt;/C&gt;&lt;D xsi:type="xsd:double"&gt;1.5153548&lt;/D&gt;&lt;/FQL&gt;&lt;FQL&gt;&lt;Q&gt;HUBB-US^P_BETA_LOCIDX(45560,45386,,"SPX")&lt;/Q&gt;&lt;R&gt;1&lt;/R&gt;&lt;C&gt;1&lt;/C&gt;&lt;D xsi:type="xsd:double"&gt;1.5261587&lt;/D&gt;&lt;/FQL&gt;&lt;FQL&gt;&lt;Q&gt;HUBB-US^P_BETA_LOCIDX(45559,45385,,"SPX")&lt;/Q&gt;&lt;R&gt;1&lt;/R&gt;&lt;C&gt;1&lt;/C&gt;&lt;D xsi:type="xsd:double"&gt;1.5273932&lt;/D&gt;&lt;/FQL&gt;&lt;FQL&gt;&lt;Q&gt;HUBB-US^P_BETA_LOCIDX(45558,45384,,"SPX")&lt;/Q&gt;&lt;R&gt;1&lt;/R&gt;&lt;C&gt;1&lt;/C&gt;&lt;D xsi:type="xsd:double"&gt;1.5208806&lt;/D&gt;&lt;/FQL&gt;&lt;FQL&gt;&lt;Q&gt;HUBB-US^P_BETA_LOCIDX(45555,45383,,"SPX")&lt;/Q&gt;&lt;R&gt;1&lt;/R&gt;&lt;C&gt;1&lt;/C&gt;&lt;D xsi:type="xsd:double"&gt;1.5189687&lt;/D&gt;&lt;/FQL&gt;&lt;FQL&gt;&lt;Q&gt;HUBB-US^P_BETA_LOCIDX(45554,45379,,"SPX")&lt;/Q&gt;&lt;R&gt;1&lt;/R&gt;&lt;C&gt;1&lt;/C&gt;&lt;D xsi:type="xsd:double"&gt;1.5225523&lt;/D&gt;&lt;/FQL&gt;&lt;FQL&gt;&lt;Q&gt;HUBB-US^P_BETA_LOCIDX(45553,45378,,"SPX")&lt;/Q&gt;&lt;R&gt;1&lt;/R&gt;&lt;C&gt;1&lt;/C&gt;&lt;D xsi:type="xsd:double"&gt;1.5017451&lt;/D&gt;&lt;/FQL&gt;&lt;FQL&gt;&lt;Q&gt;HUBB-US^P_BETA_LOCIDX(45552,45377,,"SPX")&lt;/Q&gt;&lt;R&gt;1&lt;/R&gt;&lt;C&gt;1&lt;/C&gt;&lt;D xsi:type="xsd:double"&gt;1.5002519&lt;/D&gt;&lt;/FQL&gt;&lt;FQL&gt;&lt;Q&gt;HUBB-US^P_BETA_LOCIDX(45551,45376,,"SPX")&lt;/Q&gt;&lt;R&gt;1&lt;/R&gt;&lt;C&gt;1&lt;/C&gt;&lt;D xsi:type="xsd:double"&gt;1.5030783&lt;/D&gt;&lt;/FQL&gt;&lt;FQL&gt;&lt;Q&gt;HUBB-US^P_BETA_LOCIDX(45548,45373,,"SPX")&lt;/Q&gt;&lt;R&gt;1&lt;/R&gt;&lt;C&gt;1&lt;/C&gt;&lt;D xsi:type="xsd:double"&gt;1.5000962&lt;/D&gt;&lt;/FQL&gt;&lt;FQL&gt;&lt;Q&gt;HUBB-US^P_BETA_LOCIDX(45547,45372,,"SPX")&lt;/Q&gt;&lt;R&gt;1&lt;/R&gt;&lt;C&gt;1&lt;/C&gt;&lt;D xsi:type="xsd:double"&gt;1.5015333&lt;/D&gt;&lt;/FQL&gt;&lt;FQL&gt;&lt;Q&gt;HUBB-US^P_BETA_LOCIDX(45546,45371,,"SPX")&lt;/Q&gt;&lt;R&gt;1&lt;/R&gt;&lt;C&gt;1&lt;/C&gt;&lt;D xsi:type="xsd:double"&gt;1.5088842&lt;/D&gt;&lt;/FQL&gt;&lt;FQL&gt;&lt;Q&gt;HUBB-US^P_BETA_LOCIDX(45545,45370,,"SPX")&lt;/Q&gt;&lt;R&gt;1&lt;/R&gt;&lt;C&gt;1&lt;/C&gt;&lt;D xsi:type="xsd:double"&gt;1.4793254&lt;/D&gt;&lt;/FQL&gt;&lt;FQL&gt;&lt;Q&gt;HUBB-US^P_BETA_LOCIDX(45544,45369,,"SPX")&lt;/Q&gt;&lt;R&gt;1&lt;/R&gt;&lt;C&gt;1&lt;/C&gt;&lt;D xsi:type="xsd:double"&gt;1.4813498&lt;/D&gt;&lt;/FQL&gt;&lt;FQL&gt;&lt;Q&gt;HUBB-US^P_BETA_LOCIDX(45541,45366,,"SPX")&lt;/Q&gt;&lt;R&gt;1&lt;/R&gt;&lt;C&gt;1&lt;/C&gt;&lt;D xsi:type="xsd:double"&gt;1.4819777&lt;/D&gt;&lt;/FQL&gt;&lt;FQL&gt;&lt;Q&gt;HUBB-US^P_BETA_LOCIDX(45540,45365,,"SPX")&lt;/Q&gt;&lt;R&gt;1&lt;/R&gt;&lt;C&gt;1&lt;/C&gt;&lt;D xsi:type="xsd:double"&gt;1.5369235&lt;/D&gt;&lt;/FQL&gt;&lt;FQL&gt;&lt;Q&gt;HUBB-US^P_BETA_LOCIDX(45539,45364,,"SPX")&lt;/Q&gt;&lt;R&gt;1&lt;/R&gt;&lt;C&gt;1&lt;/C&gt;&lt;D xsi:type="xsd:double"&gt;1.5312885&lt;/D&gt;&lt;/FQL&gt;&lt;FQL&gt;&lt;Q&gt;HUBB-US^P_BETA_LOCIDX(45538,45363,,"SPX")&lt;/Q&gt;&lt;R&gt;1&lt;/R&gt;&lt;C&gt;1&lt;/C&gt;&lt;D xsi:type="xsd:double"&gt;1.539796&lt;/D&gt;&lt;/FQL&gt;&lt;FQL&gt;&lt;Q&gt;HUBB-US^P_BETA_LOCIDX(45534,45362,,"SPX")&lt;/Q&gt;&lt;R&gt;1&lt;/R&gt;&lt;C&gt;1&lt;/C&gt;&lt;D xsi:type="xsd:double"&gt;1.4910426&lt;/D&gt;&lt;/FQL&gt;&lt;FQL&gt;&lt;Q&gt;HUBB-US^P_BETA_LOCIDX(45533,45359,,"SPX")&lt;/Q&gt;&lt;R&gt;1&lt;/R&gt;&lt;C&gt;1&lt;/C&gt;&lt;D xsi:type="xsd:double"&gt;1.4845705&lt;/D&gt;&lt;/FQL&gt;&lt;FQL&gt;&lt;Q&gt;HUBB-US^P_BETA_LOCIDX(45532,45358,,"SPX")&lt;/Q&gt;&lt;R&gt;1&lt;/R&gt;&lt;C&gt;1&lt;/C&gt;&lt;D xsi:type="xsd:double"&gt;1.4845496&lt;/D&gt;&lt;/FQL&gt;&lt;FQL&gt;&lt;Q&gt;HUBB-US^P_BETA_LOCIDX(45531,45357,,"SPX")&lt;/Q&gt;&lt;R&gt;1&lt;/R&gt;&lt;C&gt;1&lt;/C&gt;&lt;D xsi:type="xsd:double"&gt;1.5018637&lt;/D&gt;&lt;/FQL&gt;&lt;FQL&gt;&lt;Q&gt;HUBB-US^P_BETA_LOCIDX(45530,45356,,"SPX")&lt;/Q&gt;&lt;R&gt;1&lt;/R&gt;&lt;C&gt;1&lt;/C&gt;&lt;D xsi:type="xsd:double"&gt;1.5039918&lt;/D&gt;&lt;/FQL&gt;&lt;FQL&gt;&lt;Q&gt;HUBB-US^P_BETA_LOCIDX(45527,45355,,"SPX")&lt;/Q&gt;&lt;R&gt;1&lt;/R&gt;&lt;C&gt;1&lt;/C&gt;&lt;D xsi:type="xsd:double"&gt;1.5033706&lt;/D&gt;&lt;/FQL&gt;&lt;FQL&gt;&lt;Q&gt;HUBB-US^P_BETA_LOCIDX(45526,45352,,"SPX")&lt;/Q&gt;&lt;R&gt;1&lt;/R&gt;&lt;C&gt;1&lt;/C&gt;&lt;D xsi:type="xsd:double"&gt;1.4979372&lt;/D&gt;&lt;/FQL&gt;&lt;FQL&gt;&lt;Q&gt;HUBB-US^P_BETA_LOCIDX(45525,45351,,"SPX")&lt;/Q&gt;&lt;R&gt;1&lt;/R&gt;&lt;C&gt;1&lt;/C&gt;&lt;D xsi:type="xsd:double"&gt;1.5350536&lt;/D&gt;&lt;/FQL&gt;&lt;FQL&gt;&lt;Q&gt;HUBB-US^P_BETA_LOCIDX(45524,45350,,"SPX")&lt;/Q&gt;&lt;R&gt;1&lt;/R&gt;&lt;C&gt;1&lt;/C&gt;&lt;D xsi:type="xsd:double"&gt;1.528292&lt;/D&gt;&lt;/FQL&gt;&lt;FQL&gt;&lt;Q&gt;HUBB-US^P_BETA_LOCIDX(45523,45349,,"SPX")&lt;/Q&gt;&lt;R&gt;1&lt;/R&gt;&lt;C&gt;1&lt;/C&gt;&lt;D xsi:type="xsd:double"&gt;1.5244141&lt;/D&gt;&lt;/FQL&gt;&lt;FQL&gt;&lt;Q&gt;HUBB-US^P_BETA_LOCIDX(45520,45348,,"SPX")&lt;/Q&gt;&lt;R&gt;1&lt;/R&gt;&lt;C&gt;1&lt;/C&gt;&lt;D xsi:type="xsd:double"&gt;1.5245576&lt;/D&gt;&lt;/FQL&gt;&lt;FQL&gt;&lt;Q&gt;HUBB-US^P_BETA_LOCIDX(45519,45345,,"SPX")&lt;/Q&gt;&lt;R&gt;1&lt;/R&gt;&lt;C&gt;1&lt;/C&gt;&lt;D xsi:type="xsd:double"&gt;1.5276953&lt;/D&gt;&lt;/FQL&gt;&lt;FQL&gt;&lt;Q&gt;HUBB-US^P_BETA_LOCIDX(45518,45344,,"SPX")&lt;/Q&gt;&lt;R&gt;1&lt;/R&gt;&lt;C&gt;1&lt;/C&gt;&lt;D xsi:type="xsd:double"&gt;1.5620803&lt;/D&gt;&lt;/FQL&gt;&lt;FQL&gt;&lt;Q&gt;HUBB-US^P_BETA_LOCIDX(45517,45343,,"SPX")&lt;/Q&gt;&lt;R&gt;1&lt;/R&gt;&lt;C&gt;1&lt;/C&gt;&lt;D xsi:type="xsd:double"&gt;1.5592444&lt;/D&gt;&lt;/FQL&gt;&lt;FQL&gt;&lt;Q&gt;HUBB-US^P_BETA_LOCIDX(45516,45342,,"SPX")&lt;/Q&gt;&lt;R&gt;1&lt;/R&gt;&lt;C&gt;1&lt;/C&gt;&lt;D xsi:type="xsd:double"&gt;1.6022087&lt;/D&gt;&lt;/FQL&gt;&lt;FQL&gt;&lt;Q&gt;HUBB-US^P_BETA_LOCIDX(45513,45338,,"SPX")&lt;/Q&gt;&lt;R&gt;1&lt;/R&gt;&lt;C&gt;1&lt;/C&gt;&lt;D xsi:type="xsd:double"&gt;1.5958295&lt;/D&gt;&lt;/FQL&gt;&lt;FQL&gt;&lt;Q&gt;HUBB-US^P_BETA_LOCIDX(45512,45337,,"SPX")&lt;/Q&gt;&lt;R&gt;1&lt;/R&gt;&lt;C&gt;1&lt;/C&gt;&lt;D xsi:type="xsd:double"&gt;1.5872425&lt;/D&gt;&lt;/FQL&gt;&lt;FQL&gt;&lt;Q&gt;HUBB-US^P_BETA_LOCIDX(45511,45336,,"SPX")&lt;/Q&gt;&lt;R&gt;1&lt;/R&gt;&lt;C&gt;1&lt;/C&gt;&lt;D xsi:type="xsd:double"&gt;1.5790813&lt;/D&gt;&lt;/FQL&gt;&lt;FQL&gt;&lt;Q&gt;HUBB-US^P_BETA_LOCIDX(45510,45335,,"SPX")&lt;/Q&gt;&lt;R&gt;1&lt;/R&gt;&lt;C&gt;1&lt;/C&gt;&lt;D xsi:type="xsd:double"&gt;1.5830349&lt;/D&gt;&lt;/FQL&gt;&lt;FQL&gt;&lt;Q&gt;HUBB-US^P_BETA_LOCIDX(45509,45334,,"SPX")&lt;/Q&gt;&lt;R&gt;1&lt;/R&gt;&lt;C&gt;1&lt;/C&gt;&lt;D xsi:type="xsd:double"&gt;1.6179198&lt;/D&gt;&lt;/FQL&gt;&lt;FQL&gt;&lt;Q&gt;HUBB-US^P_BETA_LOCIDX(45506,45331,,"SPX")&lt;/Q&gt;&lt;R&gt;1&lt;/R&gt;&lt;C&gt;1&lt;/C&gt;&lt;D xsi:type="xsd:double"&gt;1.8226564&lt;/D&gt;&lt;/FQL&gt;&lt;FQL&gt;&lt;Q&gt;HUBB-US^P_BETA_LOCIDX(45505,45330,,"SPX")&lt;/Q&gt;&lt;R&gt;1&lt;/R&gt;&lt;C&gt;1&lt;/C&gt;&lt;D xsi:type="xsd:double"&gt;1.8176122&lt;/D&gt;&lt;/FQL&gt;&lt;FQL&gt;&lt;Q&gt;HUBB-US^P_BETA_LOCIDX(45504,45329,,"SPX")&lt;/Q&gt;&lt;R&gt;1&lt;/R&gt;&lt;C&gt;1&lt;/C&gt;&lt;D xsi:type="xsd:double"&gt;1.782141&lt;/D&gt;&lt;/FQL&gt;&lt;FQL&gt;&lt;Q&gt;HUBB-US^P_BETA_LOCIDX(45503,45328,,"SPX")&lt;/Q&gt;&lt;R&gt;1&lt;/R&gt;&lt;C&gt;1&lt;/C&gt;&lt;D xsi:type="xsd:double"&gt;1.745178&lt;/D&gt;&lt;/FQL&gt;&lt;FQL&gt;&lt;Q&gt;HUBB-US^P_BETA_LOCIDX(45502,45327,,"SPX")&lt;/Q&gt;&lt;R&gt;1&lt;/R&gt;&lt;C&gt;1&lt;/C&gt;&lt;D xsi:type="xsd:double"&gt;1.7904054&lt;/D&gt;&lt;/FQL&gt;&lt;FQL&gt;&lt;Q&gt;HUBB-US^P_BETA_LOCIDX(45499,45324,,"SPX")&lt;/Q&gt;&lt;R&gt;1&lt;/R&gt;&lt;C&gt;1&lt;/C&gt;&lt;D xsi:type="xsd:double"&gt;1.8097712&lt;/D&gt;&lt;/FQL&gt;&lt;FQL&gt;&lt;Q&gt;HUBB-US^P_BETA_LOCIDX(45498,45323,,"SPX")&lt;/Q&gt;&lt;R&gt;1&lt;/R&gt;&lt;C&gt;1&lt;/C&gt;&lt;D xsi:type="xsd:double"&gt;1.7922412&lt;/D&gt;&lt;/FQL&gt;&lt;FQL&gt;&lt;Q&gt;HUBB-US^P_BETA_LOCIDX(45497,45322,,"SPX")&lt;/Q&gt;&lt;R&gt;1&lt;/R&gt;&lt;C&gt;1&lt;/C&gt;&lt;D xsi:type="xsd:double"&gt;1.7861055&lt;/D&gt;&lt;/FQL&gt;&lt;FQL&gt;&lt;Q&gt;HUBB-US^P_BETA_LOCIDX(45496,45321,,"SPX")&lt;/Q&gt;&lt;R&gt;1&lt;/R&gt;&lt;C&gt;1&lt;/C&gt;&lt;D xsi:type="xsd:double"&gt;1.7023735&lt;/D&gt;&lt;/FQL&gt;&lt;FQL&gt;&lt;Q&gt;HUBB-US^P_BETA_LOCIDX(45495,45320,,"SPX")&lt;/Q&gt;&lt;R&gt;1&lt;/R&gt;&lt;C&gt;1&lt;/C&gt;&lt;D xsi:type="xsd:double"&gt;1.7024888&lt;/D&gt;&lt;/FQL&gt;&lt;FQL&gt;&lt;Q&gt;HUBB-US^P_BETA_LOCIDX(45492,45317,,"SPX")&lt;/Q&gt;&lt;R&gt;1&lt;/R&gt;&lt;C&gt;1&lt;/C&gt;&lt;D xsi:type="xsd:double"&gt;1.6949546&lt;/D&gt;&lt;/FQL&gt;&lt;FQL&gt;&lt;Q&gt;HUBB-US^P_BETA_LOCIDX(45491,45316,,"SPX")&lt;/Q&gt;&lt;R&gt;1&lt;/R&gt;&lt;C&gt;1&lt;/C&gt;&lt;D xsi:type="xsd:double"&gt;1.7261904&lt;/D&gt;&lt;/FQL&gt;&lt;FQL&gt;&lt;Q&gt;HUBB-US^P_BETA_LOCIDX(45490,45315,,"SPX")&lt;/Q&gt;&lt;R&gt;1&lt;/R&gt;&lt;C&gt;1&lt;/C&gt;&lt;D xsi:type="xsd:double"&gt;1.7596176&lt;/D&gt;&lt;/FQL&gt;&lt;FQL&gt;&lt;Q&gt;HUBB-US^P_BETA_LOCIDX(45489,45314,,"SPX")&lt;/Q&gt;&lt;R&gt;1&lt;/R&gt;&lt;C&gt;1&lt;/C&gt;&lt;D xsi:type="xsd:double"&gt;1.6459233&lt;/D&gt;&lt;/FQL&gt;&lt;FQL&gt;&lt;Q&gt;HUBB-US^P_BETA_LOCIDX(45488,45313,,"SPX")&lt;/Q&gt;&lt;R&gt;1&lt;/R&gt;&lt;C&gt;1&lt;/C&gt;&lt;D xsi:type="xsd:double"&gt;1.6140769&lt;/D&gt;&lt;/FQL&gt;&lt;FQL&gt;&lt;Q&gt;HUBB-US^P_BETA_LOCIDX(45485,45310,,"SPX")&lt;/Q&gt;&lt;R&gt;1&lt;/R&gt;&lt;C&gt;1&lt;/C&gt;&lt;D xsi:type="xsd:double"&gt;1.6051227&lt;/D&gt;&lt;/FQL&gt;&lt;FQL&gt;&lt;Q&gt;HUBB-US^P_BETA_LOCIDX(45484,45309,,"SPX")&lt;/Q&gt;&lt;R&gt;1&lt;/R&gt;&lt;C&gt;1&lt;/C&gt;&lt;D xsi:type="xsd:double"&gt;1.6073748&lt;/D&gt;&lt;/FQL&gt;&lt;FQL&gt;&lt;Q&gt;HUBB-US^P_BETA_LOCIDX(45483,45308,,"SPX")&lt;/Q&gt;&lt;R&gt;1&lt;/R&gt;&lt;C&gt;1&lt;/C&gt;&lt;D xsi:type="xsd:double"&gt;1.6605829&lt;/D&gt;&lt;/FQL&gt;&lt;FQL&gt;&lt;Q&gt;HUBB-US^P_BETA_LOCIDX(45482,45307,,"SPX")&lt;/Q&gt;&lt;R&gt;1&lt;/R&gt;&lt;C&gt;1&lt;/C&gt;&lt;D xsi:type="xsd:double"&gt;1.6651424&lt;/D&gt;&lt;/FQL&gt;&lt;FQL&gt;&lt;Q&gt;HUBB-US^P_BETA_LOCIDX(45481,45303,,"SPX")&lt;/Q&gt;&lt;R&gt;1&lt;/R&gt;&lt;C&gt;1&lt;/C&gt;&lt;D xsi:type="xsd:double"&gt;1.6635547&lt;/D&gt;&lt;/FQL&gt;&lt;FQL&gt;&lt;Q&gt;HUBB-US^P_BETA_LOCIDX(45478,45302,,"SPX")&lt;/Q&gt;&lt;R&gt;1&lt;/R&gt;&lt;C&gt;1&lt;/C&gt;&lt;D xsi:type="xsd:double"&gt;1.6611104&lt;/D&gt;&lt;/FQL&gt;&lt;FQL&gt;&lt;Q&gt;HUBB-US^P_BETA_LOCIDX(45476,45301,,"SPX")&lt;/Q&gt;&lt;R&gt;1&lt;/R&gt;&lt;C&gt;1&lt;/C&gt;&lt;D xsi:type="xsd:double"&gt;1.6522108&lt;/D&gt;&lt;/FQL&gt;&lt;FQL&gt;&lt;Q&gt;HUBB-US^P_BETA_LOCIDX(45475,45300,,"SPX")&lt;/Q&gt;&lt;R&gt;1&lt;/R&gt;&lt;C&gt;1&lt;/C&gt;&lt;D xsi:type="xsd:double"&gt;1.6373792&lt;/D&gt;&lt;/FQL&gt;&lt;FQL&gt;&lt;Q&gt;HUBB-US^P_BETA_LOCIDX(45474,45299,,"SPX")&lt;/Q&gt;&lt;R&gt;1&lt;/R&gt;&lt;C&gt;1&lt;/C&gt;&lt;D xsi:type="xsd:double"&gt;1.6115109&lt;/D&gt;&lt;/FQL&gt;&lt;FQL&gt;&lt;Q&gt;HUBB-US^P_BETA_LOCIDX(45471,45296,,"SPX")&lt;/Q&gt;&lt;R&gt;1&lt;/R&gt;&lt;C&gt;1&lt;/C&gt;&lt;D xsi:type="xsd:double"&gt;1.616055&lt;/D&gt;&lt;/FQL&gt;&lt;FQL&gt;&lt;Q&gt;HUBB-US^P_BETA_LOCIDX(45470,45295,,"SPX")&lt;/Q&gt;&lt;R&gt;1&lt;/R&gt;&lt;C&gt;1&lt;/C&gt;&lt;D xsi:type="xsd:double"&gt;1.597758&lt;/D&gt;&lt;/FQL&gt;&lt;FQL&gt;&lt;Q&gt;HUBB-US^P_BETA_LOCIDX(45469,45294,,"SPX")&lt;/Q&gt;&lt;R&gt;1&lt;/R&gt;&lt;C&gt;1&lt;/C&gt;&lt;D xsi:type="xsd:double"&gt;1.6215115&lt;/D&gt;&lt;/FQL&gt;&lt;FQL&gt;&lt;Q&gt;HUBB-US^P_BETA_LOCIDX(45468,45293,,"SPX")&lt;/Q&gt;&lt;R&gt;1&lt;/R&gt;&lt;C&gt;1&lt;/C&gt;&lt;D xsi:type="xsd:double"&gt;1.6219801&lt;/D&gt;&lt;/FQL&gt;&lt;FQL&gt;&lt;Q&gt;HUBB-US^P_BETA_LOCIDX(45467,45289,,"SPX")&lt;/Q&gt;&lt;R&gt;1&lt;/R&gt;&lt;C&gt;1&lt;/C&gt;&lt;D xsi:type="xsd:double"&gt;1.6215738&lt;/D&gt;&lt;/FQL&gt;&lt;FQL&gt;&lt;Q&gt;HUBB-US^P_BETA_LOCIDX(45464,45288,,"SPX")&lt;/Q&gt;&lt;R&gt;1&lt;/R&gt;&lt;C&gt;1&lt;/C&gt;&lt;D xsi:type="xsd:double"&gt;1.6299497&lt;/D&gt;&lt;/FQL&gt;&lt;FQL&gt;&lt;Q&gt;HUBB-US^P_BETA_LOCIDX(45463,45287,,"SPX")&lt;/Q&gt;&lt;R&gt;1&lt;/R&gt;&lt;C&gt;1&lt;/C&gt;&lt;D xsi:type="xsd:double"&gt;1.6277792&lt;/D&gt;&lt;/FQL&gt;&lt;FQL&gt;&lt;Q&gt;HUBB-US^P_BETA_LOCIDX(45461,45286,,"SPX")&lt;/Q&gt;&lt;R&gt;1&lt;/R&gt;&lt;C&gt;1&lt;/C&gt;&lt;D xsi:type="xsd:double"&gt;1.6189721&lt;/D&gt;&lt;/FQL&gt;&lt;FQL&gt;&lt;Q&gt;HUBB-US^P_BETA_LOCIDX(45460,45282,,"SPX")&lt;/Q&gt;&lt;R&gt;1&lt;/R&gt;&lt;C&gt;1&lt;/C&gt;&lt;D xsi:type="xsd:double"&gt;1.6162246&lt;/D&gt;&lt;/FQL&gt;&lt;FQL&gt;&lt;Q&gt;HUBB-US^P_BETA_LOCIDX(45457,45281,,"SPX")&lt;/Q&gt;&lt;R&gt;1&lt;/R&gt;&lt;C&gt;1&lt;/C&gt;&lt;D xsi:type="xsd:double"&gt;1.5998437&lt;/D&gt;&lt;/FQL&gt;&lt;FQL&gt;&lt;Q&gt;HUBB-US^P_BETA_LOCIDX(45456,45280,,"SPX")&lt;/Q&gt;&lt;R&gt;1&lt;/R&gt;&lt;C&gt;1&lt;/C&gt;&lt;D xsi:type="xsd:double"&gt;1.549882&lt;/D&gt;&lt;/FQL&gt;&lt;FQL&gt;&lt;Q&gt;HUBB-US^P_BETA_LOCIDX(45455,45279,,"SPX")&lt;/Q&gt;&lt;R&gt;1&lt;/R&gt;&lt;C&gt;1&lt;/C&gt;&lt;D xsi:type="xsd:double"&gt;1.5390258&lt;/D&gt;&lt;/FQL&gt;&lt;FQL&gt;&lt;Q&gt;HUBB-US^P_BETA_LOCIDX(45454,45278,,"SPX")&lt;/Q&gt;&lt;R&gt;1&lt;/R&gt;&lt;C&gt;1&lt;/C&gt;&lt;D xsi:type="xsd:double"&gt;1.4962693&lt;/D&gt;&lt;/FQL&gt;&lt;FQL&gt;&lt;Q&gt;HUBB-US^P_BETA_LOCIDX(45453,45275,,"SPX")&lt;/Q&gt;&lt;R&gt;1&lt;/R&gt;&lt;C&gt;1&lt;/C&gt;&lt;D xsi:type="xsd:double"&gt;1.4989636&lt;/D&gt;&lt;/FQL&gt;&lt;FQL&gt;&lt;Q&gt;HUBB-US^P_BETA_LOCIDX(45450,45274,,"SPX")&lt;/Q&gt;&lt;R&gt;1&lt;/R&gt;&lt;C&gt;1&lt;/C&gt;&lt;D xsi:type="xsd:double"&gt;1.5074165&lt;/D&gt;&lt;/FQL&gt;&lt;FQL&gt;&lt;Q&gt;HUBB-US^P_BETA_LOCIDX(45449,45273,,"SPX")&lt;/Q&gt;&lt;R&gt;1&lt;/R&gt;&lt;C&gt;1&lt;/C&gt;&lt;D xsi:type="xsd:double"&gt;1.4396319&lt;/D&gt;&lt;/FQL&gt;&lt;FQL&gt;&lt;Q&gt;HUBB-US^P_BETA_LOCIDX(45448,45272,,"SPX")&lt;/Q&gt;&lt;R&gt;1&lt;/R&gt;&lt;C&gt;1&lt;/C&gt;&lt;D xsi:type="xsd:double"&gt;1.4338671&lt;/D&gt;&lt;/FQL&gt;&lt;FQL&gt;&lt;Q&gt;HUBB-US^P_BETA_LOCIDX(45447,45271,,"SPX")&lt;/Q&gt;&lt;R&gt;1&lt;/R&gt;&lt;C&gt;1&lt;/C&gt;&lt;D xsi:type="xsd:double"&gt;1.4240881&lt;/D&gt;&lt;/FQL&gt;&lt;FQL&gt;&lt;Q&gt;HUBB-US^P_BETA_LOCIDX(45446,45268,,"SPX")&lt;/Q&gt;&lt;R&gt;1&lt;/R&gt;&lt;C&gt;1&lt;/C&gt;&lt;D xsi:type="xsd:double"&gt;1.4262952&lt;/D&gt;&lt;/FQL&gt;&lt;FQL&gt;&lt;Q&gt;HUBB-US^P_BETA_LOCIDX(45443,45267,,"SPX")&lt;/Q&gt;&lt;R&gt;1&lt;/R&gt;&lt;C&gt;1&lt;/C&gt;&lt;D xsi:type="xsd:double"&gt;1.4234049&lt;/D&gt;&lt;/FQL&gt;&lt;FQL&gt;&lt;Q&gt;HUBB-US^P_BETA_LOCIDX(45442,45266,,"SPX")&lt;/Q&gt;&lt;R&gt;1&lt;/R&gt;&lt;C&gt;1&lt;/C&gt;&lt;D xsi:type="xsd:double"&gt;1.4278448&lt;/D&gt;&lt;/FQL&gt;&lt;FQL&gt;&lt;Q&gt;HUBB-US^P_BETA_LOCIDX(45441,45265,,"SPX")&lt;/Q&gt;&lt;R&gt;1&lt;/R&gt;&lt;C&gt;1&lt;/C&gt;&lt;D xsi:type="xsd:double"&gt;1.4453088&lt;/D&gt;&lt;/FQL&gt;&lt;FQL&gt;&lt;Q&gt;HUBB-US^P_BETA_LOCIDX(45440,45264,,"SPX")&lt;/Q&gt;&lt;R&gt;1&lt;/R&gt;&lt;C&gt;1&lt;/C&gt;&lt;D xsi:type="xsd:double"&gt;1.4214567&lt;/D&gt;&lt;/FQL&gt;&lt;FQL&gt;&lt;Q&gt;HUBB-US^P_BETA_LOCIDX(45436,45261,,"SPX")&lt;/Q&gt;&lt;R&gt;1&lt;/R&gt;&lt;C&gt;1&lt;/C&gt;&lt;D xsi:type="xsd:double"&gt;1.4169102&lt;/D&gt;&lt;/FQL&gt;&lt;FQL&gt;&lt;Q&gt;HUBB-US^P_BETA_LOCIDX(45435,45260,,"SPX")&lt;/Q&gt;&lt;R&gt;1&lt;/R&gt;&lt;C&gt;1&lt;/C&gt;&lt;D xsi:type="xsd:double"&gt;1.4022487&lt;/D&gt;&lt;/FQL&gt;&lt;FQL&gt;&lt;Q&gt;HUBB-US^P_BETA_LOCIDX(45434,45259,,"SPX")&lt;/Q&gt;&lt;R&gt;1&lt;/R&gt;&lt;C&gt;1&lt;/C&gt;&lt;D xsi:type="xsd:double"&gt;1.4146194&lt;/D&gt;&lt;/FQL&gt;&lt;FQL&gt;&lt;Q&gt;HUBB-US^P_BETA_LOCIDX(45433,45258,,"SPX")&lt;/Q&gt;&lt;R&gt;1&lt;/R&gt;&lt;C&gt;1&lt;/C&gt;&lt;D xsi:type="xsd:double"&gt;1.4129854&lt;/D&gt;&lt;/FQL&gt;&lt;FQL&gt;&lt;Q&gt;HUBB-US^P_BETA_LOCIDX(45432,45257,,"SPX")&lt;/Q&gt;&lt;R&gt;1&lt;/R&gt;&lt;C&gt;1&lt;/C&gt;&lt;D xsi:type="xsd:double"&gt;1.4092809&lt;/D&gt;&lt;/FQL&gt;&lt;FQL&gt;&lt;Q&gt;HUBB-US^P_BETA_LOCIDX(45429,45254,,"SPX")&lt;/Q&gt;&lt;R&gt;1&lt;/R&gt;&lt;C&gt;1&lt;/C&gt;&lt;D xsi:type="xsd:double"&gt;1.4098254&lt;/D&gt;&lt;/FQL&gt;&lt;FQL&gt;&lt;Q&gt;HUBB-US^P_BETA_LOCIDX(45428,45252,,"SPX")&lt;/Q&gt;&lt;R&gt;1&lt;/R&gt;&lt;C&gt;1&lt;/C&gt;&lt;D xsi:type="xsd:double"&gt;1.4105502&lt;/D&gt;&lt;/FQL&gt;&lt;FQL&gt;&lt;Q&gt;HUBB-US^P_BETA_LOCIDX(45427,45251,,"SPX")&lt;/Q&gt;&lt;R&gt;1&lt;/R&gt;&lt;C&gt;1&lt;/C&gt;&lt;D xsi:type="xsd:double"&gt;1.3975329&lt;/D&gt;&lt;/FQL&gt;&lt;FQL&gt;&lt;Q&gt;HUBB-US^P_BETA_LOCIDX(45426,45250,,"SPX")&lt;/Q&gt;&lt;R&gt;1&lt;/R&gt;&lt;C&gt;1&lt;/C&gt;&lt;D xsi:type="xsd:double"&gt;1.3997778&lt;/D&gt;&lt;/FQL&gt;&lt;FQL&gt;&lt;Q&gt;HUBB-US^P_BETA_LOCIDX(45425,45247,,"SPX")&lt;/Q&gt;&lt;R&gt;1&lt;/R&gt;&lt;C&gt;1&lt;/C&gt;&lt;D xsi:type="xsd:double"&gt;1.4063693&lt;/D&gt;&lt;/FQL&gt;&lt;FQL&gt;&lt;Q&gt;HUBB-US^P_BETA_LOCIDX(45422,45246,,"SPX")&lt;/Q&gt;&lt;R&gt;1&lt;/R&gt;&lt;C&gt;1&lt;/C&gt;&lt;D xsi:type="xsd:double"&gt;1.4028009&lt;/D&gt;&lt;/FQL&gt;&lt;FQL&gt;&lt;Q&gt;HUBB-US^P_BETA_LOCIDX(45421,45245,,"SPX")&lt;/Q&gt;&lt;R&gt;1&lt;/R&gt;&lt;C&gt;1&lt;/C&gt;&lt;D xsi:type="xsd:double"&gt;1.4019003&lt;/D&gt;&lt;/FQL&gt;&lt;FQL&gt;&lt;Q&gt;HUBB-US^P_BETA_LOCIDX(45420,45244,,"SPX")&lt;/Q&gt;&lt;R&gt;1&lt;/R&gt;&lt;C&gt;1&lt;/C&gt;&lt;D xsi:type="xsd:double"&gt;1.3527639&lt;/D&gt;&lt;/FQL&gt;&lt;FQL&gt;&lt;Q&gt;HUBB-US^P_BETA_LOCIDX(45419,45243,,"SPX")&lt;/Q&gt;&lt;R&gt;1&lt;/R&gt;&lt;C&gt;1&lt;/C&gt;&lt;D xsi:type="xsd:double"&gt;1.3527797&lt;/D&gt;&lt;/FQL&gt;&lt;FQL&gt;&lt;Q&gt;HUBB-US^P_BETA_LOCIDX(45418,45240,,"SPX")&lt;/Q&gt;&lt;R&gt;1&lt;/R&gt;&lt;C&gt;1&lt;/C&gt;&lt;D xsi:type="xsd:double"&gt;1.3389817&lt;/D&gt;&lt;/FQL&gt;&lt;FQL&gt;&lt;Q&gt;HUBB-US^P_BETA_LOCIDX(45415,45239,,"SPX")&lt;/Q&gt;&lt;R&gt;1&lt;/R&gt;&lt;C&gt;1&lt;/C&gt;&lt;D xsi:type="xsd:double"&gt;1.2943897&lt;/D&gt;&lt;/FQL&gt;&lt;FQL&gt;&lt;Q&gt;HUBB-US^P_BETA_LOCIDX(45414,45238,,"SPX")&lt;/Q&gt;&lt;R&gt;1&lt;/R&gt;&lt;C&gt;1&lt;/C&gt;&lt;D xsi:type="xsd:double"&gt;1.2913231&lt;/D&gt;&lt;/FQL&gt;&lt;FQL&gt;&lt;Q&gt;HUBB-US^P_BETA_LOCIDX(45413,45237,,"SPX")&lt;/Q&gt;&lt;R&gt;1&lt;/R&gt;&lt;C&gt;1&lt;/C&gt;&lt;D xsi:type="xsd:double"&gt;1.3085878&lt;/D&gt;&lt;/FQL&gt;&lt;FQL&gt;&lt;Q&gt;HUBB-US^P_BETA_LOCIDX(45412,45236,,"SPX")&lt;/Q&gt;&lt;R&gt;1&lt;/R&gt;&lt;C&gt;1&lt;/C&gt;&lt;D xsi:type="xsd:double"&gt;1.3157027&lt;/D&gt;&lt;/FQL&gt;&lt;FQL&gt;&lt;Q&gt;HUBB-US^P_BETA_LOCIDX(45411,45233,,"SPX")&lt;/Q&gt;&lt;R&gt;1&lt;/R&gt;&lt;C&gt;1&lt;/C&gt;&lt;D xsi:type="xsd:double"&gt;1.0938438&lt;/D&gt;&lt;/FQL&gt;&lt;FQL&gt;&lt;Q&gt;HUBB-US^P_BETA_LOCIDX(45408,45232,,"SPX")&lt;/Q&gt;&lt;R&gt;1&lt;/R&gt;&lt;C&gt;1&lt;/C&gt;&lt;D xsi:type="xsd:double"&gt;1.0483412&lt;/D&gt;&lt;/FQL&gt;&lt;FQL&gt;&lt;Q&gt;HUBB-US^P_BETA_LOCIDX(45407,45231,,"SPX")&lt;/Q&gt;&lt;R&gt;1&lt;/R&gt;&lt;C&gt;1&lt;/C&gt;&lt;D xsi:type="xsd:double"&gt;1.0778275&lt;/D&gt;&lt;/FQL&gt;&lt;FQL&gt;&lt;Q&gt;HUBB-US^P_BETA_LOCIDX(45406,45230,,"SPX")&lt;/Q&gt;&lt;R&gt;1&lt;/R&gt;&lt;C&gt;1&lt;/C&gt;&lt;D xsi:type="xsd:double"&gt;1.0465395&lt;/D&gt;&lt;/FQL&gt;&lt;FQL&gt;&lt;Q&gt;HUBB-US^P_BETA_LOCIDX(45405,45229,,"SPX")&lt;/Q&gt;&lt;R&gt;1&lt;/R&gt;&lt;C&gt;1&lt;/C&gt;&lt;D xsi:type="xsd:double"&gt;1.0372605&lt;/D&gt;&lt;/FQL&gt;&lt;FQL&gt;&lt;Q&gt;HUBB-US^P_BETA_LOCIDX(45404,45226,,"SPX")&lt;/Q&gt;&lt;R&gt;1&lt;/R&gt;&lt;C&gt;1&lt;/C&gt;&lt;D xsi:type="xsd:double"&gt;1.0270451&lt;/D&gt;&lt;/FQL&gt;&lt;FQL&gt;&lt;Q&gt;HUBB-US^P_BETA_LOCIDX(45401,45225,,"SPX")&lt;/Q&gt;&lt;R&gt;1&lt;/R&gt;&lt;C&gt;1&lt;/C&gt;&lt;D xsi:type="xsd:double"&gt;0.99278456&lt;/D&gt;&lt;/FQL&gt;&lt;FQL&gt;&lt;Q&gt;HUBB-US^P_BETA_LOCIDX(45400,45224,,"SPX")&lt;/Q&gt;&lt;R&gt;1&lt;/R&gt;&lt;C&gt;1&lt;/C&gt;&lt;D xsi:type="xsd:double"&gt;0.9761178&lt;/D&gt;&lt;/FQL&gt;&lt;FQL&gt;&lt;Q&gt;HUBB-US^P_BETA_LOCIDX(45399,45223,,"SPX")&lt;/Q&gt;&lt;R&gt;1&lt;/R&gt;&lt;C&gt;1&lt;/C&gt;&lt;D xsi:type="xsd:double"&gt;0.9767628&lt;/D&gt;&lt;/FQL&gt;&lt;FQL&gt;&lt;Q&gt;HUBB-US^P_BETA_LOCIDX(45398,45222,,"SPX")&lt;/Q&gt;&lt;R&gt;1&lt;/R&gt;&lt;C&gt;1&lt;/C&gt;&lt;D xsi:type="xsd:double"&gt;0.9651752&lt;/D&gt;&lt;/FQL&gt;&lt;FQL&gt;&lt;Q&gt;HUBB-US^P_BETA_LOCIDX(45397,45219,,"SPX")&lt;/Q&gt;&lt;R&gt;1&lt;/R&gt;&lt;C&gt;1&lt;/C&gt;&lt;D xsi:type="xsd:double"&gt;0.9729233&lt;/D&gt;&lt;/FQL&gt;&lt;FQL&gt;&lt;Q&gt;HUBB-US^P_BETA_LOCIDX(45394,45218,,"SPX")&lt;/Q&gt;&lt;R&gt;1&lt;/R&gt;&lt;C&gt;1&lt;/C&gt;&lt;D xsi:type="xsd:double"&gt;1.0144746&lt;/D&gt;&lt;/FQL&gt;&lt;FQL&gt;&lt;Q&gt;HUBB-US^P_BETA_LOCIDX(45393,45217,,"SPX")&lt;/Q&gt;&lt;R&gt;1&lt;/R&gt;&lt;C&gt;1&lt;/C&gt;&lt;D xsi:type="xsd:double"&gt;1.0672694&lt;/D&gt;&lt;/FQL&gt;&lt;FQL&gt;&lt;Q&gt;HUBB-US^P_BETA_LOCIDX(45392,45216,,"SPX")&lt;/Q&gt;&lt;R&gt;1&lt;/R&gt;&lt;C&gt;1&lt;/C&gt;&lt;D xsi:type="xsd:double"&gt;1.0810374&lt;/D&gt;&lt;/FQL&gt;&lt;FQL&gt;&lt;Q&gt;HUBB-US^P_BETA_LOCIDX(45391,45215,,"SPX")&lt;/Q&gt;&lt;R&gt;1&lt;/R&gt;&lt;C&gt;1&lt;/C&gt;&lt;D xsi:type="xsd:double"&gt;1.1144046&lt;/D&gt;&lt;/FQL&gt;&lt;FQL&gt;&lt;Q&gt;HUBB-US^P_BETA_LOCIDX(45390,45212,,"SPX")&lt;/Q&gt;&lt;R&gt;1&lt;/R&gt;&lt;C&gt;1&lt;/C&gt;&lt;D xsi:type="xsd:double"&gt;1.1582963&lt;/D&gt;&lt;/FQL&gt;&lt;FQL&gt;&lt;Q&gt;HUBB-US^P_BETA_LOCIDX(45387,45211,,"SPX")&lt;/Q&gt;&lt;R&gt;1&lt;/R&gt;&lt;C&gt;1&lt;/C&gt;&lt;D xsi:type="xsd:double"&gt;1.1539395&lt;/D&gt;&lt;/FQL&gt;&lt;FQL&gt;&lt;Q&gt;HUBB-US^P_BETA_LOCIDX(45386,45210,,"SPX")&lt;/Q&gt;&lt;R&gt;1&lt;/R&gt;&lt;C&gt;1&lt;/C&gt;&lt;D xsi:type="xsd:double"&gt;1.1596764&lt;/D&gt;&lt;/FQL&gt;&lt;FQL&gt;&lt;Q&gt;HUBB-US^P_BETA_LOCIDX(45385,45209,,"SPX")&lt;/Q&gt;&lt;R&gt;1&lt;/R&gt;&lt;C&gt;1&lt;/C&gt;&lt;D xsi:type="xsd:double"&gt;1.121589&lt;/D&gt;&lt;/FQL&gt;&lt;FQL&gt;&lt;Q&gt;HUBB-US^P_BETA_LOCIDX(45384,45208,,"SPX")&lt;/Q&gt;&lt;R&gt;1&lt;/R&gt;&lt;C&gt;1&lt;/C&gt;&lt;D xsi:type="xsd:double"&gt;1.115113&lt;/D&gt;&lt;/FQL&gt;&lt;FQL&gt;&lt;Q&gt;HUBB-US^P_BETA_LOCIDX(45383,45205,,"SPX")&lt;/Q&gt;&lt;R&gt;1&lt;/R&gt;&lt;C&gt;1&lt;/C&gt;&lt;D xsi:type="xsd:double"&gt;1.1528162&lt;/D&gt;&lt;/FQL&gt;&lt;FQL&gt;&lt;Q&gt;HUBB-US^P_BETA_LOCIDX(45379,45204,,"SPX")&lt;/Q&gt;&lt;R&gt;1&lt;/R&gt;&lt;C&gt;1&lt;/C&gt;&lt;D xsi:type="xsd:double"&gt;1.1685903&lt;/D&gt;&lt;/FQL&gt;&lt;FQL&gt;&lt;Q&gt;HUBB-US^P_BETA_LOCIDX(45378,45203,,"SPX")&lt;/Q&gt;&lt;R&gt;1&lt;/R&gt;&lt;C&gt;1&lt;/C&gt;&lt;D xsi:type="xsd:double"&gt;1.1639527&lt;/D&gt;&lt;/FQL&gt;&lt;FQL&gt;&lt;Q&gt;HUBB-US^P_BETA_LOCIDX(45377,45202,,"SPX")&lt;/Q&gt;&lt;R&gt;1&lt;/R&gt;&lt;C&gt;1&lt;/C&gt;&lt;D xsi:type="xsd:double"&gt;1.1666255&lt;/D&gt;&lt;/FQL&gt;&lt;FQL&gt;&lt;Q&gt;HUBB-US^P_BETA_LOCIDX(45376,45201,,"SPX")&lt;/Q&gt;&lt;R&gt;1&lt;/R&gt;&lt;C&gt;1&lt;/C&gt;&lt;D xsi:type="xsd:double"&gt;1.1722234&lt;/D&gt;&lt;/FQL&gt;&lt;FQL&gt;&lt;Q&gt;HUBB-US^P_BETA_LOCIDX(45373,45198,,"SPX")&lt;/Q&gt;&lt;R&gt;1&lt;/R&gt;&lt;C&gt;1&lt;/C&gt;&lt;D xsi:type="xsd:double"&gt;1.1738625&lt;/D&gt;&lt;/FQL&gt;&lt;FQL&gt;&lt;Q&gt;HUBB-US^P_BETA_LOCIDX(45372,45197,,"SPX")&lt;/Q&gt;&lt;R&gt;1&lt;/R&gt;&lt;C&gt;1&lt;/C&gt;&lt;D xsi:type="xsd:double"&gt;1.1767669&lt;/D&gt;&lt;/FQL&gt;&lt;FQL&gt;&lt;Q&gt;HUBB-US^P_BETA_LOCIDX(45371,45196,,"SPX")&lt;/Q&gt;&lt;R&gt;1&lt;/R&gt;&lt;C&gt;1&lt;/C&gt;&lt;D xsi:type="xsd:double"&gt;1.1676662&lt;/D&gt;&lt;/FQL&gt;&lt;FQL&gt;&lt;Q&gt;HUBB-US^P_BETA_LOCIDX(45370,45195,,"SPX")&lt;/Q&gt;&lt;R&gt;1&lt;/R&gt;&lt;C&gt;1&lt;/C&gt;&lt;D xsi:type="xsd:double"&gt;1.1433327&lt;/D&gt;&lt;/FQL&gt;&lt;FQL&gt;&lt;Q&gt;HUBB-US^P_BETA_LOCIDX(45369,45194,,"SPX")&lt;/Q&gt;&lt;R&gt;1&lt;/R&gt;&lt;C&gt;1&lt;/C&gt;&lt;D xsi:type="xsd:double"&gt;1.159363&lt;/D&gt;&lt;/FQL&gt;&lt;FQL&gt;&lt;Q&gt;HUBB-US^P_BETA_LOCIDX(45366,45191,,"SPX")&lt;/Q&gt;&lt;R&gt;1&lt;/R&gt;&lt;C&gt;1&lt;/C&gt;&lt;D xsi:type="xsd:double"&gt;1.1532091&lt;/D&gt;&lt;/FQL&gt;&lt;FQL&gt;&lt;Q&gt;HUBB-US^P_BETA_LOCIDX(45365,45190,,"SPX")&lt;/Q&gt;&lt;R&gt;1&lt;/R&gt;&lt;C&gt;1&lt;/C&gt;&lt;D xsi:type="xsd:double"&gt;1.1450732&lt;/D&gt;&lt;/FQL&gt;&lt;FQL&gt;&lt;Q&gt;HUBB-US^P_BETA_LOCIDX(45364,45189,,"SPX")&lt;/Q&gt;&lt;R&gt;1&lt;/R&gt;&lt;C&gt;1&lt;/C&gt;&lt;D xsi:type="xsd:double"&gt;1.1536205&lt;/D&gt;&lt;/FQL&gt;&lt;FQL&gt;&lt;Q&gt;HUBB-US^P_BETA_LOCIDX(45363,45188,,"SPX")&lt;/Q&gt;&lt;R&gt;1&lt;/R&gt;&lt;C&gt;1&lt;/C&gt;&lt;D xsi:type="xsd:double"&gt;1.1653534&lt;/D&gt;&lt;/FQL&gt;&lt;FQL&gt;&lt;Q&gt;HUBB-US^P_BETA_LOCIDX(45362,45187,,"SPX")&lt;/Q&gt;&lt;R&gt;1&lt;/R&gt;&lt;C&gt;1&lt;/C&gt;&lt;D xsi:type="xsd:double"&gt;1.1484151&lt;/D&gt;&lt;/FQL&gt;&lt;FQL&gt;&lt;Q&gt;HUBB-US^P_BETA_LOCIDX(45359,45184,,"SPX")&lt;/Q&gt;&lt;R&gt;1&lt;/R&gt;&lt;C&gt;1&lt;/C&gt;&lt;D xsi:type="xsd:double"&gt;1.1405969&lt;/D&gt;&lt;/FQL&gt;&lt;FQL&gt;&lt;Q&gt;HUBB-US^P_BETA_LOCIDX(45358,45183,,"SPX")&lt;/Q&gt;&lt;R&gt;1&lt;/R&gt;&lt;C&gt;1&lt;/C&gt;&lt;D xsi:type="xsd:double"&gt;1.1512688&lt;/D&gt;&lt;/FQL&gt;&lt;FQL&gt;&lt;Q&gt;HUBB-US^P_BETA_LOCIDX(45357,45182,,"SPX")&lt;/Q&gt;&lt;R&gt;1&lt;/R&gt;&lt;C&gt;1&lt;/C&gt;&lt;D xsi:type="xsd:double"&gt;1.150315&lt;/D&gt;&lt;/FQL&gt;&lt;FQL&gt;&lt;Q&gt;HUBB-US^P_BETA_LOCIDX(45356,45181,,"SPX")&lt;/Q&gt;&lt;R&gt;1&lt;/R&gt;&lt;C&gt;1&lt;/C&gt;&lt;D xsi:type="xsd:double"&gt;1.1591998&lt;/D&gt;&lt;/FQL&gt;&lt;FQL&gt;&lt;Q&gt;HUBB-US^P_BETA_LOCIDX(45355,45180,,"SPX")&lt;/Q&gt;&lt;R&gt;1&lt;/R&gt;&lt;C&gt;1&lt;/C&gt;&lt;D xsi:type="xsd:double"&gt;1.1390508&lt;/D&gt;&lt;/FQL&gt;&lt;FQL&gt;&lt;Q&gt;HUBB-US^P_BETA_LOCIDX(45352,45177,,"SPX")&lt;/Q&gt;&lt;R&gt;1&lt;/R&gt;&lt;C&gt;1&lt;/C&gt;&lt;D xsi:type="xsd:double"&gt;1.1423563&lt;/D&gt;&lt;/FQL&gt;&lt;FQL&gt;&lt;Q&gt;HUBB-US^P_BETA_LOCIDX(45351,45176,,"SPX")&lt;/Q&gt;&lt;R&gt;1&lt;/R&gt;&lt;C&gt;1&lt;/C&gt;&lt;D xsi:type="xsd:double"&gt;1.1224734&lt;/D&gt;&lt;/FQL&gt;&lt;FQL&gt;&lt;Q&gt;HUBB-US^P_BETA_LOCIDX(45350,45175,,"SPX")&lt;/Q&gt;&lt;R&gt;1&lt;/R&gt;&lt;C&gt;1&lt;/C&gt;&lt;D xsi:type="xsd:double"&gt;1.0897328&lt;/D&gt;&lt;/FQL&gt;&lt;FQL&gt;&lt;Q&gt;HUBB-US^P_BETA_LOCIDX(45349,45174,,"SPX")&lt;/Q&gt;&lt;R&gt;1&lt;/R&gt;&lt;C&gt;1&lt;/C&gt;&lt;D xsi:type="xsd:double"&gt;1.1244094&lt;/D&gt;&lt;/FQL&gt;&lt;FQL&gt;&lt;Q&gt;HUBB-US^P_BETA_LOCIDX(45348,45170,,"SPX")&lt;/Q&gt;&lt;R&gt;1&lt;/R&gt;&lt;C&gt;1&lt;/C&gt;&lt;D xsi:type="xsd:double"&gt;1.1258283&lt;/D&gt;&lt;/FQL&gt;&lt;FQL&gt;&lt;Q&gt;HUBB-US^P_BETA_LOCIDX(45345,45169,,"SPX")&lt;/Q&gt;&lt;R&gt;1&lt;/R&gt;&lt;C&gt;1&lt;/C&gt;&lt;D xsi:type="xsd:double"&gt;1.1361332&lt;/D&gt;&lt;/FQL&gt;&lt;FQL&gt;&lt;Q&gt;HUBB-US^P_BETA_LOCIDX(45344,45168,,"SPX")&lt;/Q&gt;&lt;R&gt;1&lt;/R&gt;&lt;C&gt;1&lt;/C&gt;&lt;D xsi:type="xsd:double"&gt;1.1339266&lt;/D&gt;&lt;/FQL&gt;&lt;FQL&gt;&lt;Q&gt;HUBB-US^P_BETA_LOCIDX(45343,45167,,"SPX")&lt;/Q&gt;&lt;R&gt;1&lt;/R&gt;&lt;C&gt;1&lt;/C&gt;&lt;D xsi:type="xsd:double"&gt;1.0913424&lt;/D&gt;&lt;/FQL&gt;&lt;FQL&gt;&lt;Q&gt;HUBB-US^P_BETA_LOCIDX(45342,45166,,"SPX")&lt;/Q&gt;&lt;R&gt;1&lt;/R&gt;&lt;C&gt;1&lt;/C&gt;&lt;D xsi:type="xsd:double"&gt;1.0924697&lt;/D&gt;&lt;/FQL&gt;&lt;FQL&gt;&lt;Q&gt;HUBB-US^P_BETA_LOCIDX(45338,45163,,"SPX")&lt;/Q&gt;&lt;R&gt;1&lt;/R&gt;&lt;C&gt;1&lt;/C&gt;&lt;D xsi:type="xsd:double"&gt;1.1017563&lt;/D&gt;&lt;/FQL&gt;&lt;FQL&gt;&lt;Q&gt;HUBB-US^P_BETA_LOCIDX(45337,45162,,"SPX")&lt;/Q&gt;&lt;R&gt;1&lt;/R&gt;&lt;C&gt;1&lt;/C&gt;&lt;D xsi:type="xsd:double"&gt;1.0829518&lt;/D&gt;&lt;/FQL&gt;&lt;FQL&gt;&lt;Q&gt;HUBB-US^P_BETA_LOCIDX(45336,45161,,"SPX")&lt;/Q&gt;&lt;R&gt;1&lt;/R&gt;&lt;C&gt;1&lt;/C&gt;&lt;D xsi:type="xsd:double"&gt;1.1204562&lt;/D&gt;&lt;/FQL&gt;&lt;FQL&gt;&lt;Q&gt;HUBB-US^P_BETA_LOCIDX(45335,45160,,"SPX")&lt;/Q&gt;&lt;R&gt;1&lt;/R&gt;&lt;C&gt;1&lt;/C&gt;&lt;D xsi:type="xsd:double"&gt;1.1077731&lt;/D&gt;&lt;/FQL&gt;&lt;FQL&gt;&lt;Q&gt;HUBB-US^P_BETA_LOCIDX(45334,45159,,"SPX")&lt;/Q&gt;&lt;R&gt;1&lt;/R&gt;&lt;C&gt;1&lt;/C&gt;&lt;D xsi:type="xsd:double"&gt;1.1006601&lt;/D&gt;&lt;/FQL&gt;&lt;FQL&gt;&lt;Q&gt;HUBB-US^P_BETA_LOCIDX(45331,45156,,"SPX")&lt;/Q&gt;&lt;R&gt;1&lt;/R&gt;&lt;C&gt;1&lt;/C&gt;&lt;D xsi:type="xsd:double"&gt;1.0962034&lt;/D&gt;&lt;/FQL&gt;&lt;FQL&gt;&lt;Q&gt;HUBB-US^P_BETA_LOCIDX(45330,45155,,"SPX")&lt;/Q&gt;&lt;R&gt;1&lt;/R&gt;&lt;C&gt;1&lt;/C&gt;&lt;D xsi:type="xsd:double"&gt;1.1061543&lt;/D&gt;&lt;/FQL&gt;&lt;FQL&gt;&lt;Q&gt;HUBB-US^P_BETA_LOCIDX(45329,45154,,"SPX")&lt;/Q&gt;&lt;R&gt;1&lt;/R&gt;&lt;C&gt;1&lt;/C&gt;&lt;D xsi:type="xsd:double"&gt;1.0972201&lt;/D&gt;&lt;/FQL&gt;&lt;FQL&gt;&lt;Q&gt;HUBB-US^P_BETA_LOCIDX(45328,45153,,"SPX")&lt;/Q&gt;&lt;R&gt;1&lt;/R&gt;&lt;C&gt;1&lt;/C&gt;&lt;D xsi:type="xsd:double"&gt;1.091531&lt;/D&gt;&lt;/FQL&gt;&lt;FQL&gt;&lt;Q&gt;HUBB-US^P_BETA_LOCIDX(45327,45152,,"SPX")&lt;/Q&gt;&lt;R&gt;1&lt;/R&gt;&lt;C&gt;1&lt;/C&gt;&lt;D xsi:type="xsd:double"&gt;1.0959061&lt;/D&gt;&lt;/FQL&gt;&lt;FQL&gt;&lt;Q&gt;HUBB-US^P_BETA_LOCIDX(45324,45149,,"SPX")&lt;/Q&gt;&lt;R&gt;1&lt;/R&gt;&lt;C&gt;1&lt;/C&gt;&lt;D xsi:type="xsd:double"&gt;1.0882206&lt;/D&gt;&lt;/FQL&gt;&lt;FQL&gt;&lt;Q&gt;HUBB-US^P_BETA_LOCIDX(45323,45148,,"SPX")&lt;/Q&gt;&lt;R&gt;1&lt;/R&gt;&lt;C&gt;1&lt;/C&gt;&lt;D xsi:type="xsd:double"&gt;1.0633342&lt;/D&gt;&lt;/FQL&gt;&lt;FQL&gt;&lt;Q&gt;HUBB-US^P_BETA_LOCIDX(45322,45147,,"SPX")&lt;/Q&gt;&lt;R&gt;1&lt;/R&gt;&lt;C&gt;1&lt;/C&gt;&lt;D xsi:type="xsd:double"&gt;1.0665009&lt;/D&gt;&lt;/FQL&gt;&lt;FQL&gt;&lt;Q&gt;HUBB-US^P_BETA_LOCIDX(45321,45146,,"SPX")&lt;/Q&gt;&lt;R&gt;1&lt;/R&gt;&lt;C&gt;1&lt;/C&gt;&lt;D xsi:type="xsd:double"&gt;1.0310036&lt;/D&gt;&lt;/FQL&gt;&lt;FQL&gt;&lt;Q&gt;HUBB-US^P_BETA_LOCIDX(45320,45145,,"SPX")&lt;/Q&gt;&lt;R&gt;1&lt;/R&gt;&lt;C&gt;1&lt;/C&gt;&lt;D xsi:type="xsd:double"&gt;1.0493351&lt;/D&gt;&lt;/FQL&gt;&lt;FQL&gt;&lt;Q&gt;HUBB-US^P_BETA_LOCIDX(45317,45142,,"SPX")&lt;/Q&gt;&lt;R&gt;1&lt;/R&gt;&lt;C&gt;1&lt;/C&gt;&lt;D xsi:type="xsd:double"&gt;1.0481999&lt;/D&gt;&lt;/FQL&gt;&lt;FQL&gt;&lt;Q&gt;HUBB-US^P_BETA_LOCIDX(45316,45141,,"SPX")&lt;/Q&gt;&lt;R&gt;1&lt;/R&gt;&lt;C&gt;1&lt;/C&gt;&lt;D xsi:type="xsd:double"&gt;1.0544486&lt;/D&gt;&lt;/FQL&gt;&lt;FQL&gt;&lt;Q&gt;HUBB-US^P_BETA_LOCIDX(45315,45140,,"SPX")&lt;/Q&gt;&lt;R&gt;1&lt;/R&gt;&lt;C&gt;1&lt;/C&gt;&lt;D xsi:type="xsd:double"&gt;1.031961&lt;/D&gt;&lt;/FQL&gt;&lt;FQL&gt;&lt;Q&gt;HUBB-US^P_BETA_LOCIDX(45314,45139,,"SPX")&lt;/Q&gt;&lt;R&gt;1&lt;/R&gt;&lt;C&gt;1&lt;/C&gt;&lt;D xsi:type="xsd:double"&gt;1.0254772&lt;/D&gt;&lt;/FQL&gt;&lt;FQL&gt;&lt;Q&gt;HUBB-US^P_BETA_LOCIDX(45313,45138,,"SPX")&lt;/Q&gt;&lt;R&gt;1&lt;/R&gt;&lt;C&gt;1&lt;/C&gt;&lt;D xsi:type="xsd:double"&gt;1.0313482&lt;/D&gt;&lt;/FQL&gt;&lt;FQL&gt;&lt;Q&gt;HUBB-US^P_BETA_LOCIDX(45310,45135,,"SPX")&lt;/Q&gt;&lt;R&gt;1&lt;/R&gt;&lt;C&gt;1&lt;/C&gt;&lt;D xsi:type="xsd:double"&gt;1.0207027&lt;/D&gt;&lt;/FQL&gt;&lt;FQL&gt;&lt;Q&gt;HUBB-US^P_BETA_LOCIDX(45309,45134,,"SPX")&lt;/Q&gt;&lt;R&gt;1&lt;/R&gt;&lt;C&gt;1&lt;/C&gt;&lt;D xsi:type="xsd:double"&gt;1.020237&lt;/D&gt;&lt;/FQL&gt;&lt;FQL&gt;&lt;Q&gt;HUBB-US^P_BETA_LOCIDX(45308,45133,,"SPX")&lt;/Q&gt;&lt;R&gt;1&lt;/R&gt;&lt;C&gt;1&lt;/C&gt;&lt;D xsi:type="xsd:double"&gt;1.0176938&lt;/D&gt;&lt;/FQL&gt;&lt;FQL&gt;&lt;Q&gt;HUBB-US^P_BETA_LOCIDX(45307,45132,,"SPX")&lt;/Q&gt;&lt;R&gt;1&lt;/R&gt;&lt;C&gt;1&lt;/C&gt;&lt;D xsi:type="xsd:double"&gt;0.9921533&lt;/D&gt;&lt;/FQL&gt;&lt;FQL&gt;&lt;Q&gt;HUBB-US^P_BETA_LOCIDX(45303,45131,,"SPX")&lt;/Q&gt;&lt;R&gt;1&lt;/R&gt;&lt;C&gt;1&lt;/C&gt;&lt;D xsi:type="xsd:double"&gt;0.990597&lt;/D&gt;&lt;/FQL&gt;&lt;FQL&gt;&lt;Q&gt;HUBB-US^P_BETA_LOCIDX(45302,45128,,"SPX")&lt;/Q&gt;&lt;R&gt;1&lt;/R&gt;&lt;C&gt;1&lt;/C&gt;&lt;D xsi:type="xsd:double"&gt;0.99086463&lt;/D&gt;&lt;/FQL&gt;&lt;FQL&gt;&lt;Q&gt;HUBB-US^P_BETA_LOCIDX(45301,45127,,"SPX")&lt;/Q&gt;&lt;R&gt;1&lt;/R&gt;&lt;C&gt;1&lt;/C&gt;&lt;D xsi:type="xsd:double"&gt;0.98274255&lt;/D&gt;&lt;/FQL&gt;&lt;FQL&gt;&lt;Q&gt;HUBB-US^P_BETA_LOCIDX(45300,45126,,"SPX")&lt;/Q&gt;&lt;R&gt;1&lt;/R&gt;&lt;C&gt;1&lt;/C&gt;&lt;D xsi:type="xsd:double"&gt;0.9911527&lt;/D&gt;&lt;/FQL&gt;&lt;FQL&gt;&lt;Q&gt;HUBB-US^P_BETA_LOCIDX(45299,45125,,"SPX")&lt;/Q&gt;&lt;R&gt;1&lt;/R&gt;&lt;C&gt;1&lt;/C&gt;&lt;D xsi:type="xsd:double"&gt;1.0054938&lt;/D&gt;&lt;/FQL&gt;&lt;FQL&gt;&lt;Q&gt;HUBB-US^P_BETA_LOCIDX(45296,45124,,"SPX")&lt;/Q&gt;&lt;R&gt;1&lt;/R&gt;&lt;C&gt;1&lt;/C&gt;&lt;D xsi:type="xsd:double"&gt;1.0043832&lt;/D&gt;&lt;/FQL&gt;&lt;FQL&gt;&lt;Q&gt;HUBB-US^P_BETA_LOCIDX(45295,45121,,"SPX")&lt;/Q&gt;&lt;R&gt;1&lt;/R&gt;&lt;C&gt;1&lt;/C&gt;&lt;D xsi:type="xsd:double"&gt;1.0075333&lt;/D&gt;&lt;/FQL&gt;&lt;FQL&gt;&lt;Q&gt;HUBB-US^P_BETA_LOCIDX(45294,45120,,"SPX")&lt;/Q&gt;&lt;R&gt;1&lt;/R&gt;&lt;C&gt;1&lt;/C&gt;&lt;D xsi:type="xsd:double"&gt;1.0113355&lt;/D&gt;&lt;/FQL&gt;&lt;FQL&gt;&lt;Q&gt;HUBB-US^P_BETA_LOCIDX(45293,45119,,"SPX")&lt;/Q&gt;&lt;R&gt;1&lt;/R&gt;&lt;C&gt;1&lt;/C&gt;&lt;D xsi:type="xsd:double"&gt;0.9753674&lt;/D&gt;&lt;/FQL&gt;&lt;FQL&gt;&lt;Q&gt;HUBB-US^P_BETA_LOCIDX(45289,45118,,"SPX")&lt;/Q&gt;&lt;R&gt;1&lt;/R&gt;&lt;C&gt;1&lt;/C&gt;&lt;D xsi:type="xsd:double"&gt;0.959892&lt;/D&gt;&lt;/FQL&gt;&lt;FQL&gt;&lt;Q&gt;HUBB-US^P_BETA_LOCIDX(45288,45117,,"SPX")&lt;/Q&gt;&lt;R&gt;1&lt;/R&gt;&lt;C&gt;1&lt;/C&gt;&lt;D xsi:type="xsd:double"&gt;0.96864325&lt;/D&gt;&lt;/FQL&gt;&lt;FQL&gt;&lt;Q&gt;HUBB-US^P_BETA_LOCIDX(45287,45114,,"SPX")&lt;/Q&gt;&lt;R&gt;1&lt;/R&gt;&lt;C&gt;1&lt;/C&gt;&lt;D xsi:type="xsd:double"&gt;0.9644956&lt;/D&gt;&lt;/FQL&gt;&lt;FQL&gt;&lt;Q&gt;HUBB-US^P_BETA_LOCIDX(45286,45113,,"SPX")&lt;/Q&gt;&lt;R&gt;1&lt;/R&gt;&lt;C&gt;1&lt;/C&gt;&lt;D xsi:type="xsd:double"&gt;0.9595079&lt;/D&gt;&lt;/FQL&gt;&lt;FQL&gt;&lt;Q&gt;HUBB-US^P_BETA_LOCIDX(45282,45112,,"SPX")&lt;/Q&gt;&lt;R&gt;1&lt;/R&gt;&lt;C&gt;1&lt;/C&gt;&lt;D xsi:type="xsd:double"&gt;0.9572786&lt;/D&gt;&lt;/FQL&gt;&lt;FQL&gt;&lt;Q&gt;HUBB-US^P_BETA_LOCIDX(45281,45110,,"SPX")&lt;/Q&gt;&lt;R&gt;1&lt;/R&gt;&lt;C&gt;1&lt;/C&gt;&lt;D xsi:type="xsd:double"&gt;0.9559572&lt;/D&gt;&lt;/FQL&gt;&lt;FQL&gt;&lt;Q&gt;HUBB-US^P_BETA_LOCIDX(45280,45107,,"SPX")&lt;/Q&gt;&lt;R&gt;1&lt;/R&gt;&lt;C&gt;1&lt;/C&gt;&lt;D xsi:type="xsd:double"&gt;0.95765144&lt;/D&gt;&lt;/FQL&gt;&lt;FQL&gt;&lt;Q&gt;HUBB-US^P_BETA_LOCIDX(45279,45106,,"SPX")&lt;/Q&gt;&lt;R&gt;1&lt;/R&gt;&lt;C&gt;1&lt;/C&gt;&lt;D xsi:type="xsd:double"&gt;0.98114604&lt;/D&gt;&lt;/FQL&gt;&lt;FQL&gt;&lt;Q&gt;HUBB-US^P_BETA_LOCIDX(45278,45105,,"SPX")&lt;/Q&gt;&lt;R&gt;1&lt;/R&gt;&lt;C&gt;1&lt;/C&gt;&lt;D xsi:type="xsd:double"&gt;0.98946846&lt;/D&gt;&lt;/FQL&gt;&lt;FQL&gt;&lt;Q&gt;HUBB-US^P_BETA_LOCIDX(45275,45104,,"SPX")&lt;/Q&gt;&lt;R&gt;1&lt;/R&gt;&lt;C&gt;1&lt;/C&gt;&lt;D xsi:type="xsd:double"&gt;0.9944295&lt;/D&gt;&lt;/FQL&gt;&lt;FQL&gt;&lt;Q&gt;HUBB-US^P_BETA_LOCIDX(45274,45103,,"SPX")&lt;/Q&gt;&lt;R&gt;1&lt;/R&gt;&lt;C&gt;1&lt;/C&gt;&lt;D xsi:type="xsd:double"&gt;0.98418623&lt;/D&gt;&lt;/FQL&gt;&lt;FQL&gt;&lt;Q&gt;HUBB-US^P_BETA_LOCIDX(45273,45100,,"SPX")&lt;/Q&gt;&lt;R&gt;1&lt;/R&gt;&lt;C&gt;1&lt;/C&gt;&lt;D xsi:type="xsd:double"&gt;0.9805088&lt;/D&gt;&lt;/FQL&gt;&lt;FQL&gt;&lt;Q&gt;HUBB-US^P_BETA_LOCIDX(45272,45099,,"SPX")&lt;/Q&gt;&lt;R&gt;1&lt;/R&gt;&lt;C&gt;1&lt;/C&gt;&lt;D xsi:type="xsd:double"&gt;1.0289283&lt;/D&gt;&lt;/FQL&gt;&lt;FQL&gt;&lt;Q&gt;HUBB-US^P_BETA_LOCIDX(45271,45098,,"SPX")&lt;/Q&gt;&lt;R&gt;1&lt;/R&gt;&lt;C&gt;1&lt;/C&gt;&lt;D xsi:type="xsd:double"&gt;1.0133097&lt;/D&gt;&lt;/FQL&gt;&lt;FQL&gt;&lt;Q&gt;HUBB-US^P_BETA_LOCIDX(45268,45097,,"SPX")&lt;/Q&gt;&lt;R&gt;1&lt;/R&gt;&lt;C&gt;1&lt;/C&gt;&lt;D xsi:type="xsd:double"&gt;0.99753773&lt;/D&gt;&lt;/FQL&gt;&lt;FQL&gt;&lt;Q&gt;HUBB-US^P_BETA_LOCIDX(45267,45093,,"SPX")&lt;/Q&gt;&lt;R&gt;1&lt;/R&gt;&lt;C&gt;1&lt;/C&gt;&lt;D xsi:type="xsd:double"&gt;0.99456215&lt;/D&gt;&lt;/FQL&gt;&lt;FQL&gt;&lt;Q&gt;HUBB-US^P_BETA_LOCIDX(45266,45092,,"SPX")&lt;/Q&gt;&lt;R&gt;1&lt;/R&gt;&lt;C&gt;1&lt;/C&gt;&lt;D xsi:type="xsd:double"&gt;1.0032254&lt;/D&gt;&lt;/FQL&gt;&lt;FQL&gt;&lt;Q&gt;HUBB-US^P_BETA_LOCIDX(45265,45091,,"SPX")&lt;/Q&gt;&lt;R&gt;1&lt;/R&gt;&lt;C&gt;1&lt;/C&gt;&lt;D xsi:type="xsd:double"&gt;1.0139496&lt;/D&gt;&lt;/FQL&gt;&lt;FQL&gt;&lt;Q&gt;HUBB-US^P_BETA_LOCIDX(45264,45090,,"SPX")&lt;/Q&gt;&lt;R&gt;1&lt;/R&gt;&lt;C&gt;1&lt;/C&gt;&lt;D xsi:type="xsd:double"&gt;1.0213991&lt;/D&gt;&lt;/FQL&gt;&lt;FQL&gt;&lt;Q&gt;HUBB-U</t>
        </r>
      </text>
    </comment>
    <comment ref="A30" authorId="0" shapeId="0" xr:uid="{F6987DDE-9B33-4743-80DB-C64415E77838}">
      <text>
        <r>
          <rPr>
            <b/>
            <sz val="9"/>
            <color indexed="81"/>
            <rFont val="Tahoma"/>
            <charset val="1"/>
          </rPr>
          <t>S^P_BETA_LOCIDX(45261,45089,,"SPX")&lt;/Q&gt;&lt;R&gt;1&lt;/R&gt;&lt;C&gt;1&lt;/C&gt;&lt;D xsi:type="xsd:double"&gt;1.031066&lt;/D&gt;&lt;/FQL&gt;&lt;FQL&gt;&lt;Q&gt;HUBB-US^P_BETA_LOCIDX(45260,45086,,"SPX")&lt;/Q&gt;&lt;R&gt;1&lt;/R&gt;&lt;C&gt;1&lt;/C&gt;&lt;D xsi:type="xsd:double"&gt;1.026458&lt;/D&gt;&lt;/FQL&gt;&lt;FQL&gt;&lt;Q&gt;HUBB-US^P_BETA_LOCIDX(45259,45085,,"SPX")&lt;/Q&gt;&lt;R&gt;1&lt;/R&gt;&lt;C&gt;1&lt;/C&gt;&lt;D xsi:type="xsd:double"&gt;1.0176003&lt;/D&gt;&lt;/FQL&gt;&lt;FQL&gt;&lt;Q&gt;HUBB-US^P_BETA_LOCIDX(45258,45084,,"SPX")&lt;/Q&gt;&lt;R&gt;1&lt;/R&gt;&lt;C&gt;1&lt;/C&gt;&lt;D xsi:type="xsd:double"&gt;0.9964331&lt;/D&gt;&lt;/FQL&gt;&lt;FQL&gt;&lt;Q&gt;HUBB-US^P_BETA_LOCIDX(45257,45083,,"SPX")&lt;/Q&gt;&lt;R&gt;1&lt;/R&gt;&lt;C&gt;1&lt;/C&gt;&lt;D xsi:type="xsd:double"&gt;0.99895954&lt;/D&gt;&lt;/FQL&gt;&lt;FQL&gt;&lt;Q&gt;HUBB-US^P_BETA_LOCIDX(45254,45082,,"SPX")&lt;/Q&gt;&lt;R&gt;1&lt;/R&gt;&lt;C&gt;1&lt;/C&gt;&lt;D xsi:type="xsd:double"&gt;0.9993365&lt;/D&gt;&lt;/FQL&gt;&lt;FQL&gt;&lt;Q&gt;HUBB-US^P_BETA_LOCIDX(45252,45079,,"SPX")&lt;/Q&gt;&lt;R&gt;1&lt;/R&gt;&lt;C&gt;1&lt;/C&gt;&lt;D xsi:type="xsd:double"&gt;1.0214515&lt;/D&gt;&lt;/FQL&gt;&lt;FQL&gt;&lt;Q&gt;HUBB-US^P_BETA_LOCIDX(45251,45078,,"SPX")&lt;/Q&gt;&lt;R&gt;1&lt;/R&gt;&lt;C&gt;1&lt;/C&gt;&lt;D xsi:type="xsd:double"&gt;1.0289677&lt;/D&gt;&lt;/FQL&gt;&lt;FQL&gt;&lt;Q&gt;HUBB-US^P_BETA_LOCIDX(45250,45077,,"SPX")&lt;/Q&gt;&lt;R&gt;1&lt;/R&gt;&lt;C&gt;1&lt;/C&gt;&lt;D xsi:type="xsd:double"&gt;1.0409148&lt;/D&gt;&lt;/FQL&gt;&lt;FQL&gt;&lt;Q&gt;HUBB-US^P_BETA_LOCIDX(45247,45076,,"SPX")&lt;/Q&gt;&lt;R&gt;1&lt;/R&gt;&lt;C&gt;1&lt;/C&gt;&lt;D xsi:type="xsd:double"&gt;1.0491556&lt;/D&gt;&lt;/FQL&gt;&lt;FQL&gt;&lt;Q&gt;HUBB-US^P_BETA_LOCIDX(45246,45072,,"SPX")&lt;/Q&gt;&lt;R&gt;1&lt;/R&gt;&lt;C&gt;1&lt;/C&gt;&lt;D xsi:type="xsd:double"&gt;1.0488534&lt;/D&gt;&lt;/FQL&gt;&lt;FQL&gt;&lt;Q&gt;HUBB-US^P_BETA_LOCIDX(45245,45071,,"SPX")&lt;/Q&gt;&lt;R&gt;1&lt;/R&gt;&lt;C&gt;1&lt;/C&gt;&lt;D xsi:type="xsd:double"&gt;1.0862005&lt;/D&gt;&lt;/FQL&gt;&lt;FQL&gt;&lt;Q&gt;HUBB-US^P_BETA_LOCIDX(45244,45070,,"SPX")&lt;/Q&gt;&lt;R&gt;1&lt;/R&gt;&lt;C&gt;1&lt;/C&gt;&lt;D xsi:type="xsd:double"&gt;1.0828745&lt;/D&gt;&lt;/FQL&gt;&lt;FQL&gt;&lt;Q&gt;HUBB-US^P_BETA_LOCIDX(45243,45069,,"SPX")&lt;/Q&gt;&lt;R&gt;1&lt;/R&gt;&lt;C&gt;1&lt;/C&gt;&lt;D xsi:type="xsd:double"&gt;1.1134298&lt;/D&gt;&lt;/FQL&gt;&lt;FQL&gt;&lt;Q&gt;HUBB-US^P_BETA_LOCIDX(45240,45068,,"SPX")&lt;/Q&gt;&lt;R&gt;1&lt;/R&gt;&lt;C&gt;1&lt;/C&gt;&lt;D xsi:type="xsd:double"&gt;1.1140537&lt;/D&gt;&lt;/FQL&gt;&lt;FQL&gt;&lt;Q&gt;HUBB-US^P_BETA_LOCIDX(45239,45065,,"SPX")&lt;/Q&gt;&lt;R&gt;1&lt;/R&gt;&lt;C&gt;1&lt;/C&gt;&lt;D xsi:type="xsd:double"&gt;1.1174713&lt;/D&gt;&lt;/FQL&gt;&lt;FQL&gt;&lt;Q&gt;HUBB-US^P_BETA_LOCIDX(45238,45064,,"SPX")&lt;/Q&gt;&lt;R&gt;1&lt;/R&gt;&lt;C&gt;1&lt;/C&gt;&lt;D xsi:type="xsd:double"&gt;1.1578423&lt;/D&gt;&lt;/FQL&gt;&lt;FQL&gt;&lt;Q&gt;HUBB-US^P_BETA_LOCIDX(45237,45063,,"SPX")&lt;/Q&gt;&lt;R&gt;1&lt;/R&gt;&lt;C&gt;1&lt;/C&gt;&lt;D xsi:type="xsd:double"&gt;1.1649973&lt;/D&gt;&lt;/FQL&gt;&lt;FQL&gt;&lt;Q&gt;HUBB-US^P_BETA_LOCIDX(45236,45062,,"SPX")&lt;/Q&gt;&lt;R&gt;1&lt;/R&gt;&lt;C&gt;1&lt;/C&gt;&lt;D xsi:type="xsd:double"&gt;1.1706549&lt;/D&gt;&lt;/FQL&gt;&lt;FQL&gt;&lt;Q&gt;HUBB-US^P_BETA_LOCIDX(45233,45061,,"SPX")&lt;/Q&gt;&lt;R&gt;1&lt;/R&gt;&lt;C&gt;1&lt;/C&gt;&lt;D xsi:type="xsd:double"&gt;1.1722435&lt;/D&gt;&lt;/FQL&gt;&lt;FQL&gt;&lt;Q&gt;HUBB-US^P_BETA_LOCIDX(45232,45058,,"SPX")&lt;/Q&gt;&lt;R&gt;1&lt;/R&gt;&lt;C&gt;1&lt;/C&gt;&lt;D xsi:type="xsd:double"&gt;1.1797435&lt;/D&gt;&lt;/FQL&gt;&lt;FQL&gt;&lt;Q&gt;HUBB-US^P_BETA_LOCIDX(45231,45057,,"SPX")&lt;/Q&gt;&lt;R&gt;1&lt;/R&gt;&lt;C&gt;1&lt;/C&gt;&lt;D xsi:type="xsd:double"&gt;1.2252021&lt;/D&gt;&lt;/FQL&gt;&lt;FQL&gt;&lt;Q&gt;HUBB-US^P_BETA_LOCIDX(45230,45056,,"SPX")&lt;/Q&gt;&lt;R&gt;1&lt;/R&gt;&lt;C&gt;1&lt;/C&gt;&lt;D xsi:type="xsd:double"&gt;1.1920115&lt;/D&gt;&lt;/FQL&gt;&lt;FQL&gt;&lt;Q&gt;HUBB-US^P_BETA_LOCIDX(45229,45055,,"SPX")&lt;/Q&gt;&lt;R&gt;1&lt;/R&gt;&lt;C&gt;1&lt;/C&gt;&lt;D xsi:type="xsd:double"&gt;1.240942&lt;/D&gt;&lt;/FQL&gt;&lt;FQL&gt;&lt;Q&gt;HUBB-US^P_BETA_LOCIDX(45226,45054,,"SPX")&lt;/Q&gt;&lt;R&gt;1&lt;/R&gt;&lt;C&gt;1&lt;/C&gt;&lt;D xsi:type="xsd:double"&gt;1.253993&lt;/D&gt;&lt;/FQL&gt;&lt;FQL&gt;&lt;Q&gt;HUBB-US^P_BETA_LOCIDX(45225,45051,,"SPX")&lt;/Q&gt;&lt;R&gt;1&lt;/R&gt;&lt;C&gt;1&lt;/C&gt;&lt;D xsi:type="xsd:double"&gt;1.2172432&lt;/D&gt;&lt;/FQL&gt;&lt;FQL&gt;&lt;Q&gt;HUBB-US^P_BETA_LOCIDX(45224,45050,,"SPX")&lt;/Q&gt;&lt;R&gt;1&lt;/R&gt;&lt;C&gt;1&lt;/C&gt;&lt;D xsi:type="xsd:double"&gt;1.2622857&lt;/D&gt;&lt;/FQL&gt;&lt;FQL&gt;&lt;Q&gt;HUBB-US^P_BETA_LOCIDX(45223,45049,,"SPX")&lt;/Q&gt;&lt;R&gt;1&lt;/R&gt;&lt;C&gt;1&lt;/C&gt;&lt;D xsi:type="xsd:double"&gt;1.3010548&lt;/D&gt;&lt;/FQL&gt;&lt;FQL&gt;&lt;Q&gt;HUBB-US^P_BETA_LOCIDX(45222,45048,,"SPX")&lt;/Q&gt;&lt;R&gt;1&lt;/R&gt;&lt;C&gt;1&lt;/C&gt;&lt;D xsi:type="xsd:double"&gt;1.2302021&lt;/D&gt;&lt;/FQL&gt;&lt;FQL&gt;&lt;Q&gt;HUBB-US^P_BETA_LOCIDX(45219,45047,,"SPX")&lt;/Q&gt;&lt;R&gt;1&lt;/R&gt;&lt;C&gt;1&lt;/C&gt;&lt;D xsi:type="xsd:double"&gt;1.230161&lt;/D&gt;&lt;/FQL&gt;&lt;FQL&gt;&lt;Q&gt;HUBB-US^P_BETA_LOCIDX(45218,45044,,"SPX")&lt;/Q&gt;&lt;R&gt;1&lt;/R&gt;&lt;C&gt;1&lt;/C&gt;&lt;D xsi:type="xsd:double"&gt;1.2223227&lt;/D&gt;&lt;/FQL&gt;&lt;FQL&gt;&lt;Q&gt;HUBB-US^P_BETA_LOCIDX(45217,45043,,"SPX")&lt;/Q&gt;&lt;R&gt;1&lt;/R&gt;&lt;C&gt;1&lt;/C&gt;&lt;D xsi:type="xsd:double"&gt;1.2203319&lt;/D&gt;&lt;/FQL&gt;&lt;FQL&gt;&lt;Q&gt;HUBB-US^P_BETA_LOCIDX(45216,45042,,"SPX")&lt;/Q&gt;&lt;R&gt;1&lt;/R&gt;&lt;C&gt;1&lt;/C&gt;&lt;D xsi:type="xsd:double"&gt;1.1799963&lt;/D&gt;&lt;/FQL&gt;&lt;FQL&gt;&lt;Q&gt;HUBB-US^P_BETA_LOCIDX(45215,45041,,"SPX")&lt;/Q&gt;&lt;R&gt;1&lt;/R&gt;&lt;C&gt;1&lt;/C&gt;&lt;D xsi:type="xsd:double"&gt;0.85311806&lt;/D&gt;&lt;/FQL&gt;&lt;FQL&gt;&lt;Q&gt;HUBB-US^P_BETA_LOCIDX(45212,45040,,"SPX")&lt;/Q&gt;&lt;R&gt;1&lt;/R&gt;&lt;C&gt;1&lt;/C&gt;&lt;D xsi:type="xsd:double"&gt;0.8221858&lt;/D&gt;&lt;/FQL&gt;&lt;FQL&gt;&lt;Q&gt;HUBB-US^P_BETA_LOCIDX(45211,45037,,"SPX")&lt;/Q&gt;&lt;R&gt;1&lt;/R&gt;&lt;C&gt;1&lt;/C&gt;&lt;D xsi:type="xsd:double"&gt;0.78427017&lt;/D&gt;&lt;/FQL&gt;&lt;FQL&gt;&lt;Q&gt;HUBB-US^P_BETA_LOCIDX(45210,45036,,"SPX")&lt;/Q&gt;&lt;R&gt;1&lt;/R&gt;&lt;C&gt;1&lt;/C&gt;&lt;D xsi:type="xsd:double"&gt;0.7851874&lt;/D&gt;&lt;/FQL&gt;&lt;FQL&gt;&lt;Q&gt;HUBB-US^P_BETA_LOCIDX(45209,45035,,"SPX")&lt;/Q&gt;&lt;R&gt;1&lt;/R&gt;&lt;C&gt;1&lt;/C&gt;&lt;D xsi:type="xsd:double"&gt;0.7836249&lt;/D&gt;&lt;/FQL&gt;&lt;FQL&gt;&lt;Q&gt;HUBB-US^P_BETA_LOCIDX(45208,45034,,"SPX")&lt;/Q&gt;&lt;R&gt;1&lt;/R&gt;&lt;C&gt;1&lt;/C&gt;&lt;D xsi:type="xsd:double"&gt;0.7901676&lt;/D&gt;&lt;/FQL&gt;&lt;FQL&gt;&lt;Q&gt;HUBB-US^P_BETA_LOCIDX(45205,45033,,"SPX")&lt;/Q&gt;&lt;R&gt;1&lt;/R&gt;&lt;C&gt;1&lt;/C&gt;&lt;D xsi:type="xsd:double"&gt;0.80423254&lt;/D&gt;&lt;/FQL&gt;&lt;FQL&gt;&lt;Q&gt;HUBB-US^P_BETA_LOCIDX(45204,45030,,"SPX")&lt;/Q&gt;&lt;R&gt;1&lt;/R&gt;&lt;C&gt;1&lt;/C&gt;&lt;D xsi:type="xsd:double"&gt;0.7637724&lt;/D&gt;&lt;/FQL&gt;&lt;FQL&gt;&lt;Q&gt;HUBB-US^P_BETA_LOCIDX(45203,45029,,"SPX")&lt;/Q&gt;&lt;R&gt;1&lt;/R&gt;&lt;C&gt;1&lt;/C&gt;&lt;D xsi:type="xsd:double"&gt;0.73098445&lt;/D&gt;&lt;/FQL&gt;&lt;FQL&gt;&lt;Q&gt;HUBB-US^P_BETA_LOCIDX(45202,45028,,"SPX")&lt;/Q&gt;&lt;R&gt;1&lt;/R&gt;&lt;C&gt;1&lt;/C&gt;&lt;D xsi:type="xsd:double"&gt;0.727427&lt;/D&gt;&lt;/FQL&gt;&lt;FQL&gt;&lt;Q&gt;HUBB-US^P_BETA_LOCIDX(45201,45027,,"SPX")&lt;/Q&gt;&lt;R&gt;1&lt;/R&gt;&lt;C&gt;1&lt;/C&gt;&lt;D xsi:type="xsd:double"&gt;0.71672326&lt;/D&gt;&lt;/FQL&gt;&lt;FQL&gt;&lt;Q&gt;HUBB-US^P_BETA_LOCIDX(45198,45026,,"SPX")&lt;/Q&gt;&lt;R&gt;1&lt;/R&gt;&lt;C&gt;1&lt;/C&gt;&lt;D xsi:type="xsd:double"&gt;0.7170519&lt;/D&gt;&lt;/FQL&gt;&lt;FQL&gt;&lt;Q&gt;HUBB-US^P_BETA_LOCIDX(45197,45022,,"SPX")&lt;/Q&gt;&lt;R&gt;1&lt;/R&gt;&lt;C&gt;1&lt;/C&gt;&lt;D xsi:type="xsd:double"&gt;0.7009033&lt;/D&gt;&lt;/FQL&gt;&lt;FQL&gt;&lt;Q&gt;HUBB-US^P_BETA_LOCIDX(45196,45021,,"SPX")&lt;/Q&gt;&lt;R&gt;1&lt;/R&gt;&lt;C&gt;1&lt;/C&gt;&lt;D xsi:type="xsd:double"&gt;0.71555924&lt;/D&gt;&lt;/FQL&gt;&lt;FQL&gt;&lt;Q&gt;HUBB-US^P_BETA_LOCIDX(45195,45020,,"SPX")&lt;/Q&gt;&lt;R&gt;1&lt;/R&gt;&lt;C&gt;1&lt;/C&gt;&lt;D xsi:type="xsd:double"&gt;0.7681168&lt;/D&gt;&lt;/FQL&gt;&lt;FQL&gt;&lt;Q&gt;HUBB-US^P_BETA_LOCIDX(45194,45019,,"SPX")&lt;/Q&gt;&lt;R&gt;1&lt;/R&gt;&lt;C&gt;1&lt;/C&gt;&lt;D xsi:type="xsd:double"&gt;0.7582564&lt;/D&gt;&lt;/FQL&gt;&lt;FQL&gt;&lt;Q&gt;HUBB-US^P_BETA_LOCIDX(45191,45016,,"SPX")&lt;/Q&gt;&lt;R&gt;1&lt;/R&gt;&lt;C&gt;1&lt;/C&gt;&lt;D xsi:type="xsd:double"&gt;0.74857724&lt;/D&gt;&lt;/FQL&gt;&lt;FQL&gt;&lt;Q&gt;HUBB-US^P_BETA_LOCIDX(45190,45015,,"SPX")&lt;/Q&gt;&lt;R&gt;1&lt;/R&gt;&lt;C&gt;1&lt;/C&gt;&lt;D xsi:type="xsd:double"&gt;0.7463006&lt;/D&gt;&lt;/FQL&gt;&lt;FQL&gt;&lt;Q&gt;HUBB-US^P_BETA_LOCIDX(45189,45014,,"SPX")&lt;/Q&gt;&lt;R&gt;1&lt;/R&gt;&lt;C&gt;1&lt;/C&gt;&lt;D xsi:type="xsd:double"&gt;0.72704536&lt;/D&gt;&lt;/FQL&gt;&lt;FQL&gt;&lt;Q&gt;HUBB-US^P_BETA_LOCIDX(45188,45013,,"SPX")&lt;/Q&gt;&lt;R&gt;1&lt;/R&gt;&lt;C&gt;1&lt;/C&gt;&lt;D xsi:type="xsd:double"&gt;0.70973&lt;/D&gt;&lt;/FQL&gt;&lt;FQL&gt;&lt;Q&gt;HUBB-US^P_BETA_LOCIDX(45187,45012,,"SPX")&lt;/Q&gt;&lt;R&gt;1&lt;/R&gt;&lt;C&gt;1&lt;/C&gt;&lt;D xsi:type="xsd:double"&gt;0.70144725&lt;/D&gt;&lt;/FQL&gt;&lt;FQL&gt;&lt;Q&gt;HUBB-US^P_BETA_LOCIDX(45184,45009,,"SPX")&lt;/Q&gt;&lt;R&gt;1&lt;/R&gt;&lt;C&gt;1&lt;/C&gt;&lt;D xsi:type="xsd:double"&gt;0.692877&lt;/D&gt;&lt;/FQL&gt;&lt;FQL&gt;&lt;Q&gt;HUBB-US^P_BETA_LOCIDX(45183,45008,,"SPX")&lt;/Q&gt;&lt;R&gt;1&lt;/R&gt;&lt;C&gt;1&lt;/C&gt;&lt;D xsi:type="xsd:double"&gt;0.6738162&lt;/D&gt;&lt;/FQL&gt;&lt;FQL&gt;&lt;Q&gt;HUBB-US^P_BETA_LOCIDX(45182,45007,,"SPX")&lt;/Q&gt;&lt;R&gt;1&lt;/R&gt;&lt;C&gt;1&lt;/C&gt;&lt;D xsi:type="xsd:double"&gt;0.70851433&lt;/D&gt;&lt;/FQL&gt;&lt;FQL&gt;&lt;Q&gt;HUBB-US^P_BETA_LOCIDX(45181,45006,,"SPX")&lt;/Q&gt;&lt;R&gt;1&lt;/R&gt;&lt;C&gt;1&lt;/C&gt;&lt;D xsi:type="xsd:double"&gt;0.6923196&lt;/D&gt;&lt;/FQL&gt;&lt;FQL&gt;&lt;Q&gt;HUBB-US^P_BETA_LOCIDX(45180,45005,,"SPX")&lt;/Q&gt;&lt;R&gt;1&lt;/R&gt;&lt;C&gt;1&lt;/C&gt;&lt;D xsi:type="xsd:double"&gt;0.69422853&lt;/D&gt;&lt;/FQL&gt;&lt;FQL&gt;&lt;Q&gt;HUBB-US^P_BETA_LOCIDX(45177,45002,,"SPX")&lt;/Q&gt;&lt;R&gt;1&lt;/R&gt;&lt;C&gt;1&lt;/C&gt;&lt;D xsi:type="xsd:double"&gt;0.74415135&lt;/D&gt;&lt;/FQL&gt;&lt;FQL&gt;&lt;Q&gt;HUBB-US^P_BETA_LOCIDX(45176,45001,,"SPX")&lt;/Q&gt;&lt;R&gt;1&lt;/R&gt;&lt;C&gt;1&lt;/C&gt;&lt;D xsi:type="xsd:double"&gt;0.78301126&lt;/D&gt;&lt;/FQL&gt;&lt;FQL&gt;&lt;Q&gt;HUBB-US^P_BETA_LOCIDX(45175,45000,,"SPX")&lt;/Q&gt;&lt;R&gt;1&lt;/R&gt;&lt;C&gt;1&lt;/C&gt;&lt;D xsi:type="xsd:double"&gt;0.85159016&lt;/D&gt;&lt;/FQL&gt;&lt;FQL&gt;&lt;Q&gt;HUBB-US^P_BETA_LOCIDX(45174,44999,,"SPX")&lt;/Q&gt;&lt;R&gt;1&lt;/R&gt;&lt;C&gt;1&lt;/C&gt;&lt;D xsi:type="xsd:double"&gt;0.91810405&lt;/D&gt;&lt;/FQL&gt;&lt;FQL&gt;&lt;Q&gt;HUBB-US^P_BETA_LOCIDX(45170,44998,,"SPX")&lt;/Q&gt;&lt;R&gt;1&lt;/R&gt;&lt;C&gt;1&lt;/C&gt;&lt;D xsi:type="xsd:double"&gt;0.8882187&lt;/D&gt;&lt;/FQL&gt;&lt;FQL&gt;&lt;Q&gt;HUBB-US^P_BETA_LOCIDX(45169,44995,,"SPX")&lt;/Q&gt;&lt;R&gt;1&lt;/R&gt;&lt;C&gt;1&lt;/C&gt;&lt;D xsi:type="xsd:double"&gt;0.9299613&lt;/D&gt;&lt;/FQL&gt;&lt;FQL&gt;&lt;Q&gt;HUBB-US^P_BETA_LOCIDX(45168,44994,,"SPX")&lt;/Q&gt;&lt;R&gt;1&lt;/R&gt;&lt;C&gt;1&lt;/C&gt;&lt;D xsi:type="xsd:double"&gt;0.93208784&lt;/D&gt;&lt;/FQL&gt;&lt;FQL&gt;&lt;Q&gt;HUBB-US^P_BETA_LOCIDX(45167,44993,,"SPX")&lt;/Q&gt;&lt;R&gt;1&lt;/R&gt;&lt;C&gt;1&lt;/C&gt;&lt;D xsi:type="xsd:double"&gt;0.9347349&lt;/D&gt;&lt;/FQL&gt;&lt;FQL&gt;&lt;Q&gt;HUBB-US^P_BETA_LOCIDX(45166,44992,,"SPX")&lt;/Q&gt;&lt;R&gt;1&lt;/R&gt;&lt;C&gt;1&lt;/C&gt;&lt;D xsi:type="xsd:double"&gt;0.95120406&lt;/D&gt;&lt;/FQL&gt;&lt;FQL&gt;&lt;Q&gt;HUBB-US^P_BETA_LOCIDX(45163,44991,,"SPX")&lt;/Q&gt;&lt;R&gt;1&lt;/R&gt;&lt;C&gt;1&lt;/C&gt;&lt;D xsi:type="xsd:double"&gt;0.95099825&lt;/D&gt;&lt;/FQL&gt;&lt;FQL&gt;&lt;Q&gt;HUBB-US^P_BETA_LOCIDX(45162,44988,,"SPX")&lt;/Q&gt;&lt;R&gt;1&lt;/R&gt;&lt;C&gt;1&lt;/C&gt;&lt;D xsi:type="xsd:double"&gt;0.934597&lt;/D&gt;&lt;/FQL&gt;&lt;FQL&gt;&lt;Q&gt;HUBB-US^P_BETA_LOCIDX(45161,44987,,"SPX")&lt;/Q&gt;&lt;R&gt;1&lt;/R&gt;&lt;C&gt;1&lt;/C&gt;&lt;D xsi:type="xsd:double"&gt;0.9412392&lt;/D&gt;&lt;/FQL&gt;&lt;FQL&gt;&lt;Q&gt;HUBB-US^P_BETA_LOCIDX(45160,44986,,"SPX")&lt;/Q&gt;&lt;R&gt;1&lt;/R&gt;&lt;C&gt;1&lt;/C&gt;&lt;D xsi:type="xsd:double"&gt;0.91451967&lt;/D&gt;&lt;/FQL&gt;&lt;FQL&gt;&lt;Q&gt;HUBB-US^P_BETA_LOCIDX(45159,44985,,"SPX")&lt;/Q&gt;&lt;R&gt;1&lt;/R&gt;&lt;C&gt;1&lt;/C&gt;&lt;D xsi:type="xsd:double"&gt;0.91472054&lt;/D&gt;&lt;/FQL&gt;&lt;FQL&gt;&lt;Q&gt;HUBB-US^P_BETA_LOCIDX(45156,44984,,"SPX")&lt;/Q&gt;&lt;R&gt;1&lt;/R&gt;&lt;C&gt;1&lt;/C&gt;&lt;D xsi:type="xsd:double"&gt;0.9075204&lt;/D&gt;&lt;/FQL&gt;&lt;FQL&gt;&lt;Q&gt;HUBB-US^P_BETA_LOCIDX(45155,44981,,"SPX")&lt;/Q&gt;&lt;R&gt;1&lt;/R&gt;&lt;C&gt;1&lt;/C&gt;&lt;D xsi:type="xsd:double"&gt;0.8766951&lt;/D&gt;&lt;/FQL&gt;&lt;FQL&gt;&lt;Q&gt;HUBB-US^P_BETA_LOCIDX(45154,44980,,"SPX")&lt;/Q&gt;&lt;R&gt;1&lt;/R&gt;&lt;C&gt;1&lt;/C&gt;&lt;D xsi:type="xsd:double"&gt;0.8647587&lt;/D&gt;&lt;/FQL&gt;&lt;FQL&gt;&lt;Q&gt;HUBB-US^P_BETA_LOCIDX(45153,44979,,"SPX")&lt;/Q&gt;&lt;R&gt;1&lt;/R&gt;&lt;C&gt;1&lt;/C&gt;&lt;D xsi:type="xsd:double"&gt;0.8717609&lt;/D&gt;&lt;/FQL&gt;&lt;FQL&gt;&lt;Q&gt;HUBB-US^P_BETA_LOCIDX(45152,44978,,"SPX")&lt;/Q&gt;&lt;R&gt;1&lt;/R&gt;&lt;C&gt;1&lt;/C&gt;&lt;D xsi:type="xsd:double"&gt;0.8585705&lt;/D&gt;&lt;/FQL&gt;&lt;FQL&gt;&lt;Q&gt;HUBB-US^P_BETA_LOCIDX(45149,44974,,"SPX")&lt;/Q&gt;&lt;R&gt;1&lt;/R&gt;&lt;C&gt;1&lt;/C&gt;&lt;D xsi:type="xsd:double"&gt;0.8514807&lt;/D&gt;&lt;/FQL&gt;&lt;FQL&gt;&lt;Q&gt;HUBB-US^P_BETA_LOCIDX(45148,44973,,"SPX")&lt;/Q&gt;&lt;R&gt;1&lt;/R&gt;&lt;C&gt;1&lt;/C&gt;&lt;D xsi:type="xsd:double"&gt;0.84120524&lt;/D&gt;&lt;/FQL&gt;&lt;FQL&gt;&lt;Q&gt;HUBB-US^P_BETA_LOCIDX(45147,44972,,"SPX")&lt;/Q&gt;&lt;R&gt;1&lt;/R&gt;&lt;C&gt;1&lt;/C&gt;&lt;D xsi:type="xsd:double"&gt;0.8455892&lt;/D&gt;&lt;/FQL&gt;&lt;FQL&gt;&lt;Q&gt;HUBB-US^P_BETA_LOCIDX(45146,44971,,"SPX")&lt;/Q&gt;&lt;R&gt;1&lt;/R&gt;&lt;C&gt;1&lt;/C&gt;&lt;D xsi:type="xsd:double"&gt;0.8242278&lt;/D&gt;&lt;/FQL&gt;&lt;FQL&gt;&lt;Q&gt;HUBB-US^P_BETA_LOCIDX(45145,44970,,"SPX")&lt;/Q&gt;&lt;R&gt;1&lt;/R&gt;&lt;C&gt;1&lt;/C&gt;&lt;D xsi:type="xsd:double"&gt;0.8335845&lt;/D&gt;&lt;/FQL&gt;&lt;FQL&gt;&lt;Q&gt;HUBB-US^P_BETA_LOCIDX(45142,44967,,"SPX")&lt;/Q&gt;&lt;R&gt;1&lt;/R&gt;&lt;C&gt;1&lt;/C&gt;&lt;D xsi:type="xsd:double"&gt;0.8252684&lt;/D&gt;&lt;/FQL&gt;&lt;FQL&gt;&lt;Q&gt;HUBB-US^P_BETA_LOCIDX(45141,44966,,"SPX")&lt;/Q&gt;&lt;R&gt;1&lt;/R&gt;&lt;C&gt;1&lt;/C&gt;&lt;D xsi:type="xsd:double"&gt;0.80701226&lt;/D&gt;&lt;/FQL&gt;&lt;FQL&gt;&lt;Q&gt;HUBB-US^P_BETA_LOCIDX(45140,44965,,"SPX")&lt;/Q&gt;&lt;R&gt;1&lt;/R&gt;&lt;C&gt;1&lt;/C&gt;&lt;D xsi:type="xsd:double"&gt;0.8210962&lt;/D&gt;&lt;/FQL&gt;&lt;FQL&gt;&lt;Q&gt;HUBB-US^P_BETA_LOCIDX(45139,44964,,"SPX")&lt;/Q&gt;&lt;R&gt;1&lt;/R&gt;&lt;C&gt;1&lt;/C&gt;&lt;D xsi:type="xsd:double"&gt;0.8212162&lt;/D&gt;&lt;/FQL&gt;&lt;FQL&gt;&lt;Q&gt;HUBB-US^P_BETA_LOCIDX(45138,44963,,"SPX")&lt;/Q&gt;&lt;R&gt;1&lt;/R&gt;&lt;C&gt;1&lt;/C&gt;&lt;D xsi:type="xsd:double"&gt;0.82021487&lt;/D&gt;&lt;/FQL&gt;&lt;FQL&gt;&lt;Q&gt;HUBB-US^P_BETA_LOCIDX(45135,44960,,"SPX")&lt;/Q&gt;&lt;R&gt;1&lt;/R&gt;&lt;C&gt;1&lt;/C&gt;&lt;D xsi:type="xsd:double"&gt;0.7859643&lt;/D&gt;&lt;/FQL&gt;&lt;FQL&gt;&lt;Q&gt;HUBB-US^P_BETA_LOCIDX(45134,44959,,"SPX")&lt;/Q&gt;&lt;R&gt;1&lt;/R&gt;&lt;C&gt;1&lt;/C&gt;&lt;D xsi:type="xsd:double"&gt;0.75887495&lt;/D&gt;&lt;/FQL&gt;&lt;FQL&gt;&lt;Q&gt;HUBB-US^P_BETA_LOCIDX(45133,44958,,"SPX")&lt;/Q&gt;&lt;R&gt;1&lt;/R&gt;&lt;C&gt;1&lt;/C&gt;&lt;D xsi:type="xsd:double"&gt;0.79293746&lt;/D&gt;&lt;/FQL&gt;&lt;FQL&gt;&lt;Q&gt;HUBB-US^P_BETA_LOCIDX(45132,44957,,"SPX")&lt;/Q&gt;&lt;R&gt;1&lt;/R&gt;&lt;C&gt;1&lt;/C&gt;&lt;D xsi:type="xsd:double"&gt;0.7607806&lt;/D&gt;&lt;/FQL&gt;&lt;FQL&gt;&lt;Q&gt;HUBB-US^P_BETA_LOCIDX(45131,44956,,"SPX")&lt;/Q&gt;&lt;R&gt;1&lt;/R&gt;&lt;C&gt;1&lt;/C&gt;&lt;D xsi:type="xsd:double"&gt;0.7666981&lt;/D&gt;&lt;/FQL&gt;&lt;FQL&gt;&lt;Q&gt;HUBB-US^P_BETA_LOCIDX(45128,44953,,"SPX")&lt;/Q&gt;&lt;R&gt;1&lt;/R&gt;&lt;C&gt;1&lt;/C&gt;&lt;D xsi:type="xsd:double"&gt;0.76794434&lt;/D&gt;&lt;/FQL&gt;&lt;FQL&gt;&lt;Q&gt;HUBB-US^P_BETA_LOCIDX(45127,44952,,"SPX")&lt;/Q&gt;&lt;R&gt;1&lt;/R&gt;&lt;C&gt;1&lt;/C&gt;&lt;D xsi:type="xsd:double"&gt;0.7686948&lt;/D&gt;&lt;/FQL&gt;&lt;FQL&gt;&lt;Q&gt;HUBB-US^P_BETA_LOCIDX(45126,44951,,"SPX")&lt;/Q&gt;&lt;R&gt;1&lt;/R&gt;&lt;C&gt;1&lt;/C&gt;&lt;D xsi:type="xsd:double"&gt;0.7735367&lt;/D&gt;&lt;/FQL&gt;&lt;FQL&gt;&lt;Q&gt;HUBB-US^P_BETA_LOCIDX(45125,44950,,"SPX")&lt;/Q&gt;&lt;R&gt;1&lt;/R&gt;&lt;C&gt;1&lt;/C&gt;&lt;D xsi:type="xsd:double"&gt;0.77025205&lt;/D&gt;&lt;/FQL&gt;&lt;FQL&gt;&lt;Q&gt;HUBB-US^P_BETA_LOCIDX(45124,44949,,"SPX")&lt;/Q&gt;&lt;R&gt;1&lt;/R&gt;&lt;C&gt;1&lt;/C&gt;&lt;D xsi:type="xsd:double"&gt;0.7500932&lt;/D&gt;&lt;/FQL&gt;&lt;FQL&gt;&lt;Q&gt;HUBB-US^P_BETA_LOCIDX(45121,44946,,"SPX")&lt;/Q&gt;&lt;R&gt;1&lt;/R&gt;&lt;C&gt;1&lt;/C&gt;&lt;D xsi:type="xsd:double"&gt;0.7279423&lt;/D&gt;&lt;/FQL&gt;&lt;FQL&gt;&lt;Q&gt;HUBB-US^P_BETA_LOCIDX(45120,44945,,"SPX")&lt;/Q&gt;&lt;R&gt;1&lt;/R&gt;&lt;C&gt;1&lt;/C&gt;&lt;D xsi:type="xsd:double"&gt;0.74082756&lt;/D&gt;&lt;/FQL&gt;&lt;FQL&gt;&lt;Q&gt;HUBB-US^P_BETA_LOCIDX(45119,44944,,"SPX")&lt;/Q&gt;&lt;R&gt;1&lt;/R&gt;&lt;C&gt;1&lt;/C&gt;&lt;D xsi:type="xsd:double"&gt;0.7435602&lt;/D&gt;&lt;/FQL&gt;&lt;FQL&gt;&lt;Q&gt;HUBB-US^P_BETA_LOCIDX(45118,44943,,"SPX")&lt;/Q&gt;&lt;R&gt;1&lt;/R&gt;&lt;C&gt;1&lt;/C&gt;&lt;D xsi:type="xsd:double"&gt;0.7603981&lt;/D&gt;&lt;/FQL&gt;&lt;FQL&gt;&lt;Q&gt;HUBB-US^P_BETA_LOCIDX(45117,44939,,"SPX")&lt;/Q&gt;&lt;R&gt;1&lt;/R&gt;&lt;C&gt;1&lt;/C&gt;&lt;D xsi:type="xsd:double"&gt;0.7705188&lt;/D&gt;&lt;/FQL&gt;&lt;FQL&gt;&lt;Q&gt;HUBB-US^P_BETA_LOCIDX(45114,44938,,"SPX")&lt;/Q&gt;&lt;R&gt;1&lt;/R&gt;&lt;C&gt;1&lt;/C&gt;&lt;D xsi:type="xsd:double"&gt;0.7636721&lt;/D&gt;&lt;/FQL&gt;&lt;FQL&gt;&lt;Q&gt;HUBB-US^P_BETA_LOCIDX(45113,44937,,"SPX")&lt;/Q&gt;&lt;R&gt;1&lt;/R&gt;&lt;C&gt;1&lt;/C&gt;&lt;D xsi:type="xsd:double"&gt;0.76130754&lt;/D&gt;&lt;/FQL&gt;&lt;FQL&gt;&lt;Q&gt;HUBB-US^P_BETA_LOCIDX(45112,44936,,"SPX")&lt;/Q&gt;&lt;R&gt;1&lt;/R&gt;&lt;C&gt;1&lt;/C&gt;&lt;D xsi:type="xsd:double"&gt;0.76566136&lt;/D&gt;&lt;/FQL&gt;&lt;FQL&gt;&lt;Q&gt;HUBB-US^P_BETA_LOCIDX(45110,44935,,"SPX")&lt;/Q&gt;&lt;R&gt;1&lt;/R&gt;&lt;C&gt;1&lt;/C&gt;&lt;D xsi:type="xsd:double"&gt;0.7622235&lt;/D&gt;&lt;/FQL&gt;&lt;FQL&gt;&lt;Q&gt;HUBB-US^P_BETA_LOCIDX(45107,44932,,"SPX")&lt;/Q&gt;&lt;R&gt;1&lt;/R&gt;&lt;C&gt;1&lt;/C&gt;&lt;D xsi:type="xsd:double"&gt;0.7622023&lt;/D&gt;&lt;/FQL&gt;&lt;FQL&gt;&lt;Q&gt;HUBB-US^P_BETA_LOCIDX(45106,44931,,"SPX")&lt;/Q&gt;&lt;R&gt;1&lt;/R&gt;&lt;C&gt;1&lt;/C&gt;&lt;D xsi:type="xsd:double"&gt;0.77924716&lt;/D&gt;&lt;/FQL&gt;&lt;FQL&gt;&lt;Q&gt;HUBB-US^P_BETA_LOCIDX(45105,44930,,"SPX")&lt;/Q&gt;&lt;R&gt;1&lt;/R&gt;&lt;C&gt;1&lt;/C&gt;&lt;D xsi:type="xsd:double"&gt;0.7564728&lt;/D&gt;&lt;/FQL&gt;&lt;FQL&gt;&lt;Q&gt;HUBB-US^P_BETA_LOCIDX(45104,44929,,"SPX")&lt;/Q&gt;&lt;R&gt;1&lt;/R&gt;&lt;C&gt;1&lt;/C&gt;&lt;D xsi:type="xsd:double"&gt;0.75540125&lt;/D&gt;&lt;/FQL&gt;&lt;FQL&gt;&lt;Q&gt;HUBB-US^P_BETA_LOCIDX(45103,44925,,"SPX")&lt;/Q&gt;&lt;R&gt;1&lt;/R&gt;&lt;C&gt;1&lt;/C&gt;&lt;D xsi:type="xsd:double"&gt;0.7548737&lt;/D&gt;&lt;/FQL&gt;&lt;FQL&gt;&lt;Q&gt;HUBB-US^P_BETA_LOCIDX(45100,44924,,"SPX")&lt;/Q&gt;&lt;R&gt;1&lt;/R&gt;&lt;C&gt;1&lt;/C&gt;&lt;D xsi:type="xsd:double"&gt;0.7415051&lt;/D&gt;&lt;/FQL&gt;&lt;FQL&gt;&lt;Q&gt;HUBB-US^P_BETA_LOCIDX(45099,44923,,"SPX")&lt;/Q&gt;&lt;R&gt;1&lt;/R&gt;&lt;C&gt;1&lt;/C&gt;&lt;D xsi:type="xsd:double"&gt;0.73724955&lt;/D&gt;&lt;/FQL&gt;&lt;FQL&gt;&lt;Q&gt;HUBB-US^P_BETA_LOCIDX(45098,44922,,"SPX")&lt;/Q&gt;&lt;R&gt;1&lt;/R&gt;&lt;C&gt;1&lt;/C&gt;&lt;D xsi:type="xsd:double"&gt;0.7363457&lt;/D&gt;&lt;/FQL&gt;&lt;FQL&gt;&lt;Q&gt;HUBB-US^P_BETA_LOCIDX(45097,44918,,"SPX")&lt;/Q&gt;&lt;R&gt;1&lt;/R&gt;&lt;C&gt;1&lt;/C&gt;&lt;D xsi:type="xsd:double"&gt;0.7398693&lt;/D&gt;&lt;/FQL&gt;&lt;FQL&gt;&lt;Q&gt;HUBB-US^P_BETA_LOCIDX(45093,44917,,"SPX")&lt;/Q&gt;&lt;R&gt;1&lt;/R&gt;&lt;C&gt;1&lt;/C&gt;&lt;D xsi:type="xsd:double"&gt;0.75850594&lt;/D&gt;&lt;/FQL&gt;&lt;FQL&gt;&lt;Q&gt;HUBB-US^P_BETA_LOCIDX(45092,44916,,"SPX")&lt;/Q&gt;&lt;R&gt;1&lt;/R&gt;&lt;C&gt;1&lt;/C&gt;&lt;D xsi:type="xsd:double"&gt;0.76084346&lt;/D&gt;&lt;/FQL&gt;&lt;FQL&gt;&lt;Q&gt;HUBB-US^P_BETA_LOCIDX(45091,44915,,"SPX")&lt;/Q&gt;&lt;R&gt;1&lt;/R&gt;&lt;C&gt;1&lt;/C&gt;&lt;D xsi:type="xsd:double"&gt;0.7540382&lt;/D&gt;&lt;/FQL&gt;&lt;FQL&gt;&lt;Q&gt;HUBB-US^P_BETA_LOCIDX(45090,44914,,"SPX")&lt;/Q&gt;&lt;R&gt;1&lt;/R&gt;&lt;C&gt;1&lt;/C&gt;&lt;D xsi:type="xsd:double"&gt;0.732525&lt;/D&gt;&lt;/FQL&gt;&lt;FQL&gt;&lt;Q&gt;HUBB-US^P_BETA_LOCIDX(45089,44911,,"SPX")&lt;/Q&gt;&lt;R&gt;1&lt;/R&gt;&lt;C&gt;1&lt;/C&gt;&lt;D xsi:type="xsd:double"&gt;0.7599604&lt;/D&gt;&lt;/FQL&gt;&lt;FQL&gt;&lt;Q&gt;HUBB-US^P_BETA_LOCIDX(45086,44910,,"SPX")&lt;/Q&gt;&lt;R&gt;1&lt;/R&gt;&lt;C&gt;1&lt;/C&gt;&lt;D xsi:type="xsd:double"&gt;0.7876645&lt;/D&gt;&lt;/FQL&gt;&lt;FQL&gt;&lt;Q&gt;HUBB-US^P_BETA_LOCIDX(45085,44909,,"SPX")&lt;/Q&gt;&lt;R&gt;1&lt;/R&gt;&lt;C&gt;1&lt;/C&gt;&lt;D xsi:type="xsd:double"&gt;0.8013708&lt;/D&gt;&lt;/FQL&gt;&lt;FQL&gt;&lt;Q&gt;HUBB-US^P_BETA_LOCIDX(45084,44908,,"SPX")&lt;/Q&gt;&lt;R&gt;1&lt;/R&gt;&lt;C&gt;1&lt;/C&gt;&lt;D xsi:type="xsd:double"&gt;0.79998565&lt;/D&gt;&lt;/FQL&gt;&lt;FQL&gt;&lt;Q&gt;HUBB-US^P_BETA_LOCIDX(45083,44907,,"SPX")&lt;/Q&gt;&lt;R&gt;1&lt;/R&gt;&lt;C&gt;1&lt;/C&gt;&lt;D xsi:type="xsd:double"&gt;0.820368&lt;/D&gt;&lt;/FQL&gt;&lt;FQL&gt;&lt;Q&gt;HUBB-US^P_BETA_LOCIDX(45082,44904,,"SPX")&lt;/Q&gt;&lt;R&gt;1&lt;/R&gt;&lt;C&gt;1&lt;/C&gt;&lt;D xsi:type="xsd:double"&gt;0.81861603&lt;/D&gt;&lt;/FQL&gt;&lt;FQL&gt;&lt;Q&gt;HUBB-US^P_BETA_LOCIDX(45079,44903,,"SPX")&lt;/Q&gt;&lt;R&gt;1&lt;/R&gt;&lt;C&gt;1&lt;/C&gt;&lt;D xsi:type="xsd:double"&gt;0.82415456&lt;/D&gt;&lt;/FQL&gt;&lt;FQL&gt;&lt;Q&gt;HUBB-US^P_BETA_LOCIDX(45078,44902,,"SPX")&lt;/Q&gt;&lt;R&gt;1&lt;/R&gt;&lt;C&gt;1&lt;/C&gt;&lt;D xsi:type="xsd:double"&gt;0.80815434&lt;/D&gt;&lt;/FQL&gt;&lt;FQL&gt;&lt;Q&gt;HUBB-US^P_BETA_LOCIDX(45077,44901,,"SPX")&lt;/Q&gt;&lt;R&gt;1&lt;/R&gt;&lt;C&gt;1&lt;/C&gt;&lt;D xsi:type="xsd:double"&gt;0.7925138&lt;/D&gt;&lt;/FQL&gt;&lt;FQL&gt;&lt;Q&gt;HUBB-US^P_BETA_LOCIDX(45076,44900,,"SPX")&lt;/Q&gt;&lt;R&gt;1&lt;/R&gt;&lt;C&gt;1&lt;/C&gt;&lt;D xsi:type="xsd:double"&gt;0.78462625&lt;/D&gt;&lt;/FQL&gt;&lt;FQL&gt;&lt;Q&gt;HUBB-US^P_BETA_LOCIDX(45072,44897,,"SPX")&lt;/Q&gt;&lt;R&gt;1&lt;/R&gt;&lt;C&gt;1&lt;/C&gt;&lt;D xsi:type="xsd:double"&gt;0.78567284&lt;/D&gt;&lt;/FQL&gt;&lt;FQL&gt;&lt;Q&gt;HUBB-US^P_BETA_LOCIDX(45071,44896,,"SPX")&lt;/Q&gt;&lt;R&gt;1&lt;/R&gt;&lt;C&gt;1&lt;/C&gt;&lt;D xsi:type="xsd:double"&gt;0.7823371&lt;/D&gt;&lt;/FQL&gt;&lt;FQL&gt;&lt;Q&gt;HUBB-US^P_BETA_LOCIDX(45070,44895,,"SPX")&lt;/Q&gt;&lt;R&gt;1&lt;/R&gt;&lt;C&gt;1&lt;/C&gt;&lt;D xsi:type="xsd:double"&gt;0.7423176&lt;/D&gt;&lt;/FQL&gt;&lt;FQL&gt;&lt;Q&gt;HUBB-US^P_BETA_LOCIDX(45069,44894,,"SPX")&lt;/Q&gt;&lt;R&gt;1&lt;/R&gt;&lt;C&gt;1&lt;/C&gt;&lt;D xsi:type="xsd:double"&gt;0.74341744&lt;/D&gt;&lt;/FQL&gt;&lt;FQL&gt;&lt;Q&gt;HUBB-US^P_BETA_LOCIDX(45068,44893,,"SPX")&lt;/Q&gt;&lt;R&gt;1&lt;/R&gt;&lt;C&gt;1&lt;/C&gt;&lt;D xsi:type="xsd:double"&gt;0.7586889&lt;/D&gt;&lt;/FQL&gt;&lt;FQL&gt;&lt;Q&gt;HUBB-US^P_BETA_LOCIDX(45065,44890,,"SPX")&lt;/Q&gt;&lt;R&gt;1&lt;/R&gt;&lt;C&gt;1&lt;/C&gt;&lt;D xsi:type="xsd:double"&gt;0.7583572&lt;/D&gt;&lt;/FQL&gt;&lt;FQL&gt;&lt;Q&gt;HUBB-US^P_BETA_LOCIDX(45064,44888,,"SPX")&lt;/Q&gt;&lt;R&gt;1&lt;/R&gt;&lt;C&gt;1&lt;/C&gt;&lt;D xsi:type="xsd:double"&gt;0.75079125&lt;/D&gt;&lt;/FQL&gt;&lt;FQL&gt;&lt;Q&gt;HUBB-US^P_BETA_LOCIDX(45063,44887,,"SPX")&lt;/Q&gt;&lt;R&gt;1&lt;/R&gt;&lt;C&gt;1&lt;/C&gt;&lt;D xsi:type="xsd:double"&gt;0.75276655&lt;/D&gt;&lt;/FQL&gt;&lt;FQL&gt;&lt;Q&gt;HUBB-US^P_BETA_LOCIDX(45062,44886,,"SPX")&lt;/Q&gt;&lt;R&gt;1&lt;/R&gt;&lt;C&gt;1&lt;/C&gt;&lt;D xsi:type="xsd:double"&gt;0.7435469&lt;/D&gt;&lt;/FQL&gt;&lt;FQL&gt;&lt;Q&gt;HUBB-US^P_BETA_LOCIDX(45061,44883,,"SPX")&lt;/Q&gt;&lt;R&gt;1&lt;/R&gt;&lt;C&gt;1&lt;/C&gt;&lt;D xsi:type="xsd:double"&gt;0.74262935&lt;/D&gt;&lt;/FQL&gt;&lt;FQL&gt;&lt;Q&gt;HUBB-US^P_BETA_LOCIDX(45058,44882,,"SPX")&lt;/Q&gt;&lt;R&gt;1&lt;/R&gt;&lt;C&gt;1&lt;/C&gt;&lt;D xsi:type="xsd:double"&gt;0.7405832&lt;/D&gt;&lt;/FQL&gt;&lt;FQL&gt;&lt;Q&gt;HUBB-US^P_BETA_LOCIDX(45057,44881,,"SPX")&lt;/Q&gt;&lt;R&gt;1&lt;/R&gt;&lt;C&gt;1&lt;/C&gt;&lt;D xsi:type="xsd:double"&gt;0.7421572&lt;/D&gt;&lt;/FQL&gt;&lt;FQL&gt;&lt;Q&gt;HUBB-US^P_BETA_LOCIDX(45056,44880,,"SPX")&lt;/Q&gt;&lt;R&gt;1&lt;/R&gt;&lt;C&gt;1&lt;/C&gt;&lt;D xsi:type="xsd:double"&gt;0.7387136&lt;/D&gt;&lt;/FQL&gt;&lt;FQL&gt;&lt;Q&gt;HUBB-US^P_BETA_LOCIDX(45055,44879,,"SPX")&lt;/Q&gt;&lt;R&gt;1&lt;/R&gt;&lt;C&gt;1&lt;/C&gt;&lt;D xsi:type="xsd:double"&gt;0.7377384&lt;/D&gt;&lt;/FQL&gt;&lt;FQL&gt;&lt;Q&gt;HUBB-US^P_BETA_LOCIDX(45054,44876,,"SPX")&lt;/Q&gt;&lt;R&gt;1&lt;/R&gt;&lt;C&gt;1&lt;/C&gt;&lt;D xsi:type="xsd:double"&gt;0.7243706&lt;/D&gt;&lt;/FQL&gt;&lt;FQL&gt;&lt;Q&gt;HUBB-US^P_BETA_LOCIDX(45051,44875,,"SPX")&lt;/Q&gt;&lt;R&gt;1&lt;/R&gt;&lt;C&gt;1&lt;/C&gt;&lt;D xsi:type="xsd:double"&gt;0.79461634&lt;/D&gt;&lt;/FQL&gt;&lt;FQL&gt;&lt;Q&gt;HUBB-US^P_BETA_LOCIDX(45050,44874,,"SPX")&lt;/Q&gt;&lt;R&gt;1&lt;/R&gt;&lt;C&gt;1&lt;/C&gt;&lt;D xsi:type="xsd:double"&gt;0.794805&lt;/D&gt;&lt;/FQL&gt;&lt;FQL&gt;&lt;Q&gt;HUBB-US^P_BETA_LOCIDX(45049,44873,,"SPX")&lt;/Q&gt;&lt;R&gt;1&lt;/R&gt;&lt;C&gt;1&lt;/C&gt;&lt;D xsi:type="xsd:double"&gt;0.7951491&lt;/D&gt;&lt;/FQL&gt;&lt;FQL&gt;&lt;Q&gt;HUBB-US^P_BETA_LOCIDX(45048,44872,,"SPX")&lt;/Q&gt;&lt;R&gt;1&lt;/R&gt;&lt;C&gt;1&lt;/C&gt;&lt;D xsi:type="xsd:double"&gt;0.78103065&lt;/D&gt;&lt;/FQL&gt;&lt;FQL&gt;&lt;Q&gt;HUBB-US^P_BETA_LOCIDX(45047,44869,,"SPX")&lt;/Q&gt;&lt;R&gt;1&lt;/R&gt;&lt;C&gt;1&lt;/C&gt;&lt;D xsi:type="xsd:double"&gt;0.8057673&lt;/D&gt;&lt;/FQL&gt;&lt;FQL&gt;&lt;Q&gt;HUBB-US^P_BETA_LOCIDX(45044,44868,,"SPX")&lt;/Q&gt;&lt;R&gt;1&lt;/R&gt;&lt;C&gt;1&lt;/C&gt;&lt;D xsi:type="xsd:double"&gt;0.8005546&lt;/D&gt;&lt;/FQL&gt;&lt;FQL&gt;&lt;Q&gt;HUBB-US^P_BETA_LOCIDX(45043,44867,,"SPX")&lt;/Q&gt;&lt;R&gt;1&lt;/R&gt;&lt;C&gt;1&lt;/C&gt;&lt;D xsi:type="xsd:double"&gt;0.7957016&lt;/D&gt;&lt;/FQL&gt;&lt;FQL&gt;&lt;Q&gt;HUBB-US^P_BETA_LOCIDX(45042,44866,,"SPX")&lt;/Q&gt;&lt;R&gt;1&lt;/R&gt;&lt;C&gt;1&lt;/C&gt;&lt;D xsi:type="xsd:double"&gt;0.78044283&lt;/D&gt;&lt;/FQL&gt;&lt;FQL&gt;&lt;Q&gt;HUBB-US^P_BETA_LOCIDX(45041,44865,,"SPX")&lt;/Q&gt;&lt;R&gt;1&lt;/R&gt;&lt;C&gt;1&lt;/C&gt;&lt;D xsi:type="xsd:double"&gt;0.7783597&lt;/D&gt;&lt;/FQL&gt;&lt;FQL&gt;&lt;Q&gt;HUBB-US^P_BETA_LOCIDX(45040,44862,,"SPX")&lt;/Q&gt;&lt;R&gt;1&lt;/R&gt;&lt;C&gt;1&lt;/C&gt;&lt;D xsi:type="xsd:double"&gt;0.862162&lt;/D&gt;&lt;/FQL&gt;&lt;FQL&gt;&lt;Q&gt;HUBB-US^P_BETA_LOCIDX(45037,44861,,"SPX")&lt;/Q&gt;&lt;R&gt;1&lt;/R&gt;&lt;C&gt;1&lt;/C&gt;&lt;D xsi:type="xsd:double"&gt;0.8573979&lt;/D&gt;&lt;/FQL&gt;&lt;FQL&gt;&lt;Q&gt;HUBB-US^P_BETA_LOCIDX(45036,44860,,"SPX")&lt;/Q&gt;&lt;R&gt;1&lt;/R&gt;&lt;C&gt;1&lt;/C&gt;&lt;D xsi:type="xsd:double"&gt;0.85269034&lt;/D&gt;&lt;/FQL&gt;&lt;FQL&gt;&lt;Q&gt;HUBB-US^P_BETA_LOCIDX(45035,44859,,"SPX")&lt;/Q&gt;&lt;R&gt;1&lt;/R&gt;&lt;C&gt;1&lt;/C&gt;&lt;D xsi:type="xsd:double"&gt;0.8982681&lt;/D&gt;&lt;/FQL&gt;&lt;FQL&gt;&lt;Q&gt;HUBB-US^P_BETA_LOCIDX(45034,44858,,"SPX")&lt;/Q&gt;&lt;R&gt;1&lt;/R&gt;&lt;C&gt;1&lt;/C&gt;&lt;D xsi:type="xsd:double"&gt;0.9099789&lt;/D&gt;&lt;/FQL&gt;&lt;FQL&gt;&lt;Q&gt;HUBB-US^P_BETA_LOCIDX(45033,44855,,"SPX")&lt;/Q&gt;&lt;R&gt;1&lt;/R&gt;&lt;C&gt;1&lt;/C&gt;&lt;D xsi:type="xsd:double"&gt;0.9089809&lt;/D&gt;&lt;/FQL&gt;&lt;FQL&gt;&lt;Q&gt;HUBB-US^P_BETA_LOCIDX(45030,44854,,"SPX")&lt;/Q&gt;&lt;R&gt;1&lt;/R&gt;&lt;C&gt;1&lt;/C&gt;&lt;D xsi:type="xsd:double"&gt;0.9156432&lt;/D&gt;&lt;/FQL&gt;&lt;FQL&gt;&lt;Q&gt;HUBB-US^P_BETA_LOCIDX(45029,44853,,"SPX")&lt;/Q&gt;&lt;R&gt;1&lt;/R&gt;&lt;C&gt;1&lt;/C&gt;&lt;D xsi:type="xsd:double"&gt;0.93651474&lt;/D&gt;&lt;/FQL&gt;&lt;FQL&gt;&lt;Q&gt;HUBB-US^P_BETA_LOCIDX(45028,44852,,"SPX")&lt;/Q&gt;&lt;R&gt;1&lt;/R&gt;&lt;C&gt;1&lt;/C&gt;&lt;D xsi:type="xsd:double"&gt;0.9551043&lt;/D&gt;&lt;/FQL&gt;&lt;FQL&gt;&lt;Q&gt;HUBB-US^P_BETA_LOCIDX(45027,44851,,"SPX")&lt;/Q&gt;&lt;R&gt;1&lt;/R&gt;&lt;C&gt;1&lt;/C&gt;&lt;D xsi:type="xsd:double"&gt;0.9636909&lt;/D&gt;&lt;/FQL&gt;&lt;FQL&gt;&lt;Q&gt;HUBB-US^P_BETA_LOCIDX(45026,44848,,"SPX")&lt;/Q&gt;&lt;R&gt;1&lt;/R&gt;&lt;C&gt;1&lt;/C&gt;&lt;D xsi:type="xsd:double"&gt;0.98379177&lt;/D&gt;&lt;/FQL&gt;&lt;FQL&gt;&lt;Q&gt;HUBB-US^P_BETA_LOCIDX(45022,44847,,"SPX")&lt;/Q&gt;&lt;R&gt;1&lt;/R&gt;&lt;C&gt;1&lt;/C&gt;&lt;D xsi:type="xsd:double"&gt;0.95909905&lt;/D&gt;&lt;/FQL&gt;&lt;FQL&gt;&lt;Q&gt;HUBB-US^P_BETA_LOCIDX(45021,44846,,"SPX")&lt;/Q&gt;&lt;R&gt;1&lt;/R&gt;&lt;C&gt;1&lt;/C&gt;&lt;D xsi:type="xsd:double"&gt;0.96320516&lt;/D&gt;&lt;/FQL&gt;&lt;FQL&gt;&lt;Q&gt;HUBB-US^P_BETA_LOCIDX(45020,44845,,"SPX")&lt;/Q&gt;&lt;R&gt;1&lt;/R&gt;&lt;C&gt;1&lt;/C&gt;&lt;D xsi:type="xsd:double"&gt;0.95795673&lt;/D&gt;&lt;/FQL&gt;&lt;FQL&gt;&lt;Q&gt;HUBB-US^P_BETA_LOCIDX(45019,44844,,"SPX")&lt;/Q&gt;&lt;R&gt;1&lt;/R&gt;&lt;C&gt;1&lt;/C&gt;&lt;D xsi:type="xsd:double"&gt;0.93530875&lt;/D&gt;&lt;/FQL&gt;&lt;FQL&gt;&lt;Q&gt;HUBB-US^P_BETA_LOCIDX(45016,44841,,"SPX")&lt;/Q&gt;&lt;R&gt;1&lt;/R&gt;&lt;C&gt;1&lt;/C&gt;&lt;D xsi:type="xsd:double"&gt;0.93316925&lt;/D&gt;&lt;/FQL&gt;&lt;FQL&gt;&lt;Q&gt;HUBB-US^P_BETA_LOCIDX(45015,44840,,"SPX")&lt;/Q&gt;&lt;R&gt;1&lt;/R&gt;&lt;C&gt;1&lt;/C&gt;&lt;D xsi:type="xsd:double"&gt;0.9337401&lt;/D&gt;&lt;/FQL&gt;&lt;FQL&gt;&lt;Q&gt;HUBB-US^P_BETA_LOCIDX(45014,44839,,"SPX")&lt;/Q&gt;&lt;R&gt;1&lt;/R&gt;&lt;C&gt;1&lt;/C&gt;&lt;D xsi:type="xsd:double"&gt;0.9337387&lt;/D&gt;&lt;/FQL&gt;&lt;FQL&gt;&lt;Q&gt;HUBB-US^P_BETA_LOCIDX(45013,44838,,"SPX")&lt;/Q&gt;&lt;R&gt;1&lt;/R&gt;&lt;C&gt;1&lt;/C&gt;&lt;D xsi:type="xsd:double"&gt;0.94837034&lt;/D&gt;&lt;/FQL&gt;&lt;FQL&gt;&lt;Q&gt;HUBB-US^P_BETA_LOCIDX(45012,44837,,"SPX")&lt;/Q&gt;&lt;R&gt;1&lt;/R&gt;&lt;C&gt;1&lt;/C&gt;&lt;D xsi:type="xsd:double"&gt;0.94323665&lt;/D&gt;&lt;/FQL&gt;&lt;FQL&gt;&lt;Q&gt;HUBB-US^P_BETA_LOCIDX(45009,44834,,"SPX")&lt;/Q&gt;&lt;R&gt;1&lt;/R&gt;&lt;C&gt;1&lt;/C&gt;&lt;D xsi:type="xsd:double"&gt;0.92364717&lt;/D&gt;&lt;/FQL&gt;&lt;FQL&gt;&lt;Q&gt;HUBB-US^P_BETA_LOCIDX(45008,44833,,"SPX")&lt;/Q&gt;&lt;R&gt;1&lt;/R&gt;&lt;C&gt;1&lt;/C&gt;&lt;D xsi:type="xsd:double"&gt;0.91437215&lt;/D&gt;&lt;/FQL&gt;&lt;FQL&gt;&lt;Q&gt;HUBB-US^P_BETA_LOCIDX(45007,44832,,"SPX")&lt;/Q&gt;&lt;R&gt;1&lt;/R&gt;&lt;C&gt;1&lt;/C&gt;&lt;D xsi:type="xsd:double"&gt;0.9202676&lt;/D&gt;&lt;/FQL&gt;&lt;FQL&gt;&lt;Q&gt;HUBB-US^P_BETA_LOCIDX(45006,44831,,"SPX")&lt;/Q&gt;&lt;R&gt;1&lt;/R&gt;&lt;C&gt;1&lt;/C&gt;&lt;D xsi:type="xsd:double"&gt;0.91492456&lt;/D&gt;&lt;/FQL&gt;&lt;FQL&gt;&lt;Q&gt;HUBB-US^P_BETA_LOCIDX(45005,44830,,"SPX")&lt;/Q&gt;&lt;R&gt;1&lt;/R&gt;&lt;C&gt;1&lt;/C&gt;&lt;D xsi:type="xsd:double"&gt;0.9161216&lt;/D&gt;&lt;/FQL&gt;&lt;FQL&gt;&lt;Q&gt;HUBB-US^P_BETA_LOCIDX(45002,44827,,"SPX")&lt;/Q&gt;&lt;R&gt;1&lt;/R&gt;&lt;C&gt;1&lt;/C&gt;&lt;D xsi:type="xsd:double"&gt;0.90430915&lt;/D&gt;&lt;/FQL&gt;&lt;FQL&gt;&lt;Q&gt;HUBB-US^P_BETA_LOCIDX(45001,44826,,"SPX")&lt;/Q&gt;&lt;R&gt;1&lt;/R&gt;&lt;C&gt;1&lt;/C&gt;&lt;D xsi:type="xsd:double"&gt;0.9011032&lt;/D&gt;&lt;/FQL&gt;&lt;FQL&gt;&lt;Q&gt;HUBB-US^P_BETA_LOCIDX(45000,44825,,"SPX")&lt;/Q&gt;&lt;R&gt;1&lt;/R&gt;&lt;C&gt;1&lt;/C&gt;&lt;D xsi:type="xsd:double"&gt;0.86731625&lt;/D&gt;&lt;/FQL&gt;&lt;FQL&gt;&lt;Q&gt;HUBB-US^P_BETA_LOCIDX(44999,44824,,"SPX")&lt;/Q&gt;&lt;R&gt;1&lt;/R&gt;&lt;C&gt;1&lt;/C&gt;&lt;D xsi:type="xsd:double"&gt;0.85658854&lt;/D&gt;&lt;/FQL&gt;&lt;FQL&gt;&lt;Q&gt;HUBB-US^P_BETA_LOCIDX(44998,44823,,"SPX")&lt;/Q&gt;&lt;R&gt;1&lt;/R&gt;&lt;C&gt;1&lt;/C&gt;&lt;D xsi:type="xsd:double"&gt;0.8487673&lt;/D&gt;&lt;/FQL&gt;&lt;FQL&gt;&lt;Q&gt;HUBB-US^P_BETA_LOCIDX(44995,44820,,"SPX")&lt;/Q&gt;&lt;R&gt;1&lt;/R&gt;&lt;C&gt;1&lt;/C&gt;&lt;D xsi:type="xsd:double"&gt;0.84796906&lt;/D&gt;&lt;/FQL&gt;&lt;FQL&gt;&lt;Q&gt;HUBB-US^P_BETA_LOCIDX(44994,44819,,"SPX")&lt;/Q&gt;&lt;R&gt;1&lt;/R&gt;&lt;C&gt;1&lt;/C&gt;&lt;D xsi:type="xsd:double"&gt;0.8288192&lt;/D&gt;&lt;/FQL&gt;&lt;FQL&gt;&lt;Q&gt;HUBB-US^P_BETA_LOCIDX(44993,44818,,"SPX")&lt;/Q&gt;&lt;R&gt;1&lt;/R&gt;&lt;C&gt;1&lt;/C&gt;&lt;D xsi:type="xsd:double"&gt;0.8253925&lt;/D&gt;&lt;/FQL&gt;&lt;FQL&gt;&lt;Q&gt;HUBB-US^P_BETA_LOCIDX(44992,44817,,"SPX")&lt;/Q&gt;&lt;R&gt;1&lt;/R&gt;&lt;C&gt;1&lt;/C&gt;&lt;D xsi:type="xsd:double"&gt;0.8036421&lt;/D&gt;&lt;/FQL&gt;&lt;FQL&gt;&lt;Q&gt;HUBB-US^P_BETA_LOCIDX(44991,44816,,"SPX")&lt;/Q&gt;&lt;R&gt;1&lt;/R&gt;&lt;C&gt;1&lt;/C&gt;&lt;D xsi:type="xsd:double"&gt;0.8011397&lt;/D&gt;&lt;/FQL&gt;&lt;FQL&gt;&lt;Q&gt;HUBB-US^P_BETA_LOCIDX(44988,44813,,"SPX")&lt;/Q&gt;&lt;R&gt;1&lt;/R&gt;&lt;C&gt;1&lt;/C&gt;&lt;D xsi:type="xsd:double"&gt;0.8055208&lt;/D&gt;&lt;/FQL&gt;&lt;FQL&gt;&lt;Q&gt;HUBB-US^P_BETA_LOCIDX(44987,44812,,"SPX")&lt;/Q&gt;&lt;R&gt;1&lt;/R&gt;&lt;C&gt;1&lt;/C&gt;&lt;D xsi:type="xsd:double"&gt;0.81021684&lt;/D&gt;&lt;/FQL&gt;&lt;FQL&gt;&lt;Q&gt;HUBB-US^P_BETA_LOCIDX(44986,44811,,"SPX")&lt;/Q&gt;&lt;R&gt;1&lt;/R&gt;&lt;C&gt;1&lt;/C&gt;&lt;D xsi:type="xsd:double"&gt;0.8229578&lt;/D&gt;&lt;/FQL&gt;&lt;FQL&gt;&lt;Q&gt;HUBB-US^P_BETA_LOCIDX(44985,44810,,"SPX")&lt;/Q&gt;&lt;R&gt;1&lt;/R&gt;&lt;C&gt;1&lt;/C&gt;&lt;D xsi:type="xsd:double"&gt;0.81992227&lt;/D&gt;&lt;/FQL&gt;&lt;FQL&gt;&lt;Q&gt;HUBB-US^P_BETA_LOCIDX(44984,44806,,"SPX")&lt;/Q&gt;&lt;R&gt;1&lt;/R&gt;&lt;C&gt;1&lt;/C&gt;&lt;D xsi:type="xsd:double"&gt;0.8207127&lt;/D&gt;&lt;/FQL&gt;&lt;FQL&gt;&lt;Q&gt;HUBB-US^P_BETA_LOCIDX(44981,44805,,"SPX")&lt;/Q&gt;&lt;R&gt;1&lt;/R&gt;&lt;C&gt;1&lt;/C&gt;&lt;D xsi:type="xsd:double"&gt;0.8225939&lt;/D&gt;&lt;/FQL&gt;&lt;FQL&gt;&lt;Q&gt;HUBB-US^P_BETA_LOCIDX(44980,44804,,"SPX")&lt;/Q&gt;&lt;R&gt;1&lt;/R&gt;&lt;C&gt;1&lt;/C&gt;&lt;D xsi:type="xsd:double"&gt;0.8307555&lt;/D&gt;&lt;/FQL&gt;&lt;FQL&gt;&lt;Q&gt;HUBB-US^P_BETA_LOCIDX(44979,44803,,"SPX")&lt;/Q&gt;&lt;R&gt;1&lt;/R&gt;&lt;C&gt;1&lt;/C&gt;&lt;D xsi:type="xsd:double"&gt;0.83566326&lt;/D&gt;&lt;/FQL&gt;&lt;FQL&gt;&lt;Q&gt;HUBB-US^P_BETA_LOCIDX(44978,44802,,"SPX")&lt;/Q&gt;&lt;R&gt;1&lt;/R&gt;&lt;C&gt;1&lt;/C&gt;&lt;D xsi:type="xsd:double"&gt;0.83371466&lt;/D&gt;&lt;/FQL&gt;&lt;FQL&gt;&lt;Q&gt;HUBB-US^P_BETA_LOCIDX(44974,44799,,"SPX")&lt;/Q&gt;&lt;R&gt;1&lt;/R&gt;&lt;C&gt;1&lt;/C&gt;&lt;D xsi:type="xsd:double"&gt;0.85811406&lt;/D&gt;&lt;/FQL&gt;&lt;FQL&gt;&lt;Q&gt;HUBB-US^P_BETA_LOCIDX(44973,44798,,"SPX")&lt;/Q&gt;&lt;R&gt;1&lt;/R&gt;&lt;C&gt;1&lt;/C&gt;&lt;D xsi:type="xsd:double"&gt;0.8597644&lt;/D&gt;&lt;/FQL&gt;&lt;FQL&gt;&lt;Q&gt;HUBB-US^P_BETA_LOCIDX(44972,44797,,"SPX")&lt;/Q&gt;&lt;R&gt;1&lt;/R&gt;&lt;C&gt;1&lt;/C&gt;&lt;D xsi:type="xsd:double"&gt;0.86287314&lt;/D&gt;&lt;/FQL&gt;&lt;FQL&gt;&lt;Q&gt;HUBB-US^P_BETA_LOCIDX(44971,44796,,"SPX")&lt;/Q&gt;&lt;R&gt;1&lt;/R&gt;&lt;C&gt;1&lt;/C&gt;&lt;D xsi:type="xsd:double"&gt;0.8615759&lt;/D&gt;&lt;/FQL&gt;&lt;FQL&gt;&lt;Q&gt;HUBB-US^P_BETA_LOCIDX(44970,44795,,"SPX")&lt;/Q&gt;&lt;R&gt;1&lt;/R&gt;&lt;C&gt;1&lt;/C&gt;&lt;D xsi:type="xsd:double"&gt;0.86041594&lt;/D&gt;&lt;/FQL&gt;&lt;FQL&gt;&lt;Q&gt;HUBB-US^P_BETA_LOCIDX(44967,44792,,"SPX")&lt;/Q&gt;&lt;R&gt;1&lt;/R&gt;&lt;C&gt;1&lt;/C&gt;&lt;D xsi:type="xsd:double"&gt;0.8552488&lt;/D&gt;&lt;/FQL&gt;&lt;FQL&gt;&lt;Q&gt;HUBB-US^P_BETA_LOCIDX(44966,44791,,"SPX")&lt;/Q&gt;&lt;R&gt;1&lt;/R&gt;&lt;C&gt;1&lt;/C&gt;&lt;D xsi:type="xsd:double"&gt;0.8555669&lt;/D&gt;&lt;/FQL&gt;&lt;FQL&gt;&lt;Q&gt;HUBB-US^P_BETA_LOCIDX(44965,44790,,"SPX")&lt;/Q&gt;&lt;R&gt;1&lt;/R&gt;&lt;C&gt;1&lt;/C&gt;&lt;D xsi:type="xsd:double"&gt;0.8579987&lt;/D&gt;&lt;/FQL&gt;&lt;FQL&gt;&lt;Q&gt;HUBB-US^P_BETA_LOCIDX(44964,44789,,"SPX")&lt;/Q&gt;&lt;R&gt;1&lt;/R&gt;&lt;C&gt;1&lt;/C&gt;&lt;D xsi:type="xsd:double"&gt;0.851627&lt;/D&gt;&lt;/FQL&gt;&lt;FQL&gt;&lt;Q&gt;HUBB-US^P_BETA_LOCIDX(44963,44788,,"SPX")&lt;/Q&gt;&lt;R&gt;1&lt;/R&gt;&lt;C&gt;1&lt;/C&gt;&lt;D xsi:type="xsd:double"&gt;0.85076034&lt;/D&gt;&lt;/FQL&gt;&lt;FQL&gt;&lt;Q&gt;HUBB-US^P_BETA_LOCIDX(44960,44785,,"SPX")&lt;/Q&gt;&lt;R&gt;1&lt;/R&gt;&lt;C&gt;1&lt;/C&gt;&lt;D xsi:type="xsd:double"&gt;0.85178614&lt;/D&gt;&lt;/FQL&gt;&lt;FQL&gt;&lt;Q&gt;HUBB-US^P_BETA_LOCIDX(44959,44784,,"SPX")&lt;/Q&gt;&lt;R&gt;1&lt;/R&gt;&lt;C&gt;1&lt;/C&gt;&lt;D xsi:type="xsd:double"&gt;0.8622152&lt;/D&gt;&lt;/FQL&gt;&lt;FQL&gt;&lt;Q&gt;HUBB-US^P_BETA_LOCIDX(44958,44783,,"SPX")&lt;/Q&gt;&lt;R&gt;1&lt;/R&gt;&lt;C&gt;1&lt;/C&gt;&lt;D xsi:type="xsd:double"&gt;0.8754206&lt;/D&gt;&lt;/FQL&gt;&lt;FQL&gt;&lt;Q&gt;HUBB-US^P_BETA_LOCIDX(44957,44782,,"SPX")&lt;/Q&gt;&lt;R&gt;1&lt;/R&gt;&lt;C&gt;1&lt;/C&gt;&lt;D xsi:type="xsd:double"&gt;0.86288977&lt;/D&gt;&lt;/FQL&gt;&lt;FQL&gt;&lt;Q&gt;HUBB-US^P_BETA_LOCIDX(44956,44781,,"SPX")&lt;/Q&gt;&lt;R&gt;1&lt;/R&gt;&lt;C&gt;1&lt;/C&gt;&lt;D xsi:type="xsd:double"&gt;0.87294525&lt;/D&gt;&lt;/FQL&gt;&lt;FQL&gt;&lt;Q&gt;HUBB-US^P_BETA_LOCIDX(44953,44778,,"SPX")&lt;/Q&gt;&lt;R&gt;1&lt;/R&gt;&lt;C&gt;1&lt;/C&gt;&lt;D xsi:type="xsd:double"&gt;0.8758793&lt;/D&gt;&lt;/FQL&gt;&lt;FQL&gt;&lt;Q&gt;HUBB-US^P_BETA_LOCIDX(44952,44777,,"SPX")&lt;/Q&gt;&lt;R&gt;1&lt;/R&gt;&lt;C&gt;1&lt;/C&gt;&lt;D xsi:type="xsd:double"&gt;0.8761312&lt;/D&gt;&lt;/FQL&gt;&lt;FQL&gt;&lt;Q&gt;HUBB-US^P_BETA_LOCIDX(44951,44776,,"SPX")&lt;/Q&gt;&lt;R&gt;1&lt;/R&gt;&lt;C&gt;1&lt;/C&gt;&lt;D xsi:type="xsd:double"&gt;0.8713096&lt;/D&gt;&lt;/FQL&gt;&lt;FQL&gt;&lt;Q&gt;HUBB-US^P_BETA_LOCIDX(44950,44775,,"SPX")&lt;/Q&gt;&lt;R&gt;1&lt;/R&gt;&lt;C&gt;1&lt;/C&gt;&lt;D xsi:type="xsd:double"&gt;0.87279624&lt;/D&gt;&lt;/FQL&gt;&lt;FQL&gt;&lt;Q&gt;HUBB-US^P_BETA_LOCIDX(44949,44774,,"SPX")&lt;/Q&gt;&lt;R&gt;1&lt;/R&gt;&lt;C&gt;1&lt;/C&gt;&lt;D xsi:type="xsd:double"&gt;0.87516093&lt;/D&gt;&lt;/FQL&gt;&lt;FQL&gt;&lt;Q&gt;HUBB-US^P_BETA_LOCIDX(44946,44771,,"SPX")&lt;/Q&gt;&lt;R&gt;1&lt;/R&gt;&lt;C&gt;1&lt;/C&gt;&lt;D xsi:type="xsd:double"&gt;0.8780013&lt;/D&gt;&lt;/FQL&gt;&lt;FQL&gt;&lt;Q&gt;HUBB-US^P_BETA_LOCIDX(44945,44770,,"SPX")&lt;/Q&gt;&lt;R&gt;1&lt;/R&gt;&lt;C&gt;1&lt;/C&gt;&lt;D xsi:type="xsd:double"&gt;0.89864457&lt;/D&gt;&lt;/FQL&gt;&lt;FQL&gt;&lt;Q&gt;HUBB-US^P_BETA_LOCIDX(44944,44769,,"SPX")&lt;/Q&gt;&lt;R&gt;1&lt;/R&gt;&lt;C&gt;1&lt;/C&gt;&lt;D xsi:type="xsd:double"&gt;0.8979011&lt;/D&gt;&lt;/FQL&gt;&lt;FQL&gt;&lt;Q&gt;HUBB-US^P_BETA_LOCIDX(44943,44768,,"SPX")&lt;/Q&gt;&lt;R&gt;1&lt;/R&gt;&lt;C&gt;1&lt;/C&gt;&lt;D xsi:type="xsd:double"&gt;0.876548&lt;/D&gt;&lt;/FQL&gt;&lt;FQL&gt;&lt;Q&gt;HUBB-US^P_BETA_LOCIDX(44939,44767,,"SPX")&lt;/Q&gt;&lt;R&gt;1&lt;/R&gt;&lt;C&gt;1&lt;/C&gt;&lt;D xsi:type="xsd:double"&gt;0.87456083&lt;/D&gt;&lt;/FQL&gt;&lt;FQL&gt;&lt;Q&gt;HUBB-US^P_BETA_LOCIDX(44938,44764,,"SPX")&lt;/Q&gt;&lt;R&gt;1&lt;/R&gt;&lt;C&gt;1&lt;/C&gt;&lt;D xsi:type="xsd:double"&gt;0.8744587&lt;/D&gt;&lt;/FQL&gt;&lt;FQL&gt;&lt;Q&gt;HUBB-US^P_BETA_LOCIDX(44937,44763,,"SPX")&lt;/Q&gt;&lt;R&gt;1&lt;/R&gt;&lt;C&gt;1&lt;/C&gt;&lt;D xsi:type="xsd:double"&gt;0.87765807&lt;/D&gt;&lt;/FQL&gt;&lt;FQL&gt;&lt;Q&gt;HUBB-US^P_BETA_LOCIDX(44936,44762,,"SPX")&lt;/Q&gt;&lt;R&gt;1&lt;/R&gt;&lt;C&gt;1&lt;/C&gt;&lt;D xsi:type="xsd:double"&gt;0.87902826&lt;/D&gt;&lt;/FQL&gt;&lt;FQL&gt;&lt;Q&gt;HUBB-US^P_BETA_LOCIDX(44935,44761,,"SPX")&lt;/Q&gt;&lt;R&gt;1&lt;/R&gt;&lt;C&gt;1&lt;/C&gt;&lt;D xsi:type="xsd:double"&gt;0.89953345&lt;/D&gt;&lt;/FQL&gt;&lt;FQL&gt;&lt;Q&gt;HUBB-US^P_BETA_LOCIDX(44932,44760,,"SPX")&lt;/Q&gt;&lt;R&gt;1&lt;/R&gt;&lt;C&gt;1&lt;/C&gt;&lt;D xsi:type="xsd:double"&gt;0.9094996&lt;/D&gt;&lt;/FQL&gt;&lt;FQL&gt;&lt;Q&gt;HUBB-US^P_BETA_LOCIDX(44931,44757,,"SPX")&lt;/Q&gt;&lt;R&gt;1&lt;/R&gt;&lt;C&gt;1&lt;/C&gt;&lt;D xsi:type="xsd:double"&gt;0.90811807&lt;/D&gt;&lt;/FQL&gt;&lt;FQL&gt;&lt;Q&gt;HUBB-US^P_BETA_LOCIDX(44930,44756,,"SPX")&lt;/Q&gt;&lt;R&gt;1&lt;/R&gt;&lt;C&gt;1&lt;/C&gt;&lt;D xsi:type="xsd:double"&gt;0.90146285&lt;/D&gt;&lt;/FQL&gt;&lt;FQL&gt;&lt;Q&gt;HUBB-US^P_BETA_LOCIDX(44929,44755,,"SPX")&lt;/Q&gt;&lt;R&gt;1&lt;/R&gt;&lt;C&gt;1&lt;/C&gt;&lt;D xsi:type="xsd:double"&gt;0.909153&lt;/D&gt;&lt;/FQL&gt;&lt;FQL&gt;&lt;Q&gt;HUBB-US^P_BETA_LOCIDX(44925,44754,,"SPX")&lt;/Q&gt;&lt;R&gt;1&lt;/R&gt;&lt;C&gt;1&lt;/C&gt;&lt;D xsi:type="xsd:double"&gt;0.9069999&lt;/D&gt;&lt;/FQL&gt;&lt;FQL&gt;&lt;Q&gt;HUBB-US^P_BETA_LOCIDX(44924,44753,,"SPX")&lt;/Q&gt;&lt;R&gt;1&lt;/R&gt;&lt;C&gt;1&lt;/C&gt;&lt;D xsi:type="xsd:double"&gt;0.90464723&lt;/D&gt;&lt;/FQL&gt;&lt;FQL&gt;&lt;Q&gt;HUBB-US^P_BETA_LOCIDX(44923,44750,,"SPX")&lt;/Q&gt;&lt;R&gt;1&lt;/R&gt;&lt;C&gt;1&lt;/C&gt;&lt;D xsi:type="xsd:double"&gt;0.9143831&lt;/D&gt;&lt;/FQL&gt;&lt;FQL&gt;&lt;Q&gt;HUBB-US^P_BETA_LOCIDX(44922,44749,,"SPX")&lt;/Q&gt;&lt;R&gt;1&lt;/R&gt;&lt;C&gt;1&lt;/C&gt;&lt;D xsi:type="xsd:double"&gt;0.9151153&lt;/D&gt;&lt;/FQL&gt;&lt;FQL&gt;&lt;Q&gt;HUBB-US^P_BETA_LOCIDX(44918,44748,,"SPX")&lt;/Q&gt;&lt;R&gt;1&lt;/R&gt;&lt;C&gt;1&lt;/C&gt;&lt;D xsi:type="xsd:double"&gt;0.9159394&lt;/D&gt;&lt;/FQL&gt;&lt;FQL&gt;&lt;Q&gt;HUBB-US^P_BETA_LOCIDX(44917,44747,,"SPX")&lt;/Q&gt;&lt;R&gt;1&lt;/R&gt;&lt;C&gt;1&lt;/C&gt;&lt;D xsi:type="xsd:double"&gt;0.916716&lt;/D&gt;&lt;/FQL&gt;&lt;FQL&gt;&lt;Q&gt;HUBB-US^P_BETA_LOCIDX(44916,44743,,"SPX")&lt;/Q&gt;&lt;R&gt;1&lt;/R&gt;&lt;C&gt;1&lt;/C&gt;&lt;D xsi:type="xsd:double"&gt;0.91350347&lt;/D&gt;&lt;/FQL&gt;&lt;FQL&gt;&lt;Q&gt;HUBB-US^P_BETA_LOCIDX(44915,44742,,"SPX")&lt;/Q&gt;&lt;R&gt;1&lt;/R&gt;&lt;C&gt;1&lt;/C&gt;&lt;D xsi:type="xsd:double"&gt;0.9137526&lt;/D&gt;&lt;/FQL&gt;&lt;FQL&gt;&lt;Q&gt;HUBB-US^P_BETA_LOCIDX(44914,44741,,"SPX")&lt;/Q&gt;&lt;R&gt;1&lt;/R&gt;&lt;C&gt;1&lt;/C&gt;&lt;D xsi:type="xsd:double"&gt;0.91428536&lt;/D&gt;&lt;/FQL&gt;&lt;FQL&gt;&lt;Q&gt;HUBB-US^P_BETA_LOCIDX(44911,44740,,"SPX")&lt;/Q&gt;&lt;R&gt;1&lt;/R&gt;&lt;C&gt;1&lt;/C&gt;&lt;D xsi:type="xsd:double"&gt;0.93143046&lt;/D&gt;&lt;/FQL&gt;&lt;FQL&gt;&lt;Q&gt;HUBB-US^P_BETA_LOCIDX(44910,44739,,"SPX")&lt;/Q&gt;&lt;R&gt;1&lt;/R&gt;&lt;C&gt;1&lt;/C&gt;&lt;D xsi:type="xsd:double"&gt;0.91820264&lt;/D&gt;&lt;/FQL&gt;&lt;FQL&gt;&lt;Q&gt;HUBB-US^P_BETA_LOCIDX(44909,44736,,"SPX")&lt;/Q&gt;&lt;R&gt;1&lt;/R&gt;&lt;C&gt;1&lt;/C&gt;&lt;D xsi:type="xsd:double"&gt;0.93420345&lt;/D&gt;&lt;/FQL&gt;&lt;FQL&gt;&lt;Q&gt;HUBB-US^P_BETA_LOCIDX(44908,44735,,"SPX")&lt;/Q&gt;&lt;R&gt;1&lt;/R&gt;&lt;C&gt;1&lt;/C&gt;&lt;D xsi:type="xsd:double"&gt;0.9256604&lt;/D&gt;&lt;/FQL&gt;&lt;FQL&gt;&lt;Q&gt;HUBB-US^P_BETA_LOCIDX(44907,44734,,"SPX")&lt;/Q&gt;&lt;R&gt;1&lt;/R&gt;&lt;C&gt;1&lt;/C&gt;&lt;D xsi:type="xsd:double"&gt;0.92783165&lt;/D&gt;&lt;/FQL&gt;&lt;FQL&gt;&lt;Q&gt;HUBB-US^P_BETA_LOCIDX(44904,44733,,"SPX")&lt;/Q&gt;&lt;R&gt;1&lt;/R&gt;&lt;C&gt;1&lt;/C&gt;&lt;D xsi:type="xsd:double"&gt;0.9177205&lt;/D&gt;&lt;/FQL&gt;&lt;FQL&gt;&lt;Q&gt;HUBB-US^P_BETA_LOCIDX(44903,44729,,"SPX")&lt;/Q&gt;&lt;R&gt;1&lt;/R&gt;&lt;C&gt;1&lt;/C&gt;&lt;D xsi:type="xsd:double"&gt;0.917184&lt;/D&gt;&lt;/FQL&gt;&lt;FQL&gt;&lt;Q&gt;HUBB-US^P_BETA_LOCIDX(44902,44728,,"SPX")&lt;/Q&gt;&lt;R&gt;1&lt;/R&gt;&lt;C&gt;1&lt;/C&gt;&lt;D xsi:type="xsd:double"&gt;0.93941116&lt;/D&gt;&lt;/FQL&gt;&lt;FQL&gt;&lt;Q&gt;HUBB-US^P_BETA_LOCIDX(44901,44727,,"SPX")&lt;/Q&gt;&lt;R&gt;1&lt;/R&gt;&lt;C&gt;1&lt;/C&gt;&lt;D xsi:type="xsd:double"&gt;0.93284285&lt;/D&gt;&lt;/FQL&gt;&lt;FQL&gt;&lt;Q&gt;HUBB-US^P_BETA_LOCIDX(44900,44726,,"SPX")&lt;/Q&gt;&lt;R&gt;1&lt;/R&gt;&lt;C&gt;1&lt;/C&gt;&lt;D xsi:type="xsd:double"&gt;0.93904436&lt;/D&gt;&lt;/FQL&gt;&lt;FQL&gt;&lt;Q&gt;HUBB-US^P_BETA_LOCIDX(44897,44725,,"SPX")&lt;/Q&gt;&lt;R&gt;1&lt;/R&gt;&lt;C&gt;1&lt;/C&gt;&lt;D xsi:type="xsd:double"&gt;0.97282743&lt;/D&gt;&lt;/FQL&gt;&lt;FQL&gt;&lt;Q&gt;HUBB-US^P_BETA_LOCIDX(44896,44722,,"SPX")&lt;/Q&gt;&lt;R&gt;1&lt;/R&gt;&lt;C&gt;1&lt;/C&gt;&lt;D xsi:type="xsd:double"&gt;0.9628256&lt;/D&gt;&lt;/FQL&gt;&lt;FQL&gt;&lt;Q&gt;HUBB-US^P_BETA_LOCIDX(44895,44721,,"SPX")&lt;/Q&gt;&lt;R&gt;1&lt;/R&gt;&lt;C&gt;1&lt;/C&gt;&lt;D xsi:type="xsd:double"&gt;0.9486477&lt;/D&gt;&lt;/FQL&gt;&lt;FQL&gt;&lt;Q&gt;HUBB-US^P_BETA_LOCIDX(44894,44720,,"SPX")&lt;/Q&gt;&lt;R&gt;1&lt;/R&gt;&lt;C&gt;1&lt;/C&gt;&lt;D xsi:type="xsd:double"&gt;0.9672199&lt;/D&gt;&lt;/FQL&gt;&lt;FQL&gt;&lt;Q&gt;HUBB-US^P_BETA_LOCIDX(44893,44719,,"SPX")&lt;/Q&gt;&lt;R&gt;1&lt;/R&gt;&lt;C&gt;1&lt;/C&gt;&lt;D xsi:type="xsd:double"&gt;0.9728129&lt;/D&gt;&lt;/FQL&gt;&lt;FQL&gt;&lt;Q&gt;HUBB-US^P_BETA_LOCIDX(44890,44718,,"SPX")&lt;/Q&gt;&lt;R&gt;1&lt;/R&gt;&lt;C&gt;1&lt;/C&gt;&lt;D xsi:type="xsd:double"&gt;0.9632527&lt;/D&gt;&lt;/FQL&gt;&lt;FQL&gt;&lt;Q&gt;HUBB-US^P_BETA_LOCIDX(44888,44715,,"SPX")&lt;/Q&gt;&lt;R&gt;1&lt;/R&gt;&lt;C&gt;1&lt;/C&gt;&lt;D xsi:type="xsd:double"&gt;0.9515831&lt;/D&gt;&lt;/FQL&gt;&lt;FQL&gt;&lt;Q&gt;HUBB-US^P_BETA_LOCIDX(44887,44714,,"SPX")&lt;/Q&gt;&lt;R&gt;1&lt;/R&gt;&lt;C&gt;1&lt;/C&gt;&lt;D xsi:type="xsd:double"&gt;0.95288545&lt;/D&gt;&lt;/FQL&gt;&lt;FQL&gt;&lt;Q&gt;HUBB-US^P_BETA_LOCIDX(44886,44713,,"SPX")&lt;/Q&gt;&lt;R&gt;1&lt;/R&gt;&lt;C&gt;1&lt;/C&gt;&lt;D xsi:type="xsd:double"&gt;0.95072913&lt;/D&gt;&lt;/FQL&gt;&lt;FQL&gt;&lt;Q&gt;HUBB-US^P_BETA_LOCIDX(44883,44712,,"SPX")&lt;/Q&gt;&lt;R&gt;1&lt;/R&gt;&lt;C&gt;1&lt;/C&gt;&lt;D xsi:type="xsd:double"&gt;0.9530348&lt;/D&gt;&lt;/FQL&gt;&lt;FQL&gt;&lt;Q&gt;HUBB-US^P_BETA_LOCIDX(44882,44708,,"SPX")&lt;/Q&gt;&lt;R&gt;1&lt;/R&gt;&lt;C&gt;1&lt;/C&gt;&lt;D xsi:type="xsd:double"&gt;0.95542085&lt;/D&gt;&lt;/FQL&gt;&lt;FQL&gt;&lt;Q&gt;HUBB-US^P_BETA_LOCIDX(44881,44707,,"SPX")&lt;/Q&gt;&lt;R&gt;1&lt;/R&gt;&lt;C&gt;1&lt;/C&gt;&lt;D xsi:type="xsd:double"&gt;0.95545274&lt;/D&gt;&lt;/FQL&gt;&lt;FQL&gt;&lt;Q&gt;HUBB-US^P_BETA_LOCIDX(44880,44706,,"SPX")&lt;/Q&gt;&lt;R&gt;1&lt;/R&gt;&lt;C&gt;1&lt;/C&gt;&lt;D xsi:type="xsd:double"&gt;0.94937277&lt;/D&gt;&lt;/FQL&gt;&lt;FQL&gt;&lt;Q&gt;HUBB-US^P_BETA_LOCIDX(44879,44705,,"SPX")&lt;/Q&gt;&lt;R&gt;1&lt;/R&gt;&lt;C&gt;1&lt;/C&gt;&lt;D xsi:type="xsd:double"&gt;0.95511115&lt;/D&gt;&lt;/FQL&gt;&lt;FQL&gt;&lt;Q&gt;HUBB-US^P_BETA_LOCIDX(44876,44704,,"SPX")&lt;/Q&gt;&lt;R&gt;1&lt;/R&gt;&lt;C&gt;1&lt;/C&gt;&lt;D xsi:type="xsd:double"&gt;0.9481737&lt;/D&gt;&lt;/FQL&gt;&lt;FQL&gt;&lt;Q&gt;HUBB-US^P_BETA_LOCIDX(44875,44701,,"SPX")&lt;/Q&gt;&lt;R&gt;1&lt;/R&gt;&lt;C&gt;1&lt;/C&gt;&lt;D xsi:type="xsd:double"&gt;0.9556273&lt;/D&gt;&lt;/FQL&gt;&lt;FQL&gt;&lt;Q&gt;HUBB-US^P_BETA_LOCIDX(44874,44700,,"SPX")&lt;/Q&gt;&lt;R&gt;1&lt;/R&gt;&lt;C&gt;1&lt;/C&gt;&lt;D xsi:type="xsd:double"&gt;0.9438516&lt;/D&gt;&lt;/FQL&gt;&lt;FQL&gt;&lt;Q&gt;HUBB-US^P_BETA_LOCIDX(44873,44699,,"SPX")&lt;/Q&gt;&lt;R&gt;1&lt;/R&gt;&lt;C&gt;1&lt;/C&gt;&lt;D xsi:type="xsd:double"&gt;0.9426013&lt;/D&gt;&lt;/FQL&gt;&lt;FQL&gt;&lt;Q&gt;HUBB-US^P_BETA_LOCIDX(44872,44698,,"SPX")&lt;/Q&gt;&lt;R&gt;1&lt;/R&gt;&lt;C&gt;1&lt;/C&gt;&lt;D xsi:type="xsd:double"&gt;0.93414795&lt;/D&gt;&lt;/FQL&gt;&lt;FQL&gt;&lt;Q&gt;HUBB-US^P_BETA_LOCIDX(44869,44697,,"SPX")&lt;/Q&gt;&lt;R&gt;1&lt;/R&gt;&lt;C&gt;1&lt;/C&gt;&lt;D xsi:type="xsd:double"&gt;0.93892664&lt;/D&gt;&lt;/FQL&gt;&lt;FQL&gt;&lt;Q&gt;HUBB-US^P_BETA_LOCIDX(44868,44694,,"SPX")&lt;/Q&gt;&lt;R&gt;1&lt;/R&gt;&lt;C&gt;1&lt;/C&gt;&lt;D xsi:type="xsd:double"&gt;0.9204523&lt;/D&gt;&lt;/FQL&gt;&lt;FQL&gt;&lt;Q&gt;HUBB-US^P_BETA_LOCIDX(44867,44693,,"SPX")&lt;/Q&gt;&lt;R&gt;1&lt;/R&gt;&lt;C&gt;1&lt;/C&gt;&lt;D xsi:type="xsd:double"&gt;0.9224661&lt;/D&gt;&lt;/FQL&gt;&lt;FQL&gt;&lt;Q&gt;HUBB-US^P_BETA_LOCIDX(44866,44692,,"SPX")&lt;/Q&gt;&lt;R&gt;1&lt;/R&gt;&lt;C&gt;1&lt;/C&gt;&lt;D xsi:type="xsd:double"&gt;0.92635036&lt;/D&gt;&lt;/FQL&gt;&lt;FQL&gt;&lt;Q&gt;HUBB-US^P_BETA_LOCIDX(44865,44691,,"SPX")&lt;/Q&gt;&lt;R&gt;1&lt;/R&gt;&lt;C&gt;1&lt;/C&gt;&lt;D xsi:type="xsd:double"&gt;0.92500323&lt;/D&gt;&lt;/FQL&gt;&lt;FQL&gt;&lt;Q&gt;HUBB-US^P_BETA_LOCIDX(44862,44690,,"SPX")&lt;/Q&gt;&lt;R&gt;1&lt;/R&gt;&lt;C&gt;1&lt;/C&gt;&lt;D xsi:type="xsd:double"&gt;0.89561826&lt;/D&gt;&lt;/FQL&gt;&lt;FQL&gt;&lt;Q&gt;HUBB-US^P_BETA_LOCIDX(44861,44687,,"SPX")&lt;/Q&gt;&lt;R&gt;1&lt;/R&gt;&lt;C&gt;1&lt;/C&gt;&lt;D xsi:type="xsd:double"&gt;0.9239207&lt;/D&gt;&lt;/FQL&gt;&lt;FQL&gt;&lt;Q&gt;HUBB-US^P_BETA_LOCIDX(44860,44686,,"SPX")&lt;/Q&gt;&lt;R&gt;1&lt;/R&gt;&lt;C&gt;1&lt;/C&gt;&lt;D xsi:type="xsd:double"&gt;0.9098237&lt;/D&gt;&lt;/FQL&gt;&lt;FQL&gt;&lt;Q&gt;HUBB-US^P_BETA_LOCIDX(44859,44685,,"SPX")&lt;/Q&gt;&lt;R&gt;1&lt;/R&gt;&lt;C&gt;1&lt;/C&gt;&lt;D xsi:type="xsd:double"&gt;0.90824604&lt;/D&gt;&lt;/FQL&gt;&lt;FQL&gt;&lt;Q&gt;HUBB-US^P_BETA_LOCIDX(44858,44684,,"SPX")&lt;/Q&gt;&lt;R&gt;1&lt;/R&gt;&lt;C&gt;1&lt;/C&gt;&lt;D xsi:type="xsd:double"&gt;0.8831728&lt;/D&gt;&lt;/FQL&gt;&lt;FQL&gt;&lt;Q&gt;HUBB-US^P_BETA_LOCIDX(44855,44683,,"SPX")&lt;/Q&gt;&lt;R&gt;1&lt;/R&gt;&lt;C&gt;1&lt;/C&gt;&lt;D xsi:type="xsd:double"&gt;0.87409097&lt;/D&gt;&lt;/FQL&gt;&lt;FQL&gt;&lt;Q&gt;HUBB-US^P_BETA_LOCIDX(44854,44680,,"SPX")&lt;/Q&gt;&lt;R&gt;1&lt;/R&gt;&lt;C&gt;1&lt;/C&gt;&lt;D xsi:type="xsd:double"&gt;0.8872515&lt;/D&gt;&lt;/FQL&gt;&lt;FQL&gt;&lt;Q&gt;HUBB-US^P_BETA_LOCIDX(44853,44679,,"SPX")&lt;/Q&gt;&lt;R&gt;1&lt;/R&gt;&lt;C&gt;1&lt;/C&gt;&lt;D xsi:type="xsd:double"&gt;0.8941738&lt;/D&gt;&lt;/FQL&gt;&lt;FQL&gt;&lt;Q&gt;HUBB-US^P_BETA_LOCIDX(44852,44678,,"SPX")&lt;/Q&gt;&lt;R&gt;1&lt;/R&gt;&lt;C&gt;1&lt;/C&gt;&lt;D xsi:type="xsd:double"&gt;0.8857062&lt;/D&gt;&lt;/FQL&gt;&lt;FQL&gt;&lt;Q&gt;HUBB-US^P_BETA_LOCIDX(44851,44677,,"SPX")&lt;/Q&gt;&lt;R&gt;1&lt;/R&gt;&lt;C&gt;1&lt;/C&gt;&lt;D xsi:type="xsd:double"&gt;0.8366541&lt;/D&gt;&lt;/FQL&gt;&lt;FQL&gt;&lt;Q&gt;HUBB-US^P_BETA_LOCIDX(44848,44676,,"SPX")&lt;/Q&gt;&lt;R&gt;1&lt;/R&gt;&lt;C&gt;1&lt;/C&gt;&lt;D xsi:type="xsd:double"&gt;0.8297098&lt;/D&gt;&lt;/FQL&gt;&lt;FQL&gt;&lt;Q&gt;HUBB-US^P_BETA_LOCIDX(44847,44673,,"SPX")&lt;/Q&gt;&lt;R&gt;1&lt;/R&gt;&lt;C&gt;1&lt;/C&gt;&lt;D xsi:type="xsd:double"&gt;0.80843115&lt;/D&gt;&lt;/FQL&gt;&lt;FQL&gt;&lt;Q&gt;HUBB-US^P_BETA_LOCIDX(44846,44672,,"SPX")&lt;/Q&gt;&lt;R&gt;1&lt;/R&gt;&lt;C&gt;1&lt;/C&gt;&lt;D xsi:type="xsd:double"&gt;0.8139368&lt;/D&gt;&lt;/FQL&gt;&lt;FQL&gt;&lt;Q&gt;HUBB-US^P_BETA_LOCIDX(44845,44671,,"SPX")&lt;/Q&gt;&lt;R&gt;1&lt;/R&gt;&lt;C&gt;1&lt;/C&gt;&lt;D xsi:type="xsd:double"&gt;0.8135182&lt;/D&gt;&lt;/FQL&gt;&lt;FQL&gt;&lt;Q&gt;HUBB-US^P_BETA_LOCIDX(44844,44670,,"SPX")&lt;/Q&gt;&lt;R&gt;1&lt;/R&gt;&lt;C&gt;1&lt;/C&gt;&lt;D xsi:type="xsd:double"&gt;0.82287353&lt;/D&gt;&lt;/FQL&gt;&lt;FQL&gt;&lt;Q&gt;HUBB-US^P_BETA_LOCIDX(</t>
        </r>
      </text>
    </comment>
    <comment ref="A31" authorId="0" shapeId="0" xr:uid="{3BB790F0-6EBA-4F98-949F-FE1A6DF97FA4}">
      <text>
        <r>
          <rPr>
            <b/>
            <sz val="9"/>
            <color indexed="81"/>
            <rFont val="Tahoma"/>
            <charset val="1"/>
          </rPr>
          <t>44841,44669,,"SPX")&lt;/Q&gt;&lt;R&gt;1&lt;/R&gt;&lt;C&gt;1&lt;/C&gt;&lt;D xsi:type="xsd:double"&gt;0.8235665&lt;/D&gt;&lt;/FQL&gt;&lt;FQL&gt;&lt;Q&gt;HUBB-US^P_BETA_LOCIDX(44840,44665,,"SPX")&lt;/Q&gt;&lt;R&gt;1&lt;/R&gt;&lt;C&gt;1&lt;/C&gt;&lt;D xsi:type="xsd:double"&gt;0.81576264&lt;/D&gt;&lt;/FQL&gt;&lt;FQL&gt;&lt;Q&gt;HUBB-US^P_BETA_LOCIDX(44839,44664,,"SPX")&lt;/Q&gt;&lt;R&gt;1&lt;/R&gt;&lt;C&gt;1&lt;/C&gt;&lt;D xsi:type="xsd:double"&gt;0.81529635&lt;/D&gt;&lt;/FQL&gt;&lt;FQL&gt;&lt;Q&gt;HUBB-US^P_BETA_LOCIDX(44838,44663,,"SPX")&lt;/Q&gt;&lt;R&gt;1&lt;/R&gt;&lt;C&gt;1&lt;/C&gt;&lt;D xsi:type="xsd:double"&gt;0.81605893&lt;/D&gt;&lt;/FQL&gt;&lt;FQL&gt;&lt;Q&gt;HUBB-US^P_BETA_LOCIDX(44837,44662,,"SPX")&lt;/Q&gt;&lt;R&gt;1&lt;/R&gt;&lt;C&gt;1&lt;/C&gt;&lt;D xsi:type="xsd:double"&gt;0.8028185&lt;/D&gt;&lt;/FQL&gt;&lt;FQL&gt;&lt;Q&gt;HUBB-US^P_BETA_LOCIDX(44834,44659,,"SPX")&lt;/Q&gt;&lt;R&gt;1&lt;/R&gt;&lt;C&gt;1&lt;/C&gt;&lt;D xsi:type="xsd:double"&gt;0.80777496&lt;/D&gt;&lt;/FQL&gt;&lt;FQL&gt;&lt;Q&gt;HUBB-US^P_BETA_LOCIDX(44833,44658,,"SPX")&lt;/Q&gt;&lt;R&gt;1&lt;/R&gt;&lt;C&gt;1&lt;/C&gt;&lt;D xsi:type="xsd:double"&gt;0.81761503&lt;/D&gt;&lt;/FQL&gt;&lt;FQL&gt;&lt;Q&gt;HUBB-US^P_BETA_LOCIDX(44832,44657,,"SPX")&lt;/Q&gt;&lt;R&gt;1&lt;/R&gt;&lt;C&gt;1&lt;/C&gt;&lt;D xsi:type="xsd:double"&gt;0.81925297&lt;/D&gt;&lt;/FQL&gt;&lt;FQL&gt;&lt;Q&gt;HUBB-US^P_BETA_LOCIDX(44831,44656,,"SPX")&lt;/Q&gt;&lt;R&gt;1&lt;/R&gt;&lt;C&gt;1&lt;/C&gt;&lt;D xsi:type="xsd:double"&gt;0.8210663&lt;/D&gt;&lt;/FQL&gt;&lt;FQL&gt;&lt;Q&gt;HUBB-US^P_BETA_LOCIDX(44830,44655,,"SPX")&lt;/Q&gt;&lt;R&gt;1&lt;/R&gt;&lt;C&gt;1&lt;/C&gt;&lt;D xsi:type="xsd:double"&gt;0.8171726&lt;/D&gt;&lt;/FQL&gt;&lt;FQL&gt;&lt;Q&gt;HUBB-US^P_BETA_LOCIDX(44827,44652,,"SPX")&lt;/Q&gt;&lt;R&gt;1&lt;/R&gt;&lt;C&gt;1&lt;/C&gt;&lt;D xsi:type="xsd:double"&gt;0.819295&lt;/D&gt;&lt;/FQL&gt;&lt;FQL&gt;&lt;Q&gt;HUBB-US^P_BETA_LOCIDX(44826,44651,,"SPX")&lt;/Q&gt;&lt;R&gt;1&lt;/R&gt;&lt;C&gt;1&lt;/C&gt;&lt;D xsi:type="xsd:double"&gt;0.8325809&lt;/D&gt;&lt;/FQL&gt;&lt;FQL&gt;&lt;Q&gt;HUBB-US^P_BETA_LOCIDX(44825,44650,,"SPX")&lt;/Q&gt;&lt;R&gt;1&lt;/R&gt;&lt;C&gt;1&lt;/C&gt;&lt;D xsi:type="xsd:double"&gt;0.8290202&lt;/D&gt;&lt;/FQL&gt;&lt;FQL&gt;&lt;Q&gt;HUBB-US^P_BETA_LOCIDX(44824,44649,,"SPX")&lt;/Q&gt;&lt;R&gt;1&lt;/R&gt;&lt;C&gt;1&lt;/C&gt;&lt;D xsi:type="xsd:double"&gt;0.84782976&lt;/D&gt;&lt;/FQL&gt;&lt;FQL&gt;&lt;Q&gt;HUBB-US^P_BETA_LOCIDX(44823,44648,,"SPX")&lt;/Q&gt;&lt;R&gt;1&lt;/R&gt;&lt;C&gt;1&lt;/C&gt;&lt;D xsi:type="xsd:double"&gt;0.8444276&lt;/D&gt;&lt;/FQL&gt;&lt;FQL&gt;&lt;Q&gt;HUBB-US^P_BETA_LOCIDX(44820,44645,,"SPX")&lt;/Q&gt;&lt;R&gt;1&lt;/R&gt;&lt;C&gt;1&lt;/C&gt;&lt;D xsi:type="xsd:double"&gt;0.8405307&lt;/D&gt;&lt;/FQL&gt;&lt;FQL&gt;&lt;Q&gt;HUBB-US^P_BETA_LOCIDX(44819,44644,,"SPX")&lt;/Q&gt;&lt;R&gt;1&lt;/R&gt;&lt;C&gt;1&lt;/C&gt;&lt;D xsi:type="xsd:double"&gt;0.83717984&lt;/D&gt;&lt;/FQL&gt;&lt;FQL&gt;&lt;Q&gt;HUBB-US^P_BETA_LOCIDX(44818,44643,,"SPX")&lt;/Q&gt;&lt;R&gt;1&lt;/R&gt;&lt;C&gt;1&lt;/C&gt;&lt;D xsi:type="xsd:double"&gt;0.85164624&lt;/D&gt;&lt;/FQL&gt;&lt;FQL&gt;&lt;Q&gt;HUBB-US^P_BETA_LOCIDX(44817,44642,,"SPX")&lt;/Q&gt;&lt;R&gt;1&lt;/R&gt;&lt;C&gt;1&lt;/C&gt;&lt;D xsi:type="xsd:double"&gt;0.84184873&lt;/D&gt;&lt;/FQL&gt;&lt;FQL&gt;&lt;Q&gt;HUBB-US^P_BETA_LOCIDX(44816,44641,,"SPX")&lt;/Q&gt;&lt;R&gt;1&lt;/R&gt;&lt;C&gt;1&lt;/C&gt;&lt;D xsi:type="xsd:double"&gt;0.8595801&lt;/D&gt;&lt;/FQL&gt;&lt;FQL&gt;&lt;Q&gt;HUBB-US^P_BETA_LOCIDX(44813,44638,,"SPX")&lt;/Q&gt;&lt;R&gt;1&lt;/R&gt;&lt;C&gt;1&lt;/C&gt;&lt;D xsi:type="xsd:double"&gt;0.860129&lt;/D&gt;&lt;/FQL&gt;&lt;FQL&gt;&lt;Q&gt;HUBB-US^P_BETA_LOCIDX(44812,44637,,"SPX")&lt;/Q&gt;&lt;R&gt;1&lt;/R&gt;&lt;C&gt;1&lt;/C&gt;&lt;D xsi:type="xsd:double"&gt;0.8529105&lt;/D&gt;&lt;/FQL&gt;&lt;FQL&gt;&lt;Q&gt;HUBB-US^P_BETA_LOCIDX(44811,44636,,"SPX")&lt;/Q&gt;&lt;R&gt;1&lt;/R&gt;&lt;C&gt;1&lt;/C&gt;&lt;D xsi:type="xsd:double"&gt;0.8551918&lt;/D&gt;&lt;/FQL&gt;&lt;FQL&gt;&lt;Q&gt;HUBB-US^P_BETA_LOCIDX(44810,44635,,"SPX")&lt;/Q&gt;&lt;R&gt;1&lt;/R&gt;&lt;C&gt;1&lt;/C&gt;&lt;D xsi:type="xsd:double"&gt;0.846503&lt;/D&gt;&lt;/FQL&gt;&lt;FQL&gt;&lt;Q&gt;HUBB-US^P_BETA_LOCIDX(44806,44634,,"SPX")&lt;/Q&gt;&lt;R&gt;1&lt;/R&gt;&lt;C&gt;1&lt;/C&gt;&lt;D xsi:type="xsd:double"&gt;0.84595674&lt;/D&gt;&lt;/FQL&gt;&lt;FQL&gt;&lt;Q&gt;HUBB-US^P_BETA_LOCIDX(44805,44631,,"SPX")&lt;/Q&gt;&lt;R&gt;1&lt;/R&gt;&lt;C&gt;1&lt;/C&gt;&lt;D xsi:type="xsd:double"&gt;0.8453609&lt;/D&gt;&lt;/FQL&gt;&lt;FQL&gt;&lt;Q&gt;HUBB-US^P_BETA_LOCIDX(44804,44630,,"SPX")&lt;/Q&gt;&lt;R&gt;1&lt;/R&gt;&lt;C&gt;1&lt;/C&gt;&lt;D xsi:type="xsd:double"&gt;0.8455692&lt;/D&gt;&lt;/FQL&gt;&lt;FQL&gt;&lt;Q&gt;HUBB-US^P_BETA_LOCIDX(44803,44629,,"SPX")&lt;/Q&gt;&lt;R&gt;1&lt;/R&gt;&lt;C&gt;1&lt;/C&gt;&lt;D xsi:type="xsd:double"&gt;0.83597004&lt;/D&gt;&lt;/FQL&gt;&lt;FQL&gt;&lt;Q&gt;HUBB-US^P_BETA_LOCIDX(44802,44628,,"SPX")&lt;/Q&gt;&lt;R&gt;1&lt;/R&gt;&lt;C&gt;1&lt;/C&gt;&lt;D xsi:type="xsd:double"&gt;0.8277693&lt;/D&gt;&lt;/FQL&gt;&lt;FQL&gt;&lt;Q&gt;HUBB-US^P_BETA_LOCIDX(44799,44627,,"SPX")&lt;/Q&gt;&lt;R&gt;1&lt;/R&gt;&lt;C&gt;1&lt;/C&gt;&lt;D xsi:type="xsd:double"&gt;0.82474416&lt;/D&gt;&lt;/FQL&gt;&lt;FQL&gt;&lt;Q&gt;HUBB-US^P_BETA_LOCIDX(44798,44624,,"SPX")&lt;/Q&gt;&lt;R&gt;1&lt;/R&gt;&lt;C&gt;1&lt;/C&gt;&lt;D xsi:type="xsd:double"&gt;0.80283505&lt;/D&gt;&lt;/FQL&gt;&lt;FQL&gt;&lt;Q&gt;HUBB-US^P_BETA_LOCIDX(44797,44623,,"SPX")&lt;/Q&gt;&lt;R&gt;1&lt;/R&gt;&lt;C&gt;1&lt;/C&gt;&lt;D xsi:type="xsd:double"&gt;0.8022676&lt;/D&gt;&lt;/FQL&gt;&lt;FQL&gt;&lt;Q&gt;HUBB-US^P_BETA_LOCIDX(44796,44622,,"SPX")&lt;/Q&gt;&lt;R&gt;1&lt;/R&gt;&lt;C&gt;1&lt;/C&gt;&lt;D xsi:type="xsd:double"&gt;0.8120447&lt;/D&gt;&lt;/FQL&gt;&lt;FQL&gt;&lt;Q&gt;HUBB-US^P_BETA_LOCIDX(44795,44621,,"SPX")&lt;/Q&gt;&lt;R&gt;1&lt;/R&gt;&lt;C&gt;1&lt;/C&gt;&lt;D xsi:type="xsd:double"&gt;0.8126587&lt;/D&gt;&lt;/FQL&gt;&lt;FQL&gt;&lt;Q&gt;HUBB-US^P_BETA_LOCIDX(44792,44620,,"SPX")&lt;/Q&gt;&lt;R&gt;1&lt;/R&gt;&lt;C&gt;1&lt;/C&gt;&lt;D xsi:type="xsd:double"&gt;0.813055&lt;/D&gt;&lt;/FQL&gt;&lt;FQL&gt;&lt;Q&gt;HUBB-US^P_BETA_LOCIDX(44791,44617,,"SPX")&lt;/Q&gt;&lt;R&gt;1&lt;/R&gt;&lt;C&gt;1&lt;/C&gt;&lt;D xsi:type="xsd:double"&gt;0.82103074&lt;/D&gt;&lt;/FQL&gt;&lt;FQL&gt;&lt;Q&gt;HUBB-US^P_BETA_LOCIDX(44790,44616,,"SPX")&lt;/Q&gt;&lt;R&gt;1&lt;/R&gt;&lt;C&gt;1&lt;/C&gt;&lt;D xsi:type="xsd:double"&gt;0.81725115&lt;/D&gt;&lt;/FQL&gt;&lt;FQL&gt;&lt;Q&gt;HUBB-US^P_BETA_LOCIDX(44789,44615,,"SPX")&lt;/Q&gt;&lt;R&gt;1&lt;/R&gt;&lt;C&gt;1&lt;/C&gt;&lt;D xsi:type="xsd:double"&gt;0.81967056&lt;/D&gt;&lt;/FQL&gt;&lt;FQL&gt;&lt;Q&gt;HUBB-US^P_BETA_LOCIDX(44788,44614,,"SPX")&lt;/Q&gt;&lt;R&gt;1&lt;/R&gt;&lt;C&gt;1&lt;/C&gt;&lt;D xsi:type="xsd:double"&gt;0.82147807&lt;/D&gt;&lt;/FQL&gt;&lt;FQL&gt;&lt;Q&gt;HUBB-US^P_BETA_LOCIDX(44785,44610,,"SPX")&lt;/Q&gt;&lt;R&gt;1&lt;/R&gt;&lt;C&gt;1&lt;/C&gt;&lt;D xsi:type="xsd:double"&gt;0.8241776&lt;/D&gt;&lt;/FQL&gt;&lt;FQL&gt;&lt;Q&gt;HUBB-US^P_BETA_LOCIDX(44784,44609,,"SPX")&lt;/Q&gt;&lt;R&gt;1&lt;/R&gt;&lt;C&gt;1&lt;/C&gt;&lt;D xsi:type="xsd:double"&gt;0.83098704&lt;/D&gt;&lt;/FQL&gt;&lt;FQL&gt;&lt;Q&gt;HUBB-US^P_BETA_LOCIDX(44783,44608,,"SPX")&lt;/Q&gt;&lt;R&gt;1&lt;/R&gt;&lt;C&gt;1&lt;/C&gt;&lt;D xsi:type="xsd:double"&gt;0.8309374&lt;/D&gt;&lt;/FQL&gt;&lt;FQL&gt;&lt;Q&gt;HUBB-US^P_BETA_LOCIDX(44782,44607,,"SPX")&lt;/Q&gt;&lt;R&gt;1&lt;/R&gt;&lt;C&gt;1&lt;/C&gt;&lt;D xsi:type="xsd:double"&gt;0.8270167&lt;/D&gt;&lt;/FQL&gt;&lt;FQL&gt;&lt;Q&gt;HUBB-US^P_BETA_LOCIDX(44781,44606,,"SPX")&lt;/Q&gt;&lt;R&gt;1&lt;/R&gt;&lt;C&gt;1&lt;/C&gt;&lt;D xsi:type="xsd:double"&gt;0.8266735&lt;/D&gt;&lt;/FQL&gt;&lt;FQL&gt;&lt;Q&gt;HUBB-US^P_BETA_LOCIDX(44778,44603,,"SPX")&lt;/Q&gt;&lt;R&gt;1&lt;/R&gt;&lt;C&gt;1&lt;/C&gt;&lt;D xsi:type="xsd:double"&gt;0.8285524&lt;/D&gt;&lt;/FQL&gt;&lt;FQL&gt;&lt;Q&gt;HUBB-US^P_BETA_LOCIDX(44777,44602,,"SPX")&lt;/Q&gt;&lt;R&gt;1&lt;/R&gt;&lt;C&gt;1&lt;/C&gt;&lt;D xsi:type="xsd:double"&gt;0.8375977&lt;/D&gt;&lt;/FQL&gt;&lt;FQL&gt;&lt;Q&gt;HUBB-US^P_BETA_LOCIDX(44776,44601,,"SPX")&lt;/Q&gt;&lt;R&gt;1&lt;/R&gt;&lt;C&gt;1&lt;/C&gt;&lt;D xsi:type="xsd:double"&gt;0.84008193&lt;/D&gt;&lt;/FQL&gt;&lt;FQL&gt;&lt;Q&gt;HUBB-US^P_BETA_LOCIDX(44775,44600,,"SPX")&lt;/Q&gt;&lt;R&gt;1&lt;/R&gt;&lt;C&gt;1&lt;/C&gt;&lt;D xsi:type="xsd:double"&gt;0.8458071&lt;/D&gt;&lt;/FQL&gt;&lt;FQL&gt;&lt;Q&gt;HUBB-US^P_BETA_LOCIDX(44774,44599,,"SPX")&lt;/Q&gt;&lt;R&gt;1&lt;/R&gt;&lt;C&gt;1&lt;/C&gt;&lt;D xsi:type="xsd:double"&gt;0.84492403&lt;/D&gt;&lt;/FQL&gt;&lt;FQL&gt;&lt;Q&gt;HUBB-US^P_BETA_LOCIDX(45845,45670,,"SPX")&lt;/Q&gt;&lt;R&gt;1&lt;/R&gt;&lt;C&gt;1&lt;/C&gt;&lt;D xsi:type="xsd:double"&gt;1.1198941&lt;/D&gt;&lt;/FQL&gt;&lt;FQL&gt;&lt;Q&gt;WCC-US^P_BETA_LOCIDX(45772,45595,,"SPX")&lt;/Q&gt;&lt;R&gt;1&lt;/R&gt;&lt;C&gt;1&lt;/C&gt;&lt;D xsi:type="xsd:double"&gt;1.5713122&lt;/D&gt;&lt;/FQL&gt;&lt;FQL&gt;&lt;Q&gt;WCC-US^P_BETA_LOCIDX(45267,45093,,"SPX")&lt;/Q&gt;&lt;R&gt;1&lt;/R&gt;&lt;C&gt;1&lt;/C&gt;&lt;D xsi:type="xsd:double"&gt;1.5315527&lt;/D&gt;&lt;/FQL&gt;&lt;FQL&gt;&lt;Q&gt;WCC-US^P_BETA_LOCIDX(45981,45811,,"SPX")&lt;/Q&gt;&lt;R&gt;1&lt;/R&gt;&lt;C&gt;1&lt;/C&gt;&lt;D xsi:type="xsd:double"&gt;1.5706822&lt;/D&gt;&lt;/FQL&gt;&lt;FQL&gt;&lt;Q&gt;WCC-US^P_BETA_LOCIDX(45912,45740,,"SPX")&lt;/Q&gt;&lt;R&gt;1&lt;/R&gt;&lt;C&gt;1&lt;/C&gt;&lt;D xsi:type="xsd:double"&gt;1.5897161&lt;/D&gt;&lt;/FQL&gt;&lt;FQL&gt;&lt;Q&gt;WCC-US^P_BETA_LOCIDX(45394,45218,,"SPX")&lt;/Q&gt;&lt;R&gt;1&lt;/R&gt;&lt;C&gt;1&lt;/C&gt;&lt;D xsi:type="xsd:double"&gt;2.3436134&lt;/D&gt;&lt;/FQL&gt;&lt;FQL&gt;&lt;Q&gt;WCC-US^P_BETA_LOCIDX(45597,45425,,"SPX")&lt;/Q&gt;&lt;R&gt;1&lt;/R&gt;&lt;C&gt;1&lt;/C&gt;&lt;D xsi:type="xsd:double"&gt;1.4344026&lt;/D&gt;&lt;/FQL&gt;&lt;FQL&gt;&lt;Q&gt;WCC-US^P_BETA_LOCIDX(45575,45401,,"SPX")&lt;/Q&gt;&lt;R&gt;1&lt;/R&gt;&lt;C&gt;1&lt;/C&gt;&lt;D xsi:type="xsd:double"&gt;1.7228179&lt;/D&gt;&lt;/FQL&gt;&lt;FQL&gt;&lt;Q&gt;WCC-US^P_BETA_LOCIDX(45897,45726,,"SPX")&lt;/Q&gt;&lt;R&gt;1&lt;/R&gt;&lt;C&gt;1&lt;/C&gt;&lt;D xsi:type="xsd:double"&gt;1.5997704&lt;/D&gt;&lt;/FQL&gt;&lt;FQL&gt;&lt;Q&gt;WCC-US^P_BETA_LOCIDX(45716,45540,,"SPX")&lt;/Q&gt;&lt;R&gt;1&lt;/R&gt;&lt;C&gt;1&lt;/C&gt;&lt;D xsi:type="xsd:double"&gt;1.4989924&lt;/D&gt;&lt;/FQL&gt;&lt;FQL&gt;&lt;Q&gt;WCC-US^P_BETA_LOCIDX(45771,45594,,"SPX")&lt;/Q&gt;&lt;R&gt;1&lt;/R&gt;&lt;C&gt;1&lt;/C&gt;&lt;D xsi:type="xsd:double"&gt;1.5725402&lt;/D&gt;&lt;/FQL&gt;&lt;FQL&gt;&lt;Q&gt;WCC-US^P_BETA_LOCIDX(45761,45583,,"SPX")&lt;/Q&gt;&lt;R&gt;1&lt;/R&gt;&lt;C&gt;1&lt;/C&gt;&lt;D xsi:type="xsd:double"&gt;1.5890479&lt;/D&gt;&lt;/FQL&gt;&lt;FQL&gt;&lt;Q&gt;WCC-US^P_BETA_LOCIDX(45491,45316,,"SPX")&lt;/Q&gt;&lt;R&gt;1&lt;/R&gt;&lt;C&gt;1&lt;/C&gt;&lt;D xsi:type="xsd:double"&gt;2.5208707&lt;/D&gt;&lt;/FQL&gt;&lt;FQL&gt;&lt;Q&gt;WCC-US^P_BETA_LOCIDX(45532,45358,,"SPX")&lt;/Q&gt;&lt;R&gt;1&lt;/R&gt;&lt;C&gt;1&lt;/C&gt;&lt;D xsi:type="xsd:double"&gt;1.7091242&lt;/D&gt;&lt;/FQL&gt;&lt;FQL&gt;&lt;Q&gt;WCC-US^P_BETA_LOCIDX(45982,45812,,"SPX")&lt;/Q&gt;&lt;R&gt;1&lt;/R&gt;&lt;C&gt;1&lt;/C&gt;&lt;D xsi:type="xsd:double"&gt;1.541355&lt;/D&gt;&lt;/FQL&gt;&lt;FQL&gt;&lt;Q&gt;WCC-US^P_BETA_LOCIDX(45443,45267,,"SPX")&lt;/Q&gt;&lt;R&gt;1&lt;/R&gt;&lt;C&gt;1&lt;/C&gt;&lt;D xsi:type="xsd:double"&gt;2.4638383&lt;/D&gt;&lt;/FQL&gt;&lt;FQL&gt;&lt;Q&gt;WCC-US^P_BETA_LOCIDX(45576,45404,,"SPX")&lt;/Q&gt;&lt;R&gt;1&lt;/R&gt;&lt;C&gt;1&lt;/C&gt;&lt;D xsi:type="xsd:double"&gt;1.7682797&lt;/D&gt;&lt;/FQL&gt;&lt;FQL&gt;&lt;Q&gt;WCC-US^P_BETA_LOCIDX(44965,44790,,"SPX")&lt;/Q&gt;&lt;R&gt;1&lt;/R&gt;&lt;C&gt;1&lt;/C&gt;&lt;D xsi:type="xsd:double"&gt;1.3842474&lt;/D&gt;&lt;/FQL&gt;&lt;FQL&gt;&lt;Q&gt;WCC-US^P_BETA_LOCIDX(45882,45709,,"SPX")&lt;/Q&gt;&lt;R&gt;1&lt;/R&gt;&lt;C&gt;1&lt;/C&gt;&lt;D xsi:type="xsd:double"&gt;1.6209575&lt;/D&gt;&lt;/FQL&gt;&lt;FQL&gt;&lt;Q&gt;WCC-US^P_BETA_LOCIDX(45993,45820,,"SPX")&lt;/Q&gt;&lt;R&gt;1&lt;/R&gt;&lt;C&gt;1&lt;/C&gt;&lt;D xsi:type="xsd:double"&gt;1.5051643&lt;/D&gt;&lt;/FQL&gt;&lt;FQL&gt;&lt;Q&gt;WCC-US^P_BETA_LOCIDX(45401,45225,,"SPX")&lt;/Q&gt;&lt;R&gt;1&lt;/R&gt;&lt;C&gt;1&lt;/C&gt;&lt;D xsi:type="xsd:double"&gt;2.3168344&lt;/D&gt;&lt;/FQL&gt;&lt;FQL&gt;&lt;Q&gt;WCC-US^P_BETA_LOCIDX(45071,44896,,"SPX")&lt;/Q&gt;&lt;R&gt;1&lt;/R&gt;&lt;C&gt;1&lt;/C&gt;&lt;D xsi:type="xsd:double"&gt;1.7745007&lt;/D&gt;&lt;/FQL&gt;&lt;FQL&gt;&lt;Q&gt;WCC-US^P_BETA_LOCIDX(45629,45455,,"SPX")&lt;/Q&gt;&lt;R&gt;1&lt;/R&gt;&lt;C&gt;1&lt;/C&gt;&lt;D xsi:type="xsd:double"&gt;1.6157714&lt;/D&gt;&lt;/FQL&gt;&lt;FQL&gt;&lt;Q&gt;WCC-US^P_BETA_LOCIDX(46043,45868,,"SPX")&lt;/Q&gt;&lt;R&gt;1&lt;/R&gt;&lt;C&gt;1&lt;/C&gt;&lt;D xsi:type="xsd:double"&gt;1.6642401&lt;/D&gt;&lt;/FQL&gt;&lt;FQL&gt;&lt;Q&gt;WCC-US^P_BETA_LOCIDX(45138,44963,,"SPX")&lt;/Q&gt;&lt;R&gt;1&lt;/R&gt;&lt;C&gt;1&lt;/C&gt;&lt;D xsi:type="xsd:double"&gt;2.0071626&lt;/D&gt;&lt;/FQL&gt;&lt;FQL&gt;&lt;Q&gt;WCC-US^P_BETA_LOCIDX(45268,45097,,"SPX")&lt;/Q&gt;&lt;R&gt;1&lt;/R&gt;&lt;C&gt;1&lt;/C&gt;&lt;D xsi:type="xsd:double"&gt;1.541886&lt;/D&gt;&lt;/FQL&gt;&lt;FQL&gt;&lt;Q&gt;WCC-US^P_BETA_LOCIDX(45806,45629,,"SPX")&lt;/Q&gt;&lt;R&gt;1&lt;/R&gt;&lt;C&gt;1&lt;/C&gt;&lt;D xsi:type="xsd:double"&gt;1.5819286&lt;/D&gt;&lt;/FQL&gt;&lt;FQL&gt;&lt;Q&gt;WCC-US^P_BETA_LOCIDX(45286,45113,,"SPX")&lt;/Q&gt;&lt;R&gt;1&lt;/R&gt;&lt;C&gt;1&lt;/C&gt;&lt;D xsi:type="xsd:double"&gt;1.6048583&lt;/D&gt;&lt;/FQL&gt;&lt;FQL&gt;&lt;Q&gt;WCC-US^P_BETA_LOCIDX(45034,44858,,"SPX")&lt;/Q&gt;&lt;R&gt;1&lt;/R&gt;&lt;C&gt;1&lt;/C&gt;&lt;D xsi:type="xsd:double"&gt;1.4167728&lt;/D&gt;&lt;/FQL&gt;&lt;FQL&gt;&lt;Q&gt;WCC-US^P_BETA_LOCIDX(45469,45294,,"SPX")&lt;/Q&gt;&lt;R&gt;1&lt;/R&gt;&lt;C&gt;1&lt;/C&gt;&lt;D xsi:type="xsd:double"&gt;2.5071845&lt;/D&gt;&lt;/FQL&gt;&lt;FQL&gt;&lt;Q&gt;WCC-US^P_BETA_LOCIDX(46020,45847,,"SPX")&lt;/Q&gt;&lt;R&gt;1&lt;/R&gt;&lt;C&gt;1&lt;/C&gt;&lt;D xsi:type="xsd:double"&gt;1.6378177&lt;/D&gt;&lt;/FQL&gt;&lt;FQL&gt;&lt;Q&gt;WCC-US^P_BETA_LOCIDX(45007,44832,,"SPX")&lt;/Q&gt;&lt;R&gt;1&lt;/R&gt;&lt;C&gt;1&lt;/C&gt;&lt;D xsi:type="xsd:double"&gt;1.4478362&lt;/D&gt;&lt;/FQL&gt;&lt;FQL&gt;&lt;Q&gt;WCC-US^P_BETA_LOCIDX(46048,45873,,"SPX")&lt;/Q&gt;&lt;R&gt;1&lt;/R&gt;&lt;C&gt;1&lt;/C&gt;&lt;D xsi:type="xsd:double"&gt;1.6651129&lt;/D&gt;&lt;/FQL&gt;&lt;FQL&gt;&lt;Q&gt;WCC-US^P_BETA_LOCIDX(45632,45460,,"SPX")&lt;/Q&gt;&lt;R&gt;1&lt;/R&gt;&lt;C&gt;1&lt;/C&gt;&lt;D xsi:type="xsd:double"&gt;1.6042043&lt;/D&gt;&lt;/FQL&gt;&lt;FQL&gt;&lt;Q&gt;WCC-US^P_BETA_LOCIDX(45404,45226,,"SPX")&lt;/Q&gt;&lt;R&gt;1&lt;/R&gt;&lt;C&gt;1&lt;/C&gt;&lt;D xsi:type="xsd:double"&gt;2.4242861&lt;/D&gt;&lt;/FQL&gt;&lt;FQL&gt;&lt;Q&gt;WCC-US^P_BETA_LOCIDX(45405,45229,,"SPX")&lt;/Q&gt;&lt;R&gt;1&lt;/R&gt;&lt;C&gt;1&lt;/C&gt;&lt;D xsi:type="xsd:double"&gt;2.4211514&lt;/D&gt;&lt;/FQL&gt;&lt;FQL&gt;&lt;Q&gt;WCC-US^P_BETA_LOCIDX(45139,44964,,"SPX")&lt;/Q&gt;&lt;R&gt;1&lt;/R&gt;&lt;C&gt;1&lt;/C&gt;&lt;D xsi:type="xsd:double"&gt;2.0032747&lt;/D&gt;&lt;/FQL&gt;&lt;FQL&gt;&lt;Q&gt;WCC-US^P_BETA_LOCIDX(45422,45246,,"SPX")&lt;/Q&gt;&lt;R&gt;1&lt;/R&gt;&lt;C&gt;1&lt;/C&gt;&lt;D xsi:type="xsd:double"&gt;2.4480708&lt;/D&gt;&lt;/FQL&gt;&lt;FQL&gt;&lt;Q&gt;WCC-US^P_BETA_LOCIDX(45855,45681,,"SPX")&lt;/Q&gt;&lt;R&gt;1&lt;/R&gt;&lt;C&gt;1&lt;/C&gt;&lt;D xsi:type="xsd:double"&gt;1.6389569&lt;/D&gt;&lt;/FQL&gt;&lt;FQL&gt;&lt;Q&gt;WCC-US^P_BETA_LOCIDX(45266,45092,,"SPX")&lt;/Q&gt;&lt;R&gt;1&lt;/R&gt;&lt;C&gt;1&lt;/C&gt;&lt;D xsi:type="xsd:double"&gt;1.5630767&lt;/D&gt;&lt;/FQL&gt;&lt;FQL&gt;&lt;Q&gt;WCC-US^P_BETA_LOCIDX(45813,45636,,"SPX")&lt;/Q&gt;&lt;R&gt;1&lt;/R&gt;&lt;C&gt;1&lt;/C&gt;&lt;D xsi:type="xsd:double"&gt;1.5870264&lt;/D&gt;&lt;/FQL&gt;&lt;FQL&gt;&lt;Q&gt;WCC-US^P_BETA_LOCIDX(45099,44923,,"SPX")&lt;/Q&gt;&lt;R&gt;1&lt;/R&gt;&lt;C&gt;1&lt;/C&gt;&lt;D xsi:type="xsd:double"&gt;1.9279418&lt;/D&gt;&lt;/FQL&gt;&lt;FQL&gt;&lt;Q&gt;WCC-US^P_BETA_LOCIDX(45105,44930,,"SPX")&lt;/Q&gt;&lt;R&gt;1&lt;/R&gt;&lt;C&gt;1&lt;/C&gt;&lt;D xsi:type="xsd:double"&gt;1.9141237&lt;/D&gt;&lt;/FQL&gt;&lt;FQL&gt;&lt;Q&gt;WCC-US^P_BETA_LOCIDX(45215,45041,,"SPX")&lt;/Q&gt;&lt;R&gt;1&lt;/R&gt;&lt;C&gt;1&lt;/C&gt;&lt;D xsi:type="xsd:double"&gt;2.038653&lt;/D&gt;&lt;/FQL&gt;&lt;FQL&gt;&lt;Q&gt;WCC-US^P_BETA_LOCIDX(45656,45483,,"SPX")&lt;/Q&gt;&lt;R&gt;1&lt;/R&gt;&lt;C&gt;1&lt;/C&gt;&lt;D xsi:type="xsd:double"&gt;1.6424574&lt;/D&gt;&lt;/FQL&gt;&lt;FQL&gt;&lt;Q&gt;WCC-US^P_BETA_LOCIDX(45758,45582,,"SPX")&lt;/Q&gt;&lt;R&gt;1&lt;/R&gt;&lt;C&gt;1&lt;/C&gt;&lt;D xsi:type="xsd:double"&gt;1.5894939&lt;/D&gt;&lt;/FQL&gt;&lt;FQL&gt;&lt;Q&gt;WCC-US^P_BETA_LOCIDX(45639,45468,,"SPX")&lt;/Q&gt;&lt;R&gt;1&lt;/R&gt;&lt;C&gt;1&lt;/C&gt;&lt;D xsi:type="xsd:double"&gt;1.6311483&lt;/D&gt;&lt;/FQL&gt;&lt;FQL&gt;&lt;Q&gt;WCC-US^P_BETA_LOCIDX(45729,45553,,"SPX")&lt;/Q&gt;&lt;R&gt;1&lt;/R&gt;&lt;C&gt;1&lt;/C&gt;&lt;D xsi:type="xsd:double"&gt;1.6595944&lt;/D&gt;&lt;/FQL&gt;&lt;FQL&gt;&lt;Q&gt;WCC-US^P_BETA_LOCIDX(45946,45775,,"SPX")&lt;/Q&gt;&lt;R&gt;1&lt;/R&gt;&lt;C&gt;1&lt;/C&gt;&lt;D xsi:type="xsd:double"&gt;1.8152463&lt;/D&gt;&lt;/FQL&gt;&lt;FQL&gt;&lt;Q&gt;WCC-US^P_BETA_LOCIDX(45691,45513,,"SPX")&lt;/Q&gt;&lt;R&gt;1&lt;/R&gt;&lt;C&gt;1&lt;/C&gt;&lt;D xsi:type="xsd:double"&gt;1.5919766&lt;/D&gt;&lt;/FQL&gt;&lt;FQL&gt;&lt;Q&gt;WCC-US^P_BETA_LOCIDX(45303,45131,,"SPX")&lt;/Q&gt;&lt;R&gt;1&lt;/R&gt;&lt;C&gt;1&lt;/C&gt;&lt;D xsi:type="xsd:double"&gt;1.6916025&lt;/D&gt;&lt;/FQL&gt;&lt;FQL&gt;&lt;Q&gt;WCC-US^P_BETA_LOCIDX(45152,44978,,"SPX")&lt;/Q&gt;&lt;R&gt;1&lt;/R&gt;&lt;C&gt;1&lt;/C&gt;&lt;D xsi:type="xsd:double"&gt;2.0555143&lt;/D&gt;&lt;/FQL&gt;&lt;FQL&gt;&lt;Q&gt;WCC-US^P_BETA_LOCIDX(45915,45741,,"SPX")&lt;/Q&gt;&lt;R&gt;1&lt;/R&gt;&lt;C&gt;1&lt;/C&gt;&lt;D xsi:type="xsd:double"&gt;1.5830679&lt;/D&gt;&lt;/FQL&gt;&lt;FQL&gt;&lt;Q&gt;WCC-US^P_BETA_LOCIDX(45590,45418,,"SPX")&lt;/Q&gt;&lt;R&gt;1&lt;/R&gt;&lt;C&gt;1&lt;/C&gt;&lt;D xsi:type="xsd:double"&gt;1.7376184&lt;/D&gt;&lt;/FQL&gt;&lt;FQL&gt;&lt;Q&gt;WCC-US^P_BETA_LOCIDX(46076,45898,,"SPX")&lt;/Q&gt;&lt;R&gt;1&lt;/R&gt;&lt;C&gt;1&lt;/C&gt;&lt;D xsi:type="xsd:double"&gt;1.6191827&lt;/D&gt;&lt;/FQL&gt;&lt;FQL&gt;&lt;Q&gt;WCC-US^P_BETA_LOCIDX(45594,45420,,"SPX")&lt;/Q&gt;&lt;R&gt;1&lt;/R&gt;&lt;C&gt;1&lt;/C&gt;&lt;D xsi:type="xsd:double"&gt;1.7213457&lt;/D&gt;&lt;/FQL&gt;&lt;FQL&gt;&lt;Q&gt;WCC-US^P_BETA_LOCIDX(45187,45012,,"SPX")&lt;/Q&gt;&lt;R&gt;1&lt;/R&gt;&lt;C&gt;1&lt;/C&gt;&lt;D xsi:type="xsd:double"&gt;2.007151&lt;/D&gt;&lt;/FQL&gt;&lt;FQL&gt;&lt;Q&gt;WCC-US^P_BETA_LOCIDX(45708,45531,,"SPX")&lt;/Q&gt;&lt;R&gt;1&lt;/R&gt;&lt;C&gt;1&lt;/C&gt;&lt;D xsi:type="xsd:double"&gt;1.571828&lt;/D&gt;&lt;/FQL&gt;&lt;FQL&gt;&lt;Q&gt;WCC-US^P_BETA_LOCIDX(45583,45411,,"SPX")&lt;/Q&gt;&lt;R&gt;1&lt;/R&gt;&lt;C&gt;1&lt;/C&gt;&lt;D xsi:type="xsd:double"&gt;1.7988968&lt;/D&gt;&lt;/FQL&gt;&lt;FQL&gt;&lt;Q&gt;WCC-US^P_BETA_LOCIDX(45036,44860,,"SPX")&lt;/Q&gt;&lt;R&gt;1&lt;/R&gt;&lt;C&gt;1&lt;/C&gt;&lt;D xsi:type="xsd:double"&gt;1.4053743&lt;/D&gt;&lt;/FQL&gt;&lt;FQL&gt;&lt;Q&gt;WCC-US^P_BETA_LOCIDX(45539,45364,,"SPX")&lt;/Q&gt;&lt;R&gt;1&lt;/R&gt;&lt;C&gt;1&lt;/C&gt;&lt;D xsi:type="xsd:double"&gt;1.7436352&lt;/D&gt;&lt;/FQL&gt;&lt;FQL&gt;&lt;Q&gt;WCC-US^P_BETA_LOCIDX(45154,44980,,"SPX")&lt;/Q&gt;&lt;R&gt;1&lt;/R&gt;&lt;C&gt;1&lt;/C&gt;&lt;D xsi:type="xsd:double"&gt;2.055278&lt;/D&gt;&lt;/FQL&gt;&lt;FQL&gt;&lt;Q&gt;WCC-US^P_BETA_LOCIDX(45419,45243,,"SPX")&lt;/Q&gt;&lt;R&gt;1&lt;/R&gt;&lt;C&gt;1&lt;/C&gt;&lt;D xsi:type="xsd:double"&gt;2.4727402&lt;/D&gt;&lt;/FQL&gt;&lt;FQL&gt;&lt;Q&gt;WCC-US^P_BETA_LOCIDX(45295,45121,,"SPX")&lt;/Q&gt;&lt;R&gt;1&lt;/R&gt;&lt;C&gt;1&lt;/C&gt;&lt;D xsi:type="xsd:double"&gt;1.6932716&lt;/D&gt;&lt;/FQL&gt;&lt;FQL&gt;&lt;Q&gt;WCC-US^P_BETA_LOCIDX(45510,45335,,"SPX")&lt;/Q&gt;&lt;R&gt;1&lt;/R&gt;&lt;C&gt;1&lt;/C&gt;&lt;D xsi:type="xsd:double"&gt;2.2424726&lt;/D&gt;&lt;/FQL&gt;&lt;FQL&gt;&lt;Q&gt;WCC-US^P_BETA_LOCIDX(45446,45268,,"SPX")&lt;/Q&gt;&lt;R&gt;1&lt;/R&gt;&lt;C&gt;1&lt;/C&gt;&lt;D xsi:type="xsd:double"&gt;2.4845488&lt;/D&gt;&lt;/FQL&gt;&lt;FQL&gt;&lt;Q&gt;WCC-US^P_BETA_LOCIDX(45091,44915,,"SPX")&lt;/Q&gt;&lt;R&gt;1&lt;/R&gt;&lt;C&gt;1&lt;/C&gt;&lt;D xsi:type="xsd:double"&gt;1.9659022&lt;/D&gt;&lt;/FQL&gt;&lt;FQL&gt;&lt;Q&gt;WCC-US^P_BETA_LOCIDX(45331,45156,,"SPX")&lt;/Q&gt;&lt;R&gt;1&lt;/R&gt;&lt;C&gt;1&lt;/C&gt;&lt;D xsi:type="xsd:double"&gt;1.7144196&lt;/D&gt;&lt;/FQL&gt;&lt;FQL&gt;&lt;Q&gt;WCC-US^P_BETA_LOCIDX(45764,45588,,"SPX")&lt;/Q&gt;&lt;R&gt;1&lt;/R&gt;&lt;C&gt;1&lt;/C&gt;&lt;D xsi:type="xsd:double"&gt;1.5755063&lt;/D&gt;&lt;/FQL&gt;&lt;FQL&gt;&lt;Q&gt;WCC-US^P_BETA_LOCIDX(45986,45814,,"SPX")&lt;/Q&gt;&lt;R&gt;1&lt;/R&gt;&lt;C&gt;1&lt;/C&gt;&lt;D xsi:type="xsd:double"&gt;1.5137365&lt;/D&gt;&lt;/FQL&gt;&lt;FQL&gt;&lt;Q&gt;WCC-US^P_BETA_LOCIDX(45847,45672,,"SPX")&lt;/Q&gt;&lt;R&gt;1&lt;/R&gt;&lt;C&gt;1&lt;/C&gt;&lt;D xsi:type="xsd:double"&gt;1.6091928&lt;/D&gt;&lt;/FQL&gt;&lt;FQL&gt;&lt;Q&gt;WCC-US^P_BETA_LOCIDX(45161,44987,,"SPX")&lt;/Q&gt;&lt;R&gt;1&lt;/R&gt;&lt;C&gt;1&lt;/C&gt;&lt;D xsi:type="xsd:double"&gt;2.110988&lt;/D&gt;&lt;/FQL&gt;&lt;FQL&gt;&lt;Q&gt;WCC-US^P_BETA_LOCIDX(45805,45628,,"SPX")&lt;/Q&gt;&lt;R&gt;1&lt;/R&gt;&lt;C&gt;1&lt;/C&gt;&lt;D xsi:type="xsd:double"&gt;1.5839212&lt;/D&gt;&lt;/FQL&gt;&lt;FQL&gt;&lt;Q&gt;WCC-US^P_BETA_LOCIDX(45741,45565,,"SPX")&lt;/Q&gt;&lt;R&gt;1&lt;/R&gt;&lt;C&gt;1&lt;/C&gt;&lt;D xsi:type="xsd:double"&gt;1.6147434&lt;/D&gt;&lt;/FQL&gt;&lt;FQL&gt;&lt;Q&gt;WCC-US^P_BETA_LOCIDX(45356,45181,,"SPX")&lt;/Q&gt;&lt;R&gt;1&lt;/R&gt;&lt;C&gt;1&lt;/C&gt;&lt;D xsi:type="xsd:double"&gt;2.3637464&lt;/D&gt;&lt;/FQL&gt;&lt;FQL&gt;&lt;Q&gt;WCC-US^P_BETA_LOCIDX(45877,45706,,"SPX")&lt;/Q&gt;&lt;R&gt;1&lt;/R&gt;&lt;C&gt;1&lt;/C&gt;&lt;D xsi:type="xsd:double"&gt;1.6140423&lt;/D&gt;&lt;/FQL&gt;&lt;FQL&gt;&lt;Q&gt;WCC-US^P_BETA_LOCIDX(45545,45370,,"SPX")&lt;/Q&gt;&lt;R&gt;1&lt;/R&gt;&lt;C&gt;1&lt;/C&gt;&lt;D xsi:type="xsd:double"&gt;1.7188445&lt;/D&gt;&lt;/FQL&gt;&lt;FQL&gt;&lt;Q&gt;WCC-US^P_BETA_LOCIDX(45246,45072,,"SPX")&lt;/Q&gt;&lt;R&gt;1&lt;/R&gt;&lt;C&gt;1&lt;/C&gt;&lt;D xsi:type="xsd:double"&gt;1.8045517&lt;/D&gt;&lt;/FQL&gt;&lt;FQL&gt;&lt;Q&gt;WCC-US^P_BETA_LOCIDX(45874,45700,,"SPX")&lt;/Q&gt;&lt;R&gt;1&lt;/R&gt;&lt;C&gt;1&lt;/C&gt;&lt;D xsi:type="xsd:double"&gt;1.6122816&lt;/D&gt;&lt;/FQL&gt;&lt;FQL&gt;&lt;Q&gt;WCC-US^P_BETA_LOCIDX(46007,45835,,"SPX")&lt;/Q&gt;&lt;R&gt;1&lt;/R&gt;&lt;C&gt;1&lt;/C&gt;&lt;D xsi:type="xsd:double"&gt;1.6179888&lt;/D&gt;&lt;/FQL&gt;&lt;FQL&gt;&lt;Q&gt;WCC-US^P_BETA_LOCIDX(45379,45204,,"SPX")&lt;/Q&gt;&lt;R&gt;1&lt;/R&gt;&lt;C&gt;1&lt;/C&gt;&lt;D xsi:type="xsd:double"&gt;2.5573914&lt;/D&gt;&lt;/FQL&gt;&lt;FQL&gt;&lt;Q&gt;WCC-US^P_BETA_LOCIDX(45562,45390,,"SPX")&lt;/Q&gt;&lt;R&gt;1&lt;/R&gt;&lt;C&gt;1&lt;/C&gt;&lt;D xsi:type="xsd:double"&gt;1.7703557&lt;/D&gt;&lt;/FQL&gt;&lt;FQL&gt;&lt;Q&gt;WCC-US^P_BETA_LOCIDX(45124,44949,,"SPX")&lt;/Q&gt;&lt;R&gt;1&lt;/R&gt;&lt;C&gt;1&lt;/C&gt;&lt;D xsi:type="xsd:double"&gt;1.9359599&lt;/D&gt;&lt;/FQL&gt;&lt;FQL&gt;&lt;Q&gt;WCC-US^P_BETA_LOCIDX(45672,45497,,"SPX")&lt;/Q&gt;&lt;R&gt;1&lt;/R&gt;&lt;C&gt;1&lt;/C&gt;&lt;D xsi:type="xsd:double"&gt;1.547074&lt;/D&gt;&lt;/FQL&gt;&lt;FQL&gt;&lt;Q&gt;WCC-US^P_BETA_LOCIDX(45485,45310,,"SPX")&lt;/Q&gt;&lt;R&gt;1&lt;/R&gt;&lt;C&gt;1&lt;/C&gt;&lt;D xsi:type="xsd:double"&gt;2.4309487&lt;/D&gt;&lt;/FQL&gt;&lt;FQL&gt;&lt;Q&gt;WCC-US^P_BETA_LOCIDX(45014,44839,,"SPX")&lt;/Q&gt;&lt;R&gt;1&lt;/R&gt;&lt;C&gt;1&lt;/C&gt;&lt;D xsi:type="xsd:double"&gt;1.4870148&lt;/D&gt;&lt;/FQL&gt;&lt;FQL&gt;&lt;Q&gt;WCC-US^P_BETA_LOCIDX(45694,45518,,"SPX")&lt;/Q&gt;&lt;R&gt;1&lt;/R&gt;&lt;C&gt;1&lt;/C&gt;&lt;D xsi:type="xsd:double"&gt;1.6107973&lt;/D&gt;&lt;/FQL&gt;&lt;FQL&gt;&lt;Q&gt;WCC-US^P_BETA_LOCIDX(45197,45022,,"SPX")&lt;/Q&gt;&lt;R&gt;1&lt;/R&gt;&lt;C&gt;1&lt;/C&gt;&lt;D xsi:type="xsd:double"&gt;1.8415409&lt;/D&gt;&lt;/FQL&gt;&lt;FQL&gt;&lt;Q&gt;WCC-US^P_BETA_LOCIDX(45625,45453,,"SPX")&lt;/Q&gt;&lt;R&gt;1&lt;/R&gt;&lt;C&gt;1&lt;/C&gt;&lt;D xsi:type="xsd:double"&gt;1.612502&lt;/D&gt;&lt;/FQL&gt;&lt;FQL&gt;&lt;Q&gt;WCC-US^P_BETA_LOCIDX(45894,45721,,"SPX")&lt;/Q&gt;&lt;R&gt;1&lt;/R&gt;&lt;C&gt;1&lt;/C&gt;&lt;D xsi:type="xsd:double"&gt;1.6006805&lt;/D&gt;&lt;/FQL&gt;&lt;FQL&gt;&lt;Q&gt;WCC-US^P_BETA_LOCIDX(46042,45867,,"SPX")&lt;/Q&gt;&lt;R&gt;1&lt;/R&gt;&lt;C&gt;1&lt;/C&gt;&lt;D xsi:type="xsd:double"&gt;1.6445755&lt;/D&gt;&lt;/FQL&gt;&lt;FQL&gt;&lt;Q&gt;WCC-US^P_BETA_LOCIDX(45768,45589,,"SPX")&lt;/Q&gt;&lt;R&gt;1&lt;/R&gt;&lt;C&gt;1&lt;/C&gt;&lt;D xsi:type="xsd:double"&gt;1.5775704&lt;/D&gt;&lt;/FQL&gt;&lt;FQL&gt;&lt;Q&gt;WCC-US^P_BETA_LOCIDX(45175,45000,,"SPX")&lt;/Q&gt;&lt;R&gt;1&lt;/R&gt;&lt;C&gt;1&lt;/C&gt;&lt;D xsi:type="xsd:double"&gt;2.1314683&lt;/D&gt;&lt;/FQL&gt;&lt;FQL&gt;&lt;Q&gt;WCC-US^P_BETA_LOCIDX(45072,44897,,"SPX")&lt;/Q&gt;&lt;R&gt;1&lt;/R&gt;&lt;C&gt;1&lt;/C&gt;&lt;D xsi:type="xsd:double"&gt;1.8478295&lt;/D&gt;&lt;/FQL&gt;&lt;FQL&gt;&lt;Q&gt;WCC-US^P_BETA_LOCIDX(45484,45309,,"SPX")&lt;/Q&gt;&lt;R&gt;1&lt;/R&gt;&lt;C&gt;1&lt;/C&gt;&lt;D xsi:type="xsd:double"&gt;2.4145339&lt;/D&gt;&lt;/FQL&gt;&lt;FQL&gt;&lt;Q&gt;WCC-US^P_BETA_LOCIDX(45119,44944,,"SPX")&lt;/Q&gt;&lt;R&gt;1&lt;/R&gt;&lt;C&gt;1&lt;/C&gt;&lt;D xsi:type="xsd:double"&gt;1.9117513&lt;/D&gt;&lt;/FQL&gt;&lt;FQL&gt;&lt;Q&gt;WCC-US^P_BETA_LOCIDX(45660,45488,,"SPX")&lt;/Q&gt;&lt;R&gt;1&lt;/R&gt;&lt;C&gt;1&lt;/C&gt;&lt;D xsi:type="xsd:double"&gt;1.6639036&lt;/D&gt;&lt;/FQL&gt;&lt;FQL&gt;&lt;Q&gt;WCC-US^P_BETA_LOCIDX(45429,45254,,"SPX")&lt;/Q&gt;&lt;R&gt;1&lt;/R&gt;&lt;C&gt;1&lt;/C&gt;&lt;D xsi:type="xsd:double"&gt;2.4801295&lt;/D&gt;&lt;/FQL&gt;&lt;FQL&gt;&lt;Q&gt;WCC-US^P_BETA_LOCIDX(45643,45470,,"SPX")&lt;/Q&gt;&lt;R&gt;1&lt;/R&gt;&lt;C&gt;1&lt;/C&gt;&lt;D xsi:type="xsd:double"&gt;1.6446431&lt;/D&gt;&lt;/FQL&gt;&lt;FQL&gt;&lt;Q&gt;WCC-US^P_BETA_LOCIDX(45322,45147,,"SPX")&lt;/Q&gt;&lt;R&gt;1&lt;/R&gt;&lt;C&gt;1&lt;/C&gt;&lt;D xsi:type="xsd:double"&gt;1.6571541&lt;/D&gt;&lt;/FQL&gt;&lt;FQL&gt;&lt;Q&gt;WCC-US^P_BETA_LOCIDX(45965,45792,,"SPX")&lt;/Q&gt;&lt;R&gt;1&lt;/R&gt;&lt;C&gt;1&lt;/C&gt;&lt;D xsi:type="xsd:double"&gt;1.5063362&lt;/D&gt;&lt;/FQL&gt;&lt;FQL&gt;&lt;Q&gt;WCC-US^P_BETA_LOCIDX(45057,44881,,"SPX")&lt;/Q&gt;&lt;R&gt;1&lt;/R&gt;&lt;C&gt;1&lt;/C&gt;&lt;D xsi:type="xsd:double"&gt;1.6133829&lt;/D&gt;&lt;/FQL&gt;&lt;FQL&gt;&lt;Q&gt;WCC-US^P_BETA_LOCIDX(45107,44932,,"SPX")&lt;/Q&gt;&lt;R&gt;1&lt;/R&gt;&lt;C&gt;1&lt;/C&gt;&lt;D xsi:type="xsd:double"&gt;1.9023348&lt;/D&gt;&lt;/FQL&gt;&lt;FQL&gt;&lt;Q&gt;WCC-US^P_BETA_LOCIDX(46035,45861,,"SPX")&lt;/Q&gt;&lt;R&gt;1&lt;/R&gt;&lt;C&gt;1&lt;/C&gt;&lt;D xsi:type="xsd:double"&gt;1.703743&lt;/D&gt;&lt;/FQL&gt;&lt;FQL&gt;&lt;Q&gt;WCC-US^P_BETA_LOCIDX(45610,45436,,"SPX")&lt;/Q&gt;&lt;R&gt;1&lt;/R&gt;&lt;C&gt;1&lt;/C&gt;&lt;D xsi:type="xsd:double"&gt;1.6448846&lt;/D&gt;&lt;/FQL&gt;&lt;FQL&gt;&lt;Q&gt;WCC-US^P_BETA_LOCIDX(45236,45062,,"SPX")&lt;/Q&gt;&lt;R&gt;1&lt;/R&gt;&lt;C&gt;1&lt;/C&gt;&lt;D xsi:type="xsd:double"&gt;1.8937944&lt;/D&gt;&lt;/FQL&gt;&lt;FQL&gt;&lt;Q&gt;WCC-US^P_BETA_LOCIDX(45929,45755,,"SPX")&lt;/Q&gt;&lt;R&gt;1&lt;/R&gt;&lt;C&gt;1&lt;/C&gt;&lt;D xsi:type="xsd:double"&gt;1.5967108&lt;/D&gt;&lt;/FQL&gt;&lt;FQL&gt;&lt;Q&gt;WCC-US^P_BETA_LOCIDX(45700,45524,,"SPX")&lt;/Q&gt;&lt;R&gt;1&lt;/R&gt;&lt;C&gt;1&lt;/C&gt;&lt;D xsi:type="xsd:double"&gt;1.6027114&lt;/D&gt;&lt;/FQL&gt;&lt;FQL&gt;&lt;Q&gt;WCC-US^P_BETA_LOCIDX(45784,45607,,"SPX")&lt;/Q&gt;&lt;R&gt;1&lt;/R&gt;&lt;C&gt;1&lt;/C&gt;&lt;D xsi:type="xsd:double"&gt;1.580468&lt;/D&gt;&lt;/FQL&gt;&lt;FQL&gt;&lt;Q&gt;WCC-US^P_BETA_LOCIDX(45588,45414,,"SPX")&lt;/Q&gt;&lt;R&gt;1&lt;/R&gt;&lt;C&gt;1&lt;/C&gt;&lt;D xsi:type="xsd:double"&gt;1.7814882&lt;/D&gt;&lt;/FQL&gt;&lt;FQL&gt;&lt;Q&gt;WCC-US^P_BETA_LOCIDX(45680,45504,,"SPX")&lt;/Q&gt;&lt;R&gt;1&lt;/R&gt;&lt;C&gt;1&lt;/C&gt;&lt;D xsi:type="xsd:double"&gt;1.5289061&lt;/D&gt;&lt;/FQL&gt;&lt;FQL&gt;&lt;Q&gt;WCC-US^P_BETA_LOCIDX(45387,45211,,"SPX")&lt;/Q&gt;&lt;R&gt;1&lt;/R&gt;&lt;C&gt;1&lt;/C&gt;&lt;D xsi:type="xsd:double"&gt;2.4843645&lt;/D&gt;&lt;/FQL&gt;&lt;FQL&gt;&lt;Q&gt;WCC-US^P_BETA_LOCIDX(45456,45280,,"SPX")&lt;/Q&gt;&lt;R&gt;1&lt;/R&gt;&lt;C&gt;1&lt;/C&gt;&lt;D xsi:type="xsd:double"&gt;2.4905674&lt;/D&gt;&lt;/FQL&gt;&lt;FQL&gt;&lt;Q&gt;WCC-US^P_BETA_LOCIDX(45146,44971,,"SPX")&lt;/Q&gt;&lt;R&gt;1&lt;/R&gt;&lt;C&gt;1&lt;/C&gt;&lt;D xsi:type="xsd:double"&gt;2.0223136&lt;/D&gt;&lt;/FQL&gt;&lt;FQL&gt;&lt;Q&gt;WCC-US^P_BETA_LOCIDX(45503,45328,,"SPX")&lt;/Q&gt;&lt;R&gt;1&lt;/R&gt;&lt;C&gt;1&lt;/C&gt;&lt;D xsi:type="xsd:double"&gt;2.428182&lt;/D&gt;&lt;/FQL&gt;&lt;FQL&gt;&lt;Q&gt;WCC-US^P_BETA_LOCIDX(45695,45519,,"SPX")&lt;/Q&gt;&lt;R&gt;1&lt;/R&gt;&lt;C&gt;1&lt;/C&gt;&lt;D xsi:type="xsd:double"&gt;1.608368&lt;/D&gt;&lt;/FQL&gt;&lt;FQL&gt;&lt;Q&gt;WCC-US^P_BETA_LOCIDX(45649,45476,,"SPX")&lt;/Q&gt;&lt;R&gt;1&lt;/R&gt;&lt;C&gt;1&lt;/C&gt;&lt;D xsi:type="xsd:double"&gt;1.6695181&lt;/D&gt;&lt;/FQL&gt;&lt;FQL&gt;&lt;Q&gt;WCC-US^P_BETA_LOCIDX(46017,45846,,"SPX")&lt;/Q&gt;&lt;R&gt;1&lt;/R&gt;&lt;C&gt;1&lt;/C&gt;&lt;D xsi:type="xsd:double"&gt;1.6271598&lt;/D&gt;&lt;/FQL&gt;&lt;FQL&gt;&lt;Q&gt;WCC-US^P_BETA_LOCIDX(45131,44956,,"SPX")&lt;/Q&gt;&lt;R&gt;1&lt;/R&gt;&lt;C&gt;1&lt;/C&gt;&lt;D xsi:type="xsd:double"&gt;1.9195852&lt;/D&gt;&lt;/FQL&gt;&lt;FQL&gt;&lt;Q&gt;WCC-US^P_BETA_LOCIDX(45776,45597,,"SPX")&lt;/Q&gt;&lt;R&gt;1&lt;/R&gt;&lt;C&gt;1&lt;/C&gt;&lt;D xsi:type="xsd:double"&gt;1.6398586&lt;/D&gt;&lt;/FQL&gt;&lt;FQL&gt;&lt;Q&gt;WCC-US^P_BETA_LOCIDX(45433,45258,,"SPX")&lt;/Q&gt;&lt;R&gt;1&lt;/R&gt;&lt;C&gt;1&lt;/C&gt;&lt;D xsi:type="xsd:double"&gt;2.484067&lt;/D&gt;&lt;/FQL&gt;&lt;FQL&gt;&lt;Q&gt;WCC-US^P_BETA_LOCIDX(45008,44833,,"SPX")&lt;/Q&gt;&lt;R&gt;1&lt;/R&gt;&lt;C&gt;1&lt;/C&gt;&lt;D xsi:type="xsd:double"&gt;1.4413968&lt;/D&gt;&lt;/FQL&gt;&lt;FQL&gt;&lt;Q&gt;WCC-US^P_BETA_LOCIDX(45833,45656,,"SPX")&lt;/Q&gt;&lt;R&gt;1&lt;/R&gt;&lt;C&gt;1&lt;/C&gt;&lt;D xsi:type="xsd:double"&gt;1.5968384&lt;/D&gt;&lt;/FQL&gt;&lt;FQL&gt;&lt;Q&gt;WCC-US^P_BETA_LOCIDX(45960,45789,,"SPX")&lt;/Q&gt;&lt;R&gt;1&lt;/R&gt;&lt;C&gt;1&lt;/C&gt;&lt;D xsi:type="xsd:double"&gt;1.5138401&lt;/D&gt;&lt;/FQL&gt;&lt;FQL&gt;&lt;Q&gt;WCC-US^P_BETA_LOCIDX(45831,45652,,"SPX")&lt;/Q&gt;&lt;R&gt;1&lt;/R&gt;&lt;C&gt;1&lt;/C&gt;&lt;D xsi:type="xsd:double"&gt;1.5916533&lt;/D&gt;&lt;/FQL&gt;&lt;FQL&gt;&lt;Q&gt;WCC-US^P_BETA_LOCIDX(45009,44834,,"SPX")&lt;/Q&gt;&lt;R&gt;1&lt;/R&gt;&lt;C&gt;1&lt;/C&gt;&lt;D xsi:type="xsd:double"&gt;1.4468031&lt;/D&gt;&lt;/FQL&gt;&lt;FQL&gt;&lt;Q&gt;WCC-US^P_BETA_LOCIDX(45992,45819,,"SPX")&lt;/Q&gt;&lt;R&gt;1&lt;/R&gt;&lt;C&gt;1&lt;/C&gt;&lt;D xsi:type="xsd:double"&gt;1.5108231&lt;/D&gt;&lt;/FQL&gt;&lt;FQL&gt;&lt;Q&gt;WCC-US^P_BETA_LOCIDX(45156,44984,,"SPX")&lt;/Q&gt;&lt;R&gt;1&lt;/R&gt;&lt;C&gt;1&lt;/C&gt;&lt;D xsi:type="xsd:double"&gt;2.0984337&lt;/D&gt;&lt;/FQL&gt;&lt;FQL&gt;&lt;Q&gt;WCC-US^P_BETA_LOCIDX(45155,44981,,"SPX")&lt;/Q&gt;&lt;R&gt;1&lt;/R&gt;&lt;C&gt;1&lt;/C&gt;&lt;D xsi:type="xsd:double"&gt;2.0556612&lt;/D&gt;&lt;/FQL&gt;&lt;FQL&gt;&lt;Q&gt;WCC-US^P_BETA_LOCIDX(45061,44883,,"SPX")&lt;/Q&gt;&lt;R&gt;1&lt;/R&gt;&lt;C&gt;1&lt;/C&gt;&lt;D xsi:type="xsd:double"&gt;1.618477&lt;/D&gt;&lt;/FQL&gt;&lt;FQL&gt;&lt;Q&gt;WCC-US^P_BETA_LOCIDX(45233,45061,,"SPX")&lt;/Q&gt;&lt;R&gt;1&lt;/R&gt;&lt;C&gt;1&lt;/C&gt;&lt;D xsi:type="xsd:double"&gt;1.9077023&lt;/D&gt;&lt;/FQL&gt;&lt;FQL&gt;&lt;Q&gt;WCC-US^P_BETA_LOCIDX(45579,45405,,"SPX")&lt;/Q&gt;&lt;R&gt;1&lt;/R&gt;&lt;C&gt;1&lt;/C&gt;&lt;D xsi:type="xsd:double"&gt;1.7632987&lt;/D&gt;&lt;/FQL&gt;&lt;FQL&gt;&lt;Q&gt;WCC-US^P_BETA_LOCIDX(45093,44917,,"SPX")&lt;/Q&gt;&lt;R&gt;1&lt;/R&gt;&lt;C&gt;1&lt;/C&gt;&lt;D xsi:type="xsd:double"&gt;1.9696364&lt;/D&gt;&lt;/FQL&gt;&lt;FQL&gt;&lt;Q&gt;WCC-US^P_BETA_LOCIDX(45272,45099,,"SPX")&lt;/Q&gt;&lt;R&gt;1&lt;/R&gt;&lt;C&gt;1&lt;/C&gt;&lt;D xsi:type="xsd:double"&gt;1.5966922&lt;/D&gt;&lt;/FQL&gt;&lt;FQL&gt;&lt;Q&gt;WCC-US^P_BETA_LOCIDX(45104,44929,,"SPX")&lt;/Q&gt;&lt;R&gt;1&lt;/R&gt;&lt;C&gt;1&lt;/C&gt;&lt;D xsi:type="xsd:double"&gt;1.9150168&lt;/D&gt;&lt;/FQL&gt;&lt;FQL&gt;&lt;Q&gt;WCC-US^P_BETA_LOCIDX(45854,45680,,"SPX")&lt;/Q&gt;&lt;R&gt;1&lt;/R&gt;&lt;C&gt;1&lt;/C&gt;&lt;D xsi:type="xsd:double"&gt;1.63145&lt;/D&gt;&lt;/FQL&gt;&lt;FQL&gt;&lt;Q&gt;WCC-US^P_BETA_LOCIDX(45324,45149,,"SPX")&lt;/Q&gt;&lt;R&gt;1&lt;/R&gt;&lt;C&gt;1&lt;/C&gt;&lt;D xsi:type="xsd:double"&gt;1.6931926&lt;/D&gt;&lt;/FQL&gt;&lt;FQL&gt;&lt;Q&gt;WCC-US^P_BETA_LOCIDX(45551,45376,,"SPX")&lt;/Q&gt;&lt;R&gt;1&lt;/R&gt;&lt;C&gt;1&lt;/C&gt;&lt;D xsi:type="xsd:double"&gt;1.7141194&lt;/D&gt;&lt;/FQL&gt;&lt;FQL&gt;&lt;Q&gt;WCC-US^P_BETA_LOCIDX(45043,44867,,"SPX")&lt;/Q&gt;&lt;R&gt;1&lt;/R&gt;&lt;C&gt;1&lt;/C&gt;&lt;D xsi:type="xsd:double"&gt;1.4503804&lt;/D&gt;&lt;/FQL&gt;&lt;FQL&gt;&lt;Q&gt;WCC-US^P_BETA_LOCIDX(45372,45197,,"SPX")&lt;/Q&gt;&lt;R&gt;1&lt;/R&gt;&lt;C&gt;1&lt;/C&gt;&lt;D xsi:type="xsd:double"&gt;2.5475247&lt;/D&gt;&lt;/FQL&gt;&lt;FQL&gt;&lt;Q&gt;WCC-US^P_BETA_LOCIDX(45517,45343,,"SPX")&lt;/Q&gt;&lt;R&gt;1&lt;/R&gt;&lt;C&gt;1&lt;/C&gt;&lt;D xsi:type="xsd:double"&gt;1.6213298&lt;/D&gt;&lt;/FQL&gt;&lt;FQL&gt;&lt;Q&gt;WCC-US^P_BETA_LOCIDX(45917,45743,,"SPX")&lt;/Q&gt;&lt;R&gt;1&lt;/R&gt;&lt;C&gt;1&lt;/C&gt;&lt;D xsi:type="xsd:double"&gt;1.5866107&lt;/D&gt;&lt;/FQL&gt;&lt;FQL&gt;&lt;Q&gt;WCC-US^P_BETA_LOCIDX(45903,45729,,"SPX")&lt;/Q&gt;&lt;R&gt;1&lt;/R&gt;&lt;C&gt;1&lt;/C&gt;&lt;D xsi:type="xsd:double"&gt;1.5932584&lt;/D&gt;&lt;/FQL&gt;&lt;FQL&gt;&lt;Q&gt;WCC-US^P_BETA_LOCIDX(45077,44901,,"SPX")&lt;/Q&gt;&lt;R&gt;1&lt;/R&gt;&lt;C&gt;1&lt;/C&gt;&lt;D xsi:type="xsd:double"&gt;1.842809&lt;/D&gt;&lt;/FQL&gt;&lt;FQL&gt;&lt;Q&gt;WCC-US^P_BETA_LOCIDX(45076,44900,,"SPX")&lt;/Q&gt;&lt;R&gt;1&lt;/R&gt;&lt;C&gt;1&lt;/C&gt;&lt;D xsi:type="xsd:double"&gt;1.8487883&lt;/D&gt;&lt;/FQL&gt;&lt;FQL&gt;&lt;Q&gt;WCC-US^P_BETA_LOCIDX(45812,45635,,"SPX")&lt;/Q&gt;&lt;R&gt;1&lt;/R&gt;&lt;C&gt;1&lt;/C&gt;&lt;D xsi:type="xsd:double"&gt;1.5892577&lt;/D&gt;&lt;/FQL&gt;&lt;FQL&gt;&lt;Q&gt;WCC-US^P_BETA_LOCIDX(45160,44986,,"SPX")&lt;/Q&gt;&lt;R&gt;1&lt;/R&gt;&lt;C&gt;1&lt;/C&gt;&lt;D xsi:type="xsd:double"&gt;2.0912251&lt;/D&gt;&lt;/FQL&gt;&lt;FQL&gt;&lt;Q&gt;WCC-US^P_BETA_LOCIDX(45463,45287,,"SPX")&lt;/Q&gt;&lt;R&gt;1&lt;/R&gt;&lt;C&gt;1&lt;/C&gt;&lt;D xsi:type="xsd:double"&gt;2.5185735&lt;/D&gt;&lt;/FQL&gt;&lt;FQL&gt;&lt;Q&gt;WCC-US^P_BETA_LOCIDX(45142,44967,,"SPX")&lt;/Q&gt;&lt;R&gt;1&lt;/R&gt;&lt;C&gt;1&lt;/C&gt;&lt;D xsi:type="xsd:double"&gt;2.0445108&lt;/D&gt;&lt;/FQL&gt;&lt;FQL&gt;&lt;Q&gt;WCC-US^P_BETA_LOCIDX(45938,45764,,"SPX")&lt;/Q&gt;&lt;R&gt;1&lt;/R&gt;&lt;C&gt;1&lt;/C&gt;&lt;D xsi:type="xsd:double"&gt;1.7087996&lt;/D&gt;&lt;/FQL&gt;&lt;FQL&gt;&lt;Q&gt;WCC-US^P_BETA_LOCIDX(45587,45413,,"SPX")&lt;/Q&gt;&lt;R&gt;1&lt;/R&gt;&lt;C&gt;1&lt;/C&gt;&lt;D xsi:type="xsd:double"&gt;1.7922347&lt;/D&gt;&lt;/FQL&gt;&lt;FQL&gt;&lt;Q&gt;WCC-US^P_BETA_LOCIDX(45467,45289,,"SPX")&lt;/Q&gt;&lt;R&gt;1&lt;/R&gt;&lt;C&gt;1&lt;/C&gt;&lt;D xsi:type="xsd:double"&gt;2.5101497&lt;/D&gt;&lt;/FQL&gt;&lt;FQL&gt;&lt;Q&gt;WCC-US^P_BETA_LOCIDX(45371,45196,,"SPX")&lt;/Q&gt;&lt;R&gt;1&lt;/R&gt;&lt;C&gt;1&lt;/C&gt;&lt;D xsi:type="xsd:double"&gt;2.5446239&lt;/D&gt;&lt;/FQL&gt;&lt;FQL&gt;&lt;Q&gt;WCC-US^P_BETA_LOCIDX(46051,45876,,"SPX")&lt;/Q&gt;&lt;R&gt;1&lt;/R&gt;&lt;C&gt;1&lt;/C&gt;&lt;D xsi:type="xsd:double"&gt;1.6695749&lt;/D&gt;&lt;/FQL&gt;&lt;FQL&gt;&lt;Q&gt;WCC-US^P_BETA_LOCIDX(45225,45051,,"SPX")&lt;/Q&gt;&lt;R&gt;1&lt;/R&gt;&lt;C&gt;1&lt;/C&gt;&lt;D xsi:type="xsd:double"&gt;1.9191358&lt;/D&gt;&lt;/FQL&gt;&lt;FQL&gt;&lt;Q&gt;WCC-US^P_BETA_LOCIDX(45793,45616,,"SPX")&lt;/Q&gt;&lt;R&gt;1&lt;/R&gt;&lt;C&gt;1&lt;/C&gt;&lt;D xsi:type="xsd:double"&gt;1.5975224&lt;/D&gt;&lt;/FQL&gt;&lt;FQL&gt;&lt;Q&gt;WCC-US^P_BETA_LOCIDX(45671,45496,,"SPX")&lt;/Q&gt;&lt;R&gt;1&lt;/R&gt;&lt;C&gt;1&lt;/C&gt;&lt;D xsi:type="xsd:double"&gt;1.5905597&lt;/D&gt;&lt;/FQL&gt;&lt;FQL&gt;&lt;Q&gt;WCC-US^P_BETA_LOCIDX(45548,45373,,"SPX")&lt;/Q&gt;&lt;R&gt;1&lt;/R&gt;&lt;C&gt;1&lt;/C&gt;&lt;D xsi:type="xsd:double"&gt;1.7124578&lt;/D&gt;&lt;/FQL&gt;&lt;FQL&gt;&lt;Q&gt;WCC-US^P_BETA_LOCIDX(45189,45014,,"SPX")&lt;/Q&gt;&lt;R&gt;1&lt;/R&gt;&lt;C&gt;1&lt;/C&gt;&lt;D xsi:type="xsd:double"&gt;1.9992335&lt;/D&gt;&lt;/FQL&gt;&lt;FQL&gt;&lt;Q&gt;WCC-US^P_BETA_LOCIDX(45450,45274,,"SPX")&lt;/Q&gt;&lt;R&gt;1&lt;/R&gt;&lt;C&gt;1&lt;/C&gt;&lt;D xsi:type="xsd:double"&gt;2.5068078&lt;/D&gt;&lt;/FQL&gt;&lt;FQL&gt;&lt;Q&gt;WCC-US^P_BETA_LOCIDX(44972,44797,,"SPX")&lt;/Q&gt;&lt;R&gt;1&lt;/R&gt;&lt;C&gt;1&lt;/C&gt;&lt;D xsi:type="xsd:double"&gt;1.3862585&lt;/D&gt;&lt;/FQL&gt;&lt;FQL&gt;&lt;Q&gt;WCC-US^P_BETA_LOCIDX(45889,45716,,"SPX")&lt;/Q&gt;&lt;R&gt;1&lt;/R&gt;&lt;C&gt;1&lt;/C&gt;&lt;D xsi:type="xsd:double"&gt;1.6090498&lt;/D&gt;&lt;/FQL&gt;&lt;FQL&gt;&lt;Q&gt;WCC-US^P_BETA_LOCIDX(44987,44812,,"SPX")&lt;/Q&gt;&lt;R&gt;1&lt;/R&gt;&lt;C&gt;1&lt;/C&gt;&lt;D xsi:type="xsd:double"&gt;1.3713142&lt;/D&gt;&lt;/FQL&gt;&lt;FQL&gt;&lt;Q&gt;WCC-US^P_BETA_LOCIDX(45383,45205,,"SPX")&lt;/Q&gt;&lt;R&gt;1&lt;/R&gt;&lt;C&gt;1&lt;/C&gt;&lt;D xsi:type="xsd:double"&gt;2.5378091&lt;/D&gt;&lt;/FQL&gt;&lt;FQL&gt;&lt;Q&gt;WCC-US^P_BETA_LOCIDX(45208,45034,,"SPX")&lt;/Q&gt;&lt;R&gt;1&lt;/R&gt;&lt;C&gt;1&lt;/C&gt;&lt;D xsi:type="xsd:double"&gt;1.9588950999999999&lt;/D&gt;&lt;/FQL&gt;&lt;FQL&gt;&lt;Q&gt;WCC-US^P_BETA_LOCIDX(45834,45657,,"SPX")&lt;/Q&gt;&lt;R&gt;1&lt;/R&gt;&lt;C&gt;1&lt;/C&gt;&lt;D xsi:type="xsd:double"&gt;1.6063972&lt;/D&gt;&lt;/FQL&gt;&lt;FQL&gt;&lt;Q&gt;WCC-US^P_BETA_LOCIDX(45223,45049,,"SPX")&lt;/Q&gt;&lt;R&gt;1&lt;/R&gt;&lt;C&gt;1&lt;/C&gt;&lt;D xsi:type="xsd:double"&gt;2.1640768&lt;/D&gt;&lt;/FQL&gt;&lt;FQL&gt;&lt;Q&gt;WCC-US^P_BETA_LOCIDX(45931,45757,,"SPX")&lt;/Q&gt;&lt;R&gt;1&lt;/R&gt;&lt;C&gt;1&lt;/C&gt;&lt;D xsi:type="xsd:double"&gt;1.5211453&lt;/D&gt;&lt;/FQL&gt;&lt;FQL&gt;&lt;Q&gt;WCC-US^P_BETA_LOCIDX(45519,45345,,"SPX")&lt;/Q&gt;&lt;R&gt;1&lt;/R&gt;&lt;C&gt;1&lt;/C&gt;&lt;D xsi:type="xsd:double"&gt;1.6617988&lt;/D&gt;&lt;/FQL&gt;&lt;FQL&gt;&lt;Q&gt;WCC-US^P_BETA_LOCIDX(45330,45155,,"SPX")&lt;/Q&gt;&lt;R&gt;1&lt;/R&gt;&lt;C&gt;1&lt;/C&gt;&lt;D xsi:type="xsd:double"&gt;1.7148076&lt;/D&gt;&lt;/FQL&gt;&lt;FQL&gt;&lt;Q&gt;WCC-US^P_BETA_LOCIDX(45288,45117,,"SPX")&lt;/Q&gt;&lt;R&gt;1&lt;/R&gt;&lt;C&gt;1&lt;/C&gt;&lt;D xsi:type="xsd:double"&gt;1.622979&lt;/D&gt;&lt;/FQL&gt;&lt;FQL&gt;&lt;Q&gt;WCC-US^P_BETA_LOCIDX(45534,45362,,"SPX")&lt;/Q&gt;&lt;R&gt;1&lt;/R&gt;&lt;C&gt;1&lt;/C&gt;&lt;D xsi:type="xsd:double"&gt;1.6951758&lt;/D&gt;&lt;/FQL&gt;&lt;FQL&gt;&lt;Q&gt;WCC-US^P_BETA_LOCIDX(45415,45239,,"SPX")&lt;/Q&gt;&lt;R&gt;1&lt;/R&gt;&lt;C&gt;1&lt;/C&gt;&lt;D xsi:type="xsd:double"&gt;2.4022672&lt;/D&gt;&lt;/FQL&gt;&lt;FQL&gt;&lt;Q&gt;WCC-US^P_BETA_LOCIDX(45670,45495,,"SPX")&lt;/Q&gt;&lt;R&gt;1&lt;/R&gt;&lt;C&gt;1&lt;/C&gt;&lt;D xsi:type="xsd:double"&gt;1.5874196&lt;/D&gt;&lt;/FQL&gt;&lt;FQL&gt;&lt;Q&gt;WCC-US^P_BETA_LOCIDX(45792,45615,,"SPX")&lt;/Q&gt;&lt;R&gt;1&lt;/R&gt;&lt;C&gt;1&lt;/C&gt;&lt;D xsi:type="xsd:double"&gt;1.5970906&lt;/D&gt;&lt;/FQL&gt;&lt;FQL&gt;&lt;Q&gt;WCC-US^P_BETA_LOCIDX(45397,45219,,"SPX")&lt;/Q&gt;&lt;R&gt;1&lt;/R&gt;&lt;C&gt;1&lt;/C&gt;&lt;D xsi:type="xsd:double"&gt;2.3116992&lt;/D&gt;&lt;/FQL&gt;&lt;FQL&gt;&lt;Q&gt;WCC-US^P_BETA_LOCIDX(46003,45833,,"SPX")&lt;/Q&gt;&lt;R&gt;1&lt;/R&gt;&lt;C&gt;1&lt;/C&gt;&lt;D xsi:type="xsd:double"&gt;1.6283209&lt;/D&gt;&lt;/FQL&gt;&lt;FQL&gt;&lt;Q&gt;WCC-US^P_BETA_LOCIDX(45821,45644,,"SPX")&lt;/Q&gt;&lt;R&gt;1&lt;/R&gt;&lt;C&gt;1&lt;/C&gt;&lt;D xsi:type="xsd:double"&gt;1.5922251&lt;/D&gt;&lt;/FQL&gt;&lt;FQL&gt;&lt;Q&gt;WCC-US^P_BETA_LOCIDX(45044,44868,,"SPX")&lt;/Q&gt;&lt;R&gt;1&lt;/R&gt;&lt;C&gt;1&lt;/C&gt;&lt;D xsi:type="xsd:double"&gt;1.472733&lt;/D&gt;&lt;/FQL&gt;&lt;FQL&gt;&lt;Q&gt;WCC-US^P_BETA_LOCIDX(45778,45601,,"SPX")&lt;/Q&gt;&lt;R&gt;1&lt;/R&gt;&lt;C&gt;1&lt;/C&gt;&lt;D xsi:type="xsd:double"&gt;1.625605&lt;/D&gt;&lt;/FQL&gt;&lt;FQL&gt;&lt;Q&gt;WCC-US^P_BETA_LOCIDX(45971,45798,,"SPX")&lt;/Q&gt;&lt;R&gt;1&lt;/R&gt;&lt;C&gt;1&lt;/C&gt;&lt;D xsi:type="xsd:double"&gt;1.4770502&lt;/D&gt;&lt;/FQL&gt;&lt;FQL&gt;&lt;Q&gt;WCC-US^P_BETA_LOCIDX(45945,45772,,"SPX")&lt;/Q&gt;&lt;R&gt;1&lt;/R&gt;&lt;C&gt;1&lt;/C&gt;&lt;D xsi:type="xsd:double"&gt;1.8197353&lt;/D&gt;&lt;/FQL&gt;&lt;FQL&gt;&lt;Q&gt;WCC-US^P_BETA_LOCIDX(44985,44810,,"SPX")&lt;/Q&gt;&lt;R&gt;1&lt;/R&gt;&lt;C&gt;1&lt;/C&gt;&lt;D xsi:type="xsd:double"&gt;1.3783678&lt;/D&gt;&lt;/FQL&gt;&lt;FQL&gt;&lt;Q&gt;WCC-US^P_BETA_LOCIDX(45743,45567,,"SPX")&lt;/Q&gt;&lt;R&gt;1&lt;/R&gt;&lt;C&gt;1&lt;/C&gt;&lt;D xsi:type="xsd:double"&gt;1.6261389&lt;/D&gt;&lt;/FQL&gt;&lt;FQL&gt;&lt;Q&gt;WCC-US^P_BETA_LOCIDX(45985,45813,,"SPX")&lt;/Q&gt;&lt;R&gt;1&lt;/R&gt;&lt;C&gt;1&lt;/C&gt;&lt;D xsi:type="xsd:double"&gt;1.5039008&lt;/D&gt;&lt;/FQL&gt;&lt;FQL&gt;&lt;Q&gt;WCC-US^P_BETA_LOCIDX(45476,45301,,"SPX")&lt;/Q&gt;&lt;R&gt;1&lt;/R&gt;&lt;C&gt;1&lt;/C&gt;&lt;D xsi:type="xsd:double"&gt;2.5163848&lt;/D&gt;&lt;/FQL&gt;&lt;FQL&gt;&lt;Q&gt;WCC-US^P_BETA_LOCIDX(45856,45684,,"SPX")&lt;/Q&gt;&lt;R&gt;1&lt;/R&gt;&lt;C&gt;1&lt;/C&gt;&lt;D xsi:type="xsd:double"&gt;1.6400203&lt;/D&gt;&lt;/FQL&gt;&lt;FQL&gt;&lt;Q&gt;WCC-US^P_BETA_LOCIDX(45961,45790,,"SPX")&lt;/Q&gt;&lt;R&gt;1&lt;/R&gt;&lt;C&gt;1&lt;/C&gt;&lt;D xsi:type="xsd:double"&gt;1.4590948&lt;/D&gt;&lt;/FQL&gt;&lt;FQL&gt;&lt;Q&gt;WCC-US^P_BETA_LOCIDX(45033,44855,,"SPX")&lt;/Q&gt;&lt;R&gt;1&lt;/R&gt;&lt;C&gt;1&lt;/C&gt;&lt;D xsi:type="xsd:double"&gt;1.4382976&lt;/D&gt;&lt;/FQL&gt;&lt;FQL&gt;&lt;Q&gt;WCC-US^P_BETA_LOCIDX(45191,45016,,"SPX")&lt;/Q&gt;&lt;R&gt;1&lt;/R&gt;&lt;C&gt;1&lt;/C&gt;&lt;D xsi:type="xsd:double"&gt;1.9468123&lt;/D&gt;&lt;/FQL&gt;&lt;FQL&gt;&lt;Q&gt;WCC-US^P_BETA_LOCIDX(45908,45734,,"SPX")&lt;/Q&gt;&lt;R&gt;1&lt;/R&gt;&lt;C&gt;1&lt;/C&gt;&lt;D xsi:type="xsd:double"&gt;1.588623&lt;/D&gt;&lt;/FQL&gt;&lt;FQL&gt;&lt;Q&gt;WCC-US^P_BETA_LOCIDX(45891,45720,,"SPX")&lt;/Q&gt;&lt;R&gt;1&lt;/R&gt;&lt;C&gt;1&lt;/C&gt;&lt;D xsi:type="xsd:double"&gt;1.6118867&lt;/D&gt;&lt;/FQL&gt;&lt;FQL&gt;&lt;Q&gt;WCC-US^P_BETA_LOCIDX(46062,45887,,"SPX")&lt;/Q&gt;&lt;R&gt;1&lt;/R&gt;&lt;C&gt;1&lt;/C&gt;&lt;D xsi:type="xsd:double"&gt;1.6085519&lt;/D&gt;&lt;/FQL&gt;&lt;FQL&gt;&lt;Q&gt;WCC-US^P_BETA_LOCIDX(46063,45888,,"SPX")&lt;/Q&gt;&lt;R&gt;1&lt;/R&gt;&lt;C&gt;1&lt;/C&gt;&lt;D xsi:type="xsd:double"&gt;1.6413814&lt;/D&gt;&lt;/FQL&gt;&lt;FQL&gt;&lt;Q&gt;WCC-US^P_BETA_LOCIDX(45196,45021,,"SPX")&lt;/Q&gt;&lt;R&gt;1&lt;/R&gt;&lt;C&gt;1&lt;/C&gt;&lt;D xsi:type="xsd:double"&gt;1.8572952&lt;/D&gt;&lt;/FQL&gt;&lt;FQL&gt;&lt;Q&gt;WCC-US^P_BETA_LOCIDX(45909,45735,,"SPX")&lt;/Q&gt;&lt;R&gt;1&lt;/R&gt;&lt;C&gt;1&lt;/C&gt;&lt;D xsi:type="xsd:double"&gt;1.5888001&lt;/D&gt;&lt;/FQL&gt;&lt;FQL&gt;&lt;Q&gt;WCC-US^P_BETA_LOCIDX(45994,45821,,"SPX")&lt;/Q&gt;&lt;R&gt;1&lt;/R&gt;&lt;C&gt;1&lt;/C&gt;&lt;D xsi:type="xsd:double"&gt;1.5143135&lt;/D&gt;&lt;/FQL&gt;&lt;FQL&gt;&lt;Q&gt;WCC-US^P_BETA_LOCIDX(44958,44783,,"SPX")&lt;/Q&gt;&lt;R&gt;1&lt;/R&gt;&lt;C&gt;1&lt;/C&gt;&lt;D xsi:type="xsd:double"&gt;1.398682&lt;/D&gt;&lt;/FQL&gt;&lt;FQL&gt;&lt;Q&gt;WCC-US^P_BETA_LOCIDX(45316,45141,,"SPX")&lt;/Q&gt;&lt;R&gt;1&lt;/R&gt;&lt;C&gt;1&lt;/C&gt;&lt;D xsi:type="xsd:double"&gt;1.7414317&lt;/D&gt;&lt;/FQL&gt;&lt;FQL&gt;&lt;Q&gt;WCC-US^P_BETA_LOCIDX(45737,45561,,"SPX")&lt;/Q&gt;&lt;R&gt;1&lt;/R&gt;&lt;C&gt;1&lt;/C&gt;&lt;D xsi:type="xsd:double"&gt;1.6215783&lt;/D&gt;&lt;/FQL&gt;&lt;FQL&gt;&lt;Q&gt;WCC-US^P_BETA_LOCIDX(45475,45300,,"SPX")&lt;/Q&gt;&lt;R&gt;1&lt;/R&gt;&lt;C&gt;1&lt;/C&gt;&lt;D xsi:type="xsd:double"&gt;2.5108778&lt;/D&gt;&lt;/FQL&gt;&lt;FQL&gt;&lt;Q&gt;WCC-US^P_BETA_LOCIDX(45028,44852,,"SPX")&lt;/Q&gt;&lt;R&gt;1&lt;/R&gt;&lt;C&gt;1&lt;/C&gt;&lt;D xsi:type="xsd:double"&gt;1.4684048&lt;/D&gt;&lt;/FQL&gt;&lt;FQL&gt;&lt;Q&gt;WCC-US^P_BETA_LOCIDX(45203,45029,,"SPX")&lt;/Q&gt;&lt;R&gt;1&lt;/R&gt;&lt;C&gt;1&lt;/C&gt;&lt;D xsi:type="xsd:double"&gt;1.87492&lt;/D&gt;&lt;/FQL&gt;&lt;FQL&gt;&lt;Q&gt;WCC-US^P_BETA_LOCIDX(45468,45293,,"SPX")&lt;/Q&gt;&lt;R&gt;1&lt;/R&gt;&lt;C&gt;1&lt;/C&gt;&lt;D xsi:type="xsd:double"&gt;2.4897366&lt;/D&gt;&lt;/FQL&gt;&lt;FQL&gt;&lt;Q&gt;WCC-US^P_BETA_LOCIDX(45526,45352,,"SPX")&lt;/Q&gt;&lt;R&gt;1&lt;/R&gt;&lt;C&gt;1&lt;/C&gt;&lt;D xsi:type="xsd:double"&gt;1.6513054&lt;/D&gt;&lt;/FQL&gt;&lt;FQL&gt;&lt;Q&gt;WCC-US^P_BETA_LOCIDX(45714,45538,,"SPX")&lt;/Q&gt;&lt;R&gt;1&lt;/R&gt;&lt;C&gt;1&lt;/C&gt;&lt;D xsi:type="xsd:double"&gt;1.6596928&lt;/D&gt;&lt;/FQL&gt;&lt;FQL&gt;&lt;Q&gt;WCC-US^P_BETA_LOCIDX(45888,45715,,"SPX")&lt;/Q&gt;&lt;R&gt;1&lt;/R&gt;&lt;C&gt;1&lt;/C&gt;&lt;D xsi:type="xsd:double"&gt;1.5976446&lt;/D&gt;&lt;/FQL&gt;&lt;FQL&gt;&lt;Q&gt;WCC-US^P_BETA_LOCIDX(45560,45386,,"SPX")&lt;/Q&gt;&lt;R&gt;1&lt;/R&gt;&lt;C&gt;1&lt;/C&gt;&lt;D xsi:type="xsd:double"&gt;1.7425107&lt;/D&gt;&lt;/FQL&gt;&lt;FQL&gt;&lt;Q&gt;WCC-US^P_BETA_LOCIDX(45281,45110,,"SPX")&lt;/Q&gt;&lt;R&gt;1&lt;/R&gt;&lt;C&gt;1&lt;/C&gt;&lt;D xsi:type="xsd:double"&gt;1.6077386&lt;/D&gt;&lt;/FQL&gt;&lt;FQL&gt;&lt;Q&gt;WCC-US^P_BETA_LOCIDX(45125,44950,,"SPX")&lt;/Q&gt;&lt;R&gt;1&lt;/R&gt;&lt;C&gt;1&lt;/C&gt;&lt;D xsi:type="xsd:double"&gt;1.952389&lt;/D&gt;&lt;/FQL&gt;&lt;FQL&gt;&lt;Q&gt;WCC-US^P_BETA_LOCIDX(45289,45118,,"SPX")&lt;/Q&gt;&lt;R&gt;1&lt;/R&gt;&lt;C&gt;1&lt;/C&gt;&lt;D xsi:type="xsd:double"&gt;1.6235046&lt;/D&gt;&lt;/FQL&gt;&lt;FQL&gt;&lt;Q&gt;WCC-US^P_BETA_LOCIDX(45804,45625,,"SPX")&lt;/Q&gt;&lt;R&gt;1&lt;/R&gt;&lt;C&gt;1&lt;/C&gt;&lt;D xsi:type="xsd:double"&gt;1.591385&lt;/D&gt;&lt;/FQL&gt;&lt;FQL&gt;&lt;Q&gt;WCC-US^P_BETA_LOCIDX(45470,45295,,"SPX")&lt;/Q&gt;&lt;R&gt;1&lt;/R&gt;&lt;C&gt;1&lt;/C&gt;&lt;D xsi:type="xsd:double"&gt;2.498046&lt;/D&gt;&lt;/FQL&gt;&lt;FQL&gt;&lt;Q&gt;WCC-US^P_BETA_LOCIDX(45159,44985,,"SPX")&lt;/Q&gt;&lt;R&gt;1&lt;/R&gt;&lt;C&gt;1&lt;/C&gt;&lt;D xsi:type="xsd:double"&gt;2.0907264&lt;/D&gt;&lt;/FQL&gt;&lt;FQL&gt;&lt;Q&gt;WCC-US^P_BETA_LOCIDX(45320,45145,,"SPX")&lt;/Q&gt;&lt;R&gt;1&lt;/R&gt;&lt;C&gt;1&lt;/C&gt;&lt;D xsi:type="xsd:double"&gt;1.6854326&lt;/D&gt;&lt;/FQL&gt;&lt;FQL&gt;&lt;Q&gt;WCC-US^P_BETA_LOCIDX(45327,45152,,"SPX")&lt;/Q&gt;&lt;R&gt;1&lt;/R&gt;&lt;C&gt;1&lt;/C&gt;&lt;D xsi:type="xsd:double"&gt;1.7046914&lt;/D&gt;&lt;/FQL&gt;&lt;FQL&gt;&lt;Q&gt;WCC-US^P_BETA_LOCIDX(44980,44804,,"SPX")&lt;/Q&gt;&lt;R&gt;1&lt;/R&gt;&lt;C&gt;1&lt;/C&gt;&lt;D xsi:type="xsd:double"&gt;1.3759687&lt;/D&gt;&lt;/FQL&gt;&lt;FQL&gt;&lt;Q&gt;WCC-US^P_BETA_LOCIDX(45271,45098,,"SPX")&lt;/Q&gt;&lt;R&gt;1&lt;/R&gt;&lt;C&gt;1&lt;/C&gt;&lt;D xsi:type="xsd:double"&gt;1.5737329&lt;/D&gt;&lt;/FQL&gt;&lt;FQL&gt;&lt;Q&gt;WCC-US^P_BETA_LOCIDX(45366,45191,,"SPX")&lt;/Q&gt;&lt;R&gt;1&lt;/R&gt;&lt;C&gt;1&lt;/C&gt;&lt;D xsi:type="xsd:double"&gt;2.4631517&lt;/D&gt;&lt;/FQL&gt;&lt;FQL&gt;&lt;Q&gt;WCC-US^P_BETA_LOCIDX(45870,45698,,"SPX")&lt;/Q&gt;&lt;R&gt;1&lt;/R&gt;&lt;C&gt;1&lt;/C&gt;&lt;D xsi:type="xsd:double"&gt;1.6065726&lt;/D&gt;&lt;/FQL&gt;&lt;FQL&gt;&lt;Q&gt;WCC-US^P_BETA_LOCIDX(45686,45510,,"SPX")&lt;/Q&gt;&lt;R&gt;1&lt;/R&gt;&lt;C&gt;1&lt;/C&gt;&lt;D xsi:type="xsd:double"&gt;1.5862004&lt;/D&gt;&lt;/FQL&gt;&lt;FQL&gt;&lt;Q&gt;WCC-US^P_BETA_LOCIDX(45064,44888,,"SPX")&lt;/Q&gt;&lt;R&gt;1&lt;/R&gt;&lt;C&gt;1&lt;/C&gt;&lt;D xsi:type="xsd:double"&gt;1.6571298&lt;/D&gt;&lt;/FQL&gt;&lt;FQL&gt;&lt;Q&gt;WCC-US^P_BETA_LOCIDX(45614,45441,,"SPX")&lt;/Q&gt;&lt;R&gt;1&lt;/R&gt;&lt;C&gt;1&lt;/C&gt;&lt;D xsi:type="xsd:double"&gt;1.6228062&lt;/D&gt;&lt;/FQL&gt;&lt;FQL&gt;&lt;Q&gt;WCC-US^P_BETA_LOCIDX(45489,45314,,"SPX")&lt;/Q&gt;&lt;R&gt;1&lt;/R&gt;&lt;C&gt;1&lt;/C&gt;&lt;D xsi:type="xsd:double"&gt;2.4984367&lt;/D&gt;&lt;/FQL&gt;&lt;FQL&gt;&lt;Q&gt;WCC-US^P_BETA_LOCIDX(45692,45516,,"SPX")&lt;/Q&gt;&lt;R&gt;1&lt;/R&gt;&lt;C&gt;1&lt;/C&gt;&lt;D xsi:type="xsd:double"&gt;1.5878373&lt;/D&gt;&lt;/FQL&gt;&lt;FQL&gt;&lt;Q&gt;WCC-US^P_BETA_LOCIDX(45930,45756,,"SPX")&lt;/Q&gt;&lt;R&gt;1&lt;/R&gt;&lt;C&gt;1&lt;/C&gt;&lt;D xsi:type="xsd:double"&gt;1.5901587&lt;/D&gt;&lt;/FQL&gt;&lt;FQL&gt;&lt;Q&gt;WCC-US^P_BETA_LOCIDX(45310,45135,,"SPX")&lt;/Q&gt;&lt;R&gt;1&lt;/R&gt;&lt;C&gt;1&lt;/C&gt;&lt;D xsi:type="xsd:double"&gt;1.6842295&lt;/D&gt;&lt;/FQL&gt;&lt;FQL&gt;&lt;Q&gt;WCC-US^P_BETA_LOCIDX(45000,44825,,"SPX")&lt;/Q&gt;&lt;R&gt;1&lt;/R&gt;&lt;C&gt;1&lt;/C&gt;&lt;D xsi:type="xsd:double"&gt;1.4443464&lt;/D&gt;&lt;/FQL&gt;&lt;FQL&gt;&lt;Q&gt;WCC-US^P_BETA_LOCIDX(46077,45902,,"SPX")&lt;/Q&gt;&lt;R&gt;1&lt;/R&gt;&lt;C&gt;1&lt;/C&gt;&lt;D xsi:type="xsd:double"&gt;1.621755&lt;/D&gt;&lt;/FQL&gt;&lt;FQL&gt;&lt;Q&gt;WCC-US^P_BETA_LOCIDX(46045,45870,,"SPX")&lt;/Q&gt;&lt;R&gt;1&lt;/R&gt;&lt;C&gt;1&lt;/C&gt;&lt;D xsi:type="xsd:double"&gt;1.648873&lt;/D&gt;&lt;/FQL&gt;&lt;FQL&gt;&lt;Q&gt;WCC-US^P_BETA_LOCIDX(45538,45363,,"SPX")&lt;/Q&gt;&lt;R&gt;1&lt;/R&gt;&lt;C&gt;1&lt;/C&gt;&lt;D xsi:type="xsd:double"&gt;1.7550656&lt;/D&gt;&lt;/FQL&gt;&lt;FQL&gt;&lt;Q&gt;WCC-US^P_BETA_LOCIDX(46034,45860,,"SPX")&lt;/Q&gt;&lt;R&gt;1&lt;/R&gt;&lt;C&gt;1&lt;/C&gt;&lt;D xsi:type="xsd:double"&gt;1.7096764&lt;/D&gt;&lt;/FQL&gt;&lt;FQL&gt;&lt;Q&gt;WCC-US^P_BETA_LOCIDX(45336,45161,,"SPX")&lt;/Q&gt;&lt;R&gt;1&lt;/R&gt;&lt;C&gt;1&lt;/C&gt;&lt;D xsi:type="xsd:double"&gt;2.4138575&lt;/D&gt;&lt;/FQL&gt;&lt;FQL&gt;&lt;Q&gt;WCC-US^P_BETA_LOCIDX(45957,45784,,"SPX")&lt;/Q&gt;&lt;R&gt;1&lt;/R&gt;&lt;C&gt;1&lt;/C&gt;&lt;D xsi:type="xsd:double"&gt;1.7616779&lt;/D&gt;&lt;/FQL&gt;&lt;FQL&gt;&lt;Q&gt;WCC-US^P_BETA_LOCIDX(45216,45042,,"SPX")&lt;/Q&gt;&lt;R&gt;1&lt;/R&gt;&lt;C&gt;1&lt;/C&gt;&lt;D xsi:type="xsd:double"&gt;2.1033545&lt;/D&gt;&lt;/FQL&gt;&lt;FQL&gt;&lt;Q&gt;WCC-US^P_BETA_LOCIDX(45495,45320,,"SPX")&lt;/Q&gt;&lt;R&gt;1&lt;/R&gt;&lt;C&gt;1&lt;/C&gt;&lt;D xsi:type="xsd:double"&gt;2.4878573&lt;/D&gt;&lt;/FQL&gt;&lt;FQL&gt;&lt;Q&gt;WCC-US^P_BETA_LOCIDX(44995,44820,,"SPX")&lt;/Q&gt;&lt;R&gt;1&lt;/R&gt;&lt;C&gt;1&lt;/C&gt;&lt;D xsi:type="xsd:double"&gt;1.4389678&lt;/D&gt;&lt;/FQL&gt;&lt;FQL&gt;&lt;Q&gt;WCC-US^P_BETA_LOCIDX(45083,44907,,"SPX")&lt;/Q&gt;&lt;R&gt;1&lt;/R&gt;&lt;C&gt;1&lt;/C&gt;&lt;D xsi:type="xsd:double"&gt;1.9095367&lt;/D&gt;&lt;/FQL&gt;&lt;FQL&gt;&lt;Q&gt;WCC-US^P_BETA_LOCIDX(45881,45708,,"SPX")&lt;/Q&gt;&lt;R&gt;1&lt;/R&gt;&lt;C&gt;1&lt;/C&gt;&lt;D xsi:type="xsd:double"&gt;1.6219828&lt;/D&gt;&lt;/FQL&gt;&lt;FQL&gt;&lt;Q&gt;WCC-US^P_BETA_LOCIDX(45863,45691,,"SPX")&lt;/Q&gt;&lt;R&gt;1&lt;/R&gt;&lt;C&gt;1&lt;/C&gt;&lt;D xsi:type="xsd:double"&gt;1.608837&lt;/D&gt;&lt;/FQL&gt;&lt;FQL&gt;&lt;Q&gt;WCC-US^P_BETA_LOCIDX(45975,45805,,"SPX")&lt;/Q&gt;&lt;R&gt;1&lt;/R&gt;&lt;C&gt;1&lt;/C&gt;&lt;D xsi:type="xsd:double"&gt;1.4983556&lt;/D&gt;&lt;/FQL&gt;&lt;FQL&gt;&lt;Q&gt;WCC-US^P_BETA_LOCIDX(45968,45797,,"SPX")&lt;/Q&gt;&lt;R&gt;1&lt;/R&gt;&lt;C&gt;1&lt;/C&gt;&lt;D xsi:type="xsd:double"&gt;1.4820889&lt;/D&gt;&lt;/FQL&gt;&lt;FQL&gt;&lt;Q&gt;WCC-US^P_BETA_LOCIDX(45390,45212,,"SPX")&lt;/Q&gt;&lt;R&gt;1&lt;/R&gt;&lt;C&gt;1&lt;/C&gt;&lt;D xsi:type="xsd:double"&gt;2.4836037&lt;/D&gt;&lt;/FQL&gt;&lt;FQL&gt;&lt;Q&gt;WCC-US^P_BETA_LOCIDX(45219,45047,,"SPX"</t>
        </r>
      </text>
    </comment>
    <comment ref="A32" authorId="0" shapeId="0" xr:uid="{18925B40-2FE3-4CD5-BD6C-3418C45E0C08}">
      <text>
        <r>
          <rPr>
            <b/>
            <sz val="9"/>
            <color indexed="81"/>
            <rFont val="Tahoma"/>
            <charset val="1"/>
          </rPr>
          <t>)&lt;/Q&gt;&lt;R&gt;1&lt;/R&gt;&lt;C&gt;1&lt;/C&gt;&lt;D xsi:type="xsd:double"&gt;2.137464&lt;/D&gt;&lt;/FQL&gt;&lt;FQL&gt;&lt;Q&gt;WCC-US^P_BETA_LOCIDX(46009,45839,,"SPX")&lt;/Q&gt;&lt;R&gt;1&lt;/R&gt;&lt;C&gt;1&lt;/C&gt;&lt;D xsi:type="xsd:double"&gt;1.6195409&lt;/D&gt;&lt;/FQL&gt;&lt;FQL&gt;&lt;Q&gt;WCC-US^P_BETA_LOCIDX(45359,45184,,"SPX")&lt;/Q&gt;&lt;R&gt;1&lt;/R&gt;&lt;C&gt;1&lt;/C&gt;&lt;D xsi:type="xsd:double"&gt;2.3845496&lt;/D&gt;&lt;/FQL&gt;&lt;FQL&gt;&lt;Q&gt;WCC-US^P_BETA_LOCIDX(44988,44813,,"SPX")&lt;/Q&gt;&lt;R&gt;1&lt;/R&gt;&lt;C&gt;1&lt;/C&gt;&lt;D xsi:type="xsd:double"&gt;1.3678447&lt;/D&gt;&lt;/FQL&gt;&lt;FQL&gt;&lt;Q&gt;WCC-US^P_BETA_LOCIDX(45278,45105,,"SPX")&lt;/Q&gt;&lt;R&gt;1&lt;/R&gt;&lt;C&gt;1&lt;/C&gt;&lt;D xsi:type="xsd:double"&gt;1.598762&lt;/D&gt;&lt;/FQL&gt;&lt;FQL&gt;&lt;Q&gt;WCC-US^P_BETA_LOCIDX(45435,45260,,"SPX")&lt;/Q&gt;&lt;R&gt;1&lt;/R&gt;&lt;C&gt;1&lt;/C&gt;&lt;D xsi:type="xsd:double"&gt;2.4705021&lt;/D&gt;&lt;/FQL&gt;&lt;FQL&gt;&lt;Q&gt;WCC-US^P_BETA_LOCIDX(44979,44803,,"SPX")&lt;/Q&gt;&lt;R&gt;1&lt;/R&gt;&lt;C&gt;1&lt;/C&gt;&lt;D xsi:type="xsd:double"&gt;1.3858273&lt;/D&gt;&lt;/FQL&gt;&lt;FQL&gt;&lt;Q&gt;WCC-US^P_BETA_LOCIDX(45818,45639,,"SPX")&lt;/Q&gt;&lt;R&gt;1&lt;/R&gt;&lt;C&gt;1&lt;/C&gt;&lt;D xsi:type="xsd:double"&gt;1.5925983&lt;/D&gt;&lt;/FQL&gt;&lt;FQL&gt;&lt;Q&gt;WCC-US^P_BETA_LOCIDX(45351,45176,,"SPX")&lt;/Q&gt;&lt;R&gt;1&lt;/R&gt;&lt;C&gt;1&lt;/C&gt;&lt;D xsi:type="xsd:double"&gt;2.4312003&lt;/D&gt;&lt;/FQL&gt;&lt;FQL&gt;&lt;Q&gt;WCC-US^P_BETA_LOCIDX(45937,45763,,"SPX")&lt;/Q&gt;&lt;R&gt;1&lt;/R&gt;&lt;C&gt;1&lt;/C&gt;&lt;D xsi:type="xsd:double"&gt;1.609245&lt;/D&gt;&lt;/FQL&gt;&lt;FQL&gt;&lt;Q&gt;WCC-US^P_BETA_LOCIDX(45205,45033,,"SPX")&lt;/Q&gt;&lt;R&gt;1&lt;/R&gt;&lt;C&gt;1&lt;/C&gt;&lt;D xsi:type="xsd:double"&gt;1.9589059&lt;/D&gt;&lt;/FQL&gt;&lt;FQL&gt;&lt;Q&gt;WCC-US^P_BETA_LOCIDX(46022,45849,,"SPX")&lt;/Q&gt;&lt;R&gt;1&lt;/R&gt;&lt;C&gt;1&lt;/C&gt;&lt;D xsi:type="xsd:double"&gt;1.6473678&lt;/D&gt;&lt;/FQL&gt;&lt;FQL&gt;&lt;Q&gt;WCC-US^P_BETA_LOCIDX(45740,45562,,"SPX")&lt;/Q&gt;&lt;R&gt;1&lt;/R&gt;&lt;C&gt;1&lt;/C&gt;&lt;D xsi:type="xsd:double"&gt;1.6167521&lt;/D&gt;&lt;/FQL&gt;&lt;FQL&gt;&lt;Q&gt;WCC-US^P_BETA_LOCIDX(45260,45086,,"SPX")&lt;/Q&gt;&lt;R&gt;1&lt;/R&gt;&lt;C&gt;1&lt;/C&gt;&lt;D xsi:type="xsd:double"&gt;1.5954448&lt;/D&gt;&lt;/FQL&gt;&lt;FQL&gt;&lt;Q&gt;WCC-US^P_BETA_LOCIDX(45712,45533,,"SPX")&lt;/Q&gt;&lt;R&gt;1&lt;/R&gt;&lt;C&gt;1&lt;/C&gt;&lt;D xsi:type="xsd:double"&gt;1.6547219&lt;/D&gt;&lt;/FQL&gt;&lt;FQL&gt;&lt;Q&gt;WCC-US^P_BETA_LOCIDX(46008,45838,,"SPX")&lt;/Q&gt;&lt;R&gt;1&lt;/R&gt;&lt;C&gt;1&lt;/C&gt;&lt;D xsi:type="xsd:double"&gt;1.6589537&lt;/D&gt;&lt;/FQL&gt;&lt;FQL&gt;&lt;Q&gt;WCC-US^P_BETA_LOCIDX(45566,45392,,"SPX")&lt;/Q&gt;&lt;R&gt;1&lt;/R&gt;&lt;C&gt;1&lt;/C&gt;&lt;D xsi:type="xsd:double"&gt;1.7505116&lt;/D&gt;&lt;/FQL&gt;&lt;FQL&gt;&lt;Q&gt;WCC-US^P_BETA_LOCIDX(45807,45630,,"SPX")&lt;/Q&gt;&lt;R&gt;1&lt;/R&gt;&lt;C&gt;1&lt;/C&gt;&lt;D xsi:type="xsd:double"&gt;1.5820029&lt;/D&gt;&lt;/FQL&gt;&lt;FQL&gt;&lt;Q&gt;WCC-US^P_BETA_LOCIDX(45653,45482,,"SPX")&lt;/Q&gt;&lt;R&gt;1&lt;/R&gt;&lt;C&gt;1&lt;/C&gt;&lt;D xsi:type="xsd:double"&gt;1.6632112&lt;/D&gt;&lt;/FQL&gt;&lt;FQL&gt;&lt;Q&gt;WCC-US^P_BETA_LOCIDX(45258,45084,,"SPX")&lt;/Q&gt;&lt;R&gt;1&lt;/R&gt;&lt;C&gt;1&lt;/C&gt;&lt;D xsi:type="xsd:double"&gt;1.5796561&lt;/D&gt;&lt;/FQL&gt;&lt;FQL&gt;&lt;Q&gt;WCC-US^P_BETA_LOCIDX(45779,45602,,"SPX")&lt;/Q&gt;&lt;R&gt;1&lt;/R&gt;&lt;C&gt;1&lt;/C&gt;&lt;D xsi:type="xsd:double"&gt;1.6517382&lt;/D&gt;&lt;/FQL&gt;&lt;FQL&gt;&lt;Q&gt;WCC-US^P_BETA_LOCIDX(45204,45030,,"SPX")&lt;/Q&gt;&lt;R&gt;1&lt;/R&gt;&lt;C&gt;1&lt;/C&gt;&lt;D xsi:type="xsd:double"&gt;1.9246159&lt;/D&gt;&lt;/FQL&gt;&lt;FQL&gt;&lt;Q&gt;WCC-US^P_BETA_LOCIDX(45600,45426,,"SPX")&lt;/Q&gt;&lt;R&gt;1&lt;/R&gt;&lt;C&gt;1&lt;/C&gt;&lt;D xsi:type="xsd:double"&gt;1.4422395&lt;/D&gt;&lt;/FQL&gt;&lt;FQL&gt;&lt;Q&gt;WCC-US^P_BETA_LOCIDX(45828,45650,,"SPX")&lt;/Q&gt;&lt;R&gt;1&lt;/R&gt;&lt;C&gt;1&lt;/C&gt;&lt;D xsi:type="xsd:double"&gt;1.5874903&lt;/D&gt;&lt;/FQL&gt;&lt;FQL&gt;&lt;Q&gt;WCC-US^P_BETA_LOCIDX(45905,45733,,"SPX")&lt;/Q&gt;&lt;R&gt;1&lt;/R&gt;&lt;C&gt;1&lt;/C&gt;&lt;D xsi:type="xsd:double"&gt;1.5876297&lt;/D&gt;&lt;/FQL&gt;&lt;FQL&gt;&lt;Q&gt;WCC-US^P_BETA_LOCIDX(45944,45771,,"SPX")&lt;/Q&gt;&lt;R&gt;1&lt;/R&gt;&lt;C&gt;1&lt;/C&gt;&lt;D xsi:type="xsd:double"&gt;1.8430108&lt;/D&gt;&lt;/FQL&gt;&lt;FQL&gt;&lt;Q&gt;WCC-US^P_BETA_LOCIDX(45309,45134,,"SPX")&lt;/Q&gt;&lt;R&gt;1&lt;/R&gt;&lt;C&gt;1&lt;/C&gt;&lt;D xsi:type="xsd:double"&gt;1.6844021&lt;/D&gt;&lt;/FQL&gt;&lt;FQL&gt;&lt;Q&gt;WCC-US^P_BETA_LOCIDX(45183,45008,,"SPX")&lt;/Q&gt;&lt;R&gt;1&lt;/R&gt;&lt;C&gt;1&lt;/C&gt;&lt;D xsi:type="xsd:double"&gt;2.0016801&lt;/D&gt;&lt;/FQL&gt;&lt;FQL&gt;&lt;Q&gt;WCC-US^P_BETA_LOCIDX(45589,45415,,"SPX")&lt;/Q&gt;&lt;R&gt;1&lt;/R&gt;&lt;C&gt;1&lt;/C&gt;&lt;D xsi:type="xsd:double"&gt;1.7296708&lt;/D&gt;&lt;/FQL&gt;&lt;FQL&gt;&lt;Q&gt;WCC-US^P_BETA_LOCIDX(45106,44931,,"SPX")&lt;/Q&gt;&lt;R&gt;1&lt;/R&gt;&lt;C&gt;1&lt;/C&gt;&lt;D xsi:type="xsd:double"&gt;1.9026833&lt;/D&gt;&lt;/FQL&gt;&lt;FQL&gt;&lt;Q&gt;WCC-US^P_BETA_LOCIDX(45728,45552,,"SPX")&lt;/Q&gt;&lt;R&gt;1&lt;/R&gt;&lt;C&gt;1&lt;/C&gt;&lt;D xsi:type="xsd:double"&gt;1.6458361&lt;/D&gt;&lt;/FQL&gt;&lt;FQL&gt;&lt;Q&gt;WCC-US^P_BETA_LOCIDX(45798,45621,,"SPX")&lt;/Q&gt;&lt;R&gt;1&lt;/R&gt;&lt;C&gt;1&lt;/C&gt;&lt;D xsi:type="xsd:double"&gt;1.5947043&lt;/D&gt;&lt;/FQL&gt;&lt;FQL&gt;&lt;Q&gt;WCC-US^P_BETA_LOCIDX(45181,45006,,"SPX")&lt;/Q&gt;&lt;R&gt;1&lt;/R&gt;&lt;C&gt;1&lt;/C&gt;&lt;D xsi:type="xsd:double"&gt;2.0127194&lt;/D&gt;&lt;/FQL&gt;&lt;FQL&gt;&lt;Q&gt;WCC-US^P_BETA_LOCIDX(45386,45210,,"SPX")&lt;/Q&gt;&lt;R&gt;1&lt;/R&gt;&lt;C&gt;1&lt;/C&gt;&lt;D xsi:type="xsd:double"&gt;2.508973&lt;/D&gt;&lt;/FQL&gt;&lt;FQL&gt;&lt;Q&gt;WCC-US^P_BETA_LOCIDX(45835,45659,,"SPX")&lt;/Q&gt;&lt;R&gt;1&lt;/R&gt;&lt;C&gt;1&lt;/C&gt;&lt;D xsi:type="xsd:double"&gt;1.6075003&lt;/D&gt;&lt;/FQL&gt;&lt;FQL&gt;&lt;Q&gt;WCC-US^P_BETA_LOCIDX(45245,45071,,"SPX")&lt;/Q&gt;&lt;R&gt;1&lt;/R&gt;&lt;C&gt;1&lt;/C&gt;&lt;D xsi:type="xsd:double"&gt;1.8387979&lt;/D&gt;&lt;/FQL&gt;&lt;FQL&gt;&lt;Q&gt;WCC-US^P_BETA_LOCIDX(45428,45252,,"SPX")&lt;/Q&gt;&lt;R&gt;1&lt;/R&gt;&lt;C&gt;1&lt;/C&gt;&lt;D xsi:type="xsd:double"&gt;2.4780679&lt;/D&gt;&lt;/FQL&gt;&lt;FQL&gt;&lt;Q&gt;WCC-US^P_BETA_LOCIDX(45294,45120,,"SPX")&lt;/Q&gt;&lt;R&gt;1&lt;/R&gt;&lt;C&gt;1&lt;/C&gt;&lt;D xsi:type="xsd:double"&gt;1.6810044&lt;/D&gt;&lt;/FQL&gt;&lt;FQL&gt;&lt;Q&gt;WCC-US^P_BETA_LOCIDX(45029,44853,,"SPX")&lt;/Q&gt;&lt;R&gt;1&lt;/R&gt;&lt;C&gt;1&lt;/C&gt;&lt;D xsi:type="xsd:double"&gt;1.4526018&lt;/D&gt;&lt;/FQL&gt;&lt;FQL&gt;&lt;Q&gt;WCC-US^P_BETA_LOCIDX(45567,45393,,"SPX")&lt;/Q&gt;&lt;R&gt;1&lt;/R&gt;&lt;C&gt;1&lt;/C&gt;&lt;D xsi:type="xsd:double"&gt;1.731663&lt;/D&gt;&lt;/FQL&gt;&lt;FQL&gt;&lt;Q&gt;WCC-US^P_BETA_LOCIDX(45062,44886,,"SPX")&lt;/Q&gt;&lt;R&gt;1&lt;/R&gt;&lt;C&gt;1&lt;/C&gt;&lt;D xsi:type="xsd:double"&gt;1.6259799&lt;/D&gt;&lt;/FQL&gt;&lt;FQL&gt;&lt;Q&gt;WCC-US^P_BETA_LOCIDX(45825,45646,,"SPX")&lt;/Q&gt;&lt;R&gt;1&lt;/R&gt;&lt;C&gt;1&lt;/C&gt;&lt;D xsi:type="xsd:double"&gt;1.5872365&lt;/D&gt;&lt;/FQL&gt;&lt;FQL&gt;&lt;Q&gt;WCC-US^P_BETA_LOCIDX(45425,45247,,"SPX")&lt;/Q&gt;&lt;R&gt;1&lt;/R&gt;&lt;C&gt;1&lt;/C&gt;&lt;D xsi:type="xsd:double"&gt;2.444749&lt;/D&gt;&lt;/FQL&gt;&lt;FQL&gt;&lt;Q&gt;WCC-US^P_BETA_LOCIDX(45667,45492,,"SPX")&lt;/Q&gt;&lt;R&gt;1&lt;/R&gt;&lt;C&gt;1&lt;/C&gt;&lt;D xsi:type="xsd:double"&gt;1.5850588&lt;/D&gt;&lt;/FQL&gt;&lt;FQL&gt;&lt;Q&gt;WCC-US^P_BETA_LOCIDX(45140,44965,,"SPX")&lt;/Q&gt;&lt;R&gt;1&lt;/R&gt;&lt;C&gt;1&lt;/C&gt;&lt;D xsi:type="xsd:double"&gt;1.9862854&lt;/D&gt;&lt;/FQL&gt;&lt;FQL&gt;&lt;Q&gt;WCC-US^P_BETA_LOCIDX(45547,45372,,"SPX")&lt;/Q&gt;&lt;R&gt;1&lt;/R&gt;&lt;C&gt;1&lt;/C&gt;&lt;D xsi:type="xsd:double"&gt;1.7072761&lt;/D&gt;&lt;/FQL&gt;&lt;FQL&gt;&lt;Q&gt;WCC-US^P_BETA_LOCIDX(45273,45100,,"SPX")&lt;/Q&gt;&lt;R&gt;1&lt;/R&gt;&lt;C&gt;1&lt;/C&gt;&lt;D xsi:type="xsd:double"&gt;1.6063048&lt;/D&gt;&lt;/FQL&gt;&lt;FQL&gt;&lt;Q&gt;WCC-US^P_BETA_LOCIDX(45657,45484,,"SPX")&lt;/Q&gt;&lt;R&gt;1&lt;/R&gt;&lt;C&gt;1&lt;/C&gt;&lt;D xsi:type="xsd:double"&gt;1.6216954&lt;/D&gt;&lt;/FQL&gt;&lt;FQL&gt;&lt;Q&gt;WCC-US^P_BETA_LOCIDX(45350,45175,,"SPX")&lt;/Q&gt;&lt;R&gt;1&lt;/R&gt;&lt;C&gt;1&lt;/C&gt;&lt;D xsi:type="xsd:double"&gt;2.390593&lt;/D&gt;&lt;/FQL&gt;&lt;FQL&gt;&lt;Q&gt;WCC-US^P_BETA_LOCIDX(45449,45273,,"SPX")&lt;/Q&gt;&lt;R&gt;1&lt;/R&gt;&lt;C&gt;1&lt;/C&gt;&lt;D xsi:type="xsd:double"&gt;2.477702&lt;/D&gt;&lt;/FQL&gt;&lt;FQL&gt;&lt;Q&gt;WCC-US^P_BETA_LOCIDX(45734,45558,,"SPX")&lt;/Q&gt;&lt;R&gt;1&lt;/R&gt;&lt;C&gt;1&lt;/C&gt;&lt;D xsi:type="xsd:double"&gt;1.6124189&lt;/D&gt;&lt;/FQL&gt;&lt;FQL&gt;&lt;Q&gt;WCC-US^P_BETA_LOCIDX(45302,45128,,"SPX")&lt;/Q&gt;&lt;R&gt;1&lt;/R&gt;&lt;C&gt;1&lt;/C&gt;&lt;D xsi:type="xsd:double"&gt;1.692544&lt;/D&gt;&lt;/FQL&gt;&lt;FQL&gt;&lt;Q&gt;WCC-US^P_BETA_LOCIDX(44992,44817,,"SPX")&lt;/Q&gt;&lt;R&gt;1&lt;/R&gt;&lt;C&gt;1&lt;/C&gt;&lt;D xsi:type="xsd:double"&gt;1.3573356&lt;/D&gt;&lt;/FQL&gt;&lt;FQL&gt;&lt;Q&gt;WCC-US^P_BETA_LOCIDX(45141,44966,,"SPX")&lt;/Q&gt;&lt;R&gt;1&lt;/R&gt;&lt;C&gt;1&lt;/C&gt;&lt;D xsi:type="xsd:double"&gt;2.0522823&lt;/D&gt;&lt;/FQL&gt;&lt;FQL&gt;&lt;Q&gt;WCC-US^P_BETA_LOCIDX(45078,44902,,"SPX")&lt;/Q&gt;&lt;R&gt;1&lt;/R&gt;&lt;C&gt;1&lt;/C&gt;&lt;D xsi:type="xsd:double"&gt;1.8503926&lt;/D&gt;&lt;/FQL&gt;&lt;FQL&gt;&lt;Q&gt;WCC-US^P_BETA_LOCIDX(45301,45127,,"SPX")&lt;/Q&gt;&lt;R&gt;1&lt;/R&gt;&lt;C&gt;1&lt;/C&gt;&lt;D xsi:type="xsd:double"&gt;1.6724473&lt;/D&gt;&lt;/FQL&gt;&lt;FQL&gt;&lt;Q&gt;WCC-US^P_BETA_LOCIDX(45506,45331,,"SPX")&lt;/Q&gt;&lt;R&gt;1&lt;/R&gt;&lt;C&gt;1&lt;/C&gt;&lt;D xsi:type="xsd:double"&gt;2.481865&lt;/D&gt;&lt;/FQL&gt;&lt;FQL&gt;&lt;Q&gt;WCC-US^P_BETA_LOCIDX(45202,45028,,"SPX")&lt;/Q&gt;&lt;R&gt;1&lt;/R&gt;&lt;C&gt;1&lt;/C&gt;&lt;D xsi:type="xsd:double"&gt;1.8628178&lt;/D&gt;&lt;/FQL&gt;&lt;FQL&gt;&lt;Q&gt;WCC-US^P_BETA_LOCIDX(45684,45506,,"SPX")&lt;/Q&gt;&lt;R&gt;1&lt;/R&gt;&lt;C&gt;1&lt;/C&gt;&lt;D xsi:type="xsd:double"&gt;1.5139992&lt;/D&gt;&lt;/FQL&gt;&lt;FQL&gt;&lt;Q&gt;WCC-US^P_BETA_LOCIDX(45113,44937,,"SPX")&lt;/Q&gt;&lt;R&gt;1&lt;/R&gt;&lt;C&gt;1&lt;/C&gt;&lt;D xsi:type="xsd:double"&gt;1.9089596&lt;/D&gt;&lt;/FQL&gt;&lt;FQL&gt;&lt;Q&gt;WCC-US^P_BETA_LOCIDX(45188,45013,,"SPX")&lt;/Q&gt;&lt;R&gt;1&lt;/R&gt;&lt;C&gt;1&lt;/C&gt;&lt;D xsi:type="xsd:double"&gt;2.0067482&lt;/D&gt;&lt;/FQL&gt;&lt;FQL&gt;&lt;Q&gt;WCC-US^P_BETA_LOCIDX(45015,44840,,"SPX")&lt;/Q&gt;&lt;R&gt;1&lt;/R&gt;&lt;C&gt;1&lt;/C&gt;&lt;D xsi:type="xsd:double"&gt;1.489588&lt;/D&gt;&lt;/FQL&gt;&lt;FQL&gt;&lt;Q&gt;WCC-US^P_BETA_LOCIDX(45474,45299,,"SPX")&lt;/Q&gt;&lt;R&gt;1&lt;/R&gt;&lt;C&gt;1&lt;/C&gt;&lt;D xsi:type="xsd:double"&gt;2.487818&lt;/D&gt;&lt;/FQL&gt;&lt;FQL&gt;&lt;Q&gt;WCC-US^P_BETA_LOCIDX(45861,45687,,"SPX")&lt;/Q&gt;&lt;R&gt;1&lt;/R&gt;&lt;C&gt;1&lt;/C&gt;&lt;D xsi:type="xsd:double"&gt;1.6123115&lt;/D&gt;&lt;/FQL&gt;&lt;FQL&gt;&lt;Q&gt;WCC-US^P_BETA_LOCIDX(45127,44952,,"SPX")&lt;/Q&gt;&lt;R&gt;1&lt;/R&gt;&lt;C&gt;1&lt;/C&gt;&lt;D xsi:type="xsd:double"&gt;1.9343851&lt;/D&gt;&lt;/FQL&gt;&lt;FQL&gt;&lt;Q&gt;WCC-US^P_BETA_LOCIDX(45132,44957,,"SPX")&lt;/Q&gt;&lt;R&gt;1&lt;/R&gt;&lt;C&gt;1&lt;/C&gt;&lt;D xsi:type="xsd:double"&gt;1.9434353&lt;/D&gt;&lt;/FQL&gt;&lt;FQL&gt;&lt;Q&gt;WCC-US^P_BETA_LOCIDX(45279,45106,,"SPX")&lt;/Q&gt;&lt;R&gt;1&lt;/R&gt;&lt;C&gt;1&lt;/C&gt;&lt;D xsi:type="xsd:double"&gt;1.6010846&lt;/D&gt;&lt;/FQL&gt;&lt;FQL&gt;&lt;Q&gt;WCC-US^P_BETA_LOCIDX(45883,45712,,"SPX")&lt;/Q&gt;&lt;R&gt;1&lt;/R&gt;&lt;C&gt;1&lt;/C&gt;&lt;D xsi:type="xsd:double"&gt;1.60609&lt;/D&gt;&lt;/FQL&gt;&lt;FQL&gt;&lt;Q&gt;WCC-US^P_BETA_LOCIDX(45342,45166,,"SPX")&lt;/Q&gt;&lt;R&gt;1&lt;/R&gt;&lt;C&gt;1&lt;/C&gt;&lt;D xsi:type="xsd:double"&gt;2.4990356&lt;/D&gt;&lt;/FQL&gt;&lt;FQL&gt;&lt;Q&gt;WCC-US^P_BETA_LOCIDX(45555,45383,,"SPX")&lt;/Q&gt;&lt;R&gt;1&lt;/R&gt;&lt;C&gt;1&lt;/C&gt;&lt;D xsi:type="xsd:double"&gt;1.7367338&lt;/D&gt;&lt;/FQL&gt;&lt;FQL&gt;&lt;Q&gt;WCC-US^P_BETA_LOCIDX(45239,45065,,"SPX")&lt;/Q&gt;&lt;R&gt;1&lt;/R&gt;&lt;C&gt;1&lt;/C&gt;&lt;D xsi:type="xsd:double"&gt;1.807517&lt;/D&gt;&lt;/FQL&gt;&lt;FQL&gt;&lt;Q&gt;WCC-US^P_BETA_LOCIDX(45226,45054,,"SPX")&lt;/Q&gt;&lt;R&gt;1&lt;/R&gt;&lt;C&gt;1&lt;/C&gt;&lt;D xsi:type="xsd:double"&gt;1.8512112&lt;/D&gt;&lt;/FQL&gt;&lt;FQL&gt;&lt;Q&gt;WCC-US^P_BETA_LOCIDX(45814,45637,,"SPX")&lt;/Q&gt;&lt;R&gt;1&lt;/R&gt;&lt;C&gt;1&lt;/C&gt;&lt;D xsi:type="xsd:double"&gt;1.5862929&lt;/D&gt;&lt;/FQL&gt;&lt;FQL&gt;&lt;Q&gt;WCC-US^P_BETA_LOCIDX(45454,45278,,"SPX")&lt;/Q&gt;&lt;R&gt;1&lt;/R&gt;&lt;C&gt;1&lt;/C&gt;&lt;D xsi:type="xsd:double"&gt;2.4881725&lt;/D&gt;&lt;/FQL&gt;&lt;FQL&gt;&lt;Q&gt;WCC-US^P_BETA_LOCIDX(46072,45896,,"SPX")&lt;/Q&gt;&lt;R&gt;1&lt;/R&gt;&lt;C&gt;1&lt;/C&gt;&lt;D xsi:type="xsd:double"&gt;1.6013712&lt;/D&gt;&lt;/FQL&gt;&lt;FQL&gt;&lt;Q&gt;WCC-US^P_BETA_LOCIDX(45497,45322,,"SPX")&lt;/Q&gt;&lt;R&gt;1&lt;/R&gt;&lt;C&gt;1&lt;/C&gt;&lt;D xsi:type="xsd:double"&gt;2.4166057&lt;/D&gt;&lt;/FQL&gt;&lt;FQL&gt;&lt;Q&gt;WCC-US^P_BETA_LOCIDX(45698,45520,,"SPX")&lt;/Q&gt;&lt;R&gt;1&lt;/R&gt;&lt;C&gt;1&lt;/C&gt;&lt;D xsi:type="xsd:double"&gt;1.6077863&lt;/D&gt;&lt;/FQL&gt;&lt;FQL&gt;&lt;Q&gt;WCC-US^P_BETA_LOCIDX(45544,45369,,"SPX")&lt;/Q&gt;&lt;R&gt;1&lt;/R&gt;&lt;C&gt;1&lt;/C&gt;&lt;D xsi:type="xsd:double"&gt;1.723091&lt;/D&gt;&lt;/FQL&gt;&lt;FQL&gt;&lt;Q&gt;WCC-US^P_BETA_LOCIDX(45511,45336,,"SPX")&lt;/Q&gt;&lt;R&gt;1&lt;/R&gt;&lt;C&gt;1&lt;/C&gt;&lt;D xsi:type="xsd:double"&gt;1.7221613&lt;/D&gt;&lt;/FQL&gt;&lt;FQL&gt;&lt;Q&gt;WCC-US^P_BETA_LOCIDX(45385,45209,,"SPX")&lt;/Q&gt;&lt;R&gt;1&lt;/R&gt;&lt;C&gt;1&lt;/C&gt;&lt;D xsi:type="xsd:double"&gt;2.5185933&lt;/D&gt;&lt;/FQL&gt;&lt;FQL&gt;&lt;Q&gt;WCC-US^P_BETA_LOCIDX(45411,45233,,"SPX")&lt;/Q&gt;&lt;R&gt;1&lt;/R&gt;&lt;C&gt;1&lt;/C&gt;&lt;D xsi:type="xsd:double"&gt;2.428923&lt;/D&gt;&lt;/FQL&gt;&lt;FQL&gt;&lt;Q&gt;WCC-US^P_BETA_LOCIDX(45618,45447,,"SPX")&lt;/Q&gt;&lt;R&gt;1&lt;/R&gt;&lt;C&gt;1&lt;/C&gt;&lt;D xsi:type="xsd:double"&gt;1.626885&lt;/D&gt;&lt;/FQL&gt;&lt;FQL&gt;&lt;Q&gt;WCC-US^P_BETA_LOCIDX(45261,45089,,"SPX")&lt;/Q&gt;&lt;R&gt;1&lt;/R&gt;&lt;C&gt;1&lt;/C&gt;&lt;D xsi:type="xsd:double"&gt;1.6229706&lt;/D&gt;&lt;/FQL&gt;&lt;FQL&gt;&lt;Q&gt;WCC-US^P_BETA_LOCIDX(45925,45751,,"SPX")&lt;/Q&gt;&lt;R&gt;1&lt;/R&gt;&lt;C&gt;1&lt;/C&gt;&lt;D xsi:type="xsd:double"&gt;1.4730233&lt;/D&gt;&lt;/FQL&gt;&lt;FQL&gt;&lt;Q&gt;WCC-US^P_BETA_LOCIDX(45645,45474,,"SPX")&lt;/Q&gt;&lt;R&gt;1&lt;/R&gt;&lt;C&gt;1&lt;/C&gt;&lt;D xsi:type="xsd:double"&gt;1.6727718&lt;/D&gt;&lt;/FQL&gt;&lt;FQL&gt;&lt;Q&gt;WCC-US^P_BETA_LOCIDX(45726,45548,,"SPX")&lt;/Q&gt;&lt;R&gt;1&lt;/R&gt;&lt;C&gt;1&lt;/C&gt;&lt;D xsi:type="xsd:double"&gt;1.6639469&lt;/D&gt;&lt;/FQL&gt;&lt;FQL&gt;&lt;Q&gt;WCC-US^P_BETA_LOCIDX(45251,45078,,"SPX")&lt;/Q&gt;&lt;R&gt;1&lt;/R&gt;&lt;C&gt;1&lt;/C&gt;&lt;D xsi:type="xsd:double"&gt;1.6451375&lt;/D&gt;&lt;/FQL&gt;&lt;FQL&gt;&lt;Q&gt;WCC-US^P_BETA_LOCIDX(45707,45530,,"SPX")&lt;/Q&gt;&lt;R&gt;1&lt;/R&gt;&lt;C&gt;1&lt;/C&gt;&lt;D xsi:type="xsd:double"&gt;1.5588455&lt;/D&gt;&lt;/FQL&gt;&lt;FQL&gt;&lt;Q&gt;WCC-US^P_BETA_LOCIDX(45573,45399,,"SPX")&lt;/Q&gt;&lt;R&gt;1&lt;/R&gt;&lt;C&gt;1&lt;/C&gt;&lt;D xsi:type="xsd:double"&gt;1.7232131&lt;/D&gt;&lt;/FQL&gt;&lt;FQL&gt;&lt;Q&gt;WCC-US^P_BETA_LOCIDX(45212,45040,,"SPX")&lt;/Q&gt;&lt;R&gt;1&lt;/R&gt;&lt;C&gt;1&lt;/C&gt;&lt;D xsi:type="xsd:double"&gt;2.0223825&lt;/D&gt;&lt;/FQL&gt;&lt;FQL&gt;&lt;Q&gt;WCC-US^P_BETA_LOCIDX(45338,45163,,"SPX")&lt;/Q&gt;&lt;R&gt;1&lt;/R&gt;&lt;C&gt;1&lt;/C&gt;&lt;D xsi:type="xsd:double"&gt;2.50166&lt;/D&gt;&lt;/FQL&gt;&lt;FQL&gt;&lt;Q&gt;WCC-US^P_BETA_LOCIDX(45063,44887,,"SPX")&lt;/Q&gt;&lt;R&gt;1&lt;/R&gt;&lt;C&gt;1&lt;/C&gt;&lt;D xsi:type="xsd:double"&gt;1.6377918&lt;/D&gt;&lt;/FQL&gt;&lt;FQL&gt;&lt;Q&gt;WCC-US^P_BETA_LOCIDX(45867,45693,,"SPX")&lt;/Q&gt;&lt;R&gt;1&lt;/R&gt;&lt;C&gt;1&lt;/C&gt;&lt;D xsi:type="xsd:double"&gt;1.6082999&lt;/D&gt;&lt;/FQL&gt;&lt;FQL&gt;&lt;Q&gt;WCC-US^P_BETA_LOCIDX(45231,45057,,"SPX")&lt;/Q&gt;&lt;R&gt;1&lt;/R&gt;&lt;C&gt;1&lt;/C&gt;&lt;D xsi:type="xsd:double"&gt;1.8602515&lt;/D&gt;&lt;/FQL&gt;&lt;FQL&gt;&lt;Q&gt;WCC-US^P_BETA_LOCIDX(45742,45566,,"SPX")&lt;/Q&gt;&lt;R&gt;1&lt;/R&gt;&lt;C&gt;1&lt;/C&gt;&lt;D xsi:type="xsd:double"&gt;1.6178608&lt;/D&gt;&lt;/FQL&gt;&lt;FQL&gt;&lt;Q&gt;WCC-US^P_BETA_LOCIDX(45068,44893,,"SPX")&lt;/Q&gt;&lt;R&gt;1&lt;/R&gt;&lt;C&gt;1&lt;/C&gt;&lt;D xsi:type="xsd:double"&gt;1.6646744&lt;/D&gt;&lt;/FQL&gt;&lt;FQL&gt;&lt;Q&gt;WCC-US^P_BETA_LOCIDX(44984,44806,,"SPX")&lt;/Q&gt;&lt;R&gt;1&lt;/R&gt;&lt;C&gt;1&lt;/C&gt;&lt;D xsi:type="xsd:double"&gt;1.3711889&lt;/D&gt;&lt;/FQL&gt;&lt;FQL&gt;&lt;Q&gt;WCC-US^P_BETA_LOCIDX(45174,44999,,"SPX")&lt;/Q&gt;&lt;R&gt;1&lt;/R&gt;&lt;C&gt;1&lt;/C&gt;&lt;D xsi:type="xsd:double"&gt;2.1340115&lt;/D&gt;&lt;/FQL&gt;&lt;FQL&gt;&lt;Q&gt;WCC-US^P_BETA_LOCIDX(45923,45749,,"SPX")&lt;/Q&gt;&lt;R&gt;1&lt;/R&gt;&lt;C&gt;1&lt;/C&gt;&lt;D xsi:type="xsd:double"&gt;1.5721053&lt;/D&gt;&lt;/FQL&gt;&lt;FQL&gt;&lt;Q&gt;WCC-US^P_BETA_LOCIDX(45558,45384,,"SPX")&lt;/Q&gt;&lt;R&gt;1&lt;/R&gt;&lt;C&gt;1&lt;/C&gt;&lt;D xsi:type="xsd:double"&gt;1.7447648&lt;/D&gt;&lt;/FQL&gt;&lt;FQL&gt;&lt;Q&gt;WCC-US^P_BETA_LOCIDX(45460,45282,,"SPX")&lt;/Q&gt;&lt;R&gt;1&lt;/R&gt;&lt;C&gt;1&lt;/C&gt;&lt;D xsi:type="xsd:double"&gt;2.525685&lt;/D&gt;&lt;/FQL&gt;&lt;FQL&gt;&lt;Q&gt;WCC-US^P_BETA_LOCIDX(45418,45240,,"SPX")&lt;/Q&gt;&lt;R&gt;1&lt;/R&gt;&lt;C&gt;1&lt;/C&gt;&lt;D xsi:type="xsd:double"&gt;2.4508233&lt;/D&gt;&lt;/FQL&gt;&lt;FQL&gt;&lt;Q&gt;WCC-US^P_BETA_LOCIDX(46066,45891,,"SPX")&lt;/Q&gt;&lt;R&gt;1&lt;/R&gt;&lt;C&gt;1&lt;/C&gt;&lt;D xsi:type="xsd:double"&gt;1.6565274&lt;/D&gt;&lt;/FQL&gt;&lt;FQL&gt;&lt;Q&gt;WCC-US^P_BETA_LOCIDX(44966,44791,,"SPX")&lt;/Q&gt;&lt;R&gt;1&lt;/R&gt;&lt;C&gt;1&lt;/C&gt;&lt;D xsi:type="xsd:double"&gt;1.3861293&lt;/D&gt;&lt;/FQL&gt;&lt;FQL&gt;&lt;Q&gt;WCC-US^P_BETA_LOCIDX(45442,45266,,"SPX")&lt;/Q&gt;&lt;R&gt;1&lt;/R&gt;&lt;C&gt;1&lt;/C&gt;&lt;D xsi:type="xsd:double"&gt;2.480652&lt;/D&gt;&lt;/FQL&gt;&lt;FQL&gt;&lt;Q&gt;WCC-US^P_BETA_LOCIDX(46044,45869,,"SPX")&lt;/Q&gt;&lt;R&gt;1&lt;/R&gt;&lt;C&gt;1&lt;/C&gt;&lt;D xsi:type="xsd:double"&gt;1.6639497&lt;/D&gt;&lt;/FQL&gt;&lt;FQL&gt;&lt;Q&gt;WCC-US^P_BETA_LOCIDX(45679,45503,,"SPX")&lt;/Q&gt;&lt;R&gt;1&lt;/R&gt;&lt;C&gt;1&lt;/C&gt;&lt;D xsi:type="xsd:double"&gt;1.5378605&lt;/D&gt;&lt;/FQL&gt;&lt;FQL&gt;&lt;Q&gt;WCC-US^P_BETA_LOCIDX(45520,45348,,"SPX")&lt;/Q&gt;&lt;R&gt;1&lt;/R&gt;&lt;C&gt;1&lt;/C&gt;&lt;D xsi:type="xsd:double"&gt;1.6594905&lt;/D&gt;&lt;/FQL&gt;&lt;FQL&gt;&lt;Q&gt;WCC-US^P_BETA_LOCIDX(45523,45349,,"SPX")&lt;/Q&gt;&lt;R&gt;1&lt;/R&gt;&lt;C&gt;1&lt;/C&gt;&lt;D xsi:type="xsd:double"&gt;1.6544143&lt;/D&gt;&lt;/FQL&gt;&lt;FQL&gt;&lt;Q&gt;WCC-US^P_BETA_LOCIDX(45135,44960,,"SPX")&lt;/Q&gt;&lt;R&gt;1&lt;/R&gt;&lt;C&gt;1&lt;/C&gt;&lt;D xsi:type="xsd:double"&gt;1.9700154&lt;/D&gt;&lt;/FQL&gt;&lt;FQL&gt;&lt;Q&gt;WCC-US^P_BETA_LOCIDX(45974,45804,,"SPX")&lt;/Q&gt;&lt;R&gt;1&lt;/R&gt;&lt;C&gt;1&lt;/C&gt;&lt;D xsi:type="xsd:double"&gt;1.4726212&lt;/D&gt;&lt;/FQL&gt;&lt;FQL&gt;&lt;Q&gt;WCC-US^P_BETA_LOCIDX(44960,44785,,"SPX")&lt;/Q&gt;&lt;R&gt;1&lt;/R&gt;&lt;C&gt;1&lt;/C&gt;&lt;D xsi:type="xsd:double"&gt;1.3883523&lt;/D&gt;&lt;/FQL&gt;&lt;FQL&gt;&lt;Q&gt;WCC-US^P_BETA_LOCIDX(45001,44826,,"SPX")&lt;/Q&gt;&lt;R&gt;1&lt;/R&gt;&lt;C&gt;1&lt;/C&gt;&lt;D xsi:type="xsd:double"&gt;1.4388973&lt;/D&gt;&lt;/FQL&gt;&lt;FQL&gt;&lt;Q&gt;WCC-US^P_BETA_LOCIDX(45275,45104,,"SPX")&lt;/Q&gt;&lt;R&gt;1&lt;/R&gt;&lt;C&gt;1&lt;/C&gt;&lt;D xsi:type="xsd:double"&gt;1.6401561&lt;/D&gt;&lt;/FQL&gt;&lt;FQL&gt;&lt;Q&gt;WCC-US^P_BETA_LOCIDX(45190,45015,,"SPX")&lt;/Q&gt;&lt;R&gt;1&lt;/R&gt;&lt;C&gt;1&lt;/C&gt;&lt;D xsi:type="xsd:double"&gt;1.9550394&lt;/D&gt;&lt;/FQL&gt;&lt;FQL&gt;&lt;Q&gt;WCC-US^P_BETA_LOCIDX(45730,45554,,"SPX")&lt;/Q&gt;&lt;R&gt;1&lt;/R&gt;&lt;C&gt;1&lt;/C&gt;&lt;D xsi:type="xsd:double"&gt;1.6418762&lt;/D&gt;&lt;/FQL&gt;&lt;FQL&gt;&lt;Q&gt;WCC-US^P_BETA_LOCIDX(46000,45828,,"SPX")&lt;/Q&gt;&lt;R&gt;1&lt;/R&gt;&lt;C&gt;1&lt;/C&gt;&lt;D xsi:type="xsd:double"&gt;1.4989946&lt;/D&gt;&lt;/FQL&gt;&lt;FQL&gt;&lt;Q&gt;WCC-US^P_BETA_LOCIDX(45791,45614,,"SPX")&lt;/Q&gt;&lt;R&gt;1&lt;/R&gt;&lt;C&gt;1&lt;/C&gt;&lt;D xsi:type="xsd:double"&gt;1.5986302&lt;/D&gt;&lt;/FQL&gt;&lt;FQL&gt;&lt;Q&gt;WCC-US^P_BETA_LOCIDX(44971,44796,,"SPX")&lt;/Q&gt;&lt;R&gt;1&lt;/R&gt;&lt;C&gt;1&lt;/C&gt;&lt;D xsi:type="xsd:double"&gt;1.3819889&lt;/D&gt;&lt;/FQL&gt;&lt;FQL&gt;&lt;Q&gt;WCC-US^P_BETA_LOCIDX(45498,45323,,"SPX")&lt;/Q&gt;&lt;R&gt;1&lt;/R&gt;&lt;C&gt;1&lt;/C&gt;&lt;D xsi:type="xsd:double"&gt;2.46356&lt;/D&gt;&lt;/FQL&gt;&lt;FQL&gt;&lt;Q&gt;WCC-US^P_BETA_LOCIDX(45085,44909,,"SPX")&lt;/Q&gt;&lt;R&gt;1&lt;/R&gt;&lt;C&gt;1&lt;/C&gt;&lt;D xsi:type="xsd:double"&gt;1.8887457&lt;/D&gt;&lt;/FQL&gt;&lt;FQL&gt;&lt;Q&gt;WCC-US^P_BETA_LOCIDX(45110,44935,,"SPX")&lt;/Q&gt;&lt;R&gt;1&lt;/R&gt;&lt;C&gt;1&lt;/C&gt;&lt;D xsi:type="xsd:double"&gt;1.9216737&lt;/D&gt;&lt;/FQL&gt;&lt;FQL&gt;&lt;Q&gt;WCC-US^P_BETA_LOCIDX(45777,45600,,"SPX")&lt;/Q&gt;&lt;R&gt;1&lt;/R&gt;&lt;C&gt;1&lt;/C&gt;&lt;D xsi:type="xsd:double"&gt;1.644007&lt;/D&gt;&lt;/FQL&gt;&lt;FQL&gt;&lt;Q&gt;WCC-US^P_BETA_LOCIDX(45568,45394,,"SPX")&lt;/Q&gt;&lt;R&gt;1&lt;/R&gt;&lt;C&gt;1&lt;/C&gt;&lt;D xsi:type="xsd:double"&gt;1.7513529&lt;/D&gt;&lt;/FQL&gt;&lt;FQL&gt;&lt;Q&gt;WCC-US^P_BETA_LOCIDX(45427,45251,,"SPX")&lt;/Q&gt;&lt;R&gt;1&lt;/R&gt;&lt;C&gt;1&lt;/C&gt;&lt;D xsi:type="xsd:double"&gt;2.4692192&lt;/D&gt;&lt;/FQL&gt;&lt;FQL&gt;&lt;Q&gt;WCC-US^P_BETA_LOCIDX(44967,44792,,"SPX")&lt;/Q&gt;&lt;R&gt;1&lt;/R&gt;&lt;C&gt;1&lt;/C&gt;&lt;D xsi:type="xsd:double"&gt;1.3862667&lt;/D&gt;&lt;/FQL&gt;&lt;FQL&gt;&lt;Q&gt;WCC-US^P_BETA_LOCIDX(46056,45881,,"SPX")&lt;/Q&gt;&lt;R&gt;1&lt;/R&gt;&lt;C&gt;1&lt;/C&gt;&lt;D xsi:type="xsd:double"&gt;1.657347&lt;/D&gt;&lt;/FQL&gt;&lt;FQL&gt;&lt;Q&gt;WCC-US^P_BETA_LOCIDX(45407,45231,,"SPX")&lt;/Q&gt;&lt;R&gt;1&lt;/R&gt;&lt;C&gt;1&lt;/C&gt;&lt;D xsi:type="xsd:double"&gt;2.451222&lt;/D&gt;&lt;/FQL&gt;&lt;FQL&gt;&lt;Q&gt;WCC-US^P_BETA_LOCIDX(45232,45058,,"SPX")&lt;/Q&gt;&lt;R&gt;1&lt;/R&gt;&lt;C&gt;1&lt;/C&gt;&lt;D xsi:type="xsd:double"&gt;1.8645067&lt;/D&gt;&lt;/FQL&gt;&lt;FQL&gt;&lt;Q&gt;WCC-US^P_BETA_LOCIDX(45782,45603,,"SPX")&lt;/Q&gt;&lt;R&gt;1&lt;/R&gt;&lt;C&gt;1&lt;/C&gt;&lt;D xsi:type="xsd:double"&gt;1.567664&lt;/D&gt;&lt;/FQL&gt;&lt;FQL&gt;&lt;Q&gt;WCC-US^P_BETA_LOCIDX(45595,45421,,"SPX")&lt;/Q&gt;&lt;R&gt;1&lt;/R&gt;&lt;C&gt;1&lt;/C&gt;&lt;D xsi:type="xsd:double"&gt;1.7129182&lt;/D&gt;&lt;/FQL&gt;&lt;FQL&gt;&lt;Q&gt;WCC-US^P_BETA_LOCIDX(45392,45216,,"SPX")&lt;/Q&gt;&lt;R&gt;1&lt;/R&gt;&lt;C&gt;1&lt;/C&gt;&lt;D xsi:type="xsd:double"&gt;2.4207304&lt;/D&gt;&lt;/FQL&gt;&lt;FQL&gt;&lt;Q&gt;WCC-US^P_BETA_LOCIDX(45681,45505,,"SPX")&lt;/Q&gt;&lt;R&gt;1&lt;/R&gt;&lt;C&gt;1&lt;/C&gt;&lt;D xsi:type="xsd:double"&gt;1.5247972&lt;/D&gt;&lt;/FQL&gt;&lt;FQL&gt;&lt;Q&gt;WCC-US^P_BETA_LOCIDX(44974,44799,,"SPX")&lt;/Q&gt;&lt;R&gt;1&lt;/R&gt;&lt;C&gt;1&lt;/C&gt;&lt;D xsi:type="xsd:double"&gt;1.3661288&lt;/D&gt;&lt;/FQL&gt;&lt;FQL&gt;&lt;Q&gt;WCC-US^P_BETA_LOCIDX(45337,45162,,"SPX")&lt;/Q&gt;&lt;R&gt;1&lt;/R&gt;&lt;C&gt;1&lt;/C&gt;&lt;D xsi:type="xsd:double"&gt;2.434171&lt;/D&gt;&lt;/FQL&gt;&lt;FQL&gt;&lt;Q&gt;WCC-US^P_BETA_LOCIDX(45964,45791,,"SPX")&lt;/Q&gt;&lt;R&gt;1&lt;/R&gt;&lt;C&gt;1&lt;/C&gt;&lt;D xsi:type="xsd:double"&gt;1.4588349&lt;/D&gt;&lt;/FQL&gt;&lt;FQL&gt;&lt;Q&gt;WCC-US^P_BETA_LOCIDX(45553,45378,,"SPX")&lt;/Q&gt;&lt;R&gt;1&lt;/R&gt;&lt;C&gt;1&lt;/C&gt;&lt;D xsi:type="xsd:double"&gt;1.716143&lt;/D&gt;&lt;/FQL&gt;&lt;FQL&gt;&lt;Q&gt;WCC-US^P_BETA_LOCIDX(45623,45450,,"SPX")&lt;/Q&gt;&lt;R&gt;1&lt;/R&gt;&lt;C&gt;1&lt;/C&gt;&lt;D xsi:type="xsd:double"&gt;1.6074337&lt;/D&gt;&lt;/FQL&gt;&lt;FQL&gt;&lt;Q&gt;WCC-US^P_BETA_LOCIDX(45307,45132,,"SPX")&lt;/Q&gt;&lt;R&gt;1&lt;/R&gt;&lt;C&gt;1&lt;/C&gt;&lt;D xsi:type="xsd:double"&gt;1.690024&lt;/D&gt;&lt;/FQL&gt;&lt;FQL&gt;&lt;Q&gt;WCC-US^P_BETA_LOCIDX(45377,45202,,"SPX")&lt;/Q&gt;&lt;R&gt;1&lt;/R&gt;&lt;C&gt;1&lt;/C&gt;&lt;D xsi:type="xsd:double"&gt;2.5323012&lt;/D&gt;&lt;/FQL&gt;&lt;FQL&gt;&lt;Q&gt;WCC-US^P_BETA_LOCIDX(45373,45198,,"SPX")&lt;/Q&gt;&lt;R&gt;1&lt;/R&gt;&lt;C&gt;1&lt;/C&gt;&lt;D xsi:type="xsd:double"&gt;2.5517402&lt;/D&gt;&lt;/FQL&gt;&lt;FQL&gt;&lt;Q&gt;WCC-US^P_BETA_LOCIDX(45176,45001,,"SPX")&lt;/Q&gt;&lt;R&gt;1&lt;/R&gt;&lt;C&gt;1&lt;/C&gt;&lt;D xsi:type="xsd:double"&gt;2.0715446&lt;/D&gt;&lt;/FQL&gt;&lt;FQL&gt;&lt;Q&gt;WCC-US^P_BETA_LOCIDX(45370,45195,,"SPX")&lt;/Q&gt;&lt;R&gt;1&lt;/R&gt;&lt;C&gt;1&lt;/C&gt;&lt;D xsi:type="xsd:double"&gt;2.4716773&lt;/D&gt;&lt;/FQL&gt;&lt;FQL&gt;&lt;Q&gt;WCC-US^P_BETA_LOCIDX(45478,45302,,"SPX")&lt;/Q&gt;&lt;R&gt;1&lt;/R&gt;&lt;C&gt;1&lt;/C&gt;&lt;D xsi:type="xsd:double"&gt;2.4952416&lt;/D&gt;&lt;/FQL&gt;&lt;FQL&gt;&lt;Q&gt;WCC-US^P_BETA_LOCIDX(45082,44904,,"SPX")&lt;/Q&gt;&lt;R&gt;1&lt;/R&gt;&lt;C&gt;1&lt;/C&gt;&lt;D xsi:type="xsd:double"&gt;1.911761&lt;/D&gt;&lt;/FQL&gt;&lt;FQL&gt;&lt;Q&gt;WCC-US^P_BETA_LOCIDX(45254,45082,,"SPX")&lt;/Q&gt;&lt;R&gt;1&lt;/R&gt;&lt;C&gt;1&lt;/C&gt;&lt;D xsi:type="xsd:double"&gt;1.5760828&lt;/D&gt;&lt;/FQL&gt;&lt;FQL&gt;&lt;Q&gt;WCC-US^P_BETA_LOCIDX(45652,45481,,"SPX")&lt;/Q&gt;&lt;R&gt;1&lt;/R&gt;&lt;C&gt;1&lt;/C&gt;&lt;D xsi:type="xsd:double"&gt;1.6752688&lt;/D&gt;&lt;/FQL&gt;&lt;FQL&gt;&lt;Q&gt;WCC-US^P_BETA_LOCIDX(45148,44973,,"SPX")&lt;/Q&gt;&lt;R&gt;1&lt;/R&gt;&lt;C&gt;1&lt;/C&gt;&lt;D xsi:type="xsd:double"&gt;2.0137956&lt;/D&gt;&lt;/FQL&gt;&lt;FQL&gt;&lt;Q&gt;WCC-US^P_BETA_LOCIDX(46071,45895,,"SPX")&lt;/Q&gt;&lt;R&gt;1&lt;/R&gt;&lt;C&gt;1&lt;/C&gt;&lt;D xsi:type="xsd:double"&gt;1.6001456&lt;/D&gt;&lt;/FQL&gt;&lt;FQL&gt;&lt;Q&gt;WCC-US^P_BETA_LOCIDX(45789,45610,,"SPX")&lt;/Q&gt;&lt;R&gt;1&lt;/R&gt;&lt;C&gt;1&lt;/C&gt;&lt;D xsi:type="xsd:double"&gt;1.5929449&lt;/D&gt;&lt;/FQL&gt;&lt;FQL&gt;&lt;Q&gt;WCC-US^P_BETA_LOCIDX(46036,45862,,"SPX")&lt;/Q&gt;&lt;R&gt;1&lt;/R&gt;&lt;C&gt;1&lt;/C&gt;&lt;D xsi:type="xsd:double"&gt;1.6861168&lt;/D&gt;&lt;/FQL&gt;&lt;FQL&gt;&lt;Q&gt;WCC-US^P_BETA_LOCIDX(45167,44993,,"SPX")&lt;/Q&gt;&lt;R&gt;1&lt;/R&gt;&lt;C&gt;1&lt;/C&gt;&lt;D xsi:type="xsd:double"&gt;2.136146&lt;/D&gt;&lt;/FQL&gt;&lt;FQL&gt;&lt;Q&gt;WCC-US^P_BETA_LOCIDX(45769,45590,,"SPX")&lt;/Q&gt;&lt;R&gt;1&lt;/R&gt;&lt;C&gt;1&lt;/C&gt;&lt;D xsi:type="xsd:double"&gt;1.5636249&lt;/D&gt;&lt;/FQL&gt;&lt;FQL&gt;&lt;Q&gt;WCC-US^P_BETA_LOCIDX(45565,45391,,"SPX")&lt;/Q&gt;&lt;R&gt;1&lt;/R&gt;&lt;C&gt;1&lt;/C&gt;&lt;D xsi:type="xsd:double"&gt;1.760752&lt;/D&gt;&lt;/FQL&gt;&lt;FQL&gt;&lt;Q&gt;WCC-US^P_BETA_LOCIDX(45408,45232,,"SPX")&lt;/Q&gt;&lt;R&gt;1&lt;/R&gt;&lt;C&gt;1&lt;/C&gt;&lt;D xsi:type="xsd:double"&gt;2.4065952&lt;/D&gt;&lt;/FQL&gt;&lt;FQL&gt;&lt;Q&gt;WCC-US^P_BETA_LOCIDX(45574,45400,,"SPX")&lt;/Q&gt;&lt;R&gt;1&lt;/R&gt;&lt;C&gt;1&lt;/C&gt;&lt;D xsi:type="xsd:double"&gt;1.7205634&lt;/D&gt;&lt;/FQL&gt;&lt;FQL&gt;&lt;Q&gt;WCC-US^P_BETA_LOCIDX(45890,45719,,"SPX")&lt;/Q&gt;&lt;R&gt;1&lt;/R&gt;&lt;C&gt;1&lt;/C&gt;&lt;D xsi:type="xsd:double"&gt;1.6191639&lt;/D&gt;&lt;/FQL&gt;&lt;FQL&gt;&lt;Q&gt;WCC-US^P_BETA_LOCIDX(45509,45334,,"SPX")&lt;/Q&gt;&lt;R&gt;1&lt;/R&gt;&lt;C&gt;1&lt;/C&gt;&lt;D xsi:type="xsd:double"&gt;2.2502084&lt;/D&gt;&lt;/FQL&gt;&lt;FQL&gt;&lt;Q&gt;WCC-US^P_BETA_LOCIDX(45817,45638,,"SPX")&lt;/Q&gt;&lt;R&gt;1&lt;/R&gt;&lt;C&gt;1&lt;/C&gt;&lt;D xsi:type="xsd:double"&gt;1.5924844&lt;/D&gt;&lt;/FQL&gt;&lt;FQL&gt;&lt;Q&gt;WCC-US^P_BETA_LOCIDX(45482,45307,,"SPX")&lt;/Q&gt;&lt;R&gt;1&lt;/R&gt;&lt;C&gt;1&lt;/C&gt;&lt;D xsi:type="xsd:double"&gt;2.496356&lt;/D&gt;&lt;/FQL&gt;&lt;FQL&gt;&lt;Q&gt;WCC-US^P_BETA_LOCIDX(45933,45761,,"SPX")&lt;/Q&gt;&lt;R&gt;1&lt;/R&gt;&lt;C&gt;1&lt;/C&gt;&lt;D xsi:type="xsd:double"&gt;1.5895023&lt;/D&gt;&lt;/FQL&gt;&lt;FQL&gt;&lt;Q&gt;WCC-US^P_BETA_LOCIDX(45050,44874,,"SPX")&lt;/Q&gt;&lt;R&gt;1&lt;/R&gt;&lt;C&gt;1&lt;/C&gt;&lt;D xsi:type="xsd:double"&gt;1.4213935&lt;/D&gt;&lt;/FQL&gt;&lt;FQL&gt;&lt;Q&gt;WCC-US^P_BETA_LOCIDX(45434,45259,,"SPX")&lt;/Q&gt;&lt;R&gt;1&lt;/R&gt;&lt;C&gt;1&lt;/C&gt;&lt;D xsi:type="xsd:double"&gt;2.4793139&lt;/D&gt;&lt;/FQL&gt;&lt;FQL&gt;&lt;Q&gt;WCC-US^P_BETA_LOCIDX(45932,45758,,"SPX")&lt;/Q&gt;&lt;R&gt;1&lt;/R&gt;&lt;C&gt;1&lt;/C&gt;&lt;D xsi:type="xsd:double"&gt;1.5531175&lt;/D&gt;&lt;/FQL&gt;&lt;FQL&gt;&lt;Q&gt;WCC-US^P_BETA_LOCIDX(45811,45632,,"SPX")&lt;/Q&gt;&lt;R&gt;1&lt;/R&gt;&lt;C&gt;1&lt;/C&gt;&lt;D xsi:type="xsd:double"&gt;1.588227&lt;/D&gt;&lt;/FQL&gt;&lt;FQL&gt;&lt;Q&gt;WCC-US^P_BETA_LOCIDX(45602,45428,,"SPX")&lt;/Q&gt;&lt;R&gt;1&lt;/R&gt;&lt;C&gt;1&lt;/C&gt;&lt;D xsi:type="xsd:double"&gt;1.6790042&lt;/D&gt;&lt;/FQL&gt;&lt;FQL&gt;&lt;Q&gt;WCC-US^P_BETA_LOCIDX(45177,45002,,"SPX")&lt;/Q&gt;&lt;R&gt;1&lt;/R&gt;&lt;C&gt;1&lt;/C&gt;&lt;D xsi:type="xsd:double"&gt;2.1152394&lt;/D&gt;&lt;/FQL&gt;&lt;FQL&gt;&lt;Q&gt;WCC-US^P_BETA_LOCIDX(45317,45142,,"SPX")&lt;/Q&gt;&lt;R&gt;1&lt;/R&gt;&lt;C&gt;1&lt;/C&gt;&lt;D xsi:type="xsd:double"&gt;1.6737379&lt;/D&gt;&lt;/FQL&gt;&lt;FQL&gt;&lt;Q&gt;WCC-US^P_BETA_LOCIDX(45943,45770,,"SPX")&lt;/Q&gt;&lt;R&gt;1&lt;/R&gt;&lt;C&gt;1&lt;/C&gt;&lt;D xsi:type="xsd:double"&gt;1.8575366&lt;/D&gt;&lt;/FQL&gt;&lt;FQL&gt;&lt;Q&gt;WCC-US^P_BETA_LOCIDX(45569,45397,,"SPX")&lt;/Q&gt;&lt;R&gt;1&lt;/R&gt;&lt;C&gt;1&lt;/C&gt;&lt;D xsi:type="xsd:double"&gt;1.7441623&lt;/D&gt;&lt;/FQL&gt;&lt;FQL&gt;&lt;Q&gt;WCC-US^P_BETA_LOCIDX(45229,45055,,"SPX")&lt;/Q&gt;&lt;R&gt;1&lt;/R&gt;&lt;C&gt;1&lt;/C&gt;&lt;D xsi:type="xsd:double"&gt;1.8412148&lt;/D&gt;&lt;/FQL&gt;&lt;FQL&gt;&lt;Q&gt;WCC-US^P_BETA_LOCIDX(45819,45642,,"SPX")&lt;/Q&gt;&lt;R&gt;1&lt;/R&gt;&lt;C&gt;1&lt;/C&gt;&lt;D xsi:type="xsd:double"&gt;1.5929866&lt;/D&gt;&lt;/FQL&gt;&lt;FQL&gt;&lt;Q&gt;WCC-US^P_BETA_LOCIDX(45293,45119,,"SPX")&lt;/Q&gt;&lt;R&gt;1&lt;/R&gt;&lt;C&gt;1&lt;/C&gt;&lt;D xsi:type="xsd:double"&gt;1.6455889&lt;/D&gt;&lt;/FQL&gt;&lt;FQL&gt;&lt;Q&gt;WCC-US^P_BETA_LOCIDX(45244,45070,,"SPX")&lt;/Q&gt;&lt;R&gt;1&lt;/R&gt;&lt;C&gt;1&lt;/C&gt;&lt;D xsi:type="xsd:double"&gt;1.8493631&lt;/D&gt;&lt;/FQL&gt;&lt;FQL&gt;&lt;Q&gt;WCC-US^P_BETA_LOCIDX(45343,45167,,"SPX")&lt;/Q&gt;&lt;R&gt;1&lt;/R&gt;&lt;C&gt;1&lt;/C&gt;&lt;D xsi:type="xsd:double"&gt;2.491156&lt;/D&gt;&lt;/FQL&gt;&lt;FQL&gt;&lt;Q&gt;WCC-US^P_BETA_LOCIDX(45559,45385,,"SPX")&lt;/Q&gt;&lt;R&gt;1&lt;/R&gt;&lt;C&gt;1&lt;/C&gt;&lt;D xsi:type="xsd:double"&gt;1.7358476&lt;/D&gt;&lt;/FQL&gt;&lt;FQL&gt;&lt;Q&gt;WCC-US^P_BETA_LOCIDX(45706,45527,,"SPX")&lt;/Q&gt;&lt;R&gt;1&lt;/R&gt;&lt;C&gt;1&lt;/C&gt;&lt;D xsi:type="xsd:double"&gt;1.5806407&lt;/D&gt;&lt;/FQL&gt;&lt;FQL&gt;&lt;Q&gt;WCC-US^P_BETA_LOCIDX(45128,44953,,"SPX")&lt;/Q&gt;&lt;R&gt;1&lt;/R&gt;&lt;C&gt;1&lt;/C&gt;&lt;D xsi:type="xsd:double"&gt;1.9235423&lt;/D&gt;&lt;/FQL&gt;&lt;FQL&gt;&lt;Q&gt;WCC-US^P_BETA_LOCIDX(45042,44866,,"SPX")&lt;/Q&gt;&lt;R&gt;1&lt;/R&gt;&lt;C&gt;1&lt;/C&gt;&lt;D xsi:type="xsd:double"&gt;1.4254376&lt;/D&gt;&lt;/FQL&gt;&lt;FQL&gt;&lt;Q&gt;WCC-US^P_BETA_LOCIDX(45210,45036,,"SPX")&lt;/Q&gt;&lt;R&gt;1&lt;/R&gt;&lt;C&gt;1&lt;/C&gt;&lt;D xsi:type="xsd:double"&gt;1.9423143&lt;/D&gt;&lt;/FQL&gt;&lt;FQL&gt;&lt;Q&gt;WCC-US^P_BETA_LOCIDX(45820,45643,,"SPX")&lt;/Q&gt;&lt;R&gt;1&lt;/R&gt;&lt;C&gt;1&lt;/C&gt;&lt;D xsi:type="xsd:double"&gt;1.5931458&lt;/D&gt;&lt;/FQL&gt;&lt;FQL&gt;&lt;Q&gt;WCC-US^P_BETA_LOCIDX(45593,45419,,"SPX")&lt;/Q&gt;&lt;R&gt;1&lt;/R&gt;&lt;C&gt;1&lt;/C&gt;&lt;D xsi:type="xsd:double"&gt;1.7240542&lt;/D&gt;&lt;/FQL&gt;&lt;FQL&gt;&lt;Q&gt;WCC-US^P_BETA_LOCIDX(45168,44994,,"SPX")&lt;/Q&gt;&lt;R&gt;1&lt;/R&gt;&lt;C&gt;1&lt;/C&gt;&lt;D xsi:type="xsd:double"&gt;2.13536&lt;/D&gt;&lt;/FQL&gt;&lt;FQL&gt;&lt;Q&gt;WCC-US^P_BETA_LOCIDX(45313,45138,,"SPX")&lt;/Q&gt;&lt;R&gt;1&lt;/R&gt;&lt;C&gt;1&lt;/C&gt;&lt;D xsi:type="xsd:double"&gt;1.6880931&lt;/D&gt;&lt;/FQL&gt;&lt;FQL&gt;&lt;Q&gt;WCC-US^P_BETA_LOCIDX(45642,45469,,"SPX")&lt;/Q&gt;&lt;R&gt;1&lt;/R&gt;&lt;C&gt;1&lt;/C&gt;&lt;D xsi:type="xsd:double"&gt;1.6367098&lt;/D&gt;&lt;/FQL&gt;&lt;FQL&gt;&lt;Q&gt;WCC-US^P_BETA_LOCIDX(45848,45673,,"SPX")&lt;/Q&gt;&lt;R&gt;1&lt;/R&gt;&lt;C&gt;1&lt;/C&gt;&lt;D xsi:type="xsd:double"&gt;1.6258457&lt;/D&gt;&lt;/FQL&gt;&lt;FQL&gt;&lt;Q&gt;WCC-US^P_BETA_LOCIDX(45775,45596,,"SPX")&lt;/Q&gt;&lt;R&gt;1&lt;/R&gt;&lt;C&gt;1&lt;/C&gt;&lt;D xsi:type="xsd:double"&gt;1.5718853&lt;/D&gt;&lt;/FQL&gt;&lt;FQL&gt;&lt;Q&gt;WCC-US^P_BETA_LOCIDX(45182,45007,,"SPX")&lt;/Q&gt;&lt;R&gt;1&lt;/R&gt;&lt;C&gt;1&lt;/C&gt;&lt;D xsi:type="xsd:double"&gt;1.9810277&lt;/D&gt;&lt;/FQL&gt;&lt;FQL&gt;&lt;Q&gt;WCC-US^P_BETA_LOCIDX(45169,44995,,"SPX")&lt;/Q&gt;&lt;R&gt;1&lt;/R&gt;&lt;C&gt;1&lt;/C&gt;&lt;D xsi:type="xsd:double"&gt;2.1539865&lt;/D&gt;&lt;/FQL&gt;&lt;FQL&gt;&lt;Q&gt;WCC-US^P_BETA_LOCIDX(45720,45544,,"SPX")&lt;/Q&gt;&lt;R&gt;1&lt;/R&gt;&lt;C&gt;1&lt;/C&gt;&lt;D xsi:type="xsd:double"&gt;1.6270353&lt;/D&gt;&lt;/FQL&gt;&lt;FQL&gt;&lt;Q&gt;WCC-US^P_BETA_LOCIDX(45621,45448,,"SPX")&lt;/Q&gt;&lt;R&gt;1&lt;/R&gt;&lt;C&gt;1&lt;/C&gt;&lt;D xsi:type="xsd:double"&gt;1.6307187&lt;/D&gt;&lt;/FQL&gt;&lt;FQL&gt;&lt;Q&gt;WCC-US^P_BETA_LOCIDX(45133,44958,,"SPX")&lt;/Q&gt;&lt;R&gt;1&lt;/R&gt;&lt;C&gt;1&lt;/C&gt;&lt;D xsi:type="xsd:double"&gt;1.9380558&lt;/D&gt;&lt;/FQL&gt;&lt;FQL&gt;&lt;Q&gt;WCC-US^P_BETA_LOCIDX(45413,45237,,"SPX")&lt;/Q&gt;&lt;R&gt;1&lt;/R&gt;&lt;C&gt;1&lt;/C&gt;&lt;D xsi:type="xsd:double"&gt;2.360047&lt;/D&gt;&lt;/FQL&gt;&lt;FQL&gt;&lt;Q&gt;WCC-US^P_BETA_LOCIDX(46038,45866,,"SPX")&lt;/Q&gt;&lt;R&gt;1&lt;/R&gt;&lt;C&gt;1&lt;/C&gt;&lt;D xsi:type="xsd:double"&gt;1.6920696&lt;/D&gt;&lt;/FQL&gt;&lt;FQL&gt;&lt;Q&gt;WCC-US^P_BETA_LOCIDX(44973,44798,,"SPX")&lt;/Q&gt;&lt;R&gt;1&lt;/R&gt;&lt;C&gt;1&lt;/C&gt;&lt;D xsi:type="xsd:double"&gt;1.3780086&lt;/D&gt;&lt;/FQL&gt;&lt;FQL&gt;&lt;Q&gt;WCC-US^P_BETA_LOCIDX(45999,45826,,"SPX")&lt;/Q&gt;&lt;R&gt;1&lt;/R&gt;&lt;C&gt;1&lt;/C&gt;&lt;D xsi:type="xsd:double"&gt;1.4859551&lt;/D&gt;&lt;/FQL&gt;&lt;FQL&gt;&lt;Q&gt;WCC-US^P_BETA_LOCIDX(45839,45663,,"SPX")&lt;/Q&gt;&lt;R&gt;1&lt;/R&gt;&lt;C&gt;1&lt;/C&gt;&lt;D xsi:type="xsd:double"&gt;1.6038568&lt;/D&gt;&lt;/FQL&gt;&lt;FQL&gt;&lt;Q&gt;WCC-US^P_BETA_LOCIDX(45358,45183,,"SPX")&lt;/Q&gt;&lt;R&gt;1&lt;/R&gt;&lt;C&gt;1&lt;/C&gt;&lt;D xsi:type="xsd:double"&gt;2.3889647&lt;/D&gt;&lt;/FQL&gt;&lt;FQL&gt;&lt;Q&gt;WCC-US^P_BETA_LOCIDX(45040,44862,,"SPX")&lt;/Q&gt;&lt;R&gt;1&lt;/R&gt;&lt;C&gt;1&lt;/C&gt;&lt;D xsi:type="xsd:double"&gt;1.416481&lt;/D&gt;&lt;/FQL&gt;&lt;FQL&gt;&lt;Q&gt;WCC-US^P_BETA_LOCIDX(45796,45617,,"SPX")&lt;/Q&gt;&lt;R&gt;1&lt;/R&gt;&lt;C&gt;1&lt;/C&gt;&lt;D xsi:type="xsd:double"&gt;1.5971586&lt;/D&gt;&lt;/FQL&gt;&lt;FQL&gt;&lt;Q&gt;WCC-US^P_BETA_LOCIDX(45464,45288,,"SPX")&lt;/Q&gt;&lt;R&gt;1&lt;/R&gt;&lt;C&gt;1&lt;/C&gt;&lt;D xsi:type="xsd:double"&gt;2.5152073&lt;/D&gt;&lt;/FQL&gt;&lt;FQL&gt;&lt;Q&gt;WCC-US^P_BETA_LOCIDX(45721,45545,,"SPX")&lt;/Q&gt;&lt;R&gt;1&lt;/R&gt;&lt;C&gt;1&lt;/C&gt;&lt;D xsi:type="xsd:double"&gt;1.6608996&lt;/D&gt;&lt;/FQL&gt;&lt;FQL&gt;&lt;Q&gt;WCC-US^P_BETA_LOCIDX(45364,45189,,"SPX")&lt;/Q&gt;&lt;R&gt;1&lt;/R&gt;&lt;C&gt;1&lt;/C&gt;&lt;D xsi:type="xsd:double"&gt;2.419066&lt;/D&gt;&lt;/FQL&gt;&lt;FQL&gt;&lt;Q&gt;WCC-US^P_BETA_LOCIDX(45952,45779,,"SPX")&lt;/Q&gt;&lt;R&gt;1&lt;/R&gt;&lt;C&gt;1&lt;/C&gt;&lt;D xsi:type="xsd:double"&gt;1.8954408&lt;/D&gt;&lt;/FQL&gt;&lt;FQL&gt;&lt;Q&gt;WCC-US^P_BETA_LOCIDX(45230,45056,,"SPX")&lt;/Q&gt;&lt;R&gt;1&lt;/R&gt;&lt;C&gt;1&lt;/C&gt;&lt;D xsi:type="xsd:double"&gt;1.8409919&lt;/D&gt;&lt;/FQL&gt;&lt;FQL&gt;&lt;Q&gt;WCC-US^P_BETA_LOCIDX(45384,45208,,"SPX")&lt;/Q&gt;&lt;R&gt;1&lt;/R&gt;&lt;C&gt;1&lt;/C&gt;&lt;D xsi:type="xsd:double"&gt;2.5215626&lt;/D&gt;&lt;/FQL&gt;&lt;FQL&gt;&lt;Q&gt;WCC-US^P_BETA_LOCIDX(45849,45674,,"SPX")&lt;/Q&gt;&lt;R&gt;1&lt;/R&gt;&lt;C&gt;1&lt;/C&gt;&lt;D xsi:type="xsd:double"&gt;1.6289688&lt;/D&gt;&lt;/FQL&gt;&lt;FQL&gt;&lt;Q&gt;WCC-US^P_BETA_LOCIDX(46049,45874,,"SPX")&lt;/Q&gt;&lt;R&gt;1&lt;/R&gt;&lt;C&gt;1&lt;/C&gt;&lt;D xsi:type="xsd:double"&gt;1.6593162&lt;/D&gt;&lt;/FQL&gt;&lt;FQL&gt;&lt;Q&gt;WCC-US^P_BETA_LOCIDX(45735,45559,,"SPX")&lt;/Q&gt;&lt;R&gt;1&lt;/R&gt;&lt;C&gt;1&lt;/C&gt;&lt;D xsi:type="xsd:double"&gt;1.6264143&lt;/D&gt;&lt;/FQL&gt;&lt;FQL&gt;&lt;Q&gt;WCC-US^P_BETA_LOCIDX(45315,45140,,"SPX")&lt;/Q&gt;&lt;R&gt;1&lt;/R&gt;&lt;C&gt;1&lt;/C&gt;&lt;D xsi:type="xsd:double"&gt;1.6924622&lt;/D&gt;&lt;/FQL&gt;&lt;FQL&gt;&lt;Q&gt;WCC-US^P_BETA_LOCIDX(45035,44859,,"SPX")&lt;/Q&gt;&lt;R&gt;1&lt;/R&gt;&lt;C&gt;1&lt;/C&gt;&lt;D xsi:type="xsd:double"&gt;1.4090972&lt;/D&gt;&lt;/FQL&gt;&lt;FQL&gt;&lt;Q&gt;WCC-US^P_BETA_LOCIDX(45328,45153,,"SPX")&lt;/Q&gt;&lt;R&gt;1&lt;/R&gt;&lt;C&gt;1&lt;/C&gt;&lt;D xsi:type="xsd:double"&gt;1.7090256&lt;/D&gt;&lt;/FQL&gt;&lt;FQL&gt;&lt;Q&gt;WCC-US^P_BETA_LOCIDX(45098,44922,,"SPX")&lt;/Q&gt;&lt;R&gt;1&lt;/R&gt;&lt;C&gt;1&lt;/C&gt;&lt;D xsi:type="xsd:double"&gt;1.931753&lt;/D&gt;&lt;/FQL&gt;&lt;FQL&gt;&lt;Q&gt;WCC-US^P_BETA_LOCIDX(45264,45090,,"SPX")&lt;/Q&gt;&lt;R&gt;1&lt;/R&gt;&lt;C&gt;1&lt;/C&gt;&lt;D xsi:type="xsd:double"&gt;1.5794802&lt;/D&gt;&lt;/FQL&gt;&lt;FQL&gt;&lt;Q&gt;WCC-US^P_BETA_LOCIDX(45646,45475,,"SPX")&lt;/Q&gt;&lt;R&gt;1&lt;/R&gt;&lt;C&gt;1&lt;/C&gt;&lt;D xsi:type="xsd:double"&gt;1.6764537&lt;/D&gt;&lt;/FQL&gt;&lt;FQL&gt;&lt;Q&gt;WCC-US^P_BETA_LOCIDX(45911,45737,,"SPX")&lt;/Q&gt;&lt;R&gt;1&lt;/R&gt;&lt;C&gt;1&lt;/C&gt;&lt;D xsi:type="xsd:double"&gt;1.5881149&lt;/D&gt;&lt;/FQL&gt;&lt;FQL&gt;&lt;Q&gt;WCC-US^P_BETA_LOCIDX(45736,45560,,"SPX")&lt;/Q&gt;&lt;R&gt;1&lt;/R&gt;&lt;C&gt;1&lt;/C&gt;&lt;D xsi:type="xsd:double"&gt;1.6280034&lt;/D&gt;&lt;/FQL&gt;&lt;FQL&gt;&lt;Q&gt;WCC-US^P_BETA_LOCIDX(45733,45555,,"SPX")&lt;/Q&gt;&lt;R&gt;1&lt;/R&gt;&lt;C&gt;1&lt;/C&gt;&lt;D xsi:type="xsd:double"&gt;1.6227577&lt;/D&gt;&lt;/FQL&gt;&lt;FQL&gt;&lt;Q&gt;WCC-US^P_BETA_LOCIDX(45147,44972,,"SPX")&lt;/Q&gt;&lt;R&gt;1&lt;/R&gt;&lt;C&gt;1&lt;/C&gt;&lt;D xsi:type="xsd:double"&gt;2.023725&lt;/D&gt;&lt;/FQL&gt;&lt;FQL&gt;&lt;Q&gt;WCC-US^P_BETA_LOCIDX(45334,45159,,"SPX")&lt;/Q&gt;&lt;R&gt;1&lt;/R&gt;&lt;C&gt;1&lt;/C&gt;&lt;D xsi:type="xsd:double"&gt;1.7206124&lt;/D&gt;&lt;/FQL&gt;&lt;FQL&gt;&lt;Q&gt;WCC-US^P_BETA_LOCIDX(45561,45387,,"SPX")&lt;/Q&gt;&lt;R&gt;1&lt;/R&gt;&lt;C&gt;1&lt;/C&gt;&lt;D xsi:type="xsd:double"&gt;1.7599436&lt;/D&gt;&lt;/FQL&gt;&lt;FQL&gt;&lt;Q&gt;WCC-US^P_BETA_LOCIDX(45978,45806,,"SPX")&lt;/Q&gt;&lt;R&gt;1&lt;/R&gt;&lt;C&gt;1&lt;/C&gt;&lt;D xsi:type="xsd:double"&gt;1.579049&lt;/D&gt;&lt;/FQL&gt;&lt;FQL&gt;&lt;Q&gt;WCC-US^P_BETA_LOCIDX(45875,45701,,"SPX")&lt;/Q&gt;&lt;R&gt;1&lt;/R&gt;&lt;C&gt;1&lt;/C&gt;&lt;D xsi:type="xsd:double"&gt;1.6121987&lt;/D&gt;&lt;/FQL&gt;&lt;FQL&gt;&lt;Q&gt;WCC-US^P_BETA_LOCIDX(45904,45730,,"SPX")&lt;/Q&gt;&lt;R&gt;1&lt;/R&gt;&lt;C&gt;1&lt;/C&gt;&lt;D xsi:type="xsd:double"&gt;1.5835978&lt;/D&gt;&lt;/FQL&gt;&lt;FQL&gt;&lt;Q&gt;WCC-US^P_BETA_LOCIDX(46010,45840,,"SPX")&lt;/Q&gt;&lt;R&gt;1&lt;/R&gt;&lt;C&gt;1&lt;/C&gt;&lt;D xsi:type="xsd:double"&gt;1.6447299&lt;/D&gt;&lt;/FQL&gt;&lt;FQL&gt;&lt;Q&gt;WCC-US^P_BETA_LOCIDX(45749,45573,,"SPX")&lt;/Q&gt;&lt;R&gt;1&lt;/R&gt;&lt;C&gt;1&lt;/C&gt;&lt;D xsi:type="xsd:double"&gt;1.673596&lt;/D&gt;&lt;/FQL&gt;&lt;FQL&gt;&lt;Q&gt;WCC-US^P_BETA_LOCIDX(45518,45344,,"SPX")&lt;/Q&gt;&lt;R&gt;1&lt;/R&gt;&lt;C&gt;1&lt;/C&gt;&lt;D xsi:type="xsd:double"&gt;1.6196072&lt;/D&gt;&lt;/FQL&gt;&lt;FQL&gt;&lt;Q&gt;WCC-US^P_BETA_LOCIDX(45936,45762,,"SPX")&lt;/Q&gt;&lt;R&gt;1&lt;/R&gt;&lt;C&gt;1&lt;/C&gt;&lt;D xsi:type="xsd:double"&gt;1.5932298&lt;/D&gt;&lt;/FQL&gt;&lt;FQL&gt;&lt;Q&gt;WCC-US^P_BETA_LOCIDX(45481,45303,,"SPX")&lt;/Q&gt;&lt;R&gt;1&lt;/R&gt;&lt;C&gt;1&lt;/C&gt;&lt;D xsi:type="xsd:double"&gt;2.4964373&lt;/D&gt;&lt;/FQL&gt;&lt;FQL&gt;&lt;Q&gt;WCC-US^P_BETA_LOCIDX(46015,45845,,"SPX")&lt;/Q&gt;&lt;R&gt;1&lt;/R&gt;&lt;C&gt;1&lt;/C&gt;&lt;D xsi:type="xsd:double"&gt;1.6401527&lt;/D&gt;&lt;/FQL&gt;&lt;FQL&gt;&lt;Q&gt;WCC-US^P_BETA_LOCIDX(45224,45050,,"SPX")&lt;/Q&gt;&lt;R&gt;1&lt;/R&gt;&lt;C&gt;1&lt;/C&gt;&lt;D xsi:type="xsd:double"&gt;2.1571434&lt;/D&gt;&lt;/FQL&gt;&lt;FQL&gt;&lt;Q&gt;WCC-US^P_BETA_LOCIDX(45531,45357,,"SPX")&lt;/Q&gt;&lt;R&gt;1&lt;/R&gt;&lt;C&gt;1&lt;/C&gt;&lt;D xsi:type="xsd:double"&gt;1.7158467&lt;/D&gt;&lt;/FQL&gt;&lt;FQL&gt;&lt;Q&gt;WCC-US^P_BETA_LOCIDX(45862,45688,,"SPX")&lt;/Q&gt;&lt;R&gt;1&lt;/R&gt;&lt;C&gt;1&lt;/C&gt;&lt;D xsi:type="xsd:double"&gt;1.611314&lt;/D&gt;&lt;/FQL&gt;&lt;FQL&gt;&lt;Q&gt;WCC-US^P_BETA_LOCIDX(45448,45272,,"SPX")&lt;/Q&gt;&lt;R&gt;1&lt;/R&gt;&lt;C&gt;1&lt;/C&gt;&lt;D xsi:type="xsd:double"&gt;2.4717033&lt;/D&gt;&lt;/FQL&gt;&lt;FQL&gt;&lt;Q&gt;WCC-US^P_BETA_LOCIDX(45090,44914,,"SPX")&lt;/Q&gt;&lt;R&gt;1&lt;/R&gt;&lt;C&gt;1&lt;/C&gt;&lt;D xsi:type="xsd:double"&gt;1.9378608&lt;/D&gt;&lt;/FQL&gt;&lt;FQL&gt;&lt;Q&gt;WCC-US^P_BETA_LOCIDX(45636,45463,,"SPX")&lt;/Q&gt;&lt;R&gt;1&lt;/R&gt;&lt;C&gt;1&lt;/C&gt;&lt;D xsi:type="xsd:double"&gt;1.6387295&lt;/D&gt;&lt;/FQL&gt;&lt;FQL&gt;&lt;Q&gt;WCC-US^P_BETA_LOCIDX(45488,45313,,"SPX")&lt;/Q&gt;&lt;R&gt;1&lt;/R&gt;&lt;C&gt;1&lt;/C&gt;&lt;D xsi:type="xsd:double"&gt;2.4617715&lt;/D&gt;&lt;/FQL&gt;&lt;FQL&gt;&lt;Q&gt;WCC-US^P_BETA_LOCIDX(45895,45722,,"SPX")&lt;/Q&gt;&lt;R&gt;1&lt;/R&gt;&lt;C&gt;1&lt;/C&gt;&lt;D xsi:type="xsd:double"&gt;1.5909537&lt;/D&gt;&lt;/FQL&gt;&lt;FQL&gt;&lt;Q&gt;WCC-US^P_BETA_LOCIDX(45218,45044,,"SPX")&lt;/Q&gt;&lt;R&gt;1&lt;/R&gt;&lt;C&gt;1&lt;/C&gt;&lt;D xsi:type="xsd:double"&gt;2.1035128&lt;/D&gt;&lt;/FQL&gt;&lt;FQL&gt;&lt;Q&gt;WCC-US^P_BETA_LOCIDX(45898,45727,,"SPX")&lt;/Q&gt;&lt;R&gt;1&lt;/R&gt;&lt;C&gt;1&lt;/C&gt;&lt;D xsi:type="xsd:double"&gt;1.5940771&lt;/D&gt;&lt;/FQL&gt;&lt;FQL&gt;&lt;Q&gt;WCC-US^P_BETA_LOCIDX(45582,45408,,"SPX")&lt;/Q&gt;&lt;R&gt;1&lt;/R&gt;&lt;C&gt;1&lt;/C&gt;&lt;D xsi:type="xsd:double"&gt;1.7745054&lt;/D&gt;&lt;/FQL&gt;&lt;FQL&gt;&lt;Q&gt;WCC-US^P_BETA_LOCIDX(45631,45457,,"SPX")&lt;/Q&gt;&lt;R&gt;1&lt;/R&gt;&lt;C&gt;1&lt;/C&gt;&lt;D xsi:type="xsd:double"&gt;1.6137706&lt;/D&gt;&lt;/FQL&gt;&lt;FQL&gt;&lt;Q&gt;WCC-US^P_BETA_LOCIDX(45722,45546,,"SPX")&lt;/Q&gt;&lt;R&gt;1&lt;/R&gt;&lt;C&gt;1&lt;/C&gt;&lt;D xsi:type="xsd:double"&gt;1.6422374&lt;/D&gt;&lt;/FQL&gt;&lt;FQL&gt;&lt;Q&gt;WCC-US^P_BETA_LOCIDX(45357,45182,,"SPX")&lt;/Q&gt;&lt;R&gt;1&lt;/R&gt;&lt;C&gt;1&lt;/C&gt;&lt;D xsi:type="xsd:double"&gt;2.372616&lt;/D&gt;&lt;/FQL&gt;&lt;FQL&gt;&lt;Q&gt;WCC-US^P_BETA_LOCIDX(45810,45631,,"SPX")&lt;/Q&gt;&lt;R&gt;1&lt;/R&gt;&lt;C&gt;1&lt;/C&gt;&lt;D xsi:type="xsd:double"&gt;1.5810256&lt;/D&gt;&lt;/FQL&gt;&lt;FQL&gt;&lt;Q&gt;WCC-US^P_BETA_LOCIDX(45097,44918,,"SPX")&lt;/Q&gt;&lt;R&gt;1&lt;/R&gt;&lt;C&gt;1&lt;/C&gt;&lt;D xsi:type="xsd:double"&gt;1.9520773&lt;/D&gt;&lt;/FQL&gt;&lt;FQL&gt;&lt;Q&gt;WCC-US^P_BETA_LOCIDX(45876,45702,,"SPX")&lt;/Q&gt;&lt;R&gt;1&lt;/R&gt;&lt;C&gt;1&lt;/C&gt;&lt;D xsi:type="xsd:double"&gt;1.6178821&lt;/D&gt;&lt;/FQL&gt;&lt;FQL&gt;&lt;Q&gt;WCC-US^P_BETA_LOCIDX(45580,45406,,"SPX")&lt;/Q&gt;&lt;R&gt;1&lt;/R&gt;&lt;C&gt;1&lt;/C&gt;&lt;D xsi:type="xsd:double"&gt;1.7657033&lt;/D&gt;&lt;/FQL&gt;&lt;FQL&gt;&lt;Q&gt;WCC-US^P_BETA_LOCIDX(45530,45356,,"SPX")&lt;/Q&gt;&lt;R&gt;1&lt;/R&gt;&lt;C&gt;1&lt;/C&gt;&lt;D xsi:type="xsd:double"&gt;1.658755&lt;/D&gt;&lt;/FQL&gt;&lt;FQL&gt;&lt;Q&gt;WCC-US^P_BETA_LOCIDX(45048,44872,,"SPX")&lt;/Q&gt;&lt;R&gt;1&lt;/R&gt;&lt;C&gt;1&lt;/C&gt;&lt;D xsi:type="xsd:double"&gt;1.3567587&lt;/D&gt;&lt;/FQL&gt;&lt;FQL&gt;&lt;Q&gt;WCC-US^P_BETA_LOCIDX(45432,45257,,"SPX")&lt;/Q&gt;&lt;R&gt;1&lt;/R&gt;&lt;C&gt;1&lt;/C&gt;&lt;D xsi:type="xsd:double"&gt;2.4804597&lt;/D&gt;&lt;/FQL&gt;&lt;FQL&gt;&lt;Q&gt;WCC-US^P_BETA_LOCIDX(45054,44876,,"SPX")&lt;/Q&gt;&lt;R&gt;1&lt;/R&gt;&lt;C&gt;1&lt;/C&gt;&lt;D xsi:type="xsd:double"&gt;1.616066&lt;/D&gt;&lt;/FQL&gt;&lt;FQL&gt;&lt;Q&gt;WCC-US^P_BETA_LOCIDX(45926,45754,,"SPX")&lt;/Q&gt;&lt;R&gt;1&lt;/R&gt;&lt;C&gt;1&lt;/C&gt;&lt;D xsi:type="xsd:double"&gt;1.5941682&lt;/D&gt;&lt;/FQL&gt;&lt;FQL&gt;&lt;Q&gt;WCC-US^P_BETA_LOCIDX(44957,44782,,"SPX")&lt;/Q&gt;&lt;R&gt;1&lt;/R&gt;&lt;C&gt;1&lt;/C&gt;&lt;D xsi:type="xsd:double"&gt;1.3979744&lt;/D&gt;&lt;/FQL&gt;&lt;FQL&gt;&lt;Q&gt;WCC-US^P_BETA_LOCIDX(45959,45786,,"SPX")&lt;/Q&gt;&lt;R&gt;1&lt;/R&gt;&lt;C&gt;1&lt;/C&gt;&lt;D xsi:type="xsd:double"&gt;1.7441337&lt;/D&gt;&lt;/FQL&gt;&lt;FQL&gt;&lt;Q&gt;WCC-US^P_BETA_LOCIDX(45846,45671,,"SPX")&lt;/Q&gt;&lt;R&gt;1&lt;/R&gt;&lt;C&gt;1&lt;/C&gt;&lt;D xsi:type="xsd:double"&gt;1.6089531&lt;/D&gt;&lt;/FQL&gt;&lt;FQL&gt;&lt;Q&gt;WCC-US^P_BETA_LOCIDX(46013,45841,,"SPX")&lt;/Q&gt;&lt;R&gt;1&lt;/R&gt;&lt;C&gt;1&lt;/C&gt;&lt;D xsi:type="xsd:double"&gt;1.6363298&lt;/D&gt;&lt;/FQL&gt;&lt;FQL&gt;&lt;Q&gt;WCC-US^P_BETA_LOCIDX(46057,45882,,"SPX")&lt;/Q&gt;&lt;R&gt;1&lt;/R&gt;&lt;C&gt;1&lt;/C&gt;&lt;D xsi:type="xsd:double"&gt;1.6276455&lt;/D&gt;&lt;/FQL&gt;&lt;FQL&gt;&lt;Q&gt;WCC-US^P_BETA_LOCIDX(45869,45695,,"SPX")&lt;/Q&gt;&lt;R&gt;1&lt;/R&gt;&lt;C&gt;1&lt;/C&gt;&lt;D xsi:type="xsd:double"&gt;1.6101809&lt;/D&gt;&lt;/FQL&gt;&lt;FQL&gt;&lt;Q&gt;WCC-US^P_BETA_LOCIDX(45541,45366,,"SPX")&lt;/Q&gt;&lt;R&gt;1&lt;/R&gt;&lt;C&gt;1&lt;/C&gt;&lt;D xsi:type="xsd:double"&gt;1.7080529&lt;/D&gt;&lt;/FQL&gt;&lt;FQL&gt;&lt;Q&gt;WCC-US^P_BETA_LOCIDX(45049,44873,,"SPX")&lt;/Q&gt;&lt;R&gt;1&lt;/R&gt;&lt;C&gt;1&lt;/C&gt;&lt;D xsi:type="xsd:double"&gt;1.3574107&lt;/D&gt;&lt;/FQL&gt;&lt;FQL&gt;&lt;Q&gt;WCC-US^P_BETA_LOCIDX(45447,45271,,"SPX")&lt;/Q&gt;&lt;R&gt;1&lt;/R&gt;&lt;C&gt;1&lt;/C&gt;&lt;D xsi:type="xsd:double"&gt;2.4771094&lt;/D&gt;&lt;/FQL&gt;&lt;FQL&gt;&lt;Q&gt;WCC-US^P_BETA_LOCIDX(45349,45174,,"SPX")&lt;/Q&gt;&lt;R&gt;1&lt;/R&gt;&lt;C&gt;1&lt;/C&gt;&lt;D xsi:type="xsd:double"&gt;2.4186287&lt;/D&gt;&lt;/FQL&gt;&lt;FQL&gt;&lt;Q&gt;WCC-US^P_BETA_LOCIDX(45070,44895,,"SPX")&lt;/Q&gt;&lt;R&gt;1&lt;/R&gt;&lt;C&gt;1&lt;/C&gt;&lt;D xsi:type="xsd:double"&gt;1.6763213&lt;/D&gt;&lt;/FQL&gt;&lt;FQL&gt;&lt;Q&gt;WCC-US^P_BETA_LOCIDX(45369,45194,,"SPX")&lt;/Q&gt;&lt;R&gt;1&lt;/R&gt;&lt;C&gt;1&lt;/C&gt;&lt;D xsi:type="xsd:double"&gt;2.4683383&lt;/D&gt;&lt;/FQL&gt;&lt;FQL&gt;&lt;Q&gt;WCC-US^P_BETA_LOCIDX(45616,45443,,"SPX")&lt;/Q&gt;&lt;R&gt;1&lt;/R&gt;&lt;C&gt;1&lt;/C&gt;&lt;D xsi:type="xsd:double"&gt;1.6084627&lt;/D&gt;&lt;/FQL&gt;&lt;FQL&gt;&lt;Q&gt;WCC-US^P_BETA_LOCIDX(45953,45782,,"SPX")&lt;/Q&gt;&lt;R&gt;1&lt;/R&gt;&lt;C&gt;1&lt;/C&gt;&lt;D xsi:type="xsd:double"&gt;1.8104343&lt;/D&gt;&lt;/FQL&gt;&lt;FQL&gt;&lt;Q&gt;WCC-US^P_BETA_LOCIDX(45047,44869,,"SPX")&lt;/Q&gt;&lt;R&gt;1&lt;/R&gt;&lt;C&gt;1&lt;/C&gt;&lt;D xsi:type="xsd:double"&gt;1.3754481&lt;/D&gt;&lt;/FQL&gt;&lt;FQL&gt;&lt;Q&gt;WCC-US^P_BETA_LOCIDX(45329,45154,,"SPX")&lt;/Q&gt;&lt;R&gt;1&lt;/R&gt;&lt;C&gt;1&lt;/C&gt;&lt;D xsi:type="xsd:double"&gt;1.7221948&lt;/D&gt;&lt;/FQL&gt;&lt;FQL&gt;&lt;Q&gt;WCC-US^P_BETA_LOCIDX(44998,44823,,"SPX")&lt;/Q&gt;&lt;R&gt;1&lt;/R&gt;&lt;C&gt;1&lt;/C&gt;&lt;D xsi:type="xsd:double"&gt;1.4311047&lt;/D&gt;&lt;/FQL&gt;&lt;FQL&gt;&lt;Q&gt;WCC-US^P_BETA_LOCIDX(45441,45265,,"SPX")&lt;/Q&gt;&lt;R&gt;1&lt;/R&gt;&lt;C&gt;1&lt;/C&gt;&lt;D xsi:type="xsd:double"&gt;2.5196693&lt;/D&gt;&lt;/FQL&gt;&lt;FQL&gt;&lt;Q&gt;WCC-US^P_BETA_LOCIDX(45490,45315,,"SPX")&lt;/Q&gt;&lt;R&gt;1&lt;/R&gt;&lt;C&gt;1&lt;/C&gt;&lt;D xsi:type="xsd:double"&gt;2.5157764&lt;/D&gt;&lt;/FQL&gt;&lt;FQL&gt;&lt;Q&gt;WCC-US^P_BETA_LOCIDX(45958,45785,,"SPX")&lt;/Q&gt;&lt;R&gt;1&lt;/R&gt;&lt;C&gt;1&lt;/C&gt;&lt;D xsi:type="xsd:double"&gt;1.7635199&lt;/D&gt;&lt;/FQL&gt;&lt;FQL&gt;&lt;Q&gt;WCC-US^P_BETA_LOCIDX(45265,45091,,"SPX")&lt;/Q&gt;&lt;R&gt;1&lt;/R&gt;&lt;C&gt;1&lt;/C&gt;&lt;D xsi:type="xsd:double"&gt;1.5597894&lt;/D&gt;&lt;/FQL&gt;&lt;FQL&gt;&lt;Q&gt;WCC-US^P_BETA_LOCIDX(45055,44879,,"SPX")&lt;/Q&gt;&lt;R&gt;1&lt;/R&gt;&lt;C&gt;1&lt;/C&gt;&lt;D xsi:type="xsd:double"&gt;1.5911845&lt;/D&gt;&lt;/FQL&gt;&lt;FQL&gt;&lt;Q&gt;WCC-US^P_BETA_LOCIDX(45841,45665,,"SPX")&lt;/Q&gt;&lt;R&gt;1&lt;/R&gt;&lt;C&gt;1&lt;/C&gt;&lt;D xsi:type="xsd:double"&gt;1.6108652&lt;/D&gt;&lt;/FQL&gt;&lt;FQL&gt;&lt;Q&gt;WCC-US^P_BETA_LOCIDX(45617,45446,,"SPX")&lt;/Q&gt;&lt;R&gt;1&lt;/R&gt;&lt;C&gt;1&lt;/C&gt;&lt;D xsi:type="xsd:double"&gt;1.6250452&lt;/D&gt;&lt;/FQL&gt;&lt;FQL&gt;&lt;Q&gt;WCC-US^P_BETA_LOCIDX(45259,45085,,"SPX")&lt;/Q&gt;&lt;R&gt;1&lt;/R&gt;&lt;C&gt;1&lt;/C&gt;&lt;D xsi:type="xsd:double"&gt;1.5995214&lt;/D&gt;&lt;/FQL&gt;&lt;FQL&gt;&lt;Q&gt;WCC-US^P_BETA_LOCIDX(46055,45880,,"SPX")&lt;/Q&gt;&lt;R&gt;1&lt;/R&gt;&lt;C&gt;1&lt;/C&gt;&lt;D xsi:type="xsd:double"&gt;1.707871&lt;/D&gt;&lt;/FQL&gt;&lt;FQL&gt;&lt;Q&gt;WCC-US^P_BETA_LOCIDX(45659,45485,,"SPX")&lt;/Q&gt;&lt;R&gt;1&lt;/R&gt;&lt;C&gt;1&lt;/C&gt;&lt;D xsi:type="xsd:double"&gt;1.6760261&lt;/D&gt;&lt;/FQL&gt;&lt;FQL&gt;&lt;Q&gt;WCC-US^P_BETA_LOCIDX(45457,45281,,"SPX")&lt;/Q&gt;&lt;R&gt;1&lt;/R&gt;&lt;C&gt;1&lt;/C&gt;&lt;D xsi:type="xsd:double"&gt;2.5481138&lt;/D&gt;&lt;/FQL&gt;&lt;FQL&gt;&lt;Q&gt;WCC-US^P_BETA_LOCIDX(45461,45286,,"SPX")&lt;/Q&gt;&lt;R&gt;1&lt;/R&gt;&lt;C&gt;1&lt;/C&gt;&lt;D xsi:type="xsd:double"&gt;2.5222054&lt;/D&gt;&lt;/FQL&gt;&lt;FQL&gt;&lt;Q&gt;WCC-US^P_BETA_LOCIDX(45217,45043,,"SPX")&lt;/Q&gt;&lt;R&gt;1&lt;/R&gt;&lt;C&gt;1&lt;/C&gt;&lt;D xsi:type="xsd:double"&gt;2.1171117&lt;/D&gt;&lt;/FQL&gt;&lt;FQL&gt;&lt;Q&gt;WCC-US^P_BETA_LOCIDX(45170,44998,,"SPX")&lt;/Q&gt;&lt;R&gt;1&lt;/R&gt;&lt;C&gt;1&lt;/C&gt;&lt;D xsi:type="xsd:double"&gt;2.1252644&lt;/D&gt;&lt;/FQL&gt;&lt;FQL&gt;&lt;Q&gt;WCC-US^P_BETA_LOCIDX(45887,45714,,"SPX")&lt;/Q&gt;&lt;R&gt;1&lt;/R&gt;&lt;C&gt;1&lt;/C&gt;&lt;D xsi:type="xsd:double"&gt;1.6012696&lt;/D&gt;&lt;/FQL&gt;&lt;FQL&gt;&lt;Q&gt;WCC-US^P_BETA_LOCIDX(45709,45532,,"SPX")&lt;/Q&gt;&lt;R&gt;1&lt;/R&gt;&lt;C&gt;1&lt;/C&gt;&lt;D xsi:type="xsd:double"&gt;1.6293919&lt;/D&gt;&lt;/FQL&gt;&lt;FQL&gt;&lt;Q&gt;WCC-US^P_BETA_LOCIDX(45664,45490,,"SPX")&lt;/Q&gt;&lt;R&gt;1&lt;/R&gt;&lt;C&gt;1&lt;/C&gt;&lt;D xsi:type="xsd:double"&gt;1.6146755&lt;/D&gt;&lt;/FQL&gt;&lt;FQL&gt;&lt;Q&gt;WCC-US^P_BETA_LOCIDX(45950,45777,,"SPX")&lt;/Q&gt;&lt;R&gt;1&lt;/R&gt;&lt;C&gt;1&lt;/C&gt;&lt;D xsi:type="xsd:double"&gt;1.8130599&lt;/D&gt;&lt;/FQL&gt;&lt;FQL&gt;&lt;Q&gt;WCC-US^P_BETA_LOCIDX(45554,45379,,"SPX")&lt;/Q&gt;&lt;R&gt;1&lt;/R&gt;&lt;C&gt;1&lt;/C&gt;&lt;D xsi:type="xsd:double"&gt;1.7299787&lt;/D&gt;&lt;/FQL&gt;&lt;FQL&gt;&lt;Q&gt;WCC-US^P_BETA_LOCIDX(45601,45427,,"SPX")&lt;/Q&gt;&lt;R&gt;1&lt;/R&gt;&lt;C&gt;1&lt;/C&gt;&lt;D xsi:type="xsd:double"&gt;1.4407856&lt;/D&gt;&lt;/FQL&gt;&lt;FQL&gt;&lt;Q&gt;WCC-US^P_BETA_LOCIDX(45663,45489,,"SPX")&lt;/Q&gt;&lt;R&gt;1&lt;/R&gt;&lt;C&gt;1&lt;/C&gt;&lt;D xsi:type="xsd:double"&gt;1.6616337&lt;/D&gt;&lt;/FQL&gt;&lt;FQL&gt;&lt;Q&gt;WCC-US^P_BETA_LOCIDX(45453,45275,,"SPX")&lt;/Q&gt;&lt;R&gt;1&lt;/R&gt;&lt;C&gt;1&lt;/C&gt;&lt;D xsi:type="xsd:double"&gt;2.499398&lt;/D&gt;&lt;/FQL&gt;&lt;FQL&gt;&lt;Q&gt;WCC-US^P_BETA_LOCIDX(45596,45422,,"SPX")&lt;/Q&gt;&lt;R&gt;1&lt;/R&gt;&lt;C&gt;1&lt;/C&gt;&lt;D xsi:type="xsd:double"&gt;1.4448372&lt;/D&gt;&lt;/FQL&gt;&lt;FQL&gt;&lt;Q&gt;WCC-US^P_BETA_LOCIDX(45406,45230,,"SPX")&lt;</t>
        </r>
      </text>
    </comment>
    <comment ref="A33" authorId="0" shapeId="0" xr:uid="{4902DADB-4AA4-4A8F-8CE3-D5DD139C7306}">
      <text>
        <r>
          <rPr>
            <b/>
            <sz val="9"/>
            <color indexed="81"/>
            <rFont val="Tahoma"/>
            <charset val="1"/>
          </rPr>
          <t>/Q&gt;&lt;R&gt;1&lt;/R&gt;&lt;C&gt;1&lt;/C&gt;&lt;D xsi:type="xsd:double"&gt;2.4383767&lt;/D&gt;&lt;/FQL&gt;&lt;FQL&gt;&lt;Q&gt;WCC-US^P_BETA_LOCIDX(45257,45083,,"SPX")&lt;/Q&gt;&lt;R&gt;1&lt;/R&gt;&lt;C&gt;1&lt;/C&gt;&lt;D xsi:type="xsd:double"&gt;1.5810101&lt;/D&gt;&lt;/FQL&gt;&lt;FQL&gt;&lt;Q&gt;WCC-US^P_BETA_LOCIDX(45868,45694,,"SPX")&lt;/Q&gt;&lt;R&gt;1&lt;/R&gt;&lt;C&gt;1&lt;/C&gt;&lt;D xsi:type="xsd:double"&gt;1.6071802&lt;/D&gt;&lt;/FQL&gt;&lt;FQL&gt;&lt;Q&gt;WCC-US^P_BETA_LOCIDX(45005,44830,,"SPX")&lt;/Q&gt;&lt;R&gt;1&lt;/R&gt;&lt;C&gt;1&lt;/C&gt;&lt;D xsi:type="xsd:double"&gt;1.4412363&lt;/D&gt;&lt;/FQL&gt;&lt;FQL&gt;&lt;Q&gt;WCC-US^P_BETA_LOCIDX(45866,45692,,"SPX")&lt;/Q&gt;&lt;R&gt;1&lt;/R&gt;&lt;C&gt;1&lt;/C&gt;&lt;D xsi:type="xsd:double"&gt;1.605593&lt;/D&gt;&lt;/FQL&gt;&lt;FQL&gt;&lt;Q&gt;WCC-US^P_BETA_LOCIDX(45603,45429,,"SPX")&lt;/Q&gt;&lt;R&gt;1&lt;/R&gt;&lt;C&gt;1&lt;/C&gt;&lt;D xsi:type="xsd:double"&gt;1.6469792&lt;/D&gt;&lt;/FQL&gt;&lt;FQL&gt;&lt;Q&gt;WCC-US^P_BETA_LOCIDX(45954,45783,,"SPX")&lt;/Q&gt;&lt;R&gt;1&lt;/R&gt;&lt;C&gt;1&lt;/C&gt;&lt;D xsi:type="xsd:double"&gt;1.8350827&lt;/D&gt;&lt;/FQL&gt;&lt;FQL&gt;&lt;Q&gt;WCC-US^P_BETA_LOCIDX(45785,45608,,"SPX")&lt;/Q&gt;&lt;R&gt;1&lt;/R&gt;&lt;C&gt;1&lt;/C&gt;&lt;D xsi:type="xsd:double"&gt;1.5831939&lt;/D&gt;&lt;/FQL&gt;&lt;FQL&gt;&lt;Q&gt;WCC-US^P_BETA_LOCIDX(45058,44882,,"SPX")&lt;/Q&gt;&lt;R&gt;1&lt;/R&gt;&lt;C&gt;1&lt;/C&gt;&lt;D xsi:type="xsd:double"&gt;1.6203225&lt;/D&gt;&lt;/FQL&gt;&lt;FQL&gt;&lt;Q&gt;WCC-US^P_BETA_LOCIDX(44978,44802,,"SPX")&lt;/Q&gt;&lt;R&gt;1&lt;/R&gt;&lt;C&gt;1&lt;/C&gt;&lt;D xsi:type="xsd:double"&gt;1.381629&lt;/D&gt;&lt;/FQL&gt;&lt;FQL&gt;&lt;Q&gt;WCC-US^P_BETA_LOCIDX(45118,44943,,"SPX")&lt;/Q&gt;&lt;R&gt;1&lt;/R&gt;&lt;C&gt;1&lt;/C&gt;&lt;D xsi:type="xsd:double"&gt;1.9260995&lt;/D&gt;&lt;/FQL&gt;&lt;FQL&gt;&lt;Q&gt;WCC-US^P_BETA_LOCIDX(45030,44854,,"SPX")&lt;/Q&gt;&lt;R&gt;1&lt;/R&gt;&lt;C&gt;1&lt;/C&gt;&lt;D xsi:type="xsd:double"&gt;1.4458628&lt;/D&gt;&lt;/FQL&gt;&lt;FQL&gt;&lt;Q&gt;WCC-US^P_BETA_LOCIDX(45365,45190,,"SPX")&lt;/Q&gt;&lt;R&gt;1&lt;/R&gt;&lt;C&gt;1&lt;/C&gt;&lt;D xsi:type="xsd:double"&gt;2.4470115&lt;/D&gt;&lt;/FQL&gt;&lt;FQL&gt;&lt;Q&gt;WCC-US^P_BETA_LOCIDX(45002,44827,,"SPX")&lt;/Q&gt;&lt;R&gt;1&lt;/R&gt;&lt;C&gt;1&lt;/C&gt;&lt;D xsi:type="xsd:double"&gt;1.4511727&lt;/D&gt;&lt;/FQL&gt;&lt;FQL&gt;&lt;Q&gt;WCC-US^P_BETA_LOCIDX(46052,45877,,"SPX")&lt;/Q&gt;&lt;R&gt;1&lt;/R&gt;&lt;C&gt;1&lt;/C&gt;&lt;D xsi:type="xsd:double"&gt;1.6715176&lt;/D&gt;&lt;/FQL&gt;&lt;FQL&gt;&lt;Q&gt;WCC-US^P_BETA_LOCIDX(45274,45103,,"SPX")&lt;/Q&gt;&lt;R&gt;1&lt;/R&gt;&lt;C&gt;1&lt;/C&gt;&lt;D xsi:type="xsd:double"&gt;1.6375538&lt;/D&gt;&lt;/FQL&gt;&lt;FQL&gt;&lt;Q&gt;WCC-US^P_BETA_LOCIDX(45492,45317,,"SPX")&lt;/Q&gt;&lt;R&gt;1&lt;/R&gt;&lt;C&gt;1&lt;/C&gt;&lt;D xsi:type="xsd:double"&gt;2.5045965&lt;/D&gt;&lt;/FQL&gt;&lt;FQL&gt;&lt;Q&gt;WCC-US^P_BETA_LOCIDX(45037,44861,,"SPX")&lt;/Q&gt;&lt;R&gt;1&lt;/R&gt;&lt;C&gt;1&lt;/C&gt;&lt;D xsi:type="xsd:double"&gt;1.4123266&lt;/D&gt;&lt;/FQL&gt;&lt;FQL&gt;&lt;Q&gt;WCC-US^P_BETA_LOCIDX(45194,45019,,"SPX")&lt;/Q&gt;&lt;R&gt;1&lt;/R&gt;&lt;C&gt;1&lt;/C&gt;&lt;D xsi:type="xsd:double"&gt;1.9501717&lt;/D&gt;&lt;/FQL&gt;&lt;FQL&gt;&lt;Q&gt;WCC-US^P_BETA_LOCIDX(45391,45215,,"SPX")&lt;/Q&gt;&lt;R&gt;1&lt;/R&gt;&lt;C&gt;1&lt;/C&gt;&lt;D xsi:type="xsd:double"&gt;2.4144356&lt;/D&gt;&lt;/FQL&gt;&lt;FQL&gt;&lt;Q&gt;WCC-US^P_BETA_LOCIDX(45378,45203,,"SPX")&lt;/Q&gt;&lt;R&gt;1&lt;/R&gt;&lt;C&gt;1&lt;/C&gt;&lt;D xsi:type="xsd:double"&gt;2.5575871&lt;/D&gt;&lt;/FQL&gt;&lt;FQL&gt;&lt;Q&gt;WCC-US^P_BETA_LOCIDX(46028,45854,,"SPX")&lt;/Q&gt;&lt;R&gt;1&lt;/R&gt;&lt;C&gt;1&lt;/C&gt;&lt;D xsi:type="xsd:double"&gt;1.7077999&lt;/D&gt;&lt;/FQL&gt;&lt;FQL&gt;&lt;Q&gt;WCC-US^P_BETA_LOCIDX(45120,44945,,"SPX")&lt;/Q&gt;&lt;R&gt;1&lt;/R&gt;&lt;C&gt;1&lt;/C&gt;&lt;D xsi:type="xsd:double"&gt;1.919092&lt;/D&gt;&lt;/FQL&gt;&lt;FQL&gt;&lt;Q&gt;WCC-US^P_BETA_LOCIDX(45608,45434,,"SPX")&lt;/Q&gt;&lt;R&gt;1&lt;/R&gt;&lt;C&gt;1&lt;/C&gt;&lt;D xsi:type="xsd:double"&gt;1.6507732&lt;/D&gt;&lt;/FQL&gt;&lt;FQL&gt;&lt;Q&gt;WCC-US^P_BETA_LOCIDX(45699,45523,,"SPX")&lt;/Q&gt;&lt;R&gt;1&lt;/R&gt;&lt;C&gt;1&lt;/C&gt;&lt;D xsi:type="xsd:double"&gt;1.6096723&lt;/D&gt;&lt;/FQL&gt;&lt;FQL&gt;&lt;Q&gt;WCC-US^P_BETA_LOCIDX(45019,44844,,"SPX")&lt;/Q&gt;&lt;R&gt;1&lt;/R&gt;&lt;C&gt;1&lt;/C&gt;&lt;D xsi:type="xsd:double"&gt;1.5039951&lt;/D&gt;&lt;/FQL&gt;&lt;FQL&gt;&lt;Q&gt;WCC-US^P_BETA_LOCIDX(45162,44988,,"SPX")&lt;/Q&gt;&lt;R&gt;1&lt;/R&gt;&lt;C&gt;1&lt;/C&gt;&lt;D xsi:type="xsd:double"&gt;2.0648448&lt;/D&gt;&lt;/FQL&gt;&lt;FQL&gt;&lt;Q&gt;WCC-US^P_BETA_LOCIDX(45719,45541,,"SPX")&lt;/Q&gt;&lt;R&gt;1&lt;/R&gt;&lt;C&gt;1&lt;/C&gt;&lt;D xsi:type="xsd:double"&gt;1.5722266&lt;/D&gt;&lt;/FQL&gt;&lt;FQL&gt;&lt;Q&gt;WCC-US^P_BETA_LOCIDX(45951,45778,,"SPX")&lt;/Q&gt;&lt;R&gt;1&lt;/R&gt;&lt;C&gt;1&lt;/C&gt;&lt;D xsi:type="xsd:double"&gt;1.8112568&lt;/D&gt;&lt;/FQL&gt;&lt;FQL&gt;&lt;Q&gt;WCC-US^P_BETA_LOCIDX(45840,45664,,"SPX")&lt;/Q&gt;&lt;R&gt;1&lt;/R&gt;&lt;C&gt;1&lt;/C&gt;&lt;D xsi:type="xsd:double"&gt;1.6053171&lt;/D&gt;&lt;/FQL&gt;&lt;FQL&gt;&lt;Q&gt;WCC-US^P_BETA_LOCIDX(45393,45217,,"SPX")&lt;/Q&gt;&lt;R&gt;1&lt;/R&gt;&lt;C&gt;1&lt;/C&gt;&lt;D xsi:type="xsd:double"&gt;2.3984694&lt;/D&gt;&lt;/FQL&gt;&lt;FQL&gt;&lt;Q&gt;WCC-US^P_BETA_LOCIDX(44991,44816,,"SPX")&lt;/Q&gt;&lt;R&gt;1&lt;/R&gt;&lt;C&gt;1&lt;/C&gt;&lt;D xsi:type="xsd:double"&gt;1.3528812&lt;/D&gt;&lt;/FQL&gt;&lt;FQL&gt;&lt;Q&gt;WCC-US^P_BETA_LOCIDX(45797,45618,,"SPX")&lt;/Q&gt;&lt;R&gt;1&lt;/R&gt;&lt;C&gt;1&lt;/C&gt;&lt;D xsi:type="xsd:double"&gt;1.5919676&lt;/D&gt;&lt;/FQL&gt;&lt;FQL&gt;&lt;Q&gt;WCC-US^P_BETA_LOCIDX(45607,45433,,"SPX")&lt;/Q&gt;&lt;R&gt;1&lt;/R&gt;&lt;C&gt;1&lt;/C&gt;&lt;D xsi:type="xsd:double"&gt;1.6421341&lt;/D&gt;&lt;/FQL&gt;&lt;FQL&gt;&lt;Q&gt;WCC-US^P_BETA_LOCIDX(45399,45223,,"SPX")&lt;/Q&gt;&lt;R&gt;1&lt;/R&gt;&lt;C&gt;1&lt;/C&gt;&lt;D xsi:type="xsd:double"&gt;2.3104613&lt;/D&gt;&lt;/FQL&gt;&lt;FQL&gt;&lt;Q&gt;WCC-US^P_BETA_LOCIDX(45308,45133,,"SPX")&lt;/Q&gt;&lt;R&gt;1&lt;/R&gt;&lt;C&gt;1&lt;/C&gt;&lt;D xsi:type="xsd:double"&gt;1.6837982&lt;/D&gt;&lt;/FQL&gt;&lt;FQL&gt;&lt;Q&gt;WCC-US^P_BETA_LOCIDX(45114,44938,,"SPX")&lt;/Q&gt;&lt;R&gt;1&lt;/R&gt;&lt;C&gt;1&lt;/C&gt;&lt;D xsi:type="xsd:double"&gt;1.9433488&lt;/D&gt;&lt;/FQL&gt;&lt;FQL&gt;&lt;Q&gt;WCC-US^P_BETA_LOCIDX(45756,45580,,"SPX")&lt;/Q&gt;&lt;R&gt;1&lt;/R&gt;&lt;C&gt;1&lt;/C&gt;&lt;D xsi:type="xsd:double"&gt;1.6241509&lt;/D&gt;&lt;/FQL&gt;&lt;FQL&gt;&lt;Q&gt;WCC-US^P_BETA_LOCIDX(45051,44875,,"SPX")&lt;/Q&gt;&lt;R&gt;1&lt;/R&gt;&lt;C&gt;1&lt;/C&gt;&lt;D xsi:type="xsd:double"&gt;1.4810784&lt;/D&gt;&lt;/FQL&gt;&lt;FQL&gt;&lt;Q&gt;WCC-US^P_BETA_LOCIDX(45344,45168,,"SPX")&lt;/Q&gt;&lt;R&gt;1&lt;/R&gt;&lt;C&gt;1&lt;/C&gt;&lt;D xsi:type="xsd:double"&gt;2.4224687&lt;/D&gt;&lt;/FQL&gt;&lt;FQL&gt;&lt;Q&gt;WCC-US^P_BETA_LOCIDX(45117,44939,,"SPX")&lt;/Q&gt;&lt;R&gt;1&lt;/R&gt;&lt;C&gt;1&lt;/C&gt;&lt;D xsi:type="xsd:double"&gt;1.9461884&lt;/D&gt;&lt;/FQL&gt;&lt;FQL&gt;&lt;Q&gt;WCC-US^P_BETA_LOCIDX(45041,44865,,"SPX")&lt;/Q&gt;&lt;R&gt;1&lt;/R&gt;&lt;C&gt;1&lt;/C&gt;&lt;D xsi:type="xsd:double"&gt;1.4128673&lt;/D&gt;&lt;/FQL&gt;&lt;FQL&gt;&lt;Q&gt;WCC-US^P_BETA_LOCIDX(46001,45831,,"SPX")&lt;/Q&gt;&lt;R&gt;1&lt;/R&gt;&lt;C&gt;1&lt;/C&gt;&lt;D xsi:type="xsd:double"&gt;1.5345739&lt;/D&gt;&lt;/FQL&gt;&lt;FQL&gt;&lt;Q&gt;WCC-US^P_BETA_LOCIDX(45376,45201,,"SPX")&lt;/Q&gt;&lt;R&gt;1&lt;/R&gt;&lt;C&gt;1&lt;/C&gt;&lt;D xsi:type="xsd:double"&gt;2.5433867&lt;/D&gt;&lt;/FQL&gt;&lt;FQL&gt;&lt;Q&gt;WCC-US^P_BETA_LOCIDX(45296,45124,,"SPX")&lt;/Q&gt;&lt;R&gt;1&lt;/R&gt;&lt;C&gt;1&lt;/C&gt;&lt;D xsi:type="xsd:double"&gt;1.6865015&lt;/D&gt;&lt;/FQL&gt;&lt;FQL&gt;&lt;Q&gt;WCC-US^P_BETA_LOCIDX(45540,45365,,"SPX")&lt;/Q&gt;&lt;R&gt;1&lt;/R&gt;&lt;C&gt;1&lt;/C&gt;&lt;D xsi:type="xsd:double"&gt;1.7495551&lt;/D&gt;&lt;/FQL&gt;&lt;FQL&gt;&lt;Q&gt;WCC-US^P_BETA_LOCIDX(46029,45855,,"SPX")&lt;/Q&gt;&lt;R&gt;1&lt;/R&gt;&lt;C&gt;1&lt;/C&gt;&lt;D xsi:type="xsd:double"&gt;1.7302105&lt;/D&gt;&lt;/FQL&gt;&lt;FQL&gt;&lt;Q&gt;WCC-US^P_BETA_LOCIDX(45902,45728,,"SPX")&lt;/Q&gt;&lt;R&gt;1&lt;/R&gt;&lt;C&gt;1&lt;/C&gt;&lt;D xsi:type="xsd:double"&gt;1.5990503&lt;/D&gt;&lt;/FQL&gt;&lt;FQL&gt;&lt;Q&gt;WCC-US^P_BETA_LOCIDX(45026,44848,,"SPX")&lt;/Q&gt;&lt;R&gt;1&lt;/R&gt;&lt;C&gt;1&lt;/C&gt;&lt;D xsi:type="xsd:double"&gt;1.5305703&lt;/D&gt;&lt;/FQL&gt;&lt;FQL&gt;&lt;Q&gt;WCC-US^P_BETA_LOCIDX(45335,45160,,"SPX")&lt;/Q&gt;&lt;R&gt;1&lt;/R&gt;&lt;C&gt;1&lt;/C&gt;&lt;D xsi:type="xsd:double"&gt;2.3384595&lt;/D&gt;&lt;/FQL&gt;&lt;FQL&gt;&lt;Q&gt;WCC-US^P_BETA_LOCIDX(45238,45064,,"SPX")&lt;/Q&gt;&lt;R&gt;1&lt;/R&gt;&lt;C&gt;1&lt;/C&gt;&lt;D xsi:type="xsd:double"&gt;1.8480996&lt;/D&gt;&lt;/FQL&gt;&lt;FQL&gt;&lt;Q&gt;WCC-US^P_BETA_LOCIDX(45799,45622,,"SPX")&lt;/Q&gt;&lt;R&gt;1&lt;/R&gt;&lt;C&gt;1&lt;/C&gt;&lt;D xsi:type="xsd:double"&gt;1.5933766&lt;/D&gt;&lt;/FQL&gt;&lt;FQL&gt;&lt;Q&gt;WCC-US^P_BETA_LOCIDX(45483,45308,,"SPX")&lt;/Q&gt;&lt;R&gt;1&lt;/R&gt;&lt;C&gt;1&lt;/C&gt;&lt;D xsi:type="xsd:double"&gt;2.520873&lt;/D&gt;&lt;/FQL&gt;&lt;FQL&gt;&lt;Q&gt;WCC-US^P_BETA_LOCIDX(46031,45859,,"SPX")&lt;/Q&gt;&lt;R&gt;1&lt;/R&gt;&lt;C&gt;1&lt;/C&gt;&lt;D xsi:type="xsd:double"&gt;1.7066911&lt;/D&gt;&lt;/FQL&gt;&lt;FQL&gt;&lt;Q&gt;WCC-US^P_BETA_LOCIDX(45086,44910,,"SPX")&lt;/Q&gt;&lt;R&gt;1&lt;/R&gt;&lt;C&gt;1&lt;/C&gt;&lt;D xsi:type="xsd:double"&gt;1.8868089&lt;/D&gt;&lt;/FQL&gt;&lt;FQL&gt;&lt;Q&gt;WCC-US^P_BETA_LOCIDX(45209,45035,,"SPX")&lt;/Q&gt;&lt;R&gt;1&lt;/R&gt;&lt;C&gt;1&lt;/C&gt;&lt;D xsi:type="xsd:double"&gt;1.9435756&lt;/D&gt;&lt;/FQL&gt;&lt;FQL&gt;&lt;Q&gt;WCC-US^P_BETA_LOCIDX(45153,44979,,"SPX")&lt;/Q&gt;&lt;R&gt;1&lt;/R&gt;&lt;C&gt;1&lt;/C&gt;&lt;D xsi:type="xsd:double"&gt;2.0540476&lt;/D&gt;&lt;/FQL&gt;&lt;FQL&gt;&lt;Q&gt;WCC-US^P_BETA_LOCIDX(45112,44936,,"SPX")&lt;/Q&gt;&lt;R&gt;1&lt;/R&gt;&lt;C&gt;1&lt;/C&gt;&lt;D xsi:type="xsd:double"&gt;1.9264615&lt;/D&gt;&lt;/FQL&gt;&lt;FQL&gt;&lt;Q&gt;WCC-US^P_BETA_LOCIDX(45995,45824,,"SPX")&lt;/Q&gt;&lt;R&gt;1&lt;/R&gt;&lt;C&gt;1&lt;/C&gt;&lt;D xsi:type="xsd:double"&gt;1.5037024&lt;/D&gt;&lt;/FQL&gt;&lt;FQL&gt;&lt;Q&gt;WCC-US^P_BETA_LOCIDX(45426,45250,,"SPX")&lt;/Q&gt;&lt;R&gt;1&lt;/R&gt;&lt;C&gt;1&lt;/C&gt;&lt;D xsi:type="xsd:double"&gt;2.4439583&lt;/D&gt;&lt;/FQL&gt;&lt;FQL&gt;&lt;Q&gt;WCC-US^P_BETA_LOCIDX(45838,45660,,"SPX")&lt;/Q&gt;&lt;R&gt;1&lt;/R&gt;&lt;C&gt;1&lt;/C&gt;&lt;D xsi:type="xsd:double"&gt;1.6047648&lt;/D&gt;&lt;/FQL&gt;&lt;FQL&gt;&lt;Q&gt;WCC-US^P_BETA_LOCIDX(45586,45412,,"SPX")&lt;/Q&gt;&lt;R&gt;1&lt;/R&gt;&lt;C&gt;1&lt;/C&gt;&lt;D xsi:type="xsd:double"&gt;1.799979&lt;/D&gt;&lt;/FQL&gt;&lt;FQL&gt;&lt;Q&gt;WCC-US^P_BETA_LOCIDX(45916,45742,,"SPX")&lt;/Q&gt;&lt;R&gt;1&lt;/R&gt;&lt;C&gt;1&lt;/C&gt;&lt;D xsi:type="xsd:double"&gt;1.5824801&lt;/D&gt;&lt;/FQL&gt;&lt;FQL&gt;&lt;Q&gt;WCC-US^P_BETA_LOCIDX(45638,45467,,"SPX")&lt;/Q&gt;&lt;R&gt;1&lt;/R&gt;&lt;C&gt;1&lt;/C&gt;&lt;D xsi:type="xsd:double"&gt;1.6286343&lt;/D&gt;&lt;/FQL&gt;&lt;FQL&gt;&lt;Q&gt;WCC-US^P_BETA_LOCIDX(46037,45863,,"SPX")&lt;/Q&gt;&lt;R&gt;1&lt;/R&gt;&lt;C&gt;1&lt;/C&gt;&lt;D xsi:type="xsd:double"&gt;1.6926664&lt;/D&gt;&lt;/FQL&gt;&lt;FQL&gt;&lt;Q&gt;WCC-US^P_BETA_LOCIDX(45751,45575,,"SPX")&lt;/Q&gt;&lt;R&gt;1&lt;/R&gt;&lt;C&gt;1&lt;/C&gt;&lt;D xsi:type="xsd:double"&gt;1.6117218&lt;/D&gt;&lt;/FQL&gt;&lt;FQL&gt;&lt;Q&gt;WCC-US^P_BETA_LOCIDX(46027,45853,,"SPX")&lt;/Q&gt;&lt;R&gt;1&lt;/R&gt;&lt;C&gt;1&lt;/C&gt;&lt;D xsi:type="xsd:double"&gt;1.6945777&lt;/D&gt;&lt;/FQL&gt;&lt;FQL&gt;&lt;Q&gt;WCC-US^P_BETA_LOCIDX(45860,45686,,"SPX")&lt;/Q&gt;&lt;R&gt;1&lt;/R&gt;&lt;C&gt;1&lt;/C&gt;&lt;D xsi:type="xsd:double"&gt;1.6067157&lt;/D&gt;&lt;/FQL&gt;&lt;FQL&gt;&lt;Q&gt;WCC-US^P_BETA_LOCIDX(45918,45744,,"SPX")&lt;/Q&gt;&lt;R&gt;1&lt;/R&gt;&lt;C&gt;1&lt;/C&gt;&lt;D xsi:type="xsd:double"&gt;1.5843269&lt;/D&gt;&lt;/FQL&gt;&lt;FQL&gt;&lt;Q&gt;WCC-US^P_BETA_LOCIDX(45020,44845,,"SPX")&lt;/Q&gt;&lt;R&gt;1&lt;/R&gt;&lt;C&gt;1&lt;/C&gt;&lt;D xsi:type="xsd:double"&gt;1.5236155&lt;/D&gt;&lt;/FQL&gt;&lt;FQL&gt;&lt;Q&gt;WCC-US^P_BETA_LOCIDX(44970,44795,,"SPX")&lt;/Q&gt;&lt;R&gt;1&lt;/R&gt;&lt;C&gt;1&lt;/C&gt;&lt;D xsi:type="xsd:double"&gt;1.3843073&lt;/D&gt;&lt;/FQL&gt;&lt;FQL&gt;&lt;Q&gt;WCC-US^P_BETA_LOCIDX(45512,45337,,"SPX")&lt;/Q&gt;&lt;R&gt;1&lt;/R&gt;&lt;C&gt;1&lt;/C&gt;&lt;D xsi:type="xsd:double"&gt;1.6516047&lt;/D&gt;&lt;/FQL&gt;&lt;FQL&gt;&lt;Q&gt;WCC-US^P_BETA_LOCIDX(45079,44903,,"SPX")&lt;/Q&gt;&lt;R&gt;1&lt;/R&gt;&lt;C&gt;1&lt;/C&gt;&lt;D xsi:type="xsd:double"&gt;1.9077495&lt;/D&gt;&lt;/FQL&gt;&lt;FQL&gt;&lt;Q&gt;WCC-US^P_BETA_LOCIDX(44956,44781,,"SPX")&lt;/Q&gt;&lt;R&gt;1&lt;/R&gt;&lt;C&gt;1&lt;/C&gt;&lt;D xsi:type="xsd:double"&gt;1.3904394&lt;/D&gt;&lt;/FQL&gt;&lt;FQL&gt;&lt;Q&gt;WCC-US^P_BETA_LOCIDX(44953,44778,,"SPX")&lt;/Q&gt;&lt;R&gt;1&lt;/R&gt;&lt;C&gt;1&lt;/C&gt;&lt;D xsi:type="xsd:double"&gt;1.3930318&lt;/D&gt;&lt;/FQL&gt;&lt;FQL&gt;&lt;Q&gt;WCC-US^P_BETA_LOCIDX(44952,44777,,"SPX")&lt;/Q&gt;&lt;R&gt;1&lt;/R&gt;&lt;C&gt;1&lt;/C&gt;&lt;D xsi:type="xsd:double"&gt;1.391725&lt;/D&gt;&lt;/FQL&gt;&lt;FQL&gt;&lt;Q&gt;WCC-US^P_BETA_LOCIDX(44951,44776,,"SPX")&lt;/Q&gt;&lt;R&gt;1&lt;/R&gt;&lt;C&gt;1&lt;/C&gt;&lt;D xsi:type="xsd:double"&gt;1.3797331&lt;/D&gt;&lt;/FQL&gt;&lt;FQL&gt;&lt;Q&gt;WCC-US^P_BETA_LOCIDX(44950,44775,,"SPX")&lt;/Q&gt;&lt;R&gt;1&lt;/R&gt;&lt;C&gt;1&lt;/C&gt;&lt;D xsi:type="xsd:double"&gt;1.3798229&lt;/D&gt;&lt;/FQL&gt;&lt;FQL&gt;&lt;Q&gt;WCC-US^P_BETA_LOCIDX(44949,44774,,"SPX")&lt;/Q&gt;&lt;R&gt;1&lt;/R&gt;&lt;C&gt;1&lt;/C&gt;&lt;D xsi:type="xsd:double"&gt;1.3786278&lt;/D&gt;&lt;/FQL&gt;&lt;FQL&gt;&lt;Q&gt;WCC-US^P_BETA_LOCIDX(44946,44771,,"SPX")&lt;/Q&gt;&lt;R&gt;1&lt;/R&gt;&lt;C&gt;1&lt;/C&gt;&lt;D xsi:type="xsd:double"&gt;1.3912804&lt;/D&gt;&lt;/FQL&gt;&lt;FQL&gt;&lt;Q&gt;WCC-US^P_BETA_LOCIDX(44945,44770,,"SPX")&lt;/Q&gt;&lt;R&gt;1&lt;/R&gt;&lt;C&gt;1&lt;/C&gt;&lt;D xsi:type="xsd:double"&gt;1.3996384&lt;/D&gt;&lt;/FQL&gt;&lt;FQL&gt;&lt;Q&gt;WCC-US^P_BETA_LOCIDX(44944,44769,,"SPX")&lt;/Q&gt;&lt;R&gt;1&lt;/R&gt;&lt;C&gt;1&lt;/C&gt;&lt;D xsi:type="xsd:double"&gt;1.3953656&lt;/D&gt;&lt;/FQL&gt;&lt;FQL&gt;&lt;Q&gt;WCC-US^P_BETA_LOCIDX(44943,44768,,"SPX")&lt;/Q&gt;&lt;R&gt;1&lt;/R&gt;&lt;C&gt;1&lt;/C&gt;&lt;D xsi:type="xsd:double"&gt;1.3906739&lt;/D&gt;&lt;/FQL&gt;&lt;FQL&gt;&lt;Q&gt;WCC-US^P_BETA_LOCIDX(44939,44767,,"SPX")&lt;/Q&gt;&lt;R&gt;1&lt;/R&gt;&lt;C&gt;1&lt;/C&gt;&lt;D xsi:type="xsd:double"&gt;1.3907406&lt;/D&gt;&lt;/FQL&gt;&lt;FQL&gt;&lt;Q&gt;WCC-US^P_BETA_LOCIDX(44938,44764,,"SPX")&lt;/Q&gt;&lt;R&gt;1&lt;/R&gt;&lt;C&gt;1&lt;/C&gt;&lt;D xsi:type="xsd:double"&gt;1.3911572&lt;/D&gt;&lt;/FQL&gt;&lt;FQL&gt;&lt;Q&gt;WCC-US^P_BETA_LOCIDX(44937,44763,,"SPX")&lt;/Q&gt;&lt;R&gt;1&lt;/R&gt;&lt;C&gt;1&lt;/C&gt;&lt;D xsi:type="xsd:double"&gt;1.3866142&lt;/D&gt;&lt;/FQL&gt;&lt;FQL&gt;&lt;Q&gt;WCC-US^P_BETA_LOCIDX(44936,44762,,"SPX")&lt;/Q&gt;&lt;R&gt;1&lt;/R&gt;&lt;C&gt;1&lt;/C&gt;&lt;D xsi:type="xsd:double"&gt;1.405758&lt;/D&gt;&lt;/FQL&gt;&lt;FQL&gt;&lt;Q&gt;WCC-US^P_BETA_LOCIDX(44935,44761,,"SPX")&lt;/Q&gt;&lt;R&gt;1&lt;/R&gt;&lt;C&gt;1&lt;/C&gt;&lt;D xsi:type="xsd:double"&gt;1.418809&lt;/D&gt;&lt;/FQL&gt;&lt;FQL&gt;&lt;Q&gt;WCC-US^P_BETA_LOCIDX(44932,44760,,"SPX")&lt;/Q&gt;&lt;R&gt;1&lt;/R&gt;&lt;C&gt;1&lt;/C&gt;&lt;D xsi:type="xsd:double"&gt;1.41801&lt;/D&gt;&lt;/FQL&gt;&lt;FQL&gt;&lt;Q&gt;WCC-US^P_BETA_LOCIDX(44931,44757,,"SPX")&lt;/Q&gt;&lt;R&gt;1&lt;/R&gt;&lt;C&gt;1&lt;/C&gt;&lt;D xsi:type="xsd:double"&gt;1.4120469&lt;/D&gt;&lt;/FQL&gt;&lt;FQL&gt;&lt;Q&gt;WCC-US^P_BETA_LOCIDX(44930,44756,,"SPX")&lt;/Q&gt;&lt;R&gt;1&lt;/R&gt;&lt;C&gt;1&lt;/C&gt;&lt;D xsi:type="xsd:double"&gt;1.4128165&lt;/D&gt;&lt;/FQL&gt;&lt;FQL&gt;&lt;Q&gt;WCC-US^P_BETA_LOCIDX(44929,44755,,"SPX")&lt;/Q&gt;&lt;R&gt;1&lt;/R&gt;&lt;C&gt;1&lt;/C&gt;&lt;D xsi:type="xsd:double"&gt;1.4107369&lt;/D&gt;&lt;/FQL&gt;&lt;FQL&gt;&lt;Q&gt;WCC-US^P_BETA_LOCIDX(44925,44754,,"SPX")&lt;/Q&gt;&lt;R&gt;1&lt;/R&gt;&lt;C&gt;1&lt;/C&gt;&lt;D xsi:type="xsd:double"&gt;1.4075273&lt;/D&gt;&lt;/FQL&gt;&lt;FQL&gt;&lt;Q&gt;WCC-US^P_BETA_LOCIDX(44924,44753,,"SPX")&lt;/Q&gt;&lt;R&gt;1&lt;/R&gt;&lt;C&gt;1&lt;/C&gt;&lt;D xsi:type="xsd:double"&gt;1.406064&lt;/D&gt;&lt;/FQL&gt;&lt;FQL&gt;&lt;Q&gt;WCC-US^P_BETA_LOCIDX(44923,44750,,"SPX")&lt;/Q&gt;&lt;R&gt;1&lt;/R&gt;&lt;C&gt;1&lt;/C&gt;&lt;D xsi:type="xsd:double"&gt;1.3984928&lt;/D&gt;&lt;/FQL&gt;&lt;FQL&gt;&lt;Q&gt;WCC-US^P_BETA_LOCIDX(44922,44749,,"SPX")&lt;/Q&gt;&lt;R&gt;1&lt;/R&gt;&lt;C&gt;1&lt;/C&gt;&lt;D xsi:type="xsd:double"&gt;1.4104313&lt;/D&gt;&lt;/FQL&gt;&lt;FQL&gt;&lt;Q&gt;WCC-US^P_BETA_LOCIDX(44918,44748,,"SPX")&lt;/Q&gt;&lt;R&gt;1&lt;/R&gt;&lt;C&gt;1&lt;/C&gt;&lt;D xsi:type="xsd:double"&gt;1.4086556&lt;/D&gt;&lt;/FQL&gt;&lt;FQL&gt;&lt;Q&gt;WCC-US^P_BETA_LOCIDX(44917,44747,,"SPX")&lt;/Q&gt;&lt;R&gt;1&lt;/R&gt;&lt;C&gt;1&lt;/C&gt;&lt;D xsi:type="xsd:double"&gt;1.4049708&lt;/D&gt;&lt;/FQL&gt;&lt;FQL&gt;&lt;Q&gt;WCC-US^P_BETA_LOCIDX(44916,44743,,"SPX")&lt;/Q&gt;&lt;R&gt;1&lt;/R&gt;&lt;C&gt;1&lt;/C&gt;&lt;D xsi:type="xsd:double"&gt;1.3871497&lt;/D&gt;&lt;/FQL&gt;&lt;FQL&gt;&lt;Q&gt;WCC-US^P_BETA_LOCIDX(44915,44742,,"SPX")&lt;/Q&gt;&lt;R&gt;1&lt;/R&gt;&lt;C&gt;1&lt;/C&gt;&lt;D xsi:type="xsd:double"&gt;1.380485&lt;/D&gt;&lt;/FQL&gt;&lt;FQL&gt;&lt;Q&gt;WCC-US^P_BETA_LOCIDX(44914,44741,,"SPX")&lt;/Q&gt;&lt;R&gt;1&lt;/R&gt;&lt;C&gt;1&lt;/C&gt;&lt;D xsi:type="xsd:double"&gt;1.3815649&lt;/D&gt;&lt;/FQL&gt;&lt;FQL&gt;&lt;Q&gt;WCC-US^P_BETA_LOCIDX(44911,44740,,"SPX")&lt;/Q&gt;&lt;R&gt;1&lt;/R&gt;&lt;C&gt;1&lt;/C&gt;&lt;D xsi:type="xsd:double"&gt;1.3811332&lt;/D&gt;&lt;/FQL&gt;&lt;FQL&gt;&lt;Q&gt;WCC-US^P_BETA_LOCIDX(44910,44739,,"SPX")&lt;/Q&gt;&lt;R&gt;1&lt;/R&gt;&lt;C&gt;1&lt;/C&gt;&lt;D xsi:type="xsd:double"&gt;1.3855337&lt;/D&gt;&lt;/FQL&gt;&lt;FQL&gt;&lt;Q&gt;WCC-US^P_BETA_LOCIDX(44909,44736,,"SPX")&lt;/Q&gt;&lt;R&gt;1&lt;/R&gt;&lt;C&gt;1&lt;/C&gt;&lt;D xsi:type="xsd:double"&gt;1.4361509&lt;/D&gt;&lt;/FQL&gt;&lt;FQL&gt;&lt;Q&gt;WCC-US^P_BETA_LOCIDX(44908,44735,,"SPX")&lt;/Q&gt;&lt;R&gt;1&lt;/R&gt;&lt;C&gt;1&lt;/C&gt;&lt;D xsi:type="xsd:double"&gt;1.4271641&lt;/D&gt;&lt;/FQL&gt;&lt;FQL&gt;&lt;Q&gt;WCC-US^P_BETA_LOCIDX(44907,44734,,"SPX")&lt;/Q&gt;&lt;R&gt;1&lt;/R&gt;&lt;C&gt;1&lt;/C&gt;&lt;D xsi:type="xsd:double"&gt;1.4241043&lt;/D&gt;&lt;/FQL&gt;&lt;FQL&gt;&lt;Q&gt;WCC-US^P_BETA_LOCIDX(44904,44733,,"SPX")&lt;/Q&gt;&lt;R&gt;1&lt;/R&gt;&lt;C&gt;1&lt;/C&gt;&lt;D xsi:type="xsd:double"&gt;1.3976125&lt;/D&gt;&lt;/FQL&gt;&lt;FQL&gt;&lt;Q&gt;WCC-US^P_BETA_LOCIDX(44903,44729,,"SPX")&lt;/Q&gt;&lt;R&gt;1&lt;/R&gt;&lt;C&gt;1&lt;/C&gt;&lt;D xsi:type="xsd:double"&gt;1.393879&lt;/D&gt;&lt;/FQL&gt;&lt;FQL&gt;&lt;Q&gt;WCC-US^P_BETA_LOCIDX(44902,44728,,"SPX")&lt;/Q&gt;&lt;R&gt;1&lt;/R&gt;&lt;C&gt;1&lt;/C&gt;&lt;D xsi:type="xsd:double"&gt;1.4491524&lt;/D&gt;&lt;/FQL&gt;&lt;FQL&gt;&lt;Q&gt;WCC-US^P_BETA_LOCIDX(44901,44727,,"SPX")&lt;/Q&gt;&lt;R&gt;1&lt;/R&gt;&lt;C&gt;1&lt;/C&gt;&lt;D xsi:type="xsd:double"&gt;1.4421781&lt;/D&gt;&lt;/FQL&gt;&lt;FQL&gt;&lt;Q&gt;WCC-US^P_BETA_LOCIDX(44900,44726,,"SPX")&lt;/Q&gt;&lt;R&gt;1&lt;/R&gt;&lt;C&gt;1&lt;/C&gt;&lt;D xsi:type="xsd:double"&gt;1.4507284&lt;/D&gt;&lt;/FQL&gt;&lt;FQL&gt;&lt;Q&gt;WCC-US^P_BETA_LOCIDX(44897,44725,,"SPX")&lt;/Q&gt;&lt;R&gt;1&lt;/R&gt;&lt;C&gt;1&lt;/C&gt;&lt;D xsi:type="xsd:double"&gt;1.433605&lt;/D&gt;&lt;/FQL&gt;&lt;FQL&gt;&lt;Q&gt;WCC-US^P_BETA_LOCIDX(44896,44722,,"SPX")&lt;/Q&gt;&lt;R&gt;1&lt;/R&gt;&lt;C&gt;1&lt;/C&gt;&lt;D xsi:type="xsd:double"&gt;1.4405166&lt;/D&gt;&lt;/FQL&gt;&lt;FQL&gt;&lt;Q&gt;WCC-US^P_BETA_LOCIDX(44895,44721,,"SPX")&lt;/Q&gt;&lt;R&gt;1&lt;/R&gt;&lt;C&gt;1&lt;/C&gt;&lt;D xsi:type="xsd:double"&gt;1.429699&lt;/D&gt;&lt;/FQL&gt;&lt;FQL&gt;&lt;Q&gt;WCC-US^P_BETA_LOCIDX(44894,44720,,"SPX")&lt;/Q&gt;&lt;R&gt;1&lt;/R&gt;&lt;C&gt;1&lt;/C&gt;&lt;D xsi:type="xsd:double"&gt;1.4645818&lt;/D&gt;&lt;/FQL&gt;&lt;FQL&gt;&lt;Q&gt;WCC-US^P_BETA_LOCIDX(44893,44719,,"SPX")&lt;/Q&gt;&lt;R&gt;1&lt;/R&gt;&lt;C&gt;1&lt;/C&gt;&lt;D xsi:type="xsd:double"&gt;1.4804856&lt;/D&gt;&lt;/FQL&gt;&lt;FQL&gt;&lt;Q&gt;WCC-US^P_BETA_LOCIDX(44890,44718,,"SPX")&lt;/Q&gt;&lt;R&gt;1&lt;/R&gt;&lt;C&gt;1&lt;/C&gt;&lt;D xsi:type="xsd:double"&gt;1.4741893&lt;/D&gt;&lt;/FQL&gt;&lt;FQL&gt;&lt;Q&gt;WCC-US^P_BETA_LOCIDX(44888,44715,,"SPX")&lt;/Q&gt;&lt;R&gt;1&lt;/R&gt;&lt;C&gt;1&lt;/C&gt;&lt;D xsi:type="xsd:double"&gt;1.4525937&lt;/D&gt;&lt;/FQL&gt;&lt;FQL&gt;&lt;Q&gt;WCC-US^P_BETA_LOCIDX(44887,44714,,"SPX")&lt;/Q&gt;&lt;R&gt;1&lt;/R&gt;&lt;C&gt;1&lt;/C&gt;&lt;D xsi:type="xsd:double"&gt;1.4575508&lt;/D&gt;&lt;/FQL&gt;&lt;FQL&gt;&lt;Q&gt;WCC-US^P_BETA_LOCIDX(44886,44713,,"SPX")&lt;/Q&gt;&lt;R&gt;1&lt;/R&gt;&lt;C&gt;1&lt;/C&gt;&lt;D xsi:type="xsd:double"&gt;1.4455365&lt;/D&gt;&lt;/FQL&gt;&lt;FQL&gt;&lt;Q&gt;WCC-US^P_BETA_LOCIDX(44883,44712,,"SPX")&lt;/Q&gt;&lt;R&gt;1&lt;/R&gt;&lt;C&gt;1&lt;/C&gt;&lt;D xsi:type="xsd:double"&gt;1.4451514&lt;/D&gt;&lt;/FQL&gt;&lt;FQL&gt;&lt;Q&gt;WCC-US^P_BETA_LOCIDX(44882,44708,,"SPX")&lt;/Q&gt;&lt;R&gt;1&lt;/R&gt;&lt;C&gt;1&lt;/C&gt;&lt;D xsi:type="xsd:double"&gt;1.4452639&lt;/D&gt;&lt;/FQL&gt;&lt;FQL&gt;&lt;Q&gt;WCC-US^P_BETA_LOCIDX(44881,44707,,"SPX")&lt;/Q&gt;&lt;R&gt;1&lt;/R&gt;&lt;C&gt;1&lt;/C&gt;&lt;D xsi:type="xsd:double"&gt;1.4599452&lt;/D&gt;&lt;/FQL&gt;&lt;FQL&gt;&lt;Q&gt;WCC-US^P_BETA_LOCIDX(44880,44706,,"SPX")&lt;/Q&gt;&lt;R&gt;1&lt;/R&gt;&lt;C&gt;1&lt;/C&gt;&lt;D xsi:type="xsd:double"&gt;1.4621813&lt;/D&gt;&lt;/FQL&gt;&lt;FQL&gt;&lt;Q&gt;WCC-US^P_BETA_LOCIDX(44879,44705,,"SPX")&lt;/Q&gt;&lt;R&gt;1&lt;/R&gt;&lt;C&gt;1&lt;/C&gt;&lt;D xsi:type="xsd:double"&gt;1.479522&lt;/D&gt;&lt;/FQL&gt;&lt;FQL&gt;&lt;Q&gt;WCC-US^P_BETA_LOCIDX(44876,44704,,"SPX")&lt;/Q&gt;&lt;R&gt;1&lt;/R&gt;&lt;C&gt;1&lt;/C&gt;&lt;D xsi:type="xsd:double"&gt;1.4713337&lt;/D&gt;&lt;/FQL&gt;&lt;FQL&gt;&lt;Q&gt;WCC-US^P_BETA_LOCIDX(44875,44701,,"SPX")&lt;/Q&gt;&lt;R&gt;1&lt;/R&gt;&lt;C&gt;1&lt;/C&gt;&lt;D xsi:type="xsd:double"&gt;1.4632268&lt;/D&gt;&lt;/FQL&gt;&lt;FQL&gt;&lt;Q&gt;WCC-US^P_BETA_LOCIDX(44874,44700,,"SPX")&lt;/Q&gt;&lt;R&gt;1&lt;/R&gt;&lt;C&gt;1&lt;/C&gt;&lt;D xsi:type="xsd:double"&gt;1.5249313&lt;/D&gt;&lt;/FQL&gt;&lt;FQL&gt;&lt;Q&gt;WCC-US^P_BETA_LOCIDX(44873,44699,,"SPX")&lt;/Q&gt;&lt;R&gt;1&lt;/R&gt;&lt;C&gt;1&lt;/C&gt;&lt;D xsi:type="xsd:double"&gt;1.5113807&lt;/D&gt;&lt;/FQL&gt;&lt;FQL&gt;&lt;Q&gt;WCC-US^P_BETA_LOCIDX(44872,44698,,"SPX")&lt;/Q&gt;&lt;R&gt;1&lt;/R&gt;&lt;C&gt;1&lt;/C&gt;&lt;D xsi:type="xsd:double"&gt;1.5123675&lt;/D&gt;&lt;/FQL&gt;&lt;FQL&gt;&lt;Q&gt;WCC-US^P_BETA_LOCIDX(44869,44697,,"SPX")&lt;/Q&gt;&lt;R&gt;1&lt;/R&gt;&lt;C&gt;1&lt;/C&gt;&lt;D xsi:type="xsd:double"&gt;1.5193907&lt;/D&gt;&lt;/FQL&gt;&lt;FQL&gt;&lt;Q&gt;WCC-US^P_BETA_LOCIDX(44868,44694,,"SPX")&lt;/Q&gt;&lt;R&gt;1&lt;/R&gt;&lt;C&gt;1&lt;/C&gt;&lt;D xsi:type="xsd:double"&gt;1.5164047&lt;/D&gt;&lt;/FQL&gt;&lt;FQL&gt;&lt;Q&gt;WCC-US^P_BETA_LOCIDX(44867,44693,,"SPX")&lt;/Q&gt;&lt;R&gt;1&lt;/R&gt;&lt;C&gt;1&lt;/C&gt;&lt;D xsi:type="xsd:double"&gt;1.4695638&lt;/D&gt;&lt;/FQL&gt;&lt;FQL&gt;&lt;Q&gt;WCC-US^P_BETA_LOCIDX(44866,44692,,"SPX")&lt;/Q&gt;&lt;R&gt;1&lt;/R&gt;&lt;C&gt;1&lt;/C&gt;&lt;D xsi:type="xsd:double"&gt;1.5015454&lt;/D&gt;&lt;/FQL&gt;&lt;FQL&gt;&lt;Q&gt;WCC-US^P_BETA_LOCIDX(44865,44691,,"SPX")&lt;/Q&gt;&lt;R&gt;1&lt;/R&gt;&lt;C&gt;1&lt;/C&gt;&lt;D xsi:type="xsd:double"&gt;1.502463&lt;/D&gt;&lt;/FQL&gt;&lt;FQL&gt;&lt;Q&gt;WCC-US^P_BETA_LOCIDX(44862,44690,,"SPX")&lt;/Q&gt;&lt;R&gt;1&lt;/R&gt;&lt;C&gt;1&lt;/C&gt;&lt;D xsi:type="xsd:double"&gt;1.5254865&lt;/D&gt;&lt;/FQL&gt;&lt;FQL&gt;&lt;Q&gt;WCC-US^P_BETA_LOCIDX(44861,44687,,"SPX")&lt;/Q&gt;&lt;R&gt;1&lt;/R&gt;&lt;C&gt;1&lt;/C&gt;&lt;D xsi:type="xsd:double"&gt;1.5336317&lt;/D&gt;&lt;/FQL&gt;&lt;FQL&gt;&lt;Q&gt;WCC-US^P_BETA_LOCIDX(44860,44686,,"SPX")&lt;/Q&gt;&lt;R&gt;1&lt;/R&gt;&lt;C&gt;1&lt;/C&gt;&lt;D xsi:type="xsd:double"&gt;1.4116026&lt;/D&gt;&lt;/FQL&gt;&lt;FQL&gt;&lt;Q&gt;WCC-US^P_BETA_LOCIDX(44859,44685,,"SPX")&lt;/Q&gt;&lt;R&gt;1&lt;/R&gt;&lt;C&gt;1&lt;/C&gt;&lt;D xsi:type="xsd:double"&gt;1.4156154&lt;/D&gt;&lt;/FQL&gt;&lt;FQL&gt;&lt;Q&gt;WCC-US^P_BETA_LOCIDX(44858,44684,,"SPX")&lt;/Q&gt;&lt;R&gt;1&lt;/R&gt;&lt;C&gt;1&lt;/C&gt;&lt;D xsi:type="xsd:double"&gt;1.4222522&lt;/D&gt;&lt;/FQL&gt;&lt;FQL&gt;&lt;Q&gt;WCC-US^P_BETA_LOCIDX(44855,44683,,"SPX")&lt;/Q&gt;&lt;R&gt;1&lt;/R&gt;&lt;C&gt;1&lt;/C&gt;&lt;D xsi:type="xsd:double"&gt;1.4149146&lt;/D&gt;&lt;/FQL&gt;&lt;FQL&gt;&lt;Q&gt;WCC-US^P_BETA_LOCIDX(44854,44680,,"SPX")&lt;/Q&gt;&lt;R&gt;1&lt;/R&gt;&lt;C&gt;1&lt;/C&gt;&lt;D xsi:type="xsd:double"&gt;1.3834244&lt;/D&gt;&lt;/FQL&gt;&lt;FQL&gt;&lt;Q&gt;WCC-US^P_BETA_LOCIDX(44853,44679,,"SPX")&lt;/Q&gt;&lt;R&gt;1&lt;/R&gt;&lt;C&gt;1&lt;/C&gt;&lt;D xsi:type="xsd:double"&gt;1.3769178&lt;/D&gt;&lt;/FQL&gt;&lt;FQL&gt;&lt;Q&gt;WCC-US^P_BETA_LOCIDX(44852,44678,,"SPX")&lt;/Q&gt;&lt;R&gt;1&lt;/R&gt;&lt;C&gt;1&lt;/C&gt;&lt;D xsi:type="xsd:double"&gt;1.3758967&lt;/D&gt;&lt;/FQL&gt;&lt;FQL&gt;&lt;Q&gt;WCC-US^P_BETA_LOCIDX(44851,44677,,"SPX")&lt;/Q&gt;&lt;R&gt;1&lt;/R&gt;&lt;C&gt;1&lt;/C&gt;&lt;D xsi:type="xsd:double"&gt;1.3787768&lt;/D&gt;&lt;/FQL&gt;&lt;FQL&gt;&lt;Q&gt;WCC-US^P_BETA_LOCIDX(44848,44676,,"SPX")&lt;/Q&gt;&lt;R&gt;1&lt;/R&gt;&lt;C&gt;1&lt;/C&gt;&lt;D xsi:type="xsd:double"&gt;1.3592415&lt;/D&gt;&lt;/FQL&gt;&lt;FQL&gt;&lt;Q&gt;WCC-US^P_BETA_LOCIDX(44847,44673,,"SPX")&lt;/Q&gt;&lt;R&gt;1&lt;/R&gt;&lt;C&gt;1&lt;/C&gt;&lt;D xsi:type="xsd:double"&gt;1.3551638&lt;/D&gt;&lt;/FQL&gt;&lt;FQL&gt;&lt;Q&gt;WCC-US^P_BETA_LOCIDX(44846,44672,,"SPX")&lt;/Q&gt;&lt;R&gt;1&lt;/R&gt;&lt;C&gt;1&lt;/C&gt;&lt;D xsi:type="xsd:double"&gt;1.3417311&lt;/D&gt;&lt;/FQL&gt;&lt;FQL&gt;&lt;Q&gt;WCC-US^P_BETA_LOCIDX(44845,44671,,"SPX")&lt;/Q&gt;&lt;R&gt;1&lt;/R&gt;&lt;C&gt;1&lt;/C&gt;&lt;D xsi:type="xsd:double"&gt;1.3412414&lt;/D&gt;&lt;/FQL&gt;&lt;FQL&gt;&lt;Q&gt;WCC-US^P_BETA_LOCIDX(44844,44670,,"SPX")&lt;/Q&gt;&lt;R&gt;1&lt;/R&gt;&lt;C&gt;1&lt;/C&gt;&lt;D xsi:type="xsd:double"&gt;1.3555148&lt;/D&gt;&lt;/FQL&gt;&lt;FQL&gt;&lt;Q&gt;WCC-US^P_BETA_LOCIDX(44841,44669,,"SPX")&lt;/Q&gt;&lt;R&gt;1&lt;/R&gt;&lt;C&gt;1&lt;/C&gt;&lt;D xsi:type="xsd:double"&gt;1.3553294&lt;/D&gt;&lt;/FQL&gt;&lt;FQL&gt;&lt;Q&gt;WCC-US^P_BETA_LOCIDX(44840,44665,,"SPX")&lt;/Q&gt;&lt;R&gt;1&lt;/R&gt;&lt;C&gt;1&lt;/C&gt;&lt;D xsi:type="xsd:double"&gt;1.358164&lt;/D&gt;&lt;/FQL&gt;&lt;FQL&gt;&lt;Q&gt;WCC-US^P_BETA_LOCIDX(44839,44664,,"SPX")&lt;/Q&gt;&lt;R&gt;1&lt;/R&gt;&lt;C&gt;1&lt;/C&gt;&lt;D xsi:type="xsd:double"&gt;1.362232&lt;/D&gt;&lt;/FQL&gt;&lt;FQL&gt;&lt;Q&gt;WCC-US^P_BETA_LOCIDX(44838,44663,,"SPX")&lt;/Q&gt;&lt;R&gt;1&lt;/R&gt;&lt;C&gt;1&lt;/C&gt;&lt;D xsi:type="xsd:double"&gt;1.3604292&lt;/D&gt;&lt;/FQL&gt;&lt;FQL&gt;&lt;Q&gt;WCC-US^P_BETA_LOCIDX(44837,44662,,"SPX")&lt;/Q&gt;&lt;R&gt;1&lt;/R&gt;&lt;C&gt;1&lt;/C&gt;&lt;D xsi:type="xsd:double"&gt;1.3458867&lt;/D&gt;&lt;/FQL&gt;&lt;FQL&gt;&lt;Q&gt;WCC-US^P_BETA_LOCIDX(44834,44659,,"SPX")&lt;/Q&gt;&lt;R&gt;1&lt;/R&gt;&lt;C&gt;1&lt;/C&gt;&lt;D xsi:type="xsd:double"&gt;1.3535509&lt;/D&gt;&lt;/FQL&gt;&lt;FQL&gt;&lt;Q&gt;WCC-US^P_BETA_LOCIDX(44833,44658,,"SPX")&lt;/Q&gt;&lt;R&gt;1&lt;/R&gt;&lt;C&gt;1&lt;/C&gt;&lt;D xsi:type="xsd:double"&gt;1.3614377&lt;/D&gt;&lt;/FQL&gt;&lt;FQL&gt;&lt;Q&gt;WCC-US^P_BETA_LOCIDX(44832,44657,,"SPX")&lt;/Q&gt;&lt;R&gt;1&lt;/R&gt;&lt;C&gt;1&lt;/C&gt;&lt;D xsi:type="xsd:double"&gt;1.3676951&lt;/D&gt;&lt;/FQL&gt;&lt;FQL&gt;&lt;Q&gt;WCC-US^P_BETA_LOCIDX(44831,44656,,"SPX")&lt;/Q&gt;&lt;R&gt;1&lt;/R&gt;&lt;C&gt;1&lt;/C&gt;&lt;D xsi:type="xsd:double"&gt;1.3680497&lt;/D&gt;&lt;/FQL&gt;&lt;FQL&gt;&lt;Q&gt;WCC-US^P_BETA_LOCIDX(44830,44655,,"SPX")&lt;/Q&gt;&lt;R&gt;1&lt;/R&gt;&lt;C&gt;1&lt;/C&gt;&lt;D xsi:type="xsd:double"&gt;1.3578359&lt;/D&gt;&lt;/FQL&gt;&lt;FQL&gt;&lt;Q&gt;WCC-US^P_BETA_LOCIDX(44827,44652,,"SPX")&lt;/Q&gt;&lt;R&gt;1&lt;/R&gt;&lt;C&gt;1&lt;/C&gt;&lt;D xsi:type="xsd:double"&gt;1.3534923&lt;/D&gt;&lt;/FQL&gt;&lt;FQL&gt;&lt;Q&gt;WCC-US^P_BETA_LOCIDX(44826,44651,,"SPX")&lt;/Q&gt;&lt;R&gt;1&lt;/R&gt;&lt;C&gt;1&lt;/C&gt;&lt;D xsi:type="xsd:double"&gt;1.3365432&lt;/D&gt;&lt;/FQL&gt;&lt;FQL&gt;&lt;Q&gt;WCC-US^P_BETA_LOCIDX(44825,44650,,"SPX")&lt;/Q&gt;&lt;R&gt;1&lt;/R&gt;&lt;C&gt;1&lt;/C&gt;&lt;D xsi:type="xsd:double"&gt;1.3337307&lt;/D&gt;&lt;/FQL&gt;&lt;FQL&gt;&lt;Q&gt;WCC-US^P_BETA_LOCIDX(44824,44649,,"SPX")&lt;/Q&gt;&lt;R&gt;1&lt;/R&gt;&lt;C&gt;1&lt;/C&gt;&lt;D xsi:type="xsd:double"&gt;1.3366278&lt;/D&gt;&lt;/FQL&gt;&lt;FQL&gt;&lt;Q&gt;WCC-US^P_BETA_LOCIDX(44823,44648,,"SPX")&lt;/Q&gt;&lt;R&gt;1&lt;/R&gt;&lt;C&gt;1&lt;/C&gt;&lt;D xsi:type="xsd:double"&gt;1.3292534&lt;/D&gt;&lt;/FQL&gt;&lt;FQL&gt;&lt;Q&gt;WCC-US^P_BETA_LOCIDX(44820,44645,,"SPX")&lt;/Q&gt;&lt;R&gt;1&lt;/R&gt;&lt;C&gt;1&lt;/C&gt;&lt;D xsi:type="xsd:double"&gt;1.3260964&lt;/D&gt;&lt;/FQL&gt;&lt;FQL&gt;&lt;Q&gt;WCC-US^P_BETA_LOCIDX(44819,44644,,"SPX")&lt;/Q&gt;&lt;R&gt;1&lt;/R&gt;&lt;C&gt;1&lt;/C&gt;&lt;D xsi:type="xsd:double"&gt;1.3180405&lt;/D&gt;&lt;/FQL&gt;&lt;FQL&gt;&lt;Q&gt;WCC-US^P_BETA_LOCIDX(44818,44643,,"SPX")&lt;/Q&gt;&lt;R&gt;1&lt;/R&gt;&lt;C&gt;1&lt;/C&gt;&lt;D xsi:type="xsd:double"&gt;1.3184122&lt;/D&gt;&lt;/FQL&gt;&lt;FQL&gt;&lt;Q&gt;WCC-US^P_BETA_LOCIDX(44817,44642,,"SPX")&lt;/Q&gt;&lt;R&gt;1&lt;/R&gt;&lt;C&gt;1&lt;/C&gt;&lt;D xsi:type="xsd:double"&gt;1.3167537&lt;/D&gt;&lt;/FQL&gt;&lt;FQL&gt;&lt;Q&gt;WCC-US^P_BETA_LOCIDX(44816,44641,,"SPX")&lt;/Q&gt;&lt;R&gt;1&lt;/R&gt;&lt;C&gt;1&lt;/C&gt;&lt;D xsi:type="xsd:double"&gt;1.3513348&lt;/D&gt;&lt;/FQL&gt;&lt;FQL&gt;&lt;Q&gt;WCC-US^P_BETA_LOCIDX(44813,44638,,"SPX")&lt;/Q&gt;&lt;R&gt;1&lt;/R&gt;&lt;C&gt;1&lt;/C&gt;&lt;D xsi:type="xsd:double"&gt;1.3502399&lt;/D&gt;&lt;/FQL&gt;&lt;FQL&gt;&lt;Q&gt;WCC-US^P_BETA_LOCIDX(44812,44637,,"SPX")&lt;/Q&gt;&lt;R&gt;1&lt;/R&gt;&lt;C&gt;1&lt;/C&gt;&lt;D xsi:type="xsd:double"&gt;1.3357265&lt;/D&gt;&lt;/FQL&gt;&lt;FQL&gt;&lt;Q&gt;WCC-US^P_BETA_LOCIDX(44811,44636,,"SPX")&lt;/Q&gt;&lt;R&gt;1&lt;/R&gt;&lt;C&gt;1&lt;/C&gt;&lt;D xsi:type="xsd:double"&gt;1.3513108&lt;/D&gt;&lt;/FQL&gt;&lt;FQL&gt;&lt;Q&gt;WCC-US^P_BETA_LOCIDX(44810,44635,,"SPX")&lt;/Q&gt;&lt;R&gt;1&lt;/R&gt;&lt;C&gt;1&lt;/C&gt;&lt;D xsi:type="xsd:double"&gt;1.3524092&lt;/D&gt;&lt;/FQL&gt;&lt;FQL&gt;&lt;Q&gt;WCC-US^P_BETA_LOCIDX(44806,44634,,"SPX")&lt;/Q&gt;&lt;R&gt;1&lt;/R&gt;&lt;C&gt;1&lt;/C&gt;&lt;D xsi:type="xsd:double"&gt;1.3508735&lt;/D&gt;&lt;/FQL&gt;&lt;FQL&gt;&lt;Q&gt;WCC-US^P_BETA_LOCIDX(44805,44631,,"SPX")&lt;/Q&gt;&lt;R&gt;1&lt;/R&gt;&lt;C&gt;1&lt;/C&gt;&lt;D xsi:type="xsd:double"&gt;1.3362329&lt;/D&gt;&lt;/FQL&gt;&lt;FQL&gt;&lt;Q&gt;WCC-US^P_BETA_LOCIDX(44804,44630,,"SPX")&lt;/Q&gt;&lt;R&gt;1&lt;/R&gt;&lt;C&gt;1&lt;/C&gt;&lt;D xsi:type="xsd:double"&gt;1.3341047&lt;/D&gt;&lt;/FQL&gt;&lt;FQL&gt;&lt;Q&gt;WCC-US^P_BETA_LOCIDX(44803,44629,,"SPX")&lt;/Q&gt;&lt;R&gt;1&lt;/R&gt;&lt;C&gt;1&lt;/C&gt;&lt;D xsi:type="xsd:double"&gt;1.3387587&lt;/D&gt;&lt;/FQL&gt;&lt;FQL&gt;&lt;Q&gt;WCC-US^P_BETA_LOCIDX(44802,44628,,"SPX")&lt;/Q&gt;&lt;R&gt;1&lt;/R&gt;&lt;C&gt;1&lt;/C&gt;&lt;D xsi:type="xsd:double"&gt;1.3233702&lt;/D&gt;&lt;/FQL&gt;&lt;FQL&gt;&lt;Q&gt;WCC-US^P_BETA_LOCIDX(44799,44627,,"SPX")&lt;/Q&gt;&lt;R&gt;1&lt;/R&gt;&lt;C&gt;1&lt;/C&gt;&lt;D xsi:type="xsd:double"&gt;1.3503845&lt;/D&gt;&lt;/FQL&gt;&lt;FQL&gt;&lt;Q&gt;WCC-US^P_BETA_LOCIDX(44798,44624,,"SPX")&lt;/Q&gt;&lt;R&gt;1&lt;/R&gt;&lt;C&gt;1&lt;/C&gt;&lt;D xsi:type="xsd:double"&gt;1.3647691&lt;/D&gt;&lt;/FQL&gt;&lt;FQL&gt;&lt;Q&gt;WCC-US^P_BETA_LOCIDX(44797,44623,,"SPX")&lt;/Q&gt;&lt;R&gt;1&lt;/R&gt;&lt;C&gt;1&lt;/C&gt;&lt;D xsi:type="xsd:double"&gt;1.3539652&lt;/D&gt;&lt;/FQL&gt;&lt;FQL&gt;&lt;Q&gt;WCC-US^P_BETA_LOCIDX(44796,44622,,"SPX")&lt;/Q&gt;&lt;R&gt;1&lt;/R&gt;&lt;C&gt;1&lt;/C&gt;&lt;D xsi:type="xsd:double"&gt;1.3674903&lt;/D&gt;&lt;/FQL&gt;&lt;FQL&gt;&lt;Q&gt;WCC-US^P_BETA_LOCIDX(44795,44621,,"SPX")&lt;/Q&gt;&lt;R&gt;1&lt;/R&gt;&lt;C&gt;1&lt;/C&gt;&lt;D xsi:type="xsd:double"&gt;1.3819253&lt;/D&gt;&lt;/FQL&gt;&lt;FQL&gt;&lt;Q&gt;WCC-US^P_BETA_LOCIDX(44792,44620,,"SPX")&lt;/Q&gt;&lt;R&gt;1&lt;/R&gt;&lt;C&gt;1&lt;/C&gt;&lt;D xsi:type="xsd:double"&gt;1.3818479&lt;/D&gt;&lt;/FQL&gt;&lt;FQL&gt;&lt;Q&gt;WCC-US^P_BETA_LOCIDX(44791,44617,,"SPX")&lt;/Q&gt;&lt;R&gt;1&lt;/R&gt;&lt;C&gt;1&lt;/C&gt;&lt;D xsi:type="xsd:double"&gt;1.361347&lt;/D&gt;&lt;/FQL&gt;&lt;FQL&gt;&lt;Q&gt;WCC-US^P_BETA_LOCIDX(44790,44616,,"SPX")&lt;/Q&gt;&lt;R&gt;1&lt;/R&gt;&lt;C&gt;1&lt;/C&gt;&lt;D xsi:type="xsd:double"&gt;1.3696506&lt;/D&gt;&lt;/FQL&gt;&lt;FQL&gt;&lt;Q&gt;WCC-US^P_BETA_LOCIDX(44789,44615,,"SPX")&lt;/Q&gt;&lt;R&gt;1&lt;/R&gt;&lt;C&gt;1&lt;/C&gt;&lt;D xsi:type="xsd:double"&gt;1.3822216&lt;/D&gt;&lt;/FQL&gt;&lt;FQL&gt;&lt;Q&gt;WCC-US^P_BETA_LOCIDX(44788,44614,,"SPX")&lt;/Q&gt;&lt;R&gt;1&lt;/R&gt;&lt;C&gt;1&lt;/C&gt;&lt;D xsi:type="xsd:double"&gt;1.376155&lt;/D&gt;&lt;/FQL&gt;&lt;FQL&gt;&lt;Q&gt;WCC-US^P_BETA_LOCIDX(44785,44610,,"SPX")&lt;/Q&gt;&lt;R&gt;1&lt;/R&gt;&lt;C&gt;1&lt;/C&gt;&lt;D xsi:type="xsd:double"&gt;1.3724835&lt;/D&gt;&lt;/FQL&gt;&lt;FQL&gt;&lt;Q&gt;WCC-US^P_BETA_LOCIDX(44784,44609,,"SPX")&lt;/Q&gt;&lt;R&gt;1&lt;/R&gt;&lt;C&gt;1&lt;/C&gt;&lt;D xsi:type="xsd:double"&gt;1.3938278&lt;/D&gt;&lt;/FQL&gt;&lt;FQL&gt;&lt;Q&gt;WCC-US^P_BETA_LOCIDX(44783,44608,,"SPX")&lt;/Q&gt;&lt;R&gt;1&lt;/R&gt;&lt;C&gt;1&lt;/C&gt;&lt;D xsi:type="xsd:double"&gt;1.393303&lt;/D&gt;&lt;/FQL&gt;&lt;FQL&gt;&lt;Q&gt;WCC-US^P_BETA_LOCIDX(44782,44607,,"SPX")&lt;/Q&gt;&lt;R&gt;1&lt;/R&gt;&lt;C&gt;1&lt;/C&gt;&lt;D xsi:type="xsd:double"&gt;1.42008&lt;/D&gt;&lt;/FQL&gt;&lt;FQL&gt;&lt;Q&gt;WCC-US^P_BETA_LOCIDX(44781,44606,,"SPX")&lt;/Q&gt;&lt;R&gt;1&lt;/R&gt;&lt;C&gt;1&lt;/C&gt;&lt;D xsi:type="xsd:double"&gt;1.4196383&lt;/D&gt;&lt;/FQL&gt;&lt;FQL&gt;&lt;Q&gt;WCC-US^P_BETA_LOCIDX(44778,44603,,"SPX")&lt;/Q&gt;&lt;R&gt;1&lt;/R&gt;&lt;C&gt;1&lt;/C&gt;&lt;D xsi:type="xsd:double"&gt;1.4226336&lt;/D&gt;&lt;/FQL&gt;&lt;FQL&gt;&lt;Q&gt;WCC-US^P_BETA_LOCIDX(44777,44602,,"SPX")&lt;/Q&gt;&lt;R&gt;1&lt;/R&gt;&lt;C&gt;1&lt;/C&gt;&lt;D xsi:type="xsd:double"&gt;1.425402&lt;/D&gt;&lt;/FQL&gt;&lt;FQL&gt;&lt;Q&gt;WCC-US^P_BETA_LOCIDX(44776,44601,,"SPX")&lt;/Q&gt;&lt;R&gt;1&lt;/R&gt;&lt;C&gt;1&lt;/C&gt;&lt;D xsi:type="xsd:double"&gt;1.4345828&lt;/D&gt;&lt;/FQL&gt;&lt;FQL&gt;&lt;Q&gt;WCC-US^P_BETA_LOCIDX(44775,44600,,"SPX")&lt;/Q&gt;&lt;R&gt;1&lt;/R&gt;&lt;C&gt;1&lt;/C&gt;&lt;D xsi:type="xsd:double"&gt;1.4464582&lt;/D&gt;&lt;/FQL&gt;&lt;FQL&gt;&lt;Q&gt;WCC-US^P_BETA_LOCIDX(44774,44599,,"SPX")&lt;/Q&gt;&lt;R&gt;1&lt;/R&gt;&lt;C&gt;1&lt;/C&gt;&lt;D xsi:type="xsd:double"&gt;1.4444002&lt;/D&gt;&lt;/FQL&gt;&lt;FQL&gt;&lt;Q&gt;WCC-US^P_BETA_LOCIDX(45919,45747,,"SPX")&lt;/Q&gt;&lt;R&gt;1&lt;/R&gt;&lt;C&gt;1&lt;/C&gt;&lt;D xsi:type="xsd:double"&gt;1.5700153&lt;/D&gt;&lt;/FQL&gt;&lt;FQL&gt;&lt;Q&gt;CRH-US^P_BETA_LOCIDX(45533,45359,,"SPX")&lt;/Q&gt;&lt;R&gt;1&lt;/R&gt;&lt;C&gt;1&lt;/C&gt;&lt;D xsi:type="xsd:double"&gt;1.4445219&lt;/D&gt;&lt;/FQL&gt;&lt;FQL&gt;&lt;Q&gt;CRH-US^P_BETA_LOCIDX(45183,45008,,"SPX")&lt;/Q&gt;&lt;R&gt;1&lt;/R&gt;&lt;C&gt;1&lt;/C&gt;&lt;D xsi:type="xsd:double"&gt;1.0231038&lt;/D&gt;&lt;/FQL&gt;&lt;FQL&gt;&lt;Q&gt;CRH-US^P_BETA_LOCIDX(45351,45176,,"SPX")&lt;/Q&gt;&lt;R&gt;1&lt;/R&gt;&lt;C&gt;1&lt;/C&gt;&lt;D xsi:type="xsd:double"&gt;1.2046798&lt;/D&gt;&lt;/FQL&gt;&lt;FQL&gt;&lt;Q&gt;CRH-US^P_BETA_LOCIDX(45930,45757,,"SPX")&lt;/Q&gt;&lt;R&gt;1&lt;/R&gt;&lt;C&gt;1&lt;/C&gt;&lt;D xsi:type="xsd:double"&gt;1.3863037&lt;/D&gt;&lt;/FQL&gt;&lt;FQL&gt;&lt;Q&gt;CRH-US^P_BETA_LOCIDX(45982,45813,,"SPX")&lt;/Q&gt;&lt;R&gt;1&lt;/R&gt;&lt;C&gt;1&lt;/C&gt;&lt;D xsi:type="xsd:double"&gt;1.0776421&lt;/D&gt;&lt;/FQL&gt;&lt;FQL&gt;&lt;Q&gt;CRH-US^P_BETA_LOCIDX(45412,45236,,"SPX")&lt;/Q&gt;&lt;R&gt;1&lt;/R&gt;&lt;C&gt;1&lt;/C&gt;&lt;D xsi:type="xsd:double"&gt;1.1255054&lt;/D&gt;&lt;/FQL&gt;&lt;FQL&gt;&lt;Q&gt;CRH-US^P_BETA_LOCIDX(45030,44854,,"SPX")&lt;/Q&gt;&lt;R&gt;1&lt;/R&gt;&lt;C&gt;1&lt;/C&gt;&lt;D xsi:type="xsd:double"&gt;1.135328&lt;/D&gt;&lt;/FQL&gt;&lt;FQL&gt;&lt;Q&gt;CRH-US^P_BETA_LOCIDX(45873,45699,,"SPX")&lt;/Q&gt;&lt;R&gt;1&lt;/R&gt;&lt;C&gt;1&lt;/C&gt;&lt;D xsi:type="xsd:double"&gt;1.2732589&lt;/D&gt;&lt;/FQL&gt;&lt;FQL&gt;&lt;Q&gt;CRH-US^P_BETA_LOCIDX(45506,45331,,"SPX")&lt;/Q&gt;&lt;R&gt;1&lt;/R&gt;&lt;C&gt;1&lt;/C&gt;&lt;D xsi:type="xsd:double"&gt;1.3219154&lt;/D&gt;&lt;/FQL&gt;&lt;FQL&gt;&lt;Q&gt;CRH-US^P_BETA_LOCIDX(45757,45581,,"SPX")&lt;/Q&gt;&lt;R&gt;1&lt;/R&gt;&lt;C&gt;1&lt;/C&gt;&lt;D xsi:type="xsd:double"&gt;1.2556114&lt;/D&gt;&lt;/FQL&gt;&lt;FQL&gt;&lt;Q&gt;CRH-US^P_BETA_LOCIDX(45240,45068,,"SPX")&lt;/Q&gt;&lt;R&gt;1&lt;/R&gt;&lt;C&gt;1&lt;/C&gt;&lt;D xsi:type="xsd:double"&gt;1.2649453&lt;/D&gt;&lt;/FQL&gt;&lt;FQL&gt;&lt;Q&gt;CRH-US^P_BETA_LOCIDX(45225,45051,,"SPX")&lt;/Q&gt;&lt;R&gt;1&lt;/R&gt;&lt;C&gt;1&lt;/C&gt;&lt;D xsi:type="xsd:double"&gt;1.2359563&lt;/D&gt;&lt;/FQL&gt;&lt;FQL&gt;&lt;Q&gt;CRH-US^P_BETA_LOCIDX(45014,44839,,"SPX")&lt;/Q&gt;&lt;R&gt;1&lt;/R&gt;&lt;C&gt;1&lt;/C&gt;&lt;D xsi:type="xsd:double"&gt;1.1779103&lt;/D&gt;&lt;/FQL&gt;&lt;FQL&gt;&lt;Q&gt;CRH-US^P_BETA_LOCIDX(45834,45657,,"SPX")&lt;/Q&gt;&lt;R&gt;1&lt;/R&gt;&lt;C&gt;1&lt;/C&gt;&lt;D xsi:type="xsd:double"&gt;1.269484&lt;/D&gt;&lt;/FQL&gt;&lt;FQL&gt;&lt;Q&gt;CRH-US^P_BETA_LOCIDX(45678,45502,,"SPX")&lt;/Q&gt;&lt;R&gt;1&lt;/R&gt;&lt;C&gt;1&lt;/C&gt;&lt;D xsi:type="xsd:double"&gt;1.2313724&lt;/D&gt;&lt;/FQL&gt;&lt;FQL&gt;&lt;Q&gt;CRH-US^P_BETA_LOCIDX(45552,45377,,"SPX")&lt;/Q&gt;&lt;R&gt;1&lt;/R&gt;&lt;C&gt;1&lt;/C&gt;&lt;D xsi:type="xsd:double"&gt;1.3496414&lt;/D&gt;&lt;/FQL&gt;&lt;FQL&gt;&lt;Q&gt;CRH-US^P_BETA_LOCIDX(45714,45538,,"SPX")&lt;/Q&gt;&lt;R&gt;1&lt;/R&gt;&lt;C&gt;1&lt;/C&gt;&lt;D xsi:type="xsd:double"&gt;1.0688381&lt;/D&gt;&lt;/FQL&gt;&lt;FQL&gt;&lt;Q&gt;CRH-US^P_BETA_LOCIDX(45112,44936,,"SPX")&lt;/Q&gt;&lt;R&gt;1&lt;/R&gt;&lt;C&gt;1&lt;/C&gt;&lt;D xsi:type="xsd:double"&gt;1.0259328&lt;/D&gt;&lt;/FQL&gt;&lt;FQL&gt;&lt;Q&gt;CRH-US^P_BETA_LOCIDX(45078,44902,,"SPX")&lt;/Q&gt;&lt;R&gt;1&lt;/R&gt;&lt;C&gt;1&lt;/C&gt;&lt;D xsi:type="xsd:double"&gt;1.0209008&lt;/D&gt;&lt;/FQL&gt;&lt;FQL&gt;&lt;Q&gt;CRH-US^P_BETA_LOCIDX(46021,45848,,"SPX")&lt;/Q&gt;&lt;R&gt;1&lt;/R&gt;&lt;C&gt;1&lt;/C&gt;&lt;D xsi:type="xsd:double"&gt;1.1082423&lt;/D&gt;&lt;/FQL&gt;&lt;FQL&gt;&lt;Q&gt;CRH-US^P_BETA_LOCIDX(45218,45044,,"SPX")&lt;/Q&gt;&lt;R&gt;1&lt;/R&gt;&lt;C&gt;1&lt;/C&gt;&lt;D xsi:type="xsd:double"&gt;1.2221119&lt;/D&gt;&lt;/FQL&gt;&lt;FQL&gt;&lt;Q&gt;CRH-US^P_BETA_LOCIDX(45414,45238,,"SPX")&lt;/Q&gt;&lt;R&gt;1&lt;/R&gt;&lt;C&gt;1&lt;/C&gt;&lt;D xsi:type="xsd:double"&gt;1.1499484&lt;/D&gt;&lt;/FQL&gt;&lt;FQL&gt;&lt;Q&gt;CRH-US^P_BETA_LOCIDX(45337,45162,,"SPX")&lt;/Q&gt;&lt;R&gt;1&lt;/R&gt;&lt;C&gt;1&lt;/C&gt;&lt;D xsi:type="xsd:double"&gt;1.2557231&lt;/D&gt;&lt;/FQL&gt;&lt;FQL&gt;&lt;Q&gt;CRH-US^P_BETA_LOCIDX(45348,45170,,"SPX")&lt;/Q&gt;&lt;R&gt;1&lt;/R&gt;&lt;C&gt;1&lt;/C&gt;&lt;D xsi:type="xsd:double"&gt;1.1969365&lt;/D&gt;&lt;/FQL&gt;&lt;FQL&gt;&lt;Q&gt;CRH-US^P_BETA_LOCIDX(45925,45751,,"SPX")&lt;/Q&gt;&lt;R&gt;1&lt;/R&gt;&lt;C&gt;1&lt;/C&gt;&lt;D xsi:type="xsd:double"&gt;1.2121625&lt;/D&gt;&lt;/FQL&gt;&lt;FQL&gt;&lt;Q&gt;CRH-US^P_BETA_LOCIDX(45372,45197,,"SPX")&lt;/Q&gt;&lt;R&gt;1&lt;/R&gt;&lt;C&gt;1&lt;/C&gt;&lt;D xsi:type="xsd:double"&gt;1.2211345&lt;/D&gt;&lt;/FQL&gt;&lt;FQL&gt;&lt;Q&gt;CRH-US^P_BETA_LOCIDX(45558,45384,,"SPX")&lt;/Q&gt;&lt;R&gt;1&lt;/R&gt;&lt;C&gt;1&lt;/C&gt;&lt;D xsi:type="xsd:double"&gt;1.3736727&lt;/D&gt;&lt;/FQL&gt;&lt;FQL&gt;&lt;Q&gt;CRH-US^P_BETA_LOCIDX(45622,45449,,"SPX")&lt;/Q&gt;&lt;R&gt;1&lt;/R&gt;&lt;C&gt;1&lt;/C&gt;&lt;D xsi:type="xsd:double"&gt;1.2604331&lt;/D&gt;&lt;/FQL&gt;&lt;FQL&gt;&lt;Q&gt;CRH-US^P_BETA_LOCIDX(45503,45328,,"SPX")&lt;/Q&gt;&lt;R&gt;1&lt;/R&gt;&lt;C&gt;1&lt;/C&gt;&lt;D xsi:type="xsd:double"&gt;1.2402911&lt;/D&gt;&lt;/FQL&gt;&lt;FQL&gt;&lt;Q&gt;CRH-US^P_BETA_LOCIDX(45330,45155,,"SPX")&lt;/Q&gt;&lt;R&gt;1&lt;/R&gt;&lt;C&gt;1&lt;/C&gt;&lt;D xsi:type="xsd:double"&gt;1.2269434&lt;/D&gt;&lt;/FQL&gt;&lt;FQL&gt;&lt;Q&gt;CRH-US^P_BETA_LOCIDX(45849,45674,,"SPX")&lt;/Q&gt;&lt;R&gt;1&lt;/R&gt;&lt;C&gt;1&lt;/C&gt;&lt;D xsi:type="xsd:double"&gt;1.2786847&lt;/D&gt;&lt;/FQL&gt;&lt;FQL&gt;&lt;Q&gt;CRH-US^P_BETA_LOCIDX(45615,45442,,"SPX")&lt;/Q&gt;&lt;R&gt;1&lt;/R&gt;&lt;C&gt;1&lt;/C&gt;&lt;D xsi:type="xsd:double"&gt;1.251322&lt;/D&gt;&lt;/FQL&gt;&lt;FQL&gt;&lt;Q&gt;CRH-US^P_BETA_LOCIDX(45582,45408,,"SPX")&lt;/Q&gt;&lt;R&gt;1&lt;/R&gt;&lt;C&gt;1&lt;/C&gt;&lt;D xsi:type="xsd:double"&gt;1.3607997&lt;/D&gt;&lt;/FQL&gt;&lt;FQL&gt;&lt;Q&gt;CRH-US^P_BETA_LOCIDX(45387,45211,,"SPX")&lt;/Q&gt;&lt;R&gt;1&lt;/R&gt;&lt;C&gt;1&lt;/C&gt;&lt;D xsi:type="xsd:double"&gt;1.1701695&lt;/D&gt;&lt;/FQL&gt;&lt;FQL&gt;&lt;Q&gt;CRH-US^P_BETA_LOCIDX(44987,44812,,"SPX")&lt;/Q&gt;&lt;R&gt;1&lt;/R&gt;&lt;C&gt;1&lt;/C&gt;&lt;D xsi:type="xsd:double"&gt;1.2454621&lt;/D&gt;&lt;/FQL&gt;&lt;FQL&gt;&lt;Q&gt;CRH-US^P_BETA_LOCIDX(45909,45736,,"SPX")&lt;/Q&gt;&lt;R&gt;1&lt;/R&gt;&lt;C&gt;1&lt;/C&gt;&lt;D xsi:type="xsd:double"&gt;1.2277306&lt;/D&gt;&lt;/FQL&gt;&lt;FQL&gt;&lt;Q&gt;CRH-US^P_BETA_LOCIDX(45936,45763,,"SPX")&lt;/Q&gt;&lt;R&gt;1&lt;/R&gt;&lt;C&gt;1&lt;/C&gt;&lt;D xsi:type="xsd:double"&gt;1.3134166&lt;/D&gt;&lt;/FQL&gt;&lt;FQL&gt;&lt;Q&gt;CRH-US^P_BETA_LOCIDX(45961,45791,,"SPX")&lt;/Q&gt;&lt;R&gt;1&lt;/R&gt;&lt;C&gt;1&lt;/C&gt;&lt;D xsi:type="xsd:double"&gt;1.1411998&lt;/D&gt;&lt;/FQL&gt;&lt;FQL&gt;&lt;Q&gt;CRH-US^P_BETA_LOCIDX(45989,45820,,"SPX")&lt;/Q&gt;&lt;R&gt;1&lt;/R&gt;&lt;C&gt;1&lt;/C&gt;&lt;D xsi:type="xsd:double"&gt;1.1854112&lt;/D&gt;&lt;/FQL&gt;&lt;FQL&gt;&lt;Q&gt;CRH-US^P_BETA_LOCIDX(45904,45730,,"SPX")&lt;/Q&gt;&lt;R&gt;1&lt;/R&gt;&lt;C&gt;1&lt;/C&gt;&lt;D xsi:type="xsd:double"&gt;1.2342027&lt;/D&gt;&lt;/FQL&gt;&lt;FQL&gt;&lt;Q&gt;CRH-US^P_BETA_LOCIDX(45597,45425,,"SPX")&lt;/Q&gt;&lt;R&gt;1&lt;/R&gt;&lt;C&gt;1&lt;/C&gt;&lt;D xsi:type="xsd:double"&gt;1.2878035&lt;/D&gt;&lt;/FQL&gt;&lt;FQL&gt;&lt;Q&gt;CRH-US^P_BETA_LOCIDX(45505,45330,,"SPX")&lt;/Q&gt;&lt;R&gt;1&lt;/R&gt;&lt;C&gt;1&lt;/C&gt;&lt;D xsi:type="xsd:double"&gt;1.2936913&lt;/D&gt;&lt;/FQL&gt;&lt;FQL&gt;&lt;Q&gt;CRH-US^P_BETA_LOCIDX(45160,44986,,"SPX")&lt;/Q&gt;&lt;R&gt;1&lt;/R&gt;&lt;C&gt;1&lt;/C&gt;&lt;D xsi:type="xsd:double"&gt;1.0668352&lt;/D&gt;&lt;/FQL&gt;&lt;FQL&gt;&lt;Q&gt;CRH-US^P_BETA_LOCIDX(45349,45174,,"SPX")&lt;/Q&gt;&lt;R&gt;1&lt;/R&gt;&lt;C&gt;1&lt;/C&gt;&lt;D xsi:type="xsd:double"&gt;1.1964505&lt;/D&gt;&lt;/FQL&gt;&lt;FQL&gt;&lt;Q&gt;CRH-US^P_BETA_LOCIDX(45908,45734,,"SPX")&lt;/Q&gt;&lt;R&gt;1&lt;/R&gt;&lt;C&gt;1&lt;/C&gt;&lt;D xsi:type="xsd:double"&gt;1.233485&lt;/D&gt;&lt;/FQL&gt;&lt;FQL&gt;&lt;Q&gt;CRH-US^P_BETA_LOCIDX(45545,45370,,"SPX")&lt;/Q&gt;&lt;R&gt;1&lt;/R&gt;&lt;C&gt;1&lt;/C&gt;&lt;D xsi:type="xsd:double"&gt;1.355443&lt;/D&gt;&lt;/FQL&gt;&lt;FQL&gt;&lt;Q&gt;CRH-US^P_BETA_LOCIDX(45910,45737,,"SPX")&lt;/Q&gt;&lt;R&gt;1&lt;/R&gt;&lt;C&gt;1&lt;/C&gt;&lt;D xsi:type="xsd:double"&gt;1.2265953&lt;/D&gt;&lt;/FQL&gt;&lt;FQL&gt;&lt;Q&gt;CRH-US^P_BETA_LOCIDX(45964,45792,,"SPX")&lt;/Q&gt;&lt;R&gt;1&lt;/R&gt;&lt;C&gt;1&lt;/C&gt;&lt;D xsi:type="xsd:double"&gt;1.1400793&lt;/D&gt;&lt;/FQL&gt;&lt;FQL&gt;&lt;Q&gt;CRH-US^P_BETA_LOCIDX(45993,45824,,"SPX")&lt;/Q&gt;&lt;R&gt;1&lt;/R&gt;&lt;C&gt;1&lt;/C&gt;&lt;D xsi:type="xsd:double"&gt;1.1400934&lt;/D&gt;&lt;/FQL&gt;&lt;FQL&gt;&lt;Q&gt;CRH-US^P_BETA_LOCIDX(45932,45758,,"SPX")&lt;/Q&gt;&lt;R&gt;1&lt;/R&gt;&lt;C&gt;1&lt;/C&gt;&lt;D xsi:type="xsd:double"&gt;1.3008221&lt;/D&gt;&lt;/FQL&gt;&lt;FQL&gt;&lt;Q&gt;CRH-US^P_BETA_LOCIDX(45233,45061,,"SPX")&lt;/Q&gt;&lt;R&gt;1&lt;/R&gt;&lt;C&gt;1&lt;/C&gt;&lt;D xsi:type="xsd:double"&gt;1.2379813&lt;/D&gt;&lt;/FQL&gt;&lt;FQL&gt;&lt;Q&gt;CRH-US^P_BETA_LOCIDX(45833,45656,,"SPX")&lt;/Q&gt;&lt;R&gt;1&lt;/R&gt;&lt;C&gt;1&lt;/C&gt;&lt;D xsi:type="xsd:double"&gt;1.2700185&lt;/D&gt;&lt;/FQL&gt;&lt;FQL&gt;&lt;Q&gt;CRH-US^P_BETA_LOCIDX(45147,44972,,"SPX")&lt;/Q&gt;&lt;R&gt;1&lt;/R&gt;&lt;C&gt;1&lt;/C&gt;&lt;D xsi:type="xsd:double"&gt;1.0623907&lt;/D&gt;&lt;/FQL&gt;&lt;FQL&gt;&lt;Q&gt;CRH-US^P_BETA_LOCIDX(45579,45405,,"SPX")&lt;/Q&gt;&lt;R&gt;1&lt;/R&gt;&lt;C&gt;1&lt;/C&gt;&lt;D xsi:type="xsd:double"&gt;1.3845949&lt;/D&gt;&lt;/FQL&gt;&lt;FQL&gt;&lt;Q&gt;CRH-US^P_BETA_LOCIDX(45041,44865,,"SPX")&lt;/Q&gt;&lt;R&gt;1&lt;/R&gt;&lt;C&gt;1&lt;/C&gt;&lt;D xsi:type="xsd:double"&gt;1.123608&lt;/D&gt;&lt;/FQL&gt;&lt;FQL&gt;&lt;Q&gt;CRH-US^P_BETA_LOCIDX(45938,45768,,"SPX")&lt;/Q&gt;&lt;R&gt;1&lt;/R&gt;&lt;C&gt;1&lt;/C&gt;&lt;D xsi:type="xsd:double"&gt;1.3913804&lt;/D&gt;&lt;/FQL&gt;&lt;FQL&gt;&lt;Q&gt;CRH-US^P_BETA_LOCIDX(46021,45853,,"SPX")&lt;/Q&gt;&lt;R&gt;1&lt;/R&gt;&lt;C&gt;1&lt;/C&gt;&lt;D xsi:type="xsd:double"&gt;1.1091973&lt;/D&gt;&lt;/FQL&gt;&lt;FQL&gt;&lt;Q&gt;CRH-US^P_BETA_LOCIDX(45846,45671,,"SPX")&lt;/Q&gt;&lt;R&gt;1&lt;/R&gt;&lt;C&gt;1&lt;/C&gt;&lt;D xsi:type="xsd:double"&gt;1.2830789&lt;/D&gt;&lt;/FQL&gt;&lt;FQL&gt;&lt;Q&gt;CRH-US^P_BETA_LOCIDX(45636,45463,,"SPX")&lt;/Q&gt;&lt;R&gt;1&lt;/R&gt;&lt;C&gt;1&lt;/C&gt;&lt;D xsi:type="xsd:double"&gt;1.2628044&lt;/D&gt;&lt;/FQL&gt;&lt;FQL&gt;&lt;Q&gt;CRH-US^P_BETA_LOCIDX(45280,45107,,"SPX")&lt;/Q&gt;&lt;R&gt;1&lt;/R&gt;&lt;C&gt;1&lt;/C&gt;&lt;D xsi:type="xsd:double"&gt;1.2207875&lt;/D&gt;&lt;/FQL&gt;&lt;FQL&gt;&lt;Q&gt;CRH-US^P_BETA_LOCIDX(44971,44796,,"SPX")&lt;/Q&gt;&lt;R&gt;1&lt;/R&gt;&lt;C&gt;1&lt;/C&gt;&lt;D xsi:type="xsd:double"&gt;1.208479&lt;/D&gt;&lt;/FQL&gt;&lt;FQL&gt;&lt;Q&gt;CRH-US^P_BETA_LOCIDX(45693,45517,,"SPX")&lt;/Q&gt;&lt;R&gt;1&lt;/R&gt;&lt;C&gt;1&lt;/C&gt;&lt;D xsi:type="xsd:double"&gt;1.0667881&lt;/D&gt;&lt;/FQL&gt;&lt;FQL&gt;&lt;Q&gt;CRH-US^P_BETA_LOCIDX(45912,45741,,"SPX")&lt;/Q&gt;&lt;R&gt;1&lt;/R&gt;&lt;C&gt;1&lt;/C&gt;&lt;D xsi:type="xsd:double"&gt;1.2219864&lt;/D&gt;&lt;/FQL&gt;&lt;FQL&gt;&lt;Q&gt;CRH-US^P_BETA_LOCIDX(45939,45769,,"SPX")&lt;/Q&gt;&lt;R&gt;1&lt;/R&gt;&lt;C&gt;1&lt;/C&gt;&lt;D xsi:type="xsd:double"&gt;1.4268101&lt;/D&gt;&lt;/FQL&gt;&lt;FQL&gt;&lt;Q&gt;CRH-US^P_BETA_LOCIDX(45966,45796,,"SPX")&lt;/Q&gt;&lt;R&gt;1&lt;/R&gt;&lt;C&gt;1&lt;/C&gt;&lt;D xsi:type="xsd:double"&gt;1.1188762&lt;/D&gt;&lt;/FQL&gt;&lt;FQL&gt;&lt;Q&gt;CRH-US^P_BETA_LOCIDX(46022,45854,,"SPX")&lt;/Q&gt;&lt;R&gt;1&lt;/R&gt;&lt;C&gt;1&lt;/C&gt;&lt;D xsi:type="xsd:double"&gt;1.1079104&lt;/D&gt;&lt;/FQL&gt;&lt;FQL&gt;&lt;Q&gt;CRH-US^P_BETA_LOCIDX(45005,44830,,"SPX")&lt;/Q&gt;&lt;R&gt;1&lt;/R&gt;&lt;C&gt;1&lt;/C&gt;&lt;D xsi:type="xsd:double"&gt;1.2154254&lt;/D&gt;&lt;/FQL&gt;&lt;FQL&gt;&lt;Q&gt;CRH-US^P_BETA_LOCIDX(45758,45582,,"SPX")&lt;/Q&gt;&lt;R&gt;1&lt;/R&gt;&lt;C&gt;1&lt;/C&gt;&lt;D xsi:type="xsd:double"&gt;1.2534299&lt;/D&gt;&lt;/FQL&gt;&lt;FQL&gt;&lt;Q&gt;CRH-US^P_BETA_LOCIDX(45203,45029,,"SPX")&lt;/Q&gt;&lt;R&gt;1&lt;/R&gt;&lt;C&gt;1&lt;/C&gt;&lt;D xsi:type="xsd:double"&gt;1.0319428&lt;/D&gt;&lt;/FQL&gt;&lt;FQL&gt;&lt;Q&gt;CRH-US^P_BETA_LOCIDX(45251,45078,,"SPX")&lt;/Q&gt;&lt;R&gt;1&lt;/R&gt;&lt;C&gt;1&lt;/C&gt;&lt;D xsi:type="xsd:double"&gt;1.1545297&lt;/D&gt;&lt;/FQL&gt;&lt;FQL&gt;&lt;Q&gt;CRH-US^P_BETA_LOCIDX(45267,45093,,"SPX")&lt;/Q&gt;&lt;R&gt;1&lt;/R&gt;&lt;C&gt;1&lt;/C&gt;&lt;D xsi:type="xsd:double"&gt;1.1763699&lt;/D&gt;&lt;/FQL&gt;&lt;FQL&gt;&lt;Q&gt;CRH-US^P_BETA_LOCIDX(45588,45414,,"SPX")&lt;/Q&gt;&lt;R&gt;1&lt;/R&gt;&lt;C&gt;1&lt;/C&gt;&lt;D xsi:type="xsd:double"&gt;1.3646939&lt;/D&gt;&lt;/FQL&gt;&lt;FQL&gt;&lt;Q&gt;CRH-US^P_BETA_LOCIDX(45915,45742,,"SPX")&lt;/Q&gt;&lt;R&gt;1&lt;/R&gt;&lt;C&gt;1&lt;/C&gt;&lt;D xsi:type="xsd:double"&gt;1.2209564&lt;/D&gt;&lt;/FQL&gt;&lt;FQL&gt;&lt;Q&gt;CRH-US^P_BETA_LOCIDX(45995,45826,,"SPX")&lt;/Q&gt;&lt;R&gt;1&lt;/R&gt;&lt;C&gt;1&lt;/C&gt;&lt;D xsi:type="xsd:double"&gt;1.1571763&lt;/D&gt;&lt;/FQL&gt;&lt;FQL&gt;&lt;Q&gt;CRH-US^P_BETA_LOCIDX(46020,45847,,"SPX")&lt;/Q&gt;&lt;R&gt;1&lt;/R&gt;&lt;C&gt;1&lt;/C&gt;&lt;D xsi:type="xsd:double"&gt;1.1135874&lt;/D&gt;&lt;/FQL&gt;&lt;FQL&gt;&lt;Q&gt;CRH-US^P_BETA_LOCIDX(45126,44951,,"SPX")&lt;/Q&gt;&lt;R&gt;1&lt;/R&gt;&lt;C&gt;1&lt;/C&gt;&lt;D xsi:type="xsd:double"&gt;1.0805665&lt;/D&gt;&lt;/FQL&gt;&lt;FQL&gt;&lt;Q&gt;CRH-US^P_BETA_LOCIDX(45954,45783,,"SPX")&lt;/Q&gt;&lt;R&gt;1&lt;/R&gt;&lt;C&gt;1&lt;/C&gt;&lt;D xsi:type="xsd:double"&gt;1.2208827&lt;/D&gt;&lt;/FQL&gt;&lt;FQL&gt;&lt;Q&gt;CRH-US^P_BETA_LOCIDX(45448,45272,,"SPX")&lt;/Q&gt;&lt;R&gt;1&lt;/R&gt;&lt;C&gt;1&lt;/C&gt;&lt;D xsi:type="xsd:double"&gt;1.2760651&lt;/D&gt;&lt;/FQL&gt;&lt;FQL&gt;&lt;Q&gt;CRH-US^P_BETA_LOCIDX(45603,45429,,"SPX")&lt;/Q&gt;&lt;R&gt;1&lt;/R&gt;&lt;C&gt;1&lt;/C&gt;&lt;D xsi:type="xsd:double"&gt;1.2598822&lt;/D&gt;&lt;/FQL&gt;&lt;FQL&gt;&lt;Q&gt;CRH-US^P_BETA_LOCIDX(45862,45688,,"SPX")&lt;/Q&gt;&lt;R&gt;1&lt;/R&gt;&lt;C&gt;1&lt;/C&gt;&lt;D xsi:type="xsd:double"&gt;1.2791624&lt;/D&gt;&lt;/FQL&gt;&lt;FQL&gt;&lt;Q&gt;CRH-US^P_BETA_LOCIDX(45727,45551,,"SPX")&lt;/Q&gt;&lt;R&gt;1&lt;/R&gt;&lt;C&gt;1&lt;/C&gt;&lt;D xsi:type="xsd:double"&gt;1.268093&lt;/D&gt;&lt;/FQL&gt;&lt;FQL&gt;&lt;Q&gt;CRH-US^P_BETA_LOCIDX(45940,45770,,"SPX")&lt;/Q&gt;&lt;R&gt;1&lt;/R&gt;&lt;C&gt;1&lt;/C&gt;&lt;D xsi:type="xsd:double"&gt;1.3098342&lt;/D&gt;&lt;/FQL&gt;&lt;FQL&gt;&lt;Q&gt;CRH-US^P_BETA_LOCIDX(45968,45798,,"SPX")&lt;/Q&gt;&lt;R&gt;1&lt;/R&gt;&lt;C&gt;1&lt;/C&gt;&lt;D xsi:type="xsd:double"&gt;1.0934885&lt;/D&gt;&lt;/FQL&gt;&lt;FQL&gt;&lt;Q&gt;CRH-US^P_BETA_LOCIDX(46024,45856,,"SPX")&lt;/Q&gt;&lt;R&gt;1&lt;/R&gt;&lt;C&gt;1&lt;/C&gt;&lt;D xsi:type="xsd:double"&gt;1.123775&lt;/D&gt;&lt;/FQL&gt;&lt;FQL&gt;&lt;Q&gt;CRH-US^P_BETA_LOCIDX(45972,45800,,"SPX")&lt;/Q&gt;&lt;R&gt;1&lt;/R&gt;&lt;C&gt;1&lt;/C&gt;&lt;D xsi:type="xsd:double"&gt;1.070908&lt;/D&gt;&lt;/FQL&gt;&lt;FQL&gt;&lt;Q&gt;CRH-US^P_BETA_LOCIDX(46028,45860,,"SPX")&lt;/Q&gt;&lt;R&gt;1&lt;/R&gt;&lt;C&gt;1&lt;/C&gt;&lt;D xsi:type="xsd:double"&gt;1.1268582&lt;/D&gt;&lt;/FQL&gt;&lt;FQL&gt;&lt;Q&gt;CRH-US^P_BETA_LOCIDX(45156,44984,,"SPX")&lt;/Q&gt;&lt;R&gt;1&lt;/R&gt;&lt;C&gt;1&lt;/C&gt;&lt;D xsi:type="xsd:double"&gt;1.0778266&lt;/D&gt;&lt;/FQL&gt;&lt;FQL&gt;&lt;Q&gt;CRH-US^P_BETA_LOCIDX(45264,45090,,"SPX")&lt;/Q&gt;&lt;R&gt;1&lt;/R&gt;&lt;C&gt;1&lt;/C&gt;&lt;D xsi:type="xsd:double"&gt;1.1661656&lt;/D&gt;&lt;/FQL&gt;&lt;FQL&gt;&lt;Q&gt;CRH-US^P_BETA_LOCIDX(45450,45274,,"SPX")&lt;/Q&gt;&lt;R&gt;1&lt;/R&gt;&lt;C&gt;1&lt;/C&gt;&lt;D xsi:type="xsd:double"&gt;1.2651378&lt;/D&gt;&lt;/FQL&gt;&lt;FQL&gt;&lt;Q&gt;CRH-US^P_BETA_LOCIDX(45163,44991,,"SPX")&lt;/Q&gt;&lt;R&gt;1&lt;/R&gt;&lt;C&gt;1&lt;/C&gt;&lt;D xsi:type="xsd:double"&gt;1.0469213&lt;/D&gt;&lt;/FQL&gt;&lt;FQL&gt;&lt;Q&gt;CRH-US^P_BETA_LOCIDX(45854,45680,,"SPX")&lt;/Q&gt;&lt;R&gt;1&lt;/R&gt;&lt;C&gt;1&lt;/C&gt;&lt;D xsi:type="xsd:double"&gt;1.2712417&lt;/D&gt;&lt;/FQL&gt;&lt;FQL&gt;&lt;Q&gt;CRH-US^P_BETA_LOCIDX(45744,45568,,"SPX")&lt;/Q&gt;&lt;R&gt;1&lt;/R&gt;&lt;C&gt;1&lt;/C&gt;&lt;D xsi:type="xsd:double"&gt;1.4005665&lt;/D&gt;&lt;/FQL&gt;&lt;FQL&gt;&lt;Q&gt;CRH-US^P_BETA_LOCIDX(45720,45544,,"SPX")&lt;/Q&gt;&lt;R&gt;1&lt;/R&gt;&lt;C&gt;1&lt;/C&gt;&lt;D xsi:type="xsd:double"&gt;1.1224482&lt;/D&gt;&lt;/FQL&gt;&lt;FQL&gt;&lt;Q&gt;CRH-US^P_BETA_LOCIDX(45719</t>
        </r>
      </text>
    </comment>
    <comment ref="A34" authorId="0" shapeId="0" xr:uid="{B2E6958D-FBF8-4E79-8B1A-6367F91BBCA9}">
      <text>
        <r>
          <rPr>
            <b/>
            <sz val="9"/>
            <color indexed="81"/>
            <rFont val="Tahoma"/>
            <charset val="1"/>
          </rPr>
          <t>,45541,,"SPX")&lt;/Q&gt;&lt;R&gt;1&lt;/R&gt;&lt;C&gt;1&lt;/C&gt;&lt;D xsi:type="xsd:double"&gt;1.0209184&lt;/D&gt;&lt;/FQL&gt;&lt;FQL&gt;&lt;Q&gt;CRH-US^P_BETA_LOCIDX(45965,45792,,"SPX")&lt;/Q&gt;&lt;R&gt;1&lt;/R&gt;&lt;C&gt;1&lt;/C&gt;&lt;D xsi:type="xsd:double"&gt;1.1304411&lt;/D&gt;&lt;/FQL&gt;&lt;FQL&gt;&lt;Q&gt;CRH-US^P_BETA_LOCIDX(45672,45497,,"SPX")&lt;/Q&gt;&lt;R&gt;1&lt;/R&gt;&lt;C&gt;1&lt;/C&gt;&lt;D xsi:type="xsd:double"&gt;1.2360847&lt;/D&gt;&lt;/FQL&gt;&lt;FQL&gt;&lt;Q&gt;CRH-US^P_BETA_LOCIDX(45258,45084,,"SPX")&lt;/Q&gt;&lt;R&gt;1&lt;/R&gt;&lt;C&gt;1&lt;/C&gt;&lt;D xsi:type="xsd:double"&gt;1.1475993&lt;/D&gt;&lt;/FQL&gt;&lt;FQL&gt;&lt;Q&gt;CRH-US^P_BETA_LOCIDX(45194,45019,,"SPX")&lt;/Q&gt;&lt;R&gt;1&lt;/R&gt;&lt;C&gt;1&lt;/C&gt;&lt;D xsi:type="xsd:double"&gt;1.056596&lt;/D&gt;&lt;/FQL&gt;&lt;FQL&gt;&lt;Q&gt;CRH-US^P_BETA_LOCIDX(45068,44893,,"SPX")&lt;/Q&gt;&lt;R&gt;1&lt;/R&gt;&lt;C&gt;1&lt;/C&gt;&lt;D xsi:type="xsd:double"&gt;0.9495382&lt;/D&gt;&lt;/FQL&gt;&lt;FQL&gt;&lt;Q&gt;CRH-US^P_BETA_LOCIDX(45084,44908,,"SPX")&lt;/Q&gt;&lt;R&gt;1&lt;/R&gt;&lt;C&gt;1&lt;/C&gt;&lt;D xsi:type="xsd:double"&gt;1.0512515&lt;/D&gt;&lt;/FQL&gt;&lt;FQL&gt;&lt;Q&gt;CRH-US^P_BETA_LOCIDX(45457,45281,,"SPX")&lt;/Q&gt;&lt;R&gt;1&lt;/R&gt;&lt;C&gt;1&lt;/C&gt;&lt;D xsi:type="xsd:double"&gt;1.2776804&lt;/D&gt;&lt;/FQL&gt;&lt;FQL&gt;&lt;Q&gt;CRH-US^P_BETA_LOCIDX(45422,45246,,"SPX")&lt;/Q&gt;&lt;R&gt;1&lt;/R&gt;&lt;C&gt;1&lt;/C&gt;&lt;D xsi:type="xsd:double"&gt;1.1939256&lt;/D&gt;&lt;/FQL&gt;&lt;FQL&gt;&lt;Q&gt;CRH-US^P_BETA_LOCIDX(45159,44985,,"SPX")&lt;/Q&gt;&lt;R&gt;1&lt;/R&gt;&lt;C&gt;1&lt;/C&gt;&lt;D xsi:type="xsd:double"&gt;1.0694027&lt;/D&gt;&lt;/FQL&gt;&lt;FQL&gt;&lt;Q&gt;CRH-US^P_BETA_LOCIDX(45117,44939,,"SPX")&lt;/Q&gt;&lt;R&gt;1&lt;/R&gt;&lt;C&gt;1&lt;/C&gt;&lt;D xsi:type="xsd:double"&gt;1.0393705&lt;/D&gt;&lt;/FQL&gt;&lt;FQL&gt;&lt;Q&gt;CRH-US^P_BETA_LOCIDX(45012,44837,,"SPX")&lt;/Q&gt;&lt;R&gt;1&lt;/R&gt;&lt;C&gt;1&lt;/C&gt;&lt;D xsi:type="xsd:double"&gt;1.2116635&lt;/D&gt;&lt;/FQL&gt;&lt;FQL&gt;&lt;Q&gt;CRH-US^P_BETA_LOCIDX(45874,45700,,"SPX")&lt;/Q&gt;&lt;R&gt;1&lt;/R&gt;&lt;C&gt;1&lt;/C&gt;&lt;D xsi:type="xsd:double"&gt;1.2725192&lt;/D&gt;&lt;/FQL&gt;&lt;FQL&gt;&lt;Q&gt;CRH-US^P_BETA_LOCIDX(45642,45469,,"SPX")&lt;/Q&gt;&lt;R&gt;1&lt;/R&gt;&lt;C&gt;1&lt;/C&gt;&lt;D xsi:type="xsd:double"&gt;1.2368149&lt;/D&gt;&lt;/FQL&gt;&lt;FQL&gt;&lt;Q&gt;CRH-US^P_BETA_LOCIDX(45772,45595,,"SPX")&lt;/Q&gt;&lt;R&gt;1&lt;/R&gt;&lt;C&gt;1&lt;/C&gt;&lt;D xsi:type="xsd:double"&gt;1.2515498&lt;/D&gt;&lt;/FQL&gt;&lt;FQL&gt;&lt;Q&gt;CRH-US^P_BETA_LOCIDX(45918,45747,,"SPX")&lt;/Q&gt;&lt;R&gt;1&lt;/R&gt;&lt;C&gt;1&lt;/C&gt;&lt;D xsi:type="xsd:double"&gt;1.1876134&lt;/D&gt;&lt;/FQL&gt;&lt;FQL&gt;&lt;Q&gt;CRH-US^P_BETA_LOCIDX(45946,45776,,"SPX")&lt;/Q&gt;&lt;R&gt;1&lt;/R&gt;&lt;C&gt;1&lt;/C&gt;&lt;D xsi:type="xsd:double"&gt;1.2318312&lt;/D&gt;&lt;/FQL&gt;&lt;FQL&gt;&lt;Q&gt;CRH-US^P_BETA_LOCIDX(46000,45832,,"SPX")&lt;/Q&gt;&lt;R&gt;1&lt;/R&gt;&lt;C&gt;1&lt;/C&gt;&lt;D xsi:type="xsd:double"&gt;1.0916172&lt;/D&gt;&lt;/FQL&gt;&lt;FQL&gt;&lt;Q&gt;CRH-US^P_BETA_LOCIDX(46029,45861,,"SPX")&lt;/Q&gt;&lt;R&gt;1&lt;/R&gt;&lt;C&gt;1&lt;/C&gt;&lt;D xsi:type="xsd:double"&gt;1.1603193&lt;/D&gt;&lt;/FQL&gt;&lt;FQL&gt;&lt;Q&gt;CRH-US^P_BETA_LOCIDX(45604,45432,,"SPX")&lt;/Q&gt;&lt;R&gt;1&lt;/R&gt;&lt;C&gt;1&lt;/C&gt;&lt;D xsi:type="xsd:double"&gt;1.2584902&lt;/D&gt;&lt;/FQL&gt;&lt;FQL&gt;&lt;Q&gt;CRH-US^P_BETA_LOCIDX(45593,45419,,"SPX")&lt;/Q&gt;&lt;R&gt;1&lt;/R&gt;&lt;C&gt;1&lt;/C&gt;&lt;D xsi:type="xsd:double"&gt;1.3486437&lt;/D&gt;&lt;/FQL&gt;&lt;FQL&gt;&lt;Q&gt;CRH-US^P_BETA_LOCIDX(45065,44890,,"SPX")&lt;/Q&gt;&lt;R&gt;1&lt;/R&gt;&lt;C&gt;1&lt;/C&gt;&lt;D xsi:type="xsd:double"&gt;0.94907564&lt;/D&gt;&lt;/FQL&gt;&lt;FQL&gt;&lt;Q&gt;CRH-US^P_BETA_LOCIDX(45587,45413,,"SPX")&lt;/Q&gt;&lt;R&gt;1&lt;/R&gt;&lt;C&gt;1&lt;/C&gt;&lt;D xsi:type="xsd:double"&gt;1.3661073&lt;/D&gt;&lt;/FQL&gt;&lt;FQL&gt;&lt;Q&gt;CRH-US^P_BETA_LOCIDX(45583,45411,,"SPX")&lt;/Q&gt;&lt;R&gt;1&lt;/R&gt;&lt;C&gt;1&lt;/C&gt;&lt;D xsi:type="xsd:double"&gt;1.3545257&lt;/D&gt;&lt;/FQL&gt;&lt;FQL&gt;&lt;Q&gt;CRH-US^P_BETA_LOCIDX(45967,45796,,"SPX")&lt;/Q&gt;&lt;R&gt;1&lt;/R&gt;&lt;C&gt;1&lt;/C&gt;&lt;D xsi:type="xsd:double"&gt;1.1084607&lt;/D&gt;&lt;/FQL&gt;&lt;FQL&gt;&lt;Q&gt;CRH-US^P_BETA_LOCIDX(45551,45376,,"SPX")&lt;/Q&gt;&lt;R&gt;1&lt;/R&gt;&lt;C&gt;1&lt;/C&gt;&lt;D xsi:type="xsd:double"&gt;1.3448509&lt;/D&gt;&lt;/FQL&gt;&lt;FQL&gt;&lt;Q&gt;CRH-US^P_BETA_LOCIDX(45560,45386,,"SPX")&lt;/Q&gt;&lt;R&gt;1&lt;/R&gt;&lt;C&gt;1&lt;/C&gt;&lt;D xsi:type="xsd:double"&gt;1.3736559&lt;/D&gt;&lt;/FQL&gt;&lt;FQL&gt;&lt;Q&gt;CRH-US^P_BETA_LOCIDX(45602,45428,,"SPX")&lt;/Q&gt;&lt;R&gt;1&lt;/R&gt;&lt;C&gt;1&lt;/C&gt;&lt;D xsi:type="xsd:double"&gt;1.2723447&lt;/D&gt;&lt;/FQL&gt;&lt;FQL&gt;&lt;Q&gt;CRH-US^P_BETA_LOCIDX(45868,45694,,"SPX")&lt;/Q&gt;&lt;R&gt;1&lt;/R&gt;&lt;C&gt;1&lt;/C&gt;&lt;D xsi:type="xsd:double"&gt;1.2781467&lt;/D&gt;&lt;/FQL&gt;&lt;FQL&gt;&lt;Q&gt;CRH-US^P_BETA_LOCIDX(45691,45513,,"SPX")&lt;/Q&gt;&lt;R&gt;1&lt;/R&gt;&lt;C&gt;1&lt;/C&gt;&lt;D xsi:type="xsd:double"&gt;1.0583985&lt;/D&gt;&lt;/FQL&gt;&lt;FQL&gt;&lt;Q&gt;CRH-US^P_BETA_LOCIDX(45573,45399,,"SPX")&lt;/Q&gt;&lt;R&gt;1&lt;/R&gt;&lt;C&gt;1&lt;/C&gt;&lt;D xsi:type="xsd:double"&gt;1.3765285&lt;/D&gt;&lt;/FQL&gt;&lt;FQL&gt;&lt;Q&gt;CRH-US^P_BETA_LOCIDX(45498,45323,,"SPX")&lt;/Q&gt;&lt;R&gt;1&lt;/R&gt;&lt;C&gt;1&lt;/C&gt;&lt;D xsi:type="xsd:double"&gt;1.2350942&lt;/D&gt;&lt;/FQL&gt;&lt;FQL&gt;&lt;Q&gt;CRH-US^P_BETA_LOCIDX(45611,45440,,"SPX")&lt;/Q&gt;&lt;R&gt;1&lt;/R&gt;&lt;C&gt;1&lt;/C&gt;&lt;D xsi:type="xsd:double"&gt;1.258147&lt;/D&gt;&lt;/FQL&gt;&lt;FQL&gt;&lt;Q&gt;CRH-US^P_BETA_LOCIDX(45889,45716,,"SPX")&lt;/Q&gt;&lt;R&gt;1&lt;/R&gt;&lt;C&gt;1&lt;/C&gt;&lt;D xsi:type="xsd:double"&gt;1.2858769&lt;/D&gt;&lt;/FQL&gt;&lt;FQL&gt;&lt;Q&gt;CRH-US^P_BETA_LOCIDX(45364,45189,,"SPX")&lt;/Q&gt;&lt;R&gt;1&lt;/R&gt;&lt;C&gt;1&lt;/C&gt;&lt;D xsi:type="xsd:double"&gt;1.1649652&lt;/D&gt;&lt;/FQL&gt;&lt;FQL&gt;&lt;Q&gt;CRH-US^P_BETA_LOCIDX(45754,45576,,"SPX")&lt;/Q&gt;&lt;R&gt;1&lt;/R&gt;&lt;C&gt;1&lt;/C&gt;&lt;D xsi:type="xsd:double"&gt;1.2825809&lt;/D&gt;&lt;/FQL&gt;&lt;FQL&gt;&lt;Q&gt;CRH-US^P_BETA_LOCIDX(45890,45719,,"SPX")&lt;/Q&gt;&lt;R&gt;1&lt;/R&gt;&lt;C&gt;1&lt;/C&gt;&lt;D xsi:type="xsd:double"&gt;1.2908081&lt;/D&gt;&lt;/FQL&gt;&lt;FQL&gt;&lt;Q&gt;CRH-US^P_BETA_LOCIDX(45168,44994,,"SPX")&lt;/Q&gt;&lt;R&gt;1&lt;/R&gt;&lt;C&gt;1&lt;/C&gt;&lt;D xsi:type="xsd:double"&gt;1.044829&lt;/D&gt;&lt;/FQL&gt;&lt;FQL&gt;&lt;Q&gt;CRH-US^P_BETA_LOCIDX(45847,45672,,"SPX")&lt;/Q&gt;&lt;R&gt;1&lt;/R&gt;&lt;C&gt;1&lt;/C&gt;&lt;D xsi:type="xsd:double"&gt;1.2851086&lt;/D&gt;&lt;/FQL&gt;&lt;FQL&gt;&lt;Q&gt;CRH-US^P_BETA_LOCIDX(44988,44813,,"SPX")&lt;/Q&gt;&lt;R&gt;1&lt;/R&gt;&lt;C&gt;1&lt;/C&gt;&lt;D xsi:type="xsd:double"&gt;1.2328988&lt;/D&gt;&lt;/FQL&gt;&lt;FQL&gt;&lt;Q&gt;CRH-US^P_BETA_LOCIDX(45973,45804,,"SPX")&lt;/Q&gt;&lt;R&gt;1&lt;/R&gt;&lt;C&gt;1&lt;/C&gt;&lt;D xsi:type="xsd:double"&gt;1.0635575&lt;/D&gt;&lt;/FQL&gt;&lt;FQL&gt;&lt;Q&gt;CRH-US^P_BETA_LOCIDX(46030,45862,,"SPX")&lt;/Q&gt;&lt;R&gt;1&lt;/R&gt;&lt;C&gt;1&lt;/C&gt;&lt;D xsi:type="xsd:double"&gt;1.154961&lt;/D&gt;&lt;/FQL&gt;&lt;FQL&gt;&lt;Q&gt;CRH-US^P_BETA_LOCIDX(45762,45586,,"SPX")&lt;/Q&gt;&lt;R&gt;1&lt;/R&gt;&lt;C&gt;1&lt;/C&gt;&lt;D xsi:type="xsd:double"&gt;1.2550012&lt;/D&gt;&lt;/FQL&gt;&lt;FQL&gt;&lt;Q&gt;CRH-US^P_BETA_LOCIDX(45659,45485,,"SPX")&lt;/Q&gt;&lt;R&gt;1&lt;/R&gt;&lt;C&gt;1&lt;/C&gt;&lt;D xsi:type="xsd:double"&gt;1.2759999&lt;/D&gt;&lt;/FQL&gt;&lt;FQL&gt;&lt;Q&gt;CRH-US^P_BETA_LOCIDX(45390,45212,,"SPX")&lt;/Q&gt;&lt;R&gt;1&lt;/R&gt;&lt;C&gt;1&lt;/C&gt;&lt;D xsi:type="xsd:double"&gt;1.1573323&lt;/D&gt;&lt;/FQL&gt;&lt;FQL&gt;&lt;Q&gt;CRH-US^P_BETA_LOCIDX(45119,44944,,"SPX")&lt;/Q&gt;&lt;R&gt;1&lt;/R&gt;&lt;C&gt;1&lt;/C&gt;&lt;D xsi:type="xsd:double"&gt;1.0505004&lt;/D&gt;&lt;/FQL&gt;&lt;FQL&gt;&lt;Q&gt;CRH-US^P_BETA_LOCIDX(45959,45786,,"SPX")&lt;/Q&gt;&lt;R&gt;1&lt;/R&gt;&lt;C&gt;1&lt;/C&gt;&lt;D xsi:type="xsd:double"&gt;1.1562663&lt;/D&gt;&lt;/FQL&gt;&lt;FQL&gt;&lt;Q&gt;CRH-US^P_BETA_LOCIDX(45358,45183,,"SPX")&lt;/Q&gt;&lt;R&gt;1&lt;/R&gt;&lt;C&gt;1&lt;/C&gt;&lt;D xsi:type="xsd:double"&gt;1.1861864&lt;/D&gt;&lt;/FQL&gt;&lt;FQL&gt;&lt;Q&gt;CRH-US^P_BETA_LOCIDX(45274,45103,,"SPX")&lt;/Q&gt;&lt;R&gt;1&lt;/R&gt;&lt;C&gt;1&lt;/C&gt;&lt;D xsi:type="xsd:double"&gt;1.2310659&lt;/D&gt;&lt;/FQL&gt;&lt;FQL&gt;&lt;Q&gt;CRH-US^P_BETA_LOCIDX(45881,45708,,"SPX")&lt;/Q&gt;&lt;R&gt;1&lt;/R&gt;&lt;C&gt;1&lt;/C&gt;&lt;D xsi:type="xsd:double"&gt;1.2816297&lt;/D&gt;&lt;/FQL&gt;&lt;FQL&gt;&lt;Q&gt;CRH-US^P_BETA_LOCIDX(45793,45616,,"SPX")&lt;/Q&gt;&lt;R&gt;1&lt;/R&gt;&lt;C&gt;1&lt;/C&gt;&lt;D xsi:type="xsd:double"&gt;1.2704589&lt;/D&gt;&lt;/FQL&gt;&lt;FQL&gt;&lt;Q&gt;CRH-US^P_BETA_LOCIDX(45608,45434,,"SPX")&lt;/Q&gt;&lt;R&gt;1&lt;/R&gt;&lt;C&gt;1&lt;/C&gt;&lt;D xsi:type="xsd:double"&gt;1.2683691&lt;/D&gt;&lt;/FQL&gt;&lt;FQL&gt;&lt;Q&gt;CRH-US^P_BETA_LOCIDX(45673,45498,,"SPX")&lt;/Q&gt;&lt;R&gt;1&lt;/R&gt;&lt;C&gt;1&lt;/C&gt;&lt;D xsi:type="xsd:double"&gt;1.2274996&lt;/D&gt;&lt;/FQL&gt;&lt;FQL&gt;&lt;Q&gt;CRH-US^P_BETA_LOCIDX(45594,45420,,"SPX")&lt;/Q&gt;&lt;R&gt;1&lt;/R&gt;&lt;C&gt;1&lt;/C&gt;&lt;D xsi:type="xsd:double"&gt;1.3493677&lt;/D&gt;&lt;/FQL&gt;&lt;FQL&gt;&lt;Q&gt;CRH-US^P_BETA_LOCIDX(45937,45763,,"SPX")&lt;/Q&gt;&lt;R&gt;1&lt;/R&gt;&lt;C&gt;1&lt;/C&gt;&lt;D xsi:type="xsd:double"&gt;1.3216112&lt;/D&gt;&lt;/FQL&gt;&lt;FQL&gt;&lt;Q&gt;CRH-US^P_BETA_LOCIDX(45296,45124,,"SPX")&lt;/Q&gt;&lt;R&gt;1&lt;/R&gt;&lt;C&gt;1&lt;/C&gt;&lt;D xsi:type="xsd:double"&gt;1.2070115&lt;/D&gt;&lt;/FQL&gt;&lt;FQL&gt;&lt;Q&gt;CRH-US^P_BETA_LOCIDX(45652,45481,,"SPX")&lt;/Q&gt;&lt;R&gt;1&lt;/R&gt;&lt;C&gt;1&lt;/C&gt;&lt;D xsi:type="xsd:double"&gt;1.2438085&lt;/D&gt;&lt;/FQL&gt;&lt;FQL&gt;&lt;Q&gt;CRH-US^P_BETA_LOCIDX(45282,45112,,"SPX")&lt;/Q&gt;&lt;R&gt;1&lt;/R&gt;&lt;C&gt;1&lt;/C&gt;&lt;D xsi:type="xsd:double"&gt;1.2292613&lt;/D&gt;&lt;/FQL&gt;&lt;FQL&gt;&lt;Q&gt;CRH-US^P_BETA_LOCIDX(45271,45098,,"SPX")&lt;/Q&gt;&lt;R&gt;1&lt;/R&gt;&lt;C&gt;1&lt;/C&gt;&lt;D xsi:type="xsd:double"&gt;1.1871988&lt;/D&gt;&lt;/FQL&gt;&lt;FQL&gt;&lt;Q&gt;CRH-US^P_BETA_LOCIDX(45307,45132,,"SPX")&lt;/Q&gt;&lt;R&gt;1&lt;/R&gt;&lt;C&gt;1&lt;/C&gt;&lt;D xsi:type="xsd:double"&gt;1.2617711&lt;/D&gt;&lt;/FQL&gt;&lt;FQL&gt;&lt;Q&gt;CRH-US^P_BETA_LOCIDX(45919,45748,,"SPX")&lt;/Q&gt;&lt;R&gt;1&lt;/R&gt;&lt;C&gt;1&lt;/C&gt;&lt;D xsi:type="xsd:double"&gt;1.1890059&lt;/D&gt;&lt;/FQL&gt;&lt;FQL&gt;&lt;Q&gt;CRH-US^P_BETA_LOCIDX(45947,45777,,"SPX")&lt;/Q&gt;&lt;R&gt;1&lt;/R&gt;&lt;C&gt;1&lt;/C&gt;&lt;D xsi:type="xsd:double"&gt;1.2324361&lt;/D&gt;&lt;/FQL&gt;&lt;FQL&gt;&lt;Q&gt;CRH-US^P_BETA_LOCIDX(46001,45833,,"SPX")&lt;/Q&gt;&lt;R&gt;1&lt;/R&gt;&lt;C&gt;1&lt;/C&gt;&lt;D xsi:type="xsd:double"&gt;1.087233&lt;/D&gt;&lt;/FQL&gt;&lt;FQL&gt;&lt;Q&gt;CRH-US^P_BETA_LOCIDX(45376,45201,,"SPX")&lt;/Q&gt;&lt;R&gt;1&lt;/R&gt;&lt;C&gt;1&lt;/C&gt;&lt;D xsi:type="xsd:double"&gt;1.2031254&lt;/D&gt;&lt;/FQL&gt;&lt;FQL&gt;&lt;Q&gt;CRH-US^P_BETA_LOCIDX(45734,45558,,"SPX")&lt;/Q&gt;&lt;R&gt;1&lt;/R&gt;&lt;C&gt;1&lt;/C&gt;&lt;D xsi:type="xsd:double"&gt;1.2957746&lt;/D&gt;&lt;/FQL&gt;&lt;FQL&gt;&lt;Q&gt;CRH-US^P_BETA_LOCIDX(44970,44795,,"SPX")&lt;/Q&gt;&lt;R&gt;1&lt;/R&gt;&lt;C&gt;1&lt;/C&gt;&lt;D xsi:type="xsd:double"&gt;1.2150537&lt;/D&gt;&lt;/FQL&gt;&lt;FQL&gt;&lt;Q&gt;CRH-US^P_BETA_LOCIDX(45581,45407,,"SPX")&lt;/Q&gt;&lt;R&gt;1&lt;/R&gt;&lt;C&gt;1&lt;/C&gt;&lt;D xsi:type="xsd:double"&gt;1.3618298&lt;/D&gt;&lt;/FQL&gt;&lt;FQL&gt;&lt;Q&gt;CRH-US^P_BETA_LOCIDX(45070,44895,,"SPX")&lt;/Q&gt;&lt;R&gt;1&lt;/R&gt;&lt;C&gt;1&lt;/C&gt;&lt;D xsi:type="xsd:double"&gt;0.95411414&lt;/D&gt;&lt;/FQL&gt;&lt;FQL&gt;&lt;Q&gt;CRH-US^P_BETA_LOCIDX(45945,45772,,"SPX")&lt;/Q&gt;&lt;R&gt;1&lt;/R&gt;&lt;C&gt;1&lt;/C&gt;&lt;D xsi:type="xsd:double"&gt;1.2252338&lt;/D&gt;&lt;/FQL&gt;&lt;FQL&gt;&lt;Q&gt;CRH-US^P_BETA_LOCIDX(45215,45041,,"SPX")&lt;/Q&gt;&lt;R&gt;1&lt;/R&gt;&lt;C&gt;1&lt;/C&gt;&lt;D xsi:type="xsd:double"&gt;1.0873111&lt;/D&gt;&lt;/FQL&gt;&lt;FQL&gt;&lt;Q&gt;CRH-US^P_BETA_LOCIDX(45824,45645,,"SPX")&lt;/Q&gt;&lt;R&gt;1&lt;/R&gt;&lt;C&gt;1&lt;/C&gt;&lt;D xsi:type="xsd:double"&gt;1.2585326&lt;/D&gt;&lt;/FQL&gt;&lt;FQL&gt;&lt;Q&gt;CRH-US^P_BETA_LOCIDX(46003,45833,,"SPX")&lt;/Q&gt;&lt;R&gt;1&lt;/R&gt;&lt;C&gt;1&lt;/C&gt;&lt;D xsi:type="xsd:double"&gt;1.0782889&lt;/D&gt;&lt;/FQL&gt;&lt;FQL&gt;&lt;Q&gt;CRH-US^P_BETA_LOCIDX(45715,45539,,"SPX")&lt;/Q&gt;&lt;R&gt;1&lt;/R&gt;&lt;C&gt;1&lt;/C&gt;&lt;D xsi:type="xsd:double"&gt;1.0284317&lt;/D&gt;&lt;/FQL&gt;&lt;FQL&gt;&lt;Q&gt;CRH-US^P_BETA_LOCIDX(45845,45670,,"SPX")&lt;/Q&gt;&lt;R&gt;1&lt;/R&gt;&lt;C&gt;1&lt;/C&gt;&lt;D xsi:type="xsd:double"&gt;1.283162&lt;/D&gt;&lt;/FQL&gt;&lt;FQL&gt;&lt;Q&gt;CRH-US^P_BETA_LOCIDX(44991,44816,,"SPX")&lt;/Q&gt;&lt;R&gt;1&lt;/R&gt;&lt;C&gt;1&lt;/C&gt;&lt;D xsi:type="xsd:double"&gt;1.2318171&lt;/D&gt;&lt;/FQL&gt;&lt;FQL&gt;&lt;Q&gt;CRH-US^P_BETA_LOCIDX(45576,45404,,"SPX")&lt;/Q&gt;&lt;R&gt;1&lt;/R&gt;&lt;C&gt;1&lt;/C&gt;&lt;D xsi:type="xsd:double"&gt;1.3835617&lt;/D&gt;&lt;/FQL&gt;&lt;FQL&gt;&lt;Q&gt;CRH-US^P_BETA_LOCIDX(45538,45363,,"SPX")&lt;/Q&gt;&lt;R&gt;1&lt;/R&gt;&lt;C&gt;1&lt;/C&gt;&lt;D xsi:type="xsd:double"&gt;1.4541324&lt;/D&gt;&lt;/FQL&gt;&lt;FQL&gt;&lt;Q&gt;CRH-US^P_BETA_LOCIDX(45373,45198,,"SPX")&lt;/Q&gt;&lt;R&gt;1&lt;/R&gt;&lt;C&gt;1&lt;/C&gt;&lt;D xsi:type="xsd:double"&gt;1.2261469&lt;/D&gt;&lt;/FQL&gt;&lt;FQL&gt;&lt;Q&gt;CRH-US^P_BETA_LOCIDX(45392,45216,,"SPX")&lt;/Q&gt;&lt;R&gt;1&lt;/R&gt;&lt;C&gt;1&lt;/C&gt;&lt;D xsi:type="xsd:double"&gt;1.1393741&lt;/D&gt;&lt;/FQL&gt;&lt;FQL&gt;&lt;Q&gt;CRH-US^P_BETA_LOCIDX(45546,45371,,"SPX")&lt;/Q&gt;&lt;R&gt;1&lt;/R&gt;&lt;C&gt;1&lt;/C&gt;&lt;D xsi:type="xsd:double"&gt;1.3354571&lt;/D&gt;&lt;/FQL&gt;&lt;FQL&gt;&lt;Q&gt;CRH-US^P_BETA_LOCIDX(45922,45749,,"SPX")&lt;/Q&gt;&lt;R&gt;1&lt;/R&gt;&lt;C&gt;1&lt;/C&gt;&lt;D xsi:type="xsd:double"&gt;1.1895698&lt;/D&gt;&lt;/FQL&gt;&lt;FQL&gt;&lt;Q&gt;CRH-US^P_BETA_LOCIDX(45974,45805,,"SPX")&lt;/Q&gt;&lt;R&gt;1&lt;/R&gt;&lt;C&gt;1&lt;/C&gt;&lt;D xsi:type="xsd:double"&gt;1.1090814&lt;/D&gt;&lt;/FQL&gt;&lt;FQL&gt;&lt;Q&gt;CRH-US^P_BETA_LOCIDX(46031,45863,,"SPX")&lt;/Q&gt;&lt;R&gt;1&lt;/R&gt;&lt;C&gt;1&lt;/C&gt;&lt;D xsi:type="xsd:double"&gt;1.1998643&lt;/D&gt;&lt;/FQL&gt;&lt;FQL&gt;&lt;Q&gt;CRH-US^P_BETA_LOCIDX(45863,45691,,"SPX")&lt;/Q&gt;&lt;R&gt;1&lt;/R&gt;&lt;C&gt;1&lt;/C&gt;&lt;D xsi:type="xsd:double"&gt;1.2821358&lt;/D&gt;&lt;/FQL&gt;&lt;FQL&gt;&lt;Q&gt;CRH-US^P_BETA_LOCIDX(45436,45261,,"SPX")&lt;/Q&gt;&lt;R&gt;1&lt;/R&gt;&lt;C&gt;1&lt;/C&gt;&lt;D xsi:type="xsd:double"&gt;1.32458&lt;/D&gt;&lt;/FQL&gt;&lt;FQL&gt;&lt;Q&gt;CRH-US^P_BETA_LOCIDX(45429,45254,,"SPX")&lt;/Q&gt;&lt;R&gt;1&lt;/R&gt;&lt;C&gt;1&lt;/C&gt;&lt;D xsi:type="xsd:double"&gt;1.3196088&lt;/D&gt;&lt;/FQL&gt;&lt;FQL&gt;&lt;Q&gt;CRH-US^P_BETA_LOCIDX(45639,45468,,"SPX")&lt;/Q&gt;&lt;R&gt;1&lt;/R&gt;&lt;C&gt;1&lt;/C&gt;&lt;D xsi:type="xsd:double"&gt;1.231022&lt;/D&gt;&lt;/FQL&gt;&lt;FQL&gt;&lt;Q&gt;CRH-US^P_BETA_LOCIDX(45986,45814,,"SPX")&lt;/Q&gt;&lt;R&gt;1&lt;/R&gt;&lt;C&gt;1&lt;/C&gt;&lt;D xsi:type="xsd:double"&gt;1.1476933&lt;/D&gt;&lt;/FQL&gt;&lt;FQL&gt;&lt;Q&gt;CRH-US^P_BETA_LOCIDX(45217,45043,,"SPX")&lt;/Q&gt;&lt;R&gt;1&lt;/R&gt;&lt;C&gt;1&lt;/C&gt;&lt;D xsi:type="xsd:double"&gt;1.1610416&lt;/D&gt;&lt;/FQL&gt;&lt;FQL&gt;&lt;Q&gt;CRH-US^P_BETA_LOCIDX(45022,44847,,"SPX")&lt;/Q&gt;&lt;R&gt;1&lt;/R&gt;&lt;C&gt;1&lt;/C&gt;&lt;D xsi:type="xsd:double"&gt;1.1775161&lt;/D&gt;&lt;/FQL&gt;&lt;FQL&gt;&lt;Q&gt;CRH-US^P_BETA_LOCIDX(45407,45231,,"SPX")&lt;/Q&gt;&lt;R&gt;1&lt;/R&gt;&lt;C&gt;1&lt;/C&gt;&lt;D xsi:type="xsd:double"&gt;1.1061383&lt;/D&gt;&lt;/FQL&gt;&lt;FQL&gt;&lt;Q&gt;CRH-US^P_BETA_LOCIDX(45425,45247,,"SPX")&lt;/Q&gt;&lt;R&gt;1&lt;/R&gt;&lt;C&gt;1&lt;/C&gt;&lt;D xsi:type="xsd:double"&gt;1.1993669&lt;/D&gt;&lt;/FQL&gt;&lt;FQL&gt;&lt;Q&gt;CRH-US^P_BETA_LOCIDX(45127,44952,,"SPX")&lt;/Q&gt;&lt;R&gt;1&lt;/R&gt;&lt;C&gt;1&lt;/C&gt;&lt;D xsi:type="xsd:double"&gt;1.0688523&lt;/D&gt;&lt;/FQL&gt;&lt;FQL&gt;&lt;Q&gt;CRH-US^P_BETA_LOCIDX(45488,45313,,"SPX")&lt;/Q&gt;&lt;R&gt;1&lt;/R&gt;&lt;C&gt;1&lt;/C&gt;&lt;D xsi:type="xsd:double"&gt;1.1375971&lt;/D&gt;&lt;/FQL&gt;&lt;FQL&gt;&lt;Q&gt;CRH-US^P_BETA_LOCIDX(45483,45308,,"SPX")&lt;/Q&gt;&lt;R&gt;1&lt;/R&gt;&lt;C&gt;1&lt;/C&gt;&lt;D xsi:type="xsd:double"&gt;1.2034687&lt;/D&gt;&lt;/FQL&gt;&lt;FQL&gt;&lt;Q&gt;CRH-US^P_BETA_LOCIDX(45471,45296,,"SPX")&lt;/Q&gt;&lt;R&gt;1&lt;/R&gt;&lt;C&gt;1&lt;/C&gt;&lt;D xsi:type="xsd:double"&gt;1.2629406&lt;/D&gt;&lt;/FQL&gt;&lt;FQL&gt;&lt;Q&gt;CRH-US^P_BETA_LOCIDX(45995,45824,,"SPX")&lt;/Q&gt;&lt;R&gt;1&lt;/R&gt;&lt;C&gt;1&lt;/C&gt;&lt;D xsi:type="xsd:double"&gt;1.1460917&lt;/D&gt;&lt;/FQL&gt;&lt;FQL&gt;&lt;Q&gt;CRH-US^P_BETA_LOCIDX(45302,45128,,"SPX")&lt;/Q&gt;&lt;R&gt;1&lt;/R&gt;&lt;C&gt;1&lt;/C&gt;&lt;D xsi:type="xsd:double"&gt;1.2495861&lt;/D&gt;&lt;/FQL&gt;&lt;FQL&gt;&lt;Q&gt;CRH-US^P_BETA_LOCIDX(45903,45729,,"SPX")&lt;/Q&gt;&lt;R&gt;1&lt;/R&gt;&lt;C&gt;1&lt;/C&gt;&lt;D xsi:type="xsd:double"&gt;1.2501596&lt;/D&gt;&lt;/FQL&gt;&lt;FQL&gt;&lt;Q&gt;CRH-US^P_BETA_LOCIDX(45118,44943,,"SPX")&lt;/Q&gt;&lt;R&gt;1&lt;/R&gt;&lt;C&gt;1&lt;/C&gt;&lt;D xsi:type="xsd:double"&gt;1.0452074&lt;/D&gt;&lt;/FQL&gt;&lt;FQL&gt;&lt;Q&gt;CRH-US^P_BETA_LOCIDX(45338,45163,,"SPX")&lt;/Q&gt;&lt;R&gt;1&lt;/R&gt;&lt;C&gt;1&lt;/C&gt;&lt;D xsi:type="xsd:double"&gt;1.230267&lt;/D&gt;&lt;/FQL&gt;&lt;FQL&gt;&lt;Q&gt;CRH-US^P_BETA_LOCIDX(45442,45266,,"SPX")&lt;/Q&gt;&lt;R&gt;1&lt;/R&gt;&lt;C&gt;1&lt;/C&gt;&lt;D xsi:type="xsd:double"&gt;1.2661607&lt;/D&gt;&lt;/FQL&gt;&lt;FQL&gt;&lt;Q&gt;CRH-US^P_BETA_LOCIDX(45910,45736,,"SPX")&lt;/Q&gt;&lt;R&gt;1&lt;/R&gt;&lt;C&gt;1&lt;/C&gt;&lt;D xsi:type="xsd:double"&gt;1.2278353&lt;/D&gt;&lt;/FQL&gt;&lt;FQL&gt;&lt;Q&gt;CRH-US^P_BETA_LOCIDX(45016,44841,,"SPX")&lt;/Q&gt;&lt;R&gt;1&lt;/R&gt;&lt;C&gt;1&lt;/C&gt;&lt;D xsi:type="xsd:double"&gt;1.1619811&lt;/D&gt;&lt;/FQL&gt;&lt;FQL&gt;&lt;Q&gt;CRH-US^P_BETA_LOCIDX(45950,45778,,"SPX")&lt;/Q&gt;&lt;R&gt;1&lt;/R&gt;&lt;C&gt;1&lt;/C&gt;&lt;D xsi:type="xsd:double"&gt;1.212934&lt;/D&gt;&lt;/FQL&gt;&lt;FQL&gt;&lt;Q&gt;CRH-US^P_BETA_LOCIDX(45968,45797,,"SPX")&lt;/Q&gt;&lt;R&gt;1&lt;/R&gt;&lt;C&gt;1&lt;/C&gt;&lt;D xsi:type="xsd:double"&gt;1.1076082&lt;/D&gt;&lt;/FQL&gt;&lt;FQL&gt;&lt;Q&gt;CRH-US^P_BETA_LOCIDX(45747,45569,,"SPX")&lt;/Q&gt;&lt;R&gt;1&lt;/R&gt;&lt;C&gt;1&lt;/C&gt;&lt;D xsi:type="xsd:double"&gt;1.3939159&lt;/D&gt;&lt;/FQL&gt;&lt;FQL&gt;&lt;Q&gt;CRH-US^P_BETA_LOCIDX(45547,45372,,"SPX")&lt;/Q&gt;&lt;R&gt;1&lt;/R&gt;&lt;C&gt;1&lt;/C&gt;&lt;D xsi:type="xsd:double"&gt;1.337734&lt;/D&gt;&lt;/FQL&gt;&lt;FQL&gt;&lt;Q&gt;CRH-US^P_BETA_LOCIDX(45660,45488,,"SPX")&lt;/Q&gt;&lt;R&gt;1&lt;/R&gt;&lt;C&gt;1&lt;/C&gt;&lt;D xsi:type="xsd:double"&gt;1.2677768&lt;/D&gt;&lt;/FQL&gt;&lt;FQL&gt;&lt;Q&gt;CRH-US^P_BETA_LOCIDX(45960,45789,,"SPX")&lt;/Q&gt;&lt;R&gt;1&lt;/R&gt;&lt;C&gt;1&lt;/C&gt;&lt;D xsi:type="xsd:double"&gt;1.1577036&lt;/D&gt;&lt;/FQL&gt;&lt;FQL&gt;&lt;Q&gt;CRH-US^P_BETA_LOCIDX(45209,45035,,"SPX")&lt;/Q&gt;&lt;R&gt;1&lt;/R&gt;&lt;C&gt;1&lt;/C&gt;&lt;D xsi:type="xsd:double"&gt;1.0425444&lt;/D&gt;&lt;/FQL&gt;&lt;FQL&gt;&lt;Q&gt;CRH-US^P_BETA_LOCIDX(45750,45574,,"SPX")&lt;/Q&gt;&lt;R&gt;1&lt;/R&gt;&lt;C&gt;1&lt;/C&gt;&lt;D xsi:type="xsd:double"&gt;1.3427843&lt;/D&gt;&lt;/FQL&gt;&lt;FQL&gt;&lt;Q&gt;CRH-US^P_BETA_LOCIDX(45315,45140,,"SPX")&lt;/Q&gt;&lt;R&gt;1&lt;/R&gt;&lt;C&gt;1&lt;/C&gt;&lt;D xsi:type="xsd:double"&gt;1.2383739&lt;/D&gt;&lt;/FQL&gt;&lt;FQL&gt;&lt;Q&gt;CRH-US^P_BETA_LOCIDX(45859,45685,,"SPX")&lt;/Q&gt;&lt;R&gt;1&lt;/R&gt;&lt;C&gt;1&lt;/C&gt;&lt;D xsi:type="xsd:double"&gt;1.2707196&lt;/D&gt;&lt;/FQL&gt;&lt;FQL&gt;&lt;Q&gt;CRH-US^P_BETA_LOCIDX(46002,45834,,"SPX")&lt;/Q&gt;&lt;R&gt;1&lt;/R&gt;&lt;C&gt;1&lt;/C&gt;&lt;D xsi:type="xsd:double"&gt;1.0826775&lt;/D&gt;&lt;/FQL&gt;&lt;FQL&gt;&lt;Q&gt;CRH-US^P_BETA_LOCIDX(45566,45392,,"SPX")&lt;/Q&gt;&lt;R&gt;1&lt;/R&gt;&lt;C&gt;1&lt;/C&gt;&lt;D xsi:type="xsd:double"&gt;1.3850803&lt;/D&gt;&lt;/FQL&gt;&lt;FQL&gt;&lt;Q&gt;CRH-US^P_BETA_LOCIDX(46000,45828,,"SPX")&lt;/Q&gt;&lt;R&gt;1&lt;/R&gt;&lt;C&gt;1&lt;/C&gt;&lt;D xsi:type="xsd:double"&gt;1.1093367&lt;/D&gt;&lt;/FQL&gt;&lt;FQL&gt;&lt;Q&gt;CRH-US^P_BETA_LOCIDX(45077,44901,,"SPX")&lt;/Q&gt;&lt;R&gt;1&lt;/R&gt;&lt;C&gt;1&lt;/C&gt;&lt;D xsi:type="xsd:double"&gt;1.0073582&lt;/D&gt;&lt;/FQL&gt;&lt;FQL&gt;&lt;Q&gt;CRH-US^P_BETA_LOCIDX(45492,45317,,"SPX")&lt;/Q&gt;&lt;R&gt;1&lt;/R&gt;&lt;C&gt;1&lt;/C&gt;&lt;D xsi:type="xsd:double"&gt;1.1643167&lt;/D&gt;&lt;/FQL&gt;&lt;FQL&gt;&lt;Q&gt;CRH-US^P_BETA_LOCIDX(44967,44792,,"SPX")&lt;/Q&gt;&lt;R&gt;1&lt;/R&gt;&lt;C&gt;1&lt;/C&gt;&lt;D xsi:type="xsd:double"&gt;1.213911&lt;/D&gt;&lt;/FQL&gt;&lt;FQL&gt;&lt;Q&gt;CRH-US^P_BETA_LOCIDX(45219,45047,,"SPX")&lt;/Q&gt;&lt;R&gt;1&lt;/R&gt;&lt;C&gt;1&lt;/C&gt;&lt;D xsi:type="xsd:double"&gt;1.1940968&lt;/D&gt;&lt;/FQL&gt;&lt;FQL&gt;&lt;Q&gt;CRH-US^P_BETA_LOCIDX(45460,45282,,"SPX")&lt;/Q&gt;&lt;R&gt;1&lt;/R&gt;&lt;C&gt;1&lt;/C&gt;&lt;D xsi:type="xsd:double"&gt;1.291125&lt;/D&gt;&lt;/FQL&gt;&lt;FQL&gt;&lt;Q&gt;CRH-US^P_BETA_LOCIDX(45674,45499,,"SPX")&lt;/Q&gt;&lt;R&gt;1&lt;/R&gt;&lt;C&gt;1&lt;/C&gt;&lt;D xsi:type="xsd:double"&gt;1.2389473&lt;/D&gt;&lt;/FQL&gt;&lt;FQL&gt;&lt;Q&gt;CRH-US^P_BETA_LOCIDX(45295,45121,,"SPX")&lt;/Q&gt;&lt;R&gt;1&lt;/R&gt;&lt;C&gt;1&lt;/C&gt;&lt;D xsi:type="xsd:double"&gt;1.2046822&lt;/D&gt;&lt;/FQL&gt;&lt;FQL&gt;&lt;Q&gt;CRH-US^P_BETA_LOCIDX(45534,45362,,"SPX")&lt;/Q&gt;&lt;R&gt;1&lt;/R&gt;&lt;C&gt;1&lt;/C&gt;&lt;D xsi:type="xsd:double"&gt;1.4537016&lt;/D&gt;&lt;/FQL&gt;&lt;FQL&gt;&lt;Q&gt;CRH-US^P_BETA_LOCIDX(45167,44993,,"SPX")&lt;/Q&gt;&lt;R&gt;1&lt;/R&gt;&lt;C&gt;1&lt;/C&gt;&lt;D xsi:type="xsd:double"&gt;1.0494716&lt;/D&gt;&lt;/FQL&gt;&lt;FQL&gt;&lt;Q&gt;CRH-US^P_BETA_LOCIDX(45161,44987,,"SPX")&lt;/Q&gt;&lt;R&gt;1&lt;/R&gt;&lt;C&gt;1&lt;/C&gt;&lt;D xsi:type="xsd:double"&gt;1.0712407&lt;/D&gt;&lt;/FQL&gt;&lt;FQL&gt;&lt;Q&gt;CRH-US^P_BETA_LOCIDX(45027,44851,,"SPX")&lt;/Q&gt;&lt;R&gt;1&lt;/R&gt;&lt;C&gt;1&lt;/C&gt;&lt;D xsi:type="xsd:double"&gt;1.1661155&lt;/D&gt;&lt;/FQL&gt;&lt;FQL&gt;&lt;Q&gt;CRH-US^P_BETA_LOCIDX(45924,45751,,"SPX")&lt;/Q&gt;&lt;R&gt;1&lt;/R&gt;&lt;C&gt;1&lt;/C&gt;&lt;D xsi:type="xsd:double"&gt;1.2117052&lt;/D&gt;&lt;/FQL&gt;&lt;FQL&gt;&lt;Q&gt;CRH-US^P_BETA_LOCIDX(45975,45806,,"SPX")&lt;/Q&gt;&lt;R&gt;1&lt;/R&gt;&lt;C&gt;1&lt;/C&gt;&lt;D xsi:type="xsd:double"&gt;1.0767213&lt;/D&gt;&lt;/FQL&gt;&lt;FQL&gt;&lt;Q&gt;CRH-US^P_BETA_LOCIDX(46003,45835,,"SPX")&lt;/Q&gt;&lt;R&gt;1&lt;/R&gt;&lt;C&gt;1&lt;/C&gt;&lt;D xsi:type="xsd:double"&gt;1.0804046&lt;/D&gt;&lt;/FQL&gt;&lt;FQL&gt;&lt;Q&gt;CRH-US^P_BETA_LOCIDX(46034,45866,,"SPX")&lt;/Q&gt;&lt;R&gt;1&lt;/R&gt;&lt;C&gt;1&lt;/C&gt;&lt;D xsi:type="xsd:double"&gt;1.1863252&lt;/D&gt;&lt;/FQL&gt;&lt;FQL&gt;&lt;Q&gt;CRH-US^P_BETA_LOCIDX(45476,45301,,"SPX")&lt;/Q&gt;&lt;R&gt;1&lt;/R&gt;&lt;C&gt;1&lt;/C&gt;&lt;D xsi:type="xsd:double"&gt;1.2158258&lt;/D&gt;&lt;/FQL&gt;&lt;FQL&gt;&lt;Q&gt;CRH-US^P_BETA_LOCIDX(45966,45793,,"SPX")&lt;/Q&gt;&lt;R&gt;1&lt;/R&gt;&lt;C&gt;1&lt;/C&gt;&lt;D xsi:type="xsd:double"&gt;1.1225258&lt;/D&gt;&lt;/FQL&gt;&lt;FQL&gt;&lt;Q&gt;CRH-US^P_BETA_LOCIDX(45882,45709,,"SPX")&lt;/Q&gt;&lt;R&gt;1&lt;/R&gt;&lt;C&gt;1&lt;/C&gt;&lt;D xsi:type="xsd:double"&gt;1.2777334&lt;/D&gt;&lt;/FQL&gt;&lt;FQL&gt;&lt;Q&gt;CRH-US^P_BETA_LOCIDX(45987,45817,,"SPX")&lt;/Q&gt;&lt;R&gt;1&lt;/R&gt;&lt;C&gt;1&lt;/C&gt;&lt;D xsi:type="xsd:double"&gt;1.1923795&lt;/D&gt;&lt;/FQL&gt;&lt;FQL&gt;&lt;Q&gt;CRH-US^P_BETA_LOCIDX(45713,45534,,"SPX")&lt;/Q&gt;&lt;R&gt;1&lt;/R&gt;&lt;C&gt;1&lt;/C&gt;&lt;D xsi:type="xsd:double"&gt;1.0900859&lt;/D&gt;&lt;/FQL&gt;&lt;FQL&gt;&lt;Q&gt;CRH-US^P_BETA_LOCIDX(46006,45834,,"SPX")&lt;/Q&gt;&lt;R&gt;1&lt;/R&gt;&lt;C&gt;1&lt;/C&gt;&lt;D xsi:type="xsd:double"&gt;1.0694807&lt;/D&gt;&lt;/FQL&gt;&lt;FQL&gt;&lt;Q&gt;CRH-US^P_BETA_LOCIDX(45273,45100,,"SPX")&lt;/Q&gt;&lt;R&gt;1&lt;/R&gt;&lt;C&gt;1&lt;/C&gt;&lt;D xsi:type="xsd:double"&gt;1.2221043&lt;/D&gt;&lt;/FQL&gt;&lt;FQL&gt;&lt;Q&gt;CRH-US^P_BETA_LOCIDX(45614,45441,,"SPX")&lt;/Q&gt;&lt;R&gt;1&lt;/R&gt;&lt;C&gt;1&lt;/C&gt;&lt;D xsi:type="xsd:double"&gt;1.2584747&lt;/D&gt;&lt;/FQL&gt;&lt;FQL&gt;&lt;Q&gt;CRH-US^P_BETA_LOCIDX(45026,44848,,"SPX")&lt;/Q&gt;&lt;R&gt;1&lt;/R&gt;&lt;C&gt;1&lt;/C&gt;&lt;D xsi:type="xsd:double"&gt;1.1781477&lt;/D&gt;&lt;/FQL&gt;&lt;FQL&gt;&lt;Q&gt;CRH-US^P_BETA_LOCIDX(45524,45350,,"SPX")&lt;/Q&gt;&lt;R&gt;1&lt;/R&gt;&lt;C&gt;1&lt;/C&gt;&lt;D xsi:type="xsd:double"&gt;1.465975&lt;/D&gt;&lt;/FQL&gt;&lt;FQL&gt;&lt;Q&gt;CRH-US^P_BETA_LOCIDX(45797,45618,,"SPX")&lt;/Q&gt;&lt;R&gt;1&lt;/R&gt;&lt;C&gt;1&lt;/C&gt;&lt;D xsi:type="xsd:double"&gt;1.2730572&lt;/D&gt;&lt;/FQL&gt;&lt;FQL&gt;&lt;Q&gt;CRH-US^P_BETA_LOCIDX(45825,45646,,"SPX")&lt;/Q&gt;&lt;R&gt;1&lt;/R&gt;&lt;C&gt;1&lt;/C&gt;&lt;D xsi:type="xsd:double"&gt;1.2573684&lt;/D&gt;&lt;/FQL&gt;&lt;FQL&gt;&lt;Q&gt;CRH-US^P_BETA_LOCIDX(45751,45575,,"SPX")&lt;/Q&gt;&lt;R&gt;1&lt;/R&gt;&lt;C&gt;1&lt;/C&gt;&lt;D xsi:type="xsd:double"&gt;1.28267&lt;/D&gt;&lt;/FQL&gt;&lt;FQL&gt;&lt;Q&gt;CRH-US^P_BETA_LOCIDX(44960,44785,,"SPX")&lt;/Q&gt;&lt;R&gt;1&lt;/R&gt;&lt;C&gt;1&lt;/C&gt;&lt;D xsi:type="xsd:double"&gt;1.21104&lt;/D&gt;&lt;/FQL&gt;&lt;FQL&gt;&lt;Q&gt;CRH-US^P_BETA_LOCIDX(45896,45723,,"SPX")&lt;/Q&gt;&lt;R&gt;1&lt;/R&gt;&lt;C&gt;1&lt;/C&gt;&lt;D xsi:type="xsd:double"&gt;1.2505145&lt;/D&gt;&lt;/FQL&gt;&lt;FQL&gt;&lt;Q&gt;CRH-US^P_BETA_LOCIDX(45981,45811,,"SPX")&lt;/Q&gt;&lt;R&gt;1&lt;/R&gt;&lt;C&gt;1&lt;/C&gt;&lt;D xsi:type="xsd:double"&gt;1.0650162&lt;/D&gt;&lt;/FQL&gt;&lt;FQL&gt;&lt;Q&gt;CRH-US^P_BETA_LOCIDX(45224,45050,,"SPX")&lt;/Q&gt;&lt;R&gt;1&lt;/R&gt;&lt;C&gt;1&lt;/C&gt;&lt;D xsi:type="xsd:double"&gt;1.1917362&lt;/D&gt;&lt;/FQL&gt;&lt;FQL&gt;&lt;Q&gt;CRH-US^P_BETA_LOCIDX(45523,45349,,"SPX")&lt;/Q&gt;&lt;R&gt;1&lt;/R&gt;&lt;C&gt;1&lt;/C&gt;&lt;D xsi:type="xsd:double"&gt;1.4668175&lt;/D&gt;&lt;/FQL&gt;&lt;FQL&gt;&lt;Q&gt;CRH-US^P_BETA_LOCIDX(45657,45484,,"SPX")&lt;/Q&gt;&lt;R&gt;1&lt;/R&gt;&lt;C&gt;1&lt;/C&gt;&lt;D xsi:type="xsd:double"&gt;1.2379225&lt;/D&gt;&lt;/FQL&gt;&lt;FQL&gt;&lt;Q&gt;CRH-US^P_BETA_LOCIDX(45805,45628,,"SPX")&lt;/Q&gt;&lt;R&gt;1&lt;/R&gt;&lt;C&gt;1&lt;/C&gt;&lt;D xsi:type="xsd:double"&gt;1.2667227&lt;/D&gt;&lt;/FQL&gt;&lt;FQL&gt;&lt;Q&gt;CRH-US^P_BETA_LOCIDX(45931,45757,,"SPX")&lt;/Q&gt;&lt;R&gt;1&lt;/R&gt;&lt;C&gt;1&lt;/C&gt;&lt;D xsi:type="xsd:double"&gt;1.3853129&lt;/D&gt;&lt;/FQL&gt;&lt;FQL&gt;&lt;Q&gt;CRH-US^P_BETA_LOCIDX(45650,45478,,"SPX")&lt;/Q&gt;&lt;R&gt;1&lt;/R&gt;&lt;C&gt;1&lt;/C&gt;&lt;D xsi:type="xsd:double"&gt;1.2418287&lt;/D&gt;&lt;/FQL&gt;&lt;FQL&gt;&lt;Q&gt;CRH-US^P_BETA_LOCIDX(45852,45678,,"SPX")&lt;/Q&gt;&lt;R&gt;1&lt;/R&gt;&lt;C&gt;1&lt;/C&gt;&lt;D xsi:type="xsd:double"&gt;1.2750276&lt;/D&gt;&lt;/FQL&gt;&lt;FQL&gt;&lt;Q&gt;CRH-US^P_BETA_LOCIDX(45499,45324,,"SPX")&lt;/Q&gt;&lt;R&gt;1&lt;/R&gt;&lt;C&gt;1&lt;/C&gt;&lt;D xsi:type="xsd:double"&gt;1.245322&lt;/D&gt;&lt;/FQL&gt;&lt;FQL&gt;&lt;Q&gt;CRH-US^P_BETA_LOCIDX(45694,45518,,"SPX")&lt;/Q&gt;&lt;R&gt;1&lt;/R&gt;&lt;C&gt;1&lt;/C&gt;&lt;D xsi:type="xsd:double"&gt;1.0784501&lt;/D&gt;&lt;/FQL&gt;&lt;FQL&gt;&lt;Q&gt;CRH-US^P_BETA_LOCIDX(45420,45244,,"SPX")&lt;/Q&gt;&lt;R&gt;1&lt;/R&gt;&lt;C&gt;1&lt;/C&gt;&lt;D xsi:type="xsd:double"&gt;1.1406072&lt;/D&gt;&lt;/FQL&gt;&lt;FQL&gt;&lt;Q&gt;CRH-US^P_BETA_LOCIDX(45288,45117,,"SPX")&lt;/Q&gt;&lt;R&gt;1&lt;/R&gt;&lt;C&gt;1&lt;/C&gt;&lt;D xsi:type="xsd:double"&gt;1.2038382&lt;/D&gt;&lt;/FQL&gt;&lt;FQL&gt;&lt;Q&gt;CRH-US^P_BETA_LOCIDX(45320,45145,,"SPX")&lt;/Q&gt;&lt;R&gt;1&lt;/R&gt;&lt;C&gt;1&lt;/C&gt;&lt;D xsi:type="xsd:double"&gt;1.2635508&lt;/D&gt;&lt;/FQL&gt;&lt;FQL&gt;&lt;Q&gt;CRH-US^P_BETA_LOCIDX(45838,45660,,"SPX")&lt;/Q&gt;&lt;R&gt;1&lt;/R&gt;&lt;C&gt;1&lt;/C&gt;&lt;D xsi:type="xsd:double"&gt;1.2741203&lt;/D&gt;&lt;/FQL&gt;&lt;FQL&gt;&lt;Q&gt;CRH-US^P_BETA_LOCIDX(45057,44881,,"SPX")&lt;/Q&gt;&lt;R&gt;1&lt;/R&gt;&lt;C&gt;1&lt;/C&gt;&lt;D xsi:type="xsd:double"&gt;0.94783276&lt;/D&gt;&lt;/FQL&gt;&lt;FQL&gt;&lt;Q&gt;CRH-US^P_BETA_LOCIDX(45729,45553,,"SPX")&lt;/Q&gt;&lt;R&gt;1&lt;/R&gt;&lt;C&gt;1&lt;/C&gt;&lt;D xsi:type="xsd:double"&gt;1.3165526&lt;/D&gt;&lt;/FQL&gt;&lt;FQL&gt;&lt;Q&gt;CRH-US^P_BETA_LOCIDX(45712,45533,,"SPX")&lt;/Q&gt;&lt;R&gt;1&lt;/R&gt;&lt;C&gt;1&lt;/C&gt;&lt;D xsi:type="xsd:double"&gt;1.0921973&lt;/D&gt;&lt;/FQL&gt;&lt;FQL&gt;&lt;Q&gt;CRH-US^P_BETA_LOCIDX(45951,45779,,"SPX")&lt;/Q&gt;&lt;R&gt;1&lt;/R&gt;&lt;C&gt;1&lt;/C&gt;&lt;D xsi:type="xsd:double"&gt;1.2100611&lt;/D&gt;&lt;/FQL&gt;&lt;FQL&gt;&lt;Q&gt;CRH-US^P_BETA_LOCIDX(46006,45838,,"SPX")&lt;/Q&gt;&lt;R&gt;1&lt;/R&gt;&lt;C&gt;1&lt;/C&gt;&lt;D xsi:type="xsd:double"&gt;1.0618521&lt;/D&gt;&lt;/FQL&gt;&lt;FQL&gt;&lt;Q&gt;CRH-US^P_BETA_LOCIDX(45565,45391,,"SPX")&lt;/Q&gt;&lt;R&gt;1&lt;/R&gt;&lt;C&gt;1&lt;/C&gt;&lt;D xsi:type="xsd:double"&gt;1.3751018&lt;/D&gt;&lt;/FQL&gt;&lt;FQL&gt;&lt;Q&gt;CRH-US^P_BETA_LOCIDX(45853,45679,,"SPX")&lt;/Q&gt;&lt;R&gt;1&lt;/R&gt;&lt;C&gt;1&lt;/C&gt;&lt;D xsi:type="xsd:double"&gt;1.2736784&lt;/D&gt;&lt;/FQL&gt;&lt;FQL&gt;&lt;Q&gt;CRH-US^P_BETA_LOCIDX(45086,44910,,"SPX")&lt;/Q&gt;&lt;R&gt;1&lt;/R&gt;&lt;C&gt;1&lt;/C&gt;&lt;D xsi:type="xsd:double"&gt;1.053611&lt;/D&gt;&lt;/FQL&gt;&lt;FQL&gt;&lt;Q&gt;CRH-US^P_BETA_LOCIDX(45154,44980,,"SPX")&lt;/Q&gt;&lt;R&gt;1&lt;/R&gt;&lt;C&gt;1&lt;/C&gt;&lt;D xsi:type="xsd:double"&gt;1.0715562&lt;/D&gt;&lt;/FQL&gt;&lt;FQL&gt;&lt;Q&gt;CRH-US^P_BETA_LOCIDX(45569,45397,,"SPX")&lt;/Q&gt;&lt;R&gt;1&lt;/R&gt;&lt;C&gt;1&lt;/C&gt;&lt;D xsi:type="xsd:double"&gt;1.4132462&lt;/D&gt;&lt;/FQL&gt;&lt;FQL&gt;&lt;Q&gt;CRH-US^P_BETA_LOCIDX(45973,45800,,"SPX")&lt;/Q&gt;&lt;R&gt;1&lt;/R&gt;&lt;C&gt;1&lt;/C&gt;&lt;D xsi:type="xsd:double"&gt;1.070107&lt;/D&gt;&lt;/FQL&gt;&lt;FQL&gt;&lt;Q&gt;CRH-US^P_BETA_LOCIDX(45860,45686,,"SPX")&lt;/Q&gt;&lt;R&gt;1&lt;/R&gt;&lt;C&gt;1&lt;/C&gt;&lt;D xsi:type="xsd:double"&gt;1.2759197&lt;/D&gt;&lt;/FQL&gt;&lt;FQL&gt;&lt;Q&gt;CRH-US^P_BETA_LOCIDX(45831,45652,,"SPX")&lt;/Q&gt;&lt;R&gt;1&lt;/R&gt;&lt;C&gt;1&lt;/C&gt;&lt;D xsi:type="xsd:double"&gt;1.2671096&lt;/D&gt;&lt;/FQL&gt;&lt;FQL&gt;&lt;Q&gt;CRH-US^P_BETA_LOCIDX(45887,45714,,"SPX")&lt;/Q&gt;&lt;R&gt;1&lt;/R&gt;&lt;C&gt;1&lt;/C&gt;&lt;D xsi:type="xsd:double"&gt;1.2804137&lt;/D&gt;&lt;/FQL&gt;&lt;FQL&gt;&lt;Q&gt;CRH-US^P_BETA_LOCIDX(46007,45835,,"SPX")&lt;/Q&gt;&lt;R&gt;1&lt;/R&gt;&lt;C&gt;1&lt;/C&gt;&lt;D xsi:type="xsd:double"&gt;1.0788438&lt;/D&gt;&lt;/FQL&gt;&lt;FQL&gt;&lt;Q&gt;CRH-US^P_BETA_LOCIDX(45923,45750,,"SPX")&lt;/Q&gt;&lt;R&gt;1&lt;/R&gt;&lt;C&gt;1&lt;/C&gt;&lt;D xsi:type="xsd:double"&gt;1.1868906&lt;/D&gt;&lt;/FQL&gt;&lt;FQL&gt;&lt;Q&gt;CRH-US^P_BETA_LOCIDX(45945,45775,,"SPX")&lt;/Q&gt;&lt;R&gt;1&lt;/R&gt;&lt;C&gt;1&lt;/C&gt;&lt;D xsi:type="xsd:double"&gt;1.2227421&lt;/D&gt;&lt;/FQL&gt;&lt;FQL&gt;&lt;Q&gt;CRH-US^P_BETA_LOCIDX(45967,45797,,"SPX")&lt;/Q&gt;&lt;R&gt;1&lt;/R&gt;&lt;C&gt;1&lt;/C&gt;&lt;D xsi:type="xsd:double"&gt;1.1083454&lt;/D&gt;&lt;/FQL&gt;&lt;FQL&gt;&lt;Q&gt;CRH-US^P_BETA_LOCIDX(45992,45821,,"SPX")&lt;/Q&gt;&lt;R&gt;1&lt;/R&gt;&lt;C&gt;1&lt;/C&gt;&lt;D xsi:type="xsd:double"&gt;1.1770445&lt;/D&gt;&lt;/FQL&gt;&lt;FQL&gt;&lt;Q&gt;CRH-US^P_BETA_LOCIDX(46014,45846,,"SPX")&lt;/Q&gt;&lt;R&gt;1&lt;/R&gt;&lt;C&gt;1&lt;/C&gt;&lt;D xsi:type="xsd:double"&gt;1.1062016&lt;/D&gt;&lt;/FQL&gt;&lt;FQL&gt;&lt;Q&gt;CRH-US^P_BETA_LOCIDX(46038,45870,,"SPX")&lt;/Q&gt;&lt;R&gt;1&lt;/R&gt;&lt;C&gt;1&lt;/C&gt;&lt;D xsi:type="xsd:double"&gt;1.2229832&lt;/D&gt;&lt;/FQL&gt;&lt;FQL&gt;&lt;Q&gt;CRH-US^P_BETA_LOCIDX(45698,45520,,"SPX")&lt;/Q&gt;&lt;R&gt;1&lt;/R&gt;&lt;C&gt;1&lt;/C&gt;&lt;D xsi:type="xsd:double"&gt;1.0584093&lt;/D&gt;&lt;/FQL&gt;&lt;FQL&gt;&lt;Q&gt;CRH-US^P_BETA_LOCIDX(45495,45320,,"SPX")&lt;/Q&gt;&lt;R&gt;1&lt;/R&gt;&lt;C&gt;1&lt;/C&gt;&lt;D xsi:type="xsd:double"&gt;1.1832677&lt;/D&gt;&lt;/FQL&gt;&lt;FQL&gt;&lt;Q&gt;CRH-US^P_BETA_LOCIDX(44994,44819,,"SPX")&lt;/Q&gt;&lt;R&gt;1&lt;/R&gt;&lt;C&gt;1&lt;/C&gt;&lt;D xsi:type="xsd:double"&gt;1.2294842&lt;/D&gt;&lt;/FQL&gt;&lt;FQL&gt;&lt;Q&gt;CRH-US^P_BETA_LOCIDX(45512,45337,,"SPX")&lt;/Q&gt;&lt;R&gt;1&lt;/R&gt;&lt;C&gt;1&lt;/C&gt;&lt;D xsi:type="xsd:double"&gt;1.3917531&lt;/D&gt;&lt;/FQL&gt;&lt;FQL&gt;&lt;Q&gt;CRH-US^P_BETA_LOCIDX(45061,44883,,"SPX")&lt;/Q&gt;&lt;R&gt;1&lt;/R&gt;&lt;C&gt;1&lt;/C&gt;&lt;D xsi:type="xsd:double"&gt;0.94586307&lt;/D&gt;&lt;/FQL&gt;&lt;FQL&gt;&lt;Q&gt;CRH-US^P_BETA_LOCIDX(45090,44914,,"SPX")&lt;/Q&gt;&lt;R&gt;1&lt;/R&gt;&lt;C&gt;1&lt;/C&gt;&lt;D xsi:type="xsd:double"&gt;1.041338&lt;/D&gt;&lt;/FQL&gt;&lt;FQL&gt;&lt;Q&gt;CRH-US^P_BETA_LOCIDX(45497,45322,,"SPX")&lt;/Q&gt;&lt;R&gt;1&lt;/R&gt;&lt;C&gt;1&lt;/C&gt;&lt;D xsi:type="xsd:double"&gt;1.2001628&lt;/D&gt;&lt;/FQL&gt;&lt;FQL&gt;&lt;Q&gt;CRH-US^P_BETA_LOCIDX(45064,44888,,"SPX")&lt;/Q&gt;&lt;R&gt;1&lt;/R&gt;&lt;C&gt;1&lt;/C&gt;&lt;D xsi:type="xsd:double"&gt;0.9532054&lt;/D&gt;&lt;/FQL&gt;&lt;FQL&gt;&lt;Q&gt;CRH-US^P_BETA_LOCIDX(45532,45358,,"SPX")&lt;/Q&gt;&lt;R&gt;1&lt;/R&gt;&lt;C&gt;1&lt;/C&gt;&lt;D xsi:type="xsd:double"&gt;1.428039&lt;/D&gt;&lt;/FQL&gt;&lt;FQL&gt;&lt;Q&gt;CRH-US^P_BETA_LOCIDX(45247,45076,,"SPX")&lt;/Q&gt;&lt;R&gt;1&lt;/R&gt;&lt;C&gt;1&lt;/C&gt;&lt;D xsi:type="xsd:double"&gt;1.2160203&lt;/D&gt;&lt;/FQL&gt;&lt;FQL&gt;&lt;Q&gt;CRH-US^P_BETA_LOCIDX(45071,44896,,"SPX")&lt;/Q&gt;&lt;R&gt;1&lt;/R&gt;&lt;C&gt;1&lt;/C&gt;&lt;D xsi:type="xsd:double"&gt;1.0089326&lt;/D&gt;&lt;/FQL&gt;&lt;FQL&gt;&lt;Q&gt;CRH-US^P_BETA_LOCIDX(45384,45208,,"SPX")&lt;/Q&gt;&lt;R&gt;1&lt;/R&gt;&lt;C&gt;1&lt;/C&gt;&lt;D xsi:type="xsd:double"&gt;1.1695601&lt;/D&gt;&lt;/FQL&gt;&lt;FQL&gt;&lt;Q&gt;CRH-US^P_BETA_LOCIDX(45944,45771,,"SPX")&lt;/Q&gt;&lt;R&gt;1&lt;/R&gt;&lt;C&gt;1&lt;/C&gt;&lt;D xsi:type="xsd:double"&gt;1.275456&lt;/D&gt;&lt;/FQL&gt;&lt;FQL&gt;&lt;Q&gt;CRH-US^P_BETA_LOCIDX(45708,45531,,"SPX")&lt;/Q&gt;&lt;R&gt;1&lt;/R&gt;&lt;C&gt;1&lt;/C&gt;&lt;D xsi:type="xsd:double"&gt;1.0830516&lt;/D&gt;&lt;/FQL&gt;&lt;FQL&gt;&lt;Q&gt;CRH-US^P_BETA_LOCIDX(45237,45063,,"SPX")&lt;/Q&gt;&lt;R&gt;1&lt;/R&gt;&lt;C&gt;1&lt;/C&gt;&lt;D xsi:type="xsd:double"&gt;1.2382343&lt;/D&gt;&lt;/FQL&gt;&lt;FQL&gt;&lt;Q&gt;CRH-US^P_BETA_LOCIDX(45120,44945,,"SPX")&lt;/Q&gt;&lt;R&gt;1&lt;/R&gt;&lt;C&gt;1&lt;/C&gt;&lt;D xsi:type="xsd:double"&gt;1.0564581&lt;/D&gt;&lt;/FQL&gt;&lt;FQL&gt;&lt;Q&gt;CRH-US^P_BETA_LOCIDX(45888,45715,,"SPX")&lt;/Q&gt;&lt;R&gt;1&lt;/R&gt;&lt;C&gt;1&lt;/C&gt;&lt;D xsi:type="xsd:double"&gt;1.2771695&lt;/D&gt;&lt;/FQL&gt;&lt;FQL&gt;&lt;Q&gt;CRH-US^P_BETA_LOCIDX(45093,44917,,"SPX")&lt;/Q&gt;&lt;R&gt;1&lt;/R&gt;&lt;C&gt;1&lt;/C&gt;&lt;D xsi:type="xsd:double"&gt;1.0503072&lt;/D&gt;&lt;/FQL&gt;&lt;FQL&gt;&lt;Q&gt;CRH-US^P_BETA_LOCIDX(45278,45105,,"SPX")&lt;/Q&gt;&lt;R&gt;1&lt;/R&gt;&lt;C&gt;1&lt;/C&gt;&lt;D xsi:type="xsd:double"&gt;1.2013808&lt;/D&gt;&lt;/FQL&gt;&lt;FQL&gt;&lt;Q&gt;CRH-US^P_BETA_LOCIDX(45352,45177,,"SPX")&lt;/Q&gt;&lt;R&gt;1&lt;/R&gt;&lt;C&gt;1&lt;/C&gt;&lt;D xsi:type="xsd:double"&gt;1.1845012&lt;/D&gt;&lt;/FQL&gt;&lt;FQL&gt;&lt;Q&gt;CRH-US^P_BETA_LOCIDX(45743,45567,,"SPX")&lt;/Q&gt;&lt;R&gt;1&lt;/R&gt;&lt;C&gt;1&lt;/C&gt;&lt;D xsi:type="xsd:double"&gt;1.3680358&lt;/D&gt;&lt;/FQL&gt;&lt;FQL&gt;&lt;Q&gt;CRH-US^P_BETA_LOCIDX(45749,45573,,"SPX")&lt;/Q&gt;&lt;R&gt;1&lt;/R&gt;&lt;C&gt;1&lt;/C&gt;&lt;D xsi:type="xsd:double"&gt;1.4178003&lt;/D&gt;&lt;/FQL&gt;&lt;FQL&gt;&lt;Q&gt;CRH-US^P_BETA_LOCIDX(45322,45147,,"SPX")&lt;/Q&gt;&lt;R&gt;1&lt;/R&gt;&lt;C&gt;1&lt;/C&gt;&lt;D xsi:type="xsd:double"&gt;1.2235742&lt;/D&gt;&lt;/FQL&gt;&lt;FQL&gt;&lt;Q&gt;CRH-US^P_BETA_LOCIDX(44995,44820,,"SPX")&lt;/Q&gt;&lt;R&gt;1&lt;/R&gt;&lt;C&gt;1&lt;/C&gt;&lt;D xsi:type="xsd:double"&gt;1.2313502&lt;/D&gt;&lt;/FQL&gt;&lt;FQL&gt;&lt;Q&gt;CRH-US^P_BETA_LOCIDX(45930,45756,,"SPX")&lt;/Q&gt;&lt;R&gt;1&lt;/R&gt;&lt;C&gt;1&lt;/C&gt;&lt;D xsi:type="xsd:double"&gt;1.2589328&lt;/D&gt;&lt;/FQL&gt;&lt;FQL&gt;&lt;Q&gt;CRH-US^P_BETA_LOCIDX(45835,45659,,"SPX")&lt;/Q&gt;&lt;R&gt;1&lt;/R&gt;&lt;C&gt;1&lt;/C&gt;&lt;D xsi:type="xsd:double"&gt;1.27409&lt;/D&gt;&lt;/FQL&gt;&lt;FQL&gt;&lt;Q&gt;CRH-US^P_BETA_LOCIDX(45317,45142,,"SPX")&lt;/Q&gt;&lt;R&gt;1&lt;/R&gt;&lt;C&gt;1&lt;/C&gt;&lt;D xsi:type="xsd:double"&gt;1.2540414&lt;/D&gt;&lt;/FQL&gt;&lt;FQL&gt;&lt;Q&gt;CRH-US^P_BETA_LOCIDX(45994,45821,,"SPX")&lt;/Q&gt;&lt;R&gt;1&lt;/R&gt;&lt;C&gt;1&lt;/C&gt;&lt;D xsi:type="xsd:double"&gt;1.1800507&lt;/D&gt;&lt;/FQL&gt;&lt;FQL&gt;&lt;Q&gt;CRH-US^P_BETA_LOCIDX(45222,45048,,"SPX")&lt;/Q&gt;&lt;R&gt;1&lt;/R&gt;&lt;C&gt;1&lt;/C&gt;&lt;D xsi:type="xsd:double"&gt;1.194343&lt;/D&gt;&lt;/FQL&gt;&lt;FQL&gt;&lt;Q&gt;CRH-US^P_BETA_LOCIDX(45957,45784,,"SPX")&lt;/Q&gt;&lt;R&gt;1&lt;/R&gt;&lt;C&gt;1&lt;/C&gt;&lt;D xsi:type="xsd:double"&gt;1.152565&lt;/D&gt;&lt;/FQL&gt;&lt;FQL&gt;&lt;Q&gt;CRH-US^P_BETA_LOCIDX(45875,45701,,"SPX")&lt;/Q&gt;&lt;R&gt;1&lt;/R&gt;&lt;C&gt;1&lt;/C&gt;&lt;D xsi:type="xsd:double"&gt;1.2714416&lt;/D&gt;&lt;/FQL&gt;&lt;FQL&gt;&lt;Q&gt;CRH-US^P_BETA_LOCIDX(45266,45092,,"SPX")&lt;/Q&gt;&lt;R&gt;1&lt;/R&gt;&lt;C&gt;1&lt;/C&gt;&lt;D xsi:type="xsd:double"&gt;1.1646327&lt;/D&gt;&lt;/FQL&gt;&lt;FQL&gt;&lt;Q&gt;CRH-US^P_BETA_LOCIDX(45618,45447,,"SPX")&lt;/Q&gt;&lt;R&gt;1&lt;/R&gt;&lt;C&gt;1&lt;/C&gt;&lt;D xsi:type="xsd:double"&gt;1.2648726&lt;/D&gt;&lt;/FQL&gt;&lt;FQL&gt;&lt;Q&gt;CRH-US^P_BETA_LOCIDX(45702,45526,,"SPX")&lt;/Q&gt;&lt;R&gt;1&lt;/R&gt;&lt;C&gt;1&lt;/C&gt;&lt;D xsi:type="xsd:double"&gt;1.0605674&lt;/D&gt;&lt;/FQL&gt;&lt;FQL&gt;&lt;Q&gt;CRH-US^P_BETA_LOCIDX(45265,45091,,"SPX")&lt;/Q&gt;&lt;R&gt;1&lt;/R&gt;&lt;C&gt;1&lt;/C&gt;&lt;D xsi:type="xsd:double"&gt;1.1677773&lt;/D&gt;&lt;/FQL&gt;&lt;FQL&gt;&lt;Q&gt;CRH-US^P_BETA_LOCIDX(45909,45735,,"SPX")&lt;/Q&gt;&lt;R&gt;1&lt;/R&gt;&lt;C&gt;1&lt;/C&gt;&lt;D xsi:type="xsd:double"&gt;1.2331374&lt;/D&gt;&lt;/FQL&gt;&lt;FQL&gt;&lt;Q&gt;CRH-US^P_BETA_LOCIDX(45530,45356,,"SPX")&lt;/Q&gt;&lt;R&gt;1&lt;/R&gt;&lt;C&gt;1&lt;/C&gt;&lt;D xsi:type="xsd:double"&gt;1.4469777&lt;/D&gt;&lt;/FQL&gt;&lt;FQL&gt;&lt;Q&gt;CRH-US^P_BETA_LOCIDX(45516,45342,,"SPX")&lt;/Q&gt;&lt;R&gt;1&lt;/R&gt;&lt;C&gt;1&lt;/C&gt;&lt;D xsi:type="xsd:double"&gt;1.404328&lt;/D&gt;&lt;/FQL&gt;&lt;FQL&gt;&lt;Q&gt;CRH-US^P_BETA_LOCIDX(45866,45692,,"SPX")&lt;/Q&gt;&lt;R&gt;1&lt;/R&gt;&lt;C&gt;1&lt;/C&gt;&lt;D xsi:type="xsd:double"&gt;1.2803131&lt;/D&gt;&lt;/FQL&gt;&lt;FQL&gt;&lt;Q&gt;CRH-US^P_BETA_LOCIDX(46035,45861,,"SPX")&lt;/Q&gt;&lt;R&gt;1&lt;/R&gt;&lt;C&gt;1&lt;/C&gt;&lt;D xsi:type="xsd:double"&gt;1.216635&lt;/D&gt;&lt;/FQL&gt;&lt;FQL&gt;&lt;Q&gt;CRH-US^P_BETA_LOCIDX(46028,45854,,"SPX")&lt;/Q&gt;&lt;R&gt;1&lt;/R&gt;&lt;C&gt;1&lt;/C&gt;&lt;D xsi:type="xsd:double"&gt;1.1115065&lt;/D&gt;&lt;/FQL&gt;&lt;FQL&gt;&lt;Q&gt;CRH-US^P_BETA_LOCIDX(45029,44853,,"SPX")&lt;/Q&gt;&lt;R&gt;1&lt;/R&gt;&lt;C&gt;1&lt;/C&gt;&lt;D xsi:type="xsd:double"&gt;1.1384214&lt;/D&gt;&lt;/FQL&gt;&lt;FQL&gt;&lt;Q&gt;CRH-US^P_BETA_LOCIDX(45131,44956,,"SPX")&lt;/Q&gt;&lt;R&gt;1&lt;/R&gt;&lt;C&gt;1&lt;/C&gt;&lt;D xsi:type="xsd:double"&gt;1.06807&lt;/D&gt;&lt;/FQL&gt;&lt;FQL&gt;&lt;Q&gt;CRH-US^P_BETA_LOCIDX(45943,45770,,"SPX")&lt;/Q&gt;&lt;R&gt;1&lt;/R&gt;&lt;C&gt;1&lt;/C&gt;&lt;D xsi:type="xsd:double"&gt;1.2938459&lt;/D&gt;&lt;/FQL&gt;&lt;FQL&gt;&lt;Q&gt;CRH-US^P_BETA_LOCIDX(45861,45687,,"SPX")&lt;/Q&gt;&lt;R&gt;1&lt;/R&gt;&lt;C&gt;1&lt;/C&gt;&lt;D xsi:type="xsd:double"&gt;1.2792962&lt;/D&gt;&lt;/FQL&gt;&lt;FQL&gt;&lt;Q&gt;CRH-US^P_BETA_LOCIDX(45205,45033,,"SPX")&lt;/Q&gt;&lt;R&gt;1&lt;/R&gt;&lt;C&gt;1&lt;/C&gt;&lt;D xsi:type="xsd:double"&gt;1.0430025&lt;/D&gt;&lt;/FQL&gt;&lt;FQL&gt;&lt;Q&gt;CRH-US^P_BETA_LOCIDX(45756,45580,,"SPX")&lt;/Q&gt;&lt;R&gt;1&lt;/R&gt;&lt;C&gt;1&lt;/C&gt;&lt;D xsi:type="xsd:double"&gt;1.2213948&lt;/D&gt;&lt;/FQL&gt;&lt;FQL&gt;&lt;Q&gt;CRH-US^P_BETA_LOCIDX(45056,44880,,"SPX")&lt;/Q&gt;&lt;R&gt;1&lt;/R&gt;&lt;C&gt;1&lt;/C&gt;&lt;D xsi:type="xsd:double"&gt;0.94906306&lt;/D&gt;&lt;/FQL&gt;&lt;FQL&gt;&lt;Q&gt;CRH-US^P_BETA_LOCIDX(45985,45813,,"SPX")&lt;/Q&gt;&lt;R&gt;1&lt;/R&gt;&lt;C&gt;1&lt;/C&gt;&lt;D xsi:type="xsd:double"&gt;1.0903139&lt;/D&gt;&lt;/FQL&gt;&lt;FQL&gt;&lt;Q&gt;CRH-US^P_BETA_LOCIDX(45490,45315,,"SPX")&lt;/Q&gt;&lt;R&gt;1&lt;/R&gt;&lt;C&gt;1&lt;/C&gt;&lt;D xsi:type="xsd:double"&gt;1.1879208&lt;/D&gt;&lt;/FQL&gt;&lt;FQL&gt;&lt;Q&gt;CRH-US^P_BETA_LOCIDX(44965,44790,,"SPX")&lt;/Q&gt;&lt;R&gt;1&lt;/R&gt;&lt;C&gt;1&lt;/C&gt;&lt;D xsi:type="xsd:double"&gt;1.2209847&lt;/D&gt;&lt;/FQL&gt;&lt;FQL&gt;&lt;Q&gt;CRH-US^P_BETA_LOCIDX(45518,45344,,"SPX")&lt;/Q&gt;&lt;R&gt;1&lt;/R&gt;&lt;C&gt;1&lt;/C&gt;&lt;D xsi:type="xsd:double"&gt;1.4000049&lt;/D&gt;&lt;/FQL&gt;&lt;FQL&gt;&lt;Q&gt;CRH-US^P_BETA_LOCIDX(45482,45307,,"SPX")&lt;/Q&gt;&lt;R&gt;1&lt;/R&gt;&lt;C&gt;1&lt;/C&gt;&lt;D xsi:type="xsd:double"&gt;1.2116297&lt;/D&gt;&lt;/FQL&gt;&lt;FQL&gt;&lt;Q&gt;CRH-US^P_BETA_LOCIDX(45048,44872,,"SPX")&lt;/Q&gt;&lt;R&gt;1&lt;/R&gt;&lt;C&gt;1&lt;/C&gt;&lt;D xsi:type="xsd:double"&gt;1.0697771&lt;/D&gt;&lt;/FQL&gt;&lt;FQL&gt;&lt;Q&gt;CRH-US^P_BETA_LOCIDX(45561,45387,,"SPX")&lt;/Q&gt;&lt;R&gt;1&lt;/R&gt;&lt;C&gt;1&lt;/C&gt;&lt;D xsi:type="xsd:double"&gt;1.3849826&lt;/D&gt;&lt;/FQL&gt;&lt;FQL&gt;&lt;Q&gt;CRH-US^P_BETA_LOCIDX(45840,45664,,"SPX")&lt;/Q&gt;&lt;R&gt;1&lt;/R&gt;&lt;C&gt;1&lt;/C&gt;&lt;D xsi:type="xsd:double"&gt;1.2787681&lt;/D&gt;&lt;/FQL&gt;&lt;FQL&gt;&lt;Q&gt;CRH-US^P_BETA_LOCIDX(45526,45352,,"SPX")&lt;/Q&gt;&lt;R&gt;1&lt;/R&gt;&lt;C&gt;1&lt;/C&gt;&lt;D xsi:type="xsd:double"&gt;1.421706&lt;/D&gt;&lt;/FQL&gt;&lt;FQL&gt;&lt;Q&gt;CRH-US^P_BETA_LOCIDX(45464,45288,,"SPX")&lt;/Q&gt;&lt;R&gt;1&lt;/R&gt;&lt;C&gt;1&lt;/C&gt;&lt;D xsi:type="xsd:double"&gt;1.2999384&lt;/D&gt;&lt;/FQL&gt;&lt;FQL&gt;&lt;Q&gt;CRH-US^P_BETA_LOCIDX(45236,45062,,"SPX")&lt;/Q&gt;&lt;R&gt;1&lt;/R&gt;&lt;C&gt;1&lt;/C&gt;&lt;D xsi:type="xsd:double"&gt;1.237774&lt;/D&gt;&lt;/FQL&gt;&lt;FQL&gt;&lt;Q&gt;CRH-US^P_BETA_LOCIDX(45138,44963,,"SPX")&lt;/Q&gt;&lt;R&gt;1&lt;/R&gt;&lt;C&gt;1&lt;/C&gt;&lt;D xsi:type="xsd:double"&gt;1.0538392&lt;/D&gt;&lt;/FQL&gt;&lt;FQL&gt;&lt;Q&gt;CRH-US^P_BETA_LOCIDX(45162,44988,,"SPX")&lt;/Q&gt;&lt;R&gt;1&lt;/R&gt;&lt;C&gt;1&lt;/C&gt;&lt;D xsi:type="xsd:double"&gt;1.0067326&lt;/D&gt;&lt;/FQL&gt;&lt;FQL&gt;&lt;Q&gt;CRH-US^P_BETA_LOCIDX(45644,45471,,"SPX")&lt;/Q&gt;&lt;R&gt;1&lt;/R&gt;&lt;C&gt;1&lt;/C&gt;&lt;D xsi:type="xsd:double"&gt;1.2436353&lt;/D&gt;&lt;/FQL&gt;&lt;FQL&gt;&lt;Q&gt;CRH-US^P_BETA_LOCIDX(44992,44817,,"SPX")&lt;/Q&gt;&lt;R&gt;1&lt;/R&gt;&lt;C&gt;1&lt;/C&gt;&lt;D xsi:type="xsd:double"&gt;1.2217749&lt;/D&gt;&lt;/FQL&gt;&lt;FQL&gt;&lt;Q&gt;CRH-US^P_BETA_LOCIDX(45880,45707,,"SPX")&lt;/Q&gt;&lt;R&gt;1&lt;/R&gt;&lt;C&gt;1&lt;/C&gt;&lt;D xsi:type="xsd:double"&gt;1.2676158&lt;/D&gt;&lt;/FQL&gt;&lt;FQL&gt;&lt;Q&gt;CRH-US^P_BETA_LOCIDX(44986,44811,,"SPX")&lt;/Q&gt;&lt;R&gt;1&lt;/R&gt;&lt;C&gt;1&lt;/C&gt;&lt;D xsi:type="xsd:double"&gt;1.2196034&lt;/D&gt;&lt;/FQL&gt;&lt;FQL&gt;&lt;Q&gt;CRH-US^P_BETA_LOCIDX(45989,45818,,"SPX")&lt;/Q&gt;&lt;R&gt;1&lt;/R&gt;&lt;C&gt;1&lt;/C&gt;&lt;D xsi:type="xsd:double"&gt;1.1890173&lt;/D&gt;&lt;/FQL&gt;&lt;FQL&gt;&lt;Q&gt;CRH-US^P_BETA_LOCIDX(46009,45839,,"SPX")&lt;/Q&gt;&lt;R&gt;1&lt;/R&gt;&lt;C&gt;1&lt;/C&gt;&lt;D xsi:type="xsd:double"&gt;1.139518&lt;/D&gt;&lt;/FQL&gt;&lt;FQL&gt;&lt;Q&gt;CRH-US^P_BETA_LOCIDX(45820,45643,,"SPX")&lt;/Q&gt;&lt;R&gt;1&lt;/R&gt;&lt;C&gt;1&lt;/C&gt;&lt;D xsi:type="xsd:double"&gt;1.2547206&lt;/D&gt;&lt;/FQL&gt;&lt;FQL&gt;&lt;Q&gt;CRH-US^P_BETA_LOCIDX(44979,44803,,"SPX")&lt;/Q&gt;&lt;R&gt;1&lt;/R&gt;&lt;C&gt;1&lt;/C&gt;&lt;D xsi:type="xsd:double"&gt;1.2104304&lt;/D&gt;&lt;/FQL&gt;&lt;FQL&gt;&lt;Q&gt;CRH-US^P_BETA_LOCIDX(45812,45635,,"SPX")&lt;/Q&gt;&lt;R&gt;1&lt;/R&gt;&lt;C&gt;1&lt;/C&gt;&lt;D xsi:type="xsd:double"&gt;1.2638359&lt;/D&gt;&lt;/FQL&gt;&lt;FQL&gt;&lt;Q&gt;CRH-US^P_BETA_LOCIDX(45531,45357,,"SPX")&lt;/Q&gt;&lt;R&gt;1&lt;/R&gt;&lt;C&gt;1&lt;/C&gt;&lt;D xsi:type="xsd:double"&gt;1.4341859&lt;/D&gt;&lt;/FQL&gt;&lt;FQL&gt;&lt;Q&gt;CRH-US^P_BETA_LOCIDX(45811,45632,,"SPX")&lt;/Q&gt;&lt;R&gt;1&lt;/R&gt;&lt;C&gt;1&lt;/C&gt;&lt;D xsi:type="xsd:double"&gt;1.2637653&lt;/D&gt;&lt;/FQL&gt;&lt;FQL&gt;&lt;Q&gt;CRH-US^P_BETA_LOCIDX(46036,45862,,"SPX")&lt;/Q&gt;&lt;R&gt;1&lt;/R&gt;&lt;C&gt;1&lt;/C&gt;&lt;D xsi:type="xsd:double"&gt;1.253867&lt;/D&gt;&lt;/FQL&gt;&lt;FQL&gt;&lt;Q&gt;CRH-US^P_BETA_LOCIDX(45475,45300,,"SPX")&lt;/Q&gt;&lt;R&gt;1&lt;/R&gt;&lt;C&gt;1&lt;/C&gt;&lt;D xsi:type="xsd:double"&gt;1.2037605&lt;/D&gt;&lt;/FQL&gt;&lt;FQL&gt;&lt;Q&gt;CRH-US^P_BETA_LOCIDX(45379,45204,,"SPX")&lt;/Q&gt;&lt;R&gt;1&lt;/R&gt;&lt;C&gt;1&lt;/C&gt;&lt;D xsi:type="xsd:double"&gt;1.1654608&lt;/D&gt;&lt;/FQL&gt;&lt;FQL&gt;&lt;Q&gt;CRH-US^P_BETA_LOCIDX(45898,45727,,"SPX")&lt;/Q&gt;&lt;R&gt;1&lt;/R&gt;&lt;C&gt;1&lt;/C&gt;&lt;D xsi:type="xsd:double"&gt;1.2466087&lt;/D&gt;&lt;/FQL&gt;&lt;FQL&gt;&lt;Q&gt;CRH-US^P_BETA_LOCIDX(45798,45621,,"SPX")&lt;/Q&gt;&lt;R&gt;1&lt;/R&gt;&lt;C&gt;1&lt;/C&gt;&lt;D xsi:type="xsd:double"&gt;1.2704287&lt;/D&gt;&lt;/FQL&gt;&lt;FQL&gt;&lt;Q&gt;CRH-US^P_BETA_LOCIDX(45810,45631,,"SPX")&lt;/Q&gt;&lt;R&gt;1&lt;/R&gt;&lt;C&gt;1&lt;/C&gt;&lt;D xsi:type="xsd:double"&gt;1.2649276&lt;/D&gt;&lt;/FQL&gt;&lt;FQL&gt;&lt;Q&gt;CRH-US^P_BETA_LOCIDX(45559,45385,,"SPX")&lt;/Q&gt;&lt;R&gt;1&lt;/R&gt;&lt;C&gt;1&lt;/C&gt;&lt;D xsi:type="xsd:double"&gt;1.3762084&lt;/D&gt;&lt;/FQL&gt;&lt;FQL&gt;&lt;Q&gt;CRH-US^P_BETA_LOCIDX(45231,45057,,"SPX")&lt;/Q&gt;&lt;R&gt;1&lt;/R&gt;&lt;C&gt;1&lt;/C&gt;&lt;D xsi:type="xsd:double"&gt;1.3209192&lt;/D&gt;&lt;/FQL&gt;&lt;FQL&gt;&lt;Q&gt;CRH-US^P_BETA_LOCIDX(45002,44827,,"SPX")&lt;/Q&gt;&lt;R&gt;1&lt;/R&gt;&lt;C&gt;1&lt;/C&gt;&lt;D xsi:type="xsd:double"&gt;1.2291298&lt;/D&gt;&lt;/FQL&gt;&lt;FQL&gt;&lt;Q&gt;CRH-US^P_BETA_LOCIDX(45184,45009,,"SPX")&lt;/Q&gt;&lt;R&gt;1&lt;/R&gt;&lt;C&gt;1&lt;/C&gt;&lt;D xsi:type="xsd:double"&gt;1.0385938&lt;/D&gt;&lt;/FQL&gt;&lt;FQL&gt;&lt;Q&gt;CRH-US^P_BETA_LOCIDX(45415,45239,,"SPX")&lt;/Q&gt;&lt;R&gt;1&lt;/R&gt;&lt;C&gt;1&lt;/C&gt;&lt;D xsi:type="xsd:double"&gt;1.1422755&lt;/D&gt;&lt;/FQL&gt;&lt;FQL&gt;&lt;Q&gt;CRH-US^P_BETA_LOCIDX(45097,44918,,"SPX")&lt;/Q&gt;&lt;R&gt;1&lt;/R&gt;&lt;C&gt;1&lt;/C&gt;&lt;D xsi:type="xsd:double"&gt;1.0582262&lt;/D&gt;&lt;/FQL&gt;&lt;FQL&gt;&lt;Q&gt;CRH-US^P_BETA_LOCIDX(45926,45754,,"SPX")&lt;/Q&gt;&lt;R&gt;1&lt;/R&gt;&lt;C&gt;1&lt;/C&gt;&lt;D xsi:type="xsd:double"&gt;1.2443094&lt;/D&gt;&lt;/FQL&gt;&lt;FQL&gt;&lt;Q&gt;CRH-US^P_BETA_LOCIDX(45595,45421,,"SPX")&lt;/Q&gt;&lt;R&gt;1&lt;/R&gt;&lt;C&gt;1&lt;/C&gt;&lt;D xsi:type="xsd:double"&gt;1.3374953&lt;/D&gt;&lt;/FQL&gt;&lt;FQL&gt;&lt;Q&gt;CRH-US^P_BETA_LOCIDX(45058,44882,,"SPX")&lt;/Q&gt;&lt;R&gt;1&lt;/R&gt;&lt;C&gt;1&lt;/C&gt;&lt;D xsi:type="xsd:double"&gt;0.9454408&lt;/D&gt;&lt;/FQL&gt;&lt;FQL&gt;&lt;Q&gt;CRH-US^P_BETA_LOCIDX(45268,45097,,"SPX")&lt;/Q&gt;&lt;R&gt;1&lt;/R&gt;&lt;C&gt;1&lt;/C&gt;&lt;D xsi:type="xsd:double"&gt;1.1881175&lt;/D&gt;&lt;/FQL&gt;&lt;FQL&gt;&lt;Q&gt;CRH-US^P_BETA_LOCIDX(45755,45579,,"SPX")&lt;/Q&gt;&lt;R&gt;1&lt;/R&gt;&lt;C&gt;1&lt;/C&gt;&lt;D xsi:type="xsd:double"&gt;1.2723222&lt;/D&gt;&lt;/FQL&gt;&lt;FQL&gt;&lt;Q&gt;CRH-US^P_BETA_LOCIDX(45244,45070,,"SPX")&lt;/Q&gt;&lt;R&gt;1&lt;/R&gt;&lt;C&gt;1&lt;/C&gt;&lt;D xsi:type="xsd:double"&gt;1.1956869&lt;/D&gt;&lt;/FQL&gt;&lt;FQL&gt;&lt;Q&gt;CRH-US^P_BETA_LOCIDX(45828,45650,,"SPX")&lt;/Q&gt;&lt;R&gt;1&lt;/R&gt;&lt;C&gt;1&lt;/C&gt;&lt;D xsi:type="xsd:double"&gt;1.2612481&lt;/D&gt;&lt;/FQL&gt;&lt;FQL&gt;&lt;Q&gt;CRH-US^P_BETA_LOCIDX(45019,44844,,"SPX")&lt;/Q&gt;&lt;R&gt;1&lt;/R&gt;&lt;C&gt;1&lt;/C&gt;&lt;D xsi:type="xsd:double"&gt;1.1592957&lt;/D&gt;&lt;/FQL&gt;&lt;FQL&gt;&lt;Q&gt;CRH-US^P_BETA_LOCIDX(45054,44876,,"SPX")&lt;/Q&gt;&lt;R&gt;1&lt;/R&gt;&lt;C&gt;1&lt;/C&gt;&lt;D xsi:type="xsd:double"&gt;0.9789685&lt;/D&gt;&lt;/FQL&gt;&lt;FQL&gt;&lt;Q&gt;CRH-US^P_BETA_LOCIDX(45789,45610,,"SPX")&lt;/Q&gt;&lt;R&gt;1&lt;/R&gt;&lt;C&gt;1&lt;/C&gt;&lt;D xsi:type="xsd:double"&gt;1.2714424&lt;/D&gt;&lt;/FQL&gt;&lt;FQL&gt;&lt;Q&gt;CRH-US^P_BETA_LOCIDX(45971,45798,,"SPX")&lt;/Q&gt;&lt;R&gt;1&lt;/R&gt;&lt;C&gt;1&lt;/C&gt;&lt;D xsi:type="xsd:double"&gt;1.0720739&lt;/D&gt;&lt;/FQL&gt;&lt;FQL&gt;&lt;Q&gt;CRH-US^P_BETA_LOCIDX(46002,45832,,"SPX")&lt;/Q&gt;&lt;R&gt;1&lt;/R&gt;&lt;C&gt;1&lt;/C&gt;&lt;D xsi:type="xsd:double"&gt;1.0961792&lt;/D&gt;&lt;/FQL&gt;&lt;FQL&gt;&lt;Q&gt;CRH-US^P_BETA_LOCIDX(45091,44915,,"SPX")&lt;/Q&gt;&lt;R&gt;1&lt;/R&gt;&lt;C&gt;1&lt;/C&gt;&lt;D xsi:type="xsd:double"&gt;1.0517458&lt;/D&gt;&lt;/FQL&gt;&lt;FQL&gt;&lt;Q&gt;CRH-US^P_BETA_LOCIDX(45174,44999,,"SPX")&lt;/Q&gt;&lt;R&gt;1&lt;/R&gt;&lt;C&gt;1&lt;/C&gt;&lt;D xsi:type="xsd:double"&gt;1.0608333&lt;/D&gt;&lt;/FQL&gt;&lt;FQL&gt;&lt;Q&gt;CRH-US^P_BETA_LOCIDX(45146,44971,,"SPX")&lt;/Q&gt;&lt;R&gt;1&lt;/R&gt;&lt;C&gt;1&lt;/C&gt;&lt;D xsi:type="xsd:double"&gt;1.0515409&lt;/D&gt;&lt;/FQL&gt;&lt;FQL&gt;&lt;Q&gt;WCC-US^P_BETA_LOCIDX(45201,45027,,"SPX")&lt;/Q&gt;&lt;R&gt;1&lt;/R&gt;&lt;C&gt;1&lt;/C&gt;&lt;D xsi:type="xsd:double"&gt;1.8664862&lt;/D&gt;&lt;/FQL&gt;&lt;FQL&gt;&lt;Q&gt;WCC-US^P_BETA_LOCIDX(45750,45574,,"SPX")&lt;/Q&gt;&lt;R&gt;1&lt;/R&gt;&lt;C&gt;1&lt;/C&gt;&lt;D xsi:type="xsd:double"&gt;1.8175014&lt;/D&gt;&lt;/FQL&gt;&lt;FQL&gt;&lt;Q&gt;WCC-US^P_BETA_LOCIDX(45352,45177,,"SPX")&lt;/Q&gt;&lt;R&gt;1&lt;/R&gt;&lt;C&gt;1&lt;/C&gt;&lt;D xsi:type="xsd:double"&gt;2.429819&lt;/D&gt;&lt;/FQL&gt;&lt;FQL&gt;&lt;Q&gt;WCC-US^P_BETA_LOCIDX(45323,45148,,"SPX")&lt;/Q&gt;&lt;R&gt;1&lt;/R&gt;&lt;C&gt;1&lt;/C&gt;&lt;D xsi:type="xsd:double"&gt;1.6540444&lt;/D&gt;&lt;/FQL&gt;&lt;FQL&gt;&lt;Q&gt;WCC-US^P_BETA_LOCIDX(45845,45670,,"SPX")&lt;/Q&gt;&lt;R&gt;1&lt;/R&gt;&lt;C&gt;1&lt;/C&gt;&lt;D xsi:type="xsd:double"&gt;1.6109542&lt;/D&gt;&lt;/FQL&gt;&lt;FQL&gt;&lt;Q&gt;WCC-US^P_BETA_LOCIDX(45455,45279,,"SPX")&lt;/Q&gt;&lt;R&gt;1&lt;/R&gt;&lt;C&gt;1&lt;/C&gt;&lt;D xsi:type="xsd:double"&gt;2.4915202&lt;/D&gt;&lt;/FQL&gt;&lt;FQL&gt;&lt;Q&gt;WCC-US^P_BETA_LOCIDX(45611,45440,,"SPX")&lt;/Q&gt;&lt;R&gt;1&lt;/R&gt;&lt;C&gt;1&lt;/C&gt;&lt;D xsi:type="xsd:double"&gt;1.6283478&lt;/D&gt;&lt;/FQL&gt;&lt;FQL&gt;&lt;Q&gt;WCC-US^P_BETA_LOCIDX(45006,44831,,"SPX")&lt;/Q&gt;&lt;R&gt;1&lt;/R&gt;&lt;C&gt;1&lt;/C&gt;&lt;D xsi:type="xsd:double"&gt;1.4436017&lt;/D&gt;&lt;/FQL&gt;&lt;FQL&gt;&lt;Q&gt;WCC-US^P_BETA_LOCIDX(45973,45800,,"SPX")&lt;/Q&gt;&lt;R&gt;1&lt;/R&gt;&lt;C&gt;1&lt;/C&gt;&lt;D xsi:type="xsd:double"&gt;1.4310662&lt;/D&gt;&lt;/FQL&gt;&lt;FQL&gt;&lt;Q&gt;WCC-US^P_BETA_LOCIDX(45145,44970,,"SPX")&lt;/Q&gt;&lt;R&gt;1&lt;/R&gt;&lt;C&gt;1&lt;/C&gt;&lt;D xsi:type="xsd:double"&gt;2.0317395&lt;/D&gt;&lt;/FQL&gt;&lt;FQL&gt;&lt;Q&gt;WCC-US^P_BETA_LOCIDX(45702,45526,,"SPX")&lt;/Q&gt;&lt;R&gt;1&lt;/R&gt;&lt;C&gt;1&lt;/C&gt;&lt;D xsi:type="xsd:double"&gt;1.5723176&lt;/D&gt;&lt;/FQL&gt;&lt;FQL&gt;&lt;Q&gt;WCC-US^P_BETA_LOCIDX(45222,45048,,"SPX")&lt;/Q&gt;&lt;R&gt;1&lt;/R&gt;&lt;C&gt;1&lt;/C&gt;&lt;D xsi:type="xsd:double"&gt;2.1353972&lt;/D&gt;&lt;/FQL&gt;&lt;FQL&gt;&lt;Q&gt;WCC-US^P_</t>
        </r>
      </text>
    </comment>
    <comment ref="A35" authorId="0" shapeId="0" xr:uid="{456DE8D5-A00D-4AB2-A08B-B382F9E65A82}">
      <text>
        <r>
          <rPr>
            <b/>
            <sz val="9"/>
            <color indexed="81"/>
            <rFont val="Tahoma"/>
            <charset val="1"/>
          </rPr>
          <t>BETA_LOCIDX(45650,45478,,"SPX")&lt;/Q&gt;&lt;R&gt;1&lt;/R&gt;&lt;C&gt;1&lt;/C&gt;&lt;D xsi:type="xsd:double"&gt;1.656507&lt;/D&gt;&lt;/FQL&gt;&lt;FQL&gt;&lt;Q&gt;WCC-US^P_BETA_LOCIDX(45989,45818,,"SPX")&lt;/Q&gt;&lt;R&gt;1&lt;/R&gt;&lt;C&gt;1&lt;/C&gt;&lt;D xsi:type="xsd:double"&gt;1.5162756&lt;/D&gt;&lt;/FQL&gt;&lt;FQL&gt;&lt;Q&gt;WCC-US^P_BETA_LOCIDX(45628,45454,,"SPX")&lt;/Q&gt;&lt;R&gt;1&lt;/R&gt;&lt;C&gt;1&lt;/C&gt;&lt;D xsi:type="xsd:double"&gt;1.6096319&lt;/D&gt;&lt;/FQL&gt;&lt;FQL&gt;&lt;Q&gt;WCC-US^P_BETA_LOCIDX(45516,45342,,"SPX")&lt;/Q&gt;&lt;R&gt;1&lt;/R&gt;&lt;C&gt;1&lt;/C&gt;&lt;D xsi:type="xsd:double"&gt;1.634206&lt;/D&gt;&lt;/FQL&gt;&lt;FQL&gt;&lt;Q&gt;WCC-US^P_BETA_LOCIDX(45166,44992,,"SPX")&lt;/Q&gt;&lt;R&gt;1&lt;/R&gt;&lt;C&gt;1&lt;/C&gt;&lt;D xsi:type="xsd:double"&gt;2.097113&lt;/D&gt;&lt;/FQL&gt;&lt;FQL&gt;&lt;Q&gt;WCC-US^P_BETA_LOCIDX(46014,45842,,"SPX")&lt;/Q&gt;&lt;R&gt;1&lt;/R&gt;&lt;C&gt;1&lt;/C&gt;&lt;D xsi:type="xsd:double"&gt;1.6260579&lt;/D&gt;&lt;/FQL&gt;&lt;FQL&gt;&lt;Q&gt;WCC-US^P_BETA_LOCIDX(45496,45321,,"SPX")&lt;/Q&gt;&lt;R&gt;1&lt;/R&gt;&lt;C&gt;1&lt;/C&gt;&lt;D xsi:type="xsd:double"&gt;2.4875414&lt;/D&gt;&lt;/FQL&gt;&lt;FQL&gt;&lt;Q&gt;WCC-US^P_BETA_LOCIDX(45701,45525,,"SPX")&lt;/Q&gt;&lt;R&gt;1&lt;/R&gt;&lt;C&gt;1&lt;/C&gt;&lt;D xsi:type="xsd:double"&gt;1.5812984&lt;/D&gt;&lt;/FQL&gt;&lt;FQL&gt;&lt;Q&gt;WCC-US^P_BETA_LOCIDX(45996,45825,,"SPX")&lt;/Q&gt;&lt;R&gt;1&lt;/R&gt;&lt;C&gt;1&lt;/C&gt;&lt;D xsi:type="xsd:double"&gt;1.5042348&lt;/D&gt;&lt;/FQL&gt;&lt;FQL&gt;&lt;Q&gt;WCC-US^P_BETA_LOCIDX(45237,45063,,"SPX")&lt;/Q&gt;&lt;R&gt;1&lt;/R&gt;&lt;C&gt;1&lt;/C&gt;&lt;D xsi:type="xsd:double"&gt;1.8691112&lt;/D&gt;&lt;/FQL&gt;&lt;FQL&gt;&lt;Q&gt;WCC-US^P_BETA_LOCIDX(45069,44894,,"SPX")&lt;/Q&gt;&lt;R&gt;1&lt;/R&gt;&lt;C&gt;1&lt;/C&gt;&lt;D xsi:type="xsd:double"&gt;1.6676526&lt;/D&gt;&lt;/FQL&gt;&lt;FQL&gt;&lt;Q&gt;WCC-US^P_BETA_LOCIDX(45678,45502,,"SPX")&lt;/Q&gt;&lt;R&gt;1&lt;/R&gt;&lt;C&gt;1&lt;/C&gt;&lt;D xsi:type="xsd:double"&gt;1.5410546&lt;/D&gt;&lt;/FQL&gt;&lt;FQL&gt;&lt;Q&gt;WCC-US^P_BETA_LOCIDX(45873,45699,,"SPX")&lt;/Q&gt;&lt;R&gt;1&lt;/R&gt;&lt;C&gt;1&lt;/C&gt;&lt;D xsi:type="xsd:double"&gt;1.6114734&lt;/D&gt;&lt;/FQL&gt;&lt;FQL&gt;&lt;Q&gt;WCC-US^P_BETA_LOCIDX(46024,45852,,"SPX")&lt;/Q&gt;&lt;R&gt;1&lt;/R&gt;&lt;C&gt;1&lt;/C&gt;&lt;D xsi:type="xsd:double"&gt;1.6481557&lt;/D&gt;&lt;/FQL&gt;&lt;FQL&gt;&lt;Q&gt;WCC-US^P_BETA_LOCIDX(45436,45261,,"SPX")&lt;/Q&gt;&lt;R&gt;1&lt;/R&gt;&lt;C&gt;1&lt;/C&gt;&lt;D xsi:type="xsd:double"&gt;2.480262&lt;/D&gt;&lt;/FQL&gt;&lt;FQL&gt;&lt;Q&gt;WCC-US^P_BETA_LOCIDX(45644,45471,,"SPX")&lt;/Q&gt;&lt;R&gt;1&lt;/R&gt;&lt;C&gt;1&lt;/C&gt;&lt;D xsi:type="xsd:double"&gt;1.668605&lt;/D&gt;&lt;/FQL&gt;&lt;FQL&gt;&lt;Q&gt;WCC-US^P_BETA_LOCIDX(45674,45499,,"SPX")&lt;/Q&gt;&lt;R&gt;1&lt;/R&gt;&lt;C&gt;1&lt;/C&gt;&lt;D xsi:type="xsd:double"&gt;1.5214089&lt;/D&gt;&lt;/FQL&gt;&lt;FQL&gt;&lt;Q&gt;WCC-US^P_BETA_LOCIDX(46058,45883,,"SPX")&lt;/Q&gt;&lt;R&gt;1&lt;/R&gt;&lt;C&gt;1&lt;/C&gt;&lt;D xsi:type="xsd:double"&gt;1.5974506&lt;/D&gt;&lt;/FQL&gt;&lt;FQL&gt;&lt;Q&gt;WCC-US^P_BETA_LOCIDX(45762,45586,,"SPX")&lt;/Q&gt;&lt;R&gt;1&lt;/R&gt;&lt;C&gt;1&lt;/C&gt;&lt;D xsi:type="xsd:double"&gt;1.5914382&lt;/D&gt;&lt;/FQL&gt;&lt;FQL&gt;&lt;Q&gt;WCC-US^P_BETA_LOCIDX(45471,45296,,"SPX")&lt;/Q&gt;&lt;R&gt;1&lt;/R&gt;&lt;C&gt;1&lt;/C&gt;&lt;D xsi:type="xsd:double"&gt;2.494084&lt;/D&gt;&lt;/FQL&gt;&lt;FQL&gt;&lt;Q&gt;WCC-US^P_BETA_LOCIDX(45615,45442,,"SPX")&lt;/Q&gt;&lt;R&gt;1&lt;/R&gt;&lt;C&gt;1&lt;/C&gt;&lt;D xsi:type="xsd:double"&gt;1.5904111&lt;/D&gt;&lt;/FQL&gt;&lt;FQL&gt;&lt;Q&gt;WCC-US^P_BETA_LOCIDX(45987,45817,,"SPX")&lt;/Q&gt;&lt;R&gt;1&lt;/R&gt;&lt;C&gt;1&lt;/C&gt;&lt;D xsi:type="xsd:double"&gt;1.5154393&lt;/D&gt;&lt;/FQL&gt;&lt;FQL&gt;&lt;Q&gt;WCC-US^P_BETA_LOCIDX(45527,45355,,"SPX")&lt;/Q&gt;&lt;R&gt;1&lt;/R&gt;&lt;C&gt;1&lt;/C&gt;&lt;D xsi:type="xsd:double"&gt;1.6639004&lt;/D&gt;&lt;/FQL&gt;&lt;FQL&gt;&lt;Q&gt;WCC-US^P_BETA_LOCIDX(45972,45799,,"SPX")&lt;/Q&gt;&lt;R&gt;1&lt;/R&gt;&lt;C&gt;1&lt;/C&gt;&lt;D xsi:type="xsd:double"&gt;1.4364243&lt;/D&gt;&lt;/FQL&gt;&lt;FQL&gt;&lt;Q&gt;WCC-US^P_BETA_LOCIDX(45546,45371,,"SPX")&lt;/Q&gt;&lt;R&gt;1&lt;/R&gt;&lt;C&gt;1&lt;/C&gt;&lt;D xsi:type="xsd:double"&gt;1.7104125&lt;/D&gt;&lt;/FQL&gt;&lt;FQL&gt;&lt;Q&gt;WCC-US^P_BETA_LOCIDX(45195,45020,,"SPX")&lt;/Q&gt;&lt;R&gt;1&lt;/R&gt;&lt;C&gt;1&lt;/C&gt;&lt;D xsi:type="xsd:double"&gt;1.9068215&lt;/D&gt;&lt;/FQL&gt;&lt;FQL&gt;&lt;Q&gt;WCC-US^P_BETA_LOCIDX(45400,45224,,"SPX")&lt;/Q&gt;&lt;R&gt;1&lt;/R&gt;&lt;C&gt;1&lt;/C&gt;&lt;D xsi:type="xsd:double"&gt;2.3174195&lt;/D&gt;&lt;/FQL&gt;&lt;FQL&gt;&lt;Q&gt;WCC-US^P_BETA_LOCIDX(46078,45903,,"SPX")&lt;/Q&gt;&lt;R&gt;1&lt;/R&gt;&lt;C&gt;1&lt;/C&gt;&lt;D xsi:type="xsd:double"&gt;1.6180214&lt;/D&gt;&lt;/FQL&gt;&lt;FQL&gt;&lt;Q&gt;WCC-US^P_BETA_LOCIDX(45282,45112,,"SPX")&lt;/Q&gt;&lt;R&gt;1&lt;/R&gt;&lt;C&gt;1&lt;/C&gt;&lt;D xsi:type="xsd:double"&gt;1.6088413&lt;/D&gt;&lt;/FQL&gt;&lt;FQL&gt;&lt;Q&gt;WCC-US^P_BETA_LOCIDX(45924,45750,,"SPX")&lt;/Q&gt;&lt;R&gt;1&lt;/R&gt;&lt;C&gt;1&lt;/C&gt;&lt;D xsi:type="xsd:double"&gt;1.5675021&lt;/D&gt;&lt;/FQL&gt;&lt;FQL&gt;&lt;Q&gt;WCC-US^P_BETA_LOCIDX(45533,45359,,"SPX")&lt;/Q&gt;&lt;R&gt;1&lt;/R&gt;&lt;C&gt;1&lt;/C&gt;&lt;D xsi:type="xsd:double"&gt;1.6879297&lt;/D&gt;&lt;/FQL&gt;&lt;FQL&gt;&lt;Q&gt;WCC-US^P_BETA_LOCIDX(45947,45776,,"SPX")&lt;/Q&gt;&lt;R&gt;1&lt;/R&gt;&lt;C&gt;1&lt;/C&gt;&lt;D xsi:type="xsd:double"&gt;1.7970551&lt;/D&gt;&lt;/FQL&gt;&lt;FQL&gt;&lt;Q&gt;WCC-US^P_BETA_LOCIDX(45525,45351,,"SPX")&lt;/Q&gt;&lt;R&gt;1&lt;/R&gt;&lt;C&gt;1&lt;/C&gt;&lt;D xsi:type="xsd:double"&gt;1.6676226&lt;/D&gt;&lt;/FQL&gt;&lt;FQL&gt;&lt;Q&gt;WCC-US^P_BETA_LOCIDX(45012,44837,,"SPX")&lt;/Q&gt;&lt;R&gt;1&lt;/R&gt;&lt;C&gt;1&lt;/C&gt;&lt;D xsi:type="xsd:double"&gt;1.4784985&lt;/D&gt;&lt;/FQL&gt;&lt;FQL&gt;&lt;Q&gt;WCC-US^P_BETA_LOCIDX(45763,45587,,"SPX")&lt;/Q&gt;&lt;R&gt;1&lt;/R&gt;&lt;C&gt;1&lt;/C&gt;&lt;D xsi:type="xsd:double"&gt;1.5738664&lt;/D&gt;&lt;/FQL&gt;&lt;FQL&gt;&lt;Q&gt;WCC-US^P_BETA_LOCIDX(45552,45377,,"SPX")&lt;/Q&gt;&lt;R&gt;1&lt;/R&gt;&lt;C&gt;1&lt;/C&gt;&lt;D xsi:type="xsd:double"&gt;1.7133483&lt;/D&gt;&lt;/FQL&gt;&lt;FQL&gt;&lt;Q&gt;WCC-US^P_BETA_LOCIDX(45362,45187,,"SPX")&lt;/Q&gt;&lt;R&gt;1&lt;/R&gt;&lt;C&gt;1&lt;/C&gt;&lt;D xsi:type="xsd:double"&gt;2.4212499&lt;/D&gt;&lt;/FQL&gt;&lt;FQL&gt;&lt;Q&gt;WCC-US^P_BETA_LOCIDX(45300,45126,,"SPX")&lt;/Q&gt;&lt;R&gt;1&lt;/R&gt;&lt;C&gt;1&lt;/C&gt;&lt;D xsi:type="xsd:double"&gt;1.6781824&lt;/D&gt;&lt;/FQL&gt;&lt;FQL&gt;&lt;Q&gt;WCC-US^P_BETA_LOCIDX(45979,45807,,"SPX")&lt;/Q&gt;&lt;R&gt;1&lt;/R&gt;&lt;C&gt;1&lt;/C&gt;&lt;D xsi:type="xsd:double"&gt;1.560907&lt;/D&gt;&lt;/FQL&gt;&lt;FQL&gt;&lt;Q&gt;WCC-US^P_BETA_LOCIDX(45755,45579,,"SPX")&lt;/Q&gt;&lt;R&gt;1&lt;/R&gt;&lt;C&gt;1&lt;/C&gt;&lt;D xsi:type="xsd:double"&gt;1.5992565&lt;/D&gt;&lt;/FQL&gt;&lt;FQL&gt;&lt;Q&gt;WCC-US^P_BETA_LOCIDX(46002,45832,,"SPX")&lt;/Q&gt;&lt;R&gt;1&lt;/R&gt;&lt;C&gt;1&lt;/C&gt;&lt;D xsi:type="xsd:double"&gt;1.5349922&lt;/D&gt;&lt;/FQL&gt;&lt;FQL&gt;&lt;Q&gt;WCC-US^P_BETA_LOCIDX(46021,45848,,"SPX")&lt;/Q&gt;&lt;R&gt;1&lt;/R&gt;&lt;C&gt;1&lt;/C&gt;&lt;D xsi:type="xsd:double"&gt;1.6374538&lt;/D&gt;&lt;/FQL&gt;&lt;FQL&gt;&lt;Q&gt;WCC-US^P_BETA_LOCIDX(45022,44847,,"SPX")&lt;/Q&gt;&lt;R&gt;1&lt;/R&gt;&lt;C&gt;1&lt;/C&gt;&lt;D xsi:type="xsd:double"&gt;1.5245754&lt;/D&gt;&lt;/FQL&gt;&lt;FQL&gt;&lt;Q&gt;WCC-US^P_BETA_LOCIDX(46065,45890,,"SPX")&lt;/Q&gt;&lt;R&gt;1&lt;/R&gt;&lt;C&gt;1&lt;/C&gt;&lt;D xsi:type="xsd:double"&gt;1.6488979&lt;/D&gt;&lt;/FQL&gt;&lt;FQL&gt;&lt;Q&gt;WCC-US^P_BETA_LOCIDX(45502,45327,,"SPX")&lt;/Q&gt;&lt;R&gt;1&lt;/R&gt;&lt;C&gt;1&lt;/C&gt;&lt;D xsi:type="xsd:double"&gt;2.4386032&lt;/D&gt;&lt;/FQL&gt;&lt;FQL&gt;&lt;Q&gt;WCC-US^P_BETA_LOCIDX(45092,44916,,"SPX")&lt;/Q&gt;&lt;R&gt;1&lt;/R&gt;&lt;C&gt;1&lt;/C&gt;&lt;D xsi:type="xsd:double"&gt;1.9696586&lt;/D&gt;&lt;/FQL&gt;&lt;FQL&gt;&lt;Q&gt;WCC-US^P_BETA_LOCIDX(45790,45611,,"SPX")&lt;/Q&gt;&lt;R&gt;1&lt;/R&gt;&lt;C&gt;1&lt;/C&gt;&lt;D xsi:type="xsd:double"&gt;1.596511&lt;/D&gt;&lt;/FQL&gt;&lt;FQL&gt;&lt;Q&gt;WCC-US^P_BETA_LOCIDX(45089,44911,,"SPX")&lt;/Q&gt;&lt;R&gt;1&lt;/R&gt;&lt;C&gt;1&lt;/C&gt;&lt;D xsi:type="xsd:double"&gt;1.91214&lt;/D&gt;&lt;/FQL&gt;&lt;FQL&gt;&lt;Q&gt;WCC-US^P_BETA_LOCIDX(45420,45244,,"SPX")&lt;/Q&gt;&lt;R&gt;1&lt;/R&gt;&lt;C&gt;1&lt;/C&gt;&lt;D xsi:type="xsd:double"&gt;2.4811087&lt;/D&gt;&lt;/FQL&gt;&lt;FQL&gt;&lt;Q&gt;WCC-US^P_BETA_LOCIDX(45250,45077,,"SPX")&lt;/Q&gt;&lt;R&gt;1&lt;/R&gt;&lt;C&gt;1&lt;/C&gt;&lt;D xsi:type="xsd:double"&gt;1.6785958&lt;/D&gt;&lt;/FQL&gt;&lt;FQL&gt;&lt;Q&gt;WCC-US^P_BETA_LOCIDX(45180,45005,,"SPX")&lt;/Q&gt;&lt;R&gt;1&lt;/R&gt;&lt;C&gt;1&lt;/C&gt;&lt;D xsi:type="xsd:double"&gt;2.0308905&lt;/D&gt;&lt;/FQL&gt;&lt;FQL&gt;&lt;Q&gt;WCC-US^P_BETA_LOCIDX(45027,44851,,"SPX")&lt;/Q&gt;&lt;R&gt;1&lt;/R&gt;&lt;C&gt;1&lt;/C&gt;&lt;D xsi:type="xsd:double"&gt;1.4986299&lt;/D&gt;&lt;/FQL&gt;&lt;FQL&gt;&lt;Q&gt;WCC-US^P_BETA_LOCIDX(45939,45768,,"SPX")&lt;/Q&gt;&lt;R&gt;1&lt;/R&gt;&lt;C&gt;1&lt;/C&gt;&lt;D xsi:type="xsd:double"&gt;1.7145252&lt;/D&gt;&lt;/FQL&gt;&lt;FQL&gt;&lt;Q&gt;WCC-US^P_BETA_LOCIDX(45314,45139,,"SPX")&lt;/Q&gt;&lt;R&gt;1&lt;/R&gt;&lt;C&gt;1&lt;/C&gt;&lt;D xsi:type="xsd:double"&gt;1.6777712&lt;/D&gt;&lt;/FQL&gt;&lt;FQL&gt;&lt;Q&gt;WCC-US^P_BETA_LOCIDX(45016,44841,,"SPX")&lt;/Q&gt;&lt;R&gt;1&lt;/R&gt;&lt;C&gt;1&lt;/C&gt;&lt;D xsi:type="xsd:double"&gt;1.4889733&lt;/D&gt;&lt;/FQL&gt;&lt;FQL&gt;&lt;Q&gt;WCC-US^P_BETA_LOCIDX(45622,45449,,"SPX")&lt;/Q&gt;&lt;R&gt;1&lt;/R&gt;&lt;C&gt;1&lt;/C&gt;&lt;D xsi:type="xsd:double"&gt;1.6057533&lt;/D&gt;&lt;/FQL&gt;&lt;FQL&gt;&lt;Q&gt;WCC-US^P_BETA_LOCIDX(44986,44811,,"SPX")&lt;/Q&gt;&lt;R&gt;1&lt;/R&gt;&lt;C&gt;1&lt;/C&gt;&lt;D xsi:type="xsd:double"&gt;1.3767757&lt;/D&gt;&lt;/FQL&gt;&lt;FQL&gt;&lt;Q&gt;WCC-US^P_BETA_LOCIDX(45103,44925,,"SPX")&lt;/Q&gt;&lt;R&gt;1&lt;/R&gt;&lt;C&gt;1&lt;/C&gt;&lt;D xsi:type="xsd:double"&gt;1.8932759&lt;/D&gt;&lt;/FQL&gt;&lt;FQL&gt;&lt;Q&gt;WCC-US^P_BETA_LOCIDX(44959,44784,,"SPX")&lt;/Q&gt;&lt;R&gt;1&lt;/R&gt;&lt;C&gt;1&lt;/C&gt;&lt;D xsi:type="xsd:double"&gt;1.3953829&lt;/D&gt;&lt;/FQL&gt;&lt;FQL&gt;&lt;Q&gt;WCC-US^P_BETA_LOCIDX(45287,45114,,"SPX")&lt;/Q&gt;&lt;R&gt;1&lt;/R&gt;&lt;C&gt;1&lt;/C&gt;&lt;D xsi:type="xsd:double"&gt;1.6104934&lt;/D&gt;&lt;/FQL&gt;&lt;FQL&gt;&lt;Q&gt;WCC-US^P_BETA_LOCIDX(45800,45623,,"SPX")&lt;/Q&gt;&lt;R&gt;1&lt;/R&gt;&lt;C&gt;1&lt;/C&gt;&lt;D xsi:type="xsd:double"&gt;1.5958529&lt;/D&gt;&lt;/FQL&gt;&lt;FQL&gt;&lt;Q&gt;WCC-US^P_BETA_LOCIDX(45021,44846,,"SPX")&lt;/Q&gt;&lt;R&gt;1&lt;/R&gt;&lt;C&gt;1&lt;/C&gt;&lt;D xsi:type="xsd:double"&gt;1.5312843&lt;/D&gt;&lt;/FQL&gt;&lt;FQL&gt;&lt;Q&gt;WCC-US^P_BETA_LOCIDX(45126,44951,,"SPX")&lt;/Q&gt;&lt;R&gt;1&lt;/R&gt;&lt;C&gt;1&lt;/C&gt;&lt;D xsi:type="xsd:double"&gt;1.9513998&lt;/D&gt;&lt;/FQL&gt;&lt;FQL&gt;&lt;Q&gt;WCC-US^P_BETA_LOCIDX(45504,45329,,"SPX")&lt;/Q&gt;&lt;R&gt;1&lt;/R&gt;&lt;C&gt;1&lt;/C&gt;&lt;D xsi:type="xsd:double"&gt;2.3947842&lt;/D&gt;&lt;/FQL&gt;&lt;FQL&gt;&lt;Q&gt;WCC-US^P_BETA_LOCIDX(45604,45432,,"SPX")&lt;/Q&gt;&lt;R&gt;1&lt;/R&gt;&lt;C&gt;1&lt;/C&gt;&lt;D xsi:type="xsd:double"&gt;1.6420593&lt;/D&gt;&lt;/FQL&gt;&lt;FQL&gt;&lt;Q&gt;WCC-US^P_BETA_LOCIDX(45783,45604,,"SPX")&lt;/Q&gt;&lt;R&gt;1&lt;/R&gt;&lt;C&gt;1&lt;/C&gt;&lt;D xsi:type="xsd:double"&gt;1.579256&lt;/D&gt;&lt;/FQL&gt;&lt;FQL&gt;&lt;Q&gt;WCC-US^P_BETA_LOCIDX(45134,44959,,"SPX")&lt;/Q&gt;&lt;R&gt;1&lt;/R&gt;&lt;C&gt;1&lt;/C&gt;&lt;D xsi:type="xsd:double"&gt;1.9315196&lt;/D&gt;&lt;/FQL&gt;&lt;FQL&gt;&lt;Q&gt;WCC-US^P_BETA_LOCIDX(45149,44974,,"SPX")&lt;/Q&gt;&lt;R&gt;1&lt;/R&gt;&lt;C&gt;1&lt;/C&gt;&lt;D xsi:type="xsd:double"&gt;2.0616927&lt;/D&gt;&lt;/FQL&gt;&lt;FQL&gt;&lt;Q&gt;WCC-US^P_BETA_LOCIDX(45240,45068,,"SPX")&lt;/Q&gt;&lt;R&gt;1&lt;/R&gt;&lt;C&gt;1&lt;/C&gt;&lt;D xsi:type="xsd:double"&gt;1.8041105&lt;/D&gt;&lt;/FQL&gt;&lt;FQL&gt;&lt;Q&gt;WCC-US^P_BETA_LOCIDX(45922,45748,,"SPX")&lt;/Q&gt;&lt;R&gt;1&lt;/R&gt;&lt;C&gt;1&lt;/C&gt;&lt;D xsi:type="xsd:double"&gt;1.573175&lt;/D&gt;&lt;/FQL&gt;&lt;FQL&gt;&lt;Q&gt;WCC-US^P_BETA_LOCIDX(45852,45678,,"SPX")&lt;/Q&gt;&lt;R&gt;1&lt;/R&gt;&lt;C&gt;1&lt;/C&gt;&lt;D xsi:type="xsd:double"&gt;1.6377407&lt;/D&gt;&lt;/FQL&gt;&lt;FQL&gt;&lt;Q&gt;WCC-US^P_BETA_LOCIDX(44999,44824,,"SPX")&lt;/Q&gt;&lt;R&gt;1&lt;/R&gt;&lt;C&gt;1&lt;/C&gt;&lt;D xsi:type="xsd:double"&gt;1.4250302&lt;/D&gt;&lt;/FQL&gt;&lt;FQL&gt;&lt;Q&gt;WCC-US^P_BETA_LOCIDX(45757,45581,,"SPX")&lt;/Q&gt;&lt;R&gt;1&lt;/R&gt;&lt;C&gt;1&lt;/C&gt;&lt;D xsi:type="xsd:double"&gt;1.6093645&lt;/D&gt;&lt;/FQL&gt;&lt;FQL&gt;&lt;Q&gt;WCC-US^P_BETA_LOCIDX(45748,45572,,"SPX")&lt;/Q&gt;&lt;R&gt;1&lt;/R&gt;&lt;C&gt;1&lt;/C&gt;&lt;D xsi:type="xsd:double"&gt;1.6447507&lt;/D&gt;&lt;/FQL&gt;&lt;FQL&gt;&lt;Q&gt;WCC-US^P_BETA_LOCIDX(44981,44805,,"SPX")&lt;/Q&gt;&lt;R&gt;1&lt;/R&gt;&lt;C&gt;1&lt;/C&gt;&lt;D xsi:type="xsd:double"&gt;1.369342&lt;/D&gt;&lt;/FQL&gt;&lt;FQL&gt;&lt;Q&gt;WCC-US^P_BETA_LOCIDX(45880,45707,,"SPX")&lt;/Q&gt;&lt;R&gt;1&lt;/R&gt;&lt;C&gt;1&lt;/C&gt;&lt;D xsi:type="xsd:double"&gt;1.6131424&lt;/D&gt;&lt;/FQL&gt;&lt;FQL&gt;&lt;Q&gt;WCC-US^P_BETA_LOCIDX(45896,45723,,"SPX")&lt;/Q&gt;&lt;R&gt;1&lt;/R&gt;&lt;C&gt;1&lt;/C&gt;&lt;D xsi:type="xsd:double"&gt;1.596582&lt;/D&gt;&lt;/FQL&gt;&lt;FQL&gt;&lt;Q&gt;WCC-US^P_BETA_LOCIDX(45727,45551,,"SPX")&lt;/Q&gt;&lt;R&gt;1&lt;/R&gt;&lt;C&gt;1&lt;/C&gt;&lt;D xsi:type="xsd:double"&gt;1.6343696&lt;/D&gt;&lt;/FQL&gt;&lt;FQL&gt;&lt;Q&gt;WCC-US^P_BETA_LOCIDX(44994,44819,,"SPX")&lt;/Q&gt;&lt;R&gt;1&lt;/R&gt;&lt;C&gt;1&lt;/C&gt;&lt;D xsi:type="xsd:double"&gt;1.4191524&lt;/D&gt;&lt;/FQL&gt;&lt;FQL&gt;&lt;Q&gt;WCC-US^P_BETA_LOCIDX(45280,45107,,"SPX")&lt;/Q&gt;&lt;R&gt;1&lt;/R&gt;&lt;C&gt;1&lt;/C&gt;&lt;D xsi:type="xsd:double"&gt;1.6032727&lt;/D&gt;&lt;/FQL&gt;&lt;FQL&gt;&lt;Q&gt;WCC-US^P_BETA_LOCIDX(46059,45884,,"SPX")&lt;/Q&gt;&lt;R&gt;1&lt;/R&gt;&lt;C&gt;1&lt;/C&gt;&lt;D xsi:type="xsd:double"&gt;1.6538326&lt;/D&gt;&lt;/FQL&gt;&lt;FQL&gt;&lt;Q&gt;WCC-US^P_BETA_LOCIDX(45513,45338,,"SPX")&lt;/Q&gt;&lt;R&gt;1&lt;/R&gt;&lt;C&gt;1&lt;/C&gt;&lt;D xsi:type="xsd:double"&gt;1.6357623&lt;/D&gt;&lt;/FQL&gt;&lt;FQL&gt;&lt;Q&gt;WCC-US^P_BETA_LOCIDX(45687,45511,,"SPX")&lt;/Q&gt;&lt;R&gt;1&lt;/R&gt;&lt;C&gt;1&lt;/C&gt;&lt;D xsi:type="xsd:double"&gt;1.5899863&lt;/D&gt;&lt;/FQL&gt;&lt;FQL&gt;&lt;Q&gt;WCC-US^P_BETA_LOCIDX(45635,45461,,"SPX")&lt;/Q&gt;&lt;R&gt;1&lt;/R&gt;&lt;C&gt;1&lt;/C&gt;&lt;D xsi:type="xsd:double"&gt;1.6262755&lt;/D&gt;&lt;/FQL&gt;&lt;FQL&gt;&lt;Q&gt;WCC-US^P_BETA_LOCIDX(45715,45539,,"SPX")&lt;/Q&gt;&lt;R&gt;1&lt;/R&gt;&lt;C&gt;1&lt;/C&gt;&lt;D xsi:type="xsd:double"&gt;1.5436382&lt;/D&gt;&lt;/FQL&gt;&lt;FQL&gt;&lt;Q&gt;WCC-US^P_BETA_LOCIDX(45685,45509,,"SPX")&lt;/Q&gt;&lt;R&gt;1&lt;/R&gt;&lt;C&gt;1&lt;/C&gt;&lt;D xsi:type="xsd:double"&gt;1.5050555&lt;/D&gt;&lt;/FQL&gt;&lt;FQL&gt;&lt;Q&gt;WCC-US^P_BETA_LOCIDX(45398,45222,,"SPX")&lt;/Q&gt;&lt;R&gt;1&lt;/R&gt;&lt;C&gt;1&lt;/C&gt;&lt;D xsi:type="xsd:double"&gt;2.3064678&lt;/D&gt;&lt;/FQL&gt;&lt;FQL&gt;&lt;Q&gt;WCC-US^P_BETA_LOCIDX(45693,45517,,"SPX")&lt;/Q&gt;&lt;R&gt;1&lt;/R&gt;&lt;C&gt;1&lt;/C&gt;&lt;D xsi:type="xsd:double"&gt;1.5920533&lt;/D&gt;&lt;/FQL&gt;&lt;FQL&gt;&lt;Q&gt;WCC-US^P_BETA_LOCIDX(45363,45188,,"SPX")&lt;/Q&gt;&lt;R&gt;1&lt;/R&gt;&lt;C&gt;1&lt;/C&gt;&lt;D xsi:type="xsd:double"&gt;2.4266682&lt;/D&gt;&lt;/FQL&gt;&lt;FQL&gt;&lt;Q&gt;WCC-US^P_BETA_LOCIDX(45826,45649,,"SPX")&lt;/Q&gt;&lt;R&gt;1&lt;/R&gt;&lt;C&gt;1&lt;/C&gt;&lt;D xsi:type="xsd:double"&gt;1.5867984&lt;/D&gt;&lt;/FQL&gt;&lt;FQL&gt;&lt;Q&gt;WCC-US^P_BETA_LOCIDX(45665,45491,,"SPX")&lt;/Q&gt;&lt;R&gt;1&lt;/R&gt;&lt;C&gt;1&lt;/C&gt;&lt;D xsi:type="xsd:double"&gt;1.5881547&lt;/D&gt;&lt;/FQL&gt;&lt;FQL&gt;&lt;Q&gt;WCC-US^P_BETA_LOCIDX(45859,45685,,"SPX")&lt;/Q&gt;&lt;R&gt;1&lt;/R&gt;&lt;C&gt;1&lt;/C&gt;&lt;D xsi:type="xsd:double"&gt;1.6073142&lt;/D&gt;&lt;/FQL&gt;&lt;FQL&gt;&lt;Q&gt;WCC-US^P_BETA_LOCIDX(45084,44908,,"SPX")&lt;/Q&gt;&lt;R&gt;1&lt;/R&gt;&lt;C&gt;1&lt;/C&gt;&lt;D xsi:type="xsd:double"&gt;1.8982009&lt;/D&gt;&lt;/FQL&gt;&lt;FQL&gt;&lt;Q&gt;WCC-US^P_BETA_LOCIDX(45832,45653,,"SPX")&lt;/Q&gt;&lt;R&gt;1&lt;/R&gt;&lt;C&gt;1&lt;/C&gt;&lt;D xsi:type="xsd:double"&gt;1.5931064&lt;/D&gt;&lt;/FQL&gt;&lt;FQL&gt;&lt;Q&gt;WCC-US^P_BETA_LOCIDX(45499,45324,,"SPX")&lt;/Q&gt;&lt;R&gt;1&lt;/R&gt;&lt;C&gt;1&lt;/C&gt;&lt;D xsi:type="xsd:double"&gt;2.4722266&lt;/D&gt;&lt;/FQL&gt;&lt;FQL&gt;&lt;Q&gt;WCC-US^P_BETA_LOCIDX(45966,45793,,"SPX")&lt;/Q&gt;&lt;R&gt;1&lt;/R&gt;&lt;C&gt;1&lt;/C&gt;&lt;D xsi:type="xsd:double"&gt;1.5237888&lt;/D&gt;&lt;/FQL&gt;&lt;FQL&gt;&lt;Q&gt;WCC-US^P_BETA_LOCIDX(45065,44890,,"SPX")&lt;/Q&gt;&lt;R&gt;1&lt;/R&gt;&lt;C&gt;1&lt;/C&gt;&lt;D xsi:type="xsd:double"&gt;1.6642668&lt;/D&gt;&lt;/FQL&gt;&lt;FQL&gt;&lt;Q&gt;WCC-US^P_BETA_LOCIDX(45940,45769,,"SPX")&lt;/Q&gt;&lt;R&gt;1&lt;/R&gt;&lt;C&gt;1&lt;/C&gt;&lt;D xsi:type="xsd:double"&gt;1.8020757&lt;/D&gt;&lt;/FQL&gt;&lt;FQL&gt;&lt;Q&gt;WCC-US^P_BETA_LOCIDX(45412,45236,,"SPX")&lt;/Q&gt;&lt;R&gt;1&lt;/R&gt;&lt;C&gt;1&lt;/C&gt;&lt;D xsi:type="xsd:double"&gt;2.3735063&lt;/D&gt;&lt;/FQL&gt;&lt;FQL&gt;&lt;Q&gt;WCC-US^P_BETA_LOCIDX(45013,44838,,"SPX")&lt;/Q&gt;&lt;R&gt;1&lt;/R&gt;&lt;C&gt;1&lt;/C&gt;&lt;D xsi:type="xsd:double"&gt;1.4882637&lt;/D&gt;&lt;/FQL&gt;&lt;FQL&gt;&lt;Q&gt;WCC-US^P_BETA_LOCIDX(44964,44789,,"SPX")&lt;/Q&gt;&lt;R&gt;1&lt;/R&gt;&lt;C&gt;1&lt;/C&gt;&lt;D xsi:type="xsd:double"&gt;1.3837155&lt;/D&gt;&lt;/FQL&gt;&lt;FQL&gt;&lt;Q&gt;WCC-US^P_BETA_LOCIDX(45345,45169,,"SPX")&lt;/Q&gt;&lt;R&gt;1&lt;/R&gt;&lt;C&gt;1&lt;/C&gt;&lt;D xsi:type="xsd:double"&gt;2.4222248&lt;/D&gt;&lt;/FQL&gt;&lt;FQL&gt;&lt;Q&gt;WCC-US^P_BETA_LOCIDX(45910,45736,,"SPX")&lt;/Q&gt;&lt;R&gt;1&lt;/R&gt;&lt;C&gt;1&lt;/C&gt;&lt;D xsi:type="xsd:double"&gt;1.5850958&lt;/D&gt;&lt;/FQL&gt;&lt;FQL&gt;&lt;Q&gt;WCC-US^P_BETA_LOCIDX(46070,45894,,"SPX")&lt;/Q&gt;&lt;R&gt;1&lt;/R&gt;&lt;C&gt;1&lt;/C&gt;&lt;D xsi:type="xsd:double"&gt;1.5950423&lt;/D&gt;&lt;/FQL&gt;&lt;FQL&gt;&lt;Q&gt;WCC-US^P_BETA_LOCIDX(44963,44788,,"SPX")&lt;/Q&gt;&lt;R&gt;1&lt;/R&gt;&lt;C&gt;1&lt;/C&gt;&lt;D xsi:type="xsd:double"&gt;1.3898816&lt;/D&gt;&lt;/FQL&gt;&lt;FQL&gt;&lt;Q&gt;WCC-US^P_BETA_LOCIDX(45348,45170,,"SPX")&lt;/Q&gt;&lt;R&gt;1&lt;/R&gt;&lt;C&gt;1&lt;/C&gt;&lt;D xsi:type="xsd:double"&gt;2.4197807&lt;/D&gt;&lt;/FQL&gt;&lt;FQL&gt;&lt;Q&gt;WCC-US^P_BETA_LOCIDX(45198,45026,,"SPX")&lt;/Q&gt;&lt;R&gt;1&lt;/R&gt;&lt;C&gt;1&lt;/C&gt;&lt;D xsi:type="xsd:double"&gt;1.8676258&lt;/D&gt;&lt;/FQL&gt;&lt;FQL&gt;&lt;Q&gt;WCC-US^P_BETA_LOCIDX(45572,45398,,"SPX")&lt;/Q&gt;&lt;R&gt;1&lt;/R&gt;&lt;C&gt;1&lt;/C&gt;&lt;D xsi:type="xsd:double"&gt;1.7455697&lt;/D&gt;&lt;/FQL&gt;&lt;FQL&gt;&lt;Q&gt;WCC-US^P_BETA_LOCIDX(45770,45593,,"SPX")&lt;/Q&gt;&lt;R&gt;1&lt;/R&gt;&lt;C&gt;1&lt;/C&gt;&lt;D xsi:type="xsd:double"&gt;1.5657382&lt;/D&gt;&lt;/FQL&gt;&lt;FQL&gt;&lt;Q&gt;WCC-US^P_BETA_LOCIDX(45786,45609,,"SPX")&lt;/Q&gt;&lt;R&gt;1&lt;/R&gt;&lt;C&gt;1&lt;/C&gt;&lt;D xsi:type="xsd:double"&gt;1.5815653&lt;/D&gt;&lt;/FQL&gt;&lt;FQL&gt;&lt;Q&gt;WCC-US^P_BETA_LOCIDX(45211,45037,,"SPX")&lt;/Q&gt;&lt;R&gt;1&lt;/R&gt;&lt;C&gt;1&lt;/C&gt;&lt;D xsi:type="xsd:double"&gt;1.964159&lt;/D&gt;&lt;/FQL&gt;&lt;FQL&gt;&lt;Q&gt;WCC-US^P_BETA_LOCIDX(45505,45330,,"SPX")&lt;/Q&gt;&lt;R&gt;1&lt;/R&gt;&lt;C&gt;1&lt;/C&gt;&lt;D xsi:type="xsd:double"&gt;2.5255356&lt;/D&gt;&lt;/FQL&gt;&lt;FQL&gt;&lt;Q&gt;WCC-US^P_BETA_LOCIDX(45247,45076,,"SPX")&lt;/Q&gt;&lt;R&gt;1&lt;/R&gt;&lt;C&gt;1&lt;/C&gt;&lt;D xsi:type="xsd:double"&gt;1.6820108&lt;/D&gt;&lt;/FQL&gt;&lt;FQL&gt;&lt;Q&gt;WCC-US^P_BETA_LOCIDX(45713,45534,,"SPX")&lt;/Q&gt;&lt;R&gt;1&lt;/R&gt;&lt;C&gt;1&lt;/C&gt;&lt;D xsi:type="xsd:double"&gt;1.6599762&lt;/D&gt;&lt;/FQL&gt;&lt;FQL&gt;&lt;Q&gt;WCC-US^P_BETA_LOCIDX(45754,45576,,"SPX")&lt;/Q&gt;&lt;R&gt;1&lt;/R&gt;&lt;C&gt;1&lt;/C&gt;&lt;D xsi:type="xsd:double"&gt;1.6110951&lt;/D&gt;&lt;/FQL&gt;&lt;FQL&gt;&lt;Q&gt;WCC-US^P_BETA_LOCIDX(45243,45069,,"SPX")&lt;/Q&gt;&lt;R&gt;1&lt;/R&gt;&lt;C&gt;1&lt;/C&gt;&lt;D xsi:type="xsd:double"&gt;1.8043741&lt;/D&gt;&lt;/FQL&gt;&lt;FQL&gt;&lt;Q&gt;WCC-US^P_BETA_LOCIDX(45980,45810,,"SPX")&lt;/Q&gt;&lt;R&gt;1&lt;/R&gt;&lt;C&gt;1&lt;/C&gt;&lt;D xsi:type="xsd:double"&gt;1.5598199&lt;/D&gt;&lt;/FQL&gt;&lt;FQL&gt;&lt;Q&gt;WCC-US^P_BETA_LOCIDX(46030,45856,,"SPX")&lt;/Q&gt;&lt;R&gt;1&lt;/R&gt;&lt;C&gt;1&lt;/C&gt;&lt;D xsi:type="xsd:double"&gt;1.7118286&lt;/D&gt;&lt;/FQL&gt;&lt;FQL&gt;&lt;Q&gt;WCC-US^P_BETA_LOCIDX(45637,45464,,"SPX")&lt;/Q&gt;&lt;R&gt;1&lt;/R&gt;&lt;C&gt;1&lt;/C&gt;&lt;D xsi:type="xsd:double"&gt;1.6225739&lt;/D&gt;&lt;/FQL&gt;&lt;FQL&gt;&lt;Q&gt;WCC-US^P_BETA_LOCIDX(45824,45645,,"SPX")&lt;/Q&gt;&lt;R&gt;1&lt;/R&gt;&lt;C&gt;1&lt;/C&gt;&lt;D xsi:type="xsd:double"&gt;1.5834777&lt;/D&gt;&lt;/FQL&gt;&lt;FQL&gt;&lt;Q&gt;WCC-US^P_BETA_LOCIDX(45747,45569,,"SPX")&lt;/Q&gt;&lt;R&gt;1&lt;/R&gt;&lt;C&gt;1&lt;/C&gt;&lt;D xsi:type="xsd:double"&gt;1.6325635&lt;/D&gt;&lt;/FQL&gt;&lt;FQL&gt;&lt;Q&gt;WCC-US^P_BETA_LOCIDX(45321,45146,,"SPX")&lt;/Q&gt;&lt;R&gt;1&lt;/R&gt;&lt;C&gt;1&lt;/C&gt;&lt;D xsi:type="xsd:double"&gt;1.6972599&lt;/D&gt;&lt;/FQL&gt;&lt;FQL&gt;&lt;Q&gt;WCC-US^P_BETA_LOCIDX(45744,45568,,"SPX")&lt;/Q&gt;&lt;R&gt;1&lt;/R&gt;&lt;C&gt;1&lt;/C&gt;&lt;D xsi:type="xsd:double"&gt;1.6438606&lt;/D&gt;&lt;/FQL&gt;&lt;FQL&gt;&lt;Q&gt;WCC-US^P_BETA_LOCIDX(45723,45547,,"SPX")&lt;/Q&gt;&lt;R&gt;1&lt;/R&gt;&lt;C&gt;1&lt;/C&gt;&lt;D xsi:type="xsd:double"&gt;1.633507&lt;/D&gt;&lt;/FQL&gt;&lt;FQL&gt;&lt;Q&gt;WCC-US^P_BETA_LOCIDX(45673,45498,,"SPX")&lt;/Q&gt;&lt;R&gt;1&lt;/R&gt;&lt;C&gt;1&lt;/C&gt;&lt;D xsi:type="xsd:double"&gt;1.5287355&lt;/D&gt;&lt;/FQL&gt;&lt;FQL&gt;&lt;Q&gt;WCC-US^P_BETA_LOCIDX(45440,45264,,"SPX")&lt;/Q&gt;&lt;R&gt;1&lt;/R&gt;&lt;C&gt;1&lt;/C&gt;&lt;D xsi:type="xsd:double"&gt;2.462166&lt;/D&gt;&lt;/FQL&gt;&lt;FQL&gt;&lt;Q&gt;WCC-US^P_BETA_LOCIDX(46006,45834,,"SPX")&lt;/Q&gt;&lt;R&gt;1&lt;/R&gt;&lt;C&gt;1&lt;/C&gt;&lt;D xsi:type="xsd:double"&gt;1.6276169&lt;/D&gt;&lt;/FQL&gt;&lt;FQL&gt;&lt;Q&gt;WCC-US^P_BETA_LOCIDX(45355,45180,,"SPX")&lt;/Q&gt;&lt;R&gt;1&lt;/R&gt;&lt;C&gt;1&lt;/C&gt;&lt;D xsi:type="xsd:double"&gt;2.4304624&lt;/D&gt;&lt;/FQL&gt;&lt;FQL&gt;&lt;Q&gt;WCC-US^P_BETA_LOCIDX(45121,44946,,"SPX")&lt;/Q&gt;&lt;R&gt;1&lt;/R&gt;&lt;C&gt;1&lt;/C&gt;&lt;D xsi:type="xsd:double"&gt;1.9265252&lt;/D&gt;&lt;/FQL&gt;&lt;FQL&gt;&lt;Q&gt;WCC-US^P_BETA_LOCIDX(45884,45713,,"SPX")&lt;/Q&gt;&lt;R&gt;1&lt;/R&gt;&lt;C&gt;1&lt;/C&gt;&lt;D xsi:type="xsd:double"&gt;1.6036259&lt;/D&gt;&lt;/FQL&gt;&lt;FQL&gt;&lt;Q&gt;WCC-US^P_BETA_LOCIDX(45163,44991,,"SPX")&lt;/Q&gt;&lt;R&gt;1&lt;/R&gt;&lt;C&gt;1&lt;/C&gt;&lt;D xsi:type="xsd:double"&gt;2.0892348&lt;/D&gt;&lt;/FQL&gt;&lt;FQL&gt;&lt;Q&gt;WCC-US^P_BETA_LOCIDX(45967,45796,,"SPX")&lt;/Q&gt;&lt;R&gt;1&lt;/R&gt;&lt;C&gt;1&lt;/C&gt;&lt;D xsi:type="xsd:double"&gt;1.4830191&lt;/D&gt;&lt;/FQL&gt;&lt;FQL&gt;&lt;Q&gt;WCC-US^P_BETA_LOCIDX(45630,45456,,"SPX")&lt;/Q&gt;&lt;R&gt;1&lt;/R&gt;&lt;C&gt;1&lt;/C&gt;&lt;D xsi:type="xsd:double"&gt;1.6074429&lt;/D&gt;&lt;/FQL&gt;&lt;FQL&gt;&lt;Q&gt;WCC-US^P_BETA_LOCIDX(46050,45875,,"SPX")&lt;/Q&gt;&lt;R&gt;1&lt;/R&gt;&lt;C&gt;1&lt;/C&gt;&lt;D xsi:type="xsd:double"&gt;1.6530248&lt;/D&gt;&lt;/FQL&gt;&lt;FQL&gt;&lt;Q&gt;WCC-US^P_BETA_LOCIDX(45581,45407,,"SPX")&lt;/Q&gt;&lt;R&gt;1&lt;/R&gt;&lt;C&gt;1&lt;/C&gt;&lt;D xsi:type="xsd:double"&gt;1.7802893&lt;/D&gt;&lt;/FQL&gt;&lt;FQL&gt;&lt;Q&gt;WCC-US^P_BETA_LOCIDX(45252,45079,,"SPX")&lt;/Q&gt;&lt;R&gt;1&lt;/R&gt;&lt;C&gt;1&lt;/C&gt;&lt;D xsi:type="xsd:double"&gt;1.6762348&lt;/D&gt;&lt;/FQL&gt;&lt;FQL&gt;&lt;Q&gt;WCC-US^P_BETA_LOCIDX(45299,45125,,"SPX")&lt;/Q&gt;&lt;R&gt;1&lt;/R&gt;&lt;C&gt;1&lt;/C&gt;&lt;D xsi:type="xsd:double"&gt;1.6896877&lt;/D&gt;&lt;/FQL&gt;&lt;FQL&gt;&lt;Q&gt;WCC-US^P_BETA_LOCIDX(46064,45889,,"SPX")&lt;/Q&gt;&lt;R&gt;1&lt;/R&gt;&lt;C&gt;1&lt;/C&gt;&lt;D xsi:type="xsd:double"&gt;1.6530362&lt;/D&gt;&lt;/FQL&gt;&lt;FQL&gt;&lt;Q&gt;WCC-US^P_BETA_LOCIDX(45853,45679,,"SPX")&lt;/Q&gt;&lt;R&gt;1&lt;/R&gt;&lt;C&gt;1&lt;/C&gt;&lt;D xsi:type="xsd:double"&gt;1.6300983&lt;/D&gt;&lt;/FQL&gt;&lt;FQL&gt;&lt;Q&gt;WCC-US^P_BETA_LOCIDX(45100,44924,,"SPX")&lt;/Q&gt;&lt;R&gt;1&lt;/R&gt;&lt;C&gt;1&lt;/C&gt;&lt;D xsi:type="xsd:double"&gt;1.8994136&lt;/D&gt;&lt;/FQL&gt;&lt;FQL&gt;&lt;Q&gt;WCC-US^P_BETA_LOCIDX(45609,45435,,"SPX")&lt;/Q&gt;&lt;R&gt;1&lt;/R&gt;&lt;C&gt;1&lt;/C&gt;&lt;D xsi:type="xsd:double"&gt;1.6507249&lt;/D&gt;&lt;/FQL&gt;&lt;FQL&gt;&lt;Q&gt;WCC-US^P_BETA_LOCIDX(45056,44880,,"SPX")&lt;/Q&gt;&lt;R&gt;1&lt;/R&gt;&lt;C&gt;1&lt;/C&gt;&lt;D xsi:type="xsd:double"&gt;1.5909281&lt;/D&gt;&lt;/FQL&gt;&lt;FQL&gt;&lt;Q&gt;WCC-US^P_BETA_LOCIDX(45184,45009,,"SPX")&lt;/Q&gt;&lt;R&gt;1&lt;/R&gt;&lt;C&gt;1&lt;/C&gt;&lt;D xsi:type="xsd:double"&gt;1.9843323&lt;/D&gt;&lt;/FQL&gt;&lt;FQL&gt;&lt;Q&gt;WCC-US^P_BETA_LOCIDX(45414,45238,,"SPX")&lt;/Q&gt;&lt;R&gt;1&lt;/R&gt;&lt;C&gt;1&lt;/C&gt;&lt;D xsi:type="xsd:double"&gt;2.4279945&lt;/D&gt;&lt;/FQL&gt;&lt;FQL&gt;&lt;Q&gt;WCC-US^P_BETA_LOCIDX(44993,44818,,"SPX")&lt;/Q&gt;&lt;R&gt;1&lt;/R&gt;&lt;C&gt;1&lt;/C&gt;&lt;D xsi:type="xsd:double"&gt;1.4056234&lt;/D&gt;&lt;/FQL&gt;&lt;FQL&gt;&lt;Q&gt;WCC-US^P_BETA_LOCIDX(45421,45245,,"SPX")&lt;/Q&gt;&lt;R&gt;1&lt;/R&gt;&lt;C&gt;1&lt;/C&gt;&lt;D xsi:type="xsd:double"&gt;2.44733&lt;/D&gt;&lt;/FQL&gt;&lt;FQL&gt;&lt;Q&gt;WCC-US^P_BETA_LOCIDX(45688,45512,,"SPX")&lt;/Q&gt;&lt;R&gt;1&lt;/R&gt;&lt;C&gt;1&lt;/C&gt;&lt;D xsi:type="xsd:double"&gt;1.5913956&lt;/D&gt;&lt;/FQL&gt;&lt;FQL&gt;&lt;Q&gt;WCC-US^P_BETA_LOCIDX(45524,45350,,"SPX")&lt;/Q&gt;&lt;R&gt;1&lt;/R&gt;&lt;C&gt;1&lt;/C&gt;&lt;D xsi:type="xsd:double"&gt;1.6558979&lt;/D&gt;&lt;/FQL&gt;&lt;FQL&gt;&lt;Q&gt;WCC-US^P_BETA_LOCIDX(46073,45897,,"SPX")&lt;/Q&gt;&lt;R&gt;1&lt;/R&gt;&lt;C&gt;1&lt;/C&gt;&lt;D xsi:type="xsd:double"&gt;1.5787586&lt;/D&gt;&lt;/FQL&gt;&lt;/Schema&gt;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<sst xmlns="http://schemas.openxmlformats.org/spreadsheetml/2006/main" count="53" uniqueCount="30">
  <si>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Performance vs. Beta over Time</t>
  </si>
  <si>
    <t>Date</t>
  </si>
  <si>
    <t>PX LAST</t>
  </si>
  <si>
    <t>Price</t>
  </si>
  <si>
    <t>Start Date:</t>
  </si>
  <si>
    <t>End Date:</t>
  </si>
  <si>
    <t>Stock Ticker BBERG:</t>
  </si>
  <si>
    <t>Stock Ticker FDS:</t>
  </si>
  <si>
    <t>Index Ticker BBERG:</t>
  </si>
  <si>
    <t>Index Ticker FDS:</t>
  </si>
  <si>
    <t>SPX</t>
  </si>
  <si>
    <t>6 Month Beta</t>
  </si>
  <si>
    <t>Performance vs. Beta</t>
  </si>
  <si>
    <t>Return (Beta Implied)</t>
  </si>
  <si>
    <t>1W</t>
  </si>
  <si>
    <t>2W</t>
  </si>
  <si>
    <t>4W</t>
  </si>
  <si>
    <t>T</t>
  </si>
  <si>
    <t>T-1W</t>
  </si>
  <si>
    <t>T-2W</t>
  </si>
  <si>
    <t>T-4W</t>
  </si>
  <si>
    <t>Return: Index</t>
  </si>
  <si>
    <t>Price: Index</t>
  </si>
  <si>
    <t>Price: Stock</t>
  </si>
  <si>
    <t>Return: Stock Actual</t>
  </si>
  <si>
    <t>T-6M</t>
  </si>
  <si>
    <t>Holidays</t>
  </si>
  <si>
    <t>T-12W</t>
  </si>
  <si>
    <t>12W</t>
  </si>
  <si>
    <t>This sheet contains FactSet XML data for use with this workbook's =FDS codes.  Modifying the worksheet's contents may damage the workbook's =FDS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</si>
</sst>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164" formatCode="0.0%"/>
    <numFmt numFmtId="165" formatCode="&quot;$&quot;#,##0.00_);\(&quot;$&quot;#,##0.00\);\-\-_);@_)\ "/>
    <numFmt numFmtId="166" formatCode="#,##0.00_);\(#,##0.00\);\-\-_);@_)\ "/>
    <numFmt numFmtId="167" formatCode="0.0%_);\(0.0%\);\-\-_);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  <scheme val="minor"/>
    </font>
    <font>
      <sz val="11"/>
      <color theme="1"/>
      <name val="Garamond"/>
      <family val="2"/>
    </font>
    <font>
      <sz val="11"/>
      <color rgb="FF0000FF"/>
      <name val="Calibri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/>
      <diagonal/>
    </border>
    <border>
      <left style="thick">
        <color theme="0"/>
      </left>
      <right/>
      <top style="medium">
        <color auto="1"/>
      </top>
      <bottom/>
      <diagonal/>
    </border>
    <border>
      <left/>
      <right style="thick">
        <color theme="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4" fontId="3" fillId="2" borderId="0" xfId="0" applyNumberFormat="1" applyFont="1" applyFill="1"/>
    <xf numFmtId="0" fontId="3" fillId="3" borderId="0" xfId="0" applyFont="1" applyFill="1" applyAlignment="1">
      <alignment horizontal="centerContinuous"/>
    </xf>
    <xf numFmtId="14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horizontal="center"/>
    </xf>
    <xf numFmtId="14" fontId="0" fillId="0" borderId="0" xfId="0" applyNumberFormat="1"/>
    <xf numFmtId="42" fontId="4" fillId="0" borderId="0" xfId="0" applyNumberFormat="1" applyFont="1"/>
    <xf numFmtId="14" fontId="3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6" fillId="0" borderId="0" xfId="0" applyNumberFormat="1" applyFont="1"/>
    <xf numFmtId="14" fontId="8" fillId="0" borderId="0" xfId="0" applyNumberFormat="1" applyFont="1"/>
    <xf numFmtId="14" fontId="9" fillId="0" borderId="0" xfId="0" applyNumberFormat="1" applyFont="1"/>
    <xf numFmtId="43" fontId="10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14" fontId="3" fillId="4" borderId="6" xfId="0" applyNumberFormat="1" applyFont="1" applyFill="1" applyBorder="1" applyAlignment="1">
      <alignment horizontal="center"/>
    </xf>
    <xf numFmtId="14" fontId="3" fillId="0" borderId="0" xfId="0" applyNumberFormat="1" applyFont="1"/>
    <xf numFmtId="165" fontId="1" fillId="0" borderId="0" xfId="0" applyNumberFormat="1" applyFont="1" applyAlignment="1">
      <alignment horizontal="right"/>
    </xf>
    <xf numFmtId="166" fontId="10" fillId="0" borderId="0" xfId="0" applyNumberFormat="1" applyFont="1"/>
    <xf numFmtId="167" fontId="0" fillId="0" borderId="0" xfId="0" applyNumberFormat="1"/>
  </cellXfs>
  <cellStyles count="2">
    <cellStyle name="Normal" xfId="0" builtinId="0"/>
    <cellStyle name="Normal 3" xfId="1" xr:uid="{57A37A3B-C89C-4A8D-86AD-BE6B581139AD}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BDH|12476818935563174005</stp>
        <tr r="U324" s="5"/>
        <tr r="W274" s="5"/>
        <tr r="T329" s="5"/>
        <tr r="V314" s="5"/>
        <tr r="S334" s="5"/>
      </tp>
      <tp t="s">
        <v>#N/A N/A</v>
        <stp/>
        <stp>BDH|10595200755535140809</stp>
        <tr r="AE434" s="5"/>
        <tr r="AC449" s="5"/>
        <tr r="AD444" s="5"/>
        <tr r="AF394" s="5"/>
        <tr r="AB454" s="5"/>
      </tp>
      <tp t="s">
        <v>#N/A N/A</v>
        <stp/>
        <stp>BDH|12924197436582779806</stp>
        <tr r="W749" s="5"/>
      </tp>
      <tp t="s">
        <v>#N/A N/A</v>
        <stp/>
        <stp>BDH|10494137465695051824</stp>
        <tr r="AE385" s="5"/>
        <tr r="AF345" s="5"/>
        <tr r="AC400" s="5"/>
        <tr r="AD395" s="5"/>
        <tr r="AB405" s="5"/>
      </tp>
      <tp t="s">
        <v>#N/A N/A</v>
        <stp/>
        <stp>BDH|15876085060910925996</stp>
        <tr r="T594" s="5"/>
        <tr r="W539" s="5"/>
        <tr r="U589" s="5"/>
        <tr r="V579" s="5"/>
        <tr r="S599" s="5"/>
      </tp>
      <tp t="s">
        <v>#N/A N/A</v>
        <stp/>
        <stp>BDH|18382174650815617325</stp>
        <tr r="AD225" s="5"/>
        <tr r="AF176" s="5"/>
        <tr r="AC230" s="5"/>
        <tr r="AE215" s="5"/>
        <tr r="AB235" s="5"/>
      </tp>
      <tp t="s">
        <v>#N/A N/A</v>
        <stp/>
        <stp>BDH|12368095928532638842</stp>
        <tr r="W745" s="5"/>
      </tp>
      <tp t="s">
        <v>#N/A N/A</v>
        <stp/>
        <stp>BDH|10009030332759070015</stp>
        <tr r="AF28" s="5"/>
        <tr r="AE68" s="5"/>
        <tr r="AD78" s="5"/>
        <tr r="AC83" s="5"/>
        <tr r="AB88" s="5"/>
      </tp>
      <tp t="s">
        <v>#N/A N/A</v>
        <stp/>
        <stp>BDH|15364886863536884709</stp>
        <tr r="W182" s="5"/>
        <tr r="T236" s="5"/>
        <tr r="V221" s="5"/>
        <tr r="U231" s="5"/>
        <tr r="S241" s="5"/>
      </tp>
      <tp t="s">
        <v>#N/A N/A</v>
        <stp/>
        <stp>BDH|17732729245086136830</stp>
        <tr r="U245" s="5"/>
        <tr r="V235" s="5"/>
        <tr r="W195" s="5"/>
        <tr r="T250" s="5"/>
        <tr r="S255" s="5"/>
      </tp>
      <tp t="s">
        <v>#N/A N/A</v>
        <stp/>
        <stp>BDH|11867942426434955419</stp>
        <tr r="W677" s="5"/>
        <tr r="U727" s="5"/>
        <tr r="V717" s="5"/>
        <tr r="T732" s="5"/>
        <tr r="S737" s="5"/>
      </tp>
      <tp t="s">
        <v>#N/A N/A</v>
        <stp/>
        <stp>BDH|14255357527398398760</stp>
        <tr r="AE354" s="5"/>
        <tr r="AC369" s="5"/>
        <tr r="AD364" s="5"/>
        <tr r="AF314" s="5"/>
        <tr r="AB374" s="5"/>
      </tp>
      <tp t="s">
        <v>#N/A N/A</v>
        <stp/>
        <stp>BDH|17462914452007264609</stp>
        <tr r="AC72" s="5"/>
        <tr r="AE57" s="5"/>
        <tr r="AD67" s="5"/>
        <tr r="AB77" s="5"/>
      </tp>
      <tp t="s">
        <v>#N/A N/A</v>
        <stp/>
        <stp>BDH|15388841333833125703</stp>
        <tr r="U496" s="5"/>
        <tr r="T501" s="5"/>
        <tr r="W446" s="5"/>
        <tr r="V486" s="5"/>
        <tr r="S506" s="5"/>
      </tp>
      <tp t="s">
        <v>#N/A N/A</v>
        <stp/>
        <stp>BDH|15722433188404021790</stp>
        <tr r="AF138" s="5"/>
        <tr r="AE178" s="5"/>
        <tr r="AC192" s="5"/>
        <tr r="AD187" s="5"/>
        <tr r="AB197" s="5"/>
      </tp>
      <tp t="s">
        <v>#N/A N/A</v>
        <stp/>
        <stp>BDH|18011779737322513411</stp>
        <tr r="T222" s="5"/>
        <tr r="W168" s="5"/>
        <tr r="U217" s="5"/>
        <tr r="V207" s="5"/>
        <tr r="S227" s="5"/>
      </tp>
      <tp t="s">
        <v>#N/A N/A</v>
        <stp/>
        <stp>BDH|15366705893287779630</stp>
        <tr r="AC607" s="5"/>
        <tr r="AD602" s="5"/>
        <tr r="AE592" s="5"/>
        <tr r="AF552" s="5"/>
        <tr r="AB612" s="5"/>
      </tp>
      <tp t="s">
        <v>#N/A N/A</v>
        <stp/>
        <stp>BDH|16314110034217428964</stp>
        <tr r="AF56" s="5"/>
        <tr r="AD106" s="5"/>
        <tr r="AC111" s="5"/>
        <tr r="AE96" s="5"/>
        <tr r="AB116" s="5"/>
      </tp>
      <tp t="s">
        <v>#N/A N/A</v>
        <stp/>
        <stp>BDH|13813296780153411013</stp>
        <tr r="U331" s="5"/>
        <tr r="V321" s="5"/>
        <tr r="T336" s="5"/>
        <tr r="W281" s="5"/>
        <tr r="S341" s="5"/>
      </tp>
      <tp t="s">
        <v>#N/A N/A</v>
        <stp/>
        <stp>BDH|14096304847949496044</stp>
        <tr r="W732" s="5"/>
      </tp>
      <tp t="s">
        <v>#N/A N/A</v>
        <stp/>
        <stp>BDH|10792194007399762291</stp>
        <tr r="T697" s="5"/>
        <tr r="V682" s="5"/>
        <tr r="W642" s="5"/>
        <tr r="U692" s="5"/>
        <tr r="S702" s="5"/>
      </tp>
      <tp t="s">
        <v>#N/A N/A</v>
        <stp/>
        <stp>BDH|16322330987844567355</stp>
        <tr r="U95" s="5"/>
        <tr r="V85" s="5"/>
        <tr r="W45" s="5"/>
        <tr r="T100" s="5"/>
        <tr r="S105" s="5"/>
      </tp>
      <tp t="s">
        <v>#N/A N/A</v>
        <stp/>
        <stp>BDH|18184669046939418925</stp>
        <tr r="AF385" s="5"/>
        <tr r="AE425" s="5"/>
        <tr r="AC440" s="5"/>
        <tr r="AD435" s="5"/>
        <tr r="AB445" s="5"/>
      </tp>
      <tp t="s">
        <v>#N/A N/A</v>
        <stp/>
        <stp>BDH|15765315536179456636</stp>
        <tr r="V511" s="5"/>
        <tr r="U521" s="5"/>
        <tr r="T526" s="5"/>
        <tr r="W471" s="5"/>
        <tr r="S531" s="5"/>
      </tp>
      <tp t="s">
        <v>#N/A N/A</v>
        <stp/>
        <stp>BDH|18073073961713653776</stp>
        <tr r="W731" s="5"/>
        <tr r="V771" s="5"/>
      </tp>
      <tp t="s">
        <v>#N/A N/A</v>
        <stp/>
        <stp>BDH|13459266325569536047</stp>
        <tr r="U448" s="5"/>
        <tr r="W398" s="5"/>
        <tr r="T453" s="5"/>
        <tr r="V438" s="5"/>
        <tr r="S458" s="5"/>
      </tp>
      <tp t="s">
        <v>#N/A N/A</v>
        <stp/>
        <stp>BDH|16813220679610363964</stp>
        <tr r="V121" s="5"/>
        <tr r="U131" s="5"/>
        <tr r="T136" s="5"/>
        <tr r="W81" s="5"/>
        <tr r="S141" s="5"/>
      </tp>
      <tp t="s">
        <v>#N/A N/A</v>
        <stp/>
        <stp>BDH|12891773766419326036</stp>
        <tr r="U566" s="5"/>
        <tr r="T571" s="5"/>
        <tr r="V556" s="5"/>
        <tr r="W516" s="5"/>
        <tr r="S576" s="5"/>
      </tp>
      <tp t="s">
        <v>#N/A N/A</v>
        <stp/>
        <stp>BDH|16341591463909834687</stp>
        <tr r="T300" s="5"/>
        <tr r="W245" s="5"/>
        <tr r="V285" s="5"/>
        <tr r="U295" s="5"/>
        <tr r="S305" s="5"/>
      </tp>
      <tp t="s">
        <v>#N/A N/A</v>
        <stp/>
        <stp>BDH|16991913722906716142</stp>
        <tr r="AD240" s="5"/>
        <tr r="AE230" s="5"/>
        <tr r="AC245" s="5"/>
        <tr r="AF190" s="5"/>
        <tr r="AB250" s="5"/>
      </tp>
      <tp t="s">
        <v>#N/A N/A</v>
        <stp/>
        <stp>BDH|12845927056293332778</stp>
        <tr r="AC626" s="5"/>
        <tr r="AF571" s="5"/>
        <tr r="AD621" s="5"/>
        <tr r="AE611" s="5"/>
        <tr r="AB631" s="5"/>
      </tp>
      <tp t="s">
        <v>#N/A N/A</v>
        <stp/>
        <stp>BDH|12440790213397293947</stp>
        <tr r="AC85" s="5"/>
        <tr r="AE70" s="5"/>
        <tr r="AD80" s="5"/>
        <tr r="AF30" s="5"/>
        <tr r="AB90" s="5"/>
      </tp>
      <tp t="s">
        <v>#N/A N/A</v>
        <stp/>
        <stp>BDH|17139496104811080847</stp>
        <tr r="T199" s="5"/>
        <tr r="W145" s="5"/>
        <tr r="V184" s="5"/>
        <tr r="U194" s="5"/>
        <tr r="S204" s="5"/>
      </tp>
      <tp t="s">
        <v>#N/A N/A</v>
        <stp/>
        <stp>BDH|13739258423898943105</stp>
        <tr r="U554" s="5"/>
        <tr r="T559" s="5"/>
        <tr r="W504" s="5"/>
        <tr r="V544" s="5"/>
        <tr r="S564" s="5"/>
      </tp>
      <tp t="s">
        <v>#N/A N/A</v>
        <stp/>
        <stp>BDH|14384076559133668806</stp>
        <tr r="V702" s="5"/>
        <tr r="U712" s="5"/>
        <tr r="T717" s="5"/>
        <tr r="W662" s="5"/>
        <tr r="S722" s="5"/>
      </tp>
      <tp t="s">
        <v>#N/A N/A</v>
        <stp/>
        <stp>BDH|11823499799807124123</stp>
        <tr r="AC163" s="5"/>
        <tr r="AE148" s="5"/>
        <tr r="AF108" s="5"/>
        <tr r="AD158" s="5"/>
        <tr r="AB168" s="5"/>
      </tp>
      <tp t="s">
        <v>#N/A N/A</v>
        <stp/>
        <stp>BDH|12602982513822337246</stp>
        <tr r="U704" s="5"/>
        <tr r="V694" s="5"/>
        <tr r="T709" s="5"/>
        <tr r="W654" s="5"/>
        <tr r="S714" s="5"/>
      </tp>
      <tp t="s">
        <v>#N/A N/A</v>
        <stp/>
        <stp>BDH|18122647409851599538</stp>
        <tr r="T159" s="5"/>
        <tr r="U154" s="5"/>
        <tr r="V144" s="5"/>
        <tr r="W104" s="5"/>
        <tr r="S164" s="5"/>
      </tp>
      <tp t="s">
        <v>#N/A N/A</v>
        <stp/>
        <stp>BDH|14179285923108029603</stp>
        <tr r="T633" s="5"/>
        <tr r="W578" s="5"/>
        <tr r="U628" s="5"/>
        <tr r="V618" s="5"/>
        <tr r="S638" s="5"/>
      </tp>
      <tp t="s">
        <v>#N/A N/A</v>
        <stp/>
        <stp>BDH|14949253217309469456</stp>
        <tr r="W266" s="5"/>
        <tr r="V306" s="5"/>
        <tr r="T321" s="5"/>
        <tr r="U316" s="5"/>
        <tr r="S326" s="5"/>
      </tp>
      <tp t="s">
        <v>#N/A N/A</v>
        <stp/>
        <stp>BDH|18043461589599324717</stp>
        <tr r="AF669" s="5"/>
        <tr r="AC724" s="5"/>
        <tr r="AD719" s="5"/>
        <tr r="AE709" s="5"/>
        <tr r="AB729" s="5"/>
      </tp>
      <tp t="s">
        <v>#N/A N/A</v>
        <stp/>
        <stp>BDH|11974909031751479003</stp>
        <tr r="W57" s="5"/>
        <tr r="T112" s="5"/>
        <tr r="V97" s="5"/>
        <tr r="U107" s="5"/>
        <tr r="S117" s="5"/>
      </tp>
      <tp t="s">
        <v>#N/A N/A</v>
        <stp/>
        <stp>BDH|12394737194733082581</stp>
        <tr r="AF769" s="5"/>
      </tp>
      <tp t="s">
        <v>#N/A N/A</v>
        <stp/>
        <stp>BDH|16923678813543492851</stp>
        <tr r="AC157" s="5"/>
        <tr r="AE142" s="5"/>
        <tr r="AD152" s="5"/>
        <tr r="AF102" s="5"/>
        <tr r="AB162" s="5"/>
      </tp>
      <tp t="s">
        <v>#N/A N/A</v>
        <stp/>
        <stp>BDH|10937164480676765542</stp>
        <tr r="T721" s="5"/>
        <tr r="V706" s="5"/>
        <tr r="W666" s="5"/>
        <tr r="U716" s="5"/>
        <tr r="S726" s="5"/>
      </tp>
      <tp t="s">
        <v>#N/A N/A</v>
        <stp/>
        <stp>BDH|18409597868955290481</stp>
        <tr r="AC258" s="5"/>
        <tr r="AD253" s="5"/>
        <tr r="AE243" s="5"/>
        <tr r="AF203" s="5"/>
        <tr r="AB263" s="5"/>
      </tp>
      <tp t="s">
        <v>#N/A N/A</v>
        <stp/>
        <stp>BDH|11847166454428376767</stp>
        <tr r="T687" s="5"/>
        <tr r="W632" s="5"/>
        <tr r="U682" s="5"/>
        <tr r="V672" s="5"/>
        <tr r="S692" s="5"/>
      </tp>
      <tp t="s">
        <v>#N/A N/A</v>
        <stp/>
        <stp>BDH|14960374310479156507</stp>
        <tr r="W106" s="5"/>
        <tr r="V146" s="5"/>
        <tr r="U156" s="5"/>
        <tr r="T161" s="5"/>
        <tr r="S166" s="5"/>
      </tp>
      <tp t="s">
        <v>#N/A N/A</v>
        <stp/>
        <stp>BDH|16544593967417619831</stp>
        <tr r="AD516" s="5"/>
        <tr r="AF466" s="5"/>
        <tr r="AC521" s="5"/>
        <tr r="AE506" s="5"/>
        <tr r="AB526" s="5"/>
      </tp>
      <tp t="s">
        <v>#N/A N/A</v>
        <stp/>
        <stp>BDH|11825963898309051287</stp>
        <tr r="W695" s="5"/>
        <tr r="U745" s="5"/>
        <tr r="T750" s="5"/>
        <tr r="V735" s="5"/>
        <tr r="S755" s="5"/>
      </tp>
      <tp t="s">
        <v>#N/A N/A</v>
        <stp/>
        <stp>BDH|11973263938923502837</stp>
        <tr r="AF721" s="5"/>
        <tr r="AE761" s="5"/>
        <tr r="AD771" s="5"/>
      </tp>
      <tp t="s">
        <v>#N/A N/A</v>
        <stp/>
        <stp>BDH|13602925714258873899</stp>
        <tr r="AF373" s="5"/>
        <tr r="AE413" s="5"/>
        <tr r="AD423" s="5"/>
        <tr r="AC428" s="5"/>
        <tr r="AB433" s="5"/>
      </tp>
      <tp t="s">
        <v>#N/A N/A</v>
        <stp/>
        <stp>BDH|14300148959939999269</stp>
        <tr r="W198" s="5"/>
        <tr r="T253" s="5"/>
        <tr r="U248" s="5"/>
        <tr r="V238" s="5"/>
        <tr r="S258" s="5"/>
      </tp>
      <tp t="s">
        <v>#N/A N/A</v>
        <stp/>
        <stp>BDH|13116310832921425963</stp>
        <tr r="AE63" s="5"/>
        <tr r="AD73" s="5"/>
        <tr r="AF23" s="5"/>
        <tr r="AC78" s="5"/>
        <tr r="AB83" s="5"/>
      </tp>
      <tp t="s">
        <v>#N/A N/A</v>
        <stp/>
        <stp>BDH|13606982655776896233</stp>
        <tr r="T266" s="5"/>
        <tr r="V251" s="5"/>
        <tr r="W211" s="5"/>
        <tr r="U261" s="5"/>
        <tr r="S271" s="5"/>
      </tp>
      <tp t="s">
        <v>#N/A N/A</v>
        <stp/>
        <stp>BDH|16650927566615344717</stp>
        <tr r="AE553" s="5"/>
        <tr r="AF513" s="5"/>
        <tr r="AC568" s="5"/>
        <tr r="AD563" s="5"/>
        <tr r="AB573" s="5"/>
      </tp>
      <tp t="s">
        <v>#N/A N/A</v>
        <stp/>
        <stp>BDH|12454884499331782911</stp>
        <tr r="T191" s="5"/>
        <tr r="V177" s="5"/>
        <tr r="U186" s="5"/>
        <tr r="W137" s="5"/>
        <tr r="S196" s="5"/>
      </tp>
      <tp t="s">
        <v>#N/A N/A</v>
        <stp/>
        <stp>BDH|11695404530705318866</stp>
        <tr r="T562" s="5"/>
        <tr r="W507" s="5"/>
        <tr r="V547" s="5"/>
        <tr r="U557" s="5"/>
        <tr r="S567" s="5"/>
      </tp>
      <tp t="s">
        <v>#N/A N/A</v>
        <stp/>
        <stp>BDH|18354368965361642746</stp>
        <tr r="AF734" s="5"/>
      </tp>
      <tp t="s">
        <v>#N/A N/A</v>
        <stp/>
        <stp>BDH|10460075094152001029</stp>
        <tr r="AC252" s="5"/>
        <tr r="AD247" s="5"/>
        <tr r="AF197" s="5"/>
        <tr r="AE237" s="5"/>
        <tr r="AB257" s="5"/>
      </tp>
      <tp t="s">
        <v>#N/A N/A</v>
        <stp/>
        <stp>BDH|14501744820519067340</stp>
        <tr r="AF191" s="5"/>
        <tr r="AC246" s="5"/>
        <tr r="AD241" s="5"/>
        <tr r="AE231" s="5"/>
        <tr r="AB251" s="5"/>
      </tp>
      <tp t="s">
        <v>#N/A N/A</v>
        <stp/>
        <stp>BDH|12249800266651916692</stp>
        <tr r="AE158" s="5"/>
        <tr r="AF118" s="5"/>
        <tr r="AD168" s="5"/>
        <tr r="AC173" s="5"/>
        <tr r="AB178" s="5"/>
      </tp>
      <tp t="s">
        <v>#N/A N/A</v>
        <stp/>
        <stp>BDH|18307614170277242579</stp>
        <tr r="AC191" s="5"/>
        <tr r="AE177" s="5"/>
        <tr r="AD186" s="5"/>
        <tr r="AF137" s="5"/>
        <tr r="AB196" s="5"/>
      </tp>
      <tp t="s">
        <v>#N/A N/A</v>
        <stp/>
        <stp>BDH|13224622083225084344</stp>
        <tr r="T491" s="5"/>
        <tr r="W436" s="5"/>
        <tr r="V476" s="5"/>
        <tr r="U486" s="5"/>
        <tr r="S496" s="5"/>
      </tp>
      <tp t="s">
        <v>#N/A N/A</v>
        <stp/>
        <stp>BDH|11051729595604659075</stp>
        <tr r="T22" s="5"/>
        <tr r="S27" s="5"/>
      </tp>
      <tp t="s">
        <v>#N/A N/A</v>
        <stp/>
        <stp>BDH|11481453191081195678</stp>
        <tr r="U305" s="5"/>
        <tr r="W255" s="5"/>
        <tr r="V295" s="5"/>
        <tr r="T310" s="5"/>
        <tr r="S315" s="5"/>
      </tp>
      <tp t="s">
        <v>#N/A N/A</v>
        <stp/>
        <stp>BDH|15670656565857573954</stp>
        <tr r="AD99" s="5"/>
        <tr r="AC104" s="5"/>
        <tr r="AE89" s="5"/>
        <tr r="AF49" s="5"/>
        <tr r="AB109" s="5"/>
      </tp>
      <tp t="s">
        <v>#N/A N/A</v>
        <stp/>
        <stp>BDH|13181105141298665501</stp>
        <tr r="T578" s="5"/>
        <tr r="U573" s="5"/>
        <tr r="W523" s="5"/>
        <tr r="V563" s="5"/>
        <tr r="S583" s="5"/>
      </tp>
      <tp t="s">
        <v>#N/A N/A</v>
        <stp/>
        <stp>BDH|14446816377803531311</stp>
        <tr r="T334" s="5"/>
        <tr r="W279" s="5"/>
        <tr r="U329" s="5"/>
        <tr r="V319" s="5"/>
        <tr r="S339" s="5"/>
      </tp>
      <tp t="s">
        <v>#N/A N/A</v>
        <stp/>
        <stp>BDH|11657857028080444097</stp>
        <tr r="AE590" s="5"/>
        <tr r="AC605" s="5"/>
        <tr r="AD600" s="5"/>
        <tr r="AF550" s="5"/>
        <tr r="AB610" s="5"/>
      </tp>
      <tp t="s">
        <v>#N/A N/A</v>
        <stp/>
        <stp>BDH|14631230586186776325</stp>
        <tr r="AD188" s="5"/>
        <tr r="AC193" s="5"/>
        <tr r="AF139" s="5"/>
        <tr r="AE179" s="5"/>
        <tr r="AB198" s="5"/>
      </tp>
      <tp t="s">
        <v>#N/A N/A</v>
        <stp/>
        <stp>BDH|12499240998757975586</stp>
        <tr r="AC541" s="5"/>
        <tr r="AE526" s="5"/>
        <tr r="AD536" s="5"/>
        <tr r="AF486" s="5"/>
        <tr r="AB546" s="5"/>
      </tp>
      <tp t="s">
        <v>#N/A N/A</v>
        <stp/>
        <stp>BDH|17602915179007585521</stp>
        <tr r="T155" s="5"/>
        <tr r="V140" s="5"/>
        <tr r="U150" s="5"/>
        <tr r="W100" s="5"/>
        <tr r="S160" s="5"/>
      </tp>
      <tp t="s">
        <v>#N/A N/A</v>
        <stp/>
        <stp>BDH|10896570657619914288</stp>
        <tr r="AF764" s="5"/>
      </tp>
      <tp t="s">
        <v>#N/A N/A</v>
        <stp/>
        <stp>BDH|17179589606691444834</stp>
        <tr r="T448" s="5"/>
        <tr r="W393" s="5"/>
        <tr r="U443" s="5"/>
        <tr r="V433" s="5"/>
        <tr r="S453" s="5"/>
      </tp>
      <tp t="s">
        <v>#N/A N/A</v>
        <stp/>
        <stp>BDH|16930455317949417172</stp>
        <tr r="W759" s="5"/>
      </tp>
      <tp t="s">
        <v>#N/A N/A</v>
        <stp/>
        <stp>BDH|14623306219454355942</stp>
        <tr r="AE540" s="5"/>
        <tr r="AF500" s="5"/>
        <tr r="AD550" s="5"/>
        <tr r="AC555" s="5"/>
        <tr r="AB560" s="5"/>
      </tp>
      <tp t="s">
        <v>#N/A N/A</v>
        <stp/>
        <stp>BDH|14926545906798386231</stp>
        <tr r="AD71" s="5"/>
        <tr r="AC76" s="5"/>
        <tr r="AE61" s="5"/>
        <tr r="AF21" s="5"/>
        <tr r="AB81" s="5"/>
      </tp>
      <tp t="s">
        <v>#N/A N/A</v>
        <stp/>
        <stp>BDH|10324208299399096913</stp>
        <tr r="AE86" s="5"/>
        <tr r="AD96" s="5"/>
        <tr r="AC101" s="5"/>
        <tr r="AF46" s="5"/>
        <tr r="AB106" s="5"/>
      </tp>
      <tp t="s">
        <v>#N/A N/A</v>
        <stp/>
        <stp>BDH|16188769889926549419</stp>
        <tr r="AD289" s="5"/>
        <tr r="AC294" s="5"/>
        <tr r="AF239" s="5"/>
        <tr r="AE279" s="5"/>
        <tr r="AB299" s="5"/>
      </tp>
      <tp t="s">
        <v>#N/A N/A</v>
        <stp/>
        <stp>BDH|11843222397402727305</stp>
        <tr r="U128" s="5"/>
        <tr r="V118" s="5"/>
        <tr r="W78" s="5"/>
        <tr r="T133" s="5"/>
        <tr r="S138" s="5"/>
      </tp>
      <tp t="s">
        <v>#N/A N/A</v>
        <stp/>
        <stp>BDH|11811195800262828944</stp>
        <tr r="T626" s="5"/>
        <tr r="W571" s="5"/>
        <tr r="U621" s="5"/>
        <tr r="V611" s="5"/>
        <tr r="S631" s="5"/>
      </tp>
      <tp t="s">
        <v>#N/A N/A</v>
        <stp/>
        <stp>BDH|13504329586254482787</stp>
        <tr r="T483" s="5"/>
        <tr r="W428" s="5"/>
        <tr r="U478" s="5"/>
        <tr r="V468" s="5"/>
        <tr r="S488" s="5"/>
      </tp>
      <tp t="s">
        <v>#N/A N/A</v>
        <stp/>
        <stp>BDH|11367307887338182991</stp>
        <tr r="T24" s="5"/>
        <tr r="S29" s="5"/>
      </tp>
      <tp t="s">
        <v>#N/A N/A</v>
        <stp/>
        <stp>BDH|13576969523723947057</stp>
        <tr r="V445" s="5"/>
        <tr r="T460" s="5"/>
        <tr r="U455" s="5"/>
        <tr r="W405" s="5"/>
        <tr r="S465" s="5"/>
      </tp>
      <tp t="s">
        <v>#N/A N/A</v>
        <stp/>
        <stp>BDH|12333223743986750995</stp>
        <tr r="W332" s="5"/>
        <tr r="U382" s="5"/>
        <tr r="V372" s="5"/>
        <tr r="T387" s="5"/>
        <tr r="S392" s="5"/>
      </tp>
      <tp t="s">
        <v>#N/A N/A</v>
        <stp/>
        <stp>BDH|11111344199824189416</stp>
        <tr r="T634" s="5"/>
        <tr r="W579" s="5"/>
        <tr r="U629" s="5"/>
        <tr r="V619" s="5"/>
        <tr r="S639" s="5"/>
      </tp>
      <tp t="s">
        <v>#N/A N/A</v>
        <stp/>
        <stp>BDH|10017738978542276960</stp>
        <tr r="AC116" s="5"/>
        <tr r="AF61" s="5"/>
        <tr r="AE101" s="5"/>
        <tr r="AD111" s="5"/>
        <tr r="AB121" s="5"/>
      </tp>
      <tp t="s">
        <v>#N/A N/A</v>
        <stp/>
        <stp>BDH|11963185015803201990</stp>
        <tr r="AE502" s="5"/>
        <tr r="AF462" s="5"/>
        <tr r="AD512" s="5"/>
        <tr r="AC517" s="5"/>
        <tr r="AB522" s="5"/>
      </tp>
      <tp t="s">
        <v>#N/A N/A</v>
        <stp/>
        <stp>BDH|17198165722426970936</stp>
        <tr r="AC681" s="5"/>
        <tr r="AF626" s="5"/>
        <tr r="AE666" s="5"/>
        <tr r="AD676" s="5"/>
        <tr r="AB686" s="5"/>
      </tp>
      <tp t="s">
        <v>#N/A N/A</v>
        <stp/>
        <stp>BDH|13235198594678416841</stp>
        <tr r="AF342" s="5"/>
        <tr r="AE382" s="5"/>
        <tr r="AD392" s="5"/>
        <tr r="AC397" s="5"/>
        <tr r="AB402" s="5"/>
      </tp>
      <tp t="s">
        <v>#N/A N/A</v>
        <stp/>
        <stp>BDH|10511389900629066130</stp>
        <tr r="AC644" s="5"/>
        <tr r="AE629" s="5"/>
        <tr r="AF589" s="5"/>
        <tr r="AD639" s="5"/>
        <tr r="AB649" s="5"/>
      </tp>
      <tp t="s">
        <v>#N/A N/A</v>
        <stp/>
        <stp>BDH|10584067010778666157</stp>
        <tr r="AD344" s="5"/>
        <tr r="AC349" s="5"/>
        <tr r="AF294" s="5"/>
        <tr r="AE334" s="5"/>
        <tr r="AB354" s="5"/>
      </tp>
      <tp t="s">
        <v>#N/A N/A</v>
        <stp/>
        <stp>BDH|17994680086385426438</stp>
        <tr r="T331" s="5"/>
        <tr r="U326" s="5"/>
        <tr r="W276" s="5"/>
        <tr r="V316" s="5"/>
        <tr r="S336" s="5"/>
      </tp>
      <tp t="s">
        <v>#N/A N/A</v>
        <stp/>
        <stp>BDH|12546950601305598648</stp>
        <tr r="AD396" s="5"/>
        <tr r="AF346" s="5"/>
        <tr r="AE386" s="5"/>
        <tr r="AC401" s="5"/>
        <tr r="AB406" s="5"/>
      </tp>
      <tp t="s">
        <v>#N/A N/A</v>
        <stp/>
        <stp>BDH|10745119062429560624</stp>
        <tr r="AE455" s="5"/>
        <tr r="AC470" s="5"/>
        <tr r="AD465" s="5"/>
        <tr r="AF415" s="5"/>
        <tr r="AB475" s="5"/>
      </tp>
      <tp t="s">
        <v>#N/A N/A</v>
        <stp/>
        <stp>BDH|14380003837498210757</stp>
        <tr r="AF752" s="5"/>
      </tp>
      <tp t="s">
        <v>#N/A N/A</v>
        <stp/>
        <stp>BDH|10178450857098122111</stp>
        <tr r="AF737" s="5"/>
      </tp>
      <tp t="s">
        <v>#N/A N/A</v>
        <stp/>
        <stp>BDH|15675971181578021435</stp>
        <tr r="AE739" s="5"/>
        <tr r="AF699" s="5"/>
        <tr r="AD749" s="5"/>
        <tr r="AC754" s="5"/>
        <tr r="AB759" s="5"/>
      </tp>
      <tp t="s">
        <v>#N/A N/A</v>
        <stp/>
        <stp>BDH|10464979867070509731</stp>
        <tr r="W600" s="5"/>
        <tr r="U650" s="5"/>
        <tr r="T655" s="5"/>
        <tr r="V640" s="5"/>
        <tr r="S660" s="5"/>
      </tp>
      <tp t="s">
        <v>#N/A N/A</v>
        <stp/>
        <stp>BDH|14685373626218752520</stp>
        <tr r="W377" s="5"/>
        <tr r="U427" s="5"/>
        <tr r="T432" s="5"/>
        <tr r="V417" s="5"/>
        <tr r="S437" s="5"/>
      </tp>
      <tp t="s">
        <v>#N/A N/A</v>
        <stp/>
        <stp>BDH|10485741919869260795</stp>
        <tr r="W691" s="5"/>
        <tr r="T746" s="5"/>
        <tr r="V731" s="5"/>
        <tr r="U741" s="5"/>
        <tr r="S751" s="5"/>
      </tp>
      <tp t="s">
        <v>#N/A N/A</v>
        <stp/>
        <stp>BDH|15811994200281058537</stp>
        <tr r="W541" s="5"/>
        <tr r="T596" s="5"/>
        <tr r="V581" s="5"/>
        <tr r="U591" s="5"/>
        <tr r="S601" s="5"/>
      </tp>
      <tp t="s">
        <v>#N/A N/A</v>
        <stp/>
        <stp>BDH|14921136559431139979</stp>
        <tr r="AC693" s="5"/>
        <tr r="AD688" s="5"/>
        <tr r="AE678" s="5"/>
        <tr r="AF638" s="5"/>
        <tr r="AB698" s="5"/>
      </tp>
      <tp t="s">
        <v>#N/A N/A</v>
        <stp/>
        <stp>BDH|17937336893880569598</stp>
        <tr r="AF331" s="5"/>
        <tr r="AC386" s="5"/>
        <tr r="AD381" s="5"/>
        <tr r="AE371" s="5"/>
        <tr r="AB391" s="5"/>
      </tp>
      <tp t="s">
        <v>#N/A N/A</v>
        <stp/>
        <stp>BDH|11670580505684661883</stp>
        <tr r="AF519" s="5"/>
        <tr r="AC574" s="5"/>
        <tr r="AE559" s="5"/>
        <tr r="AD569" s="5"/>
        <tr r="AB579" s="5"/>
      </tp>
      <tp t="s">
        <v>#N/A N/A</v>
        <stp/>
        <stp>BDH|17958525093537882447</stp>
        <tr r="AF733" s="5"/>
      </tp>
      <tp t="s">
        <v>#N/A N/A</v>
        <stp/>
        <stp>BDH|15472278771821210940</stp>
        <tr r="V399" s="5"/>
        <tr r="W359" s="5"/>
        <tr r="T414" s="5"/>
        <tr r="U409" s="5"/>
        <tr r="S419" s="5"/>
      </tp>
      <tp t="s">
        <v>#N/A N/A</v>
        <stp/>
        <stp>BDH|15086051471392362839</stp>
        <tr r="AD331" s="5"/>
        <tr r="AE321" s="5"/>
        <tr r="AC336" s="5"/>
        <tr r="AF281" s="5"/>
        <tr r="AB341" s="5"/>
      </tp>
      <tp t="s">
        <v>#N/A N/A</v>
        <stp/>
        <stp>BDH|14627999774733964150</stp>
        <tr r="W472" s="5"/>
        <tr r="T527" s="5"/>
        <tr r="V512" s="5"/>
        <tr r="U522" s="5"/>
        <tr r="S532" s="5"/>
      </tp>
      <tp t="s">
        <v>#N/A N/A</v>
        <stp/>
        <stp>BDH|17740555324991406951</stp>
        <tr r="AE236" s="5"/>
        <tr r="AF196" s="5"/>
        <tr r="AD246" s="5"/>
        <tr r="AC251" s="5"/>
        <tr r="AB256" s="5"/>
      </tp>
      <tp t="s">
        <v>#N/A N/A</v>
        <stp/>
        <stp>BDH|12065588659168546235</stp>
        <tr r="AD153" s="5"/>
        <tr r="AE143" s="5"/>
        <tr r="AF103" s="5"/>
        <tr r="AC158" s="5"/>
        <tr r="AB163" s="5"/>
      </tp>
      <tp t="s">
        <v>#N/A N/A</v>
        <stp/>
        <stp>BDH|17707144893725302247</stp>
        <tr r="AC492" s="5"/>
        <tr r="AD487" s="5"/>
        <tr r="AF437" s="5"/>
        <tr r="AE477" s="5"/>
        <tr r="AB497" s="5"/>
      </tp>
      <tp t="s">
        <v>#N/A N/A</v>
        <stp/>
        <stp>BDH|17436801058775988731</stp>
        <tr r="AC159" s="5"/>
        <tr r="AD154" s="5"/>
        <tr r="AE144" s="5"/>
        <tr r="AF104" s="5"/>
        <tr r="AB164" s="5"/>
      </tp>
      <tp t="s">
        <v>#N/A N/A</v>
        <stp/>
        <stp>BDH|14864615580431716384</stp>
        <tr r="V344" s="5"/>
        <tr r="U354" s="5"/>
        <tr r="W304" s="5"/>
        <tr r="T359" s="5"/>
        <tr r="S364" s="5"/>
      </tp>
      <tp t="s">
        <v>#N/A N/A</v>
        <stp/>
        <stp>BDH|16972830696947278862</stp>
        <tr r="AF709" s="5"/>
        <tr r="AC764" s="5"/>
        <tr r="AE749" s="5"/>
        <tr r="AD759" s="5"/>
        <tr r="AB769" s="5"/>
      </tp>
      <tp t="s">
        <v>#N/A N/A</v>
        <stp/>
        <stp>BDH|11982289199672694065</stp>
        <tr r="V493" s="5"/>
        <tr r="T508" s="5"/>
        <tr r="W453" s="5"/>
        <tr r="U503" s="5"/>
        <tr r="S513" s="5"/>
      </tp>
      <tp t="s">
        <v>#N/A N/A</v>
        <stp/>
        <stp>BDH|17573659108859894084</stp>
        <tr r="AC405" s="5"/>
        <tr r="AD400" s="5"/>
        <tr r="AF350" s="5"/>
        <tr r="AE390" s="5"/>
        <tr r="AB410" s="5"/>
      </tp>
      <tp t="s">
        <v>#N/A N/A</v>
        <stp/>
        <stp>BDH|14430679497333569099</stp>
        <tr r="AD765" s="5"/>
        <tr r="AF715" s="5"/>
        <tr r="AE755" s="5"/>
        <tr r="AC770" s="5"/>
      </tp>
      <tp t="s">
        <v>#N/A N/A</v>
        <stp/>
        <stp>BDH|11243677478761068956</stp>
        <tr r="W634" s="5"/>
        <tr r="T689" s="5"/>
        <tr r="V674" s="5"/>
        <tr r="U684" s="5"/>
        <tr r="S694" s="5"/>
      </tp>
      <tp t="s">
        <v>#N/A N/A</v>
        <stp/>
        <stp>BDH|11505819961413913479</stp>
        <tr r="AC484" s="5"/>
        <tr r="AD479" s="5"/>
        <tr r="AE469" s="5"/>
        <tr r="AF429" s="5"/>
        <tr r="AB489" s="5"/>
      </tp>
      <tp t="s">
        <v>#N/A N/A</v>
        <stp/>
        <stp>BDH|18133575051417417786</stp>
        <tr r="T62" s="5"/>
        <tr r="U57" s="5"/>
        <tr r="V47" s="5"/>
        <tr r="S67" s="5"/>
      </tp>
      <tp t="s">
        <v>#N/A N/A</v>
        <stp/>
        <stp>BDH|10977936537641427339</stp>
        <tr r="V474" s="5"/>
        <tr r="U484" s="5"/>
        <tr r="W434" s="5"/>
        <tr r="T489" s="5"/>
        <tr r="S494" s="5"/>
      </tp>
      <tp t="s">
        <v>#N/A N/A</v>
        <stp/>
        <stp>BDH|10262780991950178609</stp>
        <tr r="V249" s="5"/>
        <tr r="U259" s="5"/>
        <tr r="T264" s="5"/>
        <tr r="W209" s="5"/>
        <tr r="S269" s="5"/>
      </tp>
      <tp t="s">
        <v>#N/A N/A</v>
        <stp/>
        <stp>BDH|10870708237984525800</stp>
        <tr r="AC73" s="5"/>
        <tr r="AE58" s="5"/>
        <tr r="AD68" s="5"/>
        <tr r="AB78" s="5"/>
      </tp>
      <tp t="s">
        <v>#N/A N/A</v>
        <stp/>
        <stp>BDH|17179847026972822762</stp>
        <tr r="AE756" s="5"/>
        <tr r="AD766" s="5"/>
        <tr r="AF716" s="5"/>
        <tr r="AC771" s="5"/>
      </tp>
      <tp t="s">
        <v>#N/A N/A</v>
        <stp/>
        <stp>BDH|13979302061176130854</stp>
        <tr r="AE335" s="5"/>
        <tr r="AD345" s="5"/>
        <tr r="AF295" s="5"/>
        <tr r="AC350" s="5"/>
        <tr r="AB355" s="5"/>
      </tp>
      <tp t="s">
        <v>#N/A N/A</v>
        <stp/>
        <stp>BDH|10571306128951809899</stp>
        <tr r="W443" s="5"/>
        <tr r="V483" s="5"/>
        <tr r="U493" s="5"/>
        <tr r="T498" s="5"/>
        <tr r="S503" s="5"/>
      </tp>
      <tp t="s">
        <v>#N/A N/A</v>
        <stp/>
        <stp>BDH|11428568233839557680</stp>
        <tr r="U185" s="5"/>
        <tr r="V176" s="5"/>
        <tr r="W136" s="5"/>
        <tr r="T190" s="5"/>
        <tr r="S195" s="5"/>
      </tp>
      <tp t="s">
        <v>#N/A N/A</v>
        <stp/>
        <stp>BDH|13238200495328914818</stp>
        <tr r="AD167" s="5"/>
        <tr r="AC172" s="5"/>
        <tr r="AF117" s="5"/>
        <tr r="AE157" s="5"/>
        <tr r="AB177" s="5"/>
      </tp>
      <tp t="s">
        <v>#N/A N/A</v>
        <stp/>
        <stp>BDH|17180613133762564892</stp>
        <tr r="AC456" s="5"/>
        <tr r="AE441" s="5"/>
        <tr r="AD451" s="5"/>
        <tr r="AF401" s="5"/>
        <tr r="AB461" s="5"/>
      </tp>
      <tp t="s">
        <v>#N/A N/A</v>
        <stp/>
        <stp>BDH|14529014980536398291</stp>
        <tr r="T660" s="5"/>
        <tr r="W605" s="5"/>
        <tr r="V645" s="5"/>
        <tr r="U655" s="5"/>
        <tr r="S665" s="5"/>
      </tp>
      <tp t="s">
        <v>#N/A N/A</v>
        <stp/>
        <stp>BDH|12510534783763332488</stp>
        <tr r="W754" s="5"/>
      </tp>
      <tp t="s">
        <v>#N/A N/A</v>
        <stp/>
        <stp>BDH|10031382006273696865</stp>
        <tr r="T632" s="5"/>
        <tr r="U627" s="5"/>
        <tr r="V617" s="5"/>
        <tr r="W577" s="5"/>
        <tr r="S637" s="5"/>
      </tp>
      <tp t="s">
        <v>#N/A N/A</v>
        <stp/>
        <stp>BDH|18087710241953693174</stp>
        <tr r="AF586" s="5"/>
        <tr r="AC641" s="5"/>
        <tr r="AE626" s="5"/>
        <tr r="AD636" s="5"/>
        <tr r="AB646" s="5"/>
      </tp>
      <tp t="s">
        <v>#N/A N/A</v>
        <stp/>
        <stp>BDH|15258505372677146906</stp>
        <tr r="V528" s="5"/>
        <tr r="W488" s="5"/>
        <tr r="T543" s="5"/>
        <tr r="U538" s="5"/>
        <tr r="S548" s="5"/>
      </tp>
      <tp t="s">
        <v>#N/A N/A</v>
        <stp/>
        <stp>BDH|15126807022826023035</stp>
        <tr r="W763" s="5"/>
      </tp>
      <tp t="s">
        <v>#N/A N/A</v>
        <stp/>
        <stp>BDH|18422346575791218470</stp>
        <tr r="T722" s="5"/>
        <tr r="W667" s="5"/>
        <tr r="V707" s="5"/>
        <tr r="U717" s="5"/>
        <tr r="S727" s="5"/>
      </tp>
      <tp t="s">
        <v>#N/A N/A</v>
        <stp/>
        <stp>BDH|15632842521383716545</stp>
        <tr r="AE657" s="5"/>
        <tr r="AC672" s="5"/>
        <tr r="AD667" s="5"/>
        <tr r="AF617" s="5"/>
        <tr r="AB677" s="5"/>
      </tp>
      <tp t="s">
        <v>#N/A N/A</v>
        <stp/>
        <stp>BDH|16712484922358418192</stp>
        <tr r="AC23" s="5"/>
        <tr r="AB28" s="5"/>
      </tp>
      <tp t="s">
        <v>#N/A N/A</v>
        <stp/>
        <stp>BDH|11010690503397915905</stp>
        <tr r="T566" s="5"/>
        <tr r="W511" s="5"/>
        <tr r="U561" s="5"/>
        <tr r="V551" s="5"/>
        <tr r="S571" s="5"/>
      </tp>
      <tp t="s">
        <v>#N/A N/A</v>
        <stp/>
        <stp>BDH|14670143847658385041</stp>
        <tr r="AF182" s="5"/>
        <tr r="AC236" s="5"/>
        <tr r="AE221" s="5"/>
        <tr r="AD231" s="5"/>
        <tr r="AB241" s="5"/>
      </tp>
      <tp t="s">
        <v>#N/A N/A</v>
        <stp/>
        <stp>BDH|12736543931139460446</stp>
        <tr r="V537" s="5"/>
        <tr r="W497" s="5"/>
        <tr r="U547" s="5"/>
        <tr r="T552" s="5"/>
        <tr r="S557" s="5"/>
      </tp>
      <tp t="s">
        <v>#N/A N/A</v>
        <stp/>
        <stp>BDH|13465847344392477423</stp>
        <tr r="U182" s="5"/>
        <tr r="T186" s="5"/>
        <tr r="W132" s="5"/>
        <tr r="V172" s="5"/>
        <tr r="S191" s="5"/>
      </tp>
      <tp t="s">
        <v>#N/A N/A</v>
        <stp/>
        <stp>BDH|17256787970626867807</stp>
        <tr r="AE767" s="5"/>
        <tr r="AF727" s="5"/>
      </tp>
      <tp t="s">
        <v>#N/A N/A</v>
        <stp/>
        <stp>BDH|11153146490721177118</stp>
        <tr r="W384" s="5"/>
        <tr r="U434" s="5"/>
        <tr r="T439" s="5"/>
        <tr r="V424" s="5"/>
        <tr r="S444" s="5"/>
      </tp>
      <tp t="s">
        <v>#N/A N/A</v>
        <stp/>
        <stp>BDH|10562910289761889903</stp>
        <tr r="AF741" s="5"/>
      </tp>
      <tp t="s">
        <v>#N/A N/A</v>
        <stp/>
        <stp>BDH|12754865665946777363</stp>
        <tr r="AE338" s="5"/>
        <tr r="AC353" s="5"/>
        <tr r="AD348" s="5"/>
        <tr r="AF298" s="5"/>
        <tr r="AB358" s="5"/>
      </tp>
      <tp t="s">
        <v>#N/A N/A</v>
        <stp/>
        <stp>BDH|13422328081318484966</stp>
        <tr r="W246" s="5"/>
        <tr r="U296" s="5"/>
        <tr r="T301" s="5"/>
        <tr r="V286" s="5"/>
        <tr r="S306" s="5"/>
      </tp>
      <tp t="s">
        <v>#N/A N/A</v>
        <stp/>
        <stp>BDH|11007571608744350996</stp>
        <tr r="T46" s="5"/>
        <tr r="V31" s="5"/>
        <tr r="U41" s="5"/>
        <tr r="S51" s="5"/>
      </tp>
      <tp t="s">
        <v>#N/A N/A</v>
        <stp/>
        <stp>BDH|11217778368849040080</stp>
        <tr r="V565" s="5"/>
        <tr r="U575" s="5"/>
        <tr r="W525" s="5"/>
        <tr r="T580" s="5"/>
        <tr r="S585" s="5"/>
      </tp>
      <tp t="s">
        <v>#N/A N/A</v>
        <stp/>
        <stp>BDH|14622643327850074914</stp>
        <tr r="T425" s="5"/>
        <tr r="V410" s="5"/>
        <tr r="U420" s="5"/>
        <tr r="W370" s="5"/>
        <tr r="S430" s="5"/>
      </tp>
      <tp t="s">
        <v>#N/A N/A</v>
        <stp/>
        <stp>BDH|16588860809017710091</stp>
        <tr r="W85" s="5"/>
        <tr r="V125" s="5"/>
        <tr r="U135" s="5"/>
        <tr r="T140" s="5"/>
        <tr r="S145" s="5"/>
      </tp>
      <tp t="s">
        <v>#N/A N/A</v>
        <stp/>
        <stp>BDH|10775903021182299001</stp>
        <tr r="AF106" s="5"/>
        <tr r="AE146" s="5"/>
        <tr r="AD156" s="5"/>
        <tr r="AC161" s="5"/>
        <tr r="AB166" s="5"/>
      </tp>
      <tp t="s">
        <v>#N/A N/A</v>
        <stp/>
        <stp>BDH|16560529377058131569</stp>
        <tr r="T324" s="5"/>
        <tr r="U319" s="5"/>
        <tr r="V309" s="5"/>
        <tr r="W269" s="5"/>
        <tr r="S329" s="5"/>
      </tp>
      <tp t="s">
        <v>#N/A N/A</v>
        <stp/>
        <stp>BDH|13609542452093402928</stp>
        <tr r="T326" s="5"/>
        <tr r="U321" s="5"/>
        <tr r="W271" s="5"/>
        <tr r="V311" s="5"/>
        <tr r="S331" s="5"/>
      </tp>
      <tp t="s">
        <v>#N/A N/A</v>
        <stp/>
        <stp>BDH|10484516937239222691</stp>
        <tr r="T600" s="5"/>
        <tr r="U595" s="5"/>
        <tr r="V585" s="5"/>
        <tr r="W545" s="5"/>
        <tr r="S605" s="5"/>
      </tp>
      <tp t="s">
        <v>#N/A N/A</v>
        <stp/>
        <stp>BDH|18402125678062028576</stp>
        <tr r="V259" s="5"/>
        <tr r="W219" s="5"/>
        <tr r="U269" s="5"/>
        <tr r="T274" s="5"/>
        <tr r="S279" s="5"/>
      </tp>
      <tp t="s">
        <v>#N/A N/A</v>
        <stp/>
        <stp>BDH|11434030629449519326</stp>
        <tr r="W499" s="5"/>
        <tr r="T554" s="5"/>
        <tr r="V539" s="5"/>
        <tr r="U549" s="5"/>
        <tr r="S559" s="5"/>
      </tp>
      <tp t="s">
        <v>#N/A N/A</v>
        <stp/>
        <stp>BDH|10690657324735671897</stp>
        <tr r="T149" s="5"/>
        <tr r="W94" s="5"/>
        <tr r="U144" s="5"/>
        <tr r="V134" s="5"/>
        <tr r="S154" s="5"/>
      </tp>
      <tp t="s">
        <v>#N/A N/A</v>
        <stp/>
        <stp>BDH|18392785160312326201</stp>
        <tr r="AD175" s="5"/>
        <tr r="AC180" s="5"/>
        <tr r="AF125" s="5"/>
        <tr r="AE165" s="5"/>
        <tr r="AB184" s="5"/>
      </tp>
      <tp t="s">
        <v>#N/A N/A</v>
        <stp/>
        <stp>BDH|18177670782896453988</stp>
        <tr r="AE247" s="5"/>
        <tr r="AF207" s="5"/>
        <tr r="AD257" s="5"/>
        <tr r="AC262" s="5"/>
        <tr r="AB267" s="5"/>
      </tp>
      <tp t="s">
        <v>#N/A N/A</v>
        <stp/>
        <stp>BDH|12451829336565897501</stp>
        <tr r="AC545" s="5"/>
        <tr r="AD540" s="5"/>
        <tr r="AE530" s="5"/>
        <tr r="AF490" s="5"/>
        <tr r="AB550" s="5"/>
      </tp>
      <tp t="s">
        <v>#N/A N/A</v>
        <stp/>
        <stp>BDH|12718662462393871831</stp>
        <tr r="AD530" s="5"/>
        <tr r="AC535" s="5"/>
        <tr r="AF480" s="5"/>
        <tr r="AE520" s="5"/>
        <tr r="AB540" s="5"/>
      </tp>
      <tp t="s">
        <v>#N/A N/A</v>
        <stp/>
        <stp>BDH|18079187317083416235</stp>
        <tr r="V360" s="5"/>
        <tr r="T375" s="5"/>
        <tr r="W320" s="5"/>
        <tr r="U370" s="5"/>
        <tr r="S380" s="5"/>
      </tp>
      <tp t="s">
        <v>#N/A N/A</v>
        <stp/>
        <stp>BDH|11413389987056903597</stp>
        <tr r="T418" s="5"/>
        <tr r="U413" s="5"/>
        <tr r="V403" s="5"/>
        <tr r="W363" s="5"/>
        <tr r="S423" s="5"/>
      </tp>
      <tp t="s">
        <v>#N/A N/A</v>
        <stp/>
        <stp>BDH|14860935714422199751</stp>
        <tr r="T265" s="5"/>
        <tr r="U260" s="5"/>
        <tr r="V250" s="5"/>
        <tr r="W210" s="5"/>
        <tr r="S270" s="5"/>
      </tp>
      <tp t="s">
        <v>#N/A N/A</v>
        <stp/>
        <stp>BDH|13635485752343145876</stp>
        <tr r="T636" s="5"/>
        <tr r="W581" s="5"/>
        <tr r="U631" s="5"/>
        <tr r="V621" s="5"/>
        <tr r="S641" s="5"/>
      </tp>
      <tp t="s">
        <v>#N/A N/A</v>
        <stp/>
        <stp>BDH|17973677203698168014</stp>
        <tr r="AD128" s="5"/>
        <tr r="AE118" s="5"/>
        <tr r="AF78" s="5"/>
        <tr r="AC133" s="5"/>
        <tr r="AB138" s="5"/>
      </tp>
      <tp t="s">
        <v>#N/A N/A</v>
        <stp/>
        <stp>BDH|16189094388582837543</stp>
        <tr r="W448" s="5"/>
        <tr r="V488" s="5"/>
        <tr r="U498" s="5"/>
        <tr r="T503" s="5"/>
        <tr r="S508" s="5"/>
      </tp>
      <tp t="s">
        <v>#N/A N/A</v>
        <stp/>
        <stp>BDH|13798228540748898417</stp>
        <tr r="AD155" s="5"/>
        <tr r="AF105" s="5"/>
        <tr r="AE145" s="5"/>
        <tr r="AC160" s="5"/>
        <tr r="AB165" s="5"/>
      </tp>
      <tp t="s">
        <v>#N/A N/A</v>
        <stp/>
        <stp>BDH|12114965055131871662</stp>
        <tr r="W323" s="5"/>
        <tr r="U373" s="5"/>
        <tr r="T378" s="5"/>
        <tr r="V363" s="5"/>
        <tr r="S383" s="5"/>
      </tp>
      <tp t="s">
        <v>#N/A N/A</v>
        <stp/>
        <stp>BDH|14433000437939969757</stp>
        <tr r="AC30" s="5"/>
        <tr r="AD25" s="5"/>
        <tr r="AB35" s="5"/>
      </tp>
      <tp t="s">
        <v>#N/A N/A</v>
        <stp/>
        <stp>BDH|14753217219009568757</stp>
        <tr r="AD414" s="5"/>
        <tr r="AC419" s="5"/>
        <tr r="AF364" s="5"/>
        <tr r="AE404" s="5"/>
        <tr r="AB424" s="5"/>
      </tp>
      <tp t="s">
        <v>#N/A N/A</v>
        <stp/>
        <stp>BDH|11646254010383906851</stp>
        <tr r="U60" s="5"/>
        <tr r="T65" s="5"/>
        <tr r="V50" s="5"/>
        <tr r="S70" s="5"/>
      </tp>
      <tp t="s">
        <v>#N/A N/A</v>
        <stp/>
        <stp>BDH|15045263317259908674</stp>
        <tr r="U254" s="5"/>
        <tr r="W204" s="5"/>
        <tr r="T259" s="5"/>
        <tr r="V244" s="5"/>
        <tr r="S264" s="5"/>
      </tp>
      <tp t="s">
        <v>#N/A N/A</v>
        <stp/>
        <stp>BDH|13869066090335710667</stp>
        <tr r="AC138" s="5"/>
        <tr r="AE123" s="5"/>
        <tr r="AF83" s="5"/>
        <tr r="AD133" s="5"/>
        <tr r="AB143" s="5"/>
      </tp>
      <tp t="s">
        <v>#N/A N/A</v>
        <stp/>
        <stp>BDH|15262288949303866957</stp>
        <tr r="T466" s="5"/>
        <tr r="W411" s="5"/>
        <tr r="V451" s="5"/>
        <tr r="U461" s="5"/>
        <tr r="S471" s="5"/>
      </tp>
      <tp t="s">
        <v>#N/A N/A</v>
        <stp/>
        <stp>BDH|13775062402134498966</stp>
        <tr r="W147" s="5"/>
        <tr r="U196" s="5"/>
        <tr r="T201" s="5"/>
        <tr r="V186" s="5"/>
        <tr r="S206" s="5"/>
      </tp>
      <tp t="s">
        <v>#N/A N/A</v>
        <stp/>
        <stp>BDH|14236526625899271462</stp>
        <tr r="V56" s="5"/>
        <tr r="U66" s="5"/>
        <tr r="T71" s="5"/>
        <tr r="S76" s="5"/>
      </tp>
      <tp t="s">
        <v>#N/A N/A</v>
        <stp/>
        <stp>BDH|18200430017582714107</stp>
        <tr r="AD747" s="5"/>
        <tr r="AF697" s="5"/>
        <tr r="AC752" s="5"/>
        <tr r="AE737" s="5"/>
        <tr r="AB757" s="5"/>
      </tp>
      <tp t="s">
        <v>#N/A N/A</v>
        <stp/>
        <stp>BDH|17541220998901924363</stp>
        <tr r="AF335" s="5"/>
        <tr r="AE375" s="5"/>
        <tr r="AC390" s="5"/>
        <tr r="AD385" s="5"/>
        <tr r="AB395" s="5"/>
      </tp>
      <tp t="s">
        <v>#N/A N/A</v>
        <stp/>
        <stp>BDH|14107383857964616887</stp>
        <tr r="U344" s="5"/>
        <tr r="T349" s="5"/>
        <tr r="W294" s="5"/>
        <tr r="V334" s="5"/>
        <tr r="S354" s="5"/>
      </tp>
      <tp t="s">
        <v>#N/A N/A</v>
        <stp/>
        <stp>BDH|17391409723446421943</stp>
        <tr r="W752" s="5"/>
      </tp>
      <tp t="s">
        <v>#N/A N/A</v>
        <stp/>
        <stp>BDH|15559667876663372959</stp>
        <tr r="T396" s="5"/>
        <tr r="W341" s="5"/>
        <tr r="V381" s="5"/>
        <tr r="U391" s="5"/>
        <tr r="S401" s="5"/>
      </tp>
      <tp t="s">
        <v>#N/A N/A</v>
        <stp/>
        <stp>BDH|13247443076267463970</stp>
        <tr r="AE546" s="5"/>
        <tr r="AC561" s="5"/>
        <tr r="AD556" s="5"/>
        <tr r="AF506" s="5"/>
        <tr r="AB566" s="5"/>
      </tp>
      <tp t="s">
        <v>#N/A N/A</v>
        <stp/>
        <stp>BDH|16744757788293145487</stp>
        <tr r="AE734" s="5"/>
        <tr r="AF694" s="5"/>
        <tr r="AD744" s="5"/>
        <tr r="AC749" s="5"/>
        <tr r="AB754" s="5"/>
      </tp>
      <tp t="s">
        <v>#N/A N/A</v>
        <stp/>
        <stp>BDH|14327238300679343112</stp>
        <tr r="V200" s="5"/>
        <tr r="W161" s="5"/>
        <tr r="U210" s="5"/>
        <tr r="T215" s="5"/>
        <tr r="S220" s="5"/>
      </tp>
      <tp t="s">
        <v>#N/A N/A</v>
        <stp/>
        <stp>BDH|14097618194592359743</stp>
        <tr r="T504" s="5"/>
        <tr r="W449" s="5"/>
        <tr r="U499" s="5"/>
        <tr r="V489" s="5"/>
        <tr r="S509" s="5"/>
      </tp>
      <tp t="s">
        <v>#N/A N/A</v>
        <stp/>
        <stp>BDH|12449977952036404608</stp>
        <tr r="AE45" s="5"/>
        <tr r="AC60" s="5"/>
        <tr r="AD55" s="5"/>
        <tr r="AB65" s="5"/>
      </tp>
      <tp t="s">
        <v>#N/A N/A</v>
        <stp/>
        <stp>BDH|12622609614393726807</stp>
        <tr r="W767" s="5"/>
      </tp>
      <tp t="s">
        <v>#N/A N/A</v>
        <stp/>
        <stp>BDH|14061826158023438482</stp>
        <tr r="W188" s="5"/>
        <tr r="T243" s="5"/>
        <tr r="U238" s="5"/>
        <tr r="V228" s="5"/>
        <tr r="S248" s="5"/>
      </tp>
      <tp t="s">
        <v>#N/A N/A</v>
        <stp/>
        <stp>BDH|16630370649137730896</stp>
        <tr r="T474" s="5"/>
        <tr r="U469" s="5"/>
        <tr r="W419" s="5"/>
        <tr r="V459" s="5"/>
        <tr r="S479" s="5"/>
      </tp>
      <tp t="s">
        <v>#N/A N/A</v>
        <stp/>
        <stp>BDH|15123865611677378532</stp>
        <tr r="AF369" s="5"/>
        <tr r="AC424" s="5"/>
        <tr r="AD419" s="5"/>
        <tr r="AE409" s="5"/>
        <tr r="AB429" s="5"/>
      </tp>
      <tp t="s">
        <v>#N/A N/A</v>
        <stp/>
        <stp>BDH|16757793018069914763</stp>
        <tr r="V155" s="5"/>
        <tr r="W115" s="5"/>
        <tr r="U165" s="5"/>
        <tr r="T170" s="5"/>
        <tr r="S175" s="5"/>
      </tp>
      <tp t="s">
        <v>#N/A N/A</v>
        <stp/>
        <stp>BDH|10366858164997248788</stp>
        <tr r="W728" s="5"/>
        <tr r="V768" s="5"/>
      </tp>
      <tp t="s">
        <v>#N/A N/A</v>
        <stp/>
        <stp>BDH|13128895055337089754</stp>
        <tr r="AE271" s="5"/>
        <tr r="AC286" s="5"/>
        <tr r="AF231" s="5"/>
        <tr r="AD281" s="5"/>
        <tr r="AB291" s="5"/>
      </tp>
      <tp t="s">
        <v>#N/A N/A</v>
        <stp/>
        <stp>BDH|15652378314118903140</stp>
        <tr r="V746" s="5"/>
        <tr r="W706" s="5"/>
        <tr r="T761" s="5"/>
        <tr r="U756" s="5"/>
        <tr r="S766" s="5"/>
      </tp>
      <tp t="s">
        <v>#N/A N/A</v>
        <stp/>
        <stp>BDH|17936985978930469758</stp>
        <tr r="AC565" s="5"/>
        <tr r="AE550" s="5"/>
        <tr r="AD560" s="5"/>
        <tr r="AF510" s="5"/>
        <tr r="AB570" s="5"/>
      </tp>
      <tp t="s">
        <v>#N/A N/A</v>
        <stp/>
        <stp>BDH|15577648210498368497</stp>
        <tr r="V39" s="5"/>
        <tr r="T54" s="5"/>
        <tr r="U49" s="5"/>
        <tr r="S59" s="5"/>
      </tp>
      <tp t="s">
        <v>#N/A N/A</v>
        <stp/>
        <stp>BDH|11167958658344166763</stp>
        <tr r="V479" s="5"/>
        <tr r="U489" s="5"/>
        <tr r="W439" s="5"/>
        <tr r="T494" s="5"/>
        <tr r="S499" s="5"/>
      </tp>
      <tp t="s">
        <v>#N/A N/A</v>
        <stp/>
        <stp>BDH|16891477386493548778</stp>
        <tr r="W254" s="5"/>
        <tr r="T309" s="5"/>
        <tr r="V294" s="5"/>
        <tr r="U304" s="5"/>
        <tr r="S314" s="5"/>
      </tp>
      <tp t="s">
        <v>#N/A N/A</v>
        <stp/>
        <stp>BDH|15157514784241121789</stp>
        <tr r="W36" s="5"/>
        <tr r="V76" s="5"/>
        <tr r="U86" s="5"/>
        <tr r="T91" s="5"/>
        <tr r="S96" s="5"/>
      </tp>
      <tp t="s">
        <v>#N/A N/A</v>
        <stp/>
        <stp>BDH|15949633454908603050</stp>
        <tr r="U159" s="5"/>
        <tr r="T164" s="5"/>
        <tr r="V149" s="5"/>
        <tr r="W109" s="5"/>
        <tr r="S169" s="5"/>
      </tp>
      <tp t="s">
        <v>#N/A N/A</v>
        <stp/>
        <stp>BDH|10912014467071093922</stp>
        <tr r="T38" s="5"/>
        <tr r="U33" s="5"/>
        <tr r="V23" s="5"/>
        <tr r="S43" s="5"/>
      </tp>
      <tp t="s">
        <v>#N/A N/A</v>
        <stp/>
        <stp>BDH|15546316009441659964</stp>
        <tr r="AE38" s="5"/>
        <tr r="AC53" s="5"/>
        <tr r="AD48" s="5"/>
        <tr r="AB58" s="5"/>
      </tp>
      <tp t="s">
        <v>#N/A N/A</v>
        <stp/>
        <stp>BDH|14926352802639159024</stp>
        <tr r="AE534" s="5"/>
        <tr r="AD544" s="5"/>
        <tr r="AF494" s="5"/>
        <tr r="AC549" s="5"/>
        <tr r="AB554" s="5"/>
      </tp>
      <tp t="s">
        <v>#N/A N/A</v>
        <stp/>
        <stp>BDH|17858199825952126880</stp>
        <tr r="W357" s="5"/>
        <tr r="U407" s="5"/>
        <tr r="V397" s="5"/>
        <tr r="T412" s="5"/>
        <tr r="S417" s="5"/>
      </tp>
      <tp t="s">
        <v>#N/A N/A</v>
        <stp/>
        <stp>BDH|16993744855629035373</stp>
        <tr r="W750" s="5"/>
      </tp>
      <tp t="s">
        <v>#N/A N/A</v>
        <stp/>
        <stp>BDH|10516037072151803834</stp>
        <tr r="AC660" s="5"/>
        <tr r="AF605" s="5"/>
        <tr r="AE645" s="5"/>
        <tr r="AD655" s="5"/>
        <tr r="AB665" s="5"/>
      </tp>
      <tp t="s">
        <v>#N/A N/A</v>
        <stp/>
        <stp>BDH|10895707153149165540</stp>
        <tr r="V49" s="5"/>
        <tr r="U59" s="5"/>
        <tr r="T64" s="5"/>
        <tr r="S69" s="5"/>
      </tp>
      <tp t="s">
        <v>#N/A N/A</v>
        <stp/>
        <stp>BDH|11970727091098531916</stp>
        <tr r="U389" s="5"/>
        <tr r="W339" s="5"/>
        <tr r="T394" s="5"/>
        <tr r="V379" s="5"/>
        <tr r="S399" s="5"/>
      </tp>
      <tp t="s">
        <v>#N/A N/A</v>
        <stp/>
        <stp>BDH|11520754898387490628</stp>
        <tr r="W487" s="5"/>
        <tr r="U537" s="5"/>
        <tr r="V527" s="5"/>
        <tr r="T542" s="5"/>
        <tr r="S547" s="5"/>
      </tp>
      <tp t="s">
        <v>#N/A N/A</v>
        <stp/>
        <stp>BDH|16775879063787134030</stp>
        <tr r="AE474" s="5"/>
        <tr r="AD484" s="5"/>
        <tr r="AF434" s="5"/>
        <tr r="AC489" s="5"/>
        <tr r="AB494" s="5"/>
      </tp>
      <tp t="s">
        <v>#N/A N/A</v>
        <stp/>
        <stp>BDH|12175558830703213870</stp>
        <tr r="AE337" s="5"/>
        <tr r="AC352" s="5"/>
        <tr r="AD347" s="5"/>
        <tr r="AF297" s="5"/>
        <tr r="AB357" s="5"/>
      </tp>
      <tp t="s">
        <v>#N/A N/A</v>
        <stp/>
        <stp>BDH|17301744492951520710</stp>
        <tr r="AD197" s="5"/>
        <tr r="AF148" s="5"/>
        <tr r="AC202" s="5"/>
        <tr r="AE187" s="5"/>
        <tr r="AB207" s="5"/>
      </tp>
      <tp t="s">
        <v>#N/A N/A</v>
        <stp/>
        <stp>BDH|15133743940831373860</stp>
        <tr r="AF344" s="5"/>
        <tr r="AD394" s="5"/>
        <tr r="AC399" s="5"/>
        <tr r="AE384" s="5"/>
        <tr r="AB404" s="5"/>
      </tp>
      <tp t="s">
        <v>#N/A N/A</v>
        <stp/>
        <stp>BDH|18201484360273807628</stp>
        <tr r="W335" s="5"/>
        <tr r="V375" s="5"/>
        <tr r="T390" s="5"/>
        <tr r="U385" s="5"/>
        <tr r="S395" s="5"/>
      </tp>
      <tp t="s">
        <v>#N/A N/A</v>
        <stp/>
        <stp>BDH|17015870808235752583</stp>
        <tr r="V209" s="5"/>
        <tr r="T224" s="5"/>
        <tr r="U219" s="5"/>
        <tr r="W170" s="5"/>
        <tr r="S229" s="5"/>
      </tp>
      <tp t="s">
        <v>#N/A N/A</v>
        <stp/>
        <stp>BDH|17772406524938094608</stp>
        <tr r="AD533" s="5"/>
        <tr r="AE523" s="5"/>
        <tr r="AF483" s="5"/>
        <tr r="AC538" s="5"/>
        <tr r="AB543" s="5"/>
      </tp>
      <tp t="s">
        <v>#N/A N/A</v>
        <stp/>
        <stp>BDH|13463955840858079922</stp>
        <tr r="AC703" s="5"/>
        <tr r="AF648" s="5"/>
        <tr r="AE688" s="5"/>
        <tr r="AD698" s="5"/>
        <tr r="AB708" s="5"/>
      </tp>
      <tp t="s">
        <v>#N/A N/A</v>
        <stp/>
        <stp>BDH|10694865644146390548</stp>
        <tr r="U163" s="5"/>
        <tr r="W113" s="5"/>
        <tr r="V153" s="5"/>
        <tr r="T168" s="5"/>
        <tr r="S173" s="5"/>
      </tp>
      <tp t="s">
        <v>#N/A N/A</v>
        <stp/>
        <stp>BDH|11981993544092399158</stp>
        <tr r="AE198" s="5"/>
        <tr r="AF159" s="5"/>
        <tr r="AC213" s="5"/>
        <tr r="AD208" s="5"/>
        <tr r="AB218" s="5"/>
      </tp>
      <tp t="s">
        <v>#N/A N/A</v>
        <stp/>
        <stp>BDH|14615908791212431917</stp>
        <tr r="AF258" s="5"/>
        <tr r="AD308" s="5"/>
        <tr r="AE298" s="5"/>
        <tr r="AC313" s="5"/>
        <tr r="AB318" s="5"/>
      </tp>
      <tp t="s">
        <v>#N/A N/A</v>
        <stp/>
        <stp>BDH|12434448480022597370</stp>
        <tr r="W267" s="5"/>
        <tr r="V307" s="5"/>
        <tr r="T322" s="5"/>
        <tr r="U317" s="5"/>
        <tr r="S327" s="5"/>
      </tp>
      <tp t="s">
        <v>#N/A N/A</v>
        <stp/>
        <stp>BDH|11505800275082396364</stp>
        <tr r="U736" s="5"/>
        <tr r="W686" s="5"/>
        <tr r="T741" s="5"/>
        <tr r="V726" s="5"/>
        <tr r="S746" s="5"/>
      </tp>
      <tp t="s">
        <v>#N/A N/A</v>
        <stp/>
        <stp>BDH|12953491992817498738</stp>
        <tr r="AC77" s="5"/>
        <tr r="AF22" s="5"/>
        <tr r="AE62" s="5"/>
        <tr r="AD72" s="5"/>
        <tr r="AB82" s="5"/>
      </tp>
      <tp t="s">
        <v>#N/A N/A</v>
        <stp/>
        <stp>BDH|18100811640423671833</stp>
        <tr r="AD340" s="5"/>
        <tr r="AC345" s="5"/>
        <tr r="AE330" s="5"/>
        <tr r="AF290" s="5"/>
        <tr r="AB350" s="5"/>
      </tp>
      <tp t="s">
        <v>#N/A N/A</v>
        <stp/>
        <stp>BDH|15779368685884887584</stp>
        <tr r="U70" s="5"/>
        <tr r="V60" s="5"/>
        <tr r="T75" s="5"/>
        <tr r="S80" s="5"/>
      </tp>
      <tp t="s">
        <v>#N/A N/A</v>
        <stp/>
        <stp>BDH|15229271719380827901</stp>
        <tr r="V517" s="5"/>
        <tr r="U527" s="5"/>
        <tr r="W477" s="5"/>
        <tr r="T532" s="5"/>
        <tr r="S537" s="5"/>
      </tp>
      <tp t="s">
        <v>#N/A N/A</v>
        <stp/>
        <stp>BDH|14322463673478627045</stp>
        <tr r="V546" s="5"/>
        <tr r="T561" s="5"/>
        <tr r="U556" s="5"/>
        <tr r="W506" s="5"/>
        <tr r="S566" s="5"/>
      </tp>
      <tp t="s">
        <v>#N/A N/A</v>
        <stp/>
        <stp>BDH|11723847124867356331</stp>
        <tr r="W183" s="5"/>
        <tr r="T238" s="5"/>
        <tr r="U233" s="5"/>
        <tr r="V223" s="5"/>
        <tr r="S243" s="5"/>
      </tp>
      <tp t="s">
        <v>#N/A N/A</v>
        <stp/>
        <stp>BDH|11703520052767034907</stp>
        <tr r="W112" s="5"/>
        <tr r="V152" s="5"/>
        <tr r="T167" s="5"/>
        <tr r="U162" s="5"/>
        <tr r="S172" s="5"/>
      </tp>
      <tp t="s">
        <v>#N/A N/A</v>
        <stp/>
        <stp>BDH|10081605070659673705</stp>
        <tr r="AD659" s="5"/>
        <tr r="AC664" s="5"/>
        <tr r="AF609" s="5"/>
        <tr r="AE649" s="5"/>
        <tr r="AB669" s="5"/>
      </tp>
      <tp t="s">
        <v>#N/A N/A</v>
        <stp/>
        <stp>BDH|10399404196072213019</stp>
        <tr r="AD199" s="5"/>
        <tr r="AC204" s="5"/>
        <tr r="AE189" s="5"/>
        <tr r="AF150" s="5"/>
        <tr r="AB209" s="5"/>
      </tp>
      <tp t="s">
        <v>#N/A N/A</v>
        <stp/>
        <stp>BDH|10504968304280765695</stp>
        <tr r="U279" s="5"/>
        <tr r="W229" s="5"/>
        <tr r="T284" s="5"/>
        <tr r="V269" s="5"/>
        <tr r="S289" s="5"/>
      </tp>
      <tp t="s">
        <v>#N/A N/A</v>
        <stp/>
        <stp>BDH|16821856778413963559</stp>
        <tr r="AC696" s="5"/>
        <tr r="AD691" s="5"/>
        <tr r="AF641" s="5"/>
        <tr r="AE681" s="5"/>
        <tr r="AB701" s="5"/>
      </tp>
      <tp t="s">
        <v>#N/A N/A</v>
        <stp/>
        <stp>BDH|15819980921959999812</stp>
        <tr r="U613" s="5"/>
        <tr r="V603" s="5"/>
        <tr r="W563" s="5"/>
        <tr r="T618" s="5"/>
        <tr r="S623" s="5"/>
      </tp>
      <tp t="s">
        <v>#N/A N/A</v>
        <stp/>
        <stp>BDH|16302396610708364305</stp>
        <tr r="AD473" s="5"/>
        <tr r="AE463" s="5"/>
        <tr r="AF423" s="5"/>
        <tr r="AC478" s="5"/>
        <tr r="AB483" s="5"/>
      </tp>
      <tp t="s">
        <v>#N/A N/A</v>
        <stp/>
        <stp>BDH|16919434645601255841</stp>
        <tr r="U533" s="5"/>
        <tr r="V523" s="5"/>
        <tr r="W483" s="5"/>
        <tr r="T538" s="5"/>
        <tr r="S543" s="5"/>
      </tp>
      <tp t="s">
        <v>#N/A N/A</v>
        <stp/>
        <stp>BDH|16560728088567090179</stp>
        <tr r="W524" s="5"/>
        <tr r="U574" s="5"/>
        <tr r="V564" s="5"/>
        <tr r="T579" s="5"/>
        <tr r="S584" s="5"/>
      </tp>
      <tp t="s">
        <v>#N/A N/A</v>
        <stp/>
        <stp>BDH|17557631684940807623</stp>
        <tr r="AF742" s="5"/>
      </tp>
      <tp t="s">
        <v>#N/A N/A</v>
        <stp/>
        <stp>BDH|16773733235055012891</stp>
        <tr r="U65" s="5"/>
        <tr r="T70" s="5"/>
        <tr r="V55" s="5"/>
        <tr r="S75" s="5"/>
      </tp>
      <tp t="s">
        <v>#N/A N/A</v>
        <stp/>
        <stp>BDH|17704048687504730485</stp>
        <tr r="AF165" s="5"/>
        <tr r="AE204" s="5"/>
        <tr r="AC219" s="5"/>
        <tr r="AD214" s="5"/>
        <tr r="AB224" s="5"/>
      </tp>
      <tp t="s">
        <v>#N/A N/A</v>
        <stp/>
        <stp>BDH|14557886871056536228</stp>
        <tr r="AC335" s="5"/>
        <tr r="AF280" s="5"/>
        <tr r="AE320" s="5"/>
        <tr r="AD330" s="5"/>
        <tr r="AB340" s="5"/>
      </tp>
      <tp t="s">
        <v>#N/A N/A</v>
        <stp/>
        <stp>BDH|11773270176949810253</stp>
        <tr r="AF47" s="5"/>
        <tr r="AC102" s="5"/>
        <tr r="AE87" s="5"/>
        <tr r="AD97" s="5"/>
        <tr r="AB107" s="5"/>
      </tp>
      <tp t="s">
        <v>#N/A N/A</v>
        <stp/>
        <stp>BDH|15751352685631801041</stp>
        <tr r="AD769" s="5"/>
        <tr r="AE759" s="5"/>
        <tr r="AF719" s="5"/>
      </tp>
      <tp t="s">
        <v>#N/A N/A</v>
        <stp/>
        <stp>BDH|11988498697955490698</stp>
        <tr r="AD98" s="5"/>
        <tr r="AF48" s="5"/>
        <tr r="AE88" s="5"/>
        <tr r="AC103" s="5"/>
        <tr r="AB108" s="5"/>
      </tp>
      <tp t="s">
        <v>#N/A N/A</v>
        <stp/>
        <stp>BDH|18423262677144681696</stp>
        <tr r="U285" s="5"/>
        <tr r="V275" s="5"/>
        <tr r="W235" s="5"/>
        <tr r="T290" s="5"/>
        <tr r="S295" s="5"/>
      </tp>
      <tp t="s">
        <v>#N/A N/A</v>
        <stp/>
        <stp>BDH|13393918274957217594</stp>
        <tr r="U661" s="5"/>
        <tr r="W611" s="5"/>
        <tr r="T666" s="5"/>
        <tr r="V651" s="5"/>
        <tr r="S671" s="5"/>
      </tp>
      <tp t="s">
        <v>#N/A N/A</v>
        <stp/>
        <stp>BDH|10412250289907297272</stp>
        <tr r="AC153" s="5"/>
        <tr r="AD148" s="5"/>
        <tr r="AF98" s="5"/>
        <tr r="AE138" s="5"/>
        <tr r="AB158" s="5"/>
      </tp>
      <tp t="s">
        <v>#N/A N/A</v>
        <stp/>
        <stp>BDH|11529396063463191817</stp>
        <tr r="AF416" s="5"/>
        <tr r="AD466" s="5"/>
        <tr r="AE456" s="5"/>
        <tr r="AC471" s="5"/>
        <tr r="AB476" s="5"/>
      </tp>
      <tp t="s">
        <v>#N/A N/A</v>
        <stp/>
        <stp>BDH|17139290306102677875</stp>
        <tr r="T586" s="5"/>
        <tr r="V571" s="5"/>
        <tr r="W531" s="5"/>
        <tr r="U581" s="5"/>
        <tr r="S591" s="5"/>
      </tp>
      <tp t="s">
        <v>#N/A N/A</v>
        <stp/>
        <stp>BDH|17208820363896429092</stp>
        <tr r="V365" s="5"/>
        <tr r="T380" s="5"/>
        <tr r="U375" s="5"/>
        <tr r="W325" s="5"/>
        <tr r="S385" s="5"/>
      </tp>
      <tp t="s">
        <v>#N/A N/A</v>
        <stp/>
        <stp>BDH|17280493479558482388</stp>
        <tr r="V574" s="5"/>
        <tr r="W534" s="5"/>
        <tr r="U584" s="5"/>
        <tr r="T589" s="5"/>
        <tr r="S594" s="5"/>
      </tp>
      <tp t="s">
        <v>#N/A N/A</v>
        <stp/>
        <stp>BDH|11478724650058039483</stp>
        <tr r="T303" s="5"/>
        <tr r="U298" s="5"/>
        <tr r="W248" s="5"/>
        <tr r="V288" s="5"/>
        <tr r="S308" s="5"/>
      </tp>
      <tp t="s">
        <v>#N/A N/A</v>
        <stp/>
        <stp>BDH|18088876954191375813</stp>
        <tr r="AF661" s="5"/>
        <tr r="AE701" s="5"/>
        <tr r="AD711" s="5"/>
        <tr r="AC716" s="5"/>
        <tr r="AB721" s="5"/>
      </tp>
      <tp t="s">
        <v>#N/A N/A</v>
        <stp/>
        <stp>BDH|14905380871979368524</stp>
        <tr r="W492" s="5"/>
        <tr r="U542" s="5"/>
        <tr r="T547" s="5"/>
        <tr r="V532" s="5"/>
        <tr r="S552" s="5"/>
      </tp>
      <tp t="s">
        <v>#N/A N/A</v>
        <stp/>
        <stp>BDH|15366001586899642822</stp>
        <tr r="AD265" s="5"/>
        <tr r="AC270" s="5"/>
        <tr r="AE255" s="5"/>
        <tr r="AF215" s="5"/>
        <tr r="AB275" s="5"/>
      </tp>
      <tp t="s">
        <v>#N/A N/A</v>
        <stp/>
        <stp>BDH|17295596088203558576</stp>
        <tr r="AE180" s="5"/>
        <tr r="AC194" s="5"/>
        <tr r="AD189" s="5"/>
        <tr r="AF140" s="5"/>
        <tr r="AB199" s="5"/>
      </tp>
      <tp t="s">
        <v>#N/A N/A</v>
        <stp/>
        <stp>BDH|15106987429820919290</stp>
        <tr r="W396" s="5"/>
        <tr r="T451" s="5"/>
        <tr r="U446" s="5"/>
        <tr r="V436" s="5"/>
        <tr r="S456" s="5"/>
      </tp>
      <tp t="s">
        <v>#N/A N/A</v>
        <stp/>
        <stp>BDH|13452020813308088665</stp>
        <tr r="W342" s="5"/>
        <tr r="V382" s="5"/>
        <tr r="U392" s="5"/>
        <tr r="T397" s="5"/>
        <tr r="S402" s="5"/>
      </tp>
      <tp t="s">
        <v>#N/A N/A</v>
        <stp/>
        <stp>BDH|15621839398949796192</stp>
        <tr r="AD554" s="5"/>
        <tr r="AC559" s="5"/>
        <tr r="AF504" s="5"/>
        <tr r="AE544" s="5"/>
        <tr r="AB564" s="5"/>
      </tp>
      <tp t="s">
        <v>#N/A N/A</v>
        <stp/>
        <stp>BDH|12162500781224640758</stp>
        <tr r="AF555" s="5"/>
        <tr r="AD605" s="5"/>
        <tr r="AE595" s="5"/>
        <tr r="AC610" s="5"/>
        <tr r="AB615" s="5"/>
      </tp>
      <tp t="s">
        <v>#N/A N/A</v>
        <stp/>
        <stp>BDH|13421199031695809871</stp>
        <tr r="U530" s="5"/>
        <tr r="T535" s="5"/>
        <tr r="W480" s="5"/>
        <tr r="V520" s="5"/>
        <tr r="S540" s="5"/>
      </tp>
      <tp t="s">
        <v>#N/A N/A</v>
        <stp/>
        <stp>BDH|12411969962936098734</stp>
        <tr r="AD702" s="5"/>
        <tr r="AF652" s="5"/>
        <tr r="AE692" s="5"/>
        <tr r="AC707" s="5"/>
        <tr r="AB712" s="5"/>
      </tp>
      <tp t="s">
        <v>#N/A N/A</v>
        <stp/>
        <stp>BDH|12801555299702733000</stp>
        <tr r="U456" s="5"/>
        <tr r="T461" s="5"/>
        <tr r="V446" s="5"/>
        <tr r="W406" s="5"/>
        <tr r="S466" s="5"/>
      </tp>
      <tp t="s">
        <v>#N/A N/A</v>
        <stp/>
        <stp>BDH|10799256166891732902</stp>
        <tr r="AC200" s="5"/>
        <tr r="AE185" s="5"/>
        <tr r="AD195" s="5"/>
        <tr r="AF146" s="5"/>
        <tr r="AB205" s="5"/>
      </tp>
      <tp t="s">
        <v>#N/A N/A</v>
        <stp/>
        <stp>BDH|15499902027426760462</stp>
        <tr r="T21" s="5"/>
        <tr r="S26" s="5"/>
      </tp>
      <tp t="s">
        <v>#N/A N/A</v>
        <stp/>
        <stp>BDH|10835285599154294393</stp>
        <tr r="AD703" s="5"/>
        <tr r="AE693" s="5"/>
        <tr r="AF653" s="5"/>
        <tr r="AC708" s="5"/>
        <tr r="AB713" s="5"/>
      </tp>
      <tp t="s">
        <v>#N/A N/A</v>
        <stp/>
        <stp>BDH|15322727568440948829</stp>
        <tr r="V455" s="5"/>
        <tr r="T470" s="5"/>
        <tr r="U465" s="5"/>
        <tr r="W415" s="5"/>
        <tr r="S475" s="5"/>
      </tp>
      <tp t="s">
        <v>#N/A N/A</v>
        <stp/>
        <stp>BDH|11788509854439713466</stp>
        <tr r="AD559" s="5"/>
        <tr r="AF509" s="5"/>
        <tr r="AC564" s="5"/>
        <tr r="AE549" s="5"/>
        <tr r="AB569" s="5"/>
      </tp>
      <tp t="s">
        <v>#N/A N/A</v>
        <stp/>
        <stp>BDH|15584838821276468511</stp>
        <tr r="AE233" s="5"/>
        <tr r="AF193" s="5"/>
        <tr r="AC248" s="5"/>
        <tr r="AD243" s="5"/>
        <tr r="AB253" s="5"/>
      </tp>
      <tp t="s">
        <v>#N/A N/A</v>
        <stp/>
        <stp>BDH|18132432908072723281</stp>
        <tr r="T405" s="5"/>
        <tr r="U400" s="5"/>
        <tr r="W350" s="5"/>
        <tr r="V390" s="5"/>
        <tr r="S410" s="5"/>
      </tp>
      <tp t="s">
        <v>#N/A N/A</v>
        <stp/>
        <stp>BDH|14543196429102283933</stp>
        <tr r="V766" s="5"/>
        <tr r="W726" s="5"/>
      </tp>
      <tp t="s">
        <v>#N/A N/A</v>
        <stp/>
        <stp>BDH|18017764732858951897</stp>
        <tr r="AD496" s="5"/>
        <tr r="AC501" s="5"/>
        <tr r="AF446" s="5"/>
        <tr r="AE486" s="5"/>
        <tr r="AB506" s="5"/>
      </tp>
      <tp t="s">
        <v>#N/A N/A</v>
        <stp/>
        <stp>BDH|12253954936655361163</stp>
        <tr r="V199" s="5"/>
        <tr r="U209" s="5"/>
        <tr r="W160" s="5"/>
        <tr r="T214" s="5"/>
        <tr r="S219" s="5"/>
      </tp>
      <tp t="s">
        <v>#N/A N/A</v>
        <stp/>
        <stp>BDH|10722628064508474424</stp>
        <tr r="AF491" s="5"/>
        <tr r="AE531" s="5"/>
        <tr r="AC546" s="5"/>
        <tr r="AD541" s="5"/>
        <tr r="AB551" s="5"/>
      </tp>
      <tp t="s">
        <v>#N/A N/A</v>
        <stp/>
        <stp>BDH|15520956682421292978</stp>
        <tr r="V158" s="5"/>
        <tr r="W118" s="5"/>
        <tr r="U168" s="5"/>
        <tr r="T173" s="5"/>
        <tr r="S178" s="5"/>
      </tp>
      <tp t="s">
        <v>#N/A N/A</v>
        <stp/>
        <stp>BDH|14595838468282950402</stp>
        <tr r="AC97" s="5"/>
        <tr r="AE82" s="5"/>
        <tr r="AF42" s="5"/>
        <tr r="AD92" s="5"/>
        <tr r="AB102" s="5"/>
      </tp>
      <tp t="s">
        <v>#N/A N/A</v>
        <stp/>
        <stp>BDH|10418826422267434168</stp>
        <tr r="AE222" s="5"/>
        <tr r="AD232" s="5"/>
        <tr r="AC237" s="5"/>
        <tr r="AB242" s="5"/>
      </tp>
      <tp t="s">
        <v>#N/A N/A</v>
        <stp/>
        <stp>BDH|11554830884639094444</stp>
        <tr r="T339" s="5"/>
        <tr r="V324" s="5"/>
        <tr r="U334" s="5"/>
        <tr r="W284" s="5"/>
        <tr r="S344" s="5"/>
      </tp>
      <tp t="s">
        <v>#N/A N/A</v>
        <stp/>
        <stp>BDH|16128437333284004975</stp>
        <tr r="AC632" s="5"/>
        <tr r="AD627" s="5"/>
        <tr r="AE617" s="5"/>
        <tr r="AF577" s="5"/>
        <tr r="AB637" s="5"/>
      </tp>
      <tp t="s">
        <v>#N/A N/A</v>
        <stp/>
        <stp>BDH|15887962467050755688</stp>
        <tr r="T40" s="5"/>
        <tr r="U35" s="5"/>
        <tr r="V25" s="5"/>
        <tr r="S45" s="5"/>
      </tp>
      <tp t="s">
        <v>#N/A N/A</v>
        <stp/>
        <stp>BDH|11113210189363659492</stp>
        <tr r="AE586" s="5"/>
        <tr r="AD596" s="5"/>
        <tr r="AC601" s="5"/>
        <tr r="AF546" s="5"/>
        <tr r="AB606" s="5"/>
      </tp>
      <tp t="s">
        <v>#N/A N/A</v>
        <stp/>
        <stp>BDH|17582186813308109362</stp>
        <tr r="AC720" s="5"/>
        <tr r="AD715" s="5"/>
        <tr r="AF665" s="5"/>
        <tr r="AE705" s="5"/>
        <tr r="AB725" s="5"/>
      </tp>
      <tp t="s">
        <v>#N/A N/A</v>
        <stp/>
        <stp>BDH|13544159598064320334</stp>
        <tr r="AD328" s="5"/>
        <tr r="AC333" s="5"/>
        <tr r="AF278" s="5"/>
        <tr r="AE318" s="5"/>
        <tr r="AB338" s="5"/>
      </tp>
      <tp t="s">
        <v>#N/A N/A</v>
        <stp/>
        <stp>BDH|11788797398532766195</stp>
        <tr r="T226" s="5"/>
        <tr r="U221" s="5"/>
        <tr r="V211" s="5"/>
        <tr r="W172" s="5"/>
        <tr r="S231" s="5"/>
      </tp>
      <tp t="s">
        <v>#N/A N/A</v>
        <stp/>
        <stp>BDH|11559896447706684755</stp>
        <tr r="AD237" s="5"/>
        <tr r="AF187" s="5"/>
        <tr r="AE227" s="5"/>
        <tr r="AC242" s="5"/>
        <tr r="AB247" s="5"/>
      </tp>
      <tp t="s">
        <v>#N/A N/A</v>
        <stp/>
        <stp>BDH|10531189394503787763</stp>
        <tr r="AC331" s="5"/>
        <tr r="AD326" s="5"/>
        <tr r="AF276" s="5"/>
        <tr r="AE316" s="5"/>
        <tr r="AB336" s="5"/>
      </tp>
      <tp t="s">
        <v>#N/A N/A</v>
        <stp/>
        <stp>BDH|15092104859695153826</stp>
        <tr r="W338" s="5"/>
        <tr r="T393" s="5"/>
        <tr r="U388" s="5"/>
        <tr r="V378" s="5"/>
        <tr r="S398" s="5"/>
      </tp>
      <tp t="s">
        <v>#N/A N/A</v>
        <stp/>
        <stp>BDH|13758199235878158504</stp>
        <tr r="W744" s="5"/>
      </tp>
      <tp t="s">
        <v>#N/A N/A</v>
        <stp/>
        <stp>BDH|11885881029802515565</stp>
        <tr r="T756" s="5"/>
        <tr r="U751" s="5"/>
        <tr r="W701" s="5"/>
        <tr r="V741" s="5"/>
        <tr r="S761" s="5"/>
      </tp>
      <tp t="s">
        <v>#N/A N/A</v>
        <stp/>
        <stp>BDH|18160922413734598881</stp>
        <tr r="U531" s="5"/>
        <tr r="T536" s="5"/>
        <tr r="W481" s="5"/>
        <tr r="V521" s="5"/>
        <tr r="S541" s="5"/>
      </tp>
      <tp t="s">
        <v>#N/A N/A</v>
        <stp/>
        <stp>BDH|13612431664604879949</stp>
        <tr r="AE336" s="5"/>
        <tr r="AD346" s="5"/>
        <tr r="AF296" s="5"/>
        <tr r="AC351" s="5"/>
        <tr r="AB356" s="5"/>
      </tp>
      <tp t="s">
        <v>#N/A N/A</v>
        <stp/>
        <stp>BDH|10743871655800991119</stp>
        <tr r="AF440" s="5"/>
        <tr r="AC495" s="5"/>
        <tr r="AD490" s="5"/>
        <tr r="AE480" s="5"/>
        <tr r="AB500" s="5"/>
      </tp>
      <tp t="s">
        <v>#N/A N/A</v>
        <stp/>
        <stp>BDH|17442735087801466592</stp>
        <tr r="W567" s="5"/>
        <tr r="U617" s="5"/>
        <tr r="V607" s="5"/>
        <tr r="T622" s="5"/>
        <tr r="S627" s="5"/>
      </tp>
      <tp t="s">
        <v>#N/A N/A</v>
        <stp/>
        <stp>BDH|13780252564233832821</stp>
        <tr r="AD21" s="5"/>
        <tr r="AC26" s="5"/>
        <tr r="AB31" s="5"/>
      </tp>
      <tp t="s">
        <v>#N/A N/A</v>
        <stp/>
        <stp>BDH|15140924404270284094</stp>
        <tr r="V385" s="5"/>
        <tr r="W345" s="5"/>
        <tr r="T400" s="5"/>
        <tr r="U395" s="5"/>
        <tr r="S405" s="5"/>
      </tp>
      <tp t="s">
        <v>#N/A N/A</v>
        <stp/>
        <stp>BDH|15555606814616552882</stp>
        <tr r="AD485" s="5"/>
        <tr r="AF435" s="5"/>
        <tr r="AC490" s="5"/>
        <tr r="AE475" s="5"/>
        <tr r="AB495" s="5"/>
      </tp>
      <tp t="s">
        <v>#N/A N/A</v>
        <stp/>
        <stp>BDH|15643586767768718226</stp>
        <tr r="T90" s="5"/>
        <tr r="U85" s="5"/>
        <tr r="W35" s="5"/>
        <tr r="V75" s="5"/>
        <tr r="S95" s="5"/>
      </tp>
      <tp t="s">
        <v>#N/A N/A</v>
        <stp/>
        <stp>BDH|16043205618851489838</stp>
        <tr r="V271" s="5"/>
        <tr r="T286" s="5"/>
        <tr r="W231" s="5"/>
        <tr r="U281" s="5"/>
        <tr r="S291" s="5"/>
      </tp>
      <tp t="s">
        <v>#N/A N/A</v>
        <stp/>
        <stp>BDH|16298034725528383083</stp>
        <tr r="V762" s="5"/>
        <tr r="W722" s="5"/>
      </tp>
      <tp t="s">
        <v>#N/A N/A</v>
        <stp/>
        <stp>BDH|13461495030468125032</stp>
        <tr r="V502" s="5"/>
        <tr r="W462" s="5"/>
        <tr r="U512" s="5"/>
        <tr r="T517" s="5"/>
        <tr r="S522" s="5"/>
      </tp>
      <tp t="s">
        <v>#N/A N/A</v>
        <stp/>
        <stp>BDH|15198884522716498505</stp>
        <tr r="AF220" s="5"/>
        <tr r="AE260" s="5"/>
        <tr r="AC275" s="5"/>
        <tr r="AD270" s="5"/>
        <tr r="AB280" s="5"/>
      </tp>
      <tp t="s">
        <v>#N/A N/A</v>
        <stp/>
        <stp>BDH|18435038438147839097</stp>
        <tr r="T95" s="5"/>
        <tr r="U90" s="5"/>
        <tr r="V80" s="5"/>
        <tr r="W40" s="5"/>
        <tr r="S100" s="5"/>
      </tp>
      <tp t="s">
        <v>#N/A N/A</v>
        <stp/>
        <stp>BDH|14566838367627853173</stp>
        <tr r="T319" s="5"/>
        <tr r="V304" s="5"/>
        <tr r="W264" s="5"/>
        <tr r="U314" s="5"/>
        <tr r="S324" s="5"/>
      </tp>
      <tp t="s">
        <v>#N/A N/A</v>
        <stp/>
        <stp>BDH|11014091513679165554</stp>
        <tr r="AC652" s="5"/>
        <tr r="AD647" s="5"/>
        <tr r="AF597" s="5"/>
        <tr r="AE637" s="5"/>
        <tr r="AB657" s="5"/>
      </tp>
      <tp t="s">
        <v>#N/A N/A</v>
        <stp/>
        <stp>BDH|15062923524360300344</stp>
        <tr r="AE121" s="5"/>
        <tr r="AD131" s="5"/>
        <tr r="AC136" s="5"/>
        <tr r="AF81" s="5"/>
        <tr r="AB141" s="5"/>
      </tp>
      <tp t="s">
        <v>#N/A N/A</v>
        <stp/>
        <stp>BDH|13533672103718747075</stp>
        <tr r="W74" s="5"/>
        <tr r="U124" s="5"/>
        <tr r="V114" s="5"/>
        <tr r="T129" s="5"/>
        <tr r="S134" s="5"/>
      </tp>
      <tp t="s">
        <v>#N/A N/A</v>
        <stp/>
        <stp>BDH|10608194694607916237</stp>
        <tr r="AF76" s="5"/>
        <tr r="AC131" s="5"/>
        <tr r="AE116" s="5"/>
        <tr r="AD126" s="5"/>
        <tr r="AB136" s="5"/>
      </tp>
      <tp t="s">
        <v>#N/A N/A</v>
        <stp/>
        <stp>BDH|18242879831906061848</stp>
        <tr r="AC566" s="5"/>
        <tr r="AF511" s="5"/>
        <tr r="AD561" s="5"/>
        <tr r="AE551" s="5"/>
        <tr r="AB571" s="5"/>
      </tp>
      <tp t="s">
        <v>#N/A N/A</v>
        <stp/>
        <stp>BDH|13481681046389019598</stp>
        <tr r="U681" s="5"/>
        <tr r="T686" s="5"/>
        <tr r="W631" s="5"/>
        <tr r="V671" s="5"/>
        <tr r="S691" s="5"/>
      </tp>
      <tp t="s">
        <v>#N/A N/A</v>
        <stp/>
        <stp>BDH|13048840604494566266</stp>
        <tr r="AC753" s="5"/>
        <tr r="AE738" s="5"/>
        <tr r="AD748" s="5"/>
        <tr r="AF698" s="5"/>
        <tr r="AB758" s="5"/>
      </tp>
      <tp t="s">
        <v>#N/A N/A</v>
        <stp/>
        <stp>BDH|14580942226797303579</stp>
        <tr r="AD566" s="5"/>
        <tr r="AC571" s="5"/>
        <tr r="AE556" s="5"/>
        <tr r="AF516" s="5"/>
        <tr r="AB576" s="5"/>
      </tp>
      <tp t="s">
        <v>#N/A N/A</v>
        <stp/>
        <stp>BDH|10027158664863196921</stp>
        <tr r="V65" s="5"/>
        <tr r="T80" s="5"/>
        <tr r="U75" s="5"/>
        <tr r="W25" s="5"/>
        <tr r="S85" s="5"/>
      </tp>
      <tp t="s">
        <v>#N/A N/A</v>
        <stp/>
        <stp>BDH|10523912497938254535</stp>
        <tr r="AC722" s="5"/>
        <tr r="AF667" s="5"/>
        <tr r="AE707" s="5"/>
        <tr r="AD717" s="5"/>
        <tr r="AB727" s="5"/>
      </tp>
      <tp t="s">
        <v>#N/A N/A</v>
        <stp/>
        <stp>BDH|16830816782139920205</stp>
        <tr r="AE609" s="5"/>
        <tr r="AD619" s="5"/>
        <tr r="AF569" s="5"/>
        <tr r="AC624" s="5"/>
        <tr r="AB629" s="5"/>
      </tp>
      <tp t="s">
        <v>#N/A N/A</v>
        <stp/>
        <stp>BDH|11145638835629422065</stp>
        <tr r="V590" s="5"/>
        <tr r="T605" s="5"/>
        <tr r="U600" s="5"/>
        <tr r="W550" s="5"/>
        <tr r="S610" s="5"/>
      </tp>
      <tp t="s">
        <v>#N/A N/A</v>
        <stp/>
        <stp>BDH|17059914206141302217</stp>
        <tr r="W270" s="5"/>
        <tr r="V310" s="5"/>
        <tr r="T325" s="5"/>
        <tr r="U320" s="5"/>
        <tr r="S330" s="5"/>
      </tp>
      <tp t="s">
        <v>#N/A N/A</v>
        <stp/>
        <stp>BDH|13196750948118898515</stp>
        <tr r="AE493" s="5"/>
        <tr r="AC508" s="5"/>
        <tr r="AF453" s="5"/>
        <tr r="AD503" s="5"/>
        <tr r="AB513" s="5"/>
      </tp>
      <tp t="s">
        <v>#N/A N/A</v>
        <stp/>
        <stp>BDH|10106140487776239248</stp>
        <tr r="AD359" s="5"/>
        <tr r="AF309" s="5"/>
        <tr r="AC364" s="5"/>
        <tr r="AE349" s="5"/>
        <tr r="AB369" s="5"/>
      </tp>
      <tp t="s">
        <v>#N/A N/A</v>
        <stp/>
        <stp>BDH|10562979204702391616</stp>
        <tr r="U54" s="5"/>
        <tr r="T59" s="5"/>
        <tr r="V44" s="5"/>
        <tr r="S64" s="5"/>
      </tp>
      <tp t="s">
        <v>#N/A N/A</v>
        <stp/>
        <stp>BDH|16299801758003590588</stp>
        <tr r="AC166" s="5"/>
        <tr r="AD161" s="5"/>
        <tr r="AF111" s="5"/>
        <tr r="AE151" s="5"/>
        <tr r="AB171" s="5"/>
      </tp>
      <tp t="s">
        <v>#N/A N/A</v>
        <stp/>
        <stp>BDH|10463800499194880828</stp>
        <tr r="T205" s="5"/>
        <tr r="U200" s="5"/>
        <tr r="V190" s="5"/>
        <tr r="W151" s="5"/>
        <tr r="S210" s="5"/>
      </tp>
      <tp t="s">
        <v>#N/A N/A</v>
        <stp/>
        <stp>BDH|14800188895327779642</stp>
        <tr r="U696" s="5"/>
        <tr r="T701" s="5"/>
        <tr r="W646" s="5"/>
        <tr r="V686" s="5"/>
        <tr r="S706" s="5"/>
      </tp>
      <tp t="s">
        <v>#N/A N/A</v>
        <stp/>
        <stp>BDH|11932431096608762929</stp>
        <tr r="AF502" s="5"/>
        <tr r="AE542" s="5"/>
        <tr r="AC557" s="5"/>
        <tr r="AD552" s="5"/>
        <tr r="AB562" s="5"/>
      </tp>
      <tp t="s">
        <v>#N/A N/A</v>
        <stp/>
        <stp>BDH|15983965546143864682</stp>
        <tr r="T625" s="5"/>
        <tr r="U620" s="5"/>
        <tr r="W570" s="5"/>
        <tr r="V610" s="5"/>
        <tr r="S630" s="5"/>
      </tp>
      <tp t="s">
        <v>#N/A N/A</v>
        <stp/>
        <stp>BDH|10541725409499467334</stp>
        <tr r="V734" s="5"/>
        <tr r="W694" s="5"/>
        <tr r="U744" s="5"/>
        <tr r="T749" s="5"/>
        <tr r="S754" s="5"/>
      </tp>
      <tp t="s">
        <v>#N/A N/A</v>
        <stp/>
        <stp>BDH|13837307800019158413</stp>
        <tr r="AF728" s="5"/>
        <tr r="AE768" s="5"/>
      </tp>
      <tp t="s">
        <v>#N/A N/A</v>
        <stp/>
        <stp>BDH|10286986912254024132</stp>
        <tr r="AD648" s="5"/>
        <tr r="AF598" s="5"/>
        <tr r="AE638" s="5"/>
        <tr r="AC653" s="5"/>
        <tr r="AB658" s="5"/>
      </tp>
      <tp t="s">
        <v>#N/A N/A</v>
        <stp/>
        <stp>BDH|10985360076389337014</stp>
        <tr r="U39" s="5"/>
        <tr r="V29" s="5"/>
        <tr r="T44" s="5"/>
        <tr r="S49" s="5"/>
      </tp>
      <tp t="s">
        <v>#N/A N/A</v>
        <stp/>
        <stp>BDH|16274926269751785558</stp>
        <tr r="W734" s="5"/>
      </tp>
      <tp t="s">
        <v>#N/A N/A</v>
        <stp/>
        <stp>BDH|10309874754122983236</stp>
        <tr r="U339" s="5"/>
        <tr r="T344" s="5"/>
        <tr r="W289" s="5"/>
        <tr r="V329" s="5"/>
        <tr r="S349" s="5"/>
      </tp>
      <tp t="s">
        <v>#N/A N/A</v>
        <stp/>
        <stp>BDH|11363960215140253484</stp>
        <tr r="V405" s="5"/>
        <tr r="U415" s="5"/>
        <tr r="W365" s="5"/>
        <tr r="T420" s="5"/>
        <tr r="S425" s="5"/>
      </tp>
      <tp t="s">
        <v>#N/A N/A</v>
        <stp/>
        <stp>BDH|18050082626332022538</stp>
        <tr r="AF685" s="5"/>
        <tr r="AC740" s="5"/>
        <tr r="AD735" s="5"/>
        <tr r="AE725" s="5"/>
        <tr r="AB745" s="5"/>
      </tp>
      <tp t="s">
        <v>#N/A N/A</v>
        <stp/>
        <stp>BDH|15269086620623030973</stp>
        <tr r="U175" s="5"/>
        <tr r="T180" s="5"/>
        <tr r="W125" s="5"/>
        <tr r="V165" s="5"/>
        <tr r="S184" s="5"/>
      </tp>
      <tp t="s">
        <v>#N/A N/A</v>
        <stp/>
        <stp>BDH|14744985527537583514</stp>
        <tr r="W152" s="5"/>
        <tr r="V191" s="5"/>
        <tr r="U201" s="5"/>
        <tr r="T206" s="5"/>
        <tr r="S211" s="5"/>
      </tp>
      <tp t="s">
        <v>#N/A N/A</v>
        <stp/>
        <stp>BDH|18346119171480583393</stp>
        <tr r="AC514" s="5"/>
        <tr r="AD509" s="5"/>
        <tr r="AF459" s="5"/>
        <tr r="AE499" s="5"/>
        <tr r="AB519" s="5"/>
      </tp>
      <tp t="s">
        <v>#N/A N/A</v>
        <stp/>
        <stp>BDH|17016386796521000102</stp>
        <tr r="U659" s="5"/>
        <tr r="T664" s="5"/>
        <tr r="W609" s="5"/>
        <tr r="V649" s="5"/>
        <tr r="S669" s="5"/>
      </tp>
      <tp t="s">
        <v>#N/A N/A</v>
        <stp/>
        <stp>BDH|16379457495546840057</stp>
        <tr r="AF644" s="5"/>
        <tr r="AC699" s="5"/>
        <tr r="AD694" s="5"/>
        <tr r="AE684" s="5"/>
        <tr r="AB704" s="5"/>
      </tp>
      <tp t="s">
        <v>#N/A N/A</v>
        <stp/>
        <stp>BDH|16581244844773683129</stp>
        <tr r="AC41" s="5"/>
        <tr r="AE26" s="5"/>
        <tr r="AD36" s="5"/>
        <tr r="AB46" s="5"/>
      </tp>
      <tp t="s">
        <v>#N/A N/A</v>
        <stp/>
        <stp>BDH|12588462683104197808</stp>
        <tr r="W308" s="5"/>
        <tr r="V348" s="5"/>
        <tr r="T363" s="5"/>
        <tr r="U358" s="5"/>
        <tr r="S368" s="5"/>
      </tp>
      <tp t="s">
        <v>#N/A N/A</v>
        <stp/>
        <stp>BDH|10122580249312179109</stp>
        <tr r="AF400" s="5"/>
        <tr r="AC455" s="5"/>
        <tr r="AE440" s="5"/>
        <tr r="AD450" s="5"/>
        <tr r="AB460" s="5"/>
      </tp>
      <tp t="s">
        <v>#N/A N/A</v>
        <stp/>
        <stp>BDH|12132003541100856494</stp>
        <tr r="AF594" s="5"/>
        <tr r="AD644" s="5"/>
        <tr r="AC649" s="5"/>
        <tr r="AE634" s="5"/>
        <tr r="AB654" s="5"/>
      </tp>
      <tp t="s">
        <v>#N/A N/A</v>
        <stp/>
        <stp>BDH|10546924162608096548</stp>
        <tr r="AD525" s="5"/>
        <tr r="AE515" s="5"/>
        <tr r="AC530" s="5"/>
        <tr r="AF475" s="5"/>
        <tr r="AB535" s="5"/>
      </tp>
      <tp t="s">
        <v>#N/A N/A</v>
        <stp/>
        <stp>BDH|10509277486539534105</stp>
        <tr r="T700" s="5"/>
        <tr r="V685" s="5"/>
        <tr r="U695" s="5"/>
        <tr r="W645" s="5"/>
        <tr r="S705" s="5"/>
      </tp>
      <tp t="s">
        <v>#N/A N/A</v>
        <stp/>
        <stp>BDH|17139604395553301979</stp>
        <tr r="V448" s="5"/>
        <tr r="T463" s="5"/>
        <tr r="W408" s="5"/>
        <tr r="U458" s="5"/>
        <tr r="S468" s="5"/>
      </tp>
      <tp t="s">
        <v>#N/A N/A</v>
        <stp/>
        <stp>BDH|17074841700428488507</stp>
        <tr r="AC537" s="5"/>
        <tr r="AE522" s="5"/>
        <tr r="AF482" s="5"/>
        <tr r="AD532" s="5"/>
        <tr r="AB542" s="5"/>
      </tp>
      <tp t="s">
        <v>#N/A N/A</v>
        <stp/>
        <stp>BDH|16623325973447098779</stp>
        <tr r="T317" s="5"/>
        <tr r="W262" s="5"/>
        <tr r="V302" s="5"/>
        <tr r="U312" s="5"/>
        <tr r="S322" s="5"/>
      </tp>
      <tp t="s">
        <v>#N/A N/A</v>
        <stp/>
        <stp>BDH|12623874230472797969</stp>
        <tr r="T410" s="5"/>
        <tr r="W355" s="5"/>
        <tr r="V395" s="5"/>
        <tr r="U405" s="5"/>
        <tr r="S415" s="5"/>
      </tp>
      <tp t="s">
        <v>#N/A N/A</v>
        <stp/>
        <stp>BDH|15610523095923489853</stp>
        <tr r="U37" s="5"/>
        <tr r="V27" s="5"/>
        <tr r="T42" s="5"/>
        <tr r="S47" s="5"/>
      </tp>
      <tp t="s">
        <v>#N/A N/A</v>
        <stp/>
        <stp>BDH|13281261731333237379</stp>
        <tr r="AE605" s="5"/>
        <tr r="AC620" s="5"/>
        <tr r="AD615" s="5"/>
        <tr r="AF565" s="5"/>
        <tr r="AB625" s="5"/>
      </tp>
      <tp t="s">
        <v>#N/A N/A</v>
        <stp/>
        <stp>BDH|13635710851922375158</stp>
        <tr r="U721" s="5"/>
        <tr r="T726" s="5"/>
        <tr r="V711" s="5"/>
        <tr r="W671" s="5"/>
        <tr r="S731" s="5"/>
      </tp>
      <tp t="s">
        <v>#N/A N/A</v>
        <stp/>
        <stp>BDH|12910053088509364174</stp>
        <tr r="T153" s="5"/>
        <tr r="U148" s="5"/>
        <tr r="W98" s="5"/>
        <tr r="V138" s="5"/>
        <tr r="S158" s="5"/>
      </tp>
      <tp t="s">
        <v>#N/A N/A</v>
        <stp/>
        <stp>BDH|11887201408569234810</stp>
        <tr r="AE252" s="5"/>
        <tr r="AC267" s="5"/>
        <tr r="AD262" s="5"/>
        <tr r="AF212" s="5"/>
        <tr r="AB272" s="5"/>
      </tp>
      <tp t="s">
        <v>#N/A N/A</v>
        <stp/>
        <stp>BDH|16494145936364722223</stp>
        <tr r="AD213" s="5"/>
        <tr r="AC218" s="5"/>
        <tr r="AF164" s="5"/>
        <tr r="AE203" s="5"/>
        <tr r="AB223" s="5"/>
      </tp>
      <tp t="s">
        <v>#N/A N/A</v>
        <stp/>
        <stp>BDH|12477495085265936927</stp>
        <tr r="T85" s="5"/>
        <tr r="V70" s="5"/>
        <tr r="U80" s="5"/>
        <tr r="W30" s="5"/>
        <tr r="S90" s="5"/>
      </tp>
      <tp t="s">
        <v>#N/A N/A</v>
        <stp/>
        <stp>BDH|12092644631404324141</stp>
        <tr r="AC738" s="5"/>
        <tr r="AF683" s="5"/>
        <tr r="AD733" s="5"/>
        <tr r="AE723" s="5"/>
        <tr r="AB743" s="5"/>
      </tp>
      <tp t="s">
        <v>#N/A N/A</v>
        <stp/>
        <stp>BDH|11143049262660013555</stp>
        <tr r="AF758" s="5"/>
      </tp>
      <tp t="s">
        <v>#N/A N/A</v>
        <stp/>
        <stp>BDH|15357615127505039670</stp>
        <tr r="AD475" s="5"/>
        <tr r="AF425" s="5"/>
        <tr r="AE465" s="5"/>
        <tr r="AC480" s="5"/>
        <tr r="AB485" s="5"/>
      </tp>
      <tp t="s">
        <v>#N/A N/A</v>
        <stp/>
        <stp>BDH|12657424835614565318</stp>
        <tr r="U118" s="5"/>
        <tr r="T123" s="5"/>
        <tr r="W68" s="5"/>
        <tr r="V108" s="5"/>
        <tr r="S128" s="5"/>
      </tp>
      <tp t="s">
        <v>#N/A N/A</v>
        <stp/>
        <stp>BDH|15210425374916830290</stp>
        <tr r="AF749" s="5"/>
      </tp>
      <tp t="s">
        <v>#N/A N/A</v>
        <stp/>
        <stp>BDH|17920304731812453796</stp>
        <tr r="AE517" s="5"/>
        <tr r="AD527" s="5"/>
        <tr r="AF477" s="5"/>
        <tr r="AC532" s="5"/>
        <tr r="AB537" s="5"/>
      </tp>
      <tp t="s">
        <v>#N/A N/A</v>
        <stp/>
        <stp>BDH|14282485839448131976</stp>
        <tr r="AE265" s="5"/>
        <tr r="AF225" s="5"/>
        <tr r="AD275" s="5"/>
        <tr r="AC280" s="5"/>
        <tr r="AB285" s="5"/>
      </tp>
      <tp t="s">
        <v>#N/A N/A</v>
        <stp/>
        <stp>BDH|14664418310666387516</stp>
        <tr r="V691" s="5"/>
        <tr r="T706" s="5"/>
        <tr r="W651" s="5"/>
        <tr r="U701" s="5"/>
        <tr r="S711" s="5"/>
      </tp>
      <tp t="s">
        <v>#N/A N/A</v>
        <stp/>
        <stp>BDH|14398522386779008231</stp>
        <tr r="U474" s="5"/>
        <tr r="V464" s="5"/>
        <tr r="T479" s="5"/>
        <tr r="W424" s="5"/>
        <tr r="S484" s="5"/>
      </tp>
      <tp t="s">
        <v>#N/A N/A</v>
        <stp/>
        <stp>BDH|17867389239620415594</stp>
        <tr r="U82" s="5"/>
        <tr r="W32" s="5"/>
        <tr r="V72" s="5"/>
        <tr r="T87" s="5"/>
        <tr r="S92" s="5"/>
      </tp>
      <tp t="s">
        <v>#N/A N/A</v>
        <stp/>
        <stp>BDH|15749131783249542760</stp>
        <tr r="AD212" s="5"/>
        <tr r="AF163" s="5"/>
        <tr r="AC217" s="5"/>
        <tr r="AE202" s="5"/>
        <tr r="AB222" s="5"/>
      </tp>
      <tp t="s">
        <v>#N/A N/A</v>
        <stp/>
        <stp>BDH|14979415401310849254</stp>
        <tr r="AF70" s="5"/>
        <tr r="AC125" s="5"/>
        <tr r="AD120" s="5"/>
        <tr r="AE110" s="5"/>
        <tr r="AB130" s="5"/>
      </tp>
      <tp t="s">
        <v>#N/A N/A</v>
        <stp/>
        <stp>BDH|16323874896436468322</stp>
        <tr r="AC676" s="5"/>
        <tr r="AE661" s="5"/>
        <tr r="AF621" s="5"/>
        <tr r="AD671" s="5"/>
        <tr r="AB681" s="5"/>
      </tp>
      <tp t="s">
        <v>#N/A N/A</v>
        <stp/>
        <stp>BDH|15332411857146115038</stp>
        <tr r="U91" s="5"/>
        <tr r="W41" s="5"/>
        <tr r="T96" s="5"/>
        <tr r="V81" s="5"/>
        <tr r="S101" s="5"/>
      </tp>
      <tp t="s">
        <v>#N/A N/A</v>
        <stp/>
        <stp>BDH|13729257253575606302</stp>
        <tr r="AD171" s="5"/>
        <tr r="AE161" s="5"/>
        <tr r="AF121" s="5"/>
        <tr r="AC176" s="5"/>
        <tr r="AB181" s="5"/>
      </tp>
      <tp t="s">
        <v>#N/A N/A</v>
        <stp/>
        <stp>BDH|13111000318335808563</stp>
        <tr r="AC256" s="5"/>
        <tr r="AD251" s="5"/>
        <tr r="AF201" s="5"/>
        <tr r="AE241" s="5"/>
        <tr r="AB261" s="5"/>
      </tp>
      <tp t="s">
        <v>#N/A N/A</v>
        <stp/>
        <stp>BDH|10248001425374593459</stp>
        <tr r="W647" s="5"/>
        <tr r="U697" s="5"/>
        <tr r="T702" s="5"/>
        <tr r="V687" s="5"/>
        <tr r="S707" s="5"/>
      </tp>
      <tp t="s">
        <v>#N/A N/A</v>
        <stp/>
        <stp>BDH|10809043259606001120</stp>
        <tr r="AD652" s="5"/>
        <tr r="AF602" s="5"/>
        <tr r="AC657" s="5"/>
        <tr r="AE642" s="5"/>
        <tr r="AB662" s="5"/>
      </tp>
      <tp t="s">
        <v>#N/A N/A</v>
        <stp/>
        <stp>BDH|16786159435812105408</stp>
        <tr r="AD431" s="5"/>
        <tr r="AF381" s="5"/>
        <tr r="AC436" s="5"/>
        <tr r="AE421" s="5"/>
        <tr r="AB441" s="5"/>
      </tp>
      <tp t="s">
        <v>#N/A N/A</v>
        <stp/>
        <stp>BDH|15656816304297364862</stp>
        <tr r="W527" s="5"/>
        <tr r="T582" s="5"/>
        <tr r="U577" s="5"/>
        <tr r="V567" s="5"/>
        <tr r="S587" s="5"/>
      </tp>
      <tp t="s">
        <v>#N/A N/A</v>
        <stp/>
        <stp>BDH|10503775617071252514</stp>
        <tr r="T644" s="5"/>
        <tr r="V629" s="5"/>
        <tr r="W589" s="5"/>
        <tr r="U639" s="5"/>
        <tr r="S649" s="5"/>
      </tp>
      <tp t="s">
        <v>#N/A N/A</v>
        <stp/>
        <stp>BDH|11863644305174777179</stp>
        <tr r="AD53" s="5"/>
        <tr r="AC58" s="5"/>
        <tr r="AE43" s="5"/>
        <tr r="AB63" s="5"/>
      </tp>
      <tp t="s">
        <v>#N/A N/A</v>
        <stp/>
        <stp>BDH|16042419758245159009</stp>
        <tr r="T407" s="5"/>
        <tr r="W352" s="5"/>
        <tr r="V392" s="5"/>
        <tr r="U402" s="5"/>
        <tr r="S412" s="5"/>
      </tp>
      <tp t="s">
        <v>#N/A N/A</v>
        <stp/>
        <stp>BDH|12225659526280889412</stp>
        <tr r="AF128" s="5"/>
        <tr r="AE168" s="5"/>
        <tr r="AD178" s="5"/>
        <tr r="AB187" s="5"/>
      </tp>
      <tp t="s">
        <v>#N/A N/A</v>
        <stp/>
        <stp>BDH|13832216290238628274</stp>
        <tr r="W675" s="5"/>
        <tr r="T730" s="5"/>
        <tr r="V715" s="5"/>
        <tr r="U725" s="5"/>
        <tr r="S735" s="5"/>
      </tp>
      <tp t="s">
        <v>#N/A N/A</v>
        <stp/>
        <stp>BDH|16337190498018850427</stp>
        <tr r="W736" s="5"/>
      </tp>
      <tp t="s">
        <v>#N/A N/A</v>
        <stp/>
        <stp>BDH|11451179123650895003</stp>
        <tr r="AE675" s="5"/>
        <tr r="AD685" s="5"/>
        <tr r="AC690" s="5"/>
        <tr r="AF635" s="5"/>
        <tr r="AB695" s="5"/>
      </tp>
      <tp t="s">
        <v>#N/A N/A</v>
        <stp/>
        <stp>BDH|14330590530583779354</stp>
        <tr r="AC675" s="5"/>
        <tr r="AE660" s="5"/>
        <tr r="AF620" s="5"/>
        <tr r="AD670" s="5"/>
        <tr r="AB680" s="5"/>
      </tp>
      <tp t="s">
        <v>#N/A N/A</v>
        <stp/>
        <stp>BDH|14906420144473504520</stp>
        <tr r="AC226" s="5"/>
        <tr r="AD221" s="5"/>
        <tr r="AE211" s="5"/>
        <tr r="AF172" s="5"/>
        <tr r="AB231" s="5"/>
      </tp>
      <tp t="s">
        <v>#N/A N/A</v>
        <stp/>
        <stp>BDH|15872705354155137063</stp>
        <tr r="T763" s="5"/>
        <tr r="V748" s="5"/>
        <tr r="W708" s="5"/>
        <tr r="U758" s="5"/>
        <tr r="S768" s="5"/>
      </tp>
      <tp t="s">
        <v>#N/A N/A</v>
        <stp/>
        <stp>BDH|10572203934360986321</stp>
        <tr r="AD294" s="5"/>
        <tr r="AF244" s="5"/>
        <tr r="AE284" s="5"/>
        <tr r="AC299" s="5"/>
        <tr r="AB304" s="5"/>
      </tp>
      <tp t="s">
        <v>#N/A N/A</v>
        <stp/>
        <stp>BDH|11110302133566836508</stp>
        <tr r="U769" s="5"/>
        <tr r="V759" s="5"/>
        <tr r="W719" s="5"/>
      </tp>
      <tp t="s">
        <v>#N/A N/A</v>
        <stp/>
        <stp>BDH|14825590363163974613</stp>
        <tr r="AF157" s="5"/>
        <tr r="AE196" s="5"/>
        <tr r="AC211" s="5"/>
        <tr r="AD206" s="5"/>
        <tr r="AB216" s="5"/>
      </tp>
      <tp t="s">
        <v>#N/A N/A</v>
        <stp/>
        <stp>BDH|10778537615511889745</stp>
        <tr r="T156" s="5"/>
        <tr r="W101" s="5"/>
        <tr r="V141" s="5"/>
        <tr r="U151" s="5"/>
        <tr r="S161" s="5"/>
      </tp>
      <tp t="s">
        <v>#N/A N/A</v>
        <stp/>
        <stp>BDH|16572290351064985790</stp>
        <tr r="AF252" s="5"/>
        <tr r="AD302" s="5"/>
        <tr r="AC307" s="5"/>
        <tr r="AE292" s="5"/>
        <tr r="AB312" s="5"/>
      </tp>
      <tp t="s">
        <v>#N/A N/A</v>
        <stp/>
        <stp>BDH|18180578188947193022</stp>
        <tr r="T442" s="5"/>
        <tr r="V427" s="5"/>
        <tr r="U437" s="5"/>
        <tr r="W387" s="5"/>
        <tr r="S447" s="5"/>
      </tp>
      <tp t="s">
        <v>#N/A N/A</v>
        <stp/>
        <stp>BDH|17836710618894998742</stp>
        <tr r="AC315" s="5"/>
        <tr r="AE300" s="5"/>
        <tr r="AF260" s="5"/>
        <tr r="AD310" s="5"/>
        <tr r="AB320" s="5"/>
      </tp>
      <tp t="s">
        <v>#N/A N/A</v>
        <stp/>
        <stp>BDH|15404281605716167347</stp>
        <tr r="T116" s="5"/>
        <tr r="W61" s="5"/>
        <tr r="V101" s="5"/>
        <tr r="U111" s="5"/>
        <tr r="S121" s="5"/>
      </tp>
      <tp t="s">
        <v>#N/A N/A</v>
        <stp/>
        <stp>BDH|16852256660732453256</stp>
        <tr r="W138" s="5"/>
        <tr r="V178" s="5"/>
        <tr r="T192" s="5"/>
        <tr r="U187" s="5"/>
        <tr r="S197" s="5"/>
      </tp>
      <tp t="s">
        <v>#N/A N/A</v>
        <stp/>
        <stp>BDH|14204426550020884774</stp>
        <tr r="V86" s="5"/>
        <tr r="U96" s="5"/>
        <tr r="T101" s="5"/>
        <tr r="W46" s="5"/>
        <tr r="S106" s="5"/>
      </tp>
      <tp t="s">
        <v>#N/A N/A</v>
        <stp/>
        <stp>BDH|16883461813860239101</stp>
        <tr r="AC444" s="5"/>
        <tr r="AE429" s="5"/>
        <tr r="AD439" s="5"/>
        <tr r="AF389" s="5"/>
        <tr r="AB449" s="5"/>
      </tp>
      <tp t="s">
        <v>#N/A N/A</v>
        <stp/>
        <stp>BDH|16839840762232241834</stp>
        <tr r="T315" s="5"/>
        <tr r="V300" s="5"/>
        <tr r="W260" s="5"/>
        <tr r="U310" s="5"/>
        <tr r="S320" s="5"/>
      </tp>
      <tp t="s">
        <v>#N/A N/A</v>
        <stp/>
        <stp>BDH|12162161646274869163</stp>
        <tr r="U222" s="5"/>
        <tr r="W173" s="5"/>
        <tr r="V212" s="5"/>
        <tr r="T227" s="5"/>
        <tr r="S232" s="5"/>
      </tp>
      <tp t="s">
        <v>#N/A N/A</v>
        <stp/>
        <stp>BDH|16805723513767449526</stp>
        <tr r="AD464" s="5"/>
        <tr r="AE454" s="5"/>
        <tr r="AC469" s="5"/>
        <tr r="AF414" s="5"/>
        <tr r="AB474" s="5"/>
      </tp>
      <tp t="s">
        <v>#N/A N/A</v>
        <stp/>
        <stp>BDH|11071294314534158427</stp>
        <tr r="AE683" s="5"/>
        <tr r="AD693" s="5"/>
        <tr r="AF643" s="5"/>
        <tr r="AC698" s="5"/>
        <tr r="AB703" s="5"/>
      </tp>
      <tp t="s">
        <v>#N/A N/A</v>
        <stp/>
        <stp>BDH|12690431903981098473</stp>
        <tr r="AF603" s="5"/>
        <tr r="AD653" s="5"/>
        <tr r="AE643" s="5"/>
        <tr r="AC658" s="5"/>
        <tr r="AB663" s="5"/>
      </tp>
      <tp t="s">
        <v>#N/A N/A</v>
        <stp/>
        <stp>BDH|18034222569619246688</stp>
        <tr r="AE344" s="5"/>
        <tr r="AD354" s="5"/>
        <tr r="AF304" s="5"/>
        <tr r="AC359" s="5"/>
        <tr r="AB364" s="5"/>
      </tp>
      <tp t="s">
        <v>#N/A N/A</v>
        <stp/>
        <stp>BDH|17030159755366635673</stp>
        <tr r="AD365" s="5"/>
        <tr r="AE355" s="5"/>
        <tr r="AC370" s="5"/>
        <tr r="AF315" s="5"/>
        <tr r="AB375" s="5"/>
      </tp>
      <tp t="s">
        <v>#N/A N/A</v>
        <stp/>
        <stp>BDH|13959540452135988572</stp>
        <tr r="W566" s="5"/>
        <tr r="U616" s="5"/>
        <tr r="V606" s="5"/>
        <tr r="T621" s="5"/>
        <tr r="S626" s="5"/>
      </tp>
      <tp t="s">
        <v>#N/A N/A</v>
        <stp/>
        <stp>BDH|15700838895883227426</stp>
        <tr r="V33" s="5"/>
        <tr r="T48" s="5"/>
        <tr r="U43" s="5"/>
        <tr r="S53" s="5"/>
      </tp>
      <tp t="s">
        <v>#N/A N/A</v>
        <stp/>
        <stp>BDH|17214339898247119984</stp>
        <tr r="AC573" s="5"/>
        <tr r="AD568" s="5"/>
        <tr r="AF518" s="5"/>
        <tr r="AE558" s="5"/>
        <tr r="AB578" s="5"/>
      </tp>
      <tp t="s">
        <v>#N/A N/A</v>
        <stp/>
        <stp>BDH|16508511144850557459</stp>
        <tr r="T614" s="5"/>
        <tr r="W559" s="5"/>
        <tr r="V599" s="5"/>
        <tr r="U609" s="5"/>
        <tr r="S619" s="5"/>
      </tp>
      <tp t="s">
        <v>#N/A N/A</v>
        <stp/>
        <stp>BDH|14599157136571525403</stp>
        <tr r="U599" s="5"/>
        <tr r="T604" s="5"/>
        <tr r="V589" s="5"/>
        <tr r="W549" s="5"/>
        <tr r="S609" s="5"/>
      </tp>
      <tp t="s">
        <v>#N/A N/A</v>
        <stp/>
        <stp>BDH|10063634620153965493</stp>
        <tr r="AF353" s="5"/>
        <tr r="AE393" s="5"/>
        <tr r="AC408" s="5"/>
        <tr r="AD403" s="5"/>
        <tr r="AB413" s="5"/>
      </tp>
      <tp t="s">
        <v>#N/A N/A</v>
        <stp/>
        <stp>BDH|14068457078916745286</stp>
        <tr r="AC762" s="5"/>
        <tr r="AE747" s="5"/>
        <tr r="AD757" s="5"/>
        <tr r="AF707" s="5"/>
        <tr r="AB767" s="5"/>
      </tp>
      <tp t="s">
        <v>#N/A N/A</v>
        <stp/>
        <stp>BDH|18267156002103184965</stp>
        <tr r="AC66" s="5"/>
        <tr r="AD61" s="5"/>
        <tr r="AE51" s="5"/>
        <tr r="AB71" s="5"/>
      </tp>
      <tp t="s">
        <v>#N/A N/A</v>
        <stp/>
        <stp>BDH|10575356595719061072</stp>
        <tr r="V254" s="5"/>
        <tr r="U264" s="5"/>
        <tr r="T269" s="5"/>
        <tr r="W214" s="5"/>
        <tr r="S274" s="5"/>
      </tp>
      <tp t="s">
        <v>#N/A N/A</v>
        <stp/>
        <stp>BDH|12053649343071227205</stp>
        <tr r="AF759" s="5"/>
      </tp>
      <tp t="s">
        <v>#N/A N/A</v>
        <stp/>
        <stp>BDH|13317528565366878590</stp>
        <tr r="T373" s="5"/>
        <tr r="V358" s="5"/>
        <tr r="W318" s="5"/>
        <tr r="U368" s="5"/>
        <tr r="S378" s="5"/>
      </tp>
      <tp t="s">
        <v>#N/A N/A</v>
        <stp/>
        <stp>BDH|15737535034136520609</stp>
        <tr r="V742" s="5"/>
        <tr r="W702" s="5"/>
        <tr r="U752" s="5"/>
        <tr r="T757" s="5"/>
        <tr r="S762" s="5"/>
      </tp>
      <tp t="s">
        <v>#N/A N/A</v>
        <stp/>
        <stp>BDH|15590576750464590220</stp>
        <tr r="W202" s="5"/>
        <tr r="U252" s="5"/>
        <tr r="V242" s="5"/>
        <tr r="T257" s="5"/>
        <tr r="S262" s="5"/>
      </tp>
      <tp t="s">
        <v>#N/A N/A</v>
        <stp/>
        <stp>BDH|11908096120459719926</stp>
        <tr r="V728" s="5"/>
        <tr r="W688" s="5"/>
        <tr r="T743" s="5"/>
        <tr r="U738" s="5"/>
        <tr r="S748" s="5"/>
      </tp>
      <tp t="s">
        <v>#N/A N/A</v>
        <stp/>
        <stp>BDH|18042903841597371170</stp>
        <tr r="W629" s="5"/>
        <tr r="V669" s="5"/>
        <tr r="T684" s="5"/>
        <tr r="U679" s="5"/>
        <tr r="S689" s="5"/>
      </tp>
      <tp t="s">
        <v>#N/A N/A</v>
        <stp/>
        <stp>BDH|10191107565492762674</stp>
        <tr r="T496" s="5"/>
        <tr r="U491" s="5"/>
        <tr r="W441" s="5"/>
        <tr r="V481" s="5"/>
        <tr r="S501" s="5"/>
      </tp>
      <tp t="s">
        <v>#N/A N/A</v>
        <stp/>
        <stp>BDH|12455921823483893998</stp>
        <tr r="AE641" s="5"/>
        <tr r="AF601" s="5"/>
        <tr r="AC656" s="5"/>
        <tr r="AD651" s="5"/>
        <tr r="AB661" s="5"/>
      </tp>
      <tp t="s">
        <v>#N/A N/A</v>
        <stp/>
        <stp>BDH|13493716701932489574</stp>
        <tr r="T553" s="5"/>
        <tr r="W498" s="5"/>
        <tr r="V538" s="5"/>
        <tr r="U548" s="5"/>
        <tr r="S558" s="5"/>
      </tp>
      <tp t="s">
        <v>#N/A N/A</v>
        <stp/>
        <stp>BDH|13641330685848512324</stp>
        <tr r="T544" s="5"/>
        <tr r="W489" s="5"/>
        <tr r="U539" s="5"/>
        <tr r="V529" s="5"/>
        <tr r="S549" s="5"/>
      </tp>
      <tp t="s">
        <v>#N/A N/A</v>
        <stp/>
        <stp>BDH|12041921199689462888</stp>
        <tr r="AF367" s="5"/>
        <tr r="AC422" s="5"/>
        <tr r="AE407" s="5"/>
        <tr r="AD417" s="5"/>
        <tr r="AB427" s="5"/>
      </tp>
      <tp t="s">
        <v>#N/A N/A</v>
        <stp/>
        <stp>BDH|17774133032414000215</stp>
        <tr r="AD635" s="5"/>
        <tr r="AF585" s="5"/>
        <tr r="AC640" s="5"/>
        <tr r="AE625" s="5"/>
        <tr r="AB645" s="5"/>
      </tp>
      <tp t="s">
        <v>#N/A N/A</v>
        <stp/>
        <stp>BDH|14414652267417773065</stp>
        <tr r="AD736" s="5"/>
        <tr r="AF686" s="5"/>
        <tr r="AC741" s="5"/>
        <tr r="AE726" s="5"/>
        <tr r="AB746" s="5"/>
      </tp>
      <tp t="s">
        <v>#N/A N/A</v>
        <stp/>
        <stp>BDH|14344352152594711553</stp>
        <tr r="U492" s="5"/>
        <tr r="W442" s="5"/>
        <tr r="T497" s="5"/>
        <tr r="V482" s="5"/>
        <tr r="S502" s="5"/>
      </tp>
      <tp t="s">
        <v>#N/A N/A</v>
        <stp/>
        <stp>BDH|11958467518436000110</stp>
        <tr r="AD422" s="5"/>
        <tr r="AE412" s="5"/>
        <tr r="AC427" s="5"/>
        <tr r="AF372" s="5"/>
        <tr r="AB432" s="5"/>
      </tp>
      <tp t="s">
        <v>#N/A N/A</v>
        <stp/>
        <stp>BDH|10213237445502210707</stp>
        <tr r="AC171" s="5"/>
        <tr r="AD166" s="5"/>
        <tr r="AF116" s="5"/>
        <tr r="AE156" s="5"/>
        <tr r="AB176" s="5"/>
      </tp>
      <tp t="s">
        <v>#N/A N/A</v>
        <stp/>
        <stp>BDH|16716605471394685095</stp>
        <tr r="V63" s="5"/>
        <tr r="U73" s="5"/>
        <tr r="W23" s="5"/>
        <tr r="T78" s="5"/>
        <tr r="S83" s="5"/>
      </tp>
      <tp t="s">
        <v>#N/A N/A</v>
        <stp/>
        <stp>BDH|13514437749337715713</stp>
        <tr r="AF183" s="5"/>
        <tr r="AC238" s="5"/>
        <tr r="AD233" s="5"/>
        <tr r="AE223" s="5"/>
        <tr r="AB243" s="5"/>
      </tp>
      <tp t="s">
        <v>#N/A N/A</v>
        <stp/>
        <stp>BDH|17187428709887545777</stp>
        <tr r="V175" s="5"/>
        <tr r="W135" s="5"/>
        <tr r="U184" s="5"/>
        <tr r="T189" s="5"/>
        <tr r="S194" s="5"/>
      </tp>
      <tp t="s">
        <v>#N/A N/A</v>
        <stp/>
        <stp>BDH|10298213366943927442</stp>
        <tr r="AD622" s="5"/>
        <tr r="AE612" s="5"/>
        <tr r="AC627" s="5"/>
        <tr r="AF572" s="5"/>
        <tr r="AB632" s="5"/>
      </tp>
      <tp t="s">
        <v>#N/A N/A</v>
        <stp/>
        <stp>BDH|12996709548994226683</stp>
        <tr r="AF377" s="5"/>
        <tr r="AD427" s="5"/>
        <tr r="AC432" s="5"/>
        <tr r="AE417" s="5"/>
        <tr r="AB437" s="5"/>
      </tp>
      <tp t="s">
        <v>#N/A N/A</v>
        <stp/>
        <stp>BDH|12832740164634182421</stp>
        <tr r="V53" s="5"/>
        <tr r="U63" s="5"/>
        <tr r="T68" s="5"/>
        <tr r="S73" s="5"/>
      </tp>
      <tp t="s">
        <v>#N/A N/A</v>
        <stp/>
        <stp>BDH|14761133076549923801</stp>
        <tr r="AE677" s="5"/>
        <tr r="AD687" s="5"/>
        <tr r="AC692" s="5"/>
        <tr r="AF637" s="5"/>
        <tr r="AB697" s="5"/>
      </tp>
      <tp t="s">
        <v>#N/A N/A</v>
        <stp/>
        <stp>BDH|11811134938144853403</stp>
        <tr r="W445" s="5"/>
        <tr r="T500" s="5"/>
        <tr r="V485" s="5"/>
        <tr r="U495" s="5"/>
        <tr r="S505" s="5"/>
      </tp>
      <tp t="s">
        <v>#N/A N/A</v>
        <stp/>
        <stp>BDH|16884179773277799411</stp>
        <tr r="AE339" s="5"/>
        <tr r="AC354" s="5"/>
        <tr r="AD349" s="5"/>
        <tr r="AF299" s="5"/>
        <tr r="AB359" s="5"/>
      </tp>
      <tp t="s">
        <v>#N/A N/A</v>
        <stp/>
        <stp>BDH|11271864883883533188</stp>
        <tr r="AC319" s="5"/>
        <tr r="AE304" s="5"/>
        <tr r="AF264" s="5"/>
        <tr r="AD314" s="5"/>
        <tr r="AB324" s="5"/>
      </tp>
      <tp t="s">
        <v>#N/A N/A</v>
        <stp/>
        <stp>BDH|13845685834905685086</stp>
        <tr r="AE341" s="5"/>
        <tr r="AF301" s="5"/>
        <tr r="AC356" s="5"/>
        <tr r="AD351" s="5"/>
        <tr r="AB361" s="5"/>
      </tp>
      <tp t="s">
        <v>#N/A N/A</v>
        <stp/>
        <stp>BDH|11085791153390512030</stp>
        <tr r="T306" s="5"/>
        <tr r="W251" s="5"/>
        <tr r="V291" s="5"/>
        <tr r="U301" s="5"/>
        <tr r="S311" s="5"/>
      </tp>
      <tp t="s">
        <v>#N/A N/A</v>
        <stp/>
        <stp>BDH|11605583564872253345</stp>
        <tr r="AF703" s="5"/>
        <tr r="AD753" s="5"/>
        <tr r="AE743" s="5"/>
        <tr r="AC758" s="5"/>
        <tr r="AB763" s="5"/>
      </tp>
      <tp t="s">
        <v>#N/A N/A</v>
        <stp/>
        <stp>BDH|12201468850473918310</stp>
        <tr r="AD492" s="5"/>
        <tr r="AF442" s="5"/>
        <tr r="AC497" s="5"/>
        <tr r="AE482" s="5"/>
        <tr r="AB502" s="5"/>
      </tp>
      <tp t="s">
        <v>#N/A N/A</v>
        <stp/>
        <stp>BDH|11216625458881255069</stp>
        <tr r="AF270" s="5"/>
        <tr r="AE310" s="5"/>
        <tr r="AC325" s="5"/>
        <tr r="AD320" s="5"/>
        <tr r="AB330" s="5"/>
      </tp>
      <tp t="s">
        <v>#N/A N/A</v>
        <stp/>
        <stp>BDH|10038895489240573393</stp>
        <tr r="T25" s="5"/>
        <tr r="S30" s="5"/>
      </tp>
      <tp t="s">
        <v>#N/A N/A</v>
        <stp/>
        <stp>BDH|16849635551693778528</stp>
        <tr r="V99" s="5"/>
        <tr r="W59" s="5"/>
        <tr r="T114" s="5"/>
        <tr r="U109" s="5"/>
        <tr r="S119" s="5"/>
      </tp>
      <tp t="s">
        <v>#N/A N/A</v>
        <stp/>
        <stp>BDH|12120446266810548399</stp>
        <tr r="AF302" s="5"/>
        <tr r="AE342" s="5"/>
        <tr r="AC357" s="5"/>
        <tr r="AD352" s="5"/>
        <tr r="AB362" s="5"/>
      </tp>
      <tp t="s">
        <v>#N/A N/A</v>
        <stp/>
        <stp>BDH|16834304314507062035</stp>
        <tr r="V205" s="5"/>
        <tr r="W166" s="5"/>
        <tr r="T220" s="5"/>
        <tr r="U215" s="5"/>
        <tr r="S225" s="5"/>
      </tp>
      <tp t="s">
        <v>#N/A N/A</v>
        <stp/>
        <stp>BDH|13944231015352963196</stp>
        <tr r="U157" s="5"/>
        <tr r="V147" s="5"/>
        <tr r="T162" s="5"/>
        <tr r="W107" s="5"/>
        <tr r="S167" s="5"/>
      </tp>
      <tp t="s">
        <v>#N/A N/A</v>
        <stp/>
        <stp>BDH|18170920380443869958</stp>
        <tr r="T335" s="5"/>
        <tr r="W280" s="5"/>
        <tr r="V320" s="5"/>
        <tr r="U330" s="5"/>
        <tr r="S340" s="5"/>
      </tp>
      <tp t="s">
        <v>#N/A N/A</v>
        <stp/>
        <stp>BDH|17707053769290537204</stp>
        <tr r="T119" s="5"/>
        <tr r="U114" s="5"/>
        <tr r="V104" s="5"/>
        <tr r="W64" s="5"/>
        <tr r="S124" s="5"/>
      </tp>
      <tp t="s">
        <v>#N/A N/A</v>
        <stp/>
        <stp>BDH|16739920781477963334</stp>
        <tr r="AF566" s="5"/>
        <tr r="AD616" s="5"/>
        <tr r="AE606" s="5"/>
        <tr r="AC621" s="5"/>
        <tr r="AB626" s="5"/>
      </tp>
      <tp t="s">
        <v>#N/A N/A</v>
        <stp/>
        <stp>BDH|10647695750227737764</stp>
        <tr r="W586" s="5"/>
        <tr r="T641" s="5"/>
        <tr r="V626" s="5"/>
        <tr r="U636" s="5"/>
        <tr r="S646" s="5"/>
      </tp>
      <tp t="s">
        <v>#N/A N/A</v>
        <stp/>
        <stp>BDH|11437444266580043378</stp>
        <tr r="V608" s="5"/>
        <tr r="W568" s="5"/>
        <tr r="U618" s="5"/>
        <tr r="T623" s="5"/>
        <tr r="S628" s="5"/>
      </tp>
      <tp t="s">
        <v>#N/A N/A</v>
        <stp/>
        <stp>BDH|11795942173759218633</stp>
        <tr r="AC197" s="5"/>
        <tr r="AF143" s="5"/>
        <tr r="AD192" s="5"/>
        <tr r="AB202" s="5"/>
      </tp>
      <tp t="s">
        <v>#N/A N/A</v>
        <stp/>
        <stp>BDH|10255465868257830550</stp>
        <tr r="AC756" s="5"/>
        <tr r="AD751" s="5"/>
        <tr r="AF701" s="5"/>
        <tr r="AE741" s="5"/>
        <tr r="AB761" s="5"/>
      </tp>
      <tp t="s">
        <v>#N/A N/A</v>
        <stp/>
        <stp>BDH|15036843083700357553</stp>
        <tr r="U160" s="5"/>
        <tr r="T165" s="5"/>
        <tr r="V150" s="5"/>
        <tr r="W110" s="5"/>
        <tr r="S170" s="5"/>
      </tp>
      <tp t="s">
        <v>#N/A N/A</v>
        <stp/>
        <stp>BDH|17292011213563043501</stp>
        <tr r="W696" s="5"/>
        <tr r="U746" s="5"/>
        <tr r="V736" s="5"/>
        <tr r="T751" s="5"/>
        <tr r="S756" s="5"/>
      </tp>
      <tp t="s">
        <v>#N/A N/A</v>
        <stp/>
        <stp>BDH|14371241034032371705</stp>
        <tr r="AC339" s="5"/>
        <tr r="AE324" s="5"/>
        <tr r="AD334" s="5"/>
        <tr r="AF284" s="5"/>
        <tr r="AB344" s="5"/>
      </tp>
      <tp t="s">
        <v>#N/A N/A</v>
        <stp/>
        <stp>BDH|16710024336555601068</stp>
        <tr r="AC434" s="5"/>
        <tr r="AF379" s="5"/>
        <tr r="AE419" s="5"/>
        <tr r="AD429" s="5"/>
        <tr r="AB439" s="5"/>
      </tp>
      <tp t="s">
        <v>#N/A N/A</v>
        <stp/>
        <stp>BDH|10482628919632504592</stp>
        <tr r="AF62" s="5"/>
        <tr r="AE102" s="5"/>
        <tr r="AC117" s="5"/>
        <tr r="AD112" s="5"/>
        <tr r="AB122" s="5"/>
      </tp>
      <tp t="s">
        <v>#N/A N/A</v>
        <stp/>
        <stp>BDH|13095265114060839087</stp>
        <tr r="AE130" s="5"/>
        <tr r="AF90" s="5"/>
        <tr r="AC145" s="5"/>
        <tr r="AD140" s="5"/>
        <tr r="AB150" s="5"/>
      </tp>
      <tp t="s">
        <v>#N/A N/A</v>
        <stp/>
        <stp>BDH|11268238317294613621</stp>
        <tr r="AE99" s="5"/>
        <tr r="AF59" s="5"/>
        <tr r="AC114" s="5"/>
        <tr r="AD109" s="5"/>
        <tr r="AB119" s="5"/>
      </tp>
      <tp t="s">
        <v>#N/A N/A</v>
        <stp/>
        <stp>BDH|16622784141794511182</stp>
        <tr r="U327" s="5"/>
        <tr r="T332" s="5"/>
        <tr r="W277" s="5"/>
        <tr r="V317" s="5"/>
        <tr r="S337" s="5"/>
      </tp>
      <tp t="s">
        <v>#N/A N/A</v>
        <stp/>
        <stp>BDH|13645661503032408755</stp>
        <tr r="AD38" s="5"/>
        <tr r="AE28" s="5"/>
        <tr r="AC43" s="5"/>
        <tr r="AB48" s="5"/>
      </tp>
      <tp t="s">
        <v>#N/A N/A</v>
        <stp/>
        <stp>BDH|11271483162790271382</stp>
        <tr r="AC334" s="5"/>
        <tr r="AF279" s="5"/>
        <tr r="AD329" s="5"/>
        <tr r="AE319" s="5"/>
        <tr r="AB339" s="5"/>
      </tp>
      <tp t="s">
        <v>#N/A N/A</v>
        <stp/>
        <stp>BDH|12734510845761125203</stp>
        <tr r="W596" s="5"/>
        <tr r="V636" s="5"/>
        <tr r="U646" s="5"/>
        <tr r="T651" s="5"/>
        <tr r="S656" s="5"/>
      </tp>
      <tp t="s">
        <v>#N/A N/A</v>
        <stp/>
        <stp>BDH|13010261004886282759</stp>
        <tr r="AC519" s="5"/>
        <tr r="AF464" s="5"/>
        <tr r="AE504" s="5"/>
        <tr r="AD514" s="5"/>
        <tr r="AB524" s="5"/>
      </tp>
      <tp t="s">
        <v>#N/A N/A</v>
        <stp/>
        <stp>BDH|11194997238562053951</stp>
        <tr r="AE431" s="5"/>
        <tr r="AD441" s="5"/>
        <tr r="AC446" s="5"/>
        <tr r="AF391" s="5"/>
        <tr r="AB451" s="5"/>
      </tp>
      <tp t="s">
        <v>#N/A N/A</v>
        <stp/>
        <stp>BDH|12097671416013267660</stp>
        <tr r="W348" s="5"/>
        <tr r="V388" s="5"/>
        <tr r="T403" s="5"/>
        <tr r="U398" s="5"/>
        <tr r="S408" s="5"/>
      </tp>
      <tp t="s">
        <v>#N/A N/A</v>
        <stp/>
        <stp>BDH|12012737108186753397</stp>
        <tr r="AE66" s="5"/>
        <tr r="AF26" s="5"/>
        <tr r="AD76" s="5"/>
        <tr r="AC81" s="5"/>
        <tr r="AB86" s="5"/>
      </tp>
      <tp t="s">
        <v>#N/A N/A</v>
        <stp/>
        <stp>BDH|13904186596732736956</stp>
        <tr r="U734" s="5"/>
        <tr r="V724" s="5"/>
        <tr r="T739" s="5"/>
        <tr r="W684" s="5"/>
        <tr r="S744" s="5"/>
      </tp>
      <tp t="s">
        <v>#N/A N/A</v>
        <stp/>
        <stp>BDH|14272597749837305253</stp>
        <tr r="V554" s="5"/>
        <tr r="W514" s="5"/>
        <tr r="U564" s="5"/>
        <tr r="T569" s="5"/>
        <tr r="S574" s="5"/>
      </tp>
      <tp t="s">
        <v>#N/A N/A</v>
        <stp/>
        <stp>BDH|17708485461604295180</stp>
        <tr r="AE714" s="5"/>
        <tr r="AF674" s="5"/>
        <tr r="AD724" s="5"/>
        <tr r="AC729" s="5"/>
        <tr r="AB734" s="5"/>
      </tp>
      <tp t="s">
        <v>#N/A N/A</v>
        <stp/>
        <stp>BDH|10990756622302939706</stp>
        <tr r="AF614" s="5"/>
        <tr r="AD664" s="5"/>
        <tr r="AE654" s="5"/>
        <tr r="AC669" s="5"/>
        <tr r="AB674" s="5"/>
      </tp>
      <tp t="s">
        <v>#N/A N/A</v>
        <stp/>
        <stp>BDH|10616548723610327754</stp>
        <tr r="U99" s="5"/>
        <tr r="T104" s="5"/>
        <tr r="V89" s="5"/>
        <tr r="W49" s="5"/>
        <tr r="S109" s="5"/>
      </tp>
      <tp t="s">
        <v>#N/A N/A</v>
        <stp/>
        <stp>BDH|14405890094401809467</stp>
        <tr r="V213" s="5"/>
        <tr r="U223" s="5"/>
        <tr r="T228" s="5"/>
        <tr r="W174" s="5"/>
        <tr r="S233" s="5"/>
      </tp>
      <tp t="s">
        <v>#N/A N/A</v>
        <stp/>
        <stp>BDH|12142682543329455992</stp>
        <tr r="W721" s="5"/>
        <tr r="V761" s="5"/>
        <tr r="U771" s="5"/>
      </tp>
      <tp t="s">
        <v>#N/A N/A</v>
        <stp/>
        <stp>BDH|13467973272034477923</stp>
        <tr r="AC373" s="5"/>
        <tr r="AE358" s="5"/>
        <tr r="AF318" s="5"/>
        <tr r="AD368" s="5"/>
        <tr r="AB378" s="5"/>
      </tp>
      <tp t="s">
        <v>#N/A N/A</v>
        <stp/>
        <stp>BDH|17591086905132814566</stp>
        <tr r="U359" s="5"/>
        <tr r="W309" s="5"/>
        <tr r="T364" s="5"/>
        <tr r="V349" s="5"/>
        <tr r="S369" s="5"/>
      </tp>
      <tp t="s">
        <v>#N/A N/A</v>
        <stp/>
        <stp>BDH|12913959798373536170</stp>
        <tr r="AD234" s="5"/>
        <tr r="AC239" s="5"/>
        <tr r="AE224" s="5"/>
        <tr r="AF184" s="5"/>
        <tr r="AB244" s="5"/>
      </tp>
      <tp t="s">
        <v>#N/A N/A</v>
        <stp/>
        <stp>BDH|11641531185178089462</stp>
        <tr r="AC704" s="5"/>
        <tr r="AE689" s="5"/>
        <tr r="AF649" s="5"/>
        <tr r="AD699" s="5"/>
        <tr r="AB709" s="5"/>
      </tp>
      <tp t="s">
        <v>#N/A N/A</v>
        <stp/>
        <stp>BDH|18001405971743440833</stp>
        <tr r="T134" s="5"/>
        <tr r="W79" s="5"/>
        <tr r="U129" s="5"/>
        <tr r="V119" s="5"/>
        <tr r="S139" s="5"/>
      </tp>
      <tp t="s">
        <v>#N/A N/A</v>
        <stp/>
        <stp>BDH|17041951364598102065</stp>
        <tr r="W573" s="5"/>
        <tr r="T628" s="5"/>
        <tr r="V613" s="5"/>
        <tr r="U623" s="5"/>
        <tr r="S633" s="5"/>
      </tp>
      <tp t="s">
        <v>#N/A N/A</v>
        <stp/>
        <stp>BDH|17259600858440487476</stp>
        <tr r="U274" s="5"/>
        <tr r="T279" s="5"/>
        <tr r="W224" s="5"/>
        <tr r="V264" s="5"/>
        <tr r="S284" s="5"/>
      </tp>
      <tp t="s">
        <v>#N/A N/A</v>
        <stp/>
        <stp>BDH|12930744143312533326</stp>
        <tr r="T86" s="5"/>
        <tr r="W31" s="5"/>
        <tr r="U81" s="5"/>
        <tr r="V71" s="5"/>
        <tr r="S91" s="5"/>
      </tp>
      <tp t="s">
        <v>#N/A N/A</v>
        <stp/>
        <stp>BDH|12736255339802297102</stp>
        <tr r="AE691" s="5"/>
        <tr r="AC706" s="5"/>
        <tr r="AF651" s="5"/>
        <tr r="AD701" s="5"/>
        <tr r="AB711" s="5"/>
      </tp>
      <tp t="s">
        <v>#N/A N/A</v>
        <stp/>
        <stp>BDH|14923555160921250662</stp>
        <tr r="U463" s="5"/>
        <tr r="W413" s="5"/>
        <tr r="T468" s="5"/>
        <tr r="V453" s="5"/>
        <tr r="S473" s="5"/>
      </tp>
      <tp t="s">
        <v>#N/A N/A</v>
        <stp/>
        <stp>BDH|13341999787311587304</stp>
        <tr r="AC534" s="5"/>
        <tr r="AE519" s="5"/>
        <tr r="AF479" s="5"/>
        <tr r="AD529" s="5"/>
        <tr r="AB539" s="5"/>
      </tp>
      <tp t="s">
        <v>#N/A N/A</v>
        <stp/>
        <stp>BDH|11354767743195870765</stp>
        <tr r="W331" s="5"/>
        <tr r="T386" s="5"/>
        <tr r="U381" s="5"/>
        <tr r="V371" s="5"/>
        <tr r="S391" s="5"/>
      </tp>
      <tp t="s">
        <v>#N/A N/A</v>
        <stp/>
        <stp>BDH|10534352520814964527</stp>
        <tr r="AE582" s="5"/>
        <tr r="AF542" s="5"/>
        <tr r="AD592" s="5"/>
        <tr r="AC597" s="5"/>
        <tr r="AB602" s="5"/>
      </tp>
      <tp t="s">
        <v>#N/A N/A</v>
        <stp/>
        <stp>BDH|14558894700275456930</stp>
        <tr r="T615" s="5"/>
        <tr r="V600" s="5"/>
        <tr r="U610" s="5"/>
        <tr r="W560" s="5"/>
        <tr r="S620" s="5"/>
      </tp>
      <tp t="s">
        <v>#N/A N/A</v>
        <stp/>
        <stp>BDH|12364113368915837080</stp>
        <tr r="U239" s="5"/>
        <tr r="V229" s="5"/>
        <tr r="T244" s="5"/>
        <tr r="W189" s="5"/>
        <tr r="S249" s="5"/>
      </tp>
      <tp t="s">
        <v>#N/A N/A</v>
        <stp/>
        <stp>BDH|10408895069776781897</stp>
        <tr r="W576" s="5"/>
        <tr r="V616" s="5"/>
        <tr r="U626" s="5"/>
        <tr r="T631" s="5"/>
        <tr r="S636" s="5"/>
      </tp>
      <tp t="s">
        <v>#N/A N/A</v>
        <stp/>
        <stp>BDH|18014585634186592846</stp>
        <tr r="U440" s="5"/>
        <tr r="W390" s="5"/>
        <tr r="V430" s="5"/>
        <tr r="T445" s="5"/>
        <tr r="S450" s="5"/>
      </tp>
      <tp t="s">
        <v>#N/A N/A</v>
        <stp/>
        <stp>BDH|18217767746642882974</stp>
        <tr r="AF326" s="5"/>
        <tr r="AC381" s="5"/>
        <tr r="AE366" s="5"/>
        <tr r="AD376" s="5"/>
        <tr r="AB386" s="5"/>
      </tp>
      <tp t="s">
        <v>#N/A N/A</v>
        <stp/>
        <stp>BDH|14940658302936604452</stp>
        <tr r="AD625" s="5"/>
        <tr r="AF575" s="5"/>
        <tr r="AE615" s="5"/>
        <tr r="AC630" s="5"/>
        <tr r="AB635" s="5"/>
      </tp>
      <tp t="s">
        <v>#N/A N/A</v>
        <stp/>
        <stp>BDH|14716559828800524335</stp>
        <tr r="AF693" s="5"/>
        <tr r="AE733" s="5"/>
        <tr r="AC748" s="5"/>
        <tr r="AD743" s="5"/>
        <tr r="AB753" s="5"/>
      </tp>
      <tp t="s">
        <v>#N/A N/A</v>
        <stp/>
        <stp>BDH|14508353699757535903</stp>
        <tr r="AD401" s="5"/>
        <tr r="AC406" s="5"/>
        <tr r="AE391" s="5"/>
        <tr r="AF351" s="5"/>
        <tr r="AB411" s="5"/>
      </tp>
      <tp t="s">
        <v>#N/A N/A</v>
        <stp/>
        <stp>BDH|13080344836850839363</stp>
        <tr r="AC616" s="5"/>
        <tr r="AD611" s="5"/>
        <tr r="AE601" s="5"/>
        <tr r="AF561" s="5"/>
        <tr r="AB621" s="5"/>
      </tp>
      <tp t="s">
        <v>#N/A N/A</v>
        <stp/>
        <stp>BDH|17166335790328897556</stp>
        <tr r="W771" s="5"/>
      </tp>
      <tp t="s">
        <v>#N/A N/A</v>
        <stp/>
        <stp>BDH|14856326178958461890</stp>
        <tr r="U306" s="5"/>
        <tr r="W256" s="5"/>
        <tr r="V296" s="5"/>
        <tr r="T311" s="5"/>
        <tr r="S316" s="5"/>
      </tp>
      <tp t="s">
        <v>#N/A N/A</v>
        <stp/>
        <stp>BDH|10384699766714773459</stp>
        <tr r="U266" s="5"/>
        <tr r="V256" s="5"/>
        <tr r="T271" s="5"/>
        <tr r="W216" s="5"/>
        <tr r="S276" s="5"/>
      </tp>
      <tp t="s">
        <v>#N/A N/A</v>
        <stp/>
        <stp>BDH|18444538738106029818</stp>
        <tr r="S24" s="5"/>
      </tp>
      <tp t="s">
        <v>#N/A N/A</v>
        <stp/>
        <stp>BDH|18367421886011053469</stp>
        <tr r="U586" s="5"/>
        <tr r="T591" s="5"/>
        <tr r="W536" s="5"/>
        <tr r="V576" s="5"/>
        <tr r="S596" s="5"/>
      </tp>
      <tp t="s">
        <v>#N/A N/A</v>
        <stp/>
        <stp>BDH|12672938411648226372</stp>
        <tr r="AF222" s="5"/>
        <tr r="AE262" s="5"/>
        <tr r="AC277" s="5"/>
        <tr r="AD272" s="5"/>
        <tr r="AB282" s="5"/>
      </tp>
      <tp t="s">
        <v>#N/A N/A</v>
        <stp/>
        <stp>BDH|14198216401055606261</stp>
        <tr r="AD633" s="5"/>
        <tr r="AC638" s="5"/>
        <tr r="AF583" s="5"/>
        <tr r="AE623" s="5"/>
        <tr r="AB643" s="5"/>
      </tp>
      <tp t="s">
        <v>#N/A N/A</v>
        <stp/>
        <stp>BDH|17045960996310520644</stp>
        <tr r="AE199" s="5"/>
        <tr r="AD209" s="5"/>
        <tr r="AF160" s="5"/>
        <tr r="AC214" s="5"/>
        <tr r="AB219" s="5"/>
      </tp>
      <tp t="s">
        <v>#N/A N/A</v>
        <stp/>
        <stp>BDH|11872310732690912036</stp>
        <tr r="V220" s="5"/>
        <tr r="U230" s="5"/>
        <tr r="W181" s="5"/>
        <tr r="T235" s="5"/>
        <tr r="S240" s="5"/>
      </tp>
      <tp t="s">
        <v>#N/A N/A</v>
        <stp/>
        <stp>BDH|18085573464443523960</stp>
        <tr r="W438" s="5"/>
        <tr r="T493" s="5"/>
        <tr r="U488" s="5"/>
        <tr r="V478" s="5"/>
        <tr r="S498" s="5"/>
      </tp>
      <tp t="s">
        <v>#N/A N/A</v>
        <stp/>
        <stp>BDH|18178446469988925359</stp>
        <tr r="U294" s="5"/>
        <tr r="W244" s="5"/>
        <tr r="V284" s="5"/>
        <tr r="T299" s="5"/>
        <tr r="S304" s="5"/>
      </tp>
      <tp t="s">
        <v>#N/A N/A</v>
        <stp/>
        <stp>BDH|16350085059261639341</stp>
        <tr r="V644" s="5"/>
        <tr r="T659" s="5"/>
        <tr r="W604" s="5"/>
        <tr r="U654" s="5"/>
        <tr r="S664" s="5"/>
      </tp>
      <tp t="s">
        <v>#N/A N/A</v>
        <stp/>
        <stp>BDH|15549356311341294703</stp>
        <tr r="AF167" s="5"/>
        <tr r="AC221" s="5"/>
        <tr r="AD216" s="5"/>
        <tr r="AE206" s="5"/>
        <tr r="AB226" s="5"/>
      </tp>
      <tp t="s">
        <v>#N/A N/A</v>
        <stp/>
        <stp>BDH|14763616722309158869</stp>
        <tr r="AD762" s="5"/>
        <tr r="AE752" s="5"/>
        <tr r="AF712" s="5"/>
        <tr r="AC767" s="5"/>
      </tp>
      <tp t="s">
        <v>#N/A N/A</v>
        <stp/>
        <stp>BDH|16896527427747801766</stp>
        <tr r="AD641" s="5"/>
        <tr r="AF591" s="5"/>
        <tr r="AC646" s="5"/>
        <tr r="AE631" s="5"/>
        <tr r="AB651" s="5"/>
      </tp>
      <tp t="s">
        <v>#N/A N/A</v>
        <stp/>
        <stp>BDH|14644316857201741249</stp>
        <tr r="T327" s="5"/>
        <tr r="W272" s="5"/>
        <tr r="U322" s="5"/>
        <tr r="V312" s="5"/>
        <tr r="S332" s="5"/>
      </tp>
      <tp t="s">
        <v>#N/A N/A</v>
        <stp/>
        <stp>BDH|12067272452226123279</stp>
        <tr r="T30" s="5"/>
        <tr r="U25" s="5"/>
        <tr r="S35" s="5"/>
      </tp>
      <tp t="s">
        <v>#N/A N/A</v>
        <stp/>
        <stp>BDH|12630164992292107907</stp>
        <tr r="AC600" s="5"/>
        <tr r="AD595" s="5"/>
        <tr r="AE585" s="5"/>
        <tr r="AF545" s="5"/>
        <tr r="AB605" s="5"/>
      </tp>
      <tp t="s">
        <v>#N/A N/A</v>
        <stp/>
        <stp>BDH|11948326401376883519</stp>
        <tr r="AC155" s="5"/>
        <tr r="AE140" s="5"/>
        <tr r="AD150" s="5"/>
        <tr r="AF100" s="5"/>
        <tr r="AB160" s="5"/>
      </tp>
      <tp t="s">
        <v>#N/A N/A</v>
        <stp/>
        <stp>BDH|11118963370656007842</stp>
        <tr r="U545" s="5"/>
        <tr r="W495" s="5"/>
        <tr r="V535" s="5"/>
        <tr r="T550" s="5"/>
        <tr r="S555" s="5"/>
      </tp>
      <tp t="s">
        <v>#N/A N/A</v>
        <stp/>
        <stp>BDH|15050496645595788188</stp>
        <tr r="V193" s="5"/>
        <tr r="T208" s="5"/>
        <tr r="W154" s="5"/>
        <tr r="U203" s="5"/>
        <tr r="S213" s="5"/>
      </tp>
      <tp t="s">
        <v>#N/A N/A</v>
        <stp/>
        <stp>BDH|15176205961457453768</stp>
        <tr r="T287" s="5"/>
        <tr r="W232" s="5"/>
        <tr r="V272" s="5"/>
        <tr r="U282" s="5"/>
        <tr r="S292" s="5"/>
      </tp>
      <tp t="s">
        <v>#N/A N/A</v>
        <stp/>
        <stp>BDH|11614303997198446277</stp>
        <tr r="T745" s="5"/>
        <tr r="V730" s="5"/>
        <tr r="U740" s="5"/>
        <tr r="W690" s="5"/>
        <tr r="S750" s="5"/>
      </tp>
      <tp t="s">
        <v>#N/A N/A</v>
        <stp/>
        <stp>BDH|14644254115721528769</stp>
        <tr r="T73" s="5"/>
        <tr r="V58" s="5"/>
        <tr r="U68" s="5"/>
        <tr r="S78" s="5"/>
      </tp>
      <tp t="s">
        <v>#N/A N/A</v>
        <stp/>
        <stp>BDH|12220410200863010468</stp>
        <tr r="AD637" s="5"/>
        <tr r="AE627" s="5"/>
        <tr r="AC642" s="5"/>
        <tr r="AF587" s="5"/>
        <tr r="AB647" s="5"/>
      </tp>
      <tp t="s">
        <v>#N/A N/A</v>
        <stp/>
        <stp>BDH|17674217710971515467</stp>
        <tr r="T612" s="5"/>
        <tr r="W557" s="5"/>
        <tr r="V597" s="5"/>
        <tr r="U607" s="5"/>
        <tr r="S617" s="5"/>
      </tp>
      <tp t="s">
        <v>#N/A N/A</v>
        <stp/>
        <stp>BDH|12789730454300739135</stp>
        <tr r="V662" s="5"/>
        <tr r="W622" s="5"/>
        <tr r="T677" s="5"/>
        <tr r="U672" s="5"/>
        <tr r="S682" s="5"/>
      </tp>
      <tp t="s">
        <v>#N/A N/A</v>
        <stp/>
        <stp>BDH|17794530608603895004</stp>
        <tr r="T725" s="5"/>
        <tr r="W670" s="5"/>
        <tr r="U720" s="5"/>
        <tr r="V710" s="5"/>
        <tr r="S730" s="5"/>
      </tp>
      <tp t="s">
        <v>#N/A N/A</v>
        <stp/>
        <stp>BDH|14041173654804794502</stp>
        <tr r="AF221" s="5"/>
        <tr r="AC276" s="5"/>
        <tr r="AE261" s="5"/>
        <tr r="AD271" s="5"/>
        <tr r="AB281" s="5"/>
      </tp>
      <tp t="s">
        <v>#N/A N/A</v>
        <stp/>
        <stp>BDH|14179231797568208608</stp>
        <tr r="AF732" s="5"/>
      </tp>
      <tp t="s">
        <v>#N/A N/A</v>
        <stp/>
        <stp>BDH|10666958217571618854</stp>
        <tr r="U635" s="5"/>
        <tr r="W585" s="5"/>
        <tr r="T640" s="5"/>
        <tr r="V625" s="5"/>
        <tr r="S645" s="5"/>
      </tp>
      <tp t="s">
        <v>#N/A N/A</v>
        <stp/>
        <stp>BDH|12114241466570537717</stp>
        <tr r="V54" s="5"/>
        <tr r="T69" s="5"/>
        <tr r="U64" s="5"/>
        <tr r="S74" s="5"/>
      </tp>
      <tp t="s">
        <v>#N/A N/A</v>
        <stp/>
        <stp>BDH|15064701917735747774</stp>
        <tr r="AD624" s="5"/>
        <tr r="AE614" s="5"/>
        <tr r="AF574" s="5"/>
        <tr r="AC629" s="5"/>
        <tr r="AB634" s="5"/>
      </tp>
      <tp t="s">
        <v>#N/A N/A</v>
        <stp/>
        <stp>BDH|17555792564115800270</stp>
        <tr r="T484" s="5"/>
        <tr r="U479" s="5"/>
        <tr r="V469" s="5"/>
        <tr r="W429" s="5"/>
        <tr r="S489" s="5"/>
      </tp>
      <tp t="s">
        <v>#N/A N/A</v>
        <stp/>
        <stp>BDH|16598799049414322013</stp>
        <tr r="T385" s="5"/>
        <tr r="U380" s="5"/>
        <tr r="V370" s="5"/>
        <tr r="W330" s="5"/>
        <tr r="S390" s="5"/>
      </tp>
      <tp t="s">
        <v>#N/A N/A</v>
        <stp/>
        <stp>BDH|11497503254854557423</stp>
        <tr r="AE445" s="5"/>
        <tr r="AC460" s="5"/>
        <tr r="AD455" s="5"/>
        <tr r="AF405" s="5"/>
        <tr r="AB465" s="5"/>
      </tp>
      <tp t="s">
        <v>#N/A N/A</v>
        <stp/>
        <stp>BDH|14353864683805924094</stp>
        <tr r="AC348" s="5"/>
        <tr r="AE333" s="5"/>
        <tr r="AD343" s="5"/>
        <tr r="AF293" s="5"/>
        <tr r="AB353" s="5"/>
      </tp>
      <tp t="s">
        <v>#N/A N/A</v>
        <stp/>
        <stp>BDH|10549015572154554257</stp>
        <tr r="AC418" s="5"/>
        <tr r="AD413" s="5"/>
        <tr r="AE403" s="5"/>
        <tr r="AF363" s="5"/>
        <tr r="AB423" s="5"/>
      </tp>
      <tp t="s">
        <v>#N/A N/A</v>
        <stp/>
        <stp>BDH|11981699324917204309</stp>
        <tr r="T520" s="5"/>
        <tr r="V505" s="5"/>
        <tr r="W465" s="5"/>
        <tr r="U515" s="5"/>
        <tr r="S525" s="5"/>
      </tp>
      <tp t="s">
        <v>#N/A N/A</v>
        <stp/>
        <stp>BDH|15406301620474812159</stp>
        <tr r="V675" s="5"/>
        <tr r="U685" s="5"/>
        <tr r="T690" s="5"/>
        <tr r="W635" s="5"/>
        <tr r="S695" s="5"/>
      </tp>
      <tp t="s">
        <v>#N/A N/A</v>
        <stp/>
        <stp>BDH|12319036415523833145</stp>
        <tr r="V130" s="5"/>
        <tr r="W90" s="5"/>
        <tr r="T145" s="5"/>
        <tr r="U140" s="5"/>
        <tr r="S150" s="5"/>
      </tp>
      <tp t="s">
        <v>#N/A N/A</v>
        <stp/>
        <stp>BDH|14578491578431925756</stp>
        <tr r="AC37" s="5"/>
        <tr r="AD32" s="5"/>
        <tr r="AE22" s="5"/>
        <tr r="AB42" s="5"/>
      </tp>
      <tp t="s">
        <v>#N/A N/A</v>
        <stp/>
        <stp>BDH|12100640419491427500</stp>
        <tr r="T256" s="5"/>
        <tr r="U251" s="5"/>
        <tr r="W201" s="5"/>
        <tr r="V241" s="5"/>
        <tr r="S261" s="5"/>
      </tp>
      <tp t="s">
        <v>#N/A N/A</v>
        <stp/>
        <stp>BDH|17399059569351625122</stp>
        <tr r="U56" s="5"/>
        <tr r="V46" s="5"/>
        <tr r="T61" s="5"/>
        <tr r="S66" s="5"/>
      </tp>
      <tp t="s">
        <v>#N/A N/A</v>
        <stp/>
        <stp>BDH|11211649026527285396</stp>
        <tr r="V115" s="5"/>
        <tr r="U125" s="5"/>
        <tr r="W75" s="5"/>
        <tr r="T130" s="5"/>
        <tr r="S135" s="5"/>
      </tp>
      <tp t="s">
        <v>#N/A N/A</v>
        <stp/>
        <stp>BDH|13415510167078917900</stp>
        <tr r="T514" s="5"/>
        <tr r="U509" s="5"/>
        <tr r="W459" s="5"/>
        <tr r="V499" s="5"/>
        <tr r="S519" s="5"/>
      </tp>
      <tp t="s">
        <v>#N/A N/A</v>
        <stp/>
        <stp>BDH|16542267319346830288</stp>
        <tr r="AC367" s="5"/>
        <tr r="AD362" s="5"/>
        <tr r="AE352" s="5"/>
        <tr r="AF312" s="5"/>
        <tr r="AB372" s="5"/>
      </tp>
      <tp t="s">
        <v>#N/A N/A</v>
        <stp/>
        <stp>BDH|10615009766224351394</stp>
        <tr r="V703" s="5"/>
        <tr r="W663" s="5"/>
        <tr r="U713" s="5"/>
        <tr r="T718" s="5"/>
        <tr r="S723" s="5"/>
      </tp>
      <tp t="s">
        <v>#N/A N/A</v>
        <stp/>
        <stp>BDH|12681793730511539605</stp>
        <tr r="AE249" s="5"/>
        <tr r="AD259" s="5"/>
        <tr r="AC264" s="5"/>
        <tr r="AF209" s="5"/>
        <tr r="AB269" s="5"/>
      </tp>
      <tp t="s">
        <v>#N/A N/A</v>
        <stp/>
        <stp>BDH|10716604527775950039</stp>
        <tr r="AF695" s="5"/>
        <tr r="AD745" s="5"/>
        <tr r="AC750" s="5"/>
        <tr r="AE735" s="5"/>
        <tr r="AB755" s="5"/>
      </tp>
      <tp t="s">
        <v>#N/A N/A</v>
        <stp/>
        <stp>BDH|11920775621622606749</stp>
        <tr r="AC700" s="5"/>
        <tr r="AE685" s="5"/>
        <tr r="AD695" s="5"/>
        <tr r="AF645" s="5"/>
        <tr r="AB705" s="5"/>
      </tp>
      <tp t="s">
        <v>#N/A N/A</v>
        <stp/>
        <stp>BDH|14604658236646000693</stp>
        <tr r="AC62" s="5"/>
        <tr r="AD57" s="5"/>
        <tr r="AE47" s="5"/>
        <tr r="AB67" s="5"/>
      </tp>
      <tp t="s">
        <v>#N/A N/A</v>
        <stp/>
        <stp>BDH|18415960738861792214</stp>
        <tr r="AE34" s="5"/>
        <tr r="AD44" s="5"/>
        <tr r="AC49" s="5"/>
        <tr r="AB54" s="5"/>
      </tp>
      <tp t="s">
        <v>#N/A N/A</v>
        <stp/>
        <stp>BDH|14595963583086625291</stp>
        <tr r="U416" s="5"/>
        <tr r="V406" s="5"/>
        <tr r="W366" s="5"/>
        <tr r="T421" s="5"/>
        <tr r="S426" s="5"/>
      </tp>
      <tp t="s">
        <v>#N/A N/A</v>
        <stp/>
        <stp>BDH|10712766470920740194</stp>
        <tr r="T676" s="5"/>
        <tr r="V661" s="5"/>
        <tr r="W621" s="5"/>
        <tr r="U671" s="5"/>
        <tr r="S681" s="5"/>
      </tp>
      <tp t="s">
        <v>#N/A N/A</v>
        <stp/>
        <stp>BDH|16279349201887950308</stp>
        <tr r="AD587" s="5"/>
        <tr r="AF537" s="5"/>
        <tr r="AE577" s="5"/>
        <tr r="AC592" s="5"/>
        <tr r="AB597" s="5"/>
      </tp>
      <tp t="s">
        <v>#N/A N/A</v>
        <stp/>
        <stp>BDH|10669718969526242622</stp>
        <tr r="W236" s="5"/>
        <tr r="T291" s="5"/>
        <tr r="V276" s="5"/>
        <tr r="U286" s="5"/>
        <tr r="S296" s="5"/>
      </tp>
      <tp t="s">
        <v>#N/A N/A</v>
        <stp/>
        <stp>BDH|15307251941582014098</stp>
        <tr r="AD342" s="5"/>
        <tr r="AF292" s="5"/>
        <tr r="AC347" s="5"/>
        <tr r="AE332" s="5"/>
        <tr r="AB352" s="5"/>
      </tp>
      <tp t="s">
        <v>#N/A N/A</v>
        <stp/>
        <stp>BDH|16045700938303733017</stp>
        <tr r="U516" s="5"/>
        <tr r="W466" s="5"/>
        <tr r="T521" s="5"/>
        <tr r="V506" s="5"/>
        <tr r="S526" s="5"/>
      </tp>
      <tp t="s">
        <v>#N/A N/A</v>
        <stp/>
        <stp>BDH|14323807908018551503</stp>
        <tr r="AF629" s="5"/>
        <tr r="AE669" s="5"/>
        <tr r="AC684" s="5"/>
        <tr r="AD679" s="5"/>
        <tr r="AB689" s="5"/>
      </tp>
      <tp t="s">
        <v>#N/A N/A</v>
        <stp/>
        <stp>BDH|11206525445456847734</stp>
        <tr r="AD418" s="5"/>
        <tr r="AE408" s="5"/>
        <tr r="AC423" s="5"/>
        <tr r="AF368" s="5"/>
        <tr r="AB428" s="5"/>
      </tp>
      <tp t="s">
        <v>#N/A N/A</v>
        <stp/>
        <stp>BDH|12223705960187843544</stp>
        <tr r="T409" s="5"/>
        <tr r="V394" s="5"/>
        <tr r="W354" s="5"/>
        <tr r="U404" s="5"/>
        <tr r="S414" s="5"/>
      </tp>
      <tp t="s">
        <v>#N/A N/A</v>
        <stp/>
        <stp>BDH|11093758870213221468</stp>
        <tr r="AC637" s="5"/>
        <tr r="AE622" s="5"/>
        <tr r="AF582" s="5"/>
        <tr r="AD632" s="5"/>
        <tr r="AB642" s="5"/>
      </tp>
      <tp t="s">
        <v>#N/A N/A</v>
        <stp/>
        <stp>BDH|15683422766370678144</stp>
        <tr r="AD734" s="5"/>
        <tr r="AE724" s="5"/>
        <tr r="AC739" s="5"/>
        <tr r="AF684" s="5"/>
        <tr r="AB744" s="5"/>
      </tp>
      <tp t="s">
        <v>#N/A N/A</v>
        <stp/>
        <stp>BDH|17862006236685812768</stp>
        <tr r="AE181" s="5"/>
        <tr r="AC195" s="5"/>
        <tr r="AD190" s="5"/>
        <tr r="AF141" s="5"/>
        <tr r="AB200" s="5"/>
      </tp>
      <tp t="s">
        <v>#N/A N/A</v>
        <stp/>
        <stp>BDH|17344388724865974567</stp>
        <tr r="AF130" s="5"/>
        <tr r="AD180" s="5"/>
        <tr r="AC184" s="5"/>
        <tr r="AE170" s="5"/>
        <tr r="AB189" s="5"/>
      </tp>
      <tp t="s">
        <v>#N/A N/A</v>
        <stp/>
        <stp>BDH|10884941186066393194</stp>
        <tr r="AF246" s="5"/>
        <tr r="AD296" s="5"/>
        <tr r="AC301" s="5"/>
        <tr r="AE286" s="5"/>
        <tr r="AB306" s="5"/>
      </tp>
      <tp t="s">
        <v>#N/A N/A</v>
        <stp/>
        <stp>BDH|17056987397248963962</stp>
        <tr r="U236" s="5"/>
        <tr r="V226" s="5"/>
        <tr r="W186" s="5"/>
        <tr r="T241" s="5"/>
        <tr r="S246" s="5"/>
      </tp>
      <tp t="s">
        <v>#N/A N/A</v>
        <stp/>
        <stp>BDH|10746812670890721926</stp>
        <tr r="T742" s="5"/>
        <tr r="W687" s="5"/>
        <tr r="U737" s="5"/>
        <tr r="V727" s="5"/>
        <tr r="S747" s="5"/>
      </tp>
      <tp t="s">
        <v>#N/A N/A</v>
        <stp/>
        <stp>BDH|12839522852571352581</stp>
        <tr r="V181" s="5"/>
        <tr r="T195" s="5"/>
        <tr r="U190" s="5"/>
        <tr r="W141" s="5"/>
        <tr r="S200" s="5"/>
      </tp>
      <tp t="s">
        <v>#N/A N/A</v>
        <stp/>
        <stp>BDH|17915010508789242879</stp>
        <tr r="U30" s="5"/>
        <tr r="T35" s="5"/>
        <tr r="S40" s="5"/>
      </tp>
      <tp t="s">
        <v>#N/A N/A</v>
        <stp/>
        <stp>BDH|11789783171415905228</stp>
        <tr r="T50" s="5"/>
        <tr r="V35" s="5"/>
        <tr r="U45" s="5"/>
        <tr r="S55" s="5"/>
      </tp>
      <tp t="s">
        <v>#N/A N/A</v>
        <stp/>
        <stp>BDH|17412107611991222034</stp>
        <tr r="V578" s="5"/>
        <tr r="T593" s="5"/>
        <tr r="U588" s="5"/>
        <tr r="W538" s="5"/>
        <tr r="S598" s="5"/>
      </tp>
      <tp t="s">
        <v>#N/A N/A</v>
        <stp/>
        <stp>BDH|11779445163577206268</stp>
        <tr r="AF600" s="5"/>
        <tr r="AD650" s="5"/>
        <tr r="AC655" s="5"/>
        <tr r="AE640" s="5"/>
        <tr r="AB660" s="5"/>
      </tp>
      <tp t="s">
        <v>#N/A N/A</v>
        <stp/>
        <stp>BDH|12963857249268847094</stp>
        <tr r="W380" s="5"/>
        <tr r="U430" s="5"/>
        <tr r="T435" s="5"/>
        <tr r="V420" s="5"/>
        <tr r="S440" s="5"/>
      </tp>
      <tp t="s">
        <v>#N/A N/A</v>
        <stp/>
        <stp>BDH|13206091199235750912</stp>
        <tr r="AF717" s="5"/>
        <tr r="AD767" s="5"/>
        <tr r="AE757" s="5"/>
      </tp>
      <tp t="s">
        <v>#N/A N/A</v>
        <stp/>
        <stp>BDH|17659177286951849987</stp>
        <tr r="AF608" s="5"/>
        <tr r="AE648" s="5"/>
        <tr r="AD658" s="5"/>
        <tr r="AC663" s="5"/>
        <tr r="AB668" s="5"/>
      </tp>
      <tp t="s">
        <v>#N/A N/A</v>
        <stp/>
        <stp>BDH|12717009410731759477</stp>
        <tr r="V315" s="5"/>
        <tr r="W275" s="5"/>
        <tr r="U325" s="5"/>
        <tr r="T330" s="5"/>
        <tr r="S335" s="5"/>
      </tp>
      <tp t="s">
        <v>#N/A N/A</v>
        <stp/>
        <stp>BDH|15359141440157583150</stp>
        <tr r="U585" s="5"/>
        <tr r="V575" s="5"/>
        <tr r="W535" s="5"/>
        <tr r="T590" s="5"/>
        <tr r="S595" s="5"/>
      </tp>
      <tp t="s">
        <v>#N/A N/A</v>
        <stp/>
        <stp>BDH|12863626678545027053</stp>
        <tr r="AF285" s="5"/>
        <tr r="AC340" s="5"/>
        <tr r="AD335" s="5"/>
        <tr r="AE325" s="5"/>
        <tr r="AB345" s="5"/>
      </tp>
      <tp t="s">
        <v>#N/A N/A</v>
        <stp/>
        <stp>BDH|10213845885280051647</stp>
        <tr r="AE728" s="5"/>
        <tr r="AF688" s="5"/>
        <tr r="AC743" s="5"/>
        <tr r="AD738" s="5"/>
        <tr r="AB748" s="5"/>
      </tp>
      <tp t="s">
        <v>#N/A N/A</v>
        <stp/>
        <stp>BDH|13980745077907872241</stp>
        <tr r="AF745" s="5"/>
      </tp>
      <tp t="s">
        <v>#N/A N/A</v>
        <stp/>
        <stp>BDH|10864847129059035533</stp>
        <tr r="T573" s="5"/>
        <tr r="U568" s="5"/>
        <tr r="W518" s="5"/>
        <tr r="V558" s="5"/>
        <tr r="S578" s="5"/>
      </tp>
      <tp t="s">
        <v>#N/A N/A</v>
        <stp/>
        <stp>BDH|17378412031936621038</stp>
        <tr r="AC407" s="5"/>
        <tr r="AF352" s="5"/>
        <tr r="AE392" s="5"/>
        <tr r="AD402" s="5"/>
        <tr r="AB412" s="5"/>
      </tp>
      <tp t="s">
        <v>#N/A N/A</v>
        <stp/>
        <stp>BDH|10675565078076160208</stp>
        <tr r="AE680" s="5"/>
        <tr r="AC695" s="5"/>
        <tr r="AD690" s="5"/>
        <tr r="AF640" s="5"/>
        <tr r="AB700" s="5"/>
      </tp>
      <tp t="s">
        <v>#N/A N/A</v>
        <stp/>
        <stp>BDH|15395646165855378683</stp>
        <tr r="AC287" s="5"/>
        <tr r="AF232" s="5"/>
        <tr r="AE272" s="5"/>
        <tr r="AD282" s="5"/>
        <tr r="AB292" s="5"/>
      </tp>
      <tp t="s">
        <v>#N/A N/A</v>
        <stp/>
        <stp>BDH|15871753520423406516</stp>
        <tr r="AC38" s="5"/>
        <tr r="AD33" s="5"/>
        <tr r="AE23" s="5"/>
        <tr r="AB43" s="5"/>
      </tp>
      <tp t="s">
        <v>#N/A N/A</v>
        <stp/>
        <stp>BDH|14836230494269219068</stp>
        <tr r="AE274" s="5"/>
        <tr r="AF234" s="5"/>
        <tr r="AD284" s="5"/>
        <tr r="AC289" s="5"/>
        <tr r="AB294" s="5"/>
      </tp>
      <tp t="s">
        <v>#N/A N/A</v>
        <stp/>
        <stp>BDH|16267250794369881205</stp>
        <tr r="AD432" s="5"/>
        <tr r="AE422" s="5"/>
        <tr r="AC437" s="5"/>
        <tr r="AF382" s="5"/>
        <tr r="AB442" s="5"/>
      </tp>
      <tp t="s">
        <v>#N/A N/A</v>
        <stp/>
        <stp>BDH|12089065389478353472</stp>
        <tr r="AC199" s="5"/>
        <tr r="AF145" s="5"/>
        <tr r="AE184" s="5"/>
        <tr r="AD194" s="5"/>
        <tr r="AB204" s="5"/>
      </tp>
      <tp t="s">
        <v>#N/A N/A</v>
        <stp/>
        <stp>BDH|17207162973471930655</stp>
        <tr r="U761" s="5"/>
        <tr r="V751" s="5"/>
        <tr r="T766" s="5"/>
        <tr r="W711" s="5"/>
        <tr r="S771" s="5"/>
      </tp>
      <tp t="s">
        <v>#N/A N/A</v>
        <stp/>
        <stp>BDH|11779048963628844920</stp>
        <tr r="AF147" s="5"/>
        <tr r="AD196" s="5"/>
        <tr r="AC201" s="5"/>
        <tr r="AE186" s="5"/>
        <tr r="AB206" s="5"/>
      </tp>
      <tp t="s">
        <v>#N/A N/A</v>
        <stp/>
        <stp>BDH|10539968689940748777</stp>
        <tr r="U228" s="5"/>
        <tr r="T233" s="5"/>
        <tr r="V218" s="5"/>
        <tr r="W179" s="5"/>
        <tr r="S238" s="5"/>
      </tp>
      <tp t="s">
        <v>#N/A N/A</v>
        <stp/>
        <stp>BDH|18444817922656954247</stp>
        <tr r="T492" s="5"/>
        <tr r="U487" s="5"/>
        <tr r="W437" s="5"/>
        <tr r="V477" s="5"/>
        <tr r="S497" s="5"/>
      </tp>
      <tp t="s">
        <v>#N/A N/A</v>
        <stp/>
        <stp>BDH|15402733351517553696</stp>
        <tr r="W502" s="5"/>
        <tr r="V542" s="5"/>
        <tr r="T557" s="5"/>
        <tr r="U552" s="5"/>
        <tr r="S562" s="5"/>
      </tp>
      <tp t="s">
        <v>#N/A N/A</v>
        <stp/>
        <stp>BDH|17424041063476609188</stp>
        <tr r="W67" s="5"/>
        <tr r="V107" s="5"/>
        <tr r="U117" s="5"/>
        <tr r="T122" s="5"/>
        <tr r="S127" s="5"/>
      </tp>
      <tp t="s">
        <v>#N/A N/A</v>
        <stp/>
        <stp>BDH|14072104138132087259</stp>
        <tr r="W738" s="5"/>
      </tp>
      <tp t="s">
        <v>#N/A N/A</v>
        <stp/>
        <stp>BDH|12362326687968859724</stp>
        <tr r="W327" s="5"/>
        <tr r="U377" s="5"/>
        <tr r="T382" s="5"/>
        <tr r="V367" s="5"/>
        <tr r="S387" s="5"/>
      </tp>
      <tp t="s">
        <v>#N/A N/A</v>
        <stp/>
        <stp>BDH|13140223216974192289</stp>
        <tr r="U460" s="5"/>
        <tr r="W410" s="5"/>
        <tr r="T465" s="5"/>
        <tr r="V450" s="5"/>
        <tr r="S470" s="5"/>
      </tp>
      <tp t="s">
        <v>#N/A N/A</v>
        <stp/>
        <stp>BDH|10902830796940085707</stp>
        <tr r="W336" s="5"/>
        <tr r="V376" s="5"/>
        <tr r="U386" s="5"/>
        <tr r="T391" s="5"/>
        <tr r="S396" s="5"/>
      </tp>
      <tp t="s">
        <v>#N/A N/A</v>
        <stp/>
        <stp>BDH|10264872889164285228</stp>
        <tr r="U258" s="5"/>
        <tr r="T263" s="5"/>
        <tr r="W208" s="5"/>
        <tr r="V248" s="5"/>
        <tr r="S268" s="5"/>
      </tp>
      <tp t="s">
        <v>#N/A N/A</v>
        <stp/>
        <stp>BDH|17084507998674087978</stp>
        <tr r="AF689" s="5"/>
        <tr r="AD739" s="5"/>
        <tr r="AC744" s="5"/>
        <tr r="AE729" s="5"/>
        <tr r="AB749" s="5"/>
      </tp>
      <tp t="s">
        <v>#N/A N/A</v>
        <stp/>
        <stp>BDH|10372438502735570780</stp>
        <tr r="AD287" s="5"/>
        <tr r="AF237" s="5"/>
        <tr r="AC292" s="5"/>
        <tr r="AE277" s="5"/>
        <tr r="AB297" s="5"/>
      </tp>
      <tp t="s">
        <v>#N/A N/A</v>
        <stp/>
        <stp>BDH|16367493197489180435</stp>
        <tr r="AE452" s="5"/>
        <tr r="AC467" s="5"/>
        <tr r="AF412" s="5"/>
        <tr r="AD462" s="5"/>
        <tr r="AB472" s="5"/>
      </tp>
      <tp t="s">
        <v>#N/A N/A</v>
        <stp/>
        <stp>BDH|11539998896761792629</stp>
        <tr r="U256" s="5"/>
        <tr r="V246" s="5"/>
        <tr r="T261" s="5"/>
        <tr r="W206" s="5"/>
        <tr r="S266" s="5"/>
      </tp>
      <tp t="s">
        <v>#N/A N/A</v>
        <stp/>
        <stp>BDH|16054388954912132427</stp>
        <tr r="AE399" s="5"/>
        <tr r="AF359" s="5"/>
        <tr r="AC414" s="5"/>
        <tr r="AD409" s="5"/>
        <tr r="AB419" s="5"/>
      </tp>
      <tp t="s">
        <v>#N/A N/A</v>
        <stp/>
        <stp>BDH|16423536790038053497</stp>
        <tr r="AF751" s="5"/>
      </tp>
      <tp t="s">
        <v>#N/A N/A</v>
        <stp/>
        <stp>BDH|12264441158120052506</stp>
        <tr r="AC21" s="5"/>
        <tr r="AB26" s="5"/>
      </tp>
      <tp t="s">
        <v>#N/A N/A</v>
        <stp/>
        <stp>BDH|16865577074937323491</stp>
        <tr r="W659" s="5"/>
        <tr r="T714" s="5"/>
        <tr r="V699" s="5"/>
        <tr r="U709" s="5"/>
        <tr r="S719" s="5"/>
      </tp>
      <tp t="s">
        <v>#N/A N/A</v>
        <stp/>
        <stp>BDH|17093832906308473001</stp>
        <tr r="U648" s="5"/>
        <tr r="W598" s="5"/>
        <tr r="V638" s="5"/>
        <tr r="T653" s="5"/>
        <tr r="S658" s="5"/>
      </tp>
      <tp t="s">
        <v>#N/A N/A</v>
        <stp/>
        <stp>BDH|16427214537339577961</stp>
        <tr r="AD728" s="5"/>
        <tr r="AC733" s="5"/>
        <tr r="AE718" s="5"/>
        <tr r="AF678" s="5"/>
        <tr r="AB738" s="5"/>
      </tp>
      <tp t="s">
        <v>#N/A N/A</v>
        <stp/>
        <stp>BDH|13839730729158028932</stp>
        <tr r="V696" s="5"/>
        <tr r="U706" s="5"/>
        <tr r="T711" s="5"/>
        <tr r="W656" s="5"/>
        <tr r="S716" s="5"/>
      </tp>
      <tp t="s">
        <v>#N/A N/A</v>
        <stp/>
        <stp>BDH|12767250263945589456</stp>
        <tr r="V233" s="5"/>
        <tr r="W193" s="5"/>
        <tr r="T248" s="5"/>
        <tr r="U243" s="5"/>
        <tr r="S253" s="5"/>
      </tp>
      <tp t="s">
        <v>#N/A N/A</v>
        <stp/>
        <stp>BDH|16569667368988912921</stp>
        <tr r="U155" s="5"/>
        <tr r="W105" s="5"/>
        <tr r="V145" s="5"/>
        <tr r="T160" s="5"/>
        <tr r="S165" s="5"/>
      </tp>
      <tp t="s">
        <v>#N/A N/A</v>
        <stp/>
        <stp>BDH|16650904183041378169</stp>
        <tr r="W765" s="5"/>
      </tp>
      <tp t="s">
        <v>#N/A N/A</v>
        <stp/>
        <stp>BDH|15029205952815298009</stp>
        <tr r="AF362" s="5"/>
        <tr r="AE402" s="5"/>
        <tr r="AD412" s="5"/>
        <tr r="AC417" s="5"/>
        <tr r="AB422" s="5"/>
      </tp>
      <tp t="s">
        <v>#N/A N/A</v>
        <stp/>
        <stp>BDH|10156295644760403189</stp>
        <tr r="V508" s="5"/>
        <tr r="U518" s="5"/>
        <tr r="T523" s="5"/>
        <tr r="W468" s="5"/>
        <tr r="S528" s="5"/>
      </tp>
      <tp t="s">
        <v>#N/A N/A</v>
        <stp/>
        <stp>BDH|11970402574172980748</stp>
        <tr r="W306" s="5"/>
        <tr r="V346" s="5"/>
        <tr r="T361" s="5"/>
        <tr r="U356" s="5"/>
        <tr r="S366" s="5"/>
      </tp>
      <tp t="s">
        <v>#N/A N/A</v>
        <stp/>
        <stp>BDH|18096885321357318295</stp>
        <tr r="AC32" s="5"/>
        <tr r="AD27" s="5"/>
        <tr r="AB37" s="5"/>
      </tp>
      <tp t="s">
        <v>#N/A N/A</v>
        <stp/>
        <stp>BDH|13188916667659414207</stp>
        <tr r="W496" s="5"/>
        <tr r="V536" s="5"/>
        <tr r="U546" s="5"/>
        <tr r="T551" s="5"/>
        <tr r="S556" s="5"/>
      </tp>
      <tp t="s">
        <v>#N/A N/A</v>
        <stp/>
        <stp>BDH|13312684716593801060</stp>
        <tr r="T137" s="5"/>
        <tr r="V122" s="5"/>
        <tr r="W82" s="5"/>
        <tr r="U132" s="5"/>
        <tr r="S142" s="5"/>
      </tp>
      <tp t="s">
        <v>#N/A N/A</v>
        <stp/>
        <stp>BDH|17833447490375765898</stp>
        <tr r="AC578" s="5"/>
        <tr r="AD573" s="5"/>
        <tr r="AF523" s="5"/>
        <tr r="AE563" s="5"/>
        <tr r="AB583" s="5"/>
      </tp>
      <tp t="s">
        <v>#N/A N/A</v>
        <stp/>
        <stp>BDH|10768708931296194559</stp>
        <tr r="V339" s="5"/>
        <tr r="T354" s="5"/>
        <tr r="U349" s="5"/>
        <tr r="W299" s="5"/>
        <tr r="S359" s="5"/>
      </tp>
      <tp t="s">
        <v>#N/A N/A</v>
        <stp/>
        <stp>BDH|12929823402334871942</stp>
        <tr r="AC496" s="5"/>
        <tr r="AD491" s="5"/>
        <tr r="AF441" s="5"/>
        <tr r="AE481" s="5"/>
        <tr r="AB501" s="5"/>
      </tp>
      <tp t="s">
        <v>#N/A N/A</v>
        <stp/>
        <stp>BDH|13493732924511761003</stp>
        <tr r="U213" s="5"/>
        <tr r="T218" s="5"/>
        <tr r="W164" s="5"/>
        <tr r="V203" s="5"/>
        <tr r="S223" s="5"/>
      </tp>
      <tp t="s">
        <v>#N/A N/A</v>
        <stp/>
        <stp>BDH|14120279042164360134</stp>
        <tr r="AC491" s="5"/>
        <tr r="AF436" s="5"/>
        <tr r="AE476" s="5"/>
        <tr r="AD486" s="5"/>
        <tr r="AB496" s="5"/>
      </tp>
      <tp t="s">
        <v>#N/A N/A</v>
        <stp/>
        <stp>BDH|17147582762046617594</stp>
        <tr r="V442" s="5"/>
        <tr r="U452" s="5"/>
        <tr r="W402" s="5"/>
        <tr r="T457" s="5"/>
        <tr r="S462" s="5"/>
      </tp>
      <tp t="s">
        <v>#N/A N/A</v>
        <stp/>
        <stp>BDH|10318290638134745216</stp>
        <tr r="AC643" s="5"/>
        <tr r="AE628" s="5"/>
        <tr r="AF588" s="5"/>
        <tr r="AD638" s="5"/>
        <tr r="AB648" s="5"/>
      </tp>
      <tp t="s">
        <v>#N/A N/A</v>
        <stp/>
        <stp>BDH|16106200217875065718</stp>
        <tr r="AC426" s="5"/>
        <tr r="AE411" s="5"/>
        <tr r="AD421" s="5"/>
        <tr r="AF371" s="5"/>
        <tr r="AB431" s="5"/>
      </tp>
      <tp t="s">
        <v>#N/A N/A</v>
        <stp/>
        <stp>BDH|12080592982818919048</stp>
        <tr r="AE533" s="5"/>
        <tr r="AD543" s="5"/>
        <tr r="AF493" s="5"/>
        <tr r="AC548" s="5"/>
        <tr r="AB553" s="5"/>
      </tp>
      <tp t="s">
        <v>#N/A N/A</v>
        <stp/>
        <stp>BDH|13618619068712900603</stp>
        <tr r="AF74" s="5"/>
        <tr r="AD124" s="5"/>
        <tr r="AE114" s="5"/>
        <tr r="AC129" s="5"/>
        <tr r="AB134" s="5"/>
      </tp>
      <tp t="s">
        <v>#N/A N/A</v>
        <stp/>
        <stp>BDH|14669433634513334741</stp>
        <tr r="V683" s="5"/>
        <tr r="U693" s="5"/>
        <tr r="W643" s="5"/>
        <tr r="T698" s="5"/>
        <tr r="S703" s="5"/>
      </tp>
      <tp t="s">
        <v>#N/A N/A</v>
        <stp/>
        <stp>BDH|18270761887386642634</stp>
        <tr r="T249" s="5"/>
        <tr r="V234" s="5"/>
        <tr r="W194" s="5"/>
        <tr r="U244" s="5"/>
        <tr r="S254" s="5"/>
      </tp>
      <tp t="s">
        <v>#N/A N/A</v>
        <stp/>
        <stp>BDH|13130407908886752676</stp>
        <tr r="U328" s="5"/>
        <tr r="T333" s="5"/>
        <tr r="W278" s="5"/>
        <tr r="V318" s="5"/>
        <tr r="S338" s="5"/>
      </tp>
      <tp t="s">
        <v>#N/A N/A</v>
        <stp/>
        <stp>BDH|16885047236650456262</stp>
        <tr r="AF202" s="5"/>
        <tr r="AD252" s="5"/>
        <tr r="AE242" s="5"/>
        <tr r="AC257" s="5"/>
        <tr r="AB262" s="5"/>
      </tp>
      <tp t="s">
        <v>#N/A N/A</v>
        <stp/>
        <stp>BDH|18007690114169660134</stp>
        <tr r="AC389" s="5"/>
        <tr r="AD384" s="5"/>
        <tr r="AF334" s="5"/>
        <tr r="AE374" s="5"/>
        <tr r="AB394" s="5"/>
      </tp>
      <tp t="s">
        <v>#N/A N/A</v>
        <stp/>
        <stp>BDH|11304505226826814759</stp>
        <tr r="AD683" s="5"/>
        <tr r="AE673" s="5"/>
        <tr r="AC688" s="5"/>
        <tr r="AF633" s="5"/>
        <tr r="AB693" s="5"/>
      </tp>
      <tp t="s">
        <v>#N/A N/A</v>
        <stp/>
        <stp>BDH|15947178021081773020</stp>
        <tr r="W167" s="5"/>
        <tr r="T221" s="5"/>
        <tr r="U216" s="5"/>
        <tr r="V206" s="5"/>
        <tr r="S226" s="5"/>
      </tp>
      <tp t="s">
        <v>#N/A N/A</v>
        <stp/>
        <stp>BDH|13684297104017123100</stp>
        <tr r="AC742" s="5"/>
        <tr r="AF687" s="5"/>
        <tr r="AD737" s="5"/>
        <tr r="AE727" s="5"/>
        <tr r="AB747" s="5"/>
      </tp>
      <tp t="s">
        <v>#N/A N/A</v>
        <stp/>
        <stp>BDH|12238285866352767311</stp>
        <tr r="AF305" s="5"/>
        <tr r="AC360" s="5"/>
        <tr r="AE345" s="5"/>
        <tr r="AD355" s="5"/>
        <tr r="AB365" s="5"/>
      </tp>
      <tp t="s">
        <v>#N/A N/A</v>
        <stp/>
        <stp>BDH|17036963151229906544</stp>
        <tr r="V756" s="5"/>
        <tr r="U766" s="5"/>
        <tr r="W716" s="5"/>
        <tr r="T771" s="5"/>
      </tp>
      <tp t="s">
        <v>#N/A N/A</v>
        <stp/>
        <stp>BDH|15051353463322916551</stp>
        <tr r="AF761" s="5"/>
      </tp>
      <tp t="s">
        <v>#N/A N/A</v>
        <stp/>
        <stp>BDH|13997560450243276707</stp>
        <tr r="AF730" s="5"/>
        <tr r="AE770" s="5"/>
      </tp>
      <tp t="s">
        <v>#N/A N/A</v>
        <stp/>
        <stp>BDH|13910191003577790291</stp>
        <tr r="W376" s="5"/>
        <tr r="U426" s="5"/>
        <tr r="T431" s="5"/>
        <tr r="V416" s="5"/>
        <tr r="S436" s="5"/>
      </tp>
      <tp t="s">
        <v>#N/A N/A</v>
        <stp/>
        <stp>BDH|14763295665580154770</stp>
        <tr r="W258" s="5"/>
        <tr r="U308" s="5"/>
        <tr r="V298" s="5"/>
        <tr r="T313" s="5"/>
        <tr r="S318" s="5"/>
      </tp>
      <tp t="s">
        <v>#N/A N/A</v>
        <stp/>
        <stp>BDH|14205679569044820798</stp>
        <tr r="AD290" s="5"/>
        <tr r="AF240" s="5"/>
        <tr r="AC295" s="5"/>
        <tr r="AE280" s="5"/>
        <tr r="AB300" s="5"/>
      </tp>
      <tp t="s">
        <v>#N/A N/A</v>
        <stp/>
        <stp>BDH|17593559387768243583</stp>
        <tr r="AD585" s="5"/>
        <tr r="AE575" s="5"/>
        <tr r="AF535" s="5"/>
        <tr r="AC590" s="5"/>
        <tr r="AB595" s="5"/>
      </tp>
      <tp t="s">
        <v>#N/A N/A</v>
        <stp/>
        <stp>BDH|13557648328965487508</stp>
        <tr r="AF198" s="5"/>
        <tr r="AC253" s="5"/>
        <tr r="AD248" s="5"/>
        <tr r="AE238" s="5"/>
        <tr r="AB258" s="5"/>
      </tp>
      <tp t="s">
        <v>#N/A N/A</v>
        <stp/>
        <stp>BDH|10113502133652851374</stp>
        <tr r="AC39" s="5"/>
        <tr r="AE24" s="5"/>
        <tr r="AD34" s="5"/>
        <tr r="AB44" s="5"/>
      </tp>
      <tp t="s">
        <v>#N/A N/A</v>
        <stp/>
        <stp>BDH|12318837119258216440</stp>
        <tr r="AF762" s="5"/>
      </tp>
      <tp t="s">
        <v>#N/A N/A</v>
        <stp/>
        <stp>BDH|17846555022034946390</stp>
        <tr r="AD179" s="5"/>
        <tr r="AC183" s="5"/>
        <tr r="AF129" s="5"/>
        <tr r="AE169" s="5"/>
        <tr r="AB188" s="5"/>
      </tp>
      <tp t="s">
        <v>#N/A N/A</v>
        <stp/>
        <stp>BDH|16548024104204492596</stp>
        <tr r="AF528" s="5"/>
        <tr r="AD578" s="5"/>
        <tr r="AE568" s="5"/>
        <tr r="AC583" s="5"/>
        <tr r="AB588" s="5"/>
      </tp>
      <tp t="s">
        <v>#N/A N/A</v>
        <stp/>
        <stp>BDH|10103484592948559208</stp>
        <tr r="T415" s="5"/>
        <tr r="W360" s="5"/>
        <tr r="V400" s="5"/>
        <tr r="U410" s="5"/>
        <tr r="S420" s="5"/>
      </tp>
      <tp t="s">
        <v>#N/A N/A</v>
        <stp/>
        <stp>BDH|14945791949447574721</stp>
        <tr r="AE508" s="5"/>
        <tr r="AD518" s="5"/>
        <tr r="AC523" s="5"/>
        <tr r="AF468" s="5"/>
        <tr r="AB528" s="5"/>
      </tp>
      <tp t="s">
        <v>#N/A N/A</v>
        <stp/>
        <stp>BDH|12457911881875599207</stp>
        <tr r="T762" s="5"/>
        <tr r="V747" s="5"/>
        <tr r="U757" s="5"/>
        <tr r="W707" s="5"/>
        <tr r="S767" s="5"/>
      </tp>
      <tp t="s">
        <v>#N/A N/A</v>
        <stp/>
        <stp>BDH|15378825873448372604</stp>
        <tr r="T32" s="5"/>
        <tr r="U27" s="5"/>
        <tr r="S37" s="5"/>
      </tp>
      <tp t="s">
        <v>#N/A N/A</v>
        <stp/>
        <stp>BDH|13712085069060746105</stp>
        <tr r="AE624" s="5"/>
        <tr r="AF584" s="5"/>
        <tr r="AC639" s="5"/>
        <tr r="AD634" s="5"/>
        <tr r="AB644" s="5"/>
      </tp>
      <tp t="s">
        <v>#N/A N/A</v>
        <stp/>
        <stp>BDH|14562648314004221368</stp>
        <tr r="AE697" s="5"/>
        <tr r="AF657" s="5"/>
        <tr r="AD707" s="5"/>
        <tr r="AC712" s="5"/>
        <tr r="AB717" s="5"/>
      </tp>
      <tp t="s">
        <v>#N/A N/A</v>
        <stp/>
        <stp>BDH|11825172690545974868</stp>
        <tr r="AC156" s="5"/>
        <tr r="AF101" s="5"/>
        <tr r="AE141" s="5"/>
        <tr r="AD151" s="5"/>
        <tr r="AB161" s="5"/>
      </tp>
      <tp t="s">
        <v>#N/A N/A</v>
        <stp/>
        <stp>BDH|17890094027140541137</stp>
        <tr r="V624" s="5"/>
        <tr r="W584" s="5"/>
        <tr r="T639" s="5"/>
        <tr r="U634" s="5"/>
        <tr r="S644" s="5"/>
      </tp>
      <tp t="s">
        <v>#N/A N/A</v>
        <stp/>
        <stp>BDH|16433436598819709688</stp>
        <tr r="U689" s="5"/>
        <tr r="T694" s="5"/>
        <tr r="W639" s="5"/>
        <tr r="V679" s="5"/>
        <tr r="S699" s="5"/>
      </tp>
      <tp t="s">
        <v>#N/A N/A</v>
        <stp/>
        <stp>BDH|10845170833100876647</stp>
        <tr r="AF324" s="5"/>
        <tr r="AC379" s="5"/>
        <tr r="AE364" s="5"/>
        <tr r="AD374" s="5"/>
        <tr r="AB384" s="5"/>
      </tp>
      <tp t="s">
        <v>#N/A N/A</v>
        <stp/>
        <stp>BDH|11371294326650888549</stp>
        <tr r="AF763" s="5"/>
      </tp>
      <tp t="s">
        <v>#N/A N/A</v>
        <stp/>
        <stp>BDH|16530456136562131777</stp>
        <tr r="AF112" s="5"/>
        <tr r="AE152" s="5"/>
        <tr r="AC167" s="5"/>
        <tr r="AD162" s="5"/>
        <tr r="AB172" s="5"/>
      </tp>
      <tp t="s">
        <v>#N/A N/A</v>
        <stp/>
        <stp>BDH|15206269515463361110</stp>
        <tr r="W704" s="5"/>
        <tr r="V744" s="5"/>
        <tr r="T759" s="5"/>
        <tr r="U754" s="5"/>
        <tr r="S764" s="5"/>
      </tp>
      <tp t="s">
        <v>#N/A N/A</v>
        <stp/>
        <stp>BDH|17695008382288442339</stp>
        <tr r="AD598" s="5"/>
        <tr r="AC603" s="5"/>
        <tr r="AE588" s="5"/>
        <tr r="AF548" s="5"/>
        <tr r="AB608" s="5"/>
      </tp>
      <tp t="s">
        <v>#N/A N/A</v>
        <stp/>
        <stp>BDH|17184519227655238167</stp>
        <tr r="U587" s="5"/>
        <tr r="W537" s="5"/>
        <tr r="V577" s="5"/>
        <tr r="T592" s="5"/>
        <tr r="S597" s="5"/>
      </tp>
      <tp t="s">
        <v>#N/A N/A</v>
        <stp/>
        <stp>BDH|11009844117624227822</stp>
        <tr r="AD722" s="5"/>
        <tr r="AF672" s="5"/>
        <tr r="AE712" s="5"/>
        <tr r="AC727" s="5"/>
        <tr r="AB732" s="5"/>
      </tp>
      <tp t="s">
        <v>#N/A N/A</v>
        <stp/>
        <stp>BDH|10285319861499938881</stp>
        <tr r="AC411" s="5"/>
        <tr r="AE396" s="5"/>
        <tr r="AD406" s="5"/>
        <tr r="AF356" s="5"/>
        <tr r="AB416" s="5"/>
      </tp>
      <tp t="s">
        <v>#N/A N/A</v>
        <stp/>
        <stp>BDH|17253577213033710426</stp>
        <tr r="AF327" s="5"/>
        <tr r="AD377" s="5"/>
        <tr r="AC382" s="5"/>
        <tr r="AE367" s="5"/>
        <tr r="AB387" s="5"/>
      </tp>
      <tp t="s">
        <v>#N/A N/A</v>
        <stp/>
        <stp>BDH|13948450198979020363</stp>
        <tr r="T693" s="5"/>
        <tr r="U688" s="5"/>
        <tr r="V678" s="5"/>
        <tr r="W638" s="5"/>
        <tr r="S698" s="5"/>
      </tp>
      <tp t="s">
        <v>#N/A N/A</v>
        <stp/>
        <stp>BDH|18372442381673425303</stp>
        <tr r="AC464" s="5"/>
        <tr r="AE449" s="5"/>
        <tr r="AD459" s="5"/>
        <tr r="AF409" s="5"/>
        <tr r="AB469" s="5"/>
      </tp>
      <tp t="s">
        <v>#N/A N/A</v>
        <stp/>
        <stp>BDH|18145442440528777404</stp>
        <tr r="W724" s="5"/>
        <tr r="V764" s="5"/>
      </tp>
      <tp t="s">
        <v>#N/A N/A</v>
        <stp/>
        <stp>BDH|13631181644402826001</stp>
        <tr r="W758" s="5"/>
      </tp>
      <tp t="s">
        <v>#N/A N/A</v>
        <stp/>
        <stp>BDH|16697648344949459974</stp>
        <tr r="T66" s="5"/>
        <tr r="U61" s="5"/>
        <tr r="V51" s="5"/>
        <tr r="S71" s="5"/>
      </tp>
      <tp t="s">
        <v>#N/A N/A</v>
        <stp/>
        <stp>BDH|14874831098408245948</stp>
        <tr r="AF223" s="5"/>
        <tr r="AE263" s="5"/>
        <tr r="AD273" s="5"/>
        <tr r="AC278" s="5"/>
        <tr r="AB283" s="5"/>
      </tp>
      <tp t="s">
        <v>#N/A N/A</v>
        <stp/>
        <stp>BDH|10746224081876536852</stp>
        <tr r="U702" s="5"/>
        <tr r="W652" s="5"/>
        <tr r="V692" s="5"/>
        <tr r="T707" s="5"/>
        <tr r="S712" s="5"/>
      </tp>
      <tp t="s">
        <v>#N/A N/A</v>
        <stp/>
        <stp>BDH|16201744955095412535</stp>
        <tr r="AC149" s="5"/>
        <tr r="AF94" s="5"/>
        <tr r="AD144" s="5"/>
        <tr r="AE134" s="5"/>
        <tr r="AB154" s="5"/>
      </tp>
      <tp t="s">
        <v>#N/A N/A</v>
        <stp/>
        <stp>BDH|14891188872303786523</stp>
        <tr r="V258" s="5"/>
        <tr r="W218" s="5"/>
        <tr r="U268" s="5"/>
        <tr r="T273" s="5"/>
        <tr r="S278" s="5"/>
      </tp>
      <tp t="s">
        <v>#N/A N/A</v>
        <stp/>
        <stp>BDH|11833584667817740173</stp>
        <tr r="AD297" s="5"/>
        <tr r="AC302" s="5"/>
        <tr r="AE287" s="5"/>
        <tr r="AF247" s="5"/>
        <tr r="AB307" s="5"/>
      </tp>
      <tp t="s">
        <v>#N/A N/A</v>
        <stp/>
        <stp>BDH|15366505564977521555</stp>
        <tr r="W265" s="5"/>
        <tr r="U315" s="5"/>
        <tr r="V305" s="5"/>
        <tr r="T320" s="5"/>
        <tr r="S325" s="5"/>
      </tp>
      <tp t="s">
        <v>#N/A N/A</v>
        <stp/>
        <stp>BDH|11768355868129461997</stp>
        <tr r="U645" s="5"/>
        <tr r="W595" s="5"/>
        <tr r="T650" s="5"/>
        <tr r="V635" s="5"/>
        <tr r="S655" s="5"/>
      </tp>
      <tp t="s">
        <v>#N/A N/A</v>
        <stp/>
        <stp>BDH|12227597677402304680</stp>
        <tr r="T598" s="5"/>
        <tr r="U593" s="5"/>
        <tr r="W543" s="5"/>
        <tr r="V583" s="5"/>
        <tr r="S603" s="5"/>
      </tp>
      <tp t="s">
        <v>#N/A N/A</v>
        <stp/>
        <stp>BDH|10065251137671172446</stp>
        <tr r="AF484" s="5"/>
        <tr r="AD534" s="5"/>
        <tr r="AC539" s="5"/>
        <tr r="AE524" s="5"/>
        <tr r="AB544" s="5"/>
      </tp>
      <tp t="s">
        <v>#N/A N/A</v>
        <stp/>
        <stp>BDH|14146260140051642760</stp>
        <tr r="W748" s="5"/>
      </tp>
      <tp t="s">
        <v>#N/A N/A</v>
        <stp/>
        <stp>BDH|13211572151600666756</stp>
        <tr r="T92" s="5"/>
        <tr r="W37" s="5"/>
        <tr r="U87" s="5"/>
        <tr r="V77" s="5"/>
        <tr r="S97" s="5"/>
      </tp>
      <tp t="s">
        <v>#N/A N/A</v>
        <stp/>
        <stp>BDH|11921921002578900469</stp>
        <tr r="U199" s="5"/>
        <tr r="T204" s="5"/>
        <tr r="V189" s="5"/>
        <tr r="W150" s="5"/>
        <tr r="S209" s="5"/>
      </tp>
      <tp t="s">
        <v>#N/A N/A</v>
        <stp/>
        <stp>BDH|12741855099493083427</stp>
        <tr r="AE479" s="5"/>
        <tr r="AD489" s="5"/>
        <tr r="AF439" s="5"/>
        <tr r="AC494" s="5"/>
        <tr r="AB499" s="5"/>
      </tp>
      <tp t="s">
        <v>#N/A N/A</v>
        <stp/>
        <stp>BDH|11317833429227980895</stp>
        <tr r="AF499" s="5"/>
        <tr r="AC554" s="5"/>
        <tr r="AE539" s="5"/>
        <tr r="AD549" s="5"/>
        <tr r="AB559" s="5"/>
      </tp>
      <tp t="s">
        <v>#N/A N/A</v>
        <stp/>
        <stp>BDH|17938575200694272257</stp>
        <tr r="V183" s="5"/>
        <tr r="U193" s="5"/>
        <tr r="T198" s="5"/>
        <tr r="W144" s="5"/>
        <tr r="S203" s="5"/>
      </tp>
      <tp t="s">
        <v>#N/A N/A</v>
        <stp/>
        <stp>BDH|14267520258786854680</stp>
        <tr r="V247" s="5"/>
        <tr r="W207" s="5"/>
        <tr r="U257" s="5"/>
        <tr r="T262" s="5"/>
        <tr r="S267" s="5"/>
      </tp>
      <tp t="s">
        <v>#N/A N/A</v>
        <stp/>
        <stp>BDH|13873004434814071071</stp>
        <tr r="AC416" s="5"/>
        <tr r="AD411" s="5"/>
        <tr r="AF361" s="5"/>
        <tr r="AE401" s="5"/>
        <tr r="AB421" s="5"/>
      </tp>
      <tp t="s">
        <v>#N/A N/A</v>
        <stp/>
        <stp>BDH|13839014945604625708</stp>
        <tr r="W730" s="5"/>
        <tr r="V770" s="5"/>
      </tp>
      <tp t="s">
        <v>#N/A N/A</v>
        <stp/>
        <stp>BDH|17450568666663630384</stp>
        <tr r="V443" s="5"/>
        <tr r="U453" s="5"/>
        <tr r="W403" s="5"/>
        <tr r="T458" s="5"/>
        <tr r="S463" s="5"/>
      </tp>
      <tp t="s">
        <v>#N/A N/A</v>
        <stp/>
        <stp>BDH|12434397376360318226</stp>
        <tr r="U422" s="5"/>
        <tr r="V412" s="5"/>
        <tr r="T427" s="5"/>
        <tr r="W372" s="5"/>
        <tr r="S432" s="5"/>
      </tp>
      <tp t="s">
        <v>#N/A N/A</v>
        <stp/>
        <stp>BDH|11067194337947630028</stp>
        <tr r="AE644" s="5"/>
        <tr r="AC659" s="5"/>
        <tr r="AF604" s="5"/>
        <tr r="AD654" s="5"/>
        <tr r="AB664" s="5"/>
      </tp>
      <tp t="s">
        <v>#N/A N/A</v>
        <stp/>
        <stp>BDH|10715188101540737542</stp>
        <tr r="T39" s="5"/>
        <tr r="V24" s="5"/>
        <tr r="U34" s="5"/>
        <tr r="S44" s="5"/>
      </tp>
      <tp t="s">
        <v>#N/A N/A</v>
        <stp/>
        <stp>BDH|10184660536312999357</stp>
        <tr r="U130" s="5"/>
        <tr r="W80" s="5"/>
        <tr r="T135" s="5"/>
        <tr r="V120" s="5"/>
        <tr r="S140" s="5"/>
      </tp>
      <tp t="s">
        <v>#N/A N/A</v>
        <stp/>
        <stp>BDH|12193711351697925346</stp>
        <tr r="AC528" s="5"/>
        <tr r="AE513" s="5"/>
        <tr r="AD523" s="5"/>
        <tr r="AF473" s="5"/>
        <tr r="AB533" s="5"/>
      </tp>
      <tp t="s">
        <v>#N/A N/A</v>
        <stp/>
        <stp>BDH|14018359539181718176</stp>
        <tr r="U127" s="5"/>
        <tr r="W77" s="5"/>
        <tr r="T132" s="5"/>
        <tr r="V117" s="5"/>
        <tr r="S137" s="5"/>
      </tp>
      <tp t="s">
        <v>#N/A N/A</v>
        <stp/>
        <stp>BDH|12245403866662182697</stp>
        <tr r="T681" s="5"/>
        <tr r="W626" s="5"/>
        <tr r="V666" s="5"/>
        <tr r="U676" s="5"/>
        <tr r="S686" s="5"/>
      </tp>
      <tp t="s">
        <v>#N/A N/A</v>
        <stp/>
        <stp>BDH|11102894184831211423</stp>
        <tr r="AF338" s="5"/>
        <tr r="AC393" s="5"/>
        <tr r="AD388" s="5"/>
        <tr r="AE378" s="5"/>
        <tr r="AB398" s="5"/>
      </tp>
      <tp t="s">
        <v>#N/A N/A</v>
        <stp/>
        <stp>BDH|15229824897801203193</stp>
        <tr r="AD562" s="5"/>
        <tr r="AF512" s="5"/>
        <tr r="AE552" s="5"/>
        <tr r="AC567" s="5"/>
        <tr r="AB572" s="5"/>
      </tp>
      <tp t="s">
        <v>#N/A N/A</v>
        <stp/>
        <stp>BDH|12876645964144415203</stp>
        <tr r="AE473" s="5"/>
        <tr r="AC488" s="5"/>
        <tr r="AD483" s="5"/>
        <tr r="AF433" s="5"/>
        <tr r="AB493" s="5"/>
      </tp>
      <tp t="s">
        <v>#N/A N/A</v>
        <stp/>
        <stp>BDH|18397718601612874976</stp>
        <tr r="AE135" s="5"/>
        <tr r="AD145" s="5"/>
        <tr r="AC150" s="5"/>
        <tr r="AF95" s="5"/>
        <tr r="AB155" s="5"/>
      </tp>
      <tp t="s">
        <v>#N/A N/A</v>
        <stp/>
        <stp>BDH|14555058749554551023</stp>
        <tr r="AC763" s="5"/>
        <tr r="AE748" s="5"/>
        <tr r="AF708" s="5"/>
        <tr r="AD758" s="5"/>
        <tr r="AB768" s="5"/>
      </tp>
      <tp t="s">
        <v>#N/A N/A</v>
        <stp/>
        <stp>BDH|18407488088437369798</stp>
        <tr r="W192" s="5"/>
        <tr r="T247" s="5"/>
        <tr r="V232" s="5"/>
        <tr r="U242" s="5"/>
        <tr r="S252" s="5"/>
      </tp>
      <tp t="s">
        <v>#N/A N/A</v>
        <stp/>
        <stp>BDH|14238045823504359778</stp>
        <tr r="AC459" s="5"/>
        <tr r="AD454" s="5"/>
        <tr r="AF404" s="5"/>
        <tr r="AE444" s="5"/>
        <tr r="AB464" s="5"/>
      </tp>
      <tp t="s">
        <v>#N/A N/A</v>
        <stp/>
        <stp>BDH|17812400877026945773</stp>
        <tr r="AE351" s="5"/>
        <tr r="AD361" s="5"/>
        <tr r="AC366" s="5"/>
        <tr r="AF311" s="5"/>
        <tr r="AB371" s="5"/>
      </tp>
      <tp t="s">
        <v>#N/A N/A</v>
        <stp/>
        <stp>BDH|16262452567841501050</stp>
        <tr r="W242" s="5"/>
        <tr r="V282" s="5"/>
        <tr r="U292" s="5"/>
        <tr r="T297" s="5"/>
        <tr r="S302" s="5"/>
      </tp>
      <tp t="s">
        <v>#N/A N/A</v>
        <stp/>
        <stp>BDH|13212067071267077650</stp>
        <tr r="AC587" s="5"/>
        <tr r="AD582" s="5"/>
        <tr r="AE572" s="5"/>
        <tr r="AF532" s="5"/>
        <tr r="AB592" s="5"/>
      </tp>
      <tp t="s">
        <v>#N/A N/A</v>
        <stp/>
        <stp>BDH|10061747191883770829</stp>
        <tr r="AE39" s="5"/>
        <tr r="AC54" s="5"/>
        <tr r="AD49" s="5"/>
        <tr r="AB59" s="5"/>
      </tp>
      <tp t="s">
        <v>#N/A N/A</v>
        <stp/>
        <stp>BDH|15025260803842476018</stp>
        <tr r="AC377" s="5"/>
        <tr r="AE362" s="5"/>
        <tr r="AF322" s="5"/>
        <tr r="AD372" s="5"/>
        <tr r="AB382" s="5"/>
      </tp>
      <tp t="s">
        <v>#N/A N/A</v>
        <stp/>
        <stp>BDH|11859178778091568315</stp>
        <tr r="U62" s="5"/>
        <tr r="T67" s="5"/>
        <tr r="V52" s="5"/>
        <tr r="S72" s="5"/>
      </tp>
      <tp t="s">
        <v>#N/A N/A</v>
        <stp/>
        <stp>BDH|13385293021567139190</stp>
        <tr r="AF691" s="5"/>
        <tr r="AC746" s="5"/>
        <tr r="AE731" s="5"/>
        <tr r="AD741" s="5"/>
        <tr r="AB751" s="5"/>
      </tp>
      <tp t="s">
        <v>#N/A N/A</v>
        <stp/>
        <stp>BDH|10600771860245705150</stp>
        <tr r="AE746" s="5"/>
        <tr r="AF706" s="5"/>
        <tr r="AC761" s="5"/>
        <tr r="AD756" s="5"/>
        <tr r="AB766" s="5"/>
      </tp>
      <tp t="s">
        <v>#N/A N/A</v>
        <stp/>
        <stp>BDH|10365122377280749321</stp>
        <tr r="T296" s="5"/>
        <tr r="U291" s="5"/>
        <tr r="V281" s="5"/>
        <tr r="W241" s="5"/>
        <tr r="S301" s="5"/>
      </tp>
      <tp t="s">
        <v>#N/A N/A</v>
        <stp/>
        <stp>BDH|11383084358580205128</stp>
        <tr r="AD389" s="5"/>
        <tr r="AF339" s="5"/>
        <tr r="AC394" s="5"/>
        <tr r="AE379" s="5"/>
        <tr r="AB399" s="5"/>
      </tp>
      <tp t="s">
        <v>#N/A N/A</v>
        <stp/>
        <stp>BDH|12033450066404616166</stp>
        <tr r="AE662" s="5"/>
        <tr r="AF622" s="5"/>
        <tr r="AC677" s="5"/>
        <tr r="AD672" s="5"/>
        <tr r="AB682" s="5"/>
      </tp>
      <tp t="s">
        <v>#N/A N/A</v>
        <stp/>
        <stp>BDH|10325800266452415927</stp>
        <tr r="AD138" s="5"/>
        <tr r="AE128" s="5"/>
        <tr r="AC143" s="5"/>
        <tr r="AF88" s="5"/>
        <tr r="AB148" s="5"/>
      </tp>
      <tp t="s">
        <v>#N/A N/A</v>
        <stp/>
        <stp>BDH|18436758826961431906</stp>
        <tr r="AD721" s="5"/>
        <tr r="AC726" s="5"/>
        <tr r="AE711" s="5"/>
        <tr r="AF671" s="5"/>
        <tr r="AB731" s="5"/>
      </tp>
      <tp t="s">
        <v>#N/A N/A</v>
        <stp/>
        <stp>BDH|17675285083169966171</stp>
        <tr r="T662" s="5"/>
        <tr r="W607" s="5"/>
        <tr r="V647" s="5"/>
        <tr r="U657" s="5"/>
        <tr r="S667" s="5"/>
      </tp>
      <tp t="s">
        <v>#N/A N/A</v>
        <stp/>
        <stp>BDH|12819190335477070269</stp>
        <tr r="AD508" s="5"/>
        <tr r="AC513" s="5"/>
        <tr r="AE498" s="5"/>
        <tr r="AF458" s="5"/>
        <tr r="AB518" s="5"/>
      </tp>
      <tp t="s">
        <v>#N/A N/A</v>
        <stp/>
        <stp>BDH|10049944987306581240</stp>
        <tr r="W519" s="5"/>
        <tr r="T574" s="5"/>
        <tr r="V559" s="5"/>
        <tr r="U569" s="5"/>
        <tr r="S579" s="5"/>
      </tp>
      <tp t="s">
        <v>#N/A N/A</v>
        <stp/>
        <stp>BDH|10482852793680718470</stp>
        <tr r="AB25" s="5"/>
      </tp>
      <tp t="s">
        <v>#N/A N/A</v>
        <stp/>
        <stp>BDH|17331526474079633915</stp>
        <tr r="AC229" s="5"/>
        <tr r="AF175" s="5"/>
        <tr r="AD224" s="5"/>
        <tr r="AE214" s="5"/>
        <tr r="AB234" s="5"/>
      </tp>
      <tp t="s">
        <v>#N/A N/A</v>
        <stp/>
        <stp>BDH|10780052952723287302</stp>
        <tr r="V359" s="5"/>
        <tr r="T374" s="5"/>
        <tr r="U369" s="5"/>
        <tr r="W319" s="5"/>
        <tr r="S379" s="5"/>
      </tp>
      <tp t="s">
        <v>#N/A N/A</v>
        <stp/>
        <stp>BDH|11067546642667432201</stp>
        <tr r="AC442" s="5"/>
        <tr r="AE427" s="5"/>
        <tr r="AD437" s="5"/>
        <tr r="AF387" s="5"/>
        <tr r="AB447" s="5"/>
      </tp>
      <tp t="s">
        <v>#N/A N/A</v>
        <stp/>
        <stp>BDH|14121350634352233379</stp>
        <tr r="AC86" s="5"/>
        <tr r="AF31" s="5"/>
        <tr r="AD81" s="5"/>
        <tr r="AE71" s="5"/>
        <tr r="AB91" s="5"/>
      </tp>
      <tp t="s">
        <v>#N/A N/A</v>
        <stp/>
        <stp>BDH|10469418205161683037</stp>
        <tr r="AE195" s="5"/>
        <tr r="AD205" s="5"/>
        <tr r="AF156" s="5"/>
        <tr r="AC210" s="5"/>
        <tr r="AB215" s="5"/>
      </tp>
      <tp t="s">
        <v>#N/A N/A</v>
        <stp/>
        <stp>BDH|14285205828356956770</stp>
        <tr r="AC142" s="5"/>
        <tr r="AE127" s="5"/>
        <tr r="AF87" s="5"/>
        <tr r="AD137" s="5"/>
        <tr r="AB147" s="5"/>
      </tp>
      <tp t="s">
        <v>#N/A N/A</v>
        <stp/>
        <stp>BDH|14612438573815300712</stp>
        <tr r="V641" s="5"/>
        <tr r="W601" s="5"/>
        <tr r="T656" s="5"/>
        <tr r="U651" s="5"/>
        <tr r="S661" s="5"/>
      </tp>
      <tp t="s">
        <v>#N/A N/A</v>
        <stp/>
        <stp>BDH|10073262941794438771</stp>
        <tr r="AD660" s="5"/>
        <tr r="AC665" s="5"/>
        <tr r="AE650" s="5"/>
        <tr r="AF610" s="5"/>
        <tr r="AB670" s="5"/>
      </tp>
      <tp t="s">
        <v>#N/A N/A</v>
        <stp/>
        <stp>BDH|10004398520550418498</stp>
        <tr r="AC614" s="5"/>
        <tr r="AF559" s="5"/>
        <tr r="AE599" s="5"/>
        <tr r="AD609" s="5"/>
        <tr r="AB619" s="5"/>
      </tp>
      <tp t="s">
        <v>#N/A N/A</v>
        <stp/>
        <stp>BDH|10103468600953595257</stp>
        <tr r="V695" s="5"/>
        <tr r="T710" s="5"/>
        <tr r="U705" s="5"/>
        <tr r="W655" s="5"/>
        <tr r="S715" s="5"/>
      </tp>
      <tp t="s">
        <v>#N/A N/A</v>
        <stp/>
        <stp>BDH|13734067079010832179</stp>
        <tr r="U714" s="5"/>
        <tr r="V704" s="5"/>
        <tr r="W664" s="5"/>
        <tr r="T719" s="5"/>
        <tr r="S724" s="5"/>
      </tp>
      <tp t="s">
        <v>#N/A N/A</v>
        <stp/>
        <stp>BDH|11268356266630722119</stp>
        <tr r="V21" s="5"/>
        <tr r="U31" s="5"/>
        <tr r="T36" s="5"/>
        <tr r="S41" s="5"/>
      </tp>
      <tp t="s">
        <v>#N/A N/A</v>
        <stp/>
        <stp>BDH|16296085354366009093</stp>
        <tr r="W768" s="5"/>
      </tp>
      <tp t="s">
        <v>#N/A N/A</v>
        <stp/>
        <stp>BDH|17868492648392677084</stp>
        <tr r="AC346" s="5"/>
        <tr r="AE331" s="5"/>
        <tr r="AD341" s="5"/>
        <tr r="AF291" s="5"/>
        <tr r="AB351" s="5"/>
      </tp>
      <tp t="s">
        <v>#N/A N/A</v>
        <stp/>
        <stp>BDH|14034620800870118750</stp>
        <tr r="AD730" s="5"/>
        <tr r="AE720" s="5"/>
        <tr r="AC735" s="5"/>
        <tr r="AF680" s="5"/>
        <tr r="AB740" s="5"/>
      </tp>
      <tp t="s">
        <v>#N/A N/A</v>
        <stp/>
        <stp>BDH|12588489717272885045</stp>
        <tr r="V769" s="5"/>
        <tr r="W729" s="5"/>
      </tp>
      <tp t="s">
        <v>#N/A N/A</v>
        <stp/>
        <stp>BDH|15765607854876354594</stp>
        <tr r="AD645" s="5"/>
        <tr r="AF595" s="5"/>
        <tr r="AC650" s="5"/>
        <tr r="AE635" s="5"/>
        <tr r="AB655" s="5"/>
      </tp>
      <tp t="s">
        <v>#N/A N/A</v>
        <stp/>
        <stp>BDH|14331196443306082201</stp>
        <tr r="AD185" s="5"/>
        <tr r="AE176" s="5"/>
        <tr r="AF136" s="5"/>
        <tr r="AC190" s="5"/>
        <tr r="AB195" s="5"/>
      </tp>
      <tp t="s">
        <v>#N/A N/A</v>
        <stp/>
        <stp>BDH|11949047386568427464</stp>
        <tr r="AE750" s="5"/>
        <tr r="AC765" s="5"/>
        <tr r="AD760" s="5"/>
        <tr r="AF710" s="5"/>
        <tr r="AB770" s="5"/>
      </tp>
      <tp t="s">
        <v>#N/A N/A</v>
        <stp/>
        <stp>BDH|11605710478040185469</stp>
        <tr r="S773" s="5"/>
        <tr r="S772" s="5"/>
      </tp>
      <tp t="s">
        <v>#N/A N/A</v>
        <stp/>
        <stp>BDH|10538914584280807403</stp>
        <tr r="AF682" s="5"/>
        <tr r="AC737" s="5"/>
        <tr r="AD732" s="5"/>
        <tr r="AE722" s="5"/>
        <tr r="AB742" s="5"/>
      </tp>
      <tp t="s">
        <v>#N/A N/A</v>
        <stp/>
        <stp>BDH|13547144709460678767</stp>
        <tr r="AD463" s="5"/>
        <tr r="AF413" s="5"/>
        <tr r="AC468" s="5"/>
        <tr r="AE453" s="5"/>
        <tr r="AB473" s="5"/>
      </tp>
      <tp t="s">
        <v>#N/A N/A</v>
        <stp/>
        <stp>BDH|14641056472437983130</stp>
        <tr r="U431" s="5"/>
        <tr r="W381" s="5"/>
        <tr r="T436" s="5"/>
        <tr r="V421" s="5"/>
        <tr r="S441" s="5"/>
      </tp>
      <tp t="s">
        <v>#N/A N/A</v>
        <stp/>
        <stp>BDH|15957887145175673999</stp>
        <tr r="AC715" s="5"/>
        <tr r="AD710" s="5"/>
        <tr r="AE700" s="5"/>
        <tr r="AF660" s="5"/>
        <tr r="AB720" s="5"/>
      </tp>
      <tp t="s">
        <v>#N/A N/A</v>
        <stp/>
        <stp>BDH|13641984183813261455</stp>
        <tr r="AC134" s="5"/>
        <tr r="AF79" s="5"/>
        <tr r="AD129" s="5"/>
        <tr r="AE119" s="5"/>
        <tr r="AB139" s="5"/>
      </tp>
      <tp t="s">
        <v>#N/A N/A</v>
        <stp/>
        <stp>BDH|10900766440475080350</stp>
        <tr r="W501" s="5"/>
        <tr r="V541" s="5"/>
        <tr r="T556" s="5"/>
        <tr r="U551" s="5"/>
        <tr r="S561" s="5"/>
      </tp>
      <tp t="s">
        <v>#N/A N/A</v>
        <stp/>
        <stp>BDH|12029255973457496584</stp>
        <tr r="AC499" s="5"/>
        <tr r="AE484" s="5"/>
        <tr r="AF444" s="5"/>
        <tr r="AD494" s="5"/>
        <tr r="AB504" s="5"/>
      </tp>
      <tp t="s">
        <v>#N/A N/A</v>
        <stp/>
        <stp>BDH|15971347186643722866</stp>
        <tr r="W540" s="5"/>
        <tr r="U590" s="5"/>
        <tr r="V580" s="5"/>
        <tr r="T595" s="5"/>
        <tr r="S600" s="5"/>
      </tp>
      <tp t="s">
        <v>#N/A N/A</v>
        <stp/>
        <stp>BDH|17905300142555291042</stp>
        <tr r="AF704" s="5"/>
        <tr r="AE744" s="5"/>
        <tr r="AC759" s="5"/>
        <tr r="AD754" s="5"/>
        <tr r="AB764" s="5"/>
      </tp>
      <tp t="s">
        <v>#N/A N/A</v>
        <stp/>
        <stp>BDH|14946128070574797310</stp>
        <tr r="AF384" s="5"/>
        <tr r="AD434" s="5"/>
        <tr r="AC439" s="5"/>
        <tr r="AE424" s="5"/>
        <tr r="AB444" s="5"/>
      </tp>
      <tp t="s">
        <v>#N/A N/A</v>
        <stp/>
        <stp>BDH|16091712800701506598</stp>
        <tr r="AE73" s="5"/>
        <tr r="AF33" s="5"/>
        <tr r="AD83" s="5"/>
        <tr r="AC88" s="5"/>
        <tr r="AB93" s="5"/>
      </tp>
      <tp t="s">
        <v>#N/A N/A</v>
        <stp/>
        <stp>BDH|14517243713800740296</stp>
        <tr r="AF448" s="5"/>
        <tr r="AE488" s="5"/>
        <tr r="AD498" s="5"/>
        <tr r="AC503" s="5"/>
        <tr r="AB508" s="5"/>
      </tp>
      <tp t="s">
        <v>#N/A N/A</v>
        <stp/>
        <stp>BDH|11219723365221287483</stp>
        <tr r="AF380" s="5"/>
        <tr r="AD430" s="5"/>
        <tr r="AC435" s="5"/>
        <tr r="AE420" s="5"/>
        <tr r="AB440" s="5"/>
      </tp>
      <tp t="s">
        <v>#N/A N/A</v>
        <stp/>
        <stp>BDH|14027549666087536582</stp>
        <tr r="U171" s="5"/>
        <tr r="V161" s="5"/>
        <tr r="W121" s="5"/>
        <tr r="T176" s="5"/>
        <tr r="S181" s="5"/>
      </tp>
      <tp t="s">
        <v>#N/A N/A</v>
        <stp/>
        <stp>BDH|14349410353935603585</stp>
        <tr r="W373" s="5"/>
        <tr r="V413" s="5"/>
        <tr r="U423" s="5"/>
        <tr r="T428" s="5"/>
        <tr r="S433" s="5"/>
      </tp>
      <tp t="s">
        <v>#N/A N/A</v>
        <stp/>
        <stp>BDH|16793493979541128195</stp>
        <tr r="V92" s="5"/>
        <tr r="U102" s="5"/>
        <tr r="T107" s="5"/>
        <tr r="W52" s="5"/>
        <tr r="S112" s="5"/>
      </tp>
      <tp t="s">
        <v>#N/A N/A</v>
        <stp/>
        <stp>BDH|11809108830822658417</stp>
        <tr r="AF24" s="5"/>
        <tr r="AD74" s="5"/>
        <tr r="AC79" s="5"/>
        <tr r="AE64" s="5"/>
        <tr r="AB84" s="5"/>
      </tp>
      <tp t="s">
        <v>#N/A N/A</v>
        <stp/>
        <stp>BDH|13879038475976542743</stp>
        <tr r="T647" s="5"/>
        <tr r="V632" s="5"/>
        <tr r="U642" s="5"/>
        <tr r="W592" s="5"/>
        <tr r="S652" s="5"/>
      </tp>
      <tp t="s">
        <v>#N/A N/A</v>
        <stp/>
        <stp>BDH|11262418769840260664</stp>
        <tr r="AD52" s="5"/>
        <tr r="AC57" s="5"/>
        <tr r="AE42" s="5"/>
        <tr r="AB62" s="5"/>
      </tp>
    </main>
    <main first="bofaddin.rtdserver">
      <tp t="s">
        <v>#N/A N/A</v>
        <stp/>
        <stp>BDH|5768518695101846</stp>
        <tr r="T720" s="5"/>
        <tr r="U715" s="5"/>
        <tr r="W665" s="5"/>
        <tr r="V705" s="5"/>
        <tr r="S725" s="5"/>
      </tp>
      <tp t="s">
        <v>#N/A N/A</v>
        <stp/>
        <stp>BDH|1037372162490049</stp>
        <tr r="V495" s="5"/>
        <tr r="U505" s="5"/>
        <tr r="T510" s="5"/>
        <tr r="W455" s="5"/>
        <tr r="S515" s="5"/>
      </tp>
      <tp t="s">
        <v>#N/A N/A</v>
        <stp/>
        <stp>BDH|7787428226335140885</stp>
        <tr r="U38" s="5"/>
        <tr r="V28" s="5"/>
        <tr r="T43" s="5"/>
        <tr r="S48" s="5"/>
      </tp>
      <tp t="s">
        <v>#N/A N/A</v>
        <stp/>
        <stp>BDH|8417289323534283070</stp>
        <tr r="AF746" s="5"/>
      </tp>
      <tp t="s">
        <v>#N/A N/A</v>
        <stp/>
        <stp>BDH|7701045224631972853</stp>
        <tr r="AE112" s="5"/>
        <tr r="AF72" s="5"/>
        <tr r="AC127" s="5"/>
        <tr r="AD122" s="5"/>
        <tr r="AB132" s="5"/>
      </tp>
      <tp t="s">
        <v>#N/A N/A</v>
        <stp/>
        <stp>BDH|8189493326813040151</stp>
        <tr r="AC105" s="5"/>
        <tr r="AE90" s="5"/>
        <tr r="AF50" s="5"/>
        <tr r="AD100" s="5"/>
        <tr r="AB110" s="5"/>
      </tp>
      <tp t="s">
        <v>#N/A N/A</v>
        <stp/>
        <stp>BDH|9210468846905224082</stp>
        <tr r="V680" s="5"/>
        <tr r="T695" s="5"/>
        <tr r="U690" s="5"/>
        <tr r="W640" s="5"/>
        <tr r="S700" s="5"/>
      </tp>
      <tp t="s">
        <v>#N/A N/A</v>
        <stp/>
        <stp>BDH|3410566130870945936</stp>
        <tr r="T545" s="5"/>
        <tr r="U540" s="5"/>
        <tr r="V530" s="5"/>
        <tr r="W490" s="5"/>
        <tr r="S550" s="5"/>
      </tp>
      <tp t="s">
        <v>#N/A N/A</v>
        <stp/>
        <stp>BDH|9180154443252661294</stp>
        <tr r="T438" s="5"/>
        <tr r="V423" s="5"/>
        <tr r="U433" s="5"/>
        <tr r="W383" s="5"/>
        <tr r="S443" s="5"/>
      </tp>
      <tp t="s">
        <v>#N/A N/A</v>
        <stp/>
        <stp>BDH|1369478749804030946</stp>
        <tr r="AE245" s="5"/>
        <tr r="AD255" s="5"/>
        <tr r="AF205" s="5"/>
        <tr r="AC260" s="5"/>
        <tr r="AB265" s="5"/>
      </tp>
      <tp t="s">
        <v>#N/A N/A</v>
        <stp/>
        <stp>BDH|2832582486803688093</stp>
        <tr r="AC283" s="5"/>
        <tr r="AE268" s="5"/>
        <tr r="AD278" s="5"/>
        <tr r="AF228" s="5"/>
        <tr r="AB288" s="5"/>
      </tp>
      <tp t="s">
        <v>#N/A N/A</v>
        <stp/>
        <stp>BDH|8220270822630993478</stp>
        <tr r="T258" s="5"/>
        <tr r="U253" s="5"/>
        <tr r="V243" s="5"/>
        <tr r="W203" s="5"/>
        <tr r="S263" s="5"/>
      </tp>
      <tp t="s">
        <v>#N/A N/A</v>
        <stp/>
        <stp>BDH|4246389065589332451</stp>
        <tr r="T225" s="5"/>
        <tr r="U220" s="5"/>
        <tr r="W171" s="5"/>
        <tr r="V210" s="5"/>
        <tr r="S230" s="5"/>
      </tp>
      <tp t="s">
        <v>#N/A N/A</v>
        <stp/>
        <stp>BDH|9610348461428523887</stp>
        <tr r="U249" s="5"/>
        <tr r="V239" s="5"/>
        <tr r="T254" s="5"/>
        <tr r="W199" s="5"/>
        <tr r="S259" s="5"/>
      </tp>
      <tp t="s">
        <v>#N/A N/A</v>
        <stp/>
        <stp>BDH|6819710668908903379</stp>
        <tr r="T487" s="5"/>
        <tr r="W432" s="5"/>
        <tr r="V472" s="5"/>
        <tr r="U482" s="5"/>
        <tr r="S492" s="5"/>
      </tp>
      <tp t="s">
        <v>#N/A N/A</v>
        <stp/>
        <stp>BDH|5976926214690772175</stp>
        <tr r="AF332" s="5"/>
        <tr r="AD382" s="5"/>
        <tr r="AE372" s="5"/>
        <tr r="AC387" s="5"/>
        <tr r="AB392" s="5"/>
      </tp>
      <tp t="s">
        <v>#N/A N/A</v>
        <stp/>
        <stp>BDH|7585804708803769059</stp>
        <tr r="AE511" s="5"/>
        <tr r="AD521" s="5"/>
        <tr r="AC526" s="5"/>
        <tr r="AF471" s="5"/>
        <tr r="AB531" s="5"/>
      </tp>
      <tp t="s">
        <v>#N/A N/A</v>
        <stp/>
        <stp>BDH|6680157115573810917</stp>
        <tr r="AE762" s="5"/>
        <tr r="AF722" s="5"/>
      </tp>
      <tp t="s">
        <v>#N/A N/A</v>
        <stp/>
        <stp>BDH|8758563039617516506</stp>
        <tr r="U179" s="5"/>
        <tr r="T183" s="5"/>
        <tr r="W129" s="5"/>
        <tr r="V169" s="5"/>
        <tr r="S188" s="5"/>
      </tp>
      <tp t="s">
        <v>#N/A N/A</v>
        <stp/>
        <stp>BDH|7544085088400371343</stp>
        <tr r="V525" s="5"/>
        <tr r="T540" s="5"/>
        <tr r="U535" s="5"/>
        <tr r="W485" s="5"/>
        <tr r="S545" s="5"/>
      </tp>
      <tp t="s">
        <v>#N/A N/A</v>
        <stp/>
        <stp>BDH|1887650225820961937</stp>
        <tr r="AF340" s="5"/>
        <tr r="AE380" s="5"/>
        <tr r="AD390" s="5"/>
        <tr r="AC395" s="5"/>
        <tr r="AB400" s="5"/>
      </tp>
      <tp t="s">
        <v>#N/A N/A</v>
        <stp/>
        <stp>BDH|2515108083766341170</stp>
        <tr r="AC438" s="5"/>
        <tr r="AE423" s="5"/>
        <tr r="AD433" s="5"/>
        <tr r="AF383" s="5"/>
        <tr r="AB443" s="5"/>
      </tp>
      <tp t="s">
        <v>#N/A N/A</v>
        <stp/>
        <stp>BDH|4599928882441275842</stp>
        <tr r="W227" s="5"/>
        <tr r="V267" s="5"/>
        <tr r="U277" s="5"/>
        <tr r="T282" s="5"/>
        <tr r="S287" s="5"/>
      </tp>
      <tp t="s">
        <v>#N/A N/A</v>
        <stp/>
        <stp>BDH|6424313357809157504</stp>
        <tr r="AE205" s="5"/>
        <tr r="AF166" s="5"/>
        <tr r="AC220" s="5"/>
        <tr r="AD215" s="5"/>
        <tr r="AB225" s="5"/>
      </tp>
      <tp t="s">
        <v>#N/A N/A</v>
        <stp/>
        <stp>BDH|2409472617983427809</stp>
        <tr r="AE418" s="5"/>
        <tr r="AD428" s="5"/>
        <tr r="AC433" s="5"/>
        <tr r="AF378" s="5"/>
        <tr r="AB438" s="5"/>
      </tp>
      <tp t="s">
        <v>#N/A N/A</v>
        <stp/>
        <stp>BDH|9646480544282921733</stp>
        <tr r="AC92" s="5"/>
        <tr r="AF37" s="5"/>
        <tr r="AD87" s="5"/>
        <tr r="AE77" s="5"/>
        <tr r="AB97" s="5"/>
      </tp>
      <tp t="s">
        <v>#N/A N/A</v>
        <stp/>
        <stp>BDH|3896984979479063899</stp>
        <tr r="W362" s="5"/>
        <tr r="V402" s="5"/>
        <tr r="U412" s="5"/>
        <tr r="T417" s="5"/>
        <tr r="S422" s="5"/>
      </tp>
      <tp t="s">
        <v>#N/A N/A</v>
        <stp/>
        <stp>BDH|3843996345706294475</stp>
        <tr r="AE183" s="5"/>
        <tr r="AD193" s="5"/>
        <tr r="AC198" s="5"/>
        <tr r="AF144" s="5"/>
        <tr r="AB203" s="5"/>
      </tp>
      <tp t="s">
        <v>#N/A N/A</v>
        <stp/>
        <stp>BDH|5534577475889227245</stp>
        <tr r="U513" s="5"/>
        <tr r="W463" s="5"/>
        <tr r="T518" s="5"/>
        <tr r="V503" s="5"/>
        <tr r="S523" s="5"/>
      </tp>
      <tp t="s">
        <v>#N/A N/A</v>
        <stp/>
        <stp>BDH|1638312759043669898</stp>
        <tr r="T475" s="5"/>
        <tr r="V460" s="5"/>
        <tr r="U470" s="5"/>
        <tr r="W420" s="5"/>
        <tr r="S480" s="5"/>
      </tp>
      <tp t="s">
        <v>#N/A N/A</v>
        <stp/>
        <stp>BDH|5606513245041218962</stp>
        <tr r="AF573" s="5"/>
        <tr r="AC628" s="5"/>
        <tr r="AE613" s="5"/>
        <tr r="AD623" s="5"/>
        <tr r="AB633" s="5"/>
      </tp>
      <tp t="s">
        <v>#N/A N/A</v>
        <stp/>
        <stp>BDH|6342965521203319217</stp>
        <tr r="U21" s="5"/>
        <tr r="T26" s="5"/>
        <tr r="S31" s="5"/>
      </tp>
      <tp t="s">
        <v>#N/A N/A</v>
        <stp/>
        <stp>BDH|3127992478775521426</stp>
        <tr r="T338" s="5"/>
        <tr r="V323" s="5"/>
        <tr r="W283" s="5"/>
        <tr r="U333" s="5"/>
        <tr r="S343" s="5"/>
      </tp>
      <tp t="s">
        <v>#N/A N/A</v>
        <stp/>
        <stp>BDH|6458020384347120546</stp>
        <tr r="W599" s="5"/>
        <tr r="U649" s="5"/>
        <tr r="T654" s="5"/>
        <tr r="V639" s="5"/>
        <tr r="S659" s="5"/>
      </tp>
      <tp t="s">
        <v>#N/A N/A</v>
        <stp/>
        <stp>BDH|9558749692943446806</stp>
        <tr r="U188" s="5"/>
        <tr r="T193" s="5"/>
        <tr r="W139" s="5"/>
        <tr r="V179" s="5"/>
        <tr r="S198" s="5"/>
      </tp>
      <tp t="s">
        <v>#N/A N/A</v>
        <stp/>
        <stp>BDH|6010793788477096262</stp>
        <tr r="AF397" s="5"/>
        <tr r="AD447" s="5"/>
        <tr r="AC452" s="5"/>
        <tr r="AE437" s="5"/>
        <tr r="AB457" s="5"/>
      </tp>
      <tp t="s">
        <v>#N/A N/A</v>
        <stp/>
        <stp>BDH|5566531187872412620</stp>
        <tr r="AE126" s="5"/>
        <tr r="AF86" s="5"/>
        <tr r="AC141" s="5"/>
        <tr r="AD136" s="5"/>
        <tr r="AB146" s="5"/>
      </tp>
      <tp t="s">
        <v>#N/A N/A</v>
        <stp/>
        <stp>BDH|5313089939179734317</stp>
        <tr r="AC745" s="5"/>
        <tr r="AE730" s="5"/>
        <tr r="AD740" s="5"/>
        <tr r="AF690" s="5"/>
        <tr r="AB750" s="5"/>
      </tp>
      <tp t="s">
        <v>#N/A N/A</v>
        <stp/>
        <stp>BDH|3152910030016393372</stp>
        <tr r="T197" s="5"/>
        <tr r="W143" s="5"/>
        <tr r="U192" s="5"/>
        <tr r="S202" s="5"/>
      </tp>
      <tp t="s">
        <v>#N/A N/A</v>
        <stp/>
        <stp>BDH|9053390008275705335</stp>
        <tr r="U307" s="5"/>
        <tr r="W257" s="5"/>
        <tr r="T312" s="5"/>
        <tr r="V297" s="5"/>
        <tr r="S317" s="5"/>
      </tp>
      <tp t="s">
        <v>#N/A N/A</v>
        <stp/>
        <stp>BDH|8407240673699140877</stp>
        <tr r="AE443" s="5"/>
        <tr r="AD453" s="5"/>
        <tr r="AF403" s="5"/>
        <tr r="AC458" s="5"/>
        <tr r="AB463" s="5"/>
      </tp>
      <tp t="s">
        <v>#N/A N/A</v>
        <stp/>
        <stp>BDH|9436370975071616054</stp>
        <tr r="AF739" s="5"/>
      </tp>
      <tp t="s">
        <v>#N/A N/A</v>
        <stp/>
        <stp>BDH|9974902538689700638</stp>
        <tr r="T372" s="5"/>
        <tr r="W317" s="5"/>
        <tr r="V357" s="5"/>
        <tr r="U367" s="5"/>
        <tr r="S377" s="5"/>
      </tp>
      <tp t="s">
        <v>#N/A N/A</v>
        <stp/>
        <stp>BDH|24718942121784398</stp>
        <tr r="T200" s="5"/>
        <tr r="V185" s="5"/>
        <tr r="U195" s="5"/>
        <tr r="W146" s="5"/>
        <tr r="S205" s="5"/>
      </tp>
      <tp t="s">
        <v>#N/A N/A</v>
        <stp/>
        <stp>BDH|8297088173476523466</stp>
        <tr r="AC680" s="5"/>
        <tr r="AE665" s="5"/>
        <tr r="AF625" s="5"/>
        <tr r="AD675" s="5"/>
        <tr r="AB685" s="5"/>
      </tp>
      <tp t="s">
        <v>#N/A N/A</v>
        <stp/>
        <stp>BDH|3842498170335822839</stp>
        <tr r="AF376" s="5"/>
        <tr r="AD426" s="5"/>
        <tr r="AC431" s="5"/>
        <tr r="AE416" s="5"/>
        <tr r="AB436" s="5"/>
      </tp>
      <tp t="s">
        <v>#N/A N/A</v>
        <stp/>
        <stp>BDH|1125901005813801660</stp>
        <tr r="AE365" s="5"/>
        <tr r="AC380" s="5"/>
        <tr r="AD375" s="5"/>
        <tr r="AF325" s="5"/>
        <tr r="AB385" s="5"/>
      </tp>
      <tp t="s">
        <v>#N/A N/A</v>
        <stp/>
        <stp>BDH|4624369388665406766</stp>
        <tr r="AF236" s="5"/>
        <tr r="AC291" s="5"/>
        <tr r="AE276" s="5"/>
        <tr r="AD286" s="5"/>
        <tr r="AB296" s="5"/>
      </tp>
      <tp t="s">
        <v>#N/A N/A</v>
        <stp/>
        <stp>BDH|9321617919262024119</stp>
        <tr r="AD258" s="5"/>
        <tr r="AC263" s="5"/>
        <tr r="AF208" s="5"/>
        <tr r="AE248" s="5"/>
        <tr r="AB268" s="5"/>
      </tp>
      <tp t="s">
        <v>#N/A N/A</v>
        <stp/>
        <stp>BDH|9918164632263749513</stp>
        <tr r="U425" s="5"/>
        <tr r="W375" s="5"/>
        <tr r="T430" s="5"/>
        <tr r="V415" s="5"/>
        <tr r="S435" s="5"/>
      </tp>
      <tp t="s">
        <v>#N/A N/A</v>
        <stp/>
        <stp>BDH|5421332964439905416</stp>
        <tr r="V126" s="5"/>
        <tr r="W86" s="5"/>
        <tr r="T141" s="5"/>
        <tr r="U136" s="5"/>
        <tr r="S146" s="5"/>
      </tp>
      <tp t="s">
        <v>#N/A N/A</v>
        <stp/>
        <stp>BDH|8693300921564415083</stp>
        <tr r="V36" s="5"/>
        <tr r="T51" s="5"/>
        <tr r="U46" s="5"/>
        <tr r="S56" s="5"/>
      </tp>
      <tp t="s">
        <v>#N/A N/A</v>
        <stp/>
        <stp>BDH|4177987692969080032</stp>
        <tr r="W685" s="5"/>
        <tr r="T740" s="5"/>
        <tr r="U735" s="5"/>
        <tr r="V725" s="5"/>
        <tr r="S745" s="5"/>
      </tp>
      <tp t="s">
        <v>#N/A N/A</v>
        <stp/>
        <stp>BDH|1326380613957571958</stp>
        <tr r="AC288" s="5"/>
        <tr r="AD283" s="5"/>
        <tr r="AF233" s="5"/>
        <tr r="AE273" s="5"/>
        <tr r="AB293" s="5"/>
      </tp>
      <tp t="s">
        <v>#N/A N/A</v>
        <stp/>
        <stp>BDH|9098671714975227683</stp>
        <tr r="AF738" s="5"/>
      </tp>
      <tp t="s">
        <v>#N/A N/A</v>
        <stp/>
        <stp>BDH|9055674988748421220</stp>
        <tr r="U517" s="5"/>
        <tr r="W467" s="5"/>
        <tr r="T522" s="5"/>
        <tr r="V507" s="5"/>
        <tr r="S527" s="5"/>
      </tp>
      <tp t="s">
        <v>#N/A N/A</v>
        <stp/>
        <stp>BDH|3615770998130852083</stp>
        <tr r="AF443" s="5"/>
        <tr r="AE483" s="5"/>
        <tr r="AD493" s="5"/>
        <tr r="AC498" s="5"/>
        <tr r="AB503" s="5"/>
      </tp>
      <tp t="s">
        <v>#N/A N/A</v>
        <stp/>
        <stp>BDH|1952092874449905230</stp>
        <tr r="W69" s="5"/>
        <tr r="U119" s="5"/>
        <tr r="V109" s="5"/>
        <tr r="T124" s="5"/>
        <tr r="S129" s="5"/>
      </tp>
      <tp t="s">
        <v>#N/A N/A</v>
        <stp/>
        <stp>BDH|5099175369539750675</stp>
        <tr r="T348" s="5"/>
        <tr r="V333" s="5"/>
        <tr r="U343" s="5"/>
        <tr r="W293" s="5"/>
        <tr r="S353" s="5"/>
      </tp>
      <tp t="s">
        <v>#N/A N/A</v>
        <stp/>
        <stp>BDH|8711059409613641631</stp>
        <tr r="T576" s="5"/>
        <tr r="U571" s="5"/>
        <tr r="W521" s="5"/>
        <tr r="V561" s="5"/>
        <tr r="S581" s="5"/>
      </tp>
      <tp t="s">
        <v>#N/A N/A</v>
        <stp/>
        <stp>BDH|9951645875716158361</stp>
        <tr r="AC317" s="5"/>
        <tr r="AF262" s="5"/>
        <tr r="AE302" s="5"/>
        <tr r="AD312" s="5"/>
        <tr r="AB322" s="5"/>
      </tp>
      <tp t="s">
        <v>#N/A N/A</v>
        <stp/>
        <stp>BDH|7635960927285151496</stp>
        <tr r="AF323" s="5"/>
        <tr r="AD373" s="5"/>
        <tr r="AC378" s="5"/>
        <tr r="AE363" s="5"/>
        <tr r="AB383" s="5"/>
      </tp>
      <tp t="s">
        <v>#N/A N/A</v>
        <stp/>
        <stp>BDH|8778116832835314282</stp>
        <tr r="T670" s="5"/>
        <tr r="W615" s="5"/>
        <tr r="U665" s="5"/>
        <tr r="V655" s="5"/>
        <tr r="S675" s="5"/>
      </tp>
      <tp t="s">
        <v>#N/A N/A</v>
        <stp/>
        <stp>BDH|6164706492623839676</stp>
        <tr r="V540" s="5"/>
        <tr r="W500" s="5"/>
        <tr r="U550" s="5"/>
        <tr r="T555" s="5"/>
        <tr r="S560" s="5"/>
      </tp>
      <tp t="s">
        <v>#N/A N/A</v>
        <stp/>
        <stp>BDH|2014242685587950245</stp>
        <tr r="AD677" s="5"/>
        <tr r="AF627" s="5"/>
        <tr r="AC682" s="5"/>
        <tr r="AE667" s="5"/>
        <tr r="AB687" s="5"/>
      </tp>
      <tp t="s">
        <v>#N/A N/A</v>
        <stp/>
        <stp>BDH|9578798066645040061</stp>
        <tr r="AF677" s="5"/>
        <tr r="AD727" s="5"/>
        <tr r="AE717" s="5"/>
        <tr r="AC732" s="5"/>
        <tr r="AB737" s="5"/>
      </tp>
      <tp t="s">
        <v>#N/A N/A</v>
        <stp/>
        <stp>BDH|6568030405522333921</stp>
        <tr r="AD249" s="5"/>
        <tr r="AE239" s="5"/>
        <tr r="AC254" s="5"/>
        <tr r="AF199" s="5"/>
        <tr r="AB259" s="5"/>
      </tp>
      <tp t="s">
        <v>#N/A N/A</v>
        <stp/>
        <stp>BDH|3742328880760206559</stp>
        <tr r="AC553" s="5"/>
        <tr r="AF498" s="5"/>
        <tr r="AE538" s="5"/>
        <tr r="AD548" s="5"/>
        <tr r="AB558" s="5"/>
      </tp>
      <tp t="s">
        <v>#N/A N/A</v>
        <stp/>
        <stp>BDH|4291638848538390384</stp>
        <tr r="W508" s="5"/>
        <tr r="U558" s="5"/>
        <tr r="V548" s="5"/>
        <tr r="T563" s="5"/>
        <tr r="S568" s="5"/>
      </tp>
      <tp t="s">
        <v>#N/A N/A</v>
        <stp/>
        <stp>BDH|9962723661291893406</stp>
        <tr r="AE405" s="5"/>
        <tr r="AD415" s="5"/>
        <tr r="AF365" s="5"/>
        <tr r="AC420" s="5"/>
        <tr r="AB425" s="5"/>
      </tp>
      <tp t="s">
        <v>#N/A N/A</v>
        <stp/>
        <stp>BDH|3333627013361314826</stp>
        <tr r="W221" s="5"/>
        <tr r="T276" s="5"/>
        <tr r="V261" s="5"/>
        <tr r="U271" s="5"/>
        <tr r="S281" s="5"/>
      </tp>
      <tp t="s">
        <v>#N/A N/A</v>
        <stp/>
        <stp>BDH|9331012500832205631</stp>
        <tr r="AE173" s="5"/>
        <tr r="AF133" s="5"/>
        <tr r="AC187" s="5"/>
        <tr r="AB192" s="5"/>
      </tp>
      <tp t="s">
        <v>#N/A N/A</v>
        <stp/>
        <stp>BDH|8361369510693050464</stp>
        <tr r="T72" s="5"/>
        <tr r="V57" s="5"/>
        <tr r="U67" s="5"/>
        <tr r="S77" s="5"/>
      </tp>
      <tp t="s">
        <v>#N/A N/A</v>
        <stp/>
        <stp>BDH|4713420283952415714</stp>
        <tr r="U40" s="5"/>
        <tr r="T45" s="5"/>
        <tr r="V30" s="5"/>
        <tr r="S50" s="5"/>
      </tp>
      <tp t="s">
        <v>#N/A N/A</v>
        <stp/>
        <stp>BDH|5584877805472587222</stp>
        <tr r="AF92" s="5"/>
        <tr r="AC147" s="5"/>
        <tr r="AD142" s="5"/>
        <tr r="AE132" s="5"/>
        <tr r="AB152" s="5"/>
      </tp>
      <tp t="s">
        <v>#N/A N/A</v>
        <stp/>
        <stp>BDH|9072742161622170746</stp>
        <tr r="T661" s="5"/>
        <tr r="V646" s="5"/>
        <tr r="U656" s="5"/>
        <tr r="W606" s="5"/>
        <tr r="S666" s="5"/>
      </tp>
      <tp t="s">
        <v>#N/A N/A</v>
        <stp/>
        <stp>BDH|4847810801345178492</stp>
        <tr r="W709" s="5"/>
        <tr r="T764" s="5"/>
        <tr r="V749" s="5"/>
        <tr r="U759" s="5"/>
        <tr r="S769" s="5"/>
      </tp>
      <tp t="s">
        <v>#N/A N/A</v>
        <stp/>
        <stp>BDH|4895501604395971947</stp>
        <tr r="AD300" s="5"/>
        <tr r="AC305" s="5"/>
        <tr r="AF250" s="5"/>
        <tr r="AE290" s="5"/>
        <tr r="AB310" s="5"/>
      </tp>
      <tp t="s">
        <v>#N/A N/A</v>
        <stp/>
        <stp>BDH|9197673920779156964</stp>
        <tr r="U265" s="5"/>
        <tr r="T270" s="5"/>
        <tr r="V255" s="5"/>
        <tr r="W215" s="5"/>
        <tr r="S275" s="5"/>
      </tp>
      <tp t="s">
        <v>#N/A N/A</v>
        <stp/>
        <stp>BDH|1780311993703665558</stp>
        <tr r="AC615" s="5"/>
        <tr r="AE600" s="5"/>
        <tr r="AD610" s="5"/>
        <tr r="AF560" s="5"/>
        <tr r="AB620" s="5"/>
      </tp>
      <tp t="s">
        <v>#N/A N/A</v>
        <stp/>
        <stp>BDH|2280607224563214820</stp>
        <tr r="AC584" s="5"/>
        <tr r="AD579" s="5"/>
        <tr r="AE569" s="5"/>
        <tr r="AF529" s="5"/>
        <tr r="AB589" s="5"/>
      </tp>
      <tp t="s">
        <v>#N/A N/A</v>
        <stp/>
        <stp>BDH|7479929432629431966</stp>
        <tr r="AE525" s="5"/>
        <tr r="AC540" s="5"/>
        <tr r="AD535" s="5"/>
        <tr r="AF485" s="5"/>
        <tr r="AB545" s="5"/>
      </tp>
      <tp t="s">
        <v>#N/A N/A</v>
        <stp/>
        <stp>BDH|3421187290501265797</stp>
        <tr r="U287" s="5"/>
        <tr r="W237" s="5"/>
        <tr r="T292" s="5"/>
        <tr r="V277" s="5"/>
        <tr r="S297" s="5"/>
      </tp>
      <tp t="s">
        <v>#N/A N/A</v>
        <stp/>
        <stp>BDH|2231294699222540603</stp>
        <tr r="AC608" s="5"/>
        <tr r="AE593" s="5"/>
        <tr r="AF553" s="5"/>
        <tr r="AD603" s="5"/>
        <tr r="AB613" s="5"/>
      </tp>
      <tp t="s">
        <v>#N/A N/A</v>
        <stp/>
        <stp>BDH|5443031263469172723</stp>
        <tr r="U289" s="5"/>
        <tr r="T294" s="5"/>
        <tr r="W239" s="5"/>
        <tr r="V279" s="5"/>
        <tr r="S299" s="5"/>
      </tp>
      <tp t="s">
        <v>#N/A N/A</v>
        <stp/>
        <stp>BDH|5862088007130527850</stp>
        <tr r="AE95" s="5"/>
        <tr r="AD105" s="5"/>
        <tr r="AC110" s="5"/>
        <tr r="AF55" s="5"/>
        <tr r="AB115" s="5"/>
      </tp>
      <tp t="s">
        <v>#N/A N/A</v>
        <stp/>
        <stp>BDH|4536248654437831991</stp>
        <tr r="T616" s="5"/>
        <tr r="U611" s="5"/>
        <tr r="V601" s="5"/>
        <tr r="W561" s="5"/>
        <tr r="S621" s="5"/>
      </tp>
      <tp t="s">
        <v>#N/A N/A</v>
        <stp/>
        <stp>BDH|9075417445577092318</stp>
        <tr r="AE442" s="5"/>
        <tr r="AD452" s="5"/>
        <tr r="AF402" s="5"/>
        <tr r="AC457" s="5"/>
        <tr r="AB462" s="5"/>
      </tp>
      <tp t="s">
        <v>#N/A N/A</v>
        <stp/>
        <stp>BDH|4739855569191073512</stp>
        <tr r="D21" s="5"/>
      </tp>
      <tp t="s">
        <v>#N/A N/A</v>
        <stp/>
        <stp>BDH|8505594840333132476</stp>
        <tr r="T376" s="5"/>
        <tr r="W321" s="5"/>
        <tr r="V361" s="5"/>
        <tr r="U371" s="5"/>
        <tr r="S381" s="5"/>
      </tp>
      <tp t="s">
        <v>#N/A N/A</v>
        <stp/>
        <stp>BDH|9812226912332346616</stp>
        <tr r="AD520" s="5"/>
        <tr r="AF470" s="5"/>
        <tr r="AC525" s="5"/>
        <tr r="AE510" s="5"/>
        <tr r="AB530" s="5"/>
      </tp>
      <tp t="s">
        <v>#N/A N/A</v>
        <stp/>
        <stp>BDH|6304797882706053132</stp>
        <tr r="AD306" s="5"/>
        <tr r="AF256" s="5"/>
        <tr r="AE296" s="5"/>
        <tr r="AC311" s="5"/>
        <tr r="AB316" s="5"/>
      </tp>
      <tp t="s">
        <v>#N/A N/A</v>
        <stp/>
        <stp>BDH|6808343232431755924</stp>
        <tr r="W302" s="5"/>
        <tr r="V342" s="5"/>
        <tr r="T357" s="5"/>
        <tr r="U352" s="5"/>
        <tr r="S362" s="5"/>
      </tp>
      <tp t="s">
        <v>#N/A N/A</v>
        <stp/>
        <stp>BDH|4535591196952407453</stp>
        <tr r="T163" s="5"/>
        <tr r="V148" s="5"/>
        <tr r="W108" s="5"/>
        <tr r="U158" s="5"/>
        <tr r="S168" s="5"/>
      </tp>
      <tp t="s">
        <v>#N/A N/A</v>
        <stp/>
        <stp>BDH|7045197583990503040</stp>
        <tr r="V721" s="5"/>
        <tr r="T736" s="5"/>
        <tr r="U731" s="5"/>
        <tr r="W681" s="5"/>
        <tr r="S741" s="5"/>
      </tp>
      <tp t="s">
        <v>#N/A N/A</v>
        <stp/>
        <stp>BDH|1777902538815686029</stp>
        <tr r="V113" s="5"/>
        <tr r="T128" s="5"/>
        <tr r="U123" s="5"/>
        <tr r="W73" s="5"/>
        <tr r="S133" s="5"/>
      </tp>
      <tp t="s">
        <v>#N/A N/A</v>
        <stp/>
        <stp>BDH|8381572436153296390</stp>
        <tr r="V534" s="5"/>
        <tr r="U544" s="5"/>
        <tr r="W494" s="5"/>
        <tr r="T549" s="5"/>
        <tr r="S554" s="5"/>
      </tp>
      <tp t="s">
        <v>#N/A N/A</v>
        <stp/>
        <stp>BDH|5185535552118183380</stp>
        <tr r="AD614" s="5"/>
        <tr r="AF564" s="5"/>
        <tr r="AE604" s="5"/>
        <tr r="AC619" s="5"/>
        <tr r="AB624" s="5"/>
      </tp>
      <tp t="s">
        <v>#N/A N/A</v>
        <stp/>
        <stp>BDH|8942446842056435025</stp>
        <tr r="AE426" s="5"/>
        <tr r="AF386" s="5"/>
        <tr r="AC441" s="5"/>
        <tr r="AD436" s="5"/>
        <tr r="AB446" s="5"/>
      </tp>
      <tp t="s">
        <v>#N/A N/A</v>
        <stp/>
        <stp>BDH|9910539109115826727</stp>
        <tr r="U24" s="5"/>
        <tr r="T29" s="5"/>
        <tr r="S34" s="5"/>
      </tp>
      <tp t="s">
        <v>#N/A N/A</v>
        <stp/>
        <stp>BDH|6586428973058952338</stp>
        <tr r="V69" s="5"/>
        <tr r="U79" s="5"/>
        <tr r="T84" s="5"/>
        <tr r="W29" s="5"/>
        <tr r="S89" s="5"/>
      </tp>
      <tp t="s">
        <v>#N/A N/A</v>
        <stp/>
        <stp>BDH|5400824354453485586</stp>
        <tr r="AC612" s="5"/>
        <tr r="AF557" s="5"/>
        <tr r="AE597" s="5"/>
        <tr r="AD607" s="5"/>
        <tr r="AB617" s="5"/>
      </tp>
      <tp t="s">
        <v>#N/A N/A</v>
        <stp/>
        <stp>BDH|5843021586281550263</stp>
        <tr r="W769" s="5"/>
      </tp>
      <tp t="s">
        <v>#N/A N/A</v>
        <stp/>
        <stp>BDH|7469336196677964471</stp>
        <tr r="AD163" s="5"/>
        <tr r="AF113" s="5"/>
        <tr r="AE153" s="5"/>
        <tr r="AC168" s="5"/>
        <tr r="AB173" s="5"/>
      </tp>
      <tp t="s">
        <v>#N/A N/A</v>
        <stp/>
        <stp>BDH|4531397082620264134</stp>
        <tr r="AF336" s="5"/>
        <tr r="AE376" s="5"/>
        <tr r="AD386" s="5"/>
        <tr r="AC391" s="5"/>
        <tr r="AB396" s="5"/>
      </tp>
      <tp t="s">
        <v>#N/A N/A</v>
        <stp/>
        <stp>BDH|7684851105054046594</stp>
        <tr r="S22" s="5"/>
      </tp>
      <tp t="s">
        <v>#N/A N/A</v>
        <stp/>
        <stp>BDH|1858446990424625665</stp>
        <tr r="AD70" s="5"/>
        <tr r="AE60" s="5"/>
        <tr r="AC75" s="5"/>
        <tr r="AB80" s="5"/>
      </tp>
      <tp t="s">
        <v>#N/A N/A</v>
        <stp/>
        <stp>BDH|9539752561756525083</stp>
        <tr r="W142" s="5"/>
        <tr r="T196" s="5"/>
        <tr r="V182" s="5"/>
        <tr r="U191" s="5"/>
        <tr r="S201" s="5"/>
      </tp>
      <tp t="s">
        <v>#N/A N/A</v>
        <stp/>
        <stp>BDH|3734979204362891612</stp>
        <tr r="V750" s="5"/>
        <tr r="T765" s="5"/>
        <tr r="U760" s="5"/>
        <tr r="W710" s="5"/>
        <tr r="S770" s="5"/>
      </tp>
      <tp t="s">
        <v>#N/A N/A</v>
        <stp/>
        <stp>BDH|1562596714553085858</stp>
        <tr r="T703" s="5"/>
        <tr r="W648" s="5"/>
        <tr r="V688" s="5"/>
        <tr r="U698" s="5"/>
        <tr r="S708" s="5"/>
      </tp>
      <tp t="s">
        <v>#N/A N/A</v>
        <stp/>
        <stp>BDH|2849642707982599830</stp>
        <tr r="V73" s="5"/>
        <tr r="W33" s="5"/>
        <tr r="U83" s="5"/>
        <tr r="T88" s="5"/>
        <tr r="S93" s="5"/>
      </tp>
      <tp t="s">
        <v>#N/A N/A</v>
        <stp/>
        <stp>BDH|3394414057059548528</stp>
        <tr r="AD101" s="5"/>
        <tr r="AC106" s="5"/>
        <tr r="AE91" s="5"/>
        <tr r="AF51" s="5"/>
        <tr r="AB111" s="5"/>
      </tp>
      <tp t="s">
        <v>#N/A N/A</v>
        <stp/>
        <stp>BDH|4311309470606785868</stp>
        <tr r="U94" s="5"/>
        <tr r="T99" s="5"/>
        <tr r="V84" s="5"/>
        <tr r="W44" s="5"/>
        <tr r="S104" s="5"/>
      </tp>
      <tp t="s">
        <v>#N/A N/A</v>
        <stp/>
        <stp>BDH|5287516800088277628</stp>
        <tr r="AD309" s="5"/>
        <tr r="AF259" s="5"/>
        <tr r="AC314" s="5"/>
        <tr r="AE299" s="5"/>
        <tr r="AB319" s="5"/>
      </tp>
      <tp t="s">
        <v>#N/A N/A</v>
        <stp/>
        <stp>BDH|4665632009099756580</stp>
        <tr r="AC575" s="5"/>
        <tr r="AF520" s="5"/>
        <tr r="AD570" s="5"/>
        <tr r="AE560" s="5"/>
        <tr r="AB580" s="5"/>
      </tp>
      <tp t="s">
        <v>#N/A N/A</v>
        <stp/>
        <stp>BDH|1725252243148085129</stp>
        <tr r="AD113" s="5"/>
        <tr r="AF63" s="5"/>
        <tr r="AC118" s="5"/>
        <tr r="AE103" s="5"/>
        <tr r="AB123" s="5"/>
      </tp>
      <tp t="s">
        <v>#N/A N/A</v>
        <stp/>
        <stp>BDH|5476457892381685763</stp>
        <tr r="AC298" s="5"/>
        <tr r="AE283" s="5"/>
        <tr r="AF243" s="5"/>
        <tr r="AD293" s="5"/>
        <tr r="AB303" s="5"/>
      </tp>
      <tp t="s">
        <v>#N/A N/A</v>
        <stp/>
        <stp>BDH|3582345950289520270</stp>
        <tr r="AC562" s="5"/>
        <tr r="AF507" s="5"/>
        <tr r="AE547" s="5"/>
        <tr r="AD557" s="5"/>
        <tr r="AB567" s="5"/>
      </tp>
      <tp t="s">
        <v>#N/A N/A</v>
        <stp/>
        <stp>BDH|3853949154114271596</stp>
        <tr r="W353" s="5"/>
        <tr r="V393" s="5"/>
        <tr r="T408" s="5"/>
        <tr r="U403" s="5"/>
        <tr r="S413" s="5"/>
      </tp>
      <tp t="s">
        <v>#N/A N/A</v>
        <stp/>
        <stp>BDH|8346505527270191164</stp>
        <tr r="T462" s="5"/>
        <tr r="V447" s="5"/>
        <tr r="W407" s="5"/>
        <tr r="U457" s="5"/>
        <tr r="S467" s="5"/>
      </tp>
      <tp t="s">
        <v>#N/A N/A</v>
        <stp/>
        <stp>BDH|8176293119020322521</stp>
        <tr r="T288" s="5"/>
        <tr r="U283" s="5"/>
        <tr r="W233" s="5"/>
        <tr r="V273" s="5"/>
        <tr r="S293" s="5"/>
      </tp>
      <tp t="s">
        <v>#N/A N/A</v>
        <stp/>
        <stp>BDH|1903829875476898671</stp>
        <tr r="W533" s="5"/>
        <tr r="V573" s="5"/>
        <tr r="U583" s="5"/>
        <tr r="T588" s="5"/>
        <tr r="S593" s="5"/>
      </tp>
      <tp t="s">
        <v>#N/A N/A</v>
        <stp/>
        <stp>BDH|7066810641676028314</stp>
        <tr r="W165" s="5"/>
        <tr r="V204" s="5"/>
        <tr r="T219" s="5"/>
        <tr r="U214" s="5"/>
        <tr r="S224" s="5"/>
      </tp>
      <tp t="s">
        <v>#N/A N/A</v>
        <stp/>
        <stp>BDH|7592726619686813971</stp>
        <tr r="V201" s="5"/>
        <tr r="U211" s="5"/>
        <tr r="W162" s="5"/>
        <tr r="T216" s="5"/>
        <tr r="S221" s="5"/>
      </tp>
      <tp t="s">
        <v>#N/A N/A</v>
        <stp/>
        <stp>BDH|8204425427397094763</stp>
        <tr r="AD723" s="5"/>
        <tr r="AF673" s="5"/>
        <tr r="AE713" s="5"/>
        <tr r="AC728" s="5"/>
        <tr r="AB733" s="5"/>
      </tp>
      <tp t="s">
        <v>#N/A N/A</v>
        <stp/>
        <stp>BDH|5119888749663598449</stp>
        <tr r="AD661" s="5"/>
        <tr r="AF611" s="5"/>
        <tr r="AC666" s="5"/>
        <tr r="AE651" s="5"/>
        <tr r="AB671" s="5"/>
      </tp>
      <tp t="s">
        <v>#N/A N/A</v>
        <stp/>
        <stp>BDH|5454995039289483815</stp>
        <tr r="AF524" s="5"/>
        <tr r="AD574" s="5"/>
        <tr r="AE564" s="5"/>
        <tr r="AC579" s="5"/>
        <tr r="AB584" s="5"/>
      </tp>
      <tp t="s">
        <v>#N/A N/A</v>
        <stp/>
        <stp>BDH|3600347773330225954</stp>
        <tr r="W62" s="5"/>
        <tr r="V102" s="5"/>
        <tr r="T117" s="5"/>
        <tr r="U112" s="5"/>
        <tr r="S122" s="5"/>
      </tp>
      <tp t="s">
        <v>#N/A N/A</v>
        <stp/>
        <stp>BDH|3960449962639930605</stp>
        <tr r="U475" s="5"/>
        <tr r="W425" s="5"/>
        <tr r="V465" s="5"/>
        <tr r="T480" s="5"/>
        <tr r="S485" s="5"/>
      </tp>
      <tp t="s">
        <v>#N/A N/A</v>
        <stp/>
        <stp>BDH|8280277265276559429</stp>
        <tr r="T293" s="5"/>
        <tr r="V278" s="5"/>
        <tr r="W238" s="5"/>
        <tr r="U288" s="5"/>
        <tr r="S298" s="5"/>
      </tp>
      <tp t="s">
        <v>#N/A N/A</v>
        <stp/>
        <stp>BDH|8195279964751745324</stp>
        <tr r="U342" s="5"/>
        <tr r="W292" s="5"/>
        <tr r="T347" s="5"/>
        <tr r="V332" s="5"/>
        <tr r="S352" s="5"/>
      </tp>
      <tp t="s">
        <v>#N/A N/A</v>
        <stp/>
        <stp>BDH|3207849286344353942</stp>
        <tr r="AE56" s="5"/>
        <tr r="AD66" s="5"/>
        <tr r="AC71" s="5"/>
        <tr r="AB76" s="5"/>
      </tp>
      <tp t="s">
        <v>#N/A N/A</v>
        <stp/>
        <stp>BDH|8257926954152546868</stp>
        <tr r="AC24" s="5"/>
        <tr r="AB29" s="5"/>
      </tp>
      <tp t="s">
        <v>#N/A N/A</v>
        <stp/>
        <stp>BDH|8239870434378752521</stp>
        <tr r="AE620" s="5"/>
        <tr r="AF580" s="5"/>
        <tr r="AD630" s="5"/>
        <tr r="AC635" s="5"/>
        <tr r="AB640" s="5"/>
      </tp>
      <tp t="s">
        <v>#N/A N/A</v>
        <stp/>
        <stp>BDH|4537477047183180905</stp>
        <tr r="AE769" s="5"/>
        <tr r="AF729" s="5"/>
      </tp>
      <tp t="s">
        <v>#N/A N/A</v>
        <stp/>
        <stp>BDH|6417578952128616028</stp>
        <tr r="U26" s="5"/>
        <tr r="T31" s="5"/>
        <tr r="S36" s="5"/>
      </tp>
      <tp t="s">
        <v>#N/A N/A</v>
        <stp/>
        <stp>BDH|3599041895002663675</stp>
        <tr r="AC425" s="5"/>
        <tr r="AE410" s="5"/>
        <tr r="AD420" s="5"/>
        <tr r="AF370" s="5"/>
        <tr r="AB430" s="5"/>
      </tp>
      <tp t="s">
        <v>#N/A N/A</v>
        <stp/>
        <stp>BDH|5626876407585879749</stp>
        <tr r="AD674" s="5"/>
        <tr r="AE664" s="5"/>
        <tr r="AF624" s="5"/>
        <tr r="AC679" s="5"/>
        <tr r="AB684" s="5"/>
      </tp>
      <tp t="s">
        <v>#N/A N/A</v>
        <stp/>
        <stp>BDH|4665522593456954167</stp>
        <tr r="S21" s="5"/>
      </tp>
      <tp t="s">
        <v>#N/A N/A</v>
        <stp/>
        <stp>BDH|7129107344208888558</stp>
        <tr r="V335" s="5"/>
        <tr r="U345" s="5"/>
        <tr r="W295" s="5"/>
        <tr r="T350" s="5"/>
        <tr r="S355" s="5"/>
      </tp>
      <tp t="s">
        <v>#N/A N/A</v>
        <stp/>
        <stp>BDH|6055489891864429045</stp>
        <tr r="AE159" s="5"/>
        <tr r="AC174" s="5"/>
        <tr r="AD169" s="5"/>
        <tr r="AF119" s="5"/>
        <tr r="AB179" s="5"/>
      </tp>
      <tp t="s">
        <v>#N/A N/A</v>
        <stp/>
        <stp>BDH|4019949718770729322</stp>
        <tr r="W217" s="5"/>
        <tr r="U267" s="5"/>
        <tr r="T272" s="5"/>
        <tr r="V257" s="5"/>
        <tr r="S277" s="5"/>
      </tp>
      <tp t="s">
        <v>#N/A N/A</v>
        <stp/>
        <stp>BDH|3806947236927038144</stp>
        <tr r="T572" s="5"/>
        <tr r="W517" s="5"/>
        <tr r="U567" s="5"/>
        <tr r="V557" s="5"/>
        <tr r="S577" s="5"/>
      </tp>
      <tp t="s">
        <v>#N/A N/A</v>
        <stp/>
        <stp>BDH|6287889474726991097</stp>
        <tr r="AF492" s="5"/>
        <tr r="AD542" s="5"/>
        <tr r="AC547" s="5"/>
        <tr r="AE532" s="5"/>
        <tr r="AB552" s="5"/>
      </tp>
      <tp t="s">
        <v>#N/A N/A</v>
        <stp/>
        <stp>BDH|6761594462932495877</stp>
        <tr r="W755" s="5"/>
      </tp>
      <tp t="s">
        <v>#N/A N/A</v>
        <stp/>
        <stp>BDH|9272295110071625401</stp>
        <tr r="AD613" s="5"/>
        <tr r="AE603" s="5"/>
        <tr r="AF563" s="5"/>
        <tr r="AC618" s="5"/>
        <tr r="AB623" s="5"/>
      </tp>
      <tp t="s">
        <v>#N/A N/A</v>
        <stp/>
        <stp>BDH|1371032379108757136</stp>
        <tr r="AC636" s="5"/>
        <tr r="AF581" s="5"/>
        <tr r="AD631" s="5"/>
        <tr r="AE621" s="5"/>
        <tr r="AB641" s="5"/>
      </tp>
      <tp t="s">
        <v>#N/A N/A</v>
        <stp/>
        <stp>BDH|6743259232869920141</stp>
        <tr r="AE598" s="5"/>
        <tr r="AF558" s="5"/>
        <tr r="AD608" s="5"/>
        <tr r="AC613" s="5"/>
        <tr r="AB618" s="5"/>
      </tp>
      <tp t="s">
        <v>#N/A N/A</v>
        <stp/>
        <stp>BDH|5087001084652902005</stp>
        <tr r="U153" s="5"/>
        <tr r="V143" s="5"/>
        <tr r="W103" s="5"/>
        <tr r="T158" s="5"/>
        <tr r="S163" s="5"/>
      </tp>
      <tp t="s">
        <v>#N/A N/A</v>
        <stp/>
        <stp>BDH|8710432318026710468</stp>
        <tr r="V605" s="5"/>
        <tr r="T620" s="5"/>
        <tr r="U615" s="5"/>
        <tr r="W565" s="5"/>
        <tr r="S625" s="5"/>
      </tp>
      <tp t="s">
        <v>#N/A N/A</v>
        <stp/>
        <stp>BDH|7702880656407262291</stp>
        <tr r="U467" s="5"/>
        <tr r="T472" s="5"/>
        <tr r="W417" s="5"/>
        <tr r="V457" s="5"/>
        <tr r="S477" s="5"/>
      </tp>
      <tp t="s">
        <v>#N/A N/A</v>
        <stp/>
        <stp>BDH|2339675128781625887</stp>
        <tr r="AE254" s="5"/>
        <tr r="AD264" s="5"/>
        <tr r="AC269" s="5"/>
        <tr r="AF214" s="5"/>
        <tr r="AB274" s="5"/>
      </tp>
      <tp t="s">
        <v>#N/A N/A</v>
        <stp/>
        <stp>BDH|8552663492669186120</stp>
        <tr r="AF65" s="5"/>
        <tr r="AE105" s="5"/>
        <tr r="AD115" s="5"/>
        <tr r="AC120" s="5"/>
        <tr r="AB125" s="5"/>
      </tp>
      <tp t="s">
        <v>#N/A N/A</v>
        <stp/>
        <stp>BDH|8162242451254444429</stp>
        <tr r="T367" s="5"/>
        <tr r="U362" s="5"/>
        <tr r="V352" s="5"/>
        <tr r="W312" s="5"/>
        <tr r="S372" s="5"/>
      </tp>
      <tp t="s">
        <v>#N/A N/A</v>
        <stp/>
        <stp>BDH|8671830139625934961</stp>
        <tr r="U762" s="5"/>
        <tr r="V752" s="5"/>
        <tr r="W712" s="5"/>
        <tr r="T767" s="5"/>
      </tp>
      <tp t="s">
        <v>#N/A N/A</v>
        <stp/>
        <stp>BDH|1159950657663950195</stp>
        <tr r="AE500" s="5"/>
        <tr r="AC515" s="5"/>
        <tr r="AF460" s="5"/>
        <tr r="AD510" s="5"/>
        <tr r="AB520" s="5"/>
      </tp>
      <tp t="s">
        <v>#N/A N/A</v>
        <stp/>
        <stp>BDH|3417078153719080039</stp>
        <tr r="T97" s="5"/>
        <tr r="V82" s="5"/>
        <tr r="W42" s="5"/>
        <tr r="U92" s="5"/>
        <tr r="S102" s="5"/>
      </tp>
      <tp t="s">
        <v>#N/A N/A</v>
        <stp/>
        <stp>BDH|5359878151983351465</stp>
        <tr r="U674" s="5"/>
        <tr r="V664" s="5"/>
        <tr r="W624" s="5"/>
        <tr r="T679" s="5"/>
        <tr r="S684" s="5"/>
      </tp>
      <tp t="s">
        <v>#N/A N/A</v>
        <stp/>
        <stp>BDH|8415034772802507207</stp>
        <tr r="AB22" s="5"/>
      </tp>
      <tp t="s">
        <v>#N/A N/A</v>
        <stp/>
        <stp>BDH|7370958245095137026</stp>
        <tr r="AF266" s="5"/>
        <tr r="AE306" s="5"/>
        <tr r="AC321" s="5"/>
        <tr r="AD316" s="5"/>
        <tr r="AB326" s="5"/>
      </tp>
      <tp t="s">
        <v>#N/A N/A</v>
        <stp/>
        <stp>BDH|9170810348718813210</stp>
        <tr r="V159" s="5"/>
        <tr r="T174" s="5"/>
        <tr r="U169" s="5"/>
        <tr r="W119" s="5"/>
        <tr r="S179" s="5"/>
      </tp>
      <tp t="s">
        <v>#N/A N/A</v>
        <stp/>
        <stp>BDH|1167338869623969839</stp>
        <tr r="AC212" s="5"/>
        <tr r="AE197" s="5"/>
        <tr r="AD207" s="5"/>
        <tr r="AF158" s="5"/>
        <tr r="AB217" s="5"/>
      </tp>
      <tp t="s">
        <v>#N/A N/A</v>
        <stp/>
        <stp>BDH|2091689013553313992</stp>
        <tr r="W762" s="5"/>
      </tp>
      <tp t="s">
        <v>#N/A N/A</v>
        <stp/>
        <stp>BDH|4478959211543449055</stp>
        <tr r="W555" s="5"/>
        <tr r="U605" s="5"/>
        <tr r="V595" s="5"/>
        <tr r="T610" s="5"/>
        <tr r="S615" s="5"/>
      </tp>
      <tp t="s">
        <v>#N/A N/A</v>
        <stp/>
        <stp>BDH|5317509403009546642</stp>
        <tr r="U147" s="5"/>
        <tr r="T152" s="5"/>
        <tr r="V137" s="5"/>
        <tr r="W97" s="5"/>
        <tr r="S157" s="5"/>
      </tp>
      <tp t="s">
        <v>#N/A N/A</v>
        <stp/>
        <stp>BDH|1264255287702538635</stp>
        <tr r="W76" s="5"/>
        <tr r="T131" s="5"/>
        <tr r="V116" s="5"/>
        <tr r="U126" s="5"/>
        <tr r="S136" s="5"/>
      </tp>
      <tp t="s">
        <v>#N/A N/A</v>
        <stp/>
        <stp>BDH|5363076931258581167</stp>
        <tr r="AD159" s="5"/>
        <tr r="AC164" s="5"/>
        <tr r="AE149" s="5"/>
        <tr r="AF109" s="5"/>
        <tr r="AB169" s="5"/>
      </tp>
      <tp t="s">
        <v>#N/A N/A</v>
        <stp/>
        <stp>BDH|2677818201841098402</stp>
        <tr r="V652" s="5"/>
        <tr r="U662" s="5"/>
        <tr r="W612" s="5"/>
        <tr r="T667" s="5"/>
        <tr r="S672" s="5"/>
      </tp>
      <tp t="s">
        <v>#N/A N/A</v>
        <stp/>
        <stp>BDH|9025847073081302830</stp>
        <tr r="AF768" s="5"/>
      </tp>
      <tp t="s">
        <v>#N/A N/A</v>
        <stp/>
        <stp>BDH|7797140417801339905</stp>
        <tr r="AC222" s="5"/>
        <tr r="AF168" s="5"/>
        <tr r="AD217" s="5"/>
        <tr r="AE207" s="5"/>
        <tr r="AB227" s="5"/>
      </tp>
      <tp t="s">
        <v>#N/A N/A</v>
        <stp/>
        <stp>BDH|7001409676319653279</stp>
        <tr r="W669" s="5"/>
        <tr r="T724" s="5"/>
        <tr r="U719" s="5"/>
        <tr r="V709" s="5"/>
        <tr r="S729" s="5"/>
      </tp>
      <tp t="s">
        <v>#N/A N/A</v>
        <stp/>
        <stp>BDH|3351802040892735232</stp>
        <tr r="AF753" s="5"/>
      </tp>
      <tp t="s">
        <v>#N/A N/A</v>
        <stp/>
        <stp>BDH|2058679619898250282</stp>
        <tr r="AF69" s="5"/>
        <tr r="AD119" s="5"/>
        <tr r="AE109" s="5"/>
        <tr r="AC124" s="5"/>
        <tr r="AB129" s="5"/>
      </tp>
      <tp t="s">
        <v>#N/A N/A</v>
        <stp/>
        <stp>BDH|62451177436164741</stp>
        <tr r="V326" s="5"/>
        <tr r="U336" s="5"/>
        <tr r="T341" s="5"/>
        <tr r="W286" s="5"/>
        <tr r="S346" s="5"/>
      </tp>
      <tp t="s">
        <v>#N/A N/A</v>
        <stp/>
        <stp>BDH|8173650743332954046</stp>
        <tr r="T464" s="5"/>
        <tr r="V449" s="5"/>
        <tr r="U459" s="5"/>
        <tr r="W409" s="5"/>
        <tr r="S469" s="5"/>
      </tp>
      <tp t="s">
        <v>#N/A N/A</v>
        <stp/>
        <stp>BDH|9135636780428869700</stp>
        <tr r="U197" s="5"/>
        <tr r="W148" s="5"/>
        <tr r="T202" s="5"/>
        <tr r="V187" s="5"/>
        <tr r="S207" s="5"/>
      </tp>
      <tp t="s">
        <v>#N/A N/A</v>
        <stp/>
        <stp>BDH|6011614410951361887</stp>
        <tr r="AD576" s="5"/>
        <tr r="AE566" s="5"/>
        <tr r="AF526" s="5"/>
        <tr r="AC581" s="5"/>
        <tr r="AB586" s="5"/>
      </tp>
      <tp t="s">
        <v>#N/A N/A</v>
        <stp/>
        <stp>BDH|8885663683578165664</stp>
        <tr r="AE213" s="5"/>
        <tr r="AD223" s="5"/>
        <tr r="AC228" s="5"/>
        <tr r="AF174" s="5"/>
        <tr r="AB233" s="5"/>
      </tp>
      <tp t="s">
        <v>#N/A N/A</v>
        <stp/>
        <stp>BDH|6058829358112825180</stp>
        <tr r="U442" s="5"/>
        <tr r="V432" s="5"/>
        <tr r="T447" s="5"/>
        <tr r="W392" s="5"/>
        <tr r="S452" s="5"/>
      </tp>
      <tp t="s">
        <v>#N/A N/A</v>
        <stp/>
        <stp>BDH|9571898184902070312</stp>
        <tr r="AC338" s="5"/>
        <tr r="AE323" s="5"/>
        <tr r="AF283" s="5"/>
        <tr r="AD333" s="5"/>
        <tr r="AB343" s="5"/>
      </tp>
      <tp t="s">
        <v>#N/A N/A</v>
        <stp/>
        <stp>BDH|2846226982761865191</stp>
        <tr r="W99" s="5"/>
        <tr r="U149" s="5"/>
        <tr r="V139" s="5"/>
        <tr r="T154" s="5"/>
        <tr r="S159" s="5"/>
      </tp>
      <tp t="s">
        <v>#N/A N/A</v>
        <stp/>
        <stp>BDH|9860898588803761275</stp>
        <tr r="U485" s="5"/>
        <tr r="W435" s="5"/>
        <tr r="T490" s="5"/>
        <tr r="V475" s="5"/>
        <tr r="S495" s="5"/>
      </tp>
      <tp t="s">
        <v>#N/A N/A</v>
        <stp/>
        <stp>BDH|2890194329159887093</stp>
        <tr r="T175" s="5"/>
        <tr r="V160" s="5"/>
        <tr r="W120" s="5"/>
        <tr r="U170" s="5"/>
        <tr r="S180" s="5"/>
      </tp>
      <tp t="s">
        <v>#N/A N/A</v>
        <stp/>
        <stp>BDH|4878186114659375593</stp>
        <tr r="V336" s="5"/>
        <tr r="U346" s="5"/>
        <tr r="W296" s="5"/>
        <tr r="T351" s="5"/>
        <tr r="S356" s="5"/>
      </tp>
      <tp t="s">
        <v>#N/A N/A</v>
        <stp/>
        <stp>BDH|1195059498592361215</stp>
        <tr r="AD681" s="5"/>
        <tr r="AC686" s="5"/>
        <tr r="AF631" s="5"/>
        <tr r="AE671" s="5"/>
        <tr r="AB691" s="5"/>
      </tp>
      <tp t="s">
        <v>#N/A N/A</v>
        <stp/>
        <stp>BDH|5322971920895330392</stp>
        <tr r="AC327" s="5"/>
        <tr r="AF272" s="5"/>
        <tr r="AD322" s="5"/>
        <tr r="AE312" s="5"/>
        <tr r="AB332" s="5"/>
      </tp>
      <tp t="s">
        <v>#N/A N/A</v>
        <stp/>
        <stp>BDH|3832369994874316567</stp>
        <tr r="AE113" s="5"/>
        <tr r="AC128" s="5"/>
        <tr r="AD123" s="5"/>
        <tr r="AF73" s="5"/>
        <tr r="AB133" s="5"/>
      </tp>
      <tp t="s">
        <v>#N/A N/A</v>
        <stp/>
        <stp>BDH|2992865914333398071</stp>
        <tr r="T37" s="5"/>
        <tr r="U32" s="5"/>
        <tr r="V22" s="5"/>
        <tr r="S42" s="5"/>
      </tp>
      <tp t="s">
        <v>#N/A N/A</v>
        <stp/>
        <stp>BDH|1405892205491209069</stp>
        <tr r="AD130" s="5"/>
        <tr r="AF80" s="5"/>
        <tr r="AC135" s="5"/>
        <tr r="AE120" s="5"/>
        <tr r="AB140" s="5"/>
      </tp>
      <tp t="s">
        <v>#N/A N/A</v>
        <stp/>
        <stp>BDH|7079464198347374504</stp>
        <tr r="AC293" s="5"/>
        <tr r="AE278" s="5"/>
        <tr r="AF238" s="5"/>
        <tr r="AD288" s="5"/>
        <tr r="AB298" s="5"/>
      </tp>
      <tp t="s">
        <v>#N/A N/A</v>
        <stp/>
        <stp>BDH|8809620606180462652</stp>
        <tr r="AB21" s="5"/>
      </tp>
      <tp t="s">
        <v>#N/A N/A</v>
        <stp/>
        <stp>BDH|5642741986924063668</stp>
        <tr r="T377" s="5"/>
        <tr r="V362" s="5"/>
        <tr r="W322" s="5"/>
        <tr r="U372" s="5"/>
        <tr r="S382" s="5"/>
      </tp>
      <tp t="s">
        <v>#N/A N/A</v>
        <stp/>
        <stp>BDH|6141932203526018124</stp>
        <tr r="U765" s="5"/>
        <tr r="W715" s="5"/>
        <tr r="V755" s="5"/>
        <tr r="T770" s="5"/>
      </tp>
      <tp t="s">
        <v>#N/A N/A</v>
        <stp/>
        <stp>BDH|9566640630185387116</stp>
        <tr r="AC586" s="5"/>
        <tr r="AE571" s="5"/>
        <tr r="AF531" s="5"/>
        <tr r="AD581" s="5"/>
        <tr r="AB591" s="5"/>
      </tp>
      <tp t="s">
        <v>#N/A N/A</v>
        <stp/>
        <stp>BDH|9322071504466310709</stp>
        <tr r="AF474" s="5"/>
        <tr r="AC529" s="5"/>
        <tr r="AE514" s="5"/>
        <tr r="AD524" s="5"/>
        <tr r="AB534" s="5"/>
      </tp>
      <tp t="s">
        <v>#N/A N/A</v>
        <stp/>
        <stp>BDH|9222763596316786951</stp>
        <tr r="AD266" s="5"/>
        <tr r="AE256" s="5"/>
        <tr r="AC271" s="5"/>
        <tr r="AF216" s="5"/>
        <tr r="AB276" s="5"/>
      </tp>
      <tp t="s">
        <v>#N/A N/A</v>
        <stp/>
        <stp>BDH|5419320180250716619</stp>
        <tr r="T696" s="5"/>
        <tr r="U691" s="5"/>
        <tr r="W641" s="5"/>
        <tr r="V681" s="5"/>
        <tr r="S701" s="5"/>
      </tp>
      <tp t="s">
        <v>#N/A N/A</v>
        <stp/>
        <stp>BDH|4970995544058223974</stp>
        <tr r="W720" s="5"/>
        <tr r="V760" s="5"/>
        <tr r="U770" s="5"/>
      </tp>
      <tp t="s">
        <v>#N/A N/A</v>
        <stp/>
        <stp>BDH|7646823316443081530</stp>
        <tr r="AD69" s="5"/>
        <tr r="AC74" s="5"/>
        <tr r="AE59" s="5"/>
        <tr r="AB79" s="5"/>
      </tp>
      <tp t="s">
        <v>#N/A N/A</v>
        <stp/>
        <stp>BDH|8022799051552934001</stp>
        <tr r="T416" s="5"/>
        <tr r="U411" s="5"/>
        <tr r="W361" s="5"/>
        <tr r="V401" s="5"/>
        <tr r="S421" s="5"/>
      </tp>
      <tp t="s">
        <v>#N/A N/A</v>
        <stp/>
        <stp>BDH|9350073512331174115</stp>
        <tr r="W764" s="5"/>
      </tp>
      <tp t="s">
        <v>#N/A N/A</v>
        <stp/>
        <stp>BDH|4373459766009120772</stp>
        <tr r="AC137" s="5"/>
        <tr r="AE122" s="5"/>
        <tr r="AF82" s="5"/>
        <tr r="AD132" s="5"/>
        <tr r="AB142" s="5"/>
      </tp>
      <tp t="s">
        <v>#N/A N/A</v>
        <stp/>
        <stp>BDH|7769371111534358957</stp>
        <tr r="T519" s="5"/>
        <tr r="W464" s="5"/>
        <tr r="V504" s="5"/>
        <tr r="U514" s="5"/>
        <tr r="S524" s="5"/>
      </tp>
      <tp t="s">
        <v>#N/A N/A</v>
        <stp/>
        <stp>BDH|7213078854262367850</stp>
        <tr r="U396" s="5"/>
        <tr r="W346" s="5"/>
        <tr r="V386" s="5"/>
        <tr r="T401" s="5"/>
        <tr r="S406" s="5"/>
      </tp>
      <tp t="s">
        <v>#N/A N/A</v>
        <stp/>
        <stp>BDH|3175225994947059736</stp>
        <tr r="U553" s="5"/>
        <tr r="V543" s="5"/>
        <tr r="T558" s="5"/>
        <tr r="W503" s="5"/>
        <tr r="S563" s="5"/>
      </tp>
      <tp t="s">
        <v>#N/A N/A</v>
        <stp/>
        <stp>BDH|4131315165881604874</stp>
        <tr r="U101" s="5"/>
        <tr r="T106" s="5"/>
        <tr r="V91" s="5"/>
        <tr r="W51" s="5"/>
        <tr r="S111" s="5"/>
      </tp>
      <tp t="s">
        <v>#N/A N/A</v>
        <stp/>
        <stp>BDH|1617242813309357368</stp>
        <tr r="AF306" s="5"/>
        <tr r="AE346" s="5"/>
        <tr r="AC361" s="5"/>
        <tr r="AD356" s="5"/>
        <tr r="AB366" s="5"/>
      </tp>
      <tp t="s">
        <v>#N/A N/A</v>
        <stp/>
        <stp>BDH|9950662373379051997</stp>
        <tr r="AF328" s="5"/>
        <tr r="AD378" s="5"/>
        <tr r="AE368" s="5"/>
        <tr r="AC383" s="5"/>
        <tr r="AB388" s="5"/>
      </tp>
      <tp t="s">
        <v>#N/A N/A</v>
        <stp/>
        <stp>BDH|5531317004476331869</stp>
        <tr r="AC474" s="5"/>
        <tr r="AD469" s="5"/>
        <tr r="AF419" s="5"/>
        <tr r="AE459" s="5"/>
        <tr r="AB479" s="5"/>
      </tp>
      <tp t="s">
        <v>#N/A N/A</v>
        <stp/>
        <stp>BDH|5148430026089934289</stp>
        <tr r="AD54" s="5"/>
        <tr r="AC59" s="5"/>
        <tr r="AE44" s="5"/>
        <tr r="AB64" s="5"/>
      </tp>
      <tp t="s">
        <v>#N/A N/A</v>
        <stp/>
        <stp>BDH|6132205780310122459</stp>
        <tr r="T680" s="5"/>
        <tr r="V665" s="5"/>
        <tr r="W625" s="5"/>
        <tr r="U675" s="5"/>
        <tr r="S685" s="5"/>
      </tp>
      <tp t="s">
        <v>#N/A N/A</v>
        <stp/>
        <stp>BDH|8852570973625196784</stp>
        <tr r="AE695" s="5"/>
        <tr r="AC710" s="5"/>
        <tr r="AD705" s="5"/>
        <tr r="AF655" s="5"/>
        <tr r="AB715" s="5"/>
      </tp>
      <tp t="s">
        <v>#N/A N/A</v>
        <stp/>
        <stp>BDH|3382431085687393038</stp>
        <tr r="AC634" s="5"/>
        <tr r="AF579" s="5"/>
        <tr r="AD629" s="5"/>
        <tr r="AE619" s="5"/>
        <tr r="AB639" s="5"/>
      </tp>
      <tp t="s">
        <v>#N/A N/A</v>
        <stp/>
        <stp>BDH|8310193286048506035</stp>
        <tr r="T212" s="5"/>
        <tr r="V197" s="5"/>
        <tr r="U207" s="5"/>
        <tr r="W158" s="5"/>
        <tr r="S217" s="5"/>
      </tp>
      <tp t="s">
        <v>#N/A N/A</v>
        <stp/>
        <stp>BDH|1557116695731844124</stp>
        <tr r="T56" s="5"/>
        <tr r="U51" s="5"/>
        <tr r="V41" s="5"/>
        <tr r="S61" s="5"/>
      </tp>
      <tp t="s">
        <v>#N/A N/A</v>
        <stp/>
        <stp>BDH|3715665445710890874</stp>
        <tr r="W693" s="5"/>
        <tr r="V733" s="5"/>
        <tr r="T748" s="5"/>
        <tr r="U743" s="5"/>
        <tr r="S753" s="5"/>
      </tp>
      <tp t="s">
        <v>#N/A N/A</v>
        <stp/>
        <stp>BDH|9926157325920477351</stp>
        <tr r="W737" s="5"/>
      </tp>
      <tp t="s">
        <v>#N/A N/A</v>
        <stp/>
        <stp>BDH|7088295595353280672</stp>
        <tr r="AD28" s="5"/>
        <tr r="AC33" s="5"/>
        <tr r="AB38" s="5"/>
      </tp>
      <tp t="s">
        <v>#N/A N/A</v>
        <stp/>
        <stp>BDH|8926596631816948117</stp>
        <tr r="AE766" s="5"/>
        <tr r="AF726" s="5"/>
      </tp>
      <tp t="s">
        <v>#N/A N/A</v>
        <stp/>
        <stp>BDH|1845255934450559923</stp>
        <tr r="S25" s="5"/>
      </tp>
      <tp t="s">
        <v>#N/A N/A</v>
        <stp/>
        <stp>BDH|2276797925758004600</stp>
        <tr r="V659" s="5"/>
        <tr r="T674" s="5"/>
        <tr r="U669" s="5"/>
        <tr r="W619" s="5"/>
        <tr r="S679" s="5"/>
      </tp>
      <tp t="s">
        <v>#N/A N/A</v>
        <stp/>
        <stp>BDH|1130293050509607609</stp>
        <tr r="T63" s="5"/>
        <tr r="U58" s="5"/>
        <tr r="V48" s="5"/>
        <tr r="S68" s="5"/>
      </tp>
      <tp t="s">
        <v>#N/A N/A</v>
        <stp/>
        <stp>BDH|8306601371511965147</stp>
        <tr r="AF496" s="5"/>
        <tr r="AE536" s="5"/>
        <tr r="AD546" s="5"/>
        <tr r="AC551" s="5"/>
        <tr r="AB556" s="5"/>
      </tp>
      <tp t="s">
        <v>#N/A N/A</v>
        <stp/>
        <stp>BDH|8015843796778884856</stp>
        <tr r="U633" s="5"/>
        <tr r="T638" s="5"/>
        <tr r="W583" s="5"/>
        <tr r="V623" s="5"/>
        <tr r="S643" s="5"/>
      </tp>
      <tp t="s">
        <v>#N/A N/A</v>
        <stp/>
        <stp>BDH|1341895818459660883</stp>
        <tr r="T166" s="5"/>
        <tr r="U161" s="5"/>
        <tr r="W111" s="5"/>
        <tr r="V151" s="5"/>
        <tr r="S171" s="5"/>
      </tp>
      <tp t="s">
        <v>#N/A N/A</v>
        <stp/>
        <stp>BDH|1917986768360147745</stp>
        <tr r="U555" s="5"/>
        <tr r="V545" s="5"/>
        <tr r="T560" s="5"/>
        <tr r="W505" s="5"/>
        <tr r="S565" s="5"/>
      </tp>
      <tp t="s">
        <v>#N/A N/A</v>
        <stp/>
        <stp>BDH|2766413148588480362</stp>
        <tr r="W54" s="5"/>
        <tr r="U104" s="5"/>
        <tr r="T109" s="5"/>
        <tr r="V94" s="5"/>
        <tr r="S114" s="5"/>
      </tp>
      <tp t="s">
        <v>#N/A N/A</v>
        <stp/>
        <stp>BDH|2139596694505071209</stp>
        <tr r="AE516" s="5"/>
        <tr r="AC531" s="5"/>
        <tr r="AF476" s="5"/>
        <tr r="AD526" s="5"/>
        <tr r="AB536" s="5"/>
      </tp>
      <tp t="s">
        <v>#N/A N/A</v>
        <stp/>
        <stp>BDH|2415294685094209574</stp>
        <tr r="AE763" s="5"/>
        <tr r="AF723" s="5"/>
      </tp>
      <tp t="s">
        <v>#N/A N/A</v>
        <stp/>
        <stp>BDH|9864087212357930665</stp>
        <tr r="U28" s="5"/>
        <tr r="T33" s="5"/>
        <tr r="S38" s="5"/>
      </tp>
      <tp t="s">
        <v>#N/A N/A</v>
        <stp/>
        <stp>BDH|1940962639652260091</stp>
        <tr r="AF760" s="5"/>
      </tp>
      <tp t="s">
        <v>#N/A N/A</v>
        <stp/>
        <stp>BDH|5404428148384379801</stp>
        <tr r="AC146" s="5"/>
        <tr r="AE131" s="5"/>
        <tr r="AF91" s="5"/>
        <tr r="AD141" s="5"/>
        <tr r="AB151" s="5"/>
      </tp>
      <tp t="s">
        <v>#N/A N/A</v>
        <stp/>
        <stp>BDH|3284956275364476043</stp>
        <tr r="AF267" s="5"/>
        <tr r="AE307" s="5"/>
        <tr r="AC322" s="5"/>
        <tr r="AD317" s="5"/>
        <tr r="AB327" s="5"/>
      </tp>
      <tp t="s">
        <v>#N/A N/A</v>
        <stp/>
        <stp>BDH|8379640810551400705</stp>
        <tr r="AC544" s="5"/>
        <tr r="AF489" s="5"/>
        <tr r="AD539" s="5"/>
        <tr r="AE529" s="5"/>
        <tr r="AB549" s="5"/>
      </tp>
      <tp t="s">
        <v>#N/A N/A</v>
        <stp/>
        <stp>BDH|9952724804016936162</stp>
        <tr r="AC56" s="5"/>
        <tr r="AD51" s="5"/>
        <tr r="AE41" s="5"/>
        <tr r="AB61" s="5"/>
      </tp>
      <tp t="s">
        <v>#N/A N/A</v>
        <stp/>
        <stp>BDH|8185628169697258684</stp>
        <tr r="V222" s="5"/>
        <tr r="U232" s="5"/>
        <tr r="T237" s="5"/>
        <tr r="S242" s="5"/>
      </tp>
      <tp t="s">
        <v>#N/A N/A</v>
        <stp/>
        <stp>BDH|9204534454602470218</stp>
        <tr r="AF562" s="5"/>
        <tr r="AD612" s="5"/>
        <tr r="AE602" s="5"/>
        <tr r="AC617" s="5"/>
        <tr r="AB622" s="5"/>
      </tp>
      <tp t="s">
        <v>#N/A N/A</v>
        <stp/>
        <stp>BDH|5985870356778032981</stp>
        <tr r="AC324" s="5"/>
        <tr r="AD319" s="5"/>
        <tr r="AE309" s="5"/>
        <tr r="AF269" s="5"/>
        <tr r="AB329" s="5"/>
      </tp>
      <tp t="s">
        <v>#N/A N/A</v>
        <stp/>
        <stp>BDH|1428803435520812387</stp>
        <tr r="W751" s="5"/>
      </tp>
      <tp t="s">
        <v>#N/A N/A</v>
        <stp/>
        <stp>BDH|1157111741899281422</stp>
        <tr r="T499" s="5"/>
        <tr r="V484" s="5"/>
        <tr r="W444" s="5"/>
        <tr r="U494" s="5"/>
        <tr r="S504" s="5"/>
      </tp>
      <tp t="s">
        <v>#N/A N/A</v>
        <stp/>
        <stp>BDH|5674388694121277790</stp>
        <tr r="AF357" s="5"/>
        <tr r="AD407" s="5"/>
        <tr r="AE397" s="5"/>
        <tr r="AC412" s="5"/>
        <tr r="AB417" s="5"/>
      </tp>
      <tp t="s">
        <v>#N/A N/A</v>
        <stp/>
        <stp>BDH|7600543653937610963</stp>
        <tr r="AC678" s="5"/>
        <tr r="AD673" s="5"/>
        <tr r="AE663" s="5"/>
        <tr r="AF623" s="5"/>
        <tr r="AB683" s="5"/>
      </tp>
      <tp t="s">
        <v>#N/A N/A</v>
        <stp/>
        <stp>BDH|3715418496125242234</stp>
        <tr r="AF472" s="5"/>
        <tr r="AC527" s="5"/>
        <tr r="AE512" s="5"/>
        <tr r="AD522" s="5"/>
        <tr r="AB532" s="5"/>
      </tp>
      <tp t="s">
        <v>#N/A N/A</v>
        <stp/>
        <stp>BDH|5405137583540438519</stp>
        <tr r="V586" s="5"/>
        <tr r="U596" s="5"/>
        <tr r="T601" s="5"/>
        <tr r="W546" s="5"/>
        <tr r="S606" s="5"/>
      </tp>
      <tp t="s">
        <v>#N/A N/A</v>
        <stp/>
        <stp>BDH|2273695456539356182</stp>
        <tr r="AD761" s="5"/>
        <tr r="AE751" s="5"/>
        <tr r="AC766" s="5"/>
        <tr r="AF711" s="5"/>
        <tr r="AB771" s="5"/>
      </tp>
      <tp t="s">
        <v>#N/A N/A</v>
        <stp/>
        <stp>BDH|8555153850536403320</stp>
        <tr r="T139" s="5"/>
        <tr r="W84" s="5"/>
        <tr r="U134" s="5"/>
        <tr r="V124" s="5"/>
        <tr r="S144" s="5"/>
      </tp>
      <tp t="s">
        <v>#N/A N/A</v>
        <stp/>
        <stp>BDH|1064856545360349454</stp>
        <tr r="U237" s="5"/>
        <tr r="W187" s="5"/>
        <tr r="V227" s="5"/>
        <tr r="T242" s="5"/>
        <tr r="S247" s="5"/>
      </tp>
      <tp t="s">
        <v>#N/A N/A</v>
        <stp/>
        <stp>BDH|1394808442991483520</stp>
        <tr r="AE164" s="5"/>
        <tr r="AD174" s="5"/>
        <tr r="AF124" s="5"/>
        <tr r="AC179" s="5"/>
        <tr r="AB183" s="5"/>
      </tp>
      <tp t="s">
        <v>#N/A N/A</v>
        <stp/>
        <stp>BDH|3313584078941055947</stp>
        <tr r="AD285" s="5"/>
        <tr r="AE275" s="5"/>
        <tr r="AF235" s="5"/>
        <tr r="AC290" s="5"/>
        <tr r="AB295" s="5"/>
      </tp>
      <tp t="s">
        <v>#N/A N/A</v>
        <stp/>
        <stp>BDH|7085852126842360647</stp>
        <tr r="AE537" s="5"/>
        <tr r="AF497" s="5"/>
        <tr r="AD547" s="5"/>
        <tr r="AC552" s="5"/>
        <tr r="AB557" s="5"/>
      </tp>
      <tp t="s">
        <v>#N/A N/A</v>
        <stp/>
        <stp>BDH|9369464477277533436</stp>
        <tr r="AC415" s="5"/>
        <tr r="AF360" s="5"/>
        <tr r="AE400" s="5"/>
        <tr r="AD410" s="5"/>
        <tr r="AB420" s="5"/>
      </tp>
      <tp t="s">
        <v>#N/A N/A</v>
        <stp/>
        <stp>BDH|8302152318905861426</stp>
        <tr r="T185" s="5"/>
        <tr r="W131" s="5"/>
        <tr r="U181" s="5"/>
        <tr r="V171" s="5"/>
        <tr r="S190" s="5"/>
      </tp>
      <tp t="s">
        <v>#N/A N/A</v>
        <stp/>
        <stp>BDH|2881797418864833959</stp>
        <tr r="V198" s="5"/>
        <tr r="W159" s="5"/>
        <tr r="T213" s="5"/>
        <tr r="U208" s="5"/>
        <tr r="S218" s="5"/>
      </tp>
      <tp t="s">
        <v>#N/A N/A</v>
        <stp/>
        <stp>BDH|4534194625446428883</stp>
        <tr r="AF736" s="5"/>
      </tp>
      <tp t="s">
        <v>#N/A N/A</v>
        <stp/>
        <stp>BDH|1080404052989270056</stp>
        <tr r="T753" s="5"/>
        <tr r="V738" s="5"/>
        <tr r="U748" s="5"/>
        <tr r="W698" s="5"/>
        <tr r="S758" s="5"/>
      </tp>
      <tp t="s">
        <v>#N/A N/A</v>
        <stp/>
        <stp>BDH|7187323751591716908</stp>
        <tr r="AC687" s="5"/>
        <tr r="AF632" s="5"/>
        <tr r="AD682" s="5"/>
        <tr r="AE672" s="5"/>
        <tr r="AB692" s="5"/>
      </tp>
      <tp t="s">
        <v>#N/A N/A</v>
        <stp/>
        <stp>BDH|7454039825249259556</stp>
        <tr r="AD448" s="5"/>
        <tr r="AF398" s="5"/>
        <tr r="AC453" s="5"/>
        <tr r="AE438" s="5"/>
        <tr r="AB458" s="5"/>
      </tp>
      <tp t="s">
        <v>#N/A N/A</v>
        <stp/>
        <stp>BDH|12166894119620517</stp>
        <tr r="AC661" s="5"/>
        <tr r="AE646" s="5"/>
        <tr r="AD656" s="5"/>
        <tr r="AF606" s="5"/>
        <tr r="AB666" s="5"/>
      </tp>
      <tp t="s">
        <v>#N/A N/A</v>
        <stp/>
        <stp>BDH|5989224134508642635</stp>
        <tr r="V431" s="5"/>
        <tr r="U441" s="5"/>
        <tr r="T446" s="5"/>
        <tr r="W391" s="5"/>
        <tr r="S451" s="5"/>
      </tp>
      <tp t="s">
        <v>#N/A N/A</v>
        <stp/>
        <stp>BDH|7939838445264075554</stp>
        <tr r="W38" s="5"/>
        <tr r="T93" s="5"/>
        <tr r="V78" s="5"/>
        <tr r="U88" s="5"/>
        <tr r="S98" s="5"/>
      </tp>
      <tp t="s">
        <v>#N/A N/A</v>
        <stp/>
        <stp>BDH|3818004844779762419</stp>
        <tr r="T346" s="5"/>
        <tr r="V331" s="5"/>
        <tr r="U341" s="5"/>
        <tr r="W291" s="5"/>
        <tr r="S351" s="5"/>
      </tp>
      <tp t="s">
        <v>#N/A N/A</v>
        <stp/>
        <stp>BDH|4284206849658797070</stp>
        <tr r="U641" s="5"/>
        <tr r="W591" s="5"/>
        <tr r="T646" s="5"/>
        <tr r="V631" s="5"/>
        <tr r="S651" s="5"/>
      </tp>
      <tp t="s">
        <v>#N/A N/A</v>
        <stp/>
        <stp>BDH|7632983892099506414</stp>
        <tr r="AD338" s="5"/>
        <tr r="AC343" s="5"/>
        <tr r="AE328" s="5"/>
        <tr r="AF288" s="5"/>
        <tr r="AB348" s="5"/>
      </tp>
      <tp t="s">
        <v>#N/A N/A</v>
        <stp/>
        <stp>BDH|2333524982533956620</stp>
        <tr r="AC504" s="5"/>
        <tr r="AF449" s="5"/>
        <tr r="AD499" s="5"/>
        <tr r="AE489" s="5"/>
        <tr r="AB509" s="5"/>
      </tp>
      <tp t="s">
        <v>#N/A N/A</v>
        <stp/>
        <stp>BDH|1889080884487449481</stp>
        <tr r="AC285" s="5"/>
        <tr r="AE270" s="5"/>
        <tr r="AF230" s="5"/>
        <tr r="AD280" s="5"/>
        <tr r="AB290" s="5"/>
      </tp>
      <tp t="s">
        <v>#N/A N/A</v>
        <stp/>
        <stp>BDH|3451684416068472669</stp>
        <tr r="AF127" s="5"/>
        <tr r="AC182" s="5"/>
        <tr r="AE167" s="5"/>
        <tr r="AD177" s="5"/>
        <tr r="AB186" s="5"/>
      </tp>
      <tp t="s">
        <v>#N/A N/A</v>
        <stp/>
        <stp>BDH|5435453644438476782</stp>
        <tr r="U121" s="5"/>
        <tr r="V111" s="5"/>
        <tr r="T126" s="5"/>
        <tr r="W71" s="5"/>
        <tr r="S131" s="5"/>
      </tp>
      <tp t="s">
        <v>#N/A N/A</v>
        <stp/>
        <stp>BDH|6743930336262949422</stp>
        <tr r="V657" s="5"/>
        <tr r="T672" s="5"/>
        <tr r="U667" s="5"/>
        <tr r="W617" s="5"/>
        <tr r="S677" s="5"/>
      </tp>
      <tp t="s">
        <v>#N/A N/A</v>
        <stp/>
        <stp>BDH|8311280875464640314</stp>
        <tr r="AE659" s="5"/>
        <tr r="AC674" s="5"/>
        <tr r="AD669" s="5"/>
        <tr r="AF619" s="5"/>
        <tr r="AB679" s="5"/>
      </tp>
      <tp t="s">
        <v>#N/A N/A</v>
        <stp/>
        <stp>BDH|6229494708201265986</stp>
        <tr r="AC148" s="5"/>
        <tr r="AF93" s="5"/>
        <tr r="AD143" s="5"/>
        <tr r="AE133" s="5"/>
        <tr r="AB153" s="5"/>
      </tp>
      <tp t="s">
        <v>#N/A N/A</v>
        <stp/>
        <stp>BDH|8093450181307578985</stp>
        <tr r="AE703" s="5"/>
        <tr r="AF663" s="5"/>
        <tr r="AD713" s="5"/>
        <tr r="AC718" s="5"/>
        <tr r="AB723" s="5"/>
      </tp>
      <tp t="s">
        <v>#N/A N/A</v>
        <stp/>
        <stp>BDH|9297097835021475133</stp>
        <tr r="AD279" s="5"/>
        <tr r="AF229" s="5"/>
        <tr r="AC284" s="5"/>
        <tr r="AE269" s="5"/>
        <tr r="AB289" s="5"/>
      </tp>
      <tp t="s">
        <v>#N/A N/A</v>
        <stp/>
        <stp>BDH|1353891190239439300</stp>
        <tr r="T675" s="5"/>
        <tr r="V660" s="5"/>
        <tr r="W620" s="5"/>
        <tr r="U670" s="5"/>
        <tr r="S680" s="5"/>
      </tp>
      <tp t="s">
        <v>#N/A N/A</v>
        <stp/>
        <stp>BDH|2033097995141161035</stp>
        <tr r="AD24" s="5"/>
        <tr r="AC29" s="5"/>
        <tr r="AB34" s="5"/>
      </tp>
      <tp t="s">
        <v>#N/A N/A</v>
        <stp/>
        <stp>BDH|1113713196064885101</stp>
        <tr r="T516" s="5"/>
        <tr r="V501" s="5"/>
        <tr r="U511" s="5"/>
        <tr r="W461" s="5"/>
        <tr r="S521" s="5"/>
      </tp>
      <tp t="s">
        <v>#N/A N/A</v>
        <stp/>
        <stp>BDH|7571422862629368688</stp>
        <tr r="AC95" s="5"/>
        <tr r="AD90" s="5"/>
        <tr r="AE80" s="5"/>
        <tr r="AF40" s="5"/>
        <tr r="AB100" s="5"/>
      </tp>
      <tp t="s">
        <v>#N/A N/A</v>
        <stp/>
        <stp>BDH|7343599291910362170</stp>
        <tr r="AD65" s="5"/>
        <tr r="AC70" s="5"/>
        <tr r="AE55" s="5"/>
        <tr r="AB75" s="5"/>
      </tp>
      <tp t="s">
        <v>#N/A N/A</v>
        <stp/>
        <stp>BDH|1859646140869426073</stp>
        <tr r="U562" s="5"/>
        <tr r="W512" s="5"/>
        <tr r="V552" s="5"/>
        <tr r="T567" s="5"/>
        <tr r="S572" s="5"/>
      </tp>
      <tp t="s">
        <v>#N/A N/A</v>
        <stp/>
        <stp>BDH|6215538836122345886</stp>
        <tr r="AD531" s="5"/>
        <tr r="AC536" s="5"/>
        <tr r="AF481" s="5"/>
        <tr r="AE521" s="5"/>
        <tr r="AB541" s="5"/>
      </tp>
      <tp t="s">
        <v>#N/A N/A</v>
        <stp/>
        <stp>BDH|6074316950898812241</stp>
        <tr r="T148" s="5"/>
        <tr r="W93" s="5"/>
        <tr r="U143" s="5"/>
        <tr r="V133" s="5"/>
        <tr r="S153" s="5"/>
      </tp>
      <tp t="s">
        <v>#N/A N/A</v>
        <stp/>
        <stp>BDH|2743920331401781319</stp>
        <tr r="T146" s="5"/>
        <tr r="V131" s="5"/>
        <tr r="W91" s="5"/>
        <tr r="U141" s="5"/>
        <tr r="S151" s="5"/>
      </tp>
      <tp t="s">
        <v>#N/A N/A</v>
        <stp/>
        <stp>BDH|8116211191049391009</stp>
        <tr r="U240" s="5"/>
        <tr r="V230" s="5"/>
        <tr r="T245" s="5"/>
        <tr r="W190" s="5"/>
        <tr r="S250" s="5"/>
      </tp>
      <tp t="s">
        <v>#N/A N/A</v>
        <stp/>
        <stp>BDH|8367178344893513477</stp>
        <tr r="AD30" s="5"/>
        <tr r="AC35" s="5"/>
        <tr r="AB40" s="5"/>
      </tp>
      <tp t="s">
        <v>#N/A N/A</v>
        <stp/>
        <stp>BDH|7909517696256853740</stp>
        <tr r="W679" s="5"/>
        <tr r="T734" s="5"/>
        <tr r="U729" s="5"/>
        <tr r="V719" s="5"/>
        <tr r="S739" s="5"/>
      </tp>
      <tp t="s">
        <v>#N/A N/A</v>
        <stp/>
        <stp>BDH|8789398900578442988</stp>
        <tr r="U340" s="5"/>
        <tr r="T345" s="5"/>
        <tr r="V330" s="5"/>
        <tr r="W290" s="5"/>
        <tr r="S350" s="5"/>
      </tp>
      <tp t="s">
        <v>#N/A N/A</v>
        <stp/>
        <stp>BDH|1934754159371540828</stp>
        <tr r="V236" s="5"/>
        <tr r="W196" s="5"/>
        <tr r="U246" s="5"/>
        <tr r="T251" s="5"/>
        <tr r="S256" s="5"/>
      </tp>
      <tp t="s">
        <v>#N/A N/A</v>
        <stp/>
        <stp>BDH|6002351476918710064</stp>
        <tr r="AE40" s="5"/>
        <tr r="AC55" s="5"/>
        <tr r="AD50" s="5"/>
        <tr r="AB60" s="5"/>
      </tp>
      <tp t="s">
        <v>#N/A N/A</v>
        <stp/>
        <stp>BDH|3191956885939224100</stp>
        <tr r="T645" s="5"/>
        <tr r="W590" s="5"/>
        <tr r="V630" s="5"/>
        <tr r="U640" s="5"/>
        <tr r="S650" s="5"/>
      </tp>
      <tp t="s">
        <v>#N/A N/A</v>
        <stp/>
        <stp>BDH|4417670750999391436</stp>
        <tr r="AF767" s="5"/>
      </tp>
      <tp t="s">
        <v>#N/A N/A</v>
        <stp/>
        <stp>BDH|7406038283151266454</stp>
        <tr r="AB772" s="5"/>
        <tr r="AB773" s="5"/>
      </tp>
      <tp t="s">
        <v>#N/A N/A</v>
        <stp/>
        <stp>BDH|2394076314579593068</stp>
        <tr r="V497" s="5"/>
        <tr r="T512" s="5"/>
        <tr r="W457" s="5"/>
        <tr r="U507" s="5"/>
        <tr r="S517" s="5"/>
      </tp>
      <tp t="s">
        <v>#N/A N/A</v>
        <stp/>
        <stp>BDH|5561729150298504511</stp>
        <tr r="T747" s="5"/>
        <tr r="U742" s="5"/>
        <tr r="W692" s="5"/>
        <tr r="V732" s="5"/>
        <tr r="S752" s="5"/>
      </tp>
      <tp t="s">
        <v>#N/A N/A</v>
        <stp/>
        <stp>BDH|2967680422575500962</stp>
        <tr r="AC175" s="5"/>
        <tr r="AE160" s="5"/>
        <tr r="AF120" s="5"/>
        <tr r="AD170" s="5"/>
        <tr r="AB180" s="5"/>
      </tp>
      <tp t="s">
        <v>#N/A N/A</v>
        <stp/>
        <stp>BDH|2062670825779645545</stp>
        <tr r="W703" s="5"/>
        <tr r="U753" s="5"/>
        <tr r="V743" s="5"/>
        <tr r="T758" s="5"/>
        <tr r="S763" s="5"/>
      </tp>
      <tp t="s">
        <v>#N/A N/A</v>
        <stp/>
        <stp>BDH|1880344689880657032</stp>
        <tr r="AE670" s="5"/>
        <tr r="AD680" s="5"/>
        <tr r="AF630" s="5"/>
        <tr r="AC685" s="5"/>
        <tr r="AB690" s="5"/>
      </tp>
      <tp t="s">
        <v>#N/A N/A</v>
        <stp/>
        <stp>BDH|3862905546252905677</stp>
        <tr r="W399" s="5"/>
        <tr r="V439" s="5"/>
        <tr r="T454" s="5"/>
        <tr r="U449" s="5"/>
        <tr r="S459" s="5"/>
      </tp>
      <tp t="s">
        <v>#N/A N/A</v>
        <stp/>
        <stp>BDH|3746710468549903161</stp>
        <tr r="W153" s="5"/>
        <tr r="V192" s="5"/>
        <tr r="U202" s="5"/>
        <tr r="T207" s="5"/>
        <tr r="S212" s="5"/>
      </tp>
      <tp t="s">
        <v>#N/A N/A</v>
        <stp/>
        <stp>BDH|3893189591077603663</stp>
        <tr r="W618" s="5"/>
        <tr r="T673" s="5"/>
        <tr r="U668" s="5"/>
        <tr r="V658" s="5"/>
        <tr r="S678" s="5"/>
      </tp>
      <tp t="s">
        <v>#N/A N/A</v>
        <stp/>
        <stp>BDH|7904836162371071299</stp>
        <tr r="U700" s="5"/>
        <tr r="V690" s="5"/>
        <tr r="W650" s="5"/>
        <tr r="T705" s="5"/>
        <tr r="S710" s="5"/>
      </tp>
      <tp t="s">
        <v>#N/A N/A</v>
        <stp/>
        <stp>BDH|4370655638718802302</stp>
        <tr r="AD416" s="5"/>
        <tr r="AE406" s="5"/>
        <tr r="AF366" s="5"/>
        <tr r="AC421" s="5"/>
        <tr r="AB426" s="5"/>
      </tp>
      <tp t="s">
        <v>#N/A N/A</v>
        <stp/>
        <stp>BDH|2151812433163647034</stp>
        <tr r="AE608" s="5"/>
        <tr r="AF568" s="5"/>
        <tr r="AD618" s="5"/>
        <tr r="AC623" s="5"/>
        <tr r="AB628" s="5"/>
      </tp>
      <tp t="s">
        <v>#N/A N/A</v>
        <stp/>
        <stp>BDH|8372043853734635349</stp>
        <tr r="AF659" s="5"/>
        <tr r="AC714" s="5"/>
        <tr r="AE699" s="5"/>
        <tr r="AD709" s="5"/>
        <tr r="AB719" s="5"/>
      </tp>
      <tp t="s">
        <v>#N/A N/A</v>
        <stp/>
        <stp>BDH|2766695058453246833</stp>
        <tr r="U113" s="5"/>
        <tr r="W63" s="5"/>
        <tr r="T118" s="5"/>
        <tr r="V103" s="5"/>
        <tr r="S123" s="5"/>
      </tp>
      <tp t="s">
        <v>#N/A N/A</v>
        <stp/>
        <stp>BDH|9590750611297057269</stp>
        <tr r="W608" s="5"/>
        <tr r="V648" s="5"/>
        <tr r="U658" s="5"/>
        <tr r="T663" s="5"/>
        <tr r="S668" s="5"/>
      </tp>
      <tp t="s">
        <v>#N/A N/A</v>
        <stp/>
        <stp>BDH|6822128902668467589</stp>
        <tr r="W741" s="5"/>
      </tp>
      <tp t="s">
        <v>#N/A N/A</v>
        <stp/>
        <stp>BDH|5421553056788368715</stp>
        <tr r="AF57" s="5"/>
        <tr r="AC112" s="5"/>
        <tr r="AE97" s="5"/>
        <tr r="AD107" s="5"/>
        <tr r="AB117" s="5"/>
      </tp>
      <tp t="s">
        <v>#N/A N/A</v>
        <stp/>
        <stp>BDH|7128447994377012748</stp>
        <tr r="AE594" s="5"/>
        <tr r="AF554" s="5"/>
        <tr r="AD604" s="5"/>
        <tr r="AC609" s="5"/>
        <tr r="AB614" s="5"/>
      </tp>
      <tp t="s">
        <v>#N/A N/A</v>
        <stp/>
        <stp>BDH|6291194286840062479</stp>
        <tr r="AE49" s="5"/>
        <tr r="AD59" s="5"/>
        <tr r="AC64" s="5"/>
        <tr r="AB69" s="5"/>
      </tp>
      <tp t="s">
        <v>#N/A N/A</v>
        <stp/>
        <stp>BDH|8892167242351282748</stp>
        <tr r="T252" s="5"/>
        <tr r="U247" s="5"/>
        <tr r="W197" s="5"/>
        <tr r="V237" s="5"/>
        <tr r="S257" s="5"/>
      </tp>
      <tp t="s">
        <v>#N/A N/A</v>
        <stp/>
        <stp>BDH|6948895671487338588</stp>
        <tr r="W326" s="5"/>
        <tr r="T381" s="5"/>
        <tr r="V366" s="5"/>
        <tr r="U376" s="5"/>
        <tr r="S386" s="5"/>
      </tp>
      <tp t="s">
        <v>#N/A N/A</v>
        <stp/>
        <stp>BDH|3238888834827372451</stp>
        <tr r="W766" s="5"/>
      </tp>
      <tp t="s">
        <v>#N/A N/A</v>
        <stp/>
        <stp>BDH|1606644253720872901</stp>
        <tr r="T47" s="5"/>
        <tr r="V32" s="5"/>
        <tr r="U42" s="5"/>
        <tr r="S52" s="5"/>
      </tp>
      <tp t="s">
        <v>#N/A N/A</v>
        <stp/>
        <stp>BDH|4248120939825382832</stp>
        <tr r="AC113" s="5"/>
        <tr r="AF58" s="5"/>
        <tr r="AD108" s="5"/>
        <tr r="AE98" s="5"/>
        <tr r="AB118" s="5"/>
      </tp>
      <tp t="s">
        <v>#N/A N/A</v>
        <stp/>
        <stp>BDH|1006611421917077996</stp>
        <tr r="AC34" s="5"/>
        <tr r="AD29" s="5"/>
        <tr r="AB39" s="5"/>
      </tp>
      <tp t="s">
        <v>#N/A N/A</v>
        <stp/>
        <stp>BDH|2984695167608962172</stp>
        <tr r="AF242" s="5"/>
        <tr r="AE282" s="5"/>
        <tr r="AD292" s="5"/>
        <tr r="AC297" s="5"/>
        <tr r="AB302" s="5"/>
      </tp>
      <tp t="s">
        <v>#N/A N/A</v>
        <stp/>
        <stp>BDH|6746071758461252942</stp>
        <tr r="AE696" s="5"/>
        <tr r="AD706" s="5"/>
        <tr r="AC711" s="5"/>
        <tr r="AF656" s="5"/>
        <tr r="AB716" s="5"/>
      </tp>
      <tp t="s">
        <v>#N/A N/A</v>
        <stp/>
        <stp>BDH|5595847568638245848</stp>
        <tr r="W130" s="5"/>
        <tr r="U180" s="5"/>
        <tr r="T184" s="5"/>
        <tr r="V170" s="5"/>
        <tr r="S189" s="5"/>
      </tp>
      <tp t="s">
        <v>#N/A N/A</v>
        <stp/>
        <stp>BDH|2850821991238606022</stp>
        <tr r="W65" s="5"/>
        <tr r="V105" s="5"/>
        <tr r="U115" s="5"/>
        <tr r="T120" s="5"/>
        <tr r="S125" s="5"/>
      </tp>
      <tp t="s">
        <v>#N/A N/A</v>
        <stp/>
        <stp>BDH|5564025192854825321</stp>
        <tr r="AC281" s="5"/>
        <tr r="AE266" s="5"/>
        <tr r="AF226" s="5"/>
        <tr r="AD276" s="5"/>
        <tr r="AB286" s="5"/>
      </tp>
      <tp t="s">
        <v>#N/A N/A</v>
        <stp/>
        <stp>BDH|6568025787582934768</stp>
        <tr r="AF303" s="5"/>
        <tr r="AD353" s="5"/>
        <tr r="AE343" s="5"/>
        <tr r="AC358" s="5"/>
        <tr r="AB363" s="5"/>
      </tp>
      <tp t="s">
        <v>#N/A N/A</v>
        <stp/>
        <stp>BDH|7591447073499754688</stp>
        <tr r="AD324" s="5"/>
        <tr r="AF274" s="5"/>
        <tr r="AC329" s="5"/>
        <tr r="AE314" s="5"/>
        <tr r="AB334" s="5"/>
      </tp>
      <tp t="s">
        <v>#N/A N/A</v>
        <stp/>
        <stp>BDH|3346460543589894131</stp>
        <tr r="W340" s="5"/>
        <tr r="V380" s="5"/>
        <tr r="U390" s="5"/>
        <tr r="T395" s="5"/>
        <tr r="S400" s="5"/>
      </tp>
      <tp t="s">
        <v>#N/A N/A</v>
        <stp/>
        <stp>BDH|8499901088337615573</stp>
        <tr r="W316" s="5"/>
        <tr r="U366" s="5"/>
        <tr r="V356" s="5"/>
        <tr r="T371" s="5"/>
        <tr r="S376" s="5"/>
      </tp>
      <tp t="s">
        <v>#N/A N/A</v>
        <stp/>
        <stp>BDH|5156771589582526381</stp>
        <tr r="T328" s="5"/>
        <tr r="U323" s="5"/>
        <tr r="V313" s="5"/>
        <tr r="W273" s="5"/>
        <tr r="S333" s="5"/>
      </tp>
      <tp t="s">
        <v>#N/A N/A</v>
        <stp/>
        <stp>BDH|1663911134324168411</stp>
        <tr r="U683" s="5"/>
        <tr r="V673" s="5"/>
        <tr r="T688" s="5"/>
        <tr r="W633" s="5"/>
        <tr r="S693" s="5"/>
      </tp>
      <tp t="s">
        <v>#N/A N/A</v>
        <stp/>
        <stp>BDH|6664615746667002820</stp>
        <tr r="V765" s="5"/>
        <tr r="W725" s="5"/>
      </tp>
      <tp t="s">
        <v>#N/A N/A</v>
        <stp/>
        <stp>BDH|2317071324969654256</stp>
        <tr r="T229" s="5"/>
        <tr r="W175" s="5"/>
        <tr r="U224" s="5"/>
        <tr r="V214" s="5"/>
        <tr r="S234" s="5"/>
      </tp>
      <tp t="s">
        <v>#N/A N/A</v>
        <stp/>
        <stp>BDH|4669568101702258833</stp>
        <tr r="AE258" s="5"/>
        <tr r="AF218" s="5"/>
        <tr r="AD268" s="5"/>
        <tr r="AC273" s="5"/>
        <tr r="AB278" s="5"/>
      </tp>
      <tp t="s">
        <v>#N/A N/A</v>
        <stp/>
        <stp>BDH|2891430299704348002</stp>
        <tr r="U212" s="5"/>
        <tr r="W163" s="5"/>
        <tr r="T217" s="5"/>
        <tr r="V202" s="5"/>
        <tr r="S222" s="5"/>
      </tp>
      <tp t="s">
        <v>#N/A N/A</v>
        <stp/>
        <stp>BDH|5052247712944765978</stp>
        <tr r="AF445" s="5"/>
        <tr r="AC500" s="5"/>
        <tr r="AE485" s="5"/>
        <tr r="AD495" s="5"/>
        <tr r="AB505" s="5"/>
      </tp>
      <tp t="s">
        <v>#N/A N/A</v>
        <stp/>
        <stp>BDH|6936666946348862776</stp>
        <tr r="W343" s="5"/>
        <tr r="U393" s="5"/>
        <tr r="T398" s="5"/>
        <tr r="V383" s="5"/>
        <tr r="S403" s="5"/>
      </tp>
      <tp t="s">
        <v>#N/A N/A</v>
        <stp/>
        <stp>BDH|4254937773552222368</stp>
        <tr r="W594" s="5"/>
        <tr r="U644" s="5"/>
        <tr r="T649" s="5"/>
        <tr r="V634" s="5"/>
        <tr r="S654" s="5"/>
      </tp>
      <tp t="s">
        <v>#N/A N/A</v>
        <stp/>
        <stp>BDH|6260919961193696131</stp>
        <tr r="AC225" s="5"/>
        <tr r="AD220" s="5"/>
        <tr r="AF171" s="5"/>
        <tr r="AE210" s="5"/>
        <tr r="AB230" s="5"/>
      </tp>
      <tp t="s">
        <v>#N/A N/A</v>
        <stp/>
        <stp>BDH|2108891054651355589</stp>
        <tr r="V180" s="5"/>
        <tr r="T194" s="5"/>
        <tr r="U189" s="5"/>
        <tr r="W140" s="5"/>
        <tr r="S199" s="5"/>
      </tp>
      <tp t="s">
        <v>#N/A N/A</v>
        <stp/>
        <stp>BDH|8996019782913687882</stp>
        <tr r="AC376" s="5"/>
        <tr r="AF321" s="5"/>
        <tr r="AE361" s="5"/>
        <tr r="AD371" s="5"/>
        <tr r="AB381" s="5"/>
      </tp>
      <tp t="s">
        <v>#N/A N/A</v>
        <stp/>
        <stp>BDH|9785419386178434607</stp>
        <tr r="V164" s="5"/>
        <tr r="U174" s="5"/>
        <tr r="W124" s="5"/>
        <tr r="T179" s="5"/>
        <tr r="S183" s="5"/>
      </tp>
      <tp t="s">
        <v>#N/A N/A</v>
        <stp/>
        <stp>BDH|6505651242196281945</stp>
        <tr r="U22" s="5"/>
        <tr r="T27" s="5"/>
        <tr r="S32" s="5"/>
      </tp>
      <tp t="s">
        <v>#N/A N/A</v>
        <stp/>
        <stp>BDH|9183610324120310634</stp>
        <tr r="AC443" s="5"/>
        <tr r="AF388" s="5"/>
        <tr r="AE428" s="5"/>
        <tr r="AD438" s="5"/>
        <tr r="AB448" s="5"/>
      </tp>
      <tp t="s">
        <v>#N/A N/A</v>
        <stp/>
        <stp>BDH|84146478530472021</stp>
        <tr r="AF647" s="5"/>
        <tr r="AD697" s="5"/>
        <tr r="AC702" s="5"/>
        <tr r="AE687" s="5"/>
        <tr r="AB707" s="5"/>
      </tp>
      <tp t="s">
        <v>#N/A N/A</v>
        <stp/>
        <stp>BDH|6099564079306745629</stp>
        <tr r="AC209" s="5"/>
        <tr r="AF155" s="5"/>
        <tr r="AE194" s="5"/>
        <tr r="AD204" s="5"/>
        <tr r="AB214" s="5"/>
      </tp>
      <tp t="s">
        <v>#N/A N/A</v>
        <stp/>
        <stp>BDH|7319096833081795149</stp>
        <tr r="T28" s="5"/>
        <tr r="U23" s="5"/>
        <tr r="S33" s="5"/>
      </tp>
      <tp t="s">
        <v>#N/A N/A</v>
        <stp/>
        <stp>BDH|8562341059448130238</stp>
        <tr r="AD327" s="5"/>
        <tr r="AC332" s="5"/>
        <tr r="AF277" s="5"/>
        <tr r="AE317" s="5"/>
        <tr r="AB337" s="5"/>
      </tp>
      <tp t="s">
        <v>#N/A N/A</v>
        <stp/>
        <stp>BDH|2291607704858522898</stp>
        <tr r="AE21" s="5"/>
        <tr r="AD31" s="5"/>
        <tr r="AC36" s="5"/>
        <tr r="AB41" s="5"/>
      </tp>
      <tp t="s">
        <v>#N/A N/A</v>
        <stp/>
        <stp>BDH|2587741764592892567</stp>
        <tr r="U622" s="5"/>
        <tr r="V612" s="5"/>
        <tr r="T627" s="5"/>
        <tr r="W572" s="5"/>
        <tr r="S632" s="5"/>
      </tp>
      <tp t="s">
        <v>#N/A N/A</v>
        <stp/>
        <stp>BDH|6798721633280848656</stp>
        <tr r="AD274" s="5"/>
        <tr r="AC279" s="5"/>
        <tr r="AF224" s="5"/>
        <tr r="AE264" s="5"/>
        <tr r="AB284" s="5"/>
      </tp>
      <tp t="s">
        <v>#N/A N/A</v>
        <stp/>
        <stp>BDH|5533691564771589063</stp>
        <tr r="AE565" s="5"/>
        <tr r="AD575" s="5"/>
        <tr r="AF525" s="5"/>
        <tr r="AC580" s="5"/>
        <tr r="AB585" s="5"/>
      </tp>
      <tp t="s">
        <v>#N/A N/A</v>
        <stp/>
        <stp>BDH|6824271064813796542</stp>
        <tr r="AE209" s="5"/>
        <tr r="AC224" s="5"/>
        <tr r="AD219" s="5"/>
        <tr r="AF170" s="5"/>
        <tr r="AB229" s="5"/>
      </tp>
      <tp t="s">
        <v>#N/A N/A</v>
        <stp/>
        <stp>BDH|8762786130468027072</stp>
        <tr r="W127" s="5"/>
        <tr r="T182" s="5"/>
        <tr r="V167" s="5"/>
        <tr r="U177" s="5"/>
        <tr r="S186" s="5"/>
      </tp>
      <tp t="s">
        <v>#N/A N/A</v>
        <stp/>
        <stp>BDH|4933565754889219917</stp>
        <tr r="AF508" s="5"/>
        <tr r="AD558" s="5"/>
        <tr r="AE548" s="5"/>
        <tr r="AC563" s="5"/>
        <tr r="AB568" s="5"/>
      </tp>
      <tp t="s">
        <v>#N/A N/A</v>
        <stp/>
        <stp>BDH|1071409462730942737</stp>
        <tr r="T607" s="5"/>
        <tr r="U602" s="5"/>
        <tr r="V592" s="5"/>
        <tr r="W552" s="5"/>
        <tr r="S612" s="5"/>
      </tp>
      <tp t="s">
        <v>#N/A N/A</v>
        <stp/>
        <stp>BDH|5519397108103936158</stp>
        <tr r="U98" s="5"/>
        <tr r="W48" s="5"/>
        <tr r="V88" s="5"/>
        <tr r="T103" s="5"/>
        <tr r="S108" s="5"/>
      </tp>
      <tp t="s">
        <v>#N/A N/A</v>
        <stp/>
        <stp>BDH|5172888081115140409</stp>
        <tr r="AC328" s="5"/>
        <tr r="AD323" s="5"/>
        <tr r="AE313" s="5"/>
        <tr r="AF273" s="5"/>
        <tr r="AB333" s="5"/>
      </tp>
      <tp t="s">
        <v>#N/A N/A</v>
        <stp/>
        <stp>BDH|5076897780568030902</stp>
        <tr r="AD477" s="5"/>
        <tr r="AE467" s="5"/>
        <tr r="AF427" s="5"/>
        <tr r="AC482" s="5"/>
        <tr r="AB487" s="5"/>
      </tp>
      <tp t="s">
        <v>#N/A N/A</v>
        <stp/>
        <stp>BDH|5160084038283049183</stp>
        <tr r="AC477" s="5"/>
        <tr r="AE462" s="5"/>
        <tr r="AD472" s="5"/>
        <tr r="AF422" s="5"/>
        <tr r="AB482" s="5"/>
      </tp>
      <tp t="s">
        <v>#N/A N/A</v>
        <stp/>
        <stp>BDH|4932113510686240634</stp>
        <tr r="W324" s="5"/>
        <tr r="T379" s="5"/>
        <tr r="V364" s="5"/>
        <tr r="U374" s="5"/>
        <tr r="S384" s="5"/>
      </tp>
      <tp t="s">
        <v>#N/A N/A</v>
        <stp/>
        <stp>BDH|7057972333101493895</stp>
        <tr r="W397" s="5"/>
        <tr r="U447" s="5"/>
        <tr r="T452" s="5"/>
        <tr r="V437" s="5"/>
        <tr r="S457" s="5"/>
      </tp>
      <tp t="s">
        <v>#N/A N/A</v>
        <stp/>
        <stp>BDH|5945109230554622760</stp>
        <tr r="W740" s="5"/>
      </tp>
      <tp t="s">
        <v>#N/A N/A</v>
        <stp/>
        <stp>BDH|9004203480764974376</stp>
        <tr r="AF337" s="5"/>
        <tr r="AE377" s="5"/>
        <tr r="AC392" s="5"/>
        <tr r="AD387" s="5"/>
        <tr r="AB397" s="5"/>
      </tp>
      <tp t="s">
        <v>#N/A N/A</v>
        <stp/>
        <stp>BDH|7834242070807579178</stp>
        <tr r="W661" s="5"/>
        <tr r="V701" s="5"/>
        <tr r="U711" s="5"/>
        <tr r="T716" s="5"/>
        <tr r="S721" s="5"/>
      </tp>
      <tp t="s">
        <v>#N/A N/A</v>
        <stp/>
        <stp>BDH|5326883575809319731</stp>
        <tr r="AD456" s="5"/>
        <tr r="AC461" s="5"/>
        <tr r="AE446" s="5"/>
        <tr r="AF406" s="5"/>
        <tr r="AB466" s="5"/>
      </tp>
      <tp t="s">
        <v>#N/A N/A</v>
        <stp/>
        <stp>BDH|3229198823254633000</stp>
        <tr r="U303" s="5"/>
        <tr r="T308" s="5"/>
        <tr r="W253" s="5"/>
        <tr r="V293" s="5"/>
        <tr r="S313" s="5"/>
      </tp>
      <tp t="s">
        <v>#N/A N/A</v>
        <stp/>
        <stp>BDH|7899680038471427720</stp>
        <tr r="T283" s="5"/>
        <tr r="V268" s="5"/>
        <tr r="U278" s="5"/>
        <tr r="W228" s="5"/>
        <tr r="S288" s="5"/>
      </tp>
      <tp t="s">
        <v>#N/A N/A</v>
        <stp/>
        <stp>BDH|3267644306568766984</stp>
        <tr r="AD700" s="5"/>
        <tr r="AE690" s="5"/>
        <tr r="AF650" s="5"/>
        <tr r="AC705" s="5"/>
        <tr r="AB710" s="5"/>
      </tp>
      <tp t="s">
        <v>#N/A N/A</v>
        <stp/>
        <stp>BDH|2233514943714684390</stp>
        <tr r="AD307" s="5"/>
        <tr r="AF257" s="5"/>
        <tr r="AC312" s="5"/>
        <tr r="AE297" s="5"/>
        <tr r="AB317" s="5"/>
      </tp>
      <tp t="s">
        <v>#N/A N/A</v>
        <stp/>
        <stp>BDH|5220763349826899494</stp>
        <tr r="AF217" s="5"/>
        <tr r="AD267" s="5"/>
        <tr r="AC272" s="5"/>
        <tr r="AE257" s="5"/>
        <tr r="AB277" s="5"/>
      </tp>
      <tp t="s">
        <v>#N/A N/A</v>
        <stp/>
        <stp>BDH|6564617376125915679</stp>
        <tr r="AC409" s="5"/>
        <tr r="AE394" s="5"/>
        <tr r="AF354" s="5"/>
        <tr r="AD404" s="5"/>
        <tr r="AB414" s="5"/>
      </tp>
      <tp t="s">
        <v>#N/A N/A</v>
        <stp/>
        <stp>BDH|1759912907425810958</stp>
        <tr r="AC402" s="5"/>
        <tr r="AE387" s="5"/>
        <tr r="AF347" s="5"/>
        <tr r="AD397" s="5"/>
        <tr r="AB407" s="5"/>
      </tp>
      <tp t="s">
        <v>#N/A N/A</v>
        <stp/>
        <stp>BDH|9039991940535743537</stp>
        <tr r="AF754" s="5"/>
      </tp>
      <tp t="s">
        <v>#N/A N/A</v>
        <stp/>
        <stp>BDH|1762513101922237286</stp>
        <tr r="AD236" s="5"/>
        <tr r="AE226" s="5"/>
        <tr r="AF186" s="5"/>
        <tr r="AC241" s="5"/>
        <tr r="AB246" s="5"/>
      </tp>
      <tp t="s">
        <v>#N/A N/A</v>
        <stp/>
        <stp>BDH|6255043869762515678</stp>
        <tr r="V609" s="5"/>
        <tr r="U619" s="5"/>
        <tr r="W569" s="5"/>
        <tr r="T624" s="5"/>
        <tr r="S629" s="5"/>
      </tp>
      <tp t="s">
        <v>#N/A N/A</v>
        <stp/>
        <stp>BDH|4144089637810408379</stp>
        <tr r="AF540" s="5"/>
        <tr r="AD590" s="5"/>
        <tr r="AE580" s="5"/>
        <tr r="AC595" s="5"/>
        <tr r="AB600" s="5"/>
      </tp>
      <tp t="s">
        <v>#N/A N/A</v>
        <stp/>
        <stp>BDH|4896556834046323089</stp>
        <tr r="AD160" s="5"/>
        <tr r="AC165" s="5"/>
        <tr r="AE150" s="5"/>
        <tr r="AF110" s="5"/>
        <tr r="AB170" s="5"/>
      </tp>
      <tp t="s">
        <v>#N/A N/A</v>
        <stp/>
        <stp>BDH|5850581557009219878</stp>
        <tr r="T255" s="5"/>
        <tr r="W200" s="5"/>
        <tr r="U250" s="5"/>
        <tr r="V240" s="5"/>
        <tr r="S260" s="5"/>
      </tp>
      <tp t="s">
        <v>#N/A N/A</v>
        <stp/>
        <stp>BDH|6411797839476280046</stp>
        <tr r="AF316" s="5"/>
        <tr r="AD366" s="5"/>
        <tr r="AE356" s="5"/>
        <tr r="AC371" s="5"/>
        <tr r="AB376" s="5"/>
      </tp>
      <tp t="s">
        <v>#N/A N/A</v>
        <stp/>
        <stp>BDH|9959564488392353276</stp>
        <tr r="U677" s="5"/>
        <tr r="W627" s="5"/>
        <tr r="T682" s="5"/>
        <tr r="V667" s="5"/>
        <tr r="S687" s="5"/>
      </tp>
      <tp t="s">
        <v>#N/A N/A</v>
        <stp/>
        <stp>BDH|3515254978261263397</stp>
        <tr r="U176" s="5"/>
        <tr r="V166" s="5"/>
        <tr r="T181" s="5"/>
        <tr r="W126" s="5"/>
        <tr r="S185" s="5"/>
      </tp>
      <tp t="s">
        <v>#N/A N/A</v>
        <stp/>
        <stp>BDH|6892194687012168942</stp>
        <tr r="AD425" s="5"/>
        <tr r="AF375" s="5"/>
        <tr r="AC430" s="5"/>
        <tr r="AE415" s="5"/>
        <tr r="AB435" s="5"/>
      </tp>
      <tp t="s">
        <v>#N/A N/A</v>
        <stp/>
        <stp>BDH|5163584671661985226</stp>
        <tr r="AC645" s="5"/>
        <tr r="AF590" s="5"/>
        <tr r="AE630" s="5"/>
        <tr r="AD640" s="5"/>
        <tr r="AB650" s="5"/>
      </tp>
      <tp t="s">
        <v>#N/A N/A</v>
        <stp/>
        <stp>BDH|6571962372355303921</stp>
        <tr r="T587" s="5"/>
        <tr r="U582" s="5"/>
        <tr r="V572" s="5"/>
        <tr r="W532" s="5"/>
        <tr r="S592" s="5"/>
      </tp>
      <tp t="s">
        <v>#N/A N/A</v>
        <stp/>
        <stp>BDH|2534473852036229128</stp>
        <tr r="AD118" s="5"/>
        <tr r="AC123" s="5"/>
        <tr r="AF68" s="5"/>
        <tr r="AE108" s="5"/>
        <tr r="AB128" s="5"/>
      </tp>
      <tp t="s">
        <v>#N/A N/A</v>
        <stp/>
        <stp>BDH|8746922464704577749</stp>
        <tr r="AC185" s="5"/>
        <tr r="AF131" s="5"/>
        <tr r="AD181" s="5"/>
        <tr r="AE171" s="5"/>
        <tr r="AB190" s="5"/>
      </tp>
      <tp t="s">
        <v>#N/A N/A</v>
        <stp/>
        <stp>BDH|5095376140627062171</stp>
        <tr r="V353" s="5"/>
        <tr r="U363" s="5"/>
        <tr r="W313" s="5"/>
        <tr r="T368" s="5"/>
        <tr r="S373" s="5"/>
      </tp>
      <tp t="s">
        <v>#N/A N/A</v>
        <stp/>
        <stp>BDH|3425352662015074723</stp>
        <tr r="AE578" s="5"/>
        <tr r="AC593" s="5"/>
        <tr r="AD588" s="5"/>
        <tr r="AF538" s="5"/>
        <tr r="AB598" s="5"/>
      </tp>
      <tp t="s">
        <v>#N/A N/A</v>
        <stp/>
        <stp>BDH|9531277192437914185</stp>
        <tr r="AC303" s="5"/>
        <tr r="AD298" s="5"/>
        <tr r="AF248" s="5"/>
        <tr r="AE288" s="5"/>
        <tr r="AB308" s="5"/>
      </tp>
      <tp t="s">
        <v>#N/A N/A</v>
        <stp/>
        <stp>BDH|6684780639890364651</stp>
        <tr r="AF142" s="5"/>
        <tr r="AC196" s="5"/>
        <tr r="AE182" s="5"/>
        <tr r="AD191" s="5"/>
        <tr r="AB201" s="5"/>
      </tp>
      <tp t="s">
        <v>#N/A N/A</v>
        <stp/>
        <stp>BDH|3606397179400552320</stp>
        <tr r="AF527" s="5"/>
        <tr r="AC582" s="5"/>
        <tr r="AD577" s="5"/>
        <tr r="AE567" s="5"/>
        <tr r="AB587" s="5"/>
      </tp>
      <tp t="s">
        <v>#N/A N/A</v>
        <stp/>
        <stp>BDH|6924541547443875038</stp>
        <tr r="AE353" s="5"/>
        <tr r="AD363" s="5"/>
        <tr r="AF313" s="5"/>
        <tr r="AC368" s="5"/>
        <tr r="AB373" s="5"/>
      </tp>
      <tp t="s">
        <v>#N/A N/A</v>
        <stp/>
        <stp>BDH|8983671368819771576</stp>
        <tr r="T365" s="5"/>
        <tr r="U360" s="5"/>
        <tr r="W310" s="5"/>
        <tr r="V350" s="5"/>
        <tr r="S370" s="5"/>
      </tp>
      <tp t="s">
        <v>#N/A N/A</v>
        <stp/>
        <stp>BDH|4425327321678209931</stp>
        <tr r="S23" s="5"/>
      </tp>
      <tp t="s">
        <v>#N/A N/A</v>
        <stp/>
        <stp>BDH|5633425649194237591</stp>
        <tr r="AD77" s="5"/>
        <tr r="AE67" s="5"/>
        <tr r="AC82" s="5"/>
        <tr r="AF27" s="5"/>
        <tr r="AB87" s="5"/>
      </tp>
      <tp t="s">
        <v>#N/A N/A</v>
        <stp/>
        <stp>BDH|7597067435197599752</stp>
        <tr r="AF38" s="5"/>
        <tr r="AC93" s="5"/>
        <tr r="AE78" s="5"/>
        <tr r="AD88" s="5"/>
        <tr r="AB98" s="5"/>
      </tp>
      <tp t="s">
        <v>#N/A N/A</v>
        <stp/>
        <stp>BDH|5815091947156736379</stp>
        <tr r="AF533" s="5"/>
        <tr r="AE573" s="5"/>
        <tr r="AD583" s="5"/>
        <tr r="AC588" s="5"/>
        <tr r="AB593" s="5"/>
      </tp>
      <tp t="s">
        <v>#N/A N/A</v>
        <stp/>
        <stp>BDH|8716478763758268665</stp>
        <tr r="U614" s="5"/>
        <tr r="W564" s="5"/>
        <tr r="V604" s="5"/>
        <tr r="T619" s="5"/>
        <tr r="S624" s="5"/>
      </tp>
      <tp t="s">
        <v>#N/A N/A</v>
        <stp/>
        <stp>BDH|1508352202010771629</stp>
        <tr r="U77" s="5"/>
        <tr r="V67" s="5"/>
        <tr r="T82" s="5"/>
        <tr r="W27" s="5"/>
        <tr r="S87" s="5"/>
      </tp>
      <tp t="s">
        <v>#N/A N/A</v>
        <stp/>
        <stp>BDH|3191011622884178148</stp>
        <tr r="AE201" s="5"/>
        <tr r="AD211" s="5"/>
        <tr r="AF162" s="5"/>
        <tr r="AC216" s="5"/>
        <tr r="AB221" s="5"/>
      </tp>
      <tp t="s">
        <v>#N/A N/A</v>
        <stp/>
        <stp>BDH|5414487781489845414</stp>
        <tr r="AC28" s="5"/>
        <tr r="AD23" s="5"/>
        <tr r="AB33" s="5"/>
      </tp>
      <tp t="s">
        <v>#N/A N/A</v>
        <stp/>
        <stp>BDH|4279378434880383063</stp>
        <tr r="W713" s="5"/>
        <tr r="U763" s="5"/>
        <tr r="T768" s="5"/>
        <tr r="V753" s="5"/>
      </tp>
      <tp t="s">
        <v>#N/A N/A</v>
        <stp/>
        <stp>BDH|7460758374117694479</stp>
        <tr r="AF348" s="5"/>
        <tr r="AE388" s="5"/>
        <tr r="AC403" s="5"/>
        <tr r="AD398" s="5"/>
        <tr r="AB408" s="5"/>
      </tp>
      <tp t="s">
        <v>#N/A N/A</v>
        <stp/>
        <stp>BDH|2698174125186552348</stp>
        <tr r="U235" s="5"/>
        <tr r="W185" s="5"/>
        <tr r="V225" s="5"/>
        <tr r="T240" s="5"/>
        <tr r="S245" s="5"/>
      </tp>
      <tp t="s">
        <v>#N/A N/A</v>
        <stp/>
        <stp>BDH|2734531100490106307</stp>
        <tr r="W252" s="5"/>
        <tr r="U302" s="5"/>
        <tr r="T307" s="5"/>
        <tr r="V292" s="5"/>
        <tr r="S312" s="5"/>
      </tp>
      <tp t="s">
        <v>#N/A N/A</v>
        <stp/>
        <stp>BDH|5366947525153572927</stp>
        <tr r="V767" s="5"/>
        <tr r="W727" s="5"/>
      </tp>
      <tp t="s">
        <v>#N/A N/A</v>
        <stp/>
        <stp>BDH|2316784300823898262</stp>
        <tr r="U365" s="5"/>
        <tr r="V355" s="5"/>
        <tr r="T370" s="5"/>
        <tr r="W315" s="5"/>
        <tr r="S375" s="5"/>
      </tp>
      <tp t="s">
        <v>#N/A N/A</v>
        <stp/>
        <stp>BDH|7983980562949695500</stp>
        <tr r="AF756" s="5"/>
      </tp>
      <tp t="s">
        <v>#N/A N/A</v>
        <stp/>
        <stp>BDH|2100624418710914178</stp>
        <tr r="U146" s="5"/>
        <tr r="V136" s="5"/>
        <tr r="W96" s="5"/>
        <tr r="T151" s="5"/>
        <tr r="S156" s="5"/>
      </tp>
      <tp t="s">
        <v>#N/A N/A</v>
        <stp/>
        <stp>BDH|6581696448419639974</stp>
        <tr r="AD245" s="5"/>
        <tr r="AE235" s="5"/>
        <tr r="AF195" s="5"/>
        <tr r="AC250" s="5"/>
        <tr r="AB255" s="5"/>
      </tp>
      <tp t="s">
        <v>#N/A N/A</v>
        <stp/>
        <stp>BDH|33780655599986272</stp>
        <tr r="V714" s="5"/>
        <tr r="W674" s="5"/>
        <tr r="U724" s="5"/>
        <tr r="T729" s="5"/>
        <tr r="S734" s="5"/>
      </tp>
      <tp t="s">
        <v>#N/A N/A</v>
        <stp/>
        <stp>BDH|3145098477225388467</stp>
        <tr r="W682" s="5"/>
        <tr r="T737" s="5"/>
        <tr r="U732" s="5"/>
        <tr r="V722" s="5"/>
        <tr r="S742" s="5"/>
      </tp>
      <tp t="s">
        <v>#N/A N/A</v>
        <stp/>
        <stp>BDH|8250887774077140556</stp>
        <tr r="AE497" s="5"/>
        <tr r="AC512" s="5"/>
        <tr r="AF457" s="5"/>
        <tr r="AD507" s="5"/>
        <tr r="AB517" s="5"/>
      </tp>
      <tp t="s">
        <v>#N/A N/A</v>
        <stp/>
        <stp>BDH|1879216642100503246</stp>
        <tr r="V492" s="5"/>
        <tr r="U502" s="5"/>
        <tr r="W452" s="5"/>
        <tr r="T507" s="5"/>
        <tr r="S512" s="5"/>
      </tp>
      <tp t="s">
        <v>#N/A N/A</v>
        <stp/>
        <stp>BDH|9701590102239483027</stp>
        <tr r="W53" s="5"/>
        <tr r="V93" s="5"/>
        <tr r="T108" s="5"/>
        <tr r="U103" s="5"/>
        <tr r="S113" s="5"/>
      </tp>
      <tp t="s">
        <v>#N/A N/A</v>
        <stp/>
        <stp>BDH|4292334448250558666</stp>
        <tr r="V426" s="5"/>
        <tr r="W386" s="5"/>
        <tr r="T441" s="5"/>
        <tr r="U436" s="5"/>
        <tr r="S446" s="5"/>
      </tp>
      <tp t="s">
        <v>#N/A N/A</v>
        <stp/>
        <stp>BDH|5448156123341892218</stp>
        <tr r="W454" s="5"/>
        <tr r="U504" s="5"/>
        <tr r="T509" s="5"/>
        <tr r="V494" s="5"/>
        <tr r="S514" s="5"/>
      </tp>
      <tp t="s">
        <v>#N/A N/A</v>
        <stp/>
        <stp>BDH|8328486396760788016</stp>
        <tr r="AD305" s="5"/>
        <tr r="AF255" s="5"/>
        <tr r="AE295" s="5"/>
        <tr r="AC310" s="5"/>
        <tr r="AB315" s="5"/>
      </tp>
      <tp t="s">
        <v>#N/A N/A</v>
        <stp/>
        <stp>BDH|8500257092151320794</stp>
        <tr r="AE326" s="5"/>
        <tr r="AD336" s="5"/>
        <tr r="AC341" s="5"/>
        <tr r="AF286" s="5"/>
        <tr r="AB346" s="5"/>
      </tp>
      <tp t="s">
        <v>#N/A N/A</v>
        <stp/>
        <stp>BDH|5176539297729523580</stp>
        <tr r="V38" s="5"/>
        <tr r="T53" s="5"/>
        <tr r="U48" s="5"/>
        <tr r="S58" s="5"/>
      </tp>
      <tp t="s">
        <v>#N/A N/A</v>
        <stp/>
        <stp>BDH|5657058232534028796</stp>
        <tr r="T713" s="5"/>
        <tr r="W658" s="5"/>
        <tr r="V698" s="5"/>
        <tr r="U708" s="5"/>
        <tr r="S718" s="5"/>
      </tp>
      <tp t="s">
        <v>#N/A N/A</v>
        <stp/>
        <stp>BDH|3424290485378918486</stp>
        <tr r="T142" s="5"/>
        <tr r="V127" s="5"/>
        <tr r="W87" s="5"/>
        <tr r="U137" s="5"/>
        <tr r="S147" s="5"/>
      </tp>
      <tp t="s">
        <v>#N/A N/A</v>
        <stp/>
        <stp>BDH|8561163658450066942</stp>
        <tr r="U218" s="5"/>
        <tr r="T223" s="5"/>
        <tr r="V208" s="5"/>
        <tr r="W169" s="5"/>
        <tr r="S228" s="5"/>
      </tp>
      <tp t="s">
        <v>#N/A N/A</v>
        <stp/>
        <stp>BDH|4690983492380099135</stp>
        <tr r="AE115" s="5"/>
        <tr r="AD125" s="5"/>
        <tr r="AF75" s="5"/>
        <tr r="AC130" s="5"/>
        <tr r="AB135" s="5"/>
      </tp>
      <tp t="s">
        <v>#N/A N/A</v>
        <stp/>
        <stp>BDH|3957072500163811591</stp>
        <tr r="AD146" s="5"/>
        <tr r="AE136" s="5"/>
        <tr r="AF96" s="5"/>
        <tr r="AC151" s="5"/>
        <tr r="AB156" s="5"/>
      </tp>
      <tp t="s">
        <v>#N/A N/A</v>
        <stp/>
        <stp>BDH|2981376457276429724</stp>
        <tr r="U338" s="5"/>
        <tr r="T343" s="5"/>
        <tr r="V328" s="5"/>
        <tr r="W288" s="5"/>
        <tr r="S348" s="5"/>
      </tp>
      <tp t="s">
        <v>#N/A N/A</v>
        <stp/>
        <stp>BDH|5011350200336975504</stp>
        <tr r="U234" s="5"/>
        <tr r="T239" s="5"/>
        <tr r="V224" s="5"/>
        <tr r="W184" s="5"/>
        <tr r="S244" s="5"/>
      </tp>
      <tp t="s">
        <v>#N/A N/A</v>
        <stp/>
        <stp>BDH|6584423538861144526</stp>
        <tr r="AE360" s="5"/>
        <tr r="AC375" s="5"/>
        <tr r="AF320" s="5"/>
        <tr r="AD370" s="5"/>
        <tr r="AB380" s="5"/>
      </tp>
      <tp t="s">
        <v>#N/A N/A</v>
        <stp/>
        <stp>BDH|3992843806118069677</stp>
        <tr r="U357" s="5"/>
        <tr r="W307" s="5"/>
        <tr r="T362" s="5"/>
        <tr r="V347" s="5"/>
        <tr r="S367" s="5"/>
      </tp>
      <tp t="s">
        <v>#N/A N/A</v>
        <stp/>
        <stp>BDH|3142441527861739190</stp>
        <tr r="W770" s="5"/>
      </tp>
      <tp t="s">
        <v>#N/A N/A</v>
        <stp/>
        <stp>BDH|2951413936239573963</stp>
        <tr r="W287" s="5"/>
        <tr r="T342" s="5"/>
        <tr r="U337" s="5"/>
        <tr r="V327" s="5"/>
        <tr r="S347" s="5"/>
      </tp>
      <tp t="s">
        <v>#N/A N/A</v>
        <stp/>
        <stp>BDH|5788502975826707487</stp>
        <tr r="AD357" s="5"/>
        <tr r="AF307" s="5"/>
        <tr r="AC362" s="5"/>
        <tr r="AE347" s="5"/>
        <tr r="AB367" s="5"/>
      </tp>
      <tp t="s">
        <v>#N/A N/A</v>
        <stp/>
        <stp>BDH|3481969172529301112</stp>
        <tr r="AF766" s="5"/>
      </tp>
      <tp t="s">
        <v>#N/A N/A</v>
        <stp/>
        <stp>BDH|1157616428945251584</stp>
        <tr r="W739" s="5"/>
      </tp>
      <tp t="s">
        <v>#N/A N/A</v>
        <stp/>
        <stp>BDH|6414797820500654698</stp>
        <tr r="AD689" s="5"/>
        <tr r="AC694" s="5"/>
        <tr r="AF639" s="5"/>
        <tr r="AE679" s="5"/>
        <tr r="AB699" s="5"/>
      </tp>
      <tp t="s">
        <v>#N/A N/A</v>
        <stp/>
        <stp>BDH|3879432299278685361</stp>
        <tr r="AC300" s="5"/>
        <tr r="AF245" s="5"/>
        <tr r="AE285" s="5"/>
        <tr r="AD295" s="5"/>
        <tr r="AB305" s="5"/>
      </tp>
      <tp t="s">
        <v>#N/A N/A</v>
        <stp/>
        <stp>BDH|6737116540505768338</stp>
        <tr r="AF454" s="5"/>
        <tr r="AD504" s="5"/>
        <tr r="AC509" s="5"/>
        <tr r="AE494" s="5"/>
        <tr r="AB514" s="5"/>
      </tp>
      <tp t="s">
        <v>#N/A N/A</v>
        <stp/>
        <stp>BDH|3489525572936311247</stp>
        <tr r="W344" s="5"/>
        <tr r="U394" s="5"/>
        <tr r="T399" s="5"/>
        <tr r="V384" s="5"/>
        <tr r="S404" s="5"/>
      </tp>
      <tp t="s">
        <v>#N/A N/A</v>
        <stp/>
        <stp>BDH|3273525455886234041</stp>
        <tr r="V434" s="5"/>
        <tr r="T449" s="5"/>
        <tr r="U444" s="5"/>
        <tr r="W394" s="5"/>
        <tr r="S454" s="5"/>
      </tp>
      <tp t="s">
        <v>#N/A N/A</v>
        <stp/>
        <stp>BDH|6532729225742140403</stp>
        <tr r="AC25" s="5"/>
        <tr r="AB30" s="5"/>
      </tp>
      <tp t="s">
        <v>#N/A N/A</v>
        <stp/>
        <stp>BDH|6532425481526626902</stp>
        <tr r="T323" s="5"/>
        <tr r="W268" s="5"/>
        <tr r="V308" s="5"/>
        <tr r="U318" s="5"/>
        <tr r="S328" s="5"/>
      </tp>
      <tp t="s">
        <v>#N/A N/A</v>
        <stp/>
        <stp>BDH|5478045001796568640</stp>
        <tr r="AD127" s="5"/>
        <tr r="AF77" s="5"/>
        <tr r="AC132" s="5"/>
        <tr r="AE117" s="5"/>
        <tr r="AB137" s="5"/>
      </tp>
      <tp t="s">
        <v>#N/A N/A</v>
        <stp/>
        <stp>BDH|1304592673086177081</stp>
        <tr r="AD93" s="5"/>
        <tr r="AE83" s="5"/>
        <tr r="AF43" s="5"/>
        <tr r="AC98" s="5"/>
        <tr r="AB103" s="5"/>
      </tp>
      <tp t="s">
        <v>#N/A N/A</v>
        <stp/>
        <stp>BDH|3150504320867598648</stp>
        <tr r="AF731" s="5"/>
        <tr r="AE771" s="5"/>
      </tp>
      <tp t="s">
        <v>#N/A N/A</v>
        <stp/>
        <stp>BDH|2169397141963004388</stp>
        <tr r="U198" s="5"/>
        <tr r="V188" s="5"/>
        <tr r="W149" s="5"/>
        <tr r="T203" s="5"/>
        <tr r="S208" s="5"/>
      </tp>
      <tp t="s">
        <v>#N/A N/A</v>
        <stp/>
        <stp>BDH|7515153107541457221</stp>
        <tr r="AE702" s="5"/>
        <tr r="AD712" s="5"/>
        <tr r="AC717" s="5"/>
        <tr r="AF662" s="5"/>
        <tr r="AB722" s="5"/>
      </tp>
      <tp t="s">
        <v>#N/A N/A</v>
        <stp/>
        <stp>BDH|5219422126150779607</stp>
        <tr r="AD599" s="5"/>
        <tr r="AC604" s="5"/>
        <tr r="AE589" s="5"/>
        <tr r="AF549" s="5"/>
        <tr r="AB609" s="5"/>
      </tp>
      <tp t="s">
        <v>#N/A N/A</v>
        <stp/>
        <stp>BDH|1974676969727174376</stp>
        <tr r="U520" s="5"/>
        <tr r="W470" s="5"/>
        <tr r="T525" s="5"/>
        <tr r="V510" s="5"/>
        <tr r="S530" s="5"/>
      </tp>
      <tp t="s">
        <v>#N/A N/A</v>
        <stp/>
        <stp>BDH|7163850400428033233</stp>
        <tr r="AE220" s="5"/>
        <tr r="AD230" s="5"/>
        <tr r="AF181" s="5"/>
        <tr r="AC235" s="5"/>
        <tr r="AB240" s="5"/>
      </tp>
      <tp t="s">
        <v>#N/A N/A</v>
        <stp/>
        <stp>BDH|2559961162469740112</stp>
        <tr r="T608" s="5"/>
        <tr r="V593" s="5"/>
        <tr r="W553" s="5"/>
        <tr r="U603" s="5"/>
        <tr r="S613" s="5"/>
      </tp>
      <tp t="s">
        <v>#N/A N/A</v>
        <stp/>
        <stp>BDH|9882078987104529093</stp>
        <tr r="AD121" s="5"/>
        <tr r="AE111" s="5"/>
        <tr r="AC126" s="5"/>
        <tr r="AF71" s="5"/>
        <tr r="AB131" s="5"/>
      </tp>
      <tp t="s">
        <v>#N/A N/A</v>
        <stp/>
        <stp>BDH|7777092547393900557</stp>
        <tr r="W430" s="5"/>
        <tr r="V470" s="5"/>
        <tr r="T485" s="5"/>
        <tr r="U480" s="5"/>
        <tr r="S490" s="5"/>
      </tp>
      <tp t="s">
        <v>#N/A N/A</v>
        <stp/>
        <stp>BDH|7730573417671247701</stp>
        <tr r="U290" s="5"/>
        <tr r="W240" s="5"/>
        <tr r="T295" s="5"/>
        <tr r="V280" s="5"/>
        <tr r="S300" s="5"/>
      </tp>
      <tp t="s">
        <v>#N/A N/A</v>
        <stp/>
        <stp>BDH|7058211654192552759</stp>
        <tr r="AC306" s="5"/>
        <tr r="AF251" s="5"/>
        <tr r="AE291" s="5"/>
        <tr r="AD301" s="5"/>
        <tr r="AB311" s="5"/>
      </tp>
      <tp t="s">
        <v>#N/A N/A</v>
        <stp/>
        <stp>BDH|24083464368741657</stp>
        <tr r="AC633" s="5"/>
        <tr r="AF578" s="5"/>
        <tr r="AD628" s="5"/>
        <tr r="AE618" s="5"/>
        <tr r="AB638" s="5"/>
      </tp>
      <tp t="s">
        <v>#N/A N/A</v>
        <stp/>
        <stp>BDH|98430455770783981</stp>
        <tr r="AC396" s="5"/>
        <tr r="AF341" s="5"/>
        <tr r="AE381" s="5"/>
        <tr r="AD391" s="5"/>
        <tr r="AB401" s="5"/>
      </tp>
      <tp t="s">
        <v>#N/A N/A</v>
        <stp/>
        <stp>BDH|8889200545380384847</stp>
        <tr r="AF34" s="5"/>
        <tr r="AE74" s="5"/>
        <tr r="AD84" s="5"/>
        <tr r="AC89" s="5"/>
        <tr r="AB94" s="5"/>
      </tp>
      <tp t="s">
        <v>#N/A N/A</v>
        <stp/>
        <stp>BDH|3172108539415778256</stp>
        <tr r="AE461" s="5"/>
        <tr r="AC476" s="5"/>
        <tr r="AD471" s="5"/>
        <tr r="AF421" s="5"/>
        <tr r="AB481" s="5"/>
      </tp>
      <tp t="s">
        <v>#N/A N/A</v>
        <stp/>
        <stp>BDH|5027627027483960468</stp>
        <tr r="AC255" s="5"/>
        <tr r="AF200" s="5"/>
        <tr r="AD250" s="5"/>
        <tr r="AE240" s="5"/>
        <tr r="AB260" s="5"/>
      </tp>
      <tp t="s">
        <v>#N/A N/A</v>
        <stp/>
        <stp>BDH|5966537922400358401</stp>
        <tr r="T537" s="5"/>
        <tr r="V522" s="5"/>
        <tr r="W482" s="5"/>
        <tr r="U532" s="5"/>
        <tr r="S542" s="5"/>
      </tp>
      <tp t="s">
        <v>#N/A N/A</v>
        <stp/>
        <stp>BDH|2276677922638954853</stp>
        <tr r="V34" s="5"/>
        <tr r="U44" s="5"/>
        <tr r="T49" s="5"/>
        <tr r="S54" s="5"/>
      </tp>
      <tp t="s">
        <v>#N/A N/A</v>
        <stp/>
        <stp>BDH|7558989861407699919</stp>
        <tr r="AF596" s="5"/>
        <tr r="AE636" s="5"/>
        <tr r="AD646" s="5"/>
        <tr r="AC651" s="5"/>
        <tr r="AB656" s="5"/>
      </tp>
      <tp t="s">
        <v>#N/A N/A</v>
        <stp/>
        <stp>BDH|5980463354477252518</stp>
        <tr r="T52" s="5"/>
        <tr r="V37" s="5"/>
        <tr r="U47" s="5"/>
        <tr r="S57" s="5"/>
      </tp>
      <tp t="s">
        <v>#N/A N/A</v>
        <stp/>
        <stp>BDH|9604227833088701697</stp>
        <tr r="AF431" s="5"/>
        <tr r="AD481" s="5"/>
        <tr r="AE471" s="5"/>
        <tr r="AC486" s="5"/>
        <tr r="AB491" s="5"/>
      </tp>
      <tp t="s">
        <v>#N/A N/A</v>
        <stp/>
        <stp>BDH|6053045670355837252</stp>
        <tr r="W303" s="5"/>
        <tr r="U353" s="5"/>
        <tr r="V343" s="5"/>
        <tr r="T358" s="5"/>
        <tr r="S363" s="5"/>
      </tp>
      <tp t="s">
        <v>#N/A N/A</v>
        <stp/>
        <stp>BDH|7683681774590389000</stp>
        <tr r="U399" s="5"/>
        <tr r="T404" s="5"/>
        <tr r="W349" s="5"/>
        <tr r="V389" s="5"/>
        <tr r="S409" s="5"/>
      </tp>
      <tp t="s">
        <v>#N/A N/A</v>
        <stp/>
        <stp>BDH|1816418254373086544</stp>
        <tr r="AD545" s="5"/>
        <tr r="AF495" s="5"/>
        <tr r="AE535" s="5"/>
        <tr r="AC550" s="5"/>
        <tr r="AB555" s="5"/>
      </tp>
      <tp t="s">
        <v>#N/A N/A</v>
        <stp/>
        <stp>BDH|1734771469322051471</stp>
        <tr r="W385" s="5"/>
        <tr r="V425" s="5"/>
        <tr r="T440" s="5"/>
        <tr r="U435" s="5"/>
        <tr r="S445" s="5"/>
      </tp>
      <tp t="s">
        <v>#N/A N/A</v>
        <stp/>
        <stp>BDH|4904053802042308037</stp>
        <tr r="AC249" s="5"/>
        <tr r="AE234" s="5"/>
        <tr r="AF194" s="5"/>
        <tr r="AD244" s="5"/>
        <tr r="AB254" s="5"/>
      </tp>
      <tp t="s">
        <v>#N/A N/A</v>
        <stp/>
        <stp>BDH|2463963498841026548</stp>
        <tr r="V452" s="5"/>
        <tr r="T467" s="5"/>
        <tr r="W412" s="5"/>
        <tr r="U462" s="5"/>
        <tr r="S472" s="5"/>
      </tp>
      <tp t="s">
        <v>#N/A N/A</v>
        <stp/>
        <stp>BDH|8987944662856293734</stp>
        <tr r="AD26" s="5"/>
        <tr r="AC31" s="5"/>
        <tr r="AB36" s="5"/>
      </tp>
      <tp t="s">
        <v>#N/A N/A</v>
        <stp/>
        <stp>BDH|3817368384016282869</stp>
        <tr r="U52" s="5"/>
        <tr r="T57" s="5"/>
        <tr r="V42" s="5"/>
        <tr r="S62" s="5"/>
      </tp>
      <tp t="s">
        <v>#N/A N/A</v>
        <stp/>
        <stp>BDH|6894781968909496824</stp>
        <tr r="AC572" s="5"/>
        <tr r="AF517" s="5"/>
        <tr r="AD567" s="5"/>
        <tr r="AE557" s="5"/>
        <tr r="AB577" s="5"/>
      </tp>
      <tp t="s">
        <v>#N/A N/A</v>
        <stp/>
        <stp>BDH|5672011378837144318</stp>
        <tr r="V45" s="5"/>
        <tr r="T60" s="5"/>
        <tr r="U55" s="5"/>
        <tr r="S65" s="5"/>
      </tp>
      <tp t="s">
        <v>#N/A N/A</v>
        <stp/>
        <stp>BDH|4261295826527533577</stp>
        <tr r="AD222" s="5"/>
        <tr r="AF173" s="5"/>
        <tr r="AE212" s="5"/>
        <tr r="AC227" s="5"/>
        <tr r="AB232" s="5"/>
      </tp>
      <tp t="s">
        <v>#N/A N/A</v>
        <stp/>
        <stp>BDH|4464161429205614420</stp>
        <tr r="AF152" s="5"/>
        <tr r="AE191" s="5"/>
        <tr r="AD201" s="5"/>
        <tr r="AC206" s="5"/>
        <tr r="AB211" s="5"/>
      </tp>
      <tp t="s">
        <v>#N/A N/A</v>
        <stp/>
        <stp>BDH|3884786769650414425</stp>
        <tr r="AC516" s="5"/>
        <tr r="AE501" s="5"/>
        <tr r="AD511" s="5"/>
        <tr r="AF461" s="5"/>
        <tr r="AB521" s="5"/>
      </tp>
      <tp t="s">
        <v>#N/A N/A</v>
        <stp/>
        <stp>BDH|5761544138410701538</stp>
        <tr r="AC46" s="5"/>
        <tr r="AE31" s="5"/>
        <tr r="AD41" s="5"/>
        <tr r="AB51" s="5"/>
      </tp>
      <tp t="s">
        <v>#N/A N/A</v>
        <stp/>
        <stp>BDH|8336353439486582873</stp>
        <tr r="W440" s="5"/>
        <tr r="T495" s="5"/>
        <tr r="U490" s="5"/>
        <tr r="V480" s="5"/>
        <tr r="S500" s="5"/>
      </tp>
      <tp t="s">
        <v>#N/A N/A</v>
        <stp/>
        <stp>BDH|7447214152741194744</stp>
        <tr r="AD256" s="5"/>
        <tr r="AE246" s="5"/>
        <tr r="AC261" s="5"/>
        <tr r="AF206" s="5"/>
        <tr r="AB266" s="5"/>
      </tp>
      <tp t="s">
        <v>#N/A N/A</v>
        <stp/>
        <stp>BDH|5524400931947479323</stp>
        <tr r="AD182" s="5"/>
        <tr r="AC186" s="5"/>
        <tr r="AF132" s="5"/>
        <tr r="AE172" s="5"/>
        <tr r="AB191" s="5"/>
      </tp>
      <tp t="s">
        <v>#N/A N/A</v>
        <stp/>
        <stp>BDH|8850596371065013937</stp>
        <tr r="AD399" s="5"/>
        <tr r="AC404" s="5"/>
        <tr r="AF349" s="5"/>
        <tr r="AE389" s="5"/>
        <tr r="AB409" s="5"/>
      </tp>
      <tp t="s">
        <v>#N/A N/A</v>
        <stp/>
        <stp>BDH|1062476575561487554</stp>
        <tr r="AC40" s="5"/>
        <tr r="AD35" s="5"/>
        <tr r="AE25" s="5"/>
        <tr r="AB45" s="5"/>
      </tp>
      <tp t="s">
        <v>#N/A N/A</v>
        <stp/>
        <stp>BDH|4407223776352111515</stp>
        <tr r="T715" s="5"/>
        <tr r="U710" s="5"/>
        <tr r="V700" s="5"/>
        <tr r="W660" s="5"/>
        <tr r="S720" s="5"/>
      </tp>
      <tp t="s">
        <v>#N/A N/A</v>
        <stp/>
        <stp>BDH|9486260633816950883</stp>
        <tr r="AC372" s="5"/>
        <tr r="AF317" s="5"/>
        <tr r="AE357" s="5"/>
        <tr r="AD367" s="5"/>
        <tr r="AB377" s="5"/>
      </tp>
      <tp t="s">
        <v>#N/A N/A</v>
        <stp/>
        <stp>BDH|7103827274957002974</stp>
        <tr r="W760" s="5"/>
      </tp>
      <tp t="s">
        <v>#N/A N/A</v>
        <stp/>
        <stp>BDH|1070377250141150069</stp>
        <tr r="U424" s="5"/>
        <tr r="V414" s="5"/>
        <tr r="T429" s="5"/>
        <tr r="W374" s="5"/>
        <tr r="S434" s="5"/>
      </tp>
      <tp t="s">
        <v>#N/A N/A</v>
        <stp/>
        <stp>BDH|4511252776366672116</stp>
        <tr r="W562" s="5"/>
        <tr r="U612" s="5"/>
        <tr r="V602" s="5"/>
        <tr r="T617" s="5"/>
        <tr r="S622" s="5"/>
      </tp>
      <tp t="s">
        <v>#N/A N/A</v>
        <stp/>
        <stp>BDH|3411329978620843179</stp>
        <tr r="AF399" s="5"/>
        <tr r="AE439" s="5"/>
        <tr r="AC454" s="5"/>
        <tr r="AD449" s="5"/>
        <tr r="AB459" s="5"/>
      </tp>
      <tp t="s">
        <v>#N/A N/A</v>
        <stp/>
        <stp>BDH|6901082898351070883</stp>
        <tr r="U652" s="5"/>
        <tr r="W602" s="5"/>
        <tr r="T657" s="5"/>
        <tr r="V642" s="5"/>
        <tr r="S662" s="5"/>
      </tp>
      <tp t="s">
        <v>#N/A N/A</v>
        <stp/>
        <stp>BDH|1381872280446482111</stp>
        <tr r="AF265" s="5"/>
        <tr r="AD315" s="5"/>
        <tr r="AE305" s="5"/>
        <tr r="AC320" s="5"/>
        <tr r="AB325" s="5"/>
      </tp>
      <tp t="s">
        <v>#N/A N/A</v>
        <stp/>
        <stp>BDH|6164178903580242168</stp>
        <tr r="AD176" s="5"/>
        <tr r="AE166" s="5"/>
        <tr r="AC181" s="5"/>
        <tr r="AF126" s="5"/>
        <tr r="AB185" s="5"/>
      </tp>
      <tp t="s">
        <v>#N/A N/A</v>
        <stp/>
        <stp>BDH|5708290964565331289</stp>
        <tr r="V697" s="5"/>
        <tr r="W657" s="5"/>
        <tr r="U707" s="5"/>
        <tr r="T712" s="5"/>
        <tr r="S717" s="5"/>
      </tp>
      <tp t="s">
        <v>#N/A N/A</v>
        <stp/>
        <stp>BDH|2455511019459806921</stp>
        <tr r="AF576" s="5"/>
        <tr r="AE616" s="5"/>
        <tr r="AD626" s="5"/>
        <tr r="AC631" s="5"/>
        <tr r="AB636" s="5"/>
      </tp>
      <tp t="s">
        <v>#N/A N/A</v>
        <stp/>
        <stp>BDH|3604755364742922682</stp>
        <tr r="AE163" s="5"/>
        <tr r="AF123" s="5"/>
        <tr r="AD173" s="5"/>
        <tr r="AC178" s="5"/>
      </tp>
      <tp t="s">
        <v>#N/A N/A</v>
        <stp/>
        <stp>BDH|7505062042423411632</stp>
        <tr r="W24" s="5"/>
        <tr r="U74" s="5"/>
        <tr r="T79" s="5"/>
        <tr r="V64" s="5"/>
        <tr r="S84" s="5"/>
      </tp>
      <tp t="s">
        <v>#N/A N/A</v>
        <stp/>
        <stp>BDH|5462664452941193174</stp>
        <tr r="U93" s="5"/>
        <tr r="V83" s="5"/>
        <tr r="W43" s="5"/>
        <tr r="T98" s="5"/>
        <tr r="S103" s="5"/>
      </tp>
      <tp t="s">
        <v>#N/A N/A</v>
        <stp/>
        <stp>BDH|7202408876457645543</stp>
        <tr r="AD442" s="5"/>
        <tr r="AE432" s="5"/>
        <tr r="AC447" s="5"/>
        <tr r="AF392" s="5"/>
        <tr r="AB452" s="5"/>
      </tp>
      <tp t="s">
        <v>#N/A N/A</v>
        <stp/>
        <stp>BDH|8392155603789142623</stp>
        <tr r="V562" s="5"/>
        <tr r="W522" s="5"/>
        <tr r="T577" s="5"/>
        <tr r="U572" s="5"/>
        <tr r="S582" s="5"/>
      </tp>
      <tp t="s">
        <v>#N/A N/A</v>
        <stp/>
        <stp>BDH|5015610872344283674</stp>
        <tr r="AC598" s="5"/>
        <tr r="AD593" s="5"/>
        <tr r="AF543" s="5"/>
        <tr r="AE583" s="5"/>
        <tr r="AB603" s="5"/>
      </tp>
      <tp t="s">
        <v>#N/A N/A</v>
        <stp/>
        <stp>BDH|2201618922818121877</stp>
        <tr r="AC769" s="5"/>
        <tr r="AF714" s="5"/>
        <tr r="AD764" s="5"/>
        <tr r="AE754" s="5"/>
      </tp>
      <tp t="s">
        <v>#N/A N/A</v>
        <stp/>
        <stp>BDH|6101955146878276570</stp>
        <tr r="W528" s="5"/>
        <tr r="U578" s="5"/>
        <tr r="V568" s="5"/>
        <tr r="T583" s="5"/>
        <tr r="S588" s="5"/>
      </tp>
      <tp t="s">
        <v>#N/A N/A</v>
        <stp/>
        <stp>BDH|1354902095843751467</stp>
        <tr r="W213" s="5"/>
        <tr r="V253" s="5"/>
        <tr r="T268" s="5"/>
        <tr r="U263" s="5"/>
        <tr r="S273" s="5"/>
      </tp>
      <tp t="s">
        <v>#N/A N/A</v>
        <stp/>
        <stp>BDH|7070062117533168378</stp>
        <tr r="W177" s="5"/>
        <tr r="U226" s="5"/>
        <tr r="T231" s="5"/>
        <tr r="V216" s="5"/>
        <tr r="S236" s="5"/>
      </tp>
      <tp t="s">
        <v>#N/A N/A</v>
        <stp/>
        <stp>BDH|5651942596067023404</stp>
        <tr r="W122" s="5"/>
        <tr r="U172" s="5"/>
        <tr r="T177" s="5"/>
        <tr r="V162" s="5"/>
        <tr r="S182" s="5"/>
      </tp>
      <tp t="s">
        <v>#N/A N/A</v>
        <stp/>
        <stp>BDH|4179213675712854596</stp>
        <tr r="W34" s="5"/>
        <tr r="V74" s="5"/>
        <tr r="U84" s="5"/>
        <tr r="T89" s="5"/>
        <tr r="S94" s="5"/>
      </tp>
      <tp t="s">
        <v>#N/A N/A</v>
        <stp/>
        <stp>BDH|5563809072969036532</stp>
        <tr r="AE53" s="5"/>
        <tr r="AD63" s="5"/>
        <tr r="AC68" s="5"/>
        <tr r="AB73" s="5"/>
      </tp>
      <tp t="s">
        <v>#N/A N/A</v>
        <stp/>
        <stp>BDH|1533719660626731076</stp>
        <tr r="AC144" s="5"/>
        <tr r="AE129" s="5"/>
        <tr r="AD139" s="5"/>
        <tr r="AF89" s="5"/>
        <tr r="AB149" s="5"/>
      </tp>
      <tp t="s">
        <v>#N/A N/A</v>
        <stp/>
        <stp>BDH|7934953330178896301</stp>
        <tr r="V369" s="5"/>
        <tr r="T384" s="5"/>
        <tr r="U379" s="5"/>
        <tr r="W329" s="5"/>
        <tr r="S389" s="5"/>
      </tp>
      <tp t="s">
        <v>#N/A N/A</v>
        <stp/>
        <stp>BDH|4026950381596073508</stp>
        <tr r="V553" s="5"/>
        <tr r="W513" s="5"/>
        <tr r="T568" s="5"/>
        <tr r="U563" s="5"/>
        <tr r="S573" s="5"/>
      </tp>
      <tp t="s">
        <v>#N/A N/A</v>
        <stp/>
        <stp>BDH|7632615841930590367</stp>
        <tr r="W747" s="5"/>
      </tp>
      <tp t="s">
        <v>#N/A N/A</v>
        <stp/>
        <stp>BDH|9582249699065458195</stp>
        <tr r="AF39" s="5"/>
        <tr r="AE79" s="5"/>
        <tr r="AC94" s="5"/>
        <tr r="AD89" s="5"/>
        <tr r="AB99" s="5"/>
      </tp>
      <tp t="s">
        <v>#N/A N/A</v>
        <stp/>
        <stp>BDH|7422440185384005902</stp>
        <tr r="AD586" s="5"/>
        <tr r="AC591" s="5"/>
        <tr r="AF536" s="5"/>
        <tr r="AE576" s="5"/>
        <tr r="AB596" s="5"/>
      </tp>
      <tp t="s">
        <v>#N/A N/A</v>
        <stp/>
        <stp>BDH|8367564257607352948</stp>
        <tr r="AF54" s="5"/>
        <tr r="AD104" s="5"/>
        <tr r="AC109" s="5"/>
        <tr r="AE94" s="5"/>
        <tr r="AB114" s="5"/>
      </tp>
      <tp t="s">
        <v>#N/A N/A</v>
        <stp/>
        <stp>BDH|8505832168065997520</stp>
        <tr r="AC691" s="5"/>
        <tr r="AF636" s="5"/>
        <tr r="AD686" s="5"/>
        <tr r="AE676" s="5"/>
        <tr r="AB696" s="5"/>
      </tp>
      <tp t="s">
        <v>#N/A N/A</v>
        <stp/>
        <stp>BDH|4551144698922478882</stp>
        <tr r="AD303" s="5"/>
        <tr r="AC308" s="5"/>
        <tr r="AF253" s="5"/>
        <tr r="AE293" s="5"/>
        <tr r="AB313" s="5"/>
      </tp>
      <tp t="s">
        <v>#N/A N/A</v>
        <stp/>
        <stp>BDH|3475099191628089575</stp>
        <tr r="AF85" s="5"/>
        <tr r="AE125" s="5"/>
        <tr r="AD135" s="5"/>
        <tr r="AC140" s="5"/>
        <tr r="AB145" s="5"/>
      </tp>
      <tp t="s">
        <v>#N/A N/A</v>
        <stp/>
        <stp>BDH|6923855540509689411</stp>
        <tr r="U432" s="5"/>
        <tr r="V422" s="5"/>
        <tr r="T437" s="5"/>
        <tr r="W382" s="5"/>
        <tr r="S442" s="5"/>
      </tp>
      <tp t="s">
        <v>#N/A N/A</v>
        <stp/>
        <stp>BDH|9848534783984644753</stp>
        <tr r="AF771" s="5"/>
      </tp>
      <tp t="s">
        <v>#N/A N/A</v>
        <stp/>
        <stp>BDH|6672111236790174380</stp>
        <tr r="AD768" s="5"/>
        <tr r="AF718" s="5"/>
        <tr r="AE758" s="5"/>
      </tp>
      <tp t="s">
        <v>#N/A N/A</v>
        <stp/>
        <stp>BDH|4489454678291244130</stp>
        <tr r="AE554" s="5"/>
        <tr r="AF514" s="5"/>
        <tr r="AD564" s="5"/>
        <tr r="AC569" s="5"/>
        <tr r="AB574" s="5"/>
      </tp>
      <tp t="s">
        <v>#N/A N/A</v>
        <stp/>
        <stp>BDH|4819113215454573709</stp>
        <tr r="U69" s="5"/>
        <tr r="T74" s="5"/>
        <tr r="V59" s="5"/>
        <tr r="S79" s="5"/>
      </tp>
      <tp t="s">
        <v>#N/A N/A</v>
        <stp/>
        <stp>BDH|3914733025580387150</stp>
        <tr r="AF36" s="5"/>
        <tr r="AE76" s="5"/>
        <tr r="AD86" s="5"/>
        <tr r="AC91" s="5"/>
        <tr r="AB96" s="5"/>
      </tp>
      <tp t="s">
        <v>#N/A N/A</v>
        <stp/>
        <stp>BDH|6041575656674939564</stp>
        <tr r="T105" s="5"/>
        <tr r="V90" s="5"/>
        <tr r="W50" s="5"/>
        <tr r="U100" s="5"/>
        <tr r="S110" s="5"/>
      </tp>
      <tp t="s">
        <v>#N/A N/A</v>
        <stp/>
        <stp>BDH|1670104669424469552</stp>
        <tr r="AE369" s="5"/>
        <tr r="AC384" s="5"/>
        <tr r="AD379" s="5"/>
        <tr r="AF329" s="5"/>
        <tr r="AB389" s="5"/>
      </tp>
      <tp t="s">
        <v>#N/A N/A</v>
        <stp/>
        <stp>BDH|5935827377118720550</stp>
        <tr r="W28" s="5"/>
        <tr r="V68" s="5"/>
        <tr r="U78" s="5"/>
        <tr r="T83" s="5"/>
        <tr r="S88" s="5"/>
      </tp>
      <tp t="s">
        <v>#N/A N/A</v>
        <stp/>
        <stp>BDH|9115768285929404888</stp>
        <tr r="AD157" s="5"/>
        <tr r="AE147" s="5"/>
        <tr r="AC162" s="5"/>
        <tr r="AF107" s="5"/>
        <tr r="AB167" s="5"/>
      </tp>
      <tp t="s">
        <v>#N/A N/A</v>
        <stp/>
        <stp>BDH|7137829188242115245</stp>
        <tr r="W603" s="5"/>
        <tr r="U653" s="5"/>
        <tr r="V643" s="5"/>
        <tr r="T658" s="5"/>
        <tr r="S663" s="5"/>
      </tp>
      <tp t="s">
        <v>#N/A N/A</v>
        <stp/>
        <stp>BDH|5741558149966640523</stp>
        <tr r="AD704" s="5"/>
        <tr r="AE694" s="5"/>
        <tr r="AC709" s="5"/>
        <tr r="AF654" s="5"/>
        <tr r="AB714" s="5"/>
      </tp>
      <tp t="s">
        <v>#N/A N/A</v>
        <stp/>
        <stp>BDH|9961867970843648268</stp>
        <tr r="T411" s="5"/>
        <tr r="V396" s="5"/>
        <tr r="U406" s="5"/>
        <tr r="W356" s="5"/>
        <tr r="S416" s="5"/>
      </tp>
      <tp t="s">
        <v>#N/A N/A</v>
        <stp/>
        <stp>BDH|1874227720304634237</stp>
        <tr r="T298" s="5"/>
        <tr r="V283" s="5"/>
        <tr r="W243" s="5"/>
        <tr r="U293" s="5"/>
        <tr r="S303" s="5"/>
      </tp>
      <tp t="s">
        <v>#N/A N/A</v>
        <stp/>
        <stp>BDH|6275811396058849825</stp>
        <tr r="AD91" s="5"/>
        <tr r="AF41" s="5"/>
        <tr r="AC96" s="5"/>
        <tr r="AE81" s="5"/>
        <tr r="AB101" s="5"/>
      </tp>
      <tp t="s">
        <v>#N/A N/A</v>
        <stp/>
        <stp>BDH|6622757012320684785</stp>
        <tr r="AE175" s="5"/>
        <tr r="AF135" s="5"/>
        <tr r="AD184" s="5"/>
        <tr r="AC189" s="5"/>
        <tr r="AB194" s="5"/>
      </tp>
      <tp t="s">
        <v>#N/A N/A</v>
        <stp/>
        <stp>BDH|6058838299910097052</stp>
        <tr r="AC462" s="5"/>
        <tr r="AE447" s="5"/>
        <tr r="AF407" s="5"/>
        <tr r="AD457" s="5"/>
        <tr r="AB467" s="5"/>
      </tp>
      <tp t="s">
        <v>#N/A N/A</v>
        <stp/>
        <stp>BDH|7241257000145276794</stp>
        <tr r="AE54" s="5"/>
        <tr r="AC69" s="5"/>
        <tr r="AD64" s="5"/>
        <tr r="AB74" s="5"/>
      </tp>
      <tp t="s">
        <v>#N/A N/A</v>
        <stp/>
        <stp>BDH|4035908616038299380</stp>
        <tr r="AD239" s="5"/>
        <tr r="AE229" s="5"/>
        <tr r="AC244" s="5"/>
        <tr r="AF189" s="5"/>
        <tr r="AB249" s="5"/>
      </tp>
      <tp t="s">
        <v>#N/A N/A</v>
        <stp/>
        <stp>BDH|6158739628057389353</stp>
        <tr r="AC22" s="5"/>
        <tr r="AB27" s="5"/>
      </tp>
      <tp t="s">
        <v>#N/A N/A</v>
        <stp/>
        <stp>BDH|1292783655102685655</stp>
        <tr r="AC385" s="5"/>
        <tr r="AD380" s="5"/>
        <tr r="AE370" s="5"/>
        <tr r="AF330" s="5"/>
        <tr r="AB390" s="5"/>
      </tp>
      <tp t="s">
        <v>#N/A N/A</v>
        <stp/>
        <stp>BDH|4861206419597849740</stp>
        <tr r="U508" s="5"/>
        <tr r="T513" s="5"/>
        <tr r="V498" s="5"/>
        <tr r="W458" s="5"/>
        <tr r="S518" s="5"/>
      </tp>
      <tp t="s">
        <v>#N/A N/A</v>
        <stp/>
        <stp>BDH|4260740358355799449</stp>
        <tr r="AD445" s="5"/>
        <tr r="AE435" s="5"/>
        <tr r="AC450" s="5"/>
        <tr r="AF395" s="5"/>
        <tr r="AB455" s="5"/>
      </tp>
      <tp t="s">
        <v>#N/A N/A</v>
        <stp/>
        <stp>BDH|1243476098472938993</stp>
        <tr r="U401" s="5"/>
        <tr r="T406" s="5"/>
        <tr r="V391" s="5"/>
        <tr r="W351" s="5"/>
        <tr r="S411" s="5"/>
      </tp>
      <tp t="s">
        <v>#N/A N/A</v>
        <stp/>
        <stp>BDH|5285776473675364787</stp>
        <tr r="T511" s="5"/>
        <tr r="W456" s="5"/>
        <tr r="U506" s="5"/>
        <tr r="V496" s="5"/>
        <tr r="S516" s="5"/>
      </tp>
      <tp t="s">
        <v>#N/A N/A</v>
        <stp/>
        <stp>BDH|1356789477926974088</stp>
        <tr r="AD513" s="5"/>
        <tr r="AF463" s="5"/>
        <tr r="AC518" s="5"/>
        <tr r="AE503" s="5"/>
        <tr r="AB523" s="5"/>
      </tp>
      <tp t="s">
        <v>#N/A N/A</v>
        <stp/>
        <stp>BDH|6891209340601828627</stp>
        <tr r="AF755" s="5"/>
      </tp>
      <tp t="s">
        <v>#N/A N/A</v>
        <stp/>
        <stp>BDH|4747335708222979272</stp>
        <tr r="AC115" s="5"/>
        <tr r="AF60" s="5"/>
        <tr r="AD110" s="5"/>
        <tr r="AE100" s="5"/>
        <tr r="AB120" s="5"/>
      </tp>
      <tp t="s">
        <v>#N/A N/A</v>
        <stp/>
        <stp>BDH|1027802378131355899</stp>
        <tr r="W491" s="5"/>
        <tr r="V531" s="5"/>
        <tr r="T546" s="5"/>
        <tr r="U541" s="5"/>
        <tr r="S551" s="5"/>
      </tp>
      <tp t="s">
        <v>#N/A N/A</v>
        <stp/>
        <stp>BDH|4143109737976145746</stp>
        <tr r="V633" s="5"/>
        <tr r="W593" s="5"/>
        <tr r="U643" s="5"/>
        <tr r="T648" s="5"/>
        <tr r="S653" s="5"/>
      </tp>
      <tp t="s">
        <v>#N/A N/A</v>
        <stp/>
        <stp>BDH|6199494660261946223</stp>
        <tr r="W47" s="5"/>
        <tr r="T102" s="5"/>
        <tr r="V87" s="5"/>
        <tr r="U97" s="5"/>
        <tr r="S107" s="5"/>
      </tp>
      <tp t="s">
        <v>#N/A N/A</v>
        <stp/>
        <stp>BDH|4522621446787470652</stp>
        <tr r="AF700" s="5"/>
        <tr r="AD750" s="5"/>
        <tr r="AE740" s="5"/>
        <tr r="AC755" s="5"/>
        <tr r="AB760" s="5"/>
      </tp>
      <tp t="s">
        <v>#N/A N/A</v>
        <stp/>
        <stp>BDH|9325389247389909056</stp>
        <tr r="U559" s="5"/>
        <tr r="W509" s="5"/>
        <tr r="T564" s="5"/>
        <tr r="V549" s="5"/>
        <tr r="S569" s="5"/>
      </tp>
      <tp t="s">
        <v>#N/A N/A</v>
        <stp/>
        <stp>BDH|9622064001406160816</stp>
        <tr r="AF679" s="5"/>
        <tr r="AC734" s="5"/>
        <tr r="AD729" s="5"/>
        <tr r="AE719" s="5"/>
        <tr r="AB739" s="5"/>
      </tp>
      <tp t="s">
        <v>#N/A N/A</v>
        <stp/>
        <stp>BDH|4246662070624518603</stp>
        <tr r="V95" s="5"/>
        <tr r="U105" s="5"/>
        <tr r="T110" s="5"/>
        <tr r="W55" s="5"/>
        <tr r="S115" s="5"/>
      </tp>
      <tp t="s">
        <v>#N/A N/A</v>
        <stp/>
        <stp>BDH|5027565531127269345</stp>
        <tr r="T459" s="5"/>
        <tr r="U454" s="5"/>
        <tr r="W404" s="5"/>
        <tr r="V444" s="5"/>
        <tr r="S464" s="5"/>
      </tp>
      <tp t="s">
        <v>#N/A N/A</v>
        <stp/>
        <stp>BDH|5009099488783727977</stp>
        <tr r="AD339" s="5"/>
        <tr r="AC344" s="5"/>
        <tr r="AF289" s="5"/>
        <tr r="AE329" s="5"/>
        <tr r="AB349" s="5"/>
      </tp>
      <tp t="s">
        <v>#N/A N/A</v>
        <stp/>
        <stp>BDH|5932091271396673314</stp>
        <tr r="U594" s="5"/>
        <tr r="T599" s="5"/>
        <tr r="W544" s="5"/>
        <tr r="V584" s="5"/>
        <tr r="S604" s="5"/>
      </tp>
      <tp t="s">
        <v>#N/A N/A</v>
        <stp/>
        <stp>BDH|6158635975204425454</stp>
        <tr r="AD147" s="5"/>
        <tr r="AC152" s="5"/>
        <tr r="AE137" s="5"/>
        <tr r="AF97" s="5"/>
        <tr r="AB157" s="5"/>
      </tp>
      <tp t="s">
        <v>#N/A N/A</v>
        <stp/>
        <stp>BDH|3096638933721571038</stp>
        <tr r="W644" s="5"/>
        <tr r="T699" s="5"/>
        <tr r="U694" s="5"/>
        <tr r="V684" s="5"/>
        <tr r="S704" s="5"/>
      </tp>
      <tp t="s">
        <v>#N/A N/A</v>
        <stp/>
        <stp>BDH|5739543564737060600</stp>
        <tr r="V598" s="5"/>
        <tr r="W558" s="5"/>
        <tr r="U608" s="5"/>
        <tr r="T613" s="5"/>
        <tr r="S618" s="5"/>
      </tp>
      <tp t="s">
        <v>#N/A N/A</v>
        <stp/>
        <stp>BDH|8863760188122850296</stp>
        <tr r="U297" s="5"/>
        <tr r="T302" s="5"/>
        <tr r="V287" s="5"/>
        <tr r="W247" s="5"/>
        <tr r="S307" s="5"/>
      </tp>
      <tp t="s">
        <v>#N/A N/A</v>
        <stp/>
        <stp>BDH|5725770156700517043</stp>
        <tr r="AD408" s="5"/>
        <tr r="AC413" s="5"/>
        <tr r="AE398" s="5"/>
        <tr r="AF358" s="5"/>
        <tr r="AB418" s="5"/>
      </tp>
      <tp t="s">
        <v>#N/A N/A</v>
        <stp/>
        <stp>BDH|7863191452016579218</stp>
        <tr r="AD460" s="5"/>
        <tr r="AF410" s="5"/>
        <tr r="AC465" s="5"/>
        <tr r="AE450" s="5"/>
        <tr r="AB470" s="5"/>
      </tp>
      <tp t="s">
        <v>#N/A N/A</v>
        <stp/>
        <stp>BDH|6961708767154297483</stp>
        <tr r="AE458" s="5"/>
        <tr r="AF418" s="5"/>
        <tr r="AC473" s="5"/>
        <tr r="AD468" s="5"/>
        <tr r="AB478" s="5"/>
      </tp>
      <tp t="s">
        <v>#N/A N/A</v>
        <stp/>
        <stp>BDH|2908495064654130315</stp>
        <tr r="AB24" s="5"/>
      </tp>
      <tp t="s">
        <v>#N/A N/A</v>
        <stp/>
        <stp>BDH|1861642255513912644</stp>
        <tr r="AF192" s="5"/>
        <tr r="AC247" s="5"/>
        <tr r="AE232" s="5"/>
        <tr r="AD242" s="5"/>
        <tr r="AB252" s="5"/>
      </tp>
      <tp t="s">
        <v>#N/A N/A</v>
        <stp/>
        <stp>BDH|1104346530052275435</stp>
        <tr r="AC670" s="5"/>
        <tr r="AF615" s="5"/>
        <tr r="AD665" s="5"/>
        <tr r="AE655" s="5"/>
        <tr r="AB675" s="5"/>
      </tp>
      <tp t="s">
        <v>#N/A N/A</v>
        <stp/>
        <stp>BDH|9421936664297017679</stp>
        <tr r="V341" s="5"/>
        <tr r="W301" s="5"/>
        <tr r="T356" s="5"/>
        <tr r="U351" s="5"/>
        <tr r="S361" s="5"/>
      </tp>
      <tp t="s">
        <v>#N/A N/A</v>
        <stp/>
        <stp>BDH|9646080448819478378</stp>
        <tr r="AF735" s="5"/>
      </tp>
      <tp t="s">
        <v>#N/A N/A</v>
        <stp/>
        <stp>BDH|2070426664615445276</stp>
        <tr r="AD228" s="5"/>
        <tr r="AC233" s="5"/>
        <tr r="AE218" s="5"/>
        <tr r="AF179" s="5"/>
        <tr r="AB238" s="5"/>
      </tp>
      <tp t="s">
        <v>#N/A N/A</v>
        <stp/>
        <stp>BDH|1598681952510207584</stp>
        <tr r="U747" s="5"/>
        <tr r="W697" s="5"/>
        <tr r="T752" s="5"/>
        <tr r="V737" s="5"/>
        <tr r="S757" s="5"/>
      </tp>
      <tp t="s">
        <v>#N/A N/A</v>
        <stp/>
        <stp>BDH|5126419661497267763</stp>
        <tr r="T541" s="5"/>
        <tr r="V526" s="5"/>
        <tr r="U536" s="5"/>
        <tr r="W486" s="5"/>
        <tr r="S546" s="5"/>
      </tp>
      <tp t="s">
        <v>#N/A N/A</v>
        <stp/>
        <stp>BDH|43079734490101973</stp>
        <tr r="T209" s="5"/>
        <tr r="W155" s="5"/>
        <tr r="V194" s="5"/>
        <tr r="U204" s="5"/>
        <tr r="S214" s="5"/>
      </tp>
      <tp t="s">
        <v>#N/A N/A</v>
        <stp/>
        <stp>BDH|2597112819171351346</stp>
        <tr r="U768" s="5"/>
        <tr r="W718" s="5"/>
        <tr r="V758" s="5"/>
      </tp>
      <tp t="s">
        <v>#N/A N/A</v>
        <stp/>
        <stp>BDH|9111580987237244375</stp>
        <tr r="AD519" s="5"/>
        <tr r="AF469" s="5"/>
        <tr r="AE509" s="5"/>
        <tr r="AC524" s="5"/>
        <tr r="AB529" s="5"/>
      </tp>
      <tp t="s">
        <v>#N/A N/A</v>
        <stp/>
        <stp>BDH|4313679877765017087</stp>
        <tr r="AD528" s="5"/>
        <tr r="AC533" s="5"/>
        <tr r="AE518" s="5"/>
        <tr r="AF478" s="5"/>
        <tr r="AB538" s="5"/>
      </tp>
      <tp t="s">
        <v>#N/A N/A</v>
        <stp/>
        <stp>BDH|2477500143854532791</stp>
        <tr r="AC326" s="5"/>
        <tr r="AD321" s="5"/>
        <tr r="AF271" s="5"/>
        <tr r="AE311" s="5"/>
        <tr r="AB331" s="5"/>
      </tp>
      <tp t="s">
        <v>#N/A N/A</v>
        <stp/>
        <stp>BDH|5534504213054722596</stp>
        <tr r="T678" s="5"/>
        <tr r="U673" s="5"/>
        <tr r="V663" s="5"/>
        <tr r="W623" s="5"/>
        <tr r="S683" s="5"/>
      </tp>
      <tp t="s">
        <v>#N/A N/A</v>
        <stp/>
        <stp>BDH|5276372956403955027</stp>
        <tr r="AF227" s="5"/>
        <tr r="AE267" s="5"/>
        <tr r="AD277" s="5"/>
        <tr r="AC282" s="5"/>
        <tr r="AB287" s="5"/>
      </tp>
      <tp t="s">
        <v>#N/A N/A</v>
        <stp/>
        <stp>BDH|6895552462593794602</stp>
        <tr r="V135" s="5"/>
        <tr r="U145" s="5"/>
        <tr r="T150" s="5"/>
        <tr r="W95" s="5"/>
        <tr r="S155" s="5"/>
      </tp>
      <tp t="s">
        <v>#N/A N/A</v>
        <stp/>
        <stp>BDH|4400952781763177695</stp>
        <tr r="U528" s="5"/>
        <tr r="T533" s="5"/>
        <tr r="V518" s="5"/>
        <tr r="W478" s="5"/>
        <tr r="S538" s="5"/>
      </tp>
      <tp t="s">
        <v>#N/A N/A</v>
        <stp/>
        <stp>BDH|8078894734583498016</stp>
        <tr r="W337" s="5"/>
        <tr r="V377" s="5"/>
        <tr r="T392" s="5"/>
        <tr r="U387" s="5"/>
        <tr r="S397" s="5"/>
      </tp>
      <tp t="s">
        <v>#N/A N/A</v>
        <stp/>
        <stp>BDH|1895464502385032046</stp>
        <tr r="U183" s="5"/>
        <tr r="T188" s="5"/>
        <tr r="V174" s="5"/>
        <tr r="W134" s="5"/>
        <tr r="S193" s="5"/>
      </tp>
      <tp t="s">
        <v>#N/A N/A</v>
        <stp/>
        <stp>BDH|2881737655508122876</stp>
        <tr r="W39" s="5"/>
        <tr r="V79" s="5"/>
        <tr r="T94" s="5"/>
        <tr r="U89" s="5"/>
        <tr r="S99" s="5"/>
      </tp>
      <tp t="s">
        <v>#N/A N/A</v>
        <stp/>
        <stp>BDH|9281203739620099827</stp>
        <tr r="U637" s="5"/>
        <tr r="V627" s="5"/>
        <tr r="T642" s="5"/>
        <tr r="W587" s="5"/>
        <tr r="S647" s="5"/>
      </tp>
      <tp t="s">
        <v>#N/A N/A</v>
        <stp/>
        <stp>BDH|7046678784070260988</stp>
        <tr r="AE745" s="5"/>
        <tr r="AF705" s="5"/>
        <tr r="AC760" s="5"/>
        <tr r="AD755" s="5"/>
        <tr r="AB765" s="5"/>
      </tp>
      <tp t="s">
        <v>#N/A N/A</v>
        <stp/>
        <stp>BDH|8443858202253288380</stp>
        <tr r="AE193" s="5"/>
        <tr r="AC208" s="5"/>
        <tr r="AF154" s="5"/>
        <tr r="AD203" s="5"/>
        <tr r="AB213" s="5"/>
      </tp>
      <tp t="s">
        <v>#N/A N/A</v>
        <stp/>
        <stp>BDH|5840103604912561602</stp>
        <tr r="AF724" s="5"/>
        <tr r="AE764" s="5"/>
      </tp>
      <tp t="s">
        <v>#N/A N/A</v>
        <stp/>
        <stp>BDH|1820177226785350739</stp>
        <tr r="V40" s="5"/>
        <tr r="T55" s="5"/>
        <tr r="U50" s="5"/>
        <tr r="S60" s="5"/>
      </tp>
      <tp t="s">
        <v>#N/A N/A</v>
        <stp/>
        <stp>BDH|2802026101790492208</stp>
        <tr r="AC487" s="5"/>
        <tr r="AF432" s="5"/>
        <tr r="AE472" s="5"/>
        <tr r="AD482" s="5"/>
        <tr r="AB492" s="5"/>
      </tp>
      <tp t="s">
        <v>#N/A N/A</v>
        <stp/>
        <stp>BDH|6423465680903818958</stp>
        <tr r="AF720" s="5"/>
        <tr r="AE760" s="5"/>
        <tr r="AD770" s="5"/>
      </tp>
      <tp t="s">
        <v>#N/A N/A</v>
        <stp/>
        <stp>BDH|6625898081300083617</stp>
        <tr r="V596" s="5"/>
        <tr r="T611" s="5"/>
        <tr r="U606" s="5"/>
        <tr r="W556" s="5"/>
        <tr r="S616" s="5"/>
      </tp>
      <tp t="s">
        <v>#N/A N/A</v>
        <stp/>
        <stp>BDH|7970599810283827077</stp>
        <tr r="AF541" s="5"/>
        <tr r="AC596" s="5"/>
        <tr r="AE581" s="5"/>
        <tr r="AD591" s="5"/>
        <tr r="AB601" s="5"/>
      </tp>
      <tp t="s">
        <v>#N/A N/A</v>
        <stp/>
        <stp>BDH|6540636565250976661</stp>
        <tr r="V516" s="5"/>
        <tr r="T531" s="5"/>
        <tr r="W476" s="5"/>
        <tr r="U526" s="5"/>
        <tr r="S536" s="5"/>
      </tp>
      <tp t="s">
        <v>#N/A N/A</v>
        <stp/>
        <stp>BDH|9084237532611998948</stp>
        <tr r="AF748" s="5"/>
      </tp>
      <tp t="s">
        <v>#N/A N/A</v>
        <stp/>
        <stp>BDH|6865200157109351809</stp>
        <tr r="AC713" s="5"/>
        <tr r="AF658" s="5"/>
        <tr r="AE698" s="5"/>
        <tr r="AD708" s="5"/>
        <tr r="AB718" s="5"/>
      </tp>
      <tp t="s">
        <v>#N/A N/A</v>
        <stp/>
        <stp>BDH|3119389273541768607</stp>
        <tr r="U229" s="5"/>
        <tr r="W180" s="5"/>
        <tr r="T234" s="5"/>
        <tr r="V219" s="5"/>
        <tr r="S239" s="5"/>
      </tp>
      <tp t="s">
        <v>#N/A N/A</v>
        <stp/>
        <stp>BDH|6009133269863257252</stp>
        <tr r="AD82" s="5"/>
        <tr r="AF32" s="5"/>
        <tr r="AE72" s="5"/>
        <tr r="AC87" s="5"/>
        <tr r="AB92" s="5"/>
      </tp>
      <tp t="s">
        <v>#N/A N/A</v>
        <stp/>
        <stp>BDH|1587342531982364314</stp>
        <tr r="W223" s="5"/>
        <tr r="V263" s="5"/>
        <tr r="U273" s="5"/>
        <tr r="T278" s="5"/>
        <tr r="S283" s="5"/>
      </tp>
      <tp t="s">
        <v>#N/A N/A</v>
        <stp/>
        <stp>BDH|1499964760378974699</stp>
        <tr r="AF740" s="5"/>
      </tp>
      <tp t="s">
        <v>#N/A N/A</v>
        <stp/>
        <stp>BDH|3679049973973233711</stp>
        <tr r="W676" s="5"/>
        <tr r="U726" s="5"/>
        <tr r="T731" s="5"/>
        <tr r="V716" s="5"/>
        <tr r="S736" s="5"/>
      </tp>
      <tp t="s">
        <v>#N/A N/A</v>
        <stp/>
        <stp>BDH|1197449271956176478</stp>
        <tr r="W484" s="5"/>
        <tr r="U534" s="5"/>
        <tr r="T539" s="5"/>
        <tr r="V524" s="5"/>
        <tr r="S544" s="5"/>
      </tp>
      <tp t="s">
        <v>#N/A N/A</v>
        <stp/>
        <stp>BDH|7961047765058970938</stp>
        <tr r="T602" s="5"/>
        <tr r="V587" s="5"/>
        <tr r="U597" s="5"/>
        <tr r="W547" s="5"/>
        <tr r="S607" s="5"/>
      </tp>
      <tp t="s">
        <v>#N/A N/A</v>
        <stp/>
        <stp>BDH|5377543590770053940</stp>
        <tr r="AD474" s="5"/>
        <tr r="AE464" s="5"/>
        <tr r="AC479" s="5"/>
        <tr r="AF424" s="5"/>
        <tr r="AB484" s="5"/>
      </tp>
      <tp t="s">
        <v>#N/A N/A</v>
        <stp/>
        <stp>BDH|4511709296232608863</stp>
        <tr r="U660" s="5"/>
        <tr r="T665" s="5"/>
        <tr r="V650" s="5"/>
        <tr r="W610" s="5"/>
        <tr r="S670" s="5"/>
      </tp>
      <tp t="s">
        <v>#N/A N/A</v>
        <stp/>
        <stp>BDH|7752518524776978682</stp>
        <tr r="AD218" s="5"/>
        <tr r="AC223" s="5"/>
        <tr r="AE208" s="5"/>
        <tr r="AF169" s="5"/>
        <tr r="AB228" s="5"/>
      </tp>
      <tp t="s">
        <v>#N/A N/A</v>
        <stp/>
        <stp>BDH|8667908200409190874</stp>
        <tr r="AF634" s="5"/>
        <tr r="AC689" s="5"/>
        <tr r="AE674" s="5"/>
        <tr r="AD684" s="5"/>
        <tr r="AB694" s="5"/>
      </tp>
      <tp t="s">
        <v>#N/A N/A</v>
        <stp/>
        <stp>BDH|7658141561302227213</stp>
        <tr r="AC483" s="5"/>
        <tr r="AF428" s="5"/>
        <tr r="AD478" s="5"/>
        <tr r="AE468" s="5"/>
        <tr r="AB488" s="5"/>
      </tp>
      <tp t="s">
        <v>#N/A N/A</v>
        <stp/>
        <stp>BDH|3534353022915673746</stp>
        <tr r="AF616" s="5"/>
        <tr r="AD666" s="5"/>
        <tr r="AC671" s="5"/>
        <tr r="AE656" s="5"/>
        <tr r="AB676" s="5"/>
      </tp>
      <tp t="s">
        <v>#N/A N/A</v>
        <stp/>
        <stp>BDH|3768848190146272417</stp>
        <tr r="AC594" s="5"/>
        <tr r="AF539" s="5"/>
        <tr r="AD589" s="5"/>
        <tr r="AE579" s="5"/>
        <tr r="AB599" s="5"/>
      </tp>
      <tp t="s">
        <v>#N/A N/A</v>
        <stp/>
        <stp>BDH|8629821966331083739</stp>
        <tr r="AE574" s="5"/>
        <tr r="AF534" s="5"/>
        <tr r="AD584" s="5"/>
        <tr r="AC589" s="5"/>
        <tr r="AB594" s="5"/>
      </tp>
      <tp t="s">
        <v>#N/A N/A</v>
        <stp/>
        <stp>BDH|7606021074136759660</stp>
        <tr r="AF747" s="5"/>
      </tp>
      <tp t="s">
        <v>#N/A N/A</v>
        <stp/>
        <stp>BDH|3983171104931506391</stp>
        <tr r="T528" s="5"/>
        <tr r="V513" s="5"/>
        <tr r="U523" s="5"/>
        <tr r="W473" s="5"/>
        <tr r="S533" s="5"/>
      </tp>
      <tp t="s">
        <v>#N/A N/A</v>
        <stp/>
        <stp>BDH|5401357912211607637</stp>
        <tr r="U408" s="5"/>
        <tr r="T413" s="5"/>
        <tr r="V398" s="5"/>
        <tr r="W358" s="5"/>
        <tr r="S418" s="5"/>
      </tp>
      <tp t="s">
        <v>#N/A N/A</v>
        <stp/>
        <stp>BDH|7662363738973902474</stp>
        <tr r="AC697" s="5"/>
        <tr r="AE682" s="5"/>
        <tr r="AF642" s="5"/>
        <tr r="AD692" s="5"/>
        <tr r="AB702" s="5"/>
      </tp>
      <tp t="s">
        <v>#N/A N/A</v>
        <stp/>
        <stp>BDH|7790972821765796915</stp>
        <tr r="AE448" s="5"/>
        <tr r="AC463" s="5"/>
        <tr r="AF408" s="5"/>
        <tr r="AD458" s="5"/>
        <tr r="AB468" s="5"/>
      </tp>
      <tp t="s">
        <v>#N/A N/A</v>
        <stp/>
        <stp>BDH|9975487166582855987</stp>
        <tr r="V418" s="5"/>
        <tr r="U428" s="5"/>
        <tr r="T433" s="5"/>
        <tr r="W378" s="5"/>
        <tr r="S438" s="5"/>
      </tp>
      <tp t="s">
        <v>#N/A N/A</v>
        <stp/>
        <stp>BDH|9266294250996925852</stp>
        <tr r="AF213" s="5"/>
        <tr r="AE253" s="5"/>
        <tr r="AC268" s="5"/>
        <tr r="AD263" s="5"/>
        <tr r="AB273" s="5"/>
      </tp>
      <tp t="s">
        <v>#N/A N/A</v>
        <stp/>
        <stp>BDH|9268661645118687305</stp>
        <tr r="AD183" s="5"/>
        <tr r="AC188" s="5"/>
        <tr r="AE174" s="5"/>
        <tr r="AF134" s="5"/>
        <tr r="AB193" s="5"/>
      </tp>
      <tp t="s">
        <v>#N/A N/A</v>
        <stp/>
        <stp>BDH|7495444000270578322</stp>
        <tr r="AF675" s="5"/>
        <tr r="AC730" s="5"/>
        <tr r="AE715" s="5"/>
        <tr r="AD725" s="5"/>
        <tr r="AB735" s="5"/>
      </tp>
      <tp t="s">
        <v>#N/A N/A</v>
        <stp/>
        <stp>BDH|7904442229819025836</stp>
        <tr r="T502" s="5"/>
        <tr r="U497" s="5"/>
        <tr r="V487" s="5"/>
        <tr r="W447" s="5"/>
        <tr r="S507" s="5"/>
      </tp>
      <tp t="s">
        <v>#N/A N/A</v>
        <stp/>
        <stp>BDH|4949215778545100456</stp>
        <tr r="AE528" s="5"/>
        <tr r="AF488" s="5"/>
        <tr r="AC543" s="5"/>
        <tr r="AD538" s="5"/>
        <tr r="AB548" s="5"/>
      </tp>
      <tp t="s">
        <v>#N/A N/A</v>
        <stp/>
        <stp>BDH|8477051482512267250</stp>
        <tr r="U53" s="5"/>
        <tr r="T58" s="5"/>
        <tr r="V43" s="5"/>
        <tr r="S63" s="5"/>
      </tp>
      <tp t="s">
        <v>#N/A N/A</v>
        <stp/>
        <stp>BDH|4412464314638524976</stp>
        <tr r="U464" s="5"/>
        <tr r="V454" s="5"/>
        <tr r="T469" s="5"/>
        <tr r="W414" s="5"/>
        <tr r="S474" s="5"/>
      </tp>
      <tp t="s">
        <v>#N/A N/A</v>
        <stp/>
        <stp>BDH|2582655307694075034</stp>
        <tr r="W761" s="5"/>
      </tp>
      <tp t="s">
        <v>#N/A N/A</v>
        <stp/>
        <stp>BDH|5146901980287120349</stp>
        <tr r="AD229" s="5"/>
        <tr r="AF180" s="5"/>
        <tr r="AC234" s="5"/>
        <tr r="AE219" s="5"/>
        <tr r="AB239" s="5"/>
      </tp>
      <tp t="s">
        <v>#N/A N/A</v>
        <stp/>
        <stp>BDH|6707427523903517369</stp>
        <tr r="U225" s="5"/>
        <tr r="W176" s="5"/>
        <tr r="T230" s="5"/>
        <tr r="V215" s="5"/>
        <tr r="S235" s="5"/>
      </tp>
      <tp t="s">
        <v>#N/A N/A</v>
        <stp/>
        <stp>BDH|3489240100791331064</stp>
        <tr r="V458" s="5"/>
        <tr r="W418" s="5"/>
        <tr r="T473" s="5"/>
        <tr r="U468" s="5"/>
        <tr r="S478" s="5"/>
      </tp>
      <tp t="s">
        <v>#N/A N/A</v>
        <stp/>
        <stp>BDH|8220973335575680737</stp>
        <tr r="AF743" s="5"/>
      </tp>
      <tp t="s">
        <v>#N/A N/A</v>
        <stp/>
        <stp>BDH|1384108319544781587</stp>
        <tr r="V217" s="5"/>
        <tr r="W178" s="5"/>
        <tr r="U227" s="5"/>
        <tr r="T232" s="5"/>
        <tr r="S237" s="5"/>
      </tp>
      <tp t="s">
        <v>#N/A N/A</v>
        <stp/>
        <stp>BDH|3326773969117434432</stp>
        <tr r="W305" s="5"/>
        <tr r="T360" s="5"/>
        <tr r="V345" s="5"/>
        <tr r="U355" s="5"/>
        <tr r="S365" s="5"/>
      </tp>
      <tp t="s">
        <v>#N/A N/A</v>
        <stp/>
        <stp>BDH|3744657511027967207</stp>
        <tr r="T285" s="5"/>
        <tr r="V270" s="5"/>
        <tr r="W230" s="5"/>
        <tr r="U280" s="5"/>
        <tr r="S290" s="5"/>
      </tp>
      <tp t="s">
        <v>#N/A N/A</v>
        <stp/>
        <stp>BDH|6730134636921062499</stp>
        <tr r="AF53" s="5"/>
        <tr r="AE93" s="5"/>
        <tr r="AC108" s="5"/>
        <tr r="AD103" s="5"/>
        <tr r="AB113" s="5"/>
      </tp>
      <tp t="s">
        <v>#N/A N/A</v>
        <stp/>
        <stp>BDH|1501151818773175321</stp>
        <tr r="V620" s="5"/>
        <tr r="W580" s="5"/>
        <tr r="U630" s="5"/>
        <tr r="T635" s="5"/>
        <tr r="S640" s="5"/>
      </tp>
      <tp t="s">
        <v>#N/A N/A</v>
        <stp/>
        <stp>BDH|8317507488132831687</stp>
        <tr r="V338" s="5"/>
        <tr r="T353" s="5"/>
        <tr r="U348" s="5"/>
        <tr r="W298" s="5"/>
        <tr r="S358" s="5"/>
      </tp>
      <tp t="s">
        <v>#N/A N/A</v>
        <stp/>
        <stp>BDH|8965358987552602069</stp>
        <tr r="V473" s="5"/>
        <tr r="T488" s="5"/>
        <tr r="U483" s="5"/>
        <tr r="W433" s="5"/>
        <tr r="S493" s="5"/>
      </tp>
      <tp t="s">
        <v>#N/A N/A</v>
        <stp/>
        <stp>BDH|1842508003901881482</stp>
        <tr r="AC205" s="5"/>
        <tr r="AD200" s="5"/>
        <tr r="AE190" s="5"/>
        <tr r="AF151" s="5"/>
        <tr r="AB210" s="5"/>
      </tp>
      <tp t="s">
        <v>#N/A N/A</v>
        <stp/>
        <stp>BDH|1600009711485900452</stp>
        <tr r="AE33" s="5"/>
        <tr r="AC48" s="5"/>
        <tr r="AD43" s="5"/>
        <tr r="AB53" s="5"/>
      </tp>
      <tp t="s">
        <v>#N/A N/A</v>
        <stp/>
        <stp>BDH|6495203062247842468</stp>
        <tr r="AE217" s="5"/>
        <tr r="AF178" s="5"/>
        <tr r="AD227" s="5"/>
        <tr r="AC232" s="5"/>
        <tr r="AB237" s="5"/>
      </tp>
      <tp t="s">
        <v>#N/A N/A</v>
        <stp/>
        <stp>BDH|3437570355686852467</stp>
        <tr r="AF757" s="5"/>
      </tp>
      <tp t="s">
        <v>#N/A N/A</v>
        <stp/>
        <stp>BDH|4727596505762112237</stp>
        <tr r="AE315" s="5"/>
        <tr r="AF275" s="5"/>
        <tr r="AD325" s="5"/>
        <tr r="AC330" s="5"/>
        <tr r="AB335" s="5"/>
      </tp>
      <tp t="s">
        <v>#N/A N/A</v>
        <stp/>
        <stp>BDH|4292565479944165356</stp>
        <tr r="W757" s="5"/>
      </tp>
      <tp t="s">
        <v>#N/A N/A</v>
        <stp/>
        <stp>BDH|6950940063011317943</stp>
        <tr r="AF487" s="5"/>
        <tr r="AD537" s="5"/>
        <tr r="AE527" s="5"/>
        <tr r="AC542" s="5"/>
        <tr r="AB547" s="5"/>
      </tp>
      <tp t="s">
        <v>#N/A N/A</v>
        <stp/>
        <stp>BDH|8773105955104934927</stp>
        <tr r="AF153" s="5"/>
        <tr r="AE192" s="5"/>
        <tr r="AD202" s="5"/>
        <tr r="AC207" s="5"/>
        <tr r="AB212" s="5"/>
      </tp>
      <tp t="s">
        <v>#N/A N/A</v>
        <stp/>
        <stp>BDH|3245186199419958349</stp>
        <tr r="AC511" s="5"/>
        <tr r="AF456" s="5"/>
        <tr r="AD506" s="5"/>
        <tr r="AE496" s="5"/>
        <tr r="AB516" s="5"/>
      </tp>
      <tp t="s">
        <v>#N/A N/A</v>
        <stp/>
        <stp>BDH|9897040446404731828</stp>
        <tr r="V252" s="5"/>
        <tr r="T267" s="5"/>
        <tr r="U262" s="5"/>
        <tr r="W212" s="5"/>
        <tr r="S272" s="5"/>
      </tp>
      <tp t="s">
        <v>#N/A N/A</v>
        <stp/>
        <stp>BDH|5425847255900932932</stp>
        <tr r="AE591" s="5"/>
        <tr r="AD601" s="5"/>
        <tr r="AC606" s="5"/>
        <tr r="AF551" s="5"/>
        <tr r="AB611" s="5"/>
      </tp>
      <tp t="s">
        <v>#N/A N/A</v>
        <stp/>
        <stp>BDH|7313155953332211089</stp>
        <tr r="AC647" s="5"/>
        <tr r="AE632" s="5"/>
        <tr r="AD642" s="5"/>
        <tr r="AF592" s="5"/>
        <tr r="AB652" s="5"/>
      </tp>
      <tp t="s">
        <v>#N/A N/A</v>
        <stp/>
        <stp>BDH|2104132446742100497</stp>
        <tr r="V739" s="5"/>
        <tr r="W699" s="5"/>
        <tr r="U749" s="5"/>
        <tr r="T754" s="5"/>
        <tr r="S759" s="5"/>
      </tp>
      <tp t="s">
        <v>#N/A N/A</v>
        <stp/>
        <stp>BDH|8647211919743537975</stp>
        <tr r="AE555" s="5"/>
        <tr r="AC570" s="5"/>
        <tr r="AF515" s="5"/>
        <tr r="AD565" s="5"/>
        <tr r="AB575" s="5"/>
      </tp>
      <tp t="s">
        <v>#N/A N/A</v>
        <stp/>
        <stp>BDH|3169444318724933381</stp>
        <tr r="T138" s="5"/>
        <tr r="V123" s="5"/>
        <tr r="W83" s="5"/>
        <tr r="U133" s="5"/>
        <tr r="S143" s="5"/>
      </tp>
      <tp t="s">
        <v>#N/A N/A</v>
        <stp/>
        <stp>BDH|7707603124972805071</stp>
        <tr r="W285" s="5"/>
        <tr r="T340" s="5"/>
        <tr r="U335" s="5"/>
        <tr r="V325" s="5"/>
        <tr r="S345" s="5"/>
      </tp>
      <tp t="s">
        <v>#N/A N/A</v>
        <stp/>
        <stp>BDH|1077016959043362678</stp>
        <tr r="U164" s="5"/>
        <tr r="T169" s="5"/>
        <tr r="W114" s="5"/>
        <tr r="V154" s="5"/>
        <tr r="S174" s="5"/>
      </tp>
      <tp t="s">
        <v>#N/A N/A</v>
        <stp/>
        <stp>BDH|3799215283918966019</stp>
        <tr r="W249" s="5"/>
        <tr r="V289" s="5"/>
        <tr r="T304" s="5"/>
        <tr r="U299" s="5"/>
        <tr r="S309" s="5"/>
      </tp>
      <tp t="s">
        <v>#N/A N/A</v>
        <stp/>
        <stp>BDH|1895775161986736749</stp>
        <tr r="AD235" s="5"/>
        <tr r="AF185" s="5"/>
        <tr r="AE225" s="5"/>
        <tr r="AC240" s="5"/>
        <tr r="AB245" s="5"/>
      </tp>
      <tp t="s">
        <v>#N/A N/A</v>
        <stp/>
        <stp>BDH|2100089930426840631</stp>
        <tr r="AC365" s="5"/>
        <tr r="AD360" s="5"/>
        <tr r="AF310" s="5"/>
        <tr r="AE350" s="5"/>
        <tr r="AB370" s="5"/>
      </tp>
      <tp t="s">
        <v>#N/A N/A</v>
        <stp/>
        <stp>BDH|6572950771978290106</stp>
        <tr r="U418" s="5"/>
        <tr r="V408" s="5"/>
        <tr r="T423" s="5"/>
        <tr r="W368" s="5"/>
        <tr r="S428" s="5"/>
      </tp>
      <tp t="s">
        <v>#N/A N/A</v>
        <stp/>
        <stp>BDH|3128300105625001474</stp>
        <tr r="AE495" s="5"/>
        <tr r="AD505" s="5"/>
        <tr r="AC510" s="5"/>
        <tr r="AF455" s="5"/>
        <tr r="AB515" s="5"/>
      </tp>
      <tp t="s">
        <v>#N/A N/A</v>
        <stp/>
        <stp>BDH|8733912824884325628</stp>
        <tr r="T115" s="5"/>
        <tr r="W60" s="5"/>
        <tr r="U110" s="5"/>
        <tr r="V100" s="5"/>
        <tr r="S120" s="5"/>
      </tp>
      <tp t="s">
        <v>#N/A N/A</v>
        <stp/>
        <stp>BDH|3553379223813503077</stp>
        <tr r="AC121" s="5"/>
        <tr r="AE106" s="5"/>
        <tr r="AF66" s="5"/>
        <tr r="AD116" s="5"/>
        <tr r="AB126" s="5"/>
      </tp>
      <tp t="s">
        <v>#N/A N/A</v>
        <stp/>
        <stp>BDH|4714823180800178570</stp>
        <tr r="V582" s="5"/>
        <tr r="W542" s="5"/>
        <tr r="U592" s="5"/>
        <tr r="T597" s="5"/>
        <tr r="S602" s="5"/>
      </tp>
      <tp t="s">
        <v>#N/A N/A</v>
        <stp/>
        <stp>BDH|5381033943458667866</stp>
        <tr r="AF254" s="5"/>
        <tr r="AC309" s="5"/>
        <tr r="AE294" s="5"/>
        <tr r="AD304" s="5"/>
        <tr r="AB314" s="5"/>
      </tp>
      <tp t="s">
        <v>#N/A N/A</v>
        <stp/>
        <stp>BDH|5050792020947999604</stp>
        <tr r="AF501" s="5"/>
        <tr r="AE541" s="5"/>
        <tr r="AC556" s="5"/>
        <tr r="AD551" s="5"/>
        <tr r="AB561" s="5"/>
      </tp>
      <tp t="s">
        <v>#N/A N/A</v>
        <stp/>
        <stp>BDH|5838769972554408088</stp>
        <tr r="AF676" s="5"/>
        <tr r="AD726" s="5"/>
        <tr r="AC731" s="5"/>
        <tr r="AE716" s="5"/>
        <tr r="AB736" s="5"/>
      </tp>
      <tp t="s">
        <v>#N/A N/A</v>
        <stp/>
        <stp>BDH|6838234916487816358</stp>
        <tr r="W742" s="5"/>
      </tp>
      <tp t="s">
        <v>#N/A N/A</v>
        <stp/>
        <stp>BDH|2752235167100586766</stp>
        <tr r="AC475" s="5"/>
        <tr r="AE460" s="5"/>
        <tr r="AD470" s="5"/>
        <tr r="AF420" s="5"/>
        <tr r="AB480" s="5"/>
      </tp>
      <tp t="s">
        <v>#N/A N/A</v>
        <stp/>
        <stp>BDH|7522548156856058066</stp>
        <tr r="W282" s="5"/>
        <tr r="T337" s="5"/>
        <tr r="V322" s="5"/>
        <tr r="U332" s="5"/>
        <tr r="S342" s="5"/>
      </tp>
      <tp t="s">
        <v>#N/A N/A</v>
        <stp/>
        <stp>BDH|6112313547531178170</stp>
        <tr r="AD254" s="5"/>
        <tr r="AF204" s="5"/>
        <tr r="AC259" s="5"/>
        <tr r="AE244" s="5"/>
        <tr r="AB264" s="5"/>
      </tp>
      <tp t="s">
        <v>#N/A N/A</v>
        <stp/>
        <stp>BDH|5787179997305358922</stp>
        <tr r="W400" s="5"/>
        <tr r="T455" s="5"/>
        <tr r="V440" s="5"/>
        <tr r="U450" s="5"/>
        <tr r="S460" s="5"/>
      </tp>
      <tp t="s">
        <v>#N/A N/A</v>
        <stp/>
        <stp>BDH|3051385066754030380</stp>
        <tr r="W733" s="5"/>
      </tp>
      <tp t="s">
        <v>#N/A N/A</v>
        <stp/>
        <stp>BDH|9836244608219766354</stp>
        <tr r="W220" s="5"/>
        <tr r="V260" s="5"/>
        <tr r="T275" s="5"/>
        <tr r="U270" s="5"/>
        <tr r="S280" s="5"/>
      </tp>
      <tp t="s">
        <v>#N/A N/A</v>
        <stp/>
        <stp>BDH|8439141184993125330</stp>
        <tr r="AE69" s="5"/>
        <tr r="AD79" s="5"/>
        <tr r="AC84" s="5"/>
        <tr r="AF29" s="5"/>
        <tr r="AB89" s="5"/>
      </tp>
      <tp t="s">
        <v>#N/A N/A</v>
        <stp/>
        <stp>BDH|1348341017783416129</stp>
        <tr r="AF249" s="5"/>
        <tr r="AE289" s="5"/>
        <tr r="AC304" s="5"/>
        <tr r="AD299" s="5"/>
        <tr r="AB309" s="5"/>
      </tp>
      <tp t="s">
        <v>#N/A N/A</v>
        <stp/>
        <stp>BDH|1432633142567307513</stp>
        <tr r="V533" s="5"/>
        <tr r="U543" s="5"/>
        <tr r="W493" s="5"/>
        <tr r="T548" s="5"/>
        <tr r="S553" s="5"/>
      </tp>
      <tp t="s">
        <v>#N/A N/A</v>
        <stp/>
        <stp>BDH|4360003656870324014</stp>
        <tr r="AC323" s="5"/>
        <tr r="AF268" s="5"/>
        <tr r="AE308" s="5"/>
        <tr r="AD318" s="5"/>
        <tr r="AB328" s="5"/>
      </tp>
      <tp t="s">
        <v>#N/A N/A</v>
        <stp/>
        <stp>BDH|1489692905672455484</stp>
        <tr r="T575" s="5"/>
        <tr r="W520" s="5"/>
        <tr r="U570" s="5"/>
        <tr r="V560" s="5"/>
        <tr r="S580" s="5"/>
      </tp>
      <tp t="s">
        <v>#N/A N/A</v>
        <stp/>
        <stp>BDH|8279610905976548976</stp>
        <tr r="V112" s="5"/>
        <tr r="W72" s="5"/>
        <tr r="T127" s="5"/>
        <tr r="U122" s="5"/>
        <tr r="S132" s="5"/>
      </tp>
      <tp t="s">
        <v>#N/A N/A</v>
        <stp/>
        <stp>BDH|5771070135834256326</stp>
        <tr r="AF188" s="5"/>
        <tr r="AC243" s="5"/>
        <tr r="AD238" s="5"/>
        <tr r="AE228" s="5"/>
        <tr r="AB248" s="5"/>
      </tp>
      <tp t="s">
        <v>#N/A N/A</v>
        <stp/>
        <stp>BDP|4924326305452188755</stp>
        <tr r="E8" s="5"/>
      </tp>
      <tp t="s">
        <v>#N/A N/A</v>
        <stp/>
        <stp>BDH|4069448252564485381</stp>
        <tr r="V340" s="5"/>
        <tr r="W300" s="5"/>
        <tr r="T355" s="5"/>
        <tr r="U350" s="5"/>
        <tr r="S360" s="5"/>
      </tp>
      <tp t="s">
        <v>#N/A N/A</v>
        <stp/>
        <stp>BDH|5855425530290477056</stp>
        <tr r="U730" s="5"/>
        <tr r="V720" s="5"/>
        <tr r="T735" s="5"/>
        <tr r="W680" s="5"/>
        <tr r="S740" s="5"/>
      </tp>
      <tp t="s">
        <v>#N/A N/A</v>
        <stp/>
        <stp>BDH|2681633528066267249</stp>
        <tr r="W614" s="5"/>
        <tr r="U664" s="5"/>
        <tr r="V654" s="5"/>
        <tr r="T669" s="5"/>
        <tr r="S674" s="5"/>
      </tp>
      <tp t="s">
        <v>#N/A N/A</v>
        <stp/>
        <stp>BDH|5636384493528176572</stp>
        <tr r="AF308" s="5"/>
        <tr r="AE348" s="5"/>
        <tr r="AC363" s="5"/>
        <tr r="AD358" s="5"/>
        <tr r="AB368" s="5"/>
      </tp>
      <tp t="s">
        <v>#N/A N/A</v>
        <stp/>
        <stp>BDH|7763031790575839979</stp>
        <tr r="T477" s="5"/>
        <tr r="V462" s="5"/>
        <tr r="U472" s="5"/>
        <tr r="W422" s="5"/>
        <tr r="S482" s="5"/>
      </tp>
      <tp t="s">
        <v>#N/A N/A</v>
        <stp/>
        <stp>BDH|7264568354060350587</stp>
        <tr r="T171" s="5"/>
        <tr r="U166" s="5"/>
        <tr r="W116" s="5"/>
        <tr r="V156" s="5"/>
        <tr r="S176" s="5"/>
      </tp>
      <tp t="s">
        <v>#N/A N/A</v>
        <stp/>
        <stp>BDH|6379021354142419390</stp>
        <tr r="AC721" s="5"/>
        <tr r="AE706" s="5"/>
        <tr r="AF666" s="5"/>
        <tr r="AD716" s="5"/>
        <tr r="AB726" s="5"/>
      </tp>
      <tp t="s">
        <v>#N/A N/A</v>
        <stp/>
        <stp>BDH|2483067216049815848</stp>
        <tr r="U473" s="5"/>
        <tr r="V463" s="5"/>
        <tr r="W423" s="5"/>
        <tr r="T478" s="5"/>
        <tr r="S483" s="5"/>
      </tp>
      <tp t="s">
        <v>#N/A N/A</v>
        <stp/>
        <stp>BDH|5818381039186093117</stp>
        <tr r="T637" s="5"/>
        <tr r="V622" s="5"/>
        <tr r="W582" s="5"/>
        <tr r="U632" s="5"/>
        <tr r="S642" s="5"/>
      </tp>
      <tp t="s">
        <v>#N/A N/A</v>
        <stp/>
        <stp>BDH|7887977072263213864</stp>
        <tr r="AE562" s="5"/>
        <tr r="AF522" s="5"/>
        <tr r="AC577" s="5"/>
        <tr r="AD572" s="5"/>
        <tr r="AB582" s="5"/>
      </tp>
      <tp t="s">
        <v>#N/A N/A</v>
        <stp/>
        <stp>BDH|6665851943480164888</stp>
        <tr r="AF744" s="5"/>
      </tp>
      <tp t="s">
        <v>#N/A N/A</v>
        <stp/>
        <stp>BDH|3632017819635333535</stp>
        <tr r="T41" s="5"/>
        <tr r="V26" s="5"/>
        <tr r="U36" s="5"/>
        <tr r="S46" s="5"/>
      </tp>
      <tp t="s">
        <v>#N/A N/A</v>
        <stp/>
        <stp>BDH|4623472524288392886</stp>
        <tr r="AD62" s="5"/>
        <tr r="AC67" s="5"/>
        <tr r="AE52" s="5"/>
        <tr r="AB72" s="5"/>
      </tp>
      <tp t="s">
        <v>#N/A N/A</v>
        <stp/>
        <stp>BDH|5981199529285284155</stp>
        <tr r="T402" s="5"/>
        <tr r="V387" s="5"/>
        <tr r="W347" s="5"/>
        <tr r="U397" s="5"/>
        <tr r="S407" s="5"/>
      </tp>
      <tp t="s">
        <v>#N/A N/A</v>
        <stp/>
        <stp>BDH|7843261198196811813</stp>
        <tr r="AD95" s="5"/>
        <tr r="AE85" s="5"/>
        <tr r="AF45" s="5"/>
        <tr r="AC100" s="5"/>
        <tr r="AB105" s="5"/>
      </tp>
      <tp t="s">
        <v>#N/A N/A</v>
        <stp/>
        <stp>BDH|4927462915530489310</stp>
        <tr r="AC296" s="5"/>
        <tr r="AD291" s="5"/>
        <tr r="AE281" s="5"/>
        <tr r="AF241" s="5"/>
        <tr r="AB301" s="5"/>
      </tp>
      <tp t="s">
        <v>#N/A N/A</v>
        <stp/>
        <stp>BDH|4373931304819183690</stp>
        <tr r="V337" s="5"/>
        <tr r="T352" s="5"/>
        <tr r="U347" s="5"/>
        <tr r="W297" s="5"/>
        <tr r="S357" s="5"/>
      </tp>
      <tp t="s">
        <v>#N/A N/A</v>
        <stp/>
        <stp>BDH|2406369354927298185</stp>
        <tr r="AD164" s="5"/>
        <tr r="AC169" s="5"/>
        <tr r="AF114" s="5"/>
        <tr r="AE154" s="5"/>
        <tr r="AB174" s="5"/>
      </tp>
      <tp t="s">
        <v>#N/A N/A</v>
        <stp/>
        <stp>BDH|4377290789948751484</stp>
        <tr r="AE765" s="5"/>
        <tr r="AF725" s="5"/>
      </tp>
      <tp t="s">
        <v>#N/A N/A</v>
        <stp/>
        <stp>BDH|2381228207343863136</stp>
        <tr r="AE652" s="5"/>
        <tr r="AD662" s="5"/>
        <tr r="AF612" s="5"/>
        <tr r="AC667" s="5"/>
        <tr r="AB672" s="5"/>
      </tp>
      <tp t="s">
        <v>#N/A N/A</v>
        <stp/>
        <stp>BDH|8164634737186925914</stp>
        <tr r="AF750" s="5"/>
      </tp>
      <tp t="s">
        <v>#N/A N/A</v>
        <stp/>
        <stp>BDH|7925960462842659869</stp>
        <tr r="AD467" s="5"/>
        <tr r="AC472" s="5"/>
        <tr r="AF417" s="5"/>
        <tr r="AE457" s="5"/>
        <tr r="AB477" s="5"/>
      </tp>
      <tp t="s">
        <v>#N/A N/A</v>
        <stp/>
        <stp>BDH|9498906105546908453</stp>
        <tr r="W700" s="5"/>
        <tr r="U750" s="5"/>
        <tr r="V740" s="5"/>
        <tr r="T755" s="5"/>
        <tr r="S760" s="5"/>
      </tp>
      <tp t="s">
        <v>#N/A N/A</v>
        <stp/>
        <stp>BDH|5412568272776570381</stp>
        <tr r="V245" s="5"/>
        <tr r="U255" s="5"/>
        <tr r="W205" s="5"/>
        <tr r="T260" s="5"/>
        <tr r="S265" s="5"/>
      </tp>
      <tp t="s">
        <v>#N/A N/A</v>
        <stp/>
        <stp>BDH|6329078006254875072</stp>
        <tr r="AC52" s="5"/>
        <tr r="AE37" s="5"/>
        <tr r="AD47" s="5"/>
        <tr r="AB57" s="5"/>
      </tp>
      <tp t="s">
        <v>#N/A N/A</v>
        <stp/>
        <stp>BDH|2372224813485844680</stp>
        <tr r="W756" s="5"/>
      </tp>
      <tp t="s">
        <v>#N/A N/A</v>
        <stp/>
        <stp>BDH|4258780268677335033</stp>
        <tr r="U624" s="5"/>
        <tr r="V614" s="5"/>
        <tr r="W574" s="5"/>
        <tr r="T629" s="5"/>
        <tr r="S634" s="5"/>
      </tp>
      <tp t="s">
        <v>#N/A N/A</v>
        <stp/>
        <stp>BDH|7517991187230129482</stp>
        <tr r="T584" s="5"/>
        <tr r="U579" s="5"/>
        <tr r="V569" s="5"/>
        <tr r="W529" s="5"/>
        <tr r="S589" s="5"/>
      </tp>
      <tp t="s">
        <v>#N/A N/A</v>
        <stp/>
        <stp>BDH|5672542785083043954</stp>
        <tr r="AC265" s="5"/>
        <tr r="AD260" s="5"/>
        <tr r="AE250" s="5"/>
        <tr r="AF210" s="5"/>
        <tr r="AB270" s="5"/>
      </tp>
      <tp t="s">
        <v>#N/A N/A</v>
        <stp/>
        <stp>BDH|6415943335868701619</stp>
        <tr r="W689" s="5"/>
        <tr r="U739" s="5"/>
        <tr r="T744" s="5"/>
        <tr r="V729" s="5"/>
        <tr r="S749" s="5"/>
      </tp>
      <tp t="s">
        <v>#N/A N/A</v>
        <stp/>
        <stp>BDH|1808265428647037454</stp>
        <tr r="U576" s="5"/>
        <tr r="V566" s="5"/>
        <tr r="W526" s="5"/>
        <tr r="T581" s="5"/>
        <tr r="S586" s="5"/>
      </tp>
      <tp t="s">
        <v>#N/A N/A</v>
        <stp/>
        <stp>BDH|8206836333073481259</stp>
        <tr r="AF567" s="5"/>
        <tr r="AD617" s="5"/>
        <tr r="AE607" s="5"/>
        <tr r="AC622" s="5"/>
        <tr r="AB627" s="5"/>
      </tp>
      <tp t="s">
        <v>#N/A N/A</v>
        <stp/>
        <stp>BDH|7331087177054791684</stp>
        <tr r="T691" s="5"/>
        <tr r="W636" s="5"/>
        <tr r="U686" s="5"/>
        <tr r="V676" s="5"/>
        <tr r="S696" s="5"/>
      </tp>
      <tp t="s">
        <v>#N/A N/A</v>
        <stp/>
        <stp>BDH|6148827073663305836</stp>
        <tr r="AC316" s="5"/>
        <tr r="AE301" s="5"/>
        <tr r="AD311" s="5"/>
        <tr r="AF261" s="5"/>
        <tr r="AB321" s="5"/>
      </tp>
      <tp t="s">
        <v>#N/A N/A</v>
        <stp/>
        <stp>BDH|1582419479362523284</stp>
        <tr r="AD517" s="5"/>
        <tr r="AF467" s="5"/>
        <tr r="AC522" s="5"/>
        <tr r="AE507" s="5"/>
        <tr r="AB527" s="5"/>
      </tp>
      <tp t="s">
        <v>#N/A N/A</v>
        <stp/>
        <stp>BDH|2916512418635594151</stp>
        <tr r="AE36" s="5"/>
        <tr r="AC51" s="5"/>
        <tr r="AD46" s="5"/>
        <tr r="AB56" s="5"/>
      </tp>
      <tp t="s">
        <v>#N/A N/A</v>
        <stp/>
        <stp>BDH|5265468918643858142</stp>
        <tr r="AF99" s="5"/>
        <tr r="AD149" s="5"/>
        <tr r="AE139" s="5"/>
        <tr r="AC154" s="5"/>
        <tr r="AB159" s="5"/>
      </tp>
      <tp t="s">
        <v>#N/A N/A</v>
        <stp/>
        <stp>BDH|6775175065615703630</stp>
        <tr r="V763" s="5"/>
        <tr r="W723" s="5"/>
      </tp>
      <tp t="s">
        <v>#N/A N/A</v>
        <stp/>
        <stp>BDH|9258397232322004986</stp>
        <tr r="AD40" s="5"/>
        <tr r="AC45" s="5"/>
        <tr r="AE30" s="5"/>
        <tr r="AB50" s="5"/>
      </tp>
      <tp t="s">
        <v>#N/A N/A</v>
        <stp/>
        <stp>BDH|6422256653245625658</stp>
        <tr r="V555" s="5"/>
        <tr r="T570" s="5"/>
        <tr r="W515" s="5"/>
        <tr r="U565" s="5"/>
        <tr r="S575" s="5"/>
      </tp>
      <tp t="s">
        <v>#N/A N/A</v>
        <stp/>
        <stp>BDH|1186246342544965185</stp>
        <tr r="AD424" s="5"/>
        <tr r="AE414" s="5"/>
        <tr r="AC429" s="5"/>
        <tr r="AF374" s="5"/>
        <tr r="AB434" s="5"/>
      </tp>
      <tp t="s">
        <v>#N/A N/A</v>
        <stp/>
        <stp>BDH|5974396639387735089</stp>
        <tr r="AC466" s="5"/>
        <tr r="AF411" s="5"/>
        <tr r="AE451" s="5"/>
        <tr r="AD461" s="5"/>
        <tr r="AB471" s="5"/>
      </tp>
      <tp t="s">
        <v>#N/A N/A</v>
        <stp/>
        <stp>BDH|2006283139792645318</stp>
        <tr r="U167" s="5"/>
        <tr r="T172" s="5"/>
        <tr r="W117" s="5"/>
        <tr r="V157" s="5"/>
        <tr r="S177" s="5"/>
      </tp>
      <tp t="s">
        <v>#N/A N/A</v>
        <stp/>
        <stp>BDH|6508787022876957705</stp>
        <tr r="AE200" s="5"/>
        <tr r="AF161" s="5"/>
        <tr r="AD210" s="5"/>
        <tr r="AC215" s="5"/>
        <tr r="AB220" s="5"/>
      </tp>
      <tp t="s">
        <v>#N/A N/A</v>
        <stp/>
        <stp>BDH|7647577604544575473</stp>
        <tr r="AF263" s="5"/>
        <tr r="AD313" s="5"/>
        <tr r="AC318" s="5"/>
        <tr r="AE303" s="5"/>
        <tr r="AB323" s="5"/>
      </tp>
      <tp t="s">
        <v>#N/A N/A</v>
        <stp/>
        <stp>BDH|3339226452691626728</stp>
        <tr r="V351" s="5"/>
        <tr r="U361" s="5"/>
        <tr r="T366" s="5"/>
        <tr r="W311" s="5"/>
        <tr r="S371" s="5"/>
      </tp>
      <tp t="s">
        <v>#N/A N/A</v>
        <stp/>
        <stp>BDH|9076991593579818258</stp>
        <tr r="W426" s="5"/>
        <tr r="V466" s="5"/>
        <tr r="U476" s="5"/>
        <tr r="T481" s="5"/>
        <tr r="S486" s="5"/>
      </tp>
      <tp t="s">
        <v>#N/A N/A</v>
        <stp/>
        <stp>BDH|5312857511267465973</stp>
        <tr r="W128" s="5"/>
        <tr r="V168" s="5"/>
        <tr r="U178" s="5"/>
        <tr r="S187" s="5"/>
      </tp>
      <tp t="s">
        <v>#N/A N/A</v>
        <stp/>
        <stp>BDH|2860411742066612699</stp>
        <tr r="T652" s="5"/>
        <tr r="U647" s="5"/>
        <tr r="W597" s="5"/>
        <tr r="V637" s="5"/>
        <tr r="S657" s="5"/>
      </tp>
      <tp t="s">
        <v>#N/A N/A</v>
        <stp/>
        <stp>BDH|5294071954334577602</stp>
        <tr r="AF67" s="5"/>
        <tr r="AE107" s="5"/>
        <tr r="AD117" s="5"/>
        <tr r="AC122" s="5"/>
        <tr r="AB127" s="5"/>
      </tp>
      <tp t="s">
        <v>#N/A N/A</v>
        <stp/>
        <stp>BDH|5798203618641294586</stp>
        <tr r="U723" s="5"/>
        <tr r="W673" s="5"/>
        <tr r="V713" s="5"/>
        <tr r="T728" s="5"/>
        <tr r="S733" s="5"/>
      </tp>
      <tp t="s">
        <v>#N/A N/A</v>
        <stp/>
        <stp>BDH|2002793048284260764</stp>
        <tr r="V66" s="5"/>
        <tr r="W26" s="5"/>
        <tr r="U76" s="5"/>
        <tr r="T81" s="5"/>
        <tr r="S86" s="5"/>
      </tp>
      <tp t="s">
        <v>#N/A N/A</v>
        <stp/>
        <stp>BDH|5037789317319293884</stp>
        <tr r="T534" s="5"/>
        <tr r="V519" s="5"/>
        <tr r="W479" s="5"/>
        <tr r="U529" s="5"/>
        <tr r="S539" s="5"/>
      </tp>
      <tp t="s">
        <v>#N/A N/A</v>
        <stp/>
        <stp>BDH|2813970795956707681</stp>
        <tr r="AD714" s="5"/>
        <tr r="AE704" s="5"/>
        <tr r="AF664" s="5"/>
        <tr r="AC719" s="5"/>
        <tr r="AB724" s="5"/>
      </tp>
      <tp t="s">
        <v>#N/A N/A</v>
        <stp/>
        <stp>BDH|5438229866536348561</stp>
        <tr r="T157" s="5"/>
        <tr r="V142" s="5"/>
        <tr r="U152" s="5"/>
        <tr r="W102" s="5"/>
        <tr r="S162" s="5"/>
      </tp>
      <tp t="s">
        <v>#N/A N/A</v>
        <stp/>
        <stp>BDH|7019596809763341294</stp>
        <tr r="AC747" s="5"/>
        <tr r="AD742" s="5"/>
        <tr r="AF692" s="5"/>
        <tr r="AE732" s="5"/>
        <tr r="AB752" s="5"/>
      </tp>
      <tp t="s">
        <v>#N/A N/A</v>
        <stp/>
        <stp>BDH|9440863742136268087</stp>
        <tr r="W70" s="5"/>
        <tr r="T125" s="5"/>
        <tr r="U120" s="5"/>
        <tr r="V110" s="5"/>
        <tr r="S130" s="5"/>
      </tp>
      <tp t="s">
        <v>#N/A N/A</v>
        <stp/>
        <stp>BDH|7795156691609106582</stp>
        <tr r="AC47" s="5"/>
        <tr r="AE32" s="5"/>
        <tr r="AD42" s="5"/>
        <tr r="AB52" s="5"/>
      </tp>
      <tp t="s">
        <v>#N/A N/A</v>
        <stp/>
        <stp>BDH|3733546728502644568</stp>
        <tr r="W431" s="5"/>
        <tr r="U481" s="5"/>
        <tr r="V471" s="5"/>
        <tr r="T486" s="5"/>
        <tr r="S491" s="5"/>
      </tp>
      <tp t="s">
        <v>#N/A N/A</v>
        <stp/>
        <stp>BDH|3886327055312389478</stp>
        <tr r="V745" s="5"/>
        <tr r="W705" s="5"/>
        <tr r="T760" s="5"/>
        <tr r="U755" s="5"/>
        <tr r="S765" s="5"/>
      </tp>
      <tp t="s">
        <v>#N/A N/A</v>
        <stp/>
        <stp>BDH|2009905023243954926</stp>
        <tr r="AE340" s="5"/>
        <tr r="AF300" s="5"/>
        <tr r="AC355" s="5"/>
        <tr r="AD350" s="5"/>
        <tr r="AB360" s="5"/>
      </tp>
      <tp t="s">
        <v>#N/A N/A</v>
        <stp/>
        <stp>BDH|5107151761585987445</stp>
        <tr r="W367" s="5"/>
        <tr r="T422" s="5"/>
        <tr r="V407" s="5"/>
        <tr r="U417" s="5"/>
        <tr r="S427" s="5"/>
      </tp>
      <tp t="s">
        <v>#N/A N/A</v>
        <stp/>
        <stp>BDH|5565172069068643958</stp>
        <tr r="AF426" s="5"/>
        <tr r="AE466" s="5"/>
        <tr r="AD476" s="5"/>
        <tr r="AC481" s="5"/>
        <tr r="AB486" s="5"/>
      </tp>
      <tp t="s">
        <v>#N/A N/A</v>
        <stp/>
        <stp>BDH|1122622249580068029</stp>
        <tr r="U519" s="5"/>
        <tr r="W469" s="5"/>
        <tr r="V509" s="5"/>
        <tr r="T524" s="5"/>
        <tr r="S529" s="5"/>
      </tp>
      <tp t="s">
        <v>#N/A N/A</v>
        <stp/>
        <stp>BDH|2018790875620035154</stp>
        <tr r="AC668" s="5"/>
        <tr r="AD663" s="5"/>
        <tr r="AF613" s="5"/>
        <tr r="AE653" s="5"/>
        <tr r="AB673" s="5"/>
      </tp>
      <tp t="s">
        <v>#N/A N/A</v>
        <stp/>
        <stp>BDH|4400646408035100403</stp>
        <tr r="T434" s="5"/>
        <tr r="W379" s="5"/>
        <tr r="V419" s="5"/>
        <tr r="U429" s="5"/>
        <tr r="S439" s="5"/>
      </tp>
      <tp t="s">
        <v>#N/A N/A</v>
        <stp/>
        <stp>BDH|5040518487052884972</stp>
        <tr r="W328" s="5"/>
        <tr r="U378" s="5"/>
        <tr r="V368" s="5"/>
        <tr r="T383" s="5"/>
        <tr r="S388" s="5"/>
      </tp>
      <tp t="s">
        <v>#N/A N/A</v>
        <stp/>
        <stp>BDH|5891556813516228450</stp>
        <tr r="T23" s="5"/>
        <tr r="S28" s="5"/>
      </tp>
      <tp t="s">
        <v>#N/A N/A</v>
        <stp/>
        <stp>BDH|8972298118100159803</stp>
        <tr r="AC602" s="5"/>
        <tr r="AE587" s="5"/>
        <tr r="AD597" s="5"/>
        <tr r="AF547" s="5"/>
        <tr r="AB607" s="5"/>
      </tp>
      <tp t="s">
        <v>#N/A N/A</v>
        <stp/>
        <stp>BDH|5772594154766189027</stp>
        <tr r="AC625" s="5"/>
        <tr r="AD620" s="5"/>
        <tr r="AF570" s="5"/>
        <tr r="AE610" s="5"/>
        <tr r="AB630" s="5"/>
      </tp>
      <tp t="s">
        <v>#N/A N/A</v>
        <stp/>
        <stp>BDH|1216255325032285093</stp>
        <tr r="AE721" s="5"/>
        <tr r="AC736" s="5"/>
        <tr r="AD731" s="5"/>
        <tr r="AF681" s="5"/>
        <tr r="AB741" s="5"/>
      </tp>
      <tp t="s">
        <v>#N/A N/A</v>
        <stp/>
        <stp>BDH|5718464259436790119</stp>
        <tr r="AE373" s="5"/>
        <tr r="AF333" s="5"/>
        <tr r="AC388" s="5"/>
        <tr r="AD383" s="5"/>
        <tr r="AB393" s="5"/>
      </tp>
      <tp t="s">
        <v>#N/A N/A</v>
        <stp/>
        <stp>BDH|9792424164901780989</stp>
        <tr r="AC662" s="5"/>
        <tr r="AF607" s="5"/>
        <tr r="AE647" s="5"/>
        <tr r="AD657" s="5"/>
        <tr r="AB667" s="5"/>
      </tp>
      <tp t="s">
        <v>#N/A N/A</v>
        <stp/>
        <stp>BDH|9423289978159893628</stp>
        <tr r="AD553" s="5"/>
        <tr r="AE543" s="5"/>
        <tr r="AC558" s="5"/>
        <tr r="AF503" s="5"/>
        <tr r="AB563" s="5"/>
      </tp>
      <tp t="s">
        <v>#N/A N/A</v>
        <stp/>
        <stp>BDH|5300085414132813585</stp>
        <tr r="AF765" s="5"/>
      </tp>
      <tp t="s">
        <v>#N/A N/A</v>
        <stp/>
        <stp>BDH|6799327688769039729</stp>
        <tr r="AE596" s="5"/>
        <tr r="AC611" s="5"/>
        <tr r="AD606" s="5"/>
        <tr r="AF556" s="5"/>
        <tr r="AB616" s="5"/>
      </tp>
      <tp t="s">
        <v>#N/A N/A</v>
        <stp/>
        <stp>BDH|4085212667346188585</stp>
        <tr r="T476" s="5"/>
        <tr r="V461" s="5"/>
        <tr r="U471" s="5"/>
        <tr r="W421" s="5"/>
        <tr r="S481" s="5"/>
      </tp>
      <tp t="s">
        <v>#N/A N/A</v>
        <stp/>
        <stp>BDH|5081530007432959123</stp>
        <tr r="AD500" s="5"/>
        <tr r="AC505" s="5"/>
        <tr r="AE490" s="5"/>
        <tr r="AF450" s="5"/>
        <tr r="AB510" s="5"/>
      </tp>
      <tp t="s">
        <v>#N/A N/A</v>
        <stp/>
        <stp>BDH|2609919213828242198</stp>
        <tr r="AB23" s="5"/>
      </tp>
      <tp t="s">
        <v>#N/A N/A</v>
        <stp/>
        <stp>BDH|3408395428473397297</stp>
        <tr r="AC119" s="5"/>
        <tr r="AD114" s="5"/>
        <tr r="AE104" s="5"/>
        <tr r="AF64" s="5"/>
        <tr r="AB124" s="5"/>
      </tp>
      <tp t="s">
        <v>#N/A N/A</v>
        <stp/>
        <stp>BDH|5868888003289817779</stp>
        <tr r="U414" s="5"/>
        <tr r="T419" s="5"/>
        <tr r="W364" s="5"/>
        <tr r="V404" s="5"/>
        <tr r="S424" s="5"/>
      </tp>
      <tp t="s">
        <v>#N/A N/A</v>
        <stp/>
        <stp>BDH|8249897333544416412</stp>
        <tr r="W191" s="5"/>
        <tr r="T246" s="5"/>
        <tr r="U241" s="5"/>
        <tr r="V231" s="5"/>
        <tr r="S251" s="5"/>
      </tp>
      <tp t="s">
        <v>#N/A N/A</v>
        <stp/>
        <stp>BDH|5483164063845553496</stp>
        <tr r="T113" s="5"/>
        <tr r="W58" s="5"/>
        <tr r="U108" s="5"/>
        <tr r="V98" s="5"/>
        <tr r="S118" s="5"/>
      </tp>
      <tp t="s">
        <v>#N/A N/A</v>
        <stp/>
        <stp>BDH|1648296355782674715</stp>
        <tr r="AF287" s="5"/>
        <tr r="AC342" s="5"/>
        <tr r="AD337" s="5"/>
        <tr r="AE327" s="5"/>
        <tr r="AB347" s="5"/>
      </tp>
      <tp t="s">
        <v>#N/A N/A</v>
        <stp/>
        <stp>BDH|5303543691173655925</stp>
        <tr r="AD37" s="5"/>
        <tr r="AE27" s="5"/>
        <tr r="AC42" s="5"/>
        <tr r="AB47" s="5"/>
      </tp>
      <tp t="s">
        <v>#N/A N/A</v>
        <stp/>
        <stp>BDH|3540000532004007753</stp>
        <tr r="AE633" s="5"/>
        <tr r="AF593" s="5"/>
        <tr r="AD643" s="5"/>
        <tr r="AC648" s="5"/>
        <tr r="AB653" s="5"/>
      </tp>
      <tp t="s">
        <v>#N/A N/A</v>
        <stp/>
        <stp>BDH|2773634549824760780</stp>
        <tr r="AC502" s="5"/>
        <tr r="AD497" s="5"/>
        <tr r="AE487" s="5"/>
        <tr r="AF447" s="5"/>
        <tr r="AB507" s="5"/>
      </tp>
      <tp t="s">
        <v>#N/A N/A</v>
        <stp/>
        <stp>BDH|7649000813137588223</stp>
        <tr r="W753" s="5"/>
      </tp>
      <tp t="s">
        <v>#N/A N/A</v>
        <stp/>
        <stp>BDH|2507621959327862556</stp>
        <tr r="U501" s="5"/>
        <tr r="V491" s="5"/>
        <tr r="W451" s="5"/>
        <tr r="T506" s="5"/>
        <tr r="S511" s="5"/>
      </tp>
      <tp t="s">
        <v>#N/A N/A</v>
        <stp/>
        <stp>BDH|5999149082808821746</stp>
        <tr r="AF282" s="5"/>
        <tr r="AC337" s="5"/>
        <tr r="AE322" s="5"/>
        <tr r="AD332" s="5"/>
        <tr r="AB342" s="5"/>
      </tp>
      <tp t="s">
        <v>#N/A N/A</v>
        <stp/>
        <stp>BDH|8999797692021953484</stp>
        <tr r="AC50" s="5"/>
        <tr r="AE35" s="5"/>
        <tr r="AD45" s="5"/>
        <tr r="AB55" s="5"/>
      </tp>
      <tp t="s">
        <v>#N/A N/A</v>
        <stp/>
        <stp>BDH|9166814017810122368</stp>
        <tr r="V354" s="5"/>
        <tr r="T369" s="5"/>
        <tr r="U364" s="5"/>
        <tr r="W314" s="5"/>
        <tr r="S374" s="5"/>
      </tp>
      <tp t="s">
        <v>#N/A N/A</v>
        <stp/>
        <stp>BDH|8226300006470089844</stp>
        <tr r="V195" s="5"/>
        <tr r="U205" s="5"/>
        <tr r="W156" s="5"/>
        <tr r="T210" s="5"/>
        <tr r="S215" s="5"/>
      </tp>
      <tp t="s">
        <v>#N/A N/A</v>
        <stp/>
        <stp>BDH|3094152555662630661</stp>
        <tr r="AC266" s="5"/>
        <tr r="AE251" s="5"/>
        <tr r="AF211" s="5"/>
        <tr r="AD261" s="5"/>
        <tr r="AB271" s="5"/>
      </tp>
      <tp t="s">
        <v>#N/A N/A</v>
        <stp/>
        <stp>BDH|2617500417676405358</stp>
        <tr r="T34" s="5"/>
        <tr r="U29" s="5"/>
        <tr r="S39" s="5"/>
      </tp>
      <tp t="s">
        <v>#N/A N/A</v>
        <stp/>
        <stp>BDH|7088897176833758892</stp>
        <tr r="AD555" s="5"/>
        <tr r="AE545" s="5"/>
        <tr r="AC560" s="5"/>
        <tr r="AF505" s="5"/>
        <tr r="AB565" s="5"/>
      </tp>
      <tp t="s">
        <v>#N/A N/A</v>
        <stp/>
        <stp>BDH|7076343956420770244</stp>
        <tr r="AF177" s="5"/>
        <tr r="AD226" s="5"/>
        <tr r="AC231" s="5"/>
        <tr r="AE216" s="5"/>
        <tr r="AB236" s="5"/>
      </tp>
      <tp t="s">
        <v>#N/A N/A</v>
        <stp/>
        <stp>BDH|2869608671231803109</stp>
        <tr r="W92" s="5"/>
        <tr r="T147" s="5"/>
        <tr r="U142" s="5"/>
        <tr r="V132" s="5"/>
        <tr r="S152" s="5"/>
      </tp>
      <tp t="s">
        <v>#N/A N/A</v>
        <stp/>
        <stp>BDH|9559960191252649857</stp>
        <tr r="T389" s="5"/>
        <tr r="U384" s="5"/>
        <tr r="W334" s="5"/>
        <tr r="V374" s="5"/>
        <tr r="S394" s="5"/>
      </tp>
      <tp t="s">
        <v>#N/A N/A</v>
        <stp/>
        <stp>BDH|9148021642079998794</stp>
        <tr r="U525" s="5"/>
        <tr r="V515" s="5"/>
        <tr r="T530" s="5"/>
        <tr r="W475" s="5"/>
        <tr r="S535" s="5"/>
      </tp>
      <tp t="s">
        <v>#N/A N/A</v>
        <stp/>
        <stp>BDH|1837513542926233587</stp>
        <tr r="T426" s="5"/>
        <tr r="V411" s="5"/>
        <tr r="U421" s="5"/>
        <tr r="W371" s="5"/>
        <tr r="S431" s="5"/>
      </tp>
      <tp t="s">
        <v>#N/A N/A</v>
        <stp/>
        <stp>BDH|6576774922572466224</stp>
        <tr r="W746" s="5"/>
      </tp>
      <tp t="s">
        <v>#N/A N/A</v>
        <stp/>
        <stp>BDH|9034969264614548111</stp>
        <tr r="AF430" s="5"/>
        <tr r="AE470" s="5"/>
        <tr r="AC485" s="5"/>
        <tr r="AD480" s="5"/>
        <tr r="AB490" s="5"/>
      </tp>
      <tp t="s">
        <v>#N/A N/A</v>
        <stp/>
        <stp>BDH|9697544954709114308</stp>
        <tr r="W717" s="5"/>
        <tr r="U767" s="5"/>
        <tr r="V757" s="5"/>
      </tp>
      <tp t="s">
        <v>#N/A N/A</v>
        <stp/>
        <stp>BDH|1332139836986469656</stp>
        <tr r="T683" s="5"/>
        <tr r="U678" s="5"/>
        <tr r="V668" s="5"/>
        <tr r="W628" s="5"/>
        <tr r="S688" s="5"/>
      </tp>
      <tp t="s">
        <v>#N/A N/A</v>
        <stp/>
        <stp>BDH|7377366148572256183</stp>
        <tr r="AD594" s="5"/>
        <tr r="AC599" s="5"/>
        <tr r="AF544" s="5"/>
        <tr r="AE584" s="5"/>
        <tr r="AB604" s="5"/>
      </tp>
      <tp t="s">
        <v>#N/A N/A</v>
        <stp/>
        <stp>BDH|4202609517053104332</stp>
        <tr r="T316" s="5"/>
        <tr r="V301" s="5"/>
        <tr r="U311" s="5"/>
        <tr r="W261" s="5"/>
        <tr r="S321" s="5"/>
      </tp>
      <tp t="s">
        <v>#N/A N/A</v>
        <stp/>
        <stp>BDH|7533635210860746361</stp>
        <tr r="W416" s="5"/>
        <tr r="U466" s="5"/>
        <tr r="V456" s="5"/>
        <tr r="T471" s="5"/>
        <tr r="S476" s="5"/>
      </tp>
      <tp t="s">
        <v>#N/A N/A</v>
        <stp/>
        <stp>BDH|9663415194060595710</stp>
        <tr r="AE742" s="5"/>
        <tr r="AF702" s="5"/>
        <tr r="AD752" s="5"/>
        <tr r="AC757" s="5"/>
        <tr r="AB762" s="5"/>
      </tp>
      <tp t="s">
        <v>#N/A N/A</v>
        <stp/>
        <stp>BDH|5449009122170533442</stp>
        <tr r="W474" s="5"/>
        <tr r="T529" s="5"/>
        <tr r="V514" s="5"/>
        <tr r="U524" s="5"/>
        <tr r="S534" s="5"/>
      </tp>
      <tp t="s">
        <v>#N/A N/A</v>
        <stp/>
        <stp>BDH|1140101002691789235</stp>
        <tr r="AD198" s="5"/>
        <tr r="AE188" s="5"/>
        <tr r="AF149" s="5"/>
        <tr r="AC203" s="5"/>
        <tr r="AB208" s="5"/>
      </tp>
      <tp t="s">
        <v>#N/A N/A</v>
        <stp/>
        <stp>BDH|8327108387905106712</stp>
        <tr r="U500" s="5"/>
        <tr r="T505" s="5"/>
        <tr r="V490" s="5"/>
        <tr r="W450" s="5"/>
        <tr r="S510" s="5"/>
      </tp>
      <tp t="s">
        <v>#N/A N/A</v>
        <stp/>
        <stp>BDH|1404941766259598479</stp>
        <tr r="AC448" s="5"/>
        <tr r="AF393" s="5"/>
        <tr r="AD443" s="5"/>
        <tr r="AE433" s="5"/>
        <tr r="AB453" s="5"/>
      </tp>
      <tp t="s">
        <v>#N/A N/A</v>
        <stp/>
        <stp>BDH|4866076308903227419</stp>
        <tr r="U728" s="5"/>
        <tr r="T733" s="5"/>
        <tr r="V718" s="5"/>
        <tr r="W678" s="5"/>
        <tr r="S738" s="5"/>
      </tp>
      <tp t="s">
        <v>#N/A N/A</v>
        <stp/>
        <stp>BDH|3633906554729037564</stp>
        <tr r="AC410" s="5"/>
        <tr r="AF355" s="5"/>
        <tr r="AE395" s="5"/>
        <tr r="AD405" s="5"/>
        <tr r="AB415" s="5"/>
      </tp>
      <tp t="s">
        <v>#N/A N/A</v>
        <stp/>
        <stp>BDH|9283065773019411478</stp>
        <tr r="W222" s="5"/>
        <tr r="V262" s="5"/>
        <tr r="T277" s="5"/>
        <tr r="U272" s="5"/>
        <tr r="S282" s="5"/>
      </tp>
      <tp t="s">
        <v>#N/A N/A</v>
        <stp/>
        <stp>BDH|9328224810630356963</stp>
        <tr r="V373" s="5"/>
        <tr r="W333" s="5"/>
        <tr r="T388" s="5"/>
        <tr r="U383" s="5"/>
        <tr r="S393" s="5"/>
      </tp>
      <tp t="s">
        <v>#N/A N/A</v>
        <stp/>
        <stp>BDH|5490344076684093628</stp>
        <tr r="V173" s="5"/>
        <tr r="W133" s="5"/>
        <tr r="T187" s="5"/>
        <tr r="S192" s="5"/>
      </tp>
      <tp t="s">
        <v>#N/A N/A</v>
        <stp/>
        <stp>BDH|2096569733006013108</stp>
        <tr r="T704" s="5"/>
        <tr r="V689" s="5"/>
        <tr r="W649" s="5"/>
        <tr r="U699" s="5"/>
        <tr r="S709" s="5"/>
      </tp>
      <tp t="s">
        <v>#N/A N/A</v>
        <stp/>
        <stp>BDH|65886109565779339</stp>
        <tr r="AD696" s="5"/>
        <tr r="AC701" s="5"/>
        <tr r="AF646" s="5"/>
        <tr r="AE686" s="5"/>
        <tr r="AB706" s="5"/>
      </tp>
      <tp t="s">
        <v>#N/A N/A</v>
        <stp/>
        <stp>BDH|670365715240861707</stp>
        <tr r="AE65" s="5"/>
        <tr r="AC80" s="5"/>
        <tr r="AD75" s="5"/>
        <tr r="AF25" s="5"/>
        <tr r="AB85" s="5"/>
      </tp>
      <tp t="s">
        <v>#N/A N/A</v>
        <stp/>
        <stp>BDH|260280348280227390</stp>
        <tr r="AF770" s="5"/>
      </tp>
      <tp t="s">
        <v>#N/A N/A</v>
        <stp/>
        <stp>BDH|435993458481785891</stp>
        <tr r="V591" s="5"/>
        <tr r="U601" s="5"/>
        <tr r="T606" s="5"/>
        <tr r="W551" s="5"/>
        <tr r="S611" s="5"/>
      </tp>
      <tp t="s">
        <v>#N/A N/A</v>
        <stp/>
        <stp>BDH|195786677316936363</stp>
        <tr r="AF713" s="5"/>
        <tr r="AD763" s="5"/>
        <tr r="AC768" s="5"/>
        <tr r="AE753" s="5"/>
      </tp>
      <tp t="s">
        <v>#N/A N/A</v>
        <stp/>
        <stp>BDH|605660709533686136</stp>
        <tr r="AF343" s="5"/>
        <tr r="AD393" s="5"/>
        <tr r="AC398" s="5"/>
        <tr r="AE383" s="5"/>
        <tr r="AB403" s="5"/>
      </tp>
      <tp t="s">
        <v>#N/A N/A</v>
        <stp/>
        <stp>BDH|850635418914838720</stp>
        <tr r="T281" s="5"/>
        <tr r="V266" s="5"/>
        <tr r="W226" s="5"/>
        <tr r="U276" s="5"/>
        <tr r="S286" s="5"/>
      </tp>
      <tp t="s">
        <v>#N/A N/A</v>
        <stp/>
        <stp>BDH|570255523692287681</stp>
        <tr r="AC576" s="5"/>
        <tr r="AD571" s="5"/>
        <tr r="AF521" s="5"/>
        <tr r="AE561" s="5"/>
        <tr r="AB581" s="5"/>
      </tp>
      <tp t="s">
        <v>#N/A N/A</v>
        <stp/>
        <stp>BDH|614289662006425618</stp>
        <tr r="AE492" s="5"/>
        <tr r="AD502" s="5"/>
        <tr r="AF452" s="5"/>
        <tr r="AC507" s="5"/>
        <tr r="AB512" s="5"/>
      </tp>
      <tp t="s">
        <v>#N/A N/A</v>
        <stp/>
        <stp>BDH|694160531073684532</stp>
        <tr r="T77" s="5"/>
        <tr r="W22" s="5"/>
        <tr r="V62" s="5"/>
        <tr r="U72" s="5"/>
        <tr r="S82" s="5"/>
      </tp>
      <tp t="s">
        <v>#N/A N/A</v>
        <stp/>
        <stp>BDH|768223904525594314</stp>
        <tr r="T456" s="5"/>
        <tr r="V441" s="5"/>
        <tr r="U451" s="5"/>
        <tr r="W401" s="5"/>
        <tr r="S461" s="5"/>
      </tp>
      <tp t="s">
        <v>#N/A N/A</v>
        <stp/>
        <stp>BDH|453985761129950235</stp>
        <tr r="AE155" s="5"/>
        <tr r="AF115" s="5"/>
        <tr r="AD165" s="5"/>
        <tr r="AC170" s="5"/>
        <tr r="AB175" s="5"/>
      </tp>
      <tp t="s">
        <v>#N/A N/A</v>
        <stp/>
        <stp>BDH|207008158346879726</stp>
        <tr r="U71" s="5"/>
        <tr r="T76" s="5"/>
        <tr r="V61" s="5"/>
        <tr r="W21" s="5"/>
        <tr r="S81" s="5"/>
      </tp>
      <tp t="s">
        <v>#N/A N/A</v>
        <stp/>
        <stp>BDH|611104657850822097</stp>
        <tr r="AD440" s="5"/>
        <tr r="AF390" s="5"/>
        <tr r="AE430" s="5"/>
        <tr r="AC445" s="5"/>
        <tr r="AB450" s="5"/>
      </tp>
      <tp t="s">
        <v>#N/A N/A</v>
        <stp/>
        <stp>BDH|926150839734749214</stp>
        <tr r="AF696" s="5"/>
        <tr r="AD746" s="5"/>
        <tr r="AE736" s="5"/>
        <tr r="AC751" s="5"/>
        <tr r="AB756" s="5"/>
      </tp>
      <tp t="s">
        <v>#N/A N/A</v>
        <stp/>
        <stp>BDH|741568323376146681</stp>
        <tr r="AF599" s="5"/>
        <tr r="AD649" s="5"/>
        <tr r="AC654" s="5"/>
        <tr r="AE639" s="5"/>
        <tr r="AB659" s="5"/>
      </tp>
      <tp t="s">
        <v>#N/A N/A</v>
        <stp/>
        <stp>BDH|990305977960138348</stp>
        <tr r="AC585" s="5"/>
        <tr r="AF530" s="5"/>
        <tr r="AE570" s="5"/>
        <tr r="AD580" s="5"/>
        <tr r="AB590" s="5"/>
      </tp>
      <tp t="s">
        <v>#N/A N/A</v>
        <stp/>
        <stp>BDH|815924021488825481</stp>
        <tr r="V677" s="5"/>
        <tr r="U687" s="5"/>
        <tr r="T692" s="5"/>
        <tr r="W637" s="5"/>
        <tr r="S697" s="5"/>
      </tp>
      <tp t="s">
        <v>#N/A N/A</v>
        <stp/>
        <stp>BDH|465718802657658751</stp>
        <tr r="AF618" s="5"/>
        <tr r="AC673" s="5"/>
        <tr r="AD668" s="5"/>
        <tr r="AE658" s="5"/>
        <tr r="AB678" s="5"/>
      </tp>
      <tp t="s">
        <v>#N/A N/A</v>
        <stp/>
        <stp>BDH|398724461722115474</stp>
        <tr r="AF122" s="5"/>
        <tr r="AD172" s="5"/>
        <tr r="AC177" s="5"/>
        <tr r="AE162" s="5"/>
        <tr r="AB182" s="5"/>
      </tp>
      <tp t="s">
        <v>#N/A N/A</v>
        <stp/>
        <stp>BDH|719664028786858514</stp>
        <tr r="AC683" s="5"/>
        <tr r="AD678" s="5"/>
        <tr r="AE668" s="5"/>
        <tr r="AF628" s="5"/>
        <tr r="AB688" s="5"/>
      </tp>
      <tp t="s">
        <v>#N/A N/A</v>
        <stp/>
        <stp>BDH|961879166691608977</stp>
        <tr r="U625" s="5"/>
        <tr r="W575" s="5"/>
        <tr r="V615" s="5"/>
        <tr r="T630" s="5"/>
        <tr r="S635" s="5"/>
      </tp>
      <tp t="s">
        <v>#N/A N/A</v>
        <stp/>
        <stp>BDH|317737467733483496</stp>
        <tr r="AF438" s="5"/>
        <tr r="AC493" s="5"/>
        <tr r="AD488" s="5"/>
        <tr r="AE478" s="5"/>
        <tr r="AB498" s="5"/>
      </tp>
      <tp t="s">
        <v>#N/A N/A</v>
        <stp/>
        <stp>BDH|888461605401615366</stp>
        <tr r="W668" s="5"/>
        <tr r="U718" s="5"/>
        <tr r="V708" s="5"/>
        <tr r="T723" s="5"/>
        <tr r="S728" s="5"/>
      </tp>
      <tp t="s">
        <v>#N/A N/A</v>
        <stp/>
        <stp>BDH|727688280171318979</stp>
        <tr r="U309" s="5"/>
        <tr r="W259" s="5"/>
        <tr r="T314" s="5"/>
        <tr r="V299" s="5"/>
        <tr r="S319" s="5"/>
      </tp>
      <tp t="s">
        <v>#N/A N/A</v>
        <stp/>
        <stp>BDH|499048746851707360</stp>
        <tr r="T668" s="5"/>
        <tr r="U663" s="5"/>
        <tr r="W613" s="5"/>
        <tr r="V653" s="5"/>
        <tr r="S673" s="5"/>
      </tp>
      <tp t="s">
        <v>#N/A N/A</v>
        <stp/>
        <stp>BDH|121869754463040810</stp>
        <tr r="W157" s="5"/>
        <tr r="V196" s="5"/>
        <tr r="T211" s="5"/>
        <tr r="U206" s="5"/>
        <tr r="S216" s="5"/>
      </tp>
      <tp t="s">
        <v>#N/A N/A</v>
        <stp/>
        <stp>BDH|280355217060080382</stp>
        <tr r="T585" s="5"/>
        <tr r="W530" s="5"/>
        <tr r="V570" s="5"/>
        <tr r="U580" s="5"/>
        <tr r="S590" s="5"/>
      </tp>
      <tp t="s">
        <v>#N/A N/A</v>
        <stp/>
        <stp>BDH|810323891132893981</stp>
        <tr r="AD94" s="5"/>
        <tr r="AC99" s="5"/>
        <tr r="AE84" s="5"/>
        <tr r="AF44" s="5"/>
        <tr r="AB104" s="5"/>
      </tp>
      <tp t="s">
        <v>#N/A N/A</v>
        <stp/>
        <stp>BDH|118963017478420169</stp>
        <tr r="U703" s="5"/>
        <tr r="V693" s="5"/>
        <tr r="W653" s="5"/>
        <tr r="T708" s="5"/>
        <tr r="S713" s="5"/>
      </tp>
      <tp t="s">
        <v>#N/A N/A</v>
        <stp/>
        <stp>BDH|780391407745300679</stp>
        <tr r="AD22" s="5"/>
        <tr r="AC27" s="5"/>
        <tr r="AB32" s="5"/>
      </tp>
      <tp t="s">
        <v>#N/A N/A</v>
        <stp/>
        <stp>BDH|786955394281113196</stp>
        <tr r="U598" s="5"/>
        <tr r="T603" s="5"/>
        <tr r="V588" s="5"/>
        <tr r="W548" s="5"/>
        <tr r="S608" s="5"/>
      </tp>
      <tp t="s">
        <v>#N/A N/A</v>
        <stp/>
        <stp>BDH|713608238075727069</stp>
        <tr r="T565" s="5"/>
        <tr r="V550" s="5"/>
        <tr r="U560" s="5"/>
        <tr r="W510" s="5"/>
        <tr r="S570" s="5"/>
      </tp>
      <tp t="s">
        <v>#N/A N/A</v>
        <stp/>
        <stp>BDH|649185716721505134</stp>
        <tr r="AC90" s="5"/>
        <tr r="AD85" s="5"/>
        <tr r="AF35" s="5"/>
        <tr r="AE75" s="5"/>
        <tr r="AB95" s="5"/>
      </tp>
      <tp t="s">
        <v>#N/A N/A</v>
        <stp/>
        <stp>BDH|313974087389936852</stp>
        <tr r="T121" s="5"/>
        <tr r="V106" s="5"/>
        <tr r="W66" s="5"/>
        <tr r="U116" s="5"/>
        <tr r="S126" s="5"/>
      </tp>
      <tp t="s">
        <v>#N/A N/A</v>
        <stp/>
        <stp>BDH|995665472778110976</stp>
        <tr r="T444" s="5"/>
        <tr r="V429" s="5"/>
        <tr r="U439" s="5"/>
        <tr r="W389" s="5"/>
        <tr r="S449" s="5"/>
      </tp>
      <tp t="s">
        <v>#N/A N/A</v>
        <stp/>
        <stp>BDH|135221034148326958</stp>
        <tr r="AC520" s="5"/>
        <tr r="AE505" s="5"/>
        <tr r="AF465" s="5"/>
        <tr r="AD515" s="5"/>
        <tr r="AB525" s="5"/>
      </tp>
      <tp t="s">
        <v>#N/A N/A</v>
        <stp/>
        <stp>BDH|872487335127476023</stp>
        <tr r="AF668" s="5"/>
        <tr r="AD718" s="5"/>
        <tr r="AE708" s="5"/>
        <tr r="AC723" s="5"/>
        <tr r="AB728" s="5"/>
      </tp>
      <tp t="s">
        <v>#N/A N/A</v>
        <stp/>
        <stp>BDH|963230710603839361</stp>
        <tr r="U138" s="5"/>
        <tr r="V128" s="5"/>
        <tr r="T143" s="5"/>
        <tr r="W88" s="5"/>
        <tr r="S148" s="5"/>
      </tp>
      <tp t="s">
        <v>#N/A N/A</v>
        <stp/>
        <stp>BDH|934434410506854039</stp>
        <tr r="W263" s="5"/>
        <tr r="U313" s="5"/>
        <tr r="T318" s="5"/>
        <tr r="V303" s="5"/>
        <tr r="S323" s="5"/>
      </tp>
      <tp t="s">
        <v>#N/A N/A</v>
        <stp/>
        <stp>BDH|183513674870613130</stp>
        <tr r="U300" s="5"/>
        <tr r="T305" s="5"/>
        <tr r="W250" s="5"/>
        <tr r="V290" s="5"/>
        <tr r="S310" s="5"/>
      </tp>
      <tp t="s">
        <v>#N/A N/A</v>
        <stp/>
        <stp>BDH|208200006280991018</stp>
        <tr r="W616" s="5"/>
        <tr r="U666" s="5"/>
        <tr r="T671" s="5"/>
        <tr r="V656" s="5"/>
        <tr r="S676" s="5"/>
      </tp>
      <tp t="s">
        <v>#N/A N/A</v>
        <stp/>
        <stp>BDH|234280632574543736</stp>
        <tr r="V500" s="5"/>
        <tr r="T515" s="5"/>
        <tr r="W460" s="5"/>
        <tr r="U510" s="5"/>
        <tr r="S520" s="5"/>
      </tp>
      <tp t="s">
        <v>#N/A N/A</v>
        <stp/>
        <stp>BDH|446372534851399369</stp>
        <tr r="AC725" s="5"/>
        <tr r="AF670" s="5"/>
        <tr r="AD720" s="5"/>
        <tr r="AE710" s="5"/>
        <tr r="AB730" s="5"/>
      </tp>
      <tp t="s">
        <v>#N/A N/A</v>
        <stp/>
        <stp>BDH|729989476373489020</stp>
        <tr r="V265" s="5"/>
        <tr r="W225" s="5"/>
        <tr r="U275" s="5"/>
        <tr r="T280" s="5"/>
        <tr r="S285" s="5"/>
      </tp>
      <tp t="s">
        <v>#N/A N/A</v>
        <stp/>
        <stp>BDH|708945741081316168</stp>
        <tr r="V594" s="5"/>
        <tr r="W554" s="5"/>
        <tr r="U604" s="5"/>
        <tr r="T609" s="5"/>
        <tr r="S614" s="5"/>
      </tp>
      <tp t="s">
        <v>#N/A N/A</v>
        <stp/>
        <stp>BDH|724564580463748361</stp>
        <tr r="T643" s="5"/>
        <tr r="V628" s="5"/>
        <tr r="W588" s="5"/>
        <tr r="U638" s="5"/>
        <tr r="S648" s="5"/>
      </tp>
      <tp t="s">
        <v>#N/A N/A</v>
        <stp/>
        <stp>BDH|528062528239810772</stp>
        <tr r="U477" s="5"/>
        <tr r="V467" s="5"/>
        <tr r="W427" s="5"/>
        <tr r="T482" s="5"/>
        <tr r="S487" s="5"/>
      </tp>
      <tp t="s">
        <v>#N/A N/A</v>
        <stp/>
        <stp>BDH|460852610135761042</stp>
        <tr r="T443" s="5"/>
        <tr r="W388" s="5"/>
        <tr r="V428" s="5"/>
        <tr r="U438" s="5"/>
        <tr r="S448" s="5"/>
      </tp>
      <tp t="s">
        <v>#N/A N/A</v>
        <stp/>
        <stp>BDH|562753139078820025</stp>
        <tr r="AD56" s="5"/>
        <tr r="AE46" s="5"/>
        <tr r="AC61" s="5"/>
        <tr r="AB66" s="5"/>
      </tp>
      <tp t="s">
        <v>#N/A N/A</v>
        <stp/>
        <stp>BDH|327211021208557792</stp>
        <tr r="T769" s="5"/>
        <tr r="W714" s="5"/>
        <tr r="U764" s="5"/>
        <tr r="V754" s="5"/>
      </tp>
      <tp t="s">
        <v>#N/A N/A</v>
        <stp/>
        <stp>BDH|503298396757513374</stp>
        <tr r="W735" s="5"/>
      </tp>
      <tp t="s">
        <v>#N/A N/A</v>
        <stp/>
        <stp>BDH|132420483015926610</stp>
        <tr r="AE259" s="5"/>
        <tr r="AF219" s="5"/>
        <tr r="AD269" s="5"/>
        <tr r="AC274" s="5"/>
        <tr r="AB279" s="5"/>
      </tp>
      <tp t="s">
        <v>#N/A N/A</v>
        <stp/>
        <stp>BDH|144019495897886170</stp>
        <tr r="AF396" s="5"/>
        <tr r="AC451" s="5"/>
        <tr r="AD446" s="5"/>
        <tr r="AE436" s="5"/>
        <tr r="AB456" s="5"/>
      </tp>
      <tp t="s">
        <v>#N/A N/A</v>
        <stp/>
        <stp>BDH|624325607825717967</stp>
        <tr r="AC63" s="5"/>
        <tr r="AD58" s="5"/>
        <tr r="AE48" s="5"/>
        <tr r="AB68" s="5"/>
      </tp>
      <tp t="s">
        <v>#N/A N/A</v>
        <stp/>
        <stp>BDH|147840160673352313</stp>
        <tr r="V163" s="5"/>
        <tr r="W123" s="5"/>
        <tr r="U173" s="5"/>
        <tr r="T178" s="5"/>
      </tp>
      <tp t="s">
        <v>#N/A N/A</v>
        <stp/>
        <stp>BDH|597152654059405318</stp>
        <tr r="T738" s="5"/>
        <tr r="W683" s="5"/>
        <tr r="U733" s="5"/>
        <tr r="V723" s="5"/>
        <tr r="S743" s="5"/>
      </tp>
      <tp t="s">
        <v>#N/A N/A</v>
        <stp/>
        <stp>BDH|846638196599989865</stp>
        <tr r="AE359" s="5"/>
        <tr r="AC374" s="5"/>
        <tr r="AD369" s="5"/>
        <tr r="AF319" s="5"/>
        <tr r="AB379" s="5"/>
      </tp>
      <tp t="s">
        <v>#N/A N/A</v>
        <stp/>
        <stp>BDH|747884210095017530</stp>
        <tr r="U445" s="5"/>
        <tr r="V435" s="5"/>
        <tr r="T450" s="5"/>
        <tr r="W395" s="5"/>
        <tr r="S455" s="5"/>
      </tp>
      <tp t="s">
        <v>#N/A N/A</v>
        <stp/>
        <stp>BDH|958099629032697914</stp>
        <tr r="AC139" s="5"/>
        <tr r="AF84" s="5"/>
        <tr r="AD134" s="5"/>
        <tr r="AE124" s="5"/>
        <tr r="AB144" s="5"/>
      </tp>
      <tp t="s">
        <v>#N/A N/A</v>
        <stp/>
        <stp>BDH|715578269832772882</stp>
        <tr r="W743" s="5"/>
      </tp>
      <tp t="s">
        <v>#N/A N/A</v>
        <stp/>
        <stp>BDH|346875653854691034</stp>
        <tr r="U722" s="5"/>
        <tr r="W672" s="5"/>
        <tr r="V712" s="5"/>
        <tr r="T727" s="5"/>
        <tr r="S732" s="5"/>
      </tp>
      <tp t="s">
        <v>#N/A N/A</v>
        <stp/>
        <stp>BDH|848831705946773636</stp>
        <tr r="AD39" s="5"/>
        <tr r="AE29" s="5"/>
        <tr r="AC44" s="5"/>
        <tr r="AB49" s="5"/>
      </tp>
      <tp t="s">
        <v>#N/A N/A</v>
        <stp/>
        <stp>BDH|502348987264058722</stp>
        <tr r="AD501" s="5"/>
        <tr r="AE491" s="5"/>
        <tr r="AF451" s="5"/>
        <tr r="AC506" s="5"/>
        <tr r="AB511" s="5"/>
      </tp>
      <tp t="s">
        <v>#N/A N/A</v>
        <stp/>
        <stp>BDH|882032625481110831</stp>
        <tr r="V274" s="5"/>
        <tr r="W234" s="5"/>
        <tr r="U284" s="5"/>
        <tr r="T289" s="5"/>
        <tr r="S294" s="5"/>
      </tp>
      <tp t="s">
        <v>#N/A N/A</v>
        <stp/>
        <stp>BDH|974186133819388077</stp>
        <tr r="W56" s="5"/>
        <tr r="U106" s="5"/>
        <tr r="T111" s="5"/>
        <tr r="V96" s="5"/>
        <tr r="S116" s="5"/>
      </tp>
      <tp t="s">
        <v>#N/A N/A</v>
        <stp/>
        <stp>BDH|429660507165394994</stp>
        <tr r="T144" s="5"/>
        <tr r="V129" s="5"/>
        <tr r="U139" s="5"/>
        <tr r="W89" s="5"/>
        <tr r="S149" s="5"/>
      </tp>
      <tp t="s">
        <v>#N/A N/A</v>
        <stp/>
        <stp>BDH|144728880005337048</stp>
        <tr r="AE92" s="5"/>
        <tr r="AD102" s="5"/>
        <tr r="AC107" s="5"/>
        <tr r="AF52" s="5"/>
        <tr r="AB112" s="5"/>
      </tp>
      <tp t="s">
        <v>#N/A N/A</v>
        <stp/>
        <stp>BDH|386410507027571977</stp>
        <tr r="V670" s="5"/>
        <tr r="U680" s="5"/>
        <tr r="W630" s="5"/>
        <tr r="T685" s="5"/>
        <tr r="S690" s="5"/>
      </tp>
      <tp t="s">
        <v>#N/A N/A</v>
        <stp/>
        <stp>BDH|469137070195660939</stp>
        <tr r="W369" s="5"/>
        <tr r="T424" s="5"/>
        <tr r="U419" s="5"/>
        <tr r="V409" s="5"/>
        <tr r="S429" s="5"/>
      </tp>
      <tp t="s">
        <v>#N/A N/A</v>
        <stp/>
        <stp>BDH|793407474139380026</stp>
        <tr r="AD60" s="5"/>
        <tr r="AC65" s="5"/>
        <tr r="AE50" s="5"/>
        <tr r="AB70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volatileDependencies" Target="volatileDependencie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12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WCC!$D$21:$D$773</c:f>
              <c:numCache>
                <c:formatCode>m/d/yyyy</c:formatCode>
                <c:ptCount val="753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46002</c:v>
                </c:pt>
                <c:pt idx="51">
                  <c:v>46001</c:v>
                </c:pt>
                <c:pt idx="52">
                  <c:v>46000</c:v>
                </c:pt>
                <c:pt idx="53">
                  <c:v>45999</c:v>
                </c:pt>
                <c:pt idx="54">
                  <c:v>45996</c:v>
                </c:pt>
                <c:pt idx="55">
                  <c:v>45995</c:v>
                </c:pt>
                <c:pt idx="56">
                  <c:v>45994</c:v>
                </c:pt>
                <c:pt idx="57">
                  <c:v>45993</c:v>
                </c:pt>
                <c:pt idx="58">
                  <c:v>45992</c:v>
                </c:pt>
                <c:pt idx="59">
                  <c:v>45989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45966</c:v>
                </c:pt>
                <c:pt idx="76">
                  <c:v>45965</c:v>
                </c:pt>
                <c:pt idx="77">
                  <c:v>45964</c:v>
                </c:pt>
                <c:pt idx="78">
                  <c:v>45961</c:v>
                </c:pt>
                <c:pt idx="79">
                  <c:v>45960</c:v>
                </c:pt>
                <c:pt idx="80">
                  <c:v>45959</c:v>
                </c:pt>
                <c:pt idx="81">
                  <c:v>45958</c:v>
                </c:pt>
                <c:pt idx="82">
                  <c:v>45957</c:v>
                </c:pt>
                <c:pt idx="83">
                  <c:v>45954</c:v>
                </c:pt>
                <c:pt idx="84">
                  <c:v>45953</c:v>
                </c:pt>
                <c:pt idx="85">
                  <c:v>45952</c:v>
                </c:pt>
                <c:pt idx="86">
                  <c:v>45951</c:v>
                </c:pt>
                <c:pt idx="87">
                  <c:v>45950</c:v>
                </c:pt>
                <c:pt idx="88">
                  <c:v>45947</c:v>
                </c:pt>
                <c:pt idx="89">
                  <c:v>45946</c:v>
                </c:pt>
                <c:pt idx="90">
                  <c:v>45945</c:v>
                </c:pt>
                <c:pt idx="91">
                  <c:v>45944</c:v>
                </c:pt>
                <c:pt idx="92">
                  <c:v>45943</c:v>
                </c:pt>
                <c:pt idx="93">
                  <c:v>45940</c:v>
                </c:pt>
                <c:pt idx="94">
                  <c:v>45939</c:v>
                </c:pt>
                <c:pt idx="95">
                  <c:v>45938</c:v>
                </c:pt>
                <c:pt idx="96">
                  <c:v>45937</c:v>
                </c:pt>
                <c:pt idx="97">
                  <c:v>45936</c:v>
                </c:pt>
                <c:pt idx="98">
                  <c:v>45933</c:v>
                </c:pt>
                <c:pt idx="99">
                  <c:v>45932</c:v>
                </c:pt>
                <c:pt idx="100">
                  <c:v>45931</c:v>
                </c:pt>
                <c:pt idx="101">
                  <c:v>45930</c:v>
                </c:pt>
                <c:pt idx="102">
                  <c:v>45929</c:v>
                </c:pt>
                <c:pt idx="103">
                  <c:v>45926</c:v>
                </c:pt>
                <c:pt idx="104">
                  <c:v>45925</c:v>
                </c:pt>
                <c:pt idx="105">
                  <c:v>45924</c:v>
                </c:pt>
                <c:pt idx="106">
                  <c:v>45923</c:v>
                </c:pt>
                <c:pt idx="107">
                  <c:v>45922</c:v>
                </c:pt>
                <c:pt idx="108">
                  <c:v>45919</c:v>
                </c:pt>
                <c:pt idx="109">
                  <c:v>45918</c:v>
                </c:pt>
                <c:pt idx="110">
                  <c:v>45917</c:v>
                </c:pt>
                <c:pt idx="111">
                  <c:v>45916</c:v>
                </c:pt>
                <c:pt idx="112">
                  <c:v>45915</c:v>
                </c:pt>
                <c:pt idx="113">
                  <c:v>45912</c:v>
                </c:pt>
                <c:pt idx="114">
                  <c:v>45911</c:v>
                </c:pt>
                <c:pt idx="115">
                  <c:v>45910</c:v>
                </c:pt>
                <c:pt idx="116">
                  <c:v>45909</c:v>
                </c:pt>
                <c:pt idx="117">
                  <c:v>45908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45841</c:v>
                </c:pt>
                <c:pt idx="163">
                  <c:v>45840</c:v>
                </c:pt>
                <c:pt idx="164">
                  <c:v>45839</c:v>
                </c:pt>
                <c:pt idx="165">
                  <c:v>45838</c:v>
                </c:pt>
                <c:pt idx="166">
                  <c:v>45835</c:v>
                </c:pt>
                <c:pt idx="167">
                  <c:v>45834</c:v>
                </c:pt>
                <c:pt idx="168">
                  <c:v>45833</c:v>
                </c:pt>
                <c:pt idx="169">
                  <c:v>45832</c:v>
                </c:pt>
                <c:pt idx="170">
                  <c:v>45831</c:v>
                </c:pt>
                <c:pt idx="171">
                  <c:v>45828</c:v>
                </c:pt>
                <c:pt idx="172">
                  <c:v>45826</c:v>
                </c:pt>
                <c:pt idx="173">
                  <c:v>45825</c:v>
                </c:pt>
                <c:pt idx="174">
                  <c:v>45824</c:v>
                </c:pt>
                <c:pt idx="175">
                  <c:v>45821</c:v>
                </c:pt>
                <c:pt idx="176">
                  <c:v>45820</c:v>
                </c:pt>
                <c:pt idx="177">
                  <c:v>45819</c:v>
                </c:pt>
                <c:pt idx="178">
                  <c:v>45818</c:v>
                </c:pt>
                <c:pt idx="179">
                  <c:v>45817</c:v>
                </c:pt>
                <c:pt idx="180">
                  <c:v>45814</c:v>
                </c:pt>
                <c:pt idx="181">
                  <c:v>45813</c:v>
                </c:pt>
                <c:pt idx="182">
                  <c:v>45812</c:v>
                </c:pt>
                <c:pt idx="183">
                  <c:v>45811</c:v>
                </c:pt>
                <c:pt idx="184">
                  <c:v>45810</c:v>
                </c:pt>
                <c:pt idx="185">
                  <c:v>45807</c:v>
                </c:pt>
                <c:pt idx="186">
                  <c:v>45806</c:v>
                </c:pt>
                <c:pt idx="187">
                  <c:v>45805</c:v>
                </c:pt>
                <c:pt idx="188">
                  <c:v>45804</c:v>
                </c:pt>
                <c:pt idx="189">
                  <c:v>45800</c:v>
                </c:pt>
                <c:pt idx="190">
                  <c:v>45799</c:v>
                </c:pt>
                <c:pt idx="191">
                  <c:v>45798</c:v>
                </c:pt>
                <c:pt idx="192">
                  <c:v>45797</c:v>
                </c:pt>
                <c:pt idx="193">
                  <c:v>45796</c:v>
                </c:pt>
                <c:pt idx="194">
                  <c:v>45793</c:v>
                </c:pt>
                <c:pt idx="195">
                  <c:v>45792</c:v>
                </c:pt>
                <c:pt idx="196">
                  <c:v>45791</c:v>
                </c:pt>
                <c:pt idx="197">
                  <c:v>45790</c:v>
                </c:pt>
                <c:pt idx="198">
                  <c:v>45789</c:v>
                </c:pt>
                <c:pt idx="199">
                  <c:v>45786</c:v>
                </c:pt>
                <c:pt idx="200">
                  <c:v>45785</c:v>
                </c:pt>
                <c:pt idx="201">
                  <c:v>45784</c:v>
                </c:pt>
                <c:pt idx="202">
                  <c:v>45783</c:v>
                </c:pt>
                <c:pt idx="203">
                  <c:v>45782</c:v>
                </c:pt>
                <c:pt idx="204">
                  <c:v>45779</c:v>
                </c:pt>
                <c:pt idx="205">
                  <c:v>45778</c:v>
                </c:pt>
                <c:pt idx="206">
                  <c:v>45777</c:v>
                </c:pt>
                <c:pt idx="207">
                  <c:v>45776</c:v>
                </c:pt>
                <c:pt idx="208">
                  <c:v>45775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45764</c:v>
                </c:pt>
                <c:pt idx="215">
                  <c:v>45763</c:v>
                </c:pt>
                <c:pt idx="216">
                  <c:v>45762</c:v>
                </c:pt>
                <c:pt idx="217">
                  <c:v>45761</c:v>
                </c:pt>
                <c:pt idx="218">
                  <c:v>45758</c:v>
                </c:pt>
                <c:pt idx="219">
                  <c:v>45757</c:v>
                </c:pt>
                <c:pt idx="220">
                  <c:v>45756</c:v>
                </c:pt>
                <c:pt idx="221">
                  <c:v>45755</c:v>
                </c:pt>
                <c:pt idx="222">
                  <c:v>45754</c:v>
                </c:pt>
                <c:pt idx="223">
                  <c:v>45751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45702</c:v>
                </c:pt>
                <c:pt idx="258">
                  <c:v>45701</c:v>
                </c:pt>
                <c:pt idx="259">
                  <c:v>45700</c:v>
                </c:pt>
                <c:pt idx="260">
                  <c:v>45699</c:v>
                </c:pt>
                <c:pt idx="261">
                  <c:v>45698</c:v>
                </c:pt>
                <c:pt idx="262">
                  <c:v>45695</c:v>
                </c:pt>
                <c:pt idx="263">
                  <c:v>45694</c:v>
                </c:pt>
                <c:pt idx="264">
                  <c:v>45693</c:v>
                </c:pt>
                <c:pt idx="265">
                  <c:v>45692</c:v>
                </c:pt>
                <c:pt idx="266">
                  <c:v>45691</c:v>
                </c:pt>
                <c:pt idx="267">
                  <c:v>45688</c:v>
                </c:pt>
                <c:pt idx="268">
                  <c:v>45687</c:v>
                </c:pt>
                <c:pt idx="269">
                  <c:v>45686</c:v>
                </c:pt>
                <c:pt idx="270">
                  <c:v>45685</c:v>
                </c:pt>
                <c:pt idx="271">
                  <c:v>45684</c:v>
                </c:pt>
                <c:pt idx="272">
                  <c:v>45681</c:v>
                </c:pt>
                <c:pt idx="273">
                  <c:v>45680</c:v>
                </c:pt>
                <c:pt idx="274">
                  <c:v>45679</c:v>
                </c:pt>
                <c:pt idx="275">
                  <c:v>45678</c:v>
                </c:pt>
                <c:pt idx="276">
                  <c:v>45674</c:v>
                </c:pt>
                <c:pt idx="277">
                  <c:v>45673</c:v>
                </c:pt>
                <c:pt idx="278">
                  <c:v>45672</c:v>
                </c:pt>
                <c:pt idx="279">
                  <c:v>45671</c:v>
                </c:pt>
                <c:pt idx="280">
                  <c:v>45670</c:v>
                </c:pt>
                <c:pt idx="281">
                  <c:v>45667</c:v>
                </c:pt>
                <c:pt idx="282">
                  <c:v>45665</c:v>
                </c:pt>
                <c:pt idx="283">
                  <c:v>45664</c:v>
                </c:pt>
                <c:pt idx="284">
                  <c:v>45663</c:v>
                </c:pt>
                <c:pt idx="285">
                  <c:v>45660</c:v>
                </c:pt>
                <c:pt idx="286">
                  <c:v>45659</c:v>
                </c:pt>
                <c:pt idx="287">
                  <c:v>45657</c:v>
                </c:pt>
                <c:pt idx="288">
                  <c:v>45656</c:v>
                </c:pt>
                <c:pt idx="289">
                  <c:v>45653</c:v>
                </c:pt>
                <c:pt idx="290">
                  <c:v>45652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45623</c:v>
                </c:pt>
                <c:pt idx="310">
                  <c:v>45622</c:v>
                </c:pt>
                <c:pt idx="311">
                  <c:v>45621</c:v>
                </c:pt>
                <c:pt idx="312">
                  <c:v>45618</c:v>
                </c:pt>
                <c:pt idx="313">
                  <c:v>45617</c:v>
                </c:pt>
                <c:pt idx="314">
                  <c:v>45616</c:v>
                </c:pt>
                <c:pt idx="315">
                  <c:v>45615</c:v>
                </c:pt>
                <c:pt idx="316">
                  <c:v>45614</c:v>
                </c:pt>
                <c:pt idx="317">
                  <c:v>45611</c:v>
                </c:pt>
                <c:pt idx="318">
                  <c:v>45610</c:v>
                </c:pt>
                <c:pt idx="319">
                  <c:v>45609</c:v>
                </c:pt>
                <c:pt idx="320">
                  <c:v>45608</c:v>
                </c:pt>
                <c:pt idx="321">
                  <c:v>45607</c:v>
                </c:pt>
                <c:pt idx="322">
                  <c:v>45604</c:v>
                </c:pt>
                <c:pt idx="323">
                  <c:v>45603</c:v>
                </c:pt>
                <c:pt idx="324">
                  <c:v>45602</c:v>
                </c:pt>
                <c:pt idx="325">
                  <c:v>45601</c:v>
                </c:pt>
                <c:pt idx="326">
                  <c:v>45600</c:v>
                </c:pt>
                <c:pt idx="327">
                  <c:v>45597</c:v>
                </c:pt>
                <c:pt idx="328">
                  <c:v>45596</c:v>
                </c:pt>
                <c:pt idx="329">
                  <c:v>45595</c:v>
                </c:pt>
                <c:pt idx="330">
                  <c:v>45594</c:v>
                </c:pt>
                <c:pt idx="331">
                  <c:v>45593</c:v>
                </c:pt>
                <c:pt idx="332">
                  <c:v>45590</c:v>
                </c:pt>
                <c:pt idx="333">
                  <c:v>45589</c:v>
                </c:pt>
                <c:pt idx="334">
                  <c:v>45588</c:v>
                </c:pt>
                <c:pt idx="335">
                  <c:v>45587</c:v>
                </c:pt>
                <c:pt idx="336">
                  <c:v>45586</c:v>
                </c:pt>
                <c:pt idx="337">
                  <c:v>45583</c:v>
                </c:pt>
                <c:pt idx="338">
                  <c:v>45582</c:v>
                </c:pt>
                <c:pt idx="339">
                  <c:v>45581</c:v>
                </c:pt>
                <c:pt idx="340">
                  <c:v>45580</c:v>
                </c:pt>
                <c:pt idx="341">
                  <c:v>45579</c:v>
                </c:pt>
                <c:pt idx="342">
                  <c:v>45576</c:v>
                </c:pt>
                <c:pt idx="343">
                  <c:v>45575</c:v>
                </c:pt>
                <c:pt idx="344">
                  <c:v>45574</c:v>
                </c:pt>
                <c:pt idx="345">
                  <c:v>45573</c:v>
                </c:pt>
                <c:pt idx="346">
                  <c:v>45572</c:v>
                </c:pt>
                <c:pt idx="347">
                  <c:v>45569</c:v>
                </c:pt>
                <c:pt idx="348">
                  <c:v>45568</c:v>
                </c:pt>
                <c:pt idx="349">
                  <c:v>45567</c:v>
                </c:pt>
                <c:pt idx="350">
                  <c:v>45566</c:v>
                </c:pt>
                <c:pt idx="351">
                  <c:v>45565</c:v>
                </c:pt>
                <c:pt idx="352">
                  <c:v>45562</c:v>
                </c:pt>
                <c:pt idx="353">
                  <c:v>45561</c:v>
                </c:pt>
                <c:pt idx="354">
                  <c:v>45560</c:v>
                </c:pt>
                <c:pt idx="355">
                  <c:v>45559</c:v>
                </c:pt>
                <c:pt idx="356">
                  <c:v>45558</c:v>
                </c:pt>
                <c:pt idx="357">
                  <c:v>45555</c:v>
                </c:pt>
                <c:pt idx="358">
                  <c:v>45554</c:v>
                </c:pt>
                <c:pt idx="359">
                  <c:v>45553</c:v>
                </c:pt>
                <c:pt idx="360">
                  <c:v>45552</c:v>
                </c:pt>
                <c:pt idx="361">
                  <c:v>45551</c:v>
                </c:pt>
                <c:pt idx="362">
                  <c:v>45548</c:v>
                </c:pt>
                <c:pt idx="363">
                  <c:v>45547</c:v>
                </c:pt>
                <c:pt idx="364">
                  <c:v>45546</c:v>
                </c:pt>
                <c:pt idx="365">
                  <c:v>45545</c:v>
                </c:pt>
                <c:pt idx="366">
                  <c:v>45544</c:v>
                </c:pt>
                <c:pt idx="367">
                  <c:v>45541</c:v>
                </c:pt>
                <c:pt idx="368">
                  <c:v>45540</c:v>
                </c:pt>
                <c:pt idx="369">
                  <c:v>45539</c:v>
                </c:pt>
                <c:pt idx="370">
                  <c:v>45538</c:v>
                </c:pt>
                <c:pt idx="371">
                  <c:v>45534</c:v>
                </c:pt>
                <c:pt idx="372">
                  <c:v>45533</c:v>
                </c:pt>
                <c:pt idx="373">
                  <c:v>45532</c:v>
                </c:pt>
                <c:pt idx="374">
                  <c:v>45531</c:v>
                </c:pt>
                <c:pt idx="375">
                  <c:v>45530</c:v>
                </c:pt>
                <c:pt idx="376">
                  <c:v>45527</c:v>
                </c:pt>
                <c:pt idx="377">
                  <c:v>45526</c:v>
                </c:pt>
                <c:pt idx="378">
                  <c:v>45525</c:v>
                </c:pt>
                <c:pt idx="379">
                  <c:v>45524</c:v>
                </c:pt>
                <c:pt idx="380">
                  <c:v>45523</c:v>
                </c:pt>
                <c:pt idx="381">
                  <c:v>45520</c:v>
                </c:pt>
                <c:pt idx="382">
                  <c:v>45519</c:v>
                </c:pt>
                <c:pt idx="383">
                  <c:v>45518</c:v>
                </c:pt>
                <c:pt idx="384">
                  <c:v>45517</c:v>
                </c:pt>
                <c:pt idx="385">
                  <c:v>45516</c:v>
                </c:pt>
                <c:pt idx="386">
                  <c:v>45513</c:v>
                </c:pt>
                <c:pt idx="387">
                  <c:v>45512</c:v>
                </c:pt>
                <c:pt idx="388">
                  <c:v>45511</c:v>
                </c:pt>
                <c:pt idx="389">
                  <c:v>45510</c:v>
                </c:pt>
                <c:pt idx="390">
                  <c:v>45509</c:v>
                </c:pt>
                <c:pt idx="391">
                  <c:v>45506</c:v>
                </c:pt>
                <c:pt idx="392">
                  <c:v>45505</c:v>
                </c:pt>
                <c:pt idx="393">
                  <c:v>45504</c:v>
                </c:pt>
                <c:pt idx="394">
                  <c:v>45503</c:v>
                </c:pt>
                <c:pt idx="395">
                  <c:v>45502</c:v>
                </c:pt>
                <c:pt idx="396">
                  <c:v>45499</c:v>
                </c:pt>
                <c:pt idx="397">
                  <c:v>45498</c:v>
                </c:pt>
                <c:pt idx="398">
                  <c:v>45497</c:v>
                </c:pt>
                <c:pt idx="399">
                  <c:v>45496</c:v>
                </c:pt>
                <c:pt idx="400">
                  <c:v>45495</c:v>
                </c:pt>
                <c:pt idx="401">
                  <c:v>45492</c:v>
                </c:pt>
                <c:pt idx="402">
                  <c:v>45491</c:v>
                </c:pt>
                <c:pt idx="403">
                  <c:v>45490</c:v>
                </c:pt>
                <c:pt idx="404">
                  <c:v>45489</c:v>
                </c:pt>
                <c:pt idx="405">
                  <c:v>45488</c:v>
                </c:pt>
                <c:pt idx="406">
                  <c:v>45485</c:v>
                </c:pt>
                <c:pt idx="407">
                  <c:v>45484</c:v>
                </c:pt>
                <c:pt idx="408">
                  <c:v>45483</c:v>
                </c:pt>
                <c:pt idx="409">
                  <c:v>45482</c:v>
                </c:pt>
                <c:pt idx="410">
                  <c:v>45481</c:v>
                </c:pt>
                <c:pt idx="411">
                  <c:v>45478</c:v>
                </c:pt>
                <c:pt idx="412">
                  <c:v>45476</c:v>
                </c:pt>
                <c:pt idx="413">
                  <c:v>45475</c:v>
                </c:pt>
                <c:pt idx="414">
                  <c:v>45474</c:v>
                </c:pt>
                <c:pt idx="415">
                  <c:v>45471</c:v>
                </c:pt>
                <c:pt idx="416">
                  <c:v>45470</c:v>
                </c:pt>
                <c:pt idx="417">
                  <c:v>45469</c:v>
                </c:pt>
                <c:pt idx="418">
                  <c:v>45468</c:v>
                </c:pt>
                <c:pt idx="419">
                  <c:v>45467</c:v>
                </c:pt>
                <c:pt idx="420">
                  <c:v>45464</c:v>
                </c:pt>
                <c:pt idx="421">
                  <c:v>45463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45453</c:v>
                </c:pt>
                <c:pt idx="429">
                  <c:v>45450</c:v>
                </c:pt>
                <c:pt idx="430">
                  <c:v>45449</c:v>
                </c:pt>
                <c:pt idx="431">
                  <c:v>45448</c:v>
                </c:pt>
                <c:pt idx="432">
                  <c:v>45447</c:v>
                </c:pt>
                <c:pt idx="433">
                  <c:v>45446</c:v>
                </c:pt>
                <c:pt idx="434">
                  <c:v>45443</c:v>
                </c:pt>
                <c:pt idx="435">
                  <c:v>45442</c:v>
                </c:pt>
                <c:pt idx="436">
                  <c:v>45441</c:v>
                </c:pt>
                <c:pt idx="437">
                  <c:v>45440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45422</c:v>
                </c:pt>
                <c:pt idx="449">
                  <c:v>45421</c:v>
                </c:pt>
                <c:pt idx="450">
                  <c:v>45420</c:v>
                </c:pt>
                <c:pt idx="451">
                  <c:v>45419</c:v>
                </c:pt>
                <c:pt idx="452">
                  <c:v>45418</c:v>
                </c:pt>
                <c:pt idx="453">
                  <c:v>45415</c:v>
                </c:pt>
                <c:pt idx="454">
                  <c:v>45414</c:v>
                </c:pt>
                <c:pt idx="455">
                  <c:v>45413</c:v>
                </c:pt>
                <c:pt idx="456">
                  <c:v>45412</c:v>
                </c:pt>
                <c:pt idx="457">
                  <c:v>45411</c:v>
                </c:pt>
                <c:pt idx="458">
                  <c:v>45408</c:v>
                </c:pt>
                <c:pt idx="459">
                  <c:v>45407</c:v>
                </c:pt>
                <c:pt idx="460">
                  <c:v>45406</c:v>
                </c:pt>
                <c:pt idx="461">
                  <c:v>45405</c:v>
                </c:pt>
                <c:pt idx="462">
                  <c:v>45404</c:v>
                </c:pt>
                <c:pt idx="463">
                  <c:v>45401</c:v>
                </c:pt>
                <c:pt idx="464">
                  <c:v>45400</c:v>
                </c:pt>
                <c:pt idx="465">
                  <c:v>45399</c:v>
                </c:pt>
                <c:pt idx="466">
                  <c:v>45398</c:v>
                </c:pt>
                <c:pt idx="467">
                  <c:v>45397</c:v>
                </c:pt>
                <c:pt idx="468">
                  <c:v>45394</c:v>
                </c:pt>
                <c:pt idx="469">
                  <c:v>45393</c:v>
                </c:pt>
                <c:pt idx="470">
                  <c:v>45392</c:v>
                </c:pt>
                <c:pt idx="471">
                  <c:v>45391</c:v>
                </c:pt>
                <c:pt idx="472">
                  <c:v>45390</c:v>
                </c:pt>
                <c:pt idx="473">
                  <c:v>45387</c:v>
                </c:pt>
                <c:pt idx="474">
                  <c:v>45386</c:v>
                </c:pt>
                <c:pt idx="475">
                  <c:v>45385</c:v>
                </c:pt>
                <c:pt idx="476">
                  <c:v>45384</c:v>
                </c:pt>
                <c:pt idx="477">
                  <c:v>45383</c:v>
                </c:pt>
                <c:pt idx="478">
                  <c:v>45379</c:v>
                </c:pt>
                <c:pt idx="479">
                  <c:v>45378</c:v>
                </c:pt>
                <c:pt idx="480">
                  <c:v>45377</c:v>
                </c:pt>
                <c:pt idx="481">
                  <c:v>45376</c:v>
                </c:pt>
                <c:pt idx="482">
                  <c:v>45373</c:v>
                </c:pt>
                <c:pt idx="483">
                  <c:v>45372</c:v>
                </c:pt>
                <c:pt idx="484">
                  <c:v>45371</c:v>
                </c:pt>
                <c:pt idx="485">
                  <c:v>45370</c:v>
                </c:pt>
                <c:pt idx="486">
                  <c:v>45369</c:v>
                </c:pt>
                <c:pt idx="487">
                  <c:v>45366</c:v>
                </c:pt>
                <c:pt idx="488">
                  <c:v>45365</c:v>
                </c:pt>
                <c:pt idx="489">
                  <c:v>45364</c:v>
                </c:pt>
                <c:pt idx="490">
                  <c:v>45363</c:v>
                </c:pt>
                <c:pt idx="491">
                  <c:v>45362</c:v>
                </c:pt>
                <c:pt idx="492">
                  <c:v>45359</c:v>
                </c:pt>
                <c:pt idx="493">
                  <c:v>45358</c:v>
                </c:pt>
                <c:pt idx="494">
                  <c:v>45357</c:v>
                </c:pt>
                <c:pt idx="495">
                  <c:v>45356</c:v>
                </c:pt>
                <c:pt idx="496">
                  <c:v>45355</c:v>
                </c:pt>
                <c:pt idx="497">
                  <c:v>45352</c:v>
                </c:pt>
                <c:pt idx="498">
                  <c:v>45351</c:v>
                </c:pt>
                <c:pt idx="499">
                  <c:v>45350</c:v>
                </c:pt>
                <c:pt idx="500">
                  <c:v>45349</c:v>
                </c:pt>
                <c:pt idx="501">
                  <c:v>45348</c:v>
                </c:pt>
                <c:pt idx="502">
                  <c:v>45345</c:v>
                </c:pt>
                <c:pt idx="503">
                  <c:v>45344</c:v>
                </c:pt>
                <c:pt idx="504">
                  <c:v>45343</c:v>
                </c:pt>
                <c:pt idx="505">
                  <c:v>45342</c:v>
                </c:pt>
                <c:pt idx="506">
                  <c:v>45338</c:v>
                </c:pt>
                <c:pt idx="507">
                  <c:v>45337</c:v>
                </c:pt>
                <c:pt idx="508">
                  <c:v>45336</c:v>
                </c:pt>
                <c:pt idx="509">
                  <c:v>45335</c:v>
                </c:pt>
                <c:pt idx="510">
                  <c:v>45334</c:v>
                </c:pt>
                <c:pt idx="511">
                  <c:v>45331</c:v>
                </c:pt>
                <c:pt idx="512">
                  <c:v>45330</c:v>
                </c:pt>
                <c:pt idx="513">
                  <c:v>45329</c:v>
                </c:pt>
                <c:pt idx="514">
                  <c:v>45328</c:v>
                </c:pt>
                <c:pt idx="515">
                  <c:v>45327</c:v>
                </c:pt>
                <c:pt idx="516">
                  <c:v>45324</c:v>
                </c:pt>
                <c:pt idx="517">
                  <c:v>45323</c:v>
                </c:pt>
                <c:pt idx="518">
                  <c:v>45322</c:v>
                </c:pt>
                <c:pt idx="519">
                  <c:v>45321</c:v>
                </c:pt>
                <c:pt idx="520">
                  <c:v>45320</c:v>
                </c:pt>
                <c:pt idx="521">
                  <c:v>45317</c:v>
                </c:pt>
                <c:pt idx="522">
                  <c:v>45316</c:v>
                </c:pt>
                <c:pt idx="523">
                  <c:v>45315</c:v>
                </c:pt>
                <c:pt idx="524">
                  <c:v>45314</c:v>
                </c:pt>
                <c:pt idx="525">
                  <c:v>45313</c:v>
                </c:pt>
                <c:pt idx="526">
                  <c:v>45310</c:v>
                </c:pt>
                <c:pt idx="527">
                  <c:v>45309</c:v>
                </c:pt>
                <c:pt idx="528">
                  <c:v>45308</c:v>
                </c:pt>
                <c:pt idx="529">
                  <c:v>45307</c:v>
                </c:pt>
                <c:pt idx="530">
                  <c:v>45303</c:v>
                </c:pt>
                <c:pt idx="531">
                  <c:v>45302</c:v>
                </c:pt>
                <c:pt idx="532">
                  <c:v>45301</c:v>
                </c:pt>
                <c:pt idx="533">
                  <c:v>45300</c:v>
                </c:pt>
                <c:pt idx="534">
                  <c:v>45299</c:v>
                </c:pt>
                <c:pt idx="535">
                  <c:v>45296</c:v>
                </c:pt>
                <c:pt idx="536">
                  <c:v>45295</c:v>
                </c:pt>
                <c:pt idx="537">
                  <c:v>45294</c:v>
                </c:pt>
                <c:pt idx="538">
                  <c:v>45293</c:v>
                </c:pt>
                <c:pt idx="539">
                  <c:v>45289</c:v>
                </c:pt>
                <c:pt idx="540">
                  <c:v>45288</c:v>
                </c:pt>
                <c:pt idx="541">
                  <c:v>45287</c:v>
                </c:pt>
                <c:pt idx="542">
                  <c:v>45286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45252</c:v>
                </c:pt>
                <c:pt idx="565">
                  <c:v>45251</c:v>
                </c:pt>
                <c:pt idx="566">
                  <c:v>45250</c:v>
                </c:pt>
                <c:pt idx="567">
                  <c:v>45247</c:v>
                </c:pt>
                <c:pt idx="568">
                  <c:v>45246</c:v>
                </c:pt>
                <c:pt idx="569">
                  <c:v>45245</c:v>
                </c:pt>
                <c:pt idx="570">
                  <c:v>45244</c:v>
                </c:pt>
                <c:pt idx="571">
                  <c:v>45243</c:v>
                </c:pt>
                <c:pt idx="572">
                  <c:v>45240</c:v>
                </c:pt>
                <c:pt idx="573">
                  <c:v>45239</c:v>
                </c:pt>
                <c:pt idx="574">
                  <c:v>45238</c:v>
                </c:pt>
                <c:pt idx="575">
                  <c:v>45237</c:v>
                </c:pt>
                <c:pt idx="576">
                  <c:v>45236</c:v>
                </c:pt>
                <c:pt idx="577">
                  <c:v>45233</c:v>
                </c:pt>
                <c:pt idx="578">
                  <c:v>45232</c:v>
                </c:pt>
                <c:pt idx="579">
                  <c:v>45231</c:v>
                </c:pt>
                <c:pt idx="580">
                  <c:v>45230</c:v>
                </c:pt>
                <c:pt idx="581">
                  <c:v>45229</c:v>
                </c:pt>
                <c:pt idx="582">
                  <c:v>45226</c:v>
                </c:pt>
                <c:pt idx="583">
                  <c:v>45225</c:v>
                </c:pt>
                <c:pt idx="584">
                  <c:v>45224</c:v>
                </c:pt>
                <c:pt idx="585">
                  <c:v>45223</c:v>
                </c:pt>
                <c:pt idx="586">
                  <c:v>45222</c:v>
                </c:pt>
                <c:pt idx="587">
                  <c:v>45219</c:v>
                </c:pt>
                <c:pt idx="588">
                  <c:v>45218</c:v>
                </c:pt>
                <c:pt idx="589">
                  <c:v>45217</c:v>
                </c:pt>
                <c:pt idx="590">
                  <c:v>45216</c:v>
                </c:pt>
                <c:pt idx="591">
                  <c:v>45215</c:v>
                </c:pt>
                <c:pt idx="592">
                  <c:v>45212</c:v>
                </c:pt>
                <c:pt idx="593">
                  <c:v>45211</c:v>
                </c:pt>
                <c:pt idx="594">
                  <c:v>45210</c:v>
                </c:pt>
                <c:pt idx="595">
                  <c:v>45209</c:v>
                </c:pt>
                <c:pt idx="596">
                  <c:v>45208</c:v>
                </c:pt>
                <c:pt idx="597">
                  <c:v>45205</c:v>
                </c:pt>
                <c:pt idx="598">
                  <c:v>45204</c:v>
                </c:pt>
                <c:pt idx="599">
                  <c:v>45203</c:v>
                </c:pt>
                <c:pt idx="600">
                  <c:v>45202</c:v>
                </c:pt>
                <c:pt idx="601">
                  <c:v>45201</c:v>
                </c:pt>
                <c:pt idx="602">
                  <c:v>45198</c:v>
                </c:pt>
                <c:pt idx="603">
                  <c:v>45197</c:v>
                </c:pt>
                <c:pt idx="604">
                  <c:v>45196</c:v>
                </c:pt>
                <c:pt idx="605">
                  <c:v>45195</c:v>
                </c:pt>
                <c:pt idx="606">
                  <c:v>45194</c:v>
                </c:pt>
                <c:pt idx="607">
                  <c:v>45191</c:v>
                </c:pt>
                <c:pt idx="608">
                  <c:v>45190</c:v>
                </c:pt>
                <c:pt idx="609">
                  <c:v>45189</c:v>
                </c:pt>
                <c:pt idx="610">
                  <c:v>45188</c:v>
                </c:pt>
                <c:pt idx="611">
                  <c:v>45187</c:v>
                </c:pt>
                <c:pt idx="612">
                  <c:v>45184</c:v>
                </c:pt>
                <c:pt idx="613">
                  <c:v>45183</c:v>
                </c:pt>
                <c:pt idx="614">
                  <c:v>45182</c:v>
                </c:pt>
                <c:pt idx="615">
                  <c:v>45181</c:v>
                </c:pt>
                <c:pt idx="616">
                  <c:v>45180</c:v>
                </c:pt>
                <c:pt idx="617">
                  <c:v>45177</c:v>
                </c:pt>
                <c:pt idx="618">
                  <c:v>45176</c:v>
                </c:pt>
                <c:pt idx="619">
                  <c:v>45175</c:v>
                </c:pt>
                <c:pt idx="620">
                  <c:v>45174</c:v>
                </c:pt>
                <c:pt idx="621">
                  <c:v>45170</c:v>
                </c:pt>
                <c:pt idx="622">
                  <c:v>45169</c:v>
                </c:pt>
                <c:pt idx="623">
                  <c:v>45168</c:v>
                </c:pt>
                <c:pt idx="624">
                  <c:v>45167</c:v>
                </c:pt>
                <c:pt idx="625">
                  <c:v>45166</c:v>
                </c:pt>
                <c:pt idx="626">
                  <c:v>45163</c:v>
                </c:pt>
                <c:pt idx="627">
                  <c:v>45162</c:v>
                </c:pt>
                <c:pt idx="628">
                  <c:v>45161</c:v>
                </c:pt>
                <c:pt idx="629">
                  <c:v>45160</c:v>
                </c:pt>
                <c:pt idx="630">
                  <c:v>45159</c:v>
                </c:pt>
                <c:pt idx="631">
                  <c:v>45156</c:v>
                </c:pt>
                <c:pt idx="632">
                  <c:v>45155</c:v>
                </c:pt>
                <c:pt idx="633">
                  <c:v>45154</c:v>
                </c:pt>
                <c:pt idx="634">
                  <c:v>45153</c:v>
                </c:pt>
                <c:pt idx="635">
                  <c:v>45152</c:v>
                </c:pt>
                <c:pt idx="636">
                  <c:v>45149</c:v>
                </c:pt>
                <c:pt idx="637">
                  <c:v>45148</c:v>
                </c:pt>
                <c:pt idx="638">
                  <c:v>45147</c:v>
                </c:pt>
                <c:pt idx="639">
                  <c:v>45146</c:v>
                </c:pt>
                <c:pt idx="640">
                  <c:v>45145</c:v>
                </c:pt>
                <c:pt idx="641">
                  <c:v>45142</c:v>
                </c:pt>
                <c:pt idx="642">
                  <c:v>45141</c:v>
                </c:pt>
                <c:pt idx="643">
                  <c:v>45140</c:v>
                </c:pt>
                <c:pt idx="644">
                  <c:v>45139</c:v>
                </c:pt>
                <c:pt idx="645">
                  <c:v>45138</c:v>
                </c:pt>
                <c:pt idx="646">
                  <c:v>45135</c:v>
                </c:pt>
                <c:pt idx="647">
                  <c:v>45134</c:v>
                </c:pt>
                <c:pt idx="648">
                  <c:v>45133</c:v>
                </c:pt>
                <c:pt idx="649">
                  <c:v>45132</c:v>
                </c:pt>
                <c:pt idx="650">
                  <c:v>45131</c:v>
                </c:pt>
                <c:pt idx="651">
                  <c:v>45128</c:v>
                </c:pt>
                <c:pt idx="652">
                  <c:v>45127</c:v>
                </c:pt>
                <c:pt idx="653">
                  <c:v>45126</c:v>
                </c:pt>
                <c:pt idx="654">
                  <c:v>45125</c:v>
                </c:pt>
                <c:pt idx="655">
                  <c:v>45124</c:v>
                </c:pt>
                <c:pt idx="656">
                  <c:v>45121</c:v>
                </c:pt>
                <c:pt idx="657">
                  <c:v>45120</c:v>
                </c:pt>
                <c:pt idx="658">
                  <c:v>45119</c:v>
                </c:pt>
                <c:pt idx="659">
                  <c:v>45118</c:v>
                </c:pt>
                <c:pt idx="660">
                  <c:v>45117</c:v>
                </c:pt>
                <c:pt idx="661">
                  <c:v>45114</c:v>
                </c:pt>
                <c:pt idx="662">
                  <c:v>45113</c:v>
                </c:pt>
                <c:pt idx="663">
                  <c:v>45112</c:v>
                </c:pt>
                <c:pt idx="664">
                  <c:v>45110</c:v>
                </c:pt>
                <c:pt idx="665">
                  <c:v>45107</c:v>
                </c:pt>
                <c:pt idx="666">
                  <c:v>45106</c:v>
                </c:pt>
                <c:pt idx="667">
                  <c:v>45105</c:v>
                </c:pt>
                <c:pt idx="668">
                  <c:v>45104</c:v>
                </c:pt>
                <c:pt idx="669">
                  <c:v>45103</c:v>
                </c:pt>
                <c:pt idx="670">
                  <c:v>45100</c:v>
                </c:pt>
                <c:pt idx="671">
                  <c:v>45099</c:v>
                </c:pt>
                <c:pt idx="672">
                  <c:v>45098</c:v>
                </c:pt>
                <c:pt idx="673">
                  <c:v>45097</c:v>
                </c:pt>
                <c:pt idx="674">
                  <c:v>45093</c:v>
                </c:pt>
                <c:pt idx="675">
                  <c:v>45092</c:v>
                </c:pt>
                <c:pt idx="676">
                  <c:v>45091</c:v>
                </c:pt>
                <c:pt idx="677">
                  <c:v>45090</c:v>
                </c:pt>
                <c:pt idx="678">
                  <c:v>45089</c:v>
                </c:pt>
                <c:pt idx="679">
                  <c:v>45086</c:v>
                </c:pt>
                <c:pt idx="680">
                  <c:v>45085</c:v>
                </c:pt>
                <c:pt idx="681">
                  <c:v>45084</c:v>
                </c:pt>
                <c:pt idx="682">
                  <c:v>45083</c:v>
                </c:pt>
                <c:pt idx="683">
                  <c:v>45082</c:v>
                </c:pt>
                <c:pt idx="684">
                  <c:v>45079</c:v>
                </c:pt>
                <c:pt idx="685">
                  <c:v>45078</c:v>
                </c:pt>
                <c:pt idx="686">
                  <c:v>45077</c:v>
                </c:pt>
                <c:pt idx="687">
                  <c:v>45076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45051</c:v>
                </c:pt>
                <c:pt idx="704">
                  <c:v>45050</c:v>
                </c:pt>
                <c:pt idx="705">
                  <c:v>45049</c:v>
                </c:pt>
                <c:pt idx="706">
                  <c:v>45048</c:v>
                </c:pt>
                <c:pt idx="707">
                  <c:v>45047</c:v>
                </c:pt>
                <c:pt idx="708">
                  <c:v>45044</c:v>
                </c:pt>
                <c:pt idx="709">
                  <c:v>45043</c:v>
                </c:pt>
                <c:pt idx="710">
                  <c:v>45042</c:v>
                </c:pt>
                <c:pt idx="711">
                  <c:v>45041</c:v>
                </c:pt>
                <c:pt idx="712">
                  <c:v>45040</c:v>
                </c:pt>
                <c:pt idx="713">
                  <c:v>45037</c:v>
                </c:pt>
                <c:pt idx="714">
                  <c:v>45036</c:v>
                </c:pt>
                <c:pt idx="715">
                  <c:v>45035</c:v>
                </c:pt>
                <c:pt idx="716">
                  <c:v>45034</c:v>
                </c:pt>
                <c:pt idx="717">
                  <c:v>45033</c:v>
                </c:pt>
                <c:pt idx="718">
                  <c:v>45030</c:v>
                </c:pt>
                <c:pt idx="719">
                  <c:v>45029</c:v>
                </c:pt>
                <c:pt idx="720">
                  <c:v>45028</c:v>
                </c:pt>
                <c:pt idx="721">
                  <c:v>45027</c:v>
                </c:pt>
                <c:pt idx="722">
                  <c:v>45026</c:v>
                </c:pt>
                <c:pt idx="723">
                  <c:v>45022</c:v>
                </c:pt>
                <c:pt idx="724">
                  <c:v>45021</c:v>
                </c:pt>
                <c:pt idx="725">
                  <c:v>45020</c:v>
                </c:pt>
                <c:pt idx="726">
                  <c:v>45019</c:v>
                </c:pt>
                <c:pt idx="727">
                  <c:v>45016</c:v>
                </c:pt>
                <c:pt idx="728">
                  <c:v>45015</c:v>
                </c:pt>
                <c:pt idx="729">
                  <c:v>45014</c:v>
                </c:pt>
                <c:pt idx="730">
                  <c:v>45013</c:v>
                </c:pt>
                <c:pt idx="731">
                  <c:v>45012</c:v>
                </c:pt>
                <c:pt idx="732">
                  <c:v>45009</c:v>
                </c:pt>
                <c:pt idx="733">
                  <c:v>45008</c:v>
                </c:pt>
                <c:pt idx="734">
                  <c:v>45007</c:v>
                </c:pt>
                <c:pt idx="735">
                  <c:v>45006</c:v>
                </c:pt>
                <c:pt idx="736">
                  <c:v>45005</c:v>
                </c:pt>
                <c:pt idx="737">
                  <c:v>45002</c:v>
                </c:pt>
                <c:pt idx="738">
                  <c:v>45001</c:v>
                </c:pt>
                <c:pt idx="739">
                  <c:v>45000</c:v>
                </c:pt>
                <c:pt idx="740">
                  <c:v>44999</c:v>
                </c:pt>
                <c:pt idx="741">
                  <c:v>44998</c:v>
                </c:pt>
                <c:pt idx="742">
                  <c:v>44995</c:v>
                </c:pt>
                <c:pt idx="743">
                  <c:v>44994</c:v>
                </c:pt>
                <c:pt idx="744">
                  <c:v>44993</c:v>
                </c:pt>
                <c:pt idx="745">
                  <c:v>44992</c:v>
                </c:pt>
                <c:pt idx="746">
                  <c:v>44991</c:v>
                </c:pt>
                <c:pt idx="747">
                  <c:v>44988</c:v>
                </c:pt>
                <c:pt idx="748">
                  <c:v>44987</c:v>
                </c:pt>
                <c:pt idx="749">
                  <c:v>44986</c:v>
                </c:pt>
                <c:pt idx="750">
                  <c:v>44985</c:v>
                </c:pt>
              </c:numCache>
            </c:numRef>
          </c:cat>
          <c:val>
            <c:numRef>
              <c:f>WCC!$J$21:$J$773</c:f>
              <c:numCache>
                <c:formatCode>0.0%_);\(0.0%\);\-\-_);@_)</c:formatCode>
                <c:ptCount val="753"/>
                <c:pt idx="0">
                  <c:v>9.3533774979598666E-2</c:v>
                </c:pt>
                <c:pt idx="1">
                  <c:v>0.10724056110914923</c:v>
                </c:pt>
                <c:pt idx="2">
                  <c:v>9.36152504421153E-2</c:v>
                </c:pt>
                <c:pt idx="3">
                  <c:v>0.10716414831080744</c:v>
                </c:pt>
                <c:pt idx="4">
                  <c:v>0.13578022356216493</c:v>
                </c:pt>
                <c:pt idx="5">
                  <c:v>0.13805983985685411</c:v>
                </c:pt>
                <c:pt idx="6">
                  <c:v>0.15396593957396315</c:v>
                </c:pt>
                <c:pt idx="7">
                  <c:v>0.19844996077420524</c:v>
                </c:pt>
                <c:pt idx="8">
                  <c:v>0.12758774001520365</c:v>
                </c:pt>
                <c:pt idx="9">
                  <c:v>0.12409425525321999</c:v>
                </c:pt>
                <c:pt idx="10">
                  <c:v>4.8035037462025629E-2</c:v>
                </c:pt>
                <c:pt idx="11">
                  <c:v>0.14156866649779318</c:v>
                </c:pt>
                <c:pt idx="12">
                  <c:v>0.1856573752875092</c:v>
                </c:pt>
                <c:pt idx="13">
                  <c:v>0.15597005612676157</c:v>
                </c:pt>
                <c:pt idx="14">
                  <c:v>0.13158170772401379</c:v>
                </c:pt>
                <c:pt idx="15">
                  <c:v>0.15384944442630916</c:v>
                </c:pt>
                <c:pt idx="16">
                  <c:v>0.12950770051655514</c:v>
                </c:pt>
                <c:pt idx="17">
                  <c:v>8.6628001942692906E-2</c:v>
                </c:pt>
                <c:pt idx="18">
                  <c:v>9.4787881302436372E-2</c:v>
                </c:pt>
                <c:pt idx="19">
                  <c:v>0.11699214224071466</c:v>
                </c:pt>
                <c:pt idx="20">
                  <c:v>0.23952741121761256</c:v>
                </c:pt>
                <c:pt idx="21">
                  <c:v>0.28470535175377099</c:v>
                </c:pt>
                <c:pt idx="22">
                  <c:v>0.27482143814345378</c:v>
                </c:pt>
                <c:pt idx="23">
                  <c:v>0.25661725129743873</c:v>
                </c:pt>
                <c:pt idx="24">
                  <c:v>0.26552333784393645</c:v>
                </c:pt>
                <c:pt idx="25">
                  <c:v>0.26901984668826862</c:v>
                </c:pt>
                <c:pt idx="26">
                  <c:v>0.22605015965882208</c:v>
                </c:pt>
                <c:pt idx="27">
                  <c:v>0.24467011520941856</c:v>
                </c:pt>
                <c:pt idx="28">
                  <c:v>0.22764729159722014</c:v>
                </c:pt>
                <c:pt idx="29">
                  <c:v>0.1812480793218354</c:v>
                </c:pt>
                <c:pt idx="30">
                  <c:v>0.17223231812756143</c:v>
                </c:pt>
                <c:pt idx="31">
                  <c:v>0.14664071483489755</c:v>
                </c:pt>
                <c:pt idx="32">
                  <c:v>0.18727653351721069</c:v>
                </c:pt>
                <c:pt idx="33">
                  <c:v>0.16638840483486592</c:v>
                </c:pt>
                <c:pt idx="34">
                  <c:v>0.1732744464800911</c:v>
                </c:pt>
                <c:pt idx="35">
                  <c:v>0.15279362811409011</c:v>
                </c:pt>
                <c:pt idx="36">
                  <c:v>0.14292433432420953</c:v>
                </c:pt>
                <c:pt idx="37">
                  <c:v>8.8816584611064994E-2</c:v>
                </c:pt>
                <c:pt idx="38">
                  <c:v>0.11313402245579426</c:v>
                </c:pt>
                <c:pt idx="39">
                  <c:v>0.13118013310196089</c:v>
                </c:pt>
                <c:pt idx="40">
                  <c:v>0.1410508185093661</c:v>
                </c:pt>
                <c:pt idx="41">
                  <c:v>0.14452186837058043</c:v>
                </c:pt>
                <c:pt idx="42">
                  <c:v>0.13434222217148661</c:v>
                </c:pt>
                <c:pt idx="43">
                  <c:v>0.1326946679834588</c:v>
                </c:pt>
                <c:pt idx="44">
                  <c:v>0.14852492852069904</c:v>
                </c:pt>
                <c:pt idx="45">
                  <c:v>0.14375626740868813</c:v>
                </c:pt>
                <c:pt idx="46">
                  <c:v>0.17540590543606871</c:v>
                </c:pt>
                <c:pt idx="47">
                  <c:v>0.1981240790814916</c:v>
                </c:pt>
                <c:pt idx="48">
                  <c:v>0.2026741656195393</c:v>
                </c:pt>
                <c:pt idx="49">
                  <c:v>0.16357897057279636</c:v>
                </c:pt>
                <c:pt idx="50">
                  <c:v>0.22468093631987318</c:v>
                </c:pt>
                <c:pt idx="51">
                  <c:v>0.21729687469166817</c:v>
                </c:pt>
                <c:pt idx="52">
                  <c:v>0.18680846501233475</c:v>
                </c:pt>
                <c:pt idx="53">
                  <c:v>0.19711129247269593</c:v>
                </c:pt>
                <c:pt idx="54">
                  <c:v>0.17512142585734186</c:v>
                </c:pt>
                <c:pt idx="55">
                  <c:v>0.18820063239314383</c:v>
                </c:pt>
                <c:pt idx="56">
                  <c:v>0.19404738906179764</c:v>
                </c:pt>
                <c:pt idx="57">
                  <c:v>0.14514354177086422</c:v>
                </c:pt>
                <c:pt idx="58">
                  <c:v>0.13679371801786719</c:v>
                </c:pt>
                <c:pt idx="59">
                  <c:v>0.14365074513588472</c:v>
                </c:pt>
                <c:pt idx="60">
                  <c:v>0.12865463743661987</c:v>
                </c:pt>
                <c:pt idx="61">
                  <c:v>0.1051460511594897</c:v>
                </c:pt>
                <c:pt idx="62">
                  <c:v>0.10079498034090795</c:v>
                </c:pt>
                <c:pt idx="63">
                  <c:v>9.1674721277833965E-2</c:v>
                </c:pt>
                <c:pt idx="64">
                  <c:v>7.3207264246802614E-2</c:v>
                </c:pt>
                <c:pt idx="65">
                  <c:v>7.1710705148863019E-2</c:v>
                </c:pt>
                <c:pt idx="66">
                  <c:v>6.6171678113203292E-2</c:v>
                </c:pt>
                <c:pt idx="67">
                  <c:v>6.5213854680186825E-2</c:v>
                </c:pt>
                <c:pt idx="68">
                  <c:v>0.13110539445508324</c:v>
                </c:pt>
                <c:pt idx="69">
                  <c:v>0.15281418442837849</c:v>
                </c:pt>
                <c:pt idx="70">
                  <c:v>0.16244685202757275</c:v>
                </c:pt>
                <c:pt idx="71">
                  <c:v>0.1408644412109559</c:v>
                </c:pt>
                <c:pt idx="72">
                  <c:v>0.17602547145272168</c:v>
                </c:pt>
                <c:pt idx="73">
                  <c:v>0.15202833263300156</c:v>
                </c:pt>
                <c:pt idx="74">
                  <c:v>0.13659058838881666</c:v>
                </c:pt>
                <c:pt idx="75">
                  <c:v>0.13164633793578151</c:v>
                </c:pt>
                <c:pt idx="76">
                  <c:v>0.14452544914449877</c:v>
                </c:pt>
                <c:pt idx="77">
                  <c:v>0.17327967337322808</c:v>
                </c:pt>
                <c:pt idx="78">
                  <c:v>0.15150126632141536</c:v>
                </c:pt>
                <c:pt idx="79">
                  <c:v>0.10919582579540089</c:v>
                </c:pt>
                <c:pt idx="80">
                  <c:v>-5.9510937684885551E-2</c:v>
                </c:pt>
                <c:pt idx="81">
                  <c:v>-0.10031842940102445</c:v>
                </c:pt>
                <c:pt idx="82">
                  <c:v>-8.42081644130174E-2</c:v>
                </c:pt>
                <c:pt idx="83">
                  <c:v>-4.1152868527636111E-2</c:v>
                </c:pt>
                <c:pt idx="84">
                  <c:v>-7.4422915742130655E-2</c:v>
                </c:pt>
                <c:pt idx="85">
                  <c:v>-0.10977277823894817</c:v>
                </c:pt>
                <c:pt idx="86">
                  <c:v>-8.7647619881948274E-2</c:v>
                </c:pt>
                <c:pt idx="87">
                  <c:v>-7.7719114979224652E-2</c:v>
                </c:pt>
                <c:pt idx="88">
                  <c:v>-7.5321736166810371E-2</c:v>
                </c:pt>
                <c:pt idx="89">
                  <c:v>-4.9453242625564095E-2</c:v>
                </c:pt>
                <c:pt idx="90">
                  <c:v>-5.1898715334233306E-2</c:v>
                </c:pt>
                <c:pt idx="91">
                  <c:v>-2.1742735050336859E-2</c:v>
                </c:pt>
                <c:pt idx="92">
                  <c:v>-7.085775966067169E-2</c:v>
                </c:pt>
                <c:pt idx="93">
                  <c:v>-5.8648245795680662E-2</c:v>
                </c:pt>
                <c:pt idx="94">
                  <c:v>-1.4008880918456978E-2</c:v>
                </c:pt>
                <c:pt idx="95">
                  <c:v>-7.7909419263680613E-3</c:v>
                </c:pt>
                <c:pt idx="96">
                  <c:v>-3.3905498823157645E-2</c:v>
                </c:pt>
                <c:pt idx="97">
                  <c:v>-1.951095136573891E-2</c:v>
                </c:pt>
                <c:pt idx="98">
                  <c:v>-3.7583664234498368E-2</c:v>
                </c:pt>
                <c:pt idx="99">
                  <c:v>-3.3487723279188725E-2</c:v>
                </c:pt>
                <c:pt idx="100">
                  <c:v>-3.096534695735223E-2</c:v>
                </c:pt>
                <c:pt idx="101">
                  <c:v>-5.5039389129067778E-3</c:v>
                </c:pt>
                <c:pt idx="102">
                  <c:v>0</c:v>
                </c:pt>
                <c:pt idx="103">
                  <c:v>7.8147107669640226E-3</c:v>
                </c:pt>
                <c:pt idx="104">
                  <c:v>-1.1229147043684426E-2</c:v>
                </c:pt>
                <c:pt idx="105">
                  <c:v>-1.3603590232362892E-2</c:v>
                </c:pt>
                <c:pt idx="106">
                  <c:v>2.0206707060628687E-2</c:v>
                </c:pt>
                <c:pt idx="107">
                  <c:v>5.8278274574511957E-3</c:v>
                </c:pt>
                <c:pt idx="108">
                  <c:v>-1.1981057812186252E-2</c:v>
                </c:pt>
                <c:pt idx="109">
                  <c:v>3.96558701959486E-2</c:v>
                </c:pt>
                <c:pt idx="110">
                  <c:v>2.6042202906425255E-2</c:v>
                </c:pt>
                <c:pt idx="111">
                  <c:v>4.0552596906716976E-2</c:v>
                </c:pt>
                <c:pt idx="112">
                  <c:v>3.3599982647106341E-2</c:v>
                </c:pt>
                <c:pt idx="113">
                  <c:v>5.4325082705514699E-2</c:v>
                </c:pt>
                <c:pt idx="114">
                  <c:v>0.12540815422111817</c:v>
                </c:pt>
                <c:pt idx="115">
                  <c:v>8.8814776394542383E-2</c:v>
                </c:pt>
                <c:pt idx="116">
                  <c:v>8.4833639039940678E-2</c:v>
                </c:pt>
                <c:pt idx="117">
                  <c:v>0.11411001983699917</c:v>
                </c:pt>
                <c:pt idx="118">
                  <c:v>0.11249227175088621</c:v>
                </c:pt>
                <c:pt idx="119">
                  <c:v>9.6280709365277134E-2</c:v>
                </c:pt>
                <c:pt idx="120">
                  <c:v>0.11707837665319726</c:v>
                </c:pt>
                <c:pt idx="121">
                  <c:v>0.15247915524365599</c:v>
                </c:pt>
                <c:pt idx="122">
                  <c:v>0.1528212622167506</c:v>
                </c:pt>
                <c:pt idx="123">
                  <c:v>0.17749003828608115</c:v>
                </c:pt>
                <c:pt idx="124">
                  <c:v>0.17521362593667961</c:v>
                </c:pt>
                <c:pt idx="125">
                  <c:v>0.22679960413259598</c:v>
                </c:pt>
                <c:pt idx="126">
                  <c:v>0.19420204225043783</c:v>
                </c:pt>
                <c:pt idx="127">
                  <c:v>0.148095593991313</c:v>
                </c:pt>
                <c:pt idx="128">
                  <c:v>8.9811352318311E-2</c:v>
                </c:pt>
                <c:pt idx="129">
                  <c:v>0.11128001680694274</c:v>
                </c:pt>
                <c:pt idx="130">
                  <c:v>0.11937282226262391</c:v>
                </c:pt>
                <c:pt idx="131">
                  <c:v>9.9022124967151542E-2</c:v>
                </c:pt>
                <c:pt idx="132">
                  <c:v>7.571537206423104E-2</c:v>
                </c:pt>
                <c:pt idx="133">
                  <c:v>8.400659644212044E-2</c:v>
                </c:pt>
                <c:pt idx="134">
                  <c:v>0.12165362820884129</c:v>
                </c:pt>
                <c:pt idx="135">
                  <c:v>8.6355506733570397E-2</c:v>
                </c:pt>
                <c:pt idx="136">
                  <c:v>6.4220749086413773E-2</c:v>
                </c:pt>
                <c:pt idx="137">
                  <c:v>3.9411121227285323E-2</c:v>
                </c:pt>
                <c:pt idx="138">
                  <c:v>5.3770949328350734E-2</c:v>
                </c:pt>
                <c:pt idx="139">
                  <c:v>6.3109554047250493E-2</c:v>
                </c:pt>
                <c:pt idx="140">
                  <c:v>9.5250316305989235E-2</c:v>
                </c:pt>
                <c:pt idx="141">
                  <c:v>9.4963754240703191E-2</c:v>
                </c:pt>
                <c:pt idx="142">
                  <c:v>0.10735890908143947</c:v>
                </c:pt>
                <c:pt idx="143">
                  <c:v>9.2430221807947077E-2</c:v>
                </c:pt>
                <c:pt idx="144">
                  <c:v>0.10596162937161493</c:v>
                </c:pt>
                <c:pt idx="145">
                  <c:v>0.13257283415088905</c:v>
                </c:pt>
                <c:pt idx="146">
                  <c:v>0.21022485973609548</c:v>
                </c:pt>
                <c:pt idx="147">
                  <c:v>7.9077199525747544E-2</c:v>
                </c:pt>
                <c:pt idx="148">
                  <c:v>7.7227473746199649E-2</c:v>
                </c:pt>
                <c:pt idx="149">
                  <c:v>6.8544422251268833E-2</c:v>
                </c:pt>
                <c:pt idx="150">
                  <c:v>5.8158130021281007E-2</c:v>
                </c:pt>
                <c:pt idx="151">
                  <c:v>2.3126806093691277E-2</c:v>
                </c:pt>
                <c:pt idx="152">
                  <c:v>5.4221631935059134E-2</c:v>
                </c:pt>
                <c:pt idx="153">
                  <c:v>5.8198621418612206E-2</c:v>
                </c:pt>
                <c:pt idx="154">
                  <c:v>1.499477803390159E-2</c:v>
                </c:pt>
                <c:pt idx="155">
                  <c:v>1.4326113431808229E-2</c:v>
                </c:pt>
                <c:pt idx="156">
                  <c:v>3.0572601447971581E-2</c:v>
                </c:pt>
                <c:pt idx="157">
                  <c:v>6.5782248849154012E-2</c:v>
                </c:pt>
                <c:pt idx="158">
                  <c:v>7.7479313105407011E-2</c:v>
                </c:pt>
                <c:pt idx="159">
                  <c:v>6.6072298518653483E-2</c:v>
                </c:pt>
                <c:pt idx="160">
                  <c:v>3.922569037320589E-2</c:v>
                </c:pt>
                <c:pt idx="161">
                  <c:v>8.4845262790971265E-3</c:v>
                </c:pt>
                <c:pt idx="162">
                  <c:v>3.0155953049328332E-2</c:v>
                </c:pt>
                <c:pt idx="163">
                  <c:v>5.6480694387287977E-2</c:v>
                </c:pt>
                <c:pt idx="164">
                  <c:v>7.838333959507271E-2</c:v>
                </c:pt>
                <c:pt idx="165">
                  <c:v>-1.0640753770410905E-2</c:v>
                </c:pt>
                <c:pt idx="166">
                  <c:v>3.1555060263134871E-2</c:v>
                </c:pt>
                <c:pt idx="167">
                  <c:v>4.6850424050513262E-2</c:v>
                </c:pt>
                <c:pt idx="168">
                  <c:v>1.8018652646406258E-2</c:v>
                </c:pt>
                <c:pt idx="169">
                  <c:v>2.2182936438633657E-2</c:v>
                </c:pt>
                <c:pt idx="170">
                  <c:v>7.7667972571528465E-3</c:v>
                </c:pt>
                <c:pt idx="171">
                  <c:v>1.410149047518091E-2</c:v>
                </c:pt>
                <c:pt idx="172">
                  <c:v>-1.0889885966247889E-2</c:v>
                </c:pt>
                <c:pt idx="173">
                  <c:v>-3.3841227395625673E-2</c:v>
                </c:pt>
                <c:pt idx="174">
                  <c:v>-3.6176671979305283E-2</c:v>
                </c:pt>
                <c:pt idx="175">
                  <c:v>-4.1596344467820429E-2</c:v>
                </c:pt>
                <c:pt idx="176">
                  <c:v>-2.7969360060317625E-2</c:v>
                </c:pt>
                <c:pt idx="177">
                  <c:v>-1.1305427096253845E-2</c:v>
                </c:pt>
                <c:pt idx="178">
                  <c:v>-1.1866348233214613E-2</c:v>
                </c:pt>
                <c:pt idx="179">
                  <c:v>-2.5998244028387157E-2</c:v>
                </c:pt>
                <c:pt idx="180">
                  <c:v>-5.4876596784127374E-2</c:v>
                </c:pt>
                <c:pt idx="181">
                  <c:v>-2.9562145928698158E-2</c:v>
                </c:pt>
                <c:pt idx="182">
                  <c:v>-1.0829940294081755E-2</c:v>
                </c:pt>
                <c:pt idx="183">
                  <c:v>-7.2350037988923033E-3</c:v>
                </c:pt>
                <c:pt idx="184">
                  <c:v>-6.8747736234001738E-2</c:v>
                </c:pt>
                <c:pt idx="185">
                  <c:v>-3.7689605322104733E-2</c:v>
                </c:pt>
                <c:pt idx="186">
                  <c:v>7.7079710405984353E-3</c:v>
                </c:pt>
                <c:pt idx="187">
                  <c:v>6.9895866487751715E-3</c:v>
                </c:pt>
                <c:pt idx="188">
                  <c:v>-5.507992657279049E-2</c:v>
                </c:pt>
                <c:pt idx="189">
                  <c:v>-6.8200213315339209E-2</c:v>
                </c:pt>
                <c:pt idx="190">
                  <c:v>-5.4257337075413886E-2</c:v>
                </c:pt>
                <c:pt idx="191">
                  <c:v>-1.9717235505337799E-2</c:v>
                </c:pt>
                <c:pt idx="192">
                  <c:v>-2.0829296861481959E-2</c:v>
                </c:pt>
                <c:pt idx="193">
                  <c:v>-5.2298988902017569E-2</c:v>
                </c:pt>
                <c:pt idx="194">
                  <c:v>-6.0509606987862508E-2</c:v>
                </c:pt>
                <c:pt idx="195">
                  <c:v>-7.1786823554983753E-2</c:v>
                </c:pt>
                <c:pt idx="196">
                  <c:v>-6.9071738948958461E-2</c:v>
                </c:pt>
                <c:pt idx="197">
                  <c:v>-5.7136850097856046E-2</c:v>
                </c:pt>
                <c:pt idx="198">
                  <c:v>-4.2877514191105817E-2</c:v>
                </c:pt>
                <c:pt idx="199">
                  <c:v>-6.0329791138019076E-2</c:v>
                </c:pt>
                <c:pt idx="200">
                  <c:v>-3.0587524678340763E-2</c:v>
                </c:pt>
                <c:pt idx="201">
                  <c:v>-2.8993050050256319E-2</c:v>
                </c:pt>
                <c:pt idx="202">
                  <c:v>-3.5670490624870821E-2</c:v>
                </c:pt>
                <c:pt idx="203">
                  <c:v>-2.325553653692973E-2</c:v>
                </c:pt>
                <c:pt idx="204">
                  <c:v>-2.2254273638144847E-2</c:v>
                </c:pt>
                <c:pt idx="205">
                  <c:v>-4.7019642159025488E-2</c:v>
                </c:pt>
                <c:pt idx="206">
                  <c:v>1.6828413557538779E-2</c:v>
                </c:pt>
                <c:pt idx="207">
                  <c:v>4.1189034984892292E-3</c:v>
                </c:pt>
                <c:pt idx="208">
                  <c:v>-3.3923478214134273E-3</c:v>
                </c:pt>
                <c:pt idx="209">
                  <c:v>-4.0310002083956964E-4</c:v>
                </c:pt>
                <c:pt idx="210">
                  <c:v>2.2043249753273042E-2</c:v>
                </c:pt>
                <c:pt idx="211">
                  <c:v>1.5083136206455627E-2</c:v>
                </c:pt>
                <c:pt idx="212">
                  <c:v>-3.5081419441684941E-2</c:v>
                </c:pt>
                <c:pt idx="213">
                  <c:v>-1.1378529330109965E-2</c:v>
                </c:pt>
                <c:pt idx="214">
                  <c:v>-3.3216443297375164E-2</c:v>
                </c:pt>
                <c:pt idx="215">
                  <c:v>-5.3755126722058511E-2</c:v>
                </c:pt>
                <c:pt idx="216">
                  <c:v>-5.7554109531489678E-2</c:v>
                </c:pt>
                <c:pt idx="217">
                  <c:v>-8.2469789934876497E-2</c:v>
                </c:pt>
                <c:pt idx="218">
                  <c:v>-6.0540966193173812E-2</c:v>
                </c:pt>
                <c:pt idx="219">
                  <c:v>-6.4030540845718659E-2</c:v>
                </c:pt>
                <c:pt idx="220">
                  <c:v>-4.840432492846676E-2</c:v>
                </c:pt>
                <c:pt idx="221">
                  <c:v>-2.2133440252851133E-2</c:v>
                </c:pt>
                <c:pt idx="222">
                  <c:v>-1.9714937868572674E-2</c:v>
                </c:pt>
                <c:pt idx="223">
                  <c:v>-3.3179395394585892E-2</c:v>
                </c:pt>
                <c:pt idx="224">
                  <c:v>-4.1909070884111471E-2</c:v>
                </c:pt>
                <c:pt idx="225">
                  <c:v>-2.8480680228157543E-2</c:v>
                </c:pt>
                <c:pt idx="226">
                  <c:v>-5.533781773352138E-2</c:v>
                </c:pt>
                <c:pt idx="227">
                  <c:v>-6.6916482788928408E-2</c:v>
                </c:pt>
                <c:pt idx="228">
                  <c:v>-3.487734618900952E-2</c:v>
                </c:pt>
                <c:pt idx="229">
                  <c:v>-1.0712295394424559E-2</c:v>
                </c:pt>
                <c:pt idx="230">
                  <c:v>5.4288729081453241E-3</c:v>
                </c:pt>
                <c:pt idx="231">
                  <c:v>-3.4499379679067688E-3</c:v>
                </c:pt>
                <c:pt idx="232">
                  <c:v>-2.0976150435674107E-3</c:v>
                </c:pt>
                <c:pt idx="233">
                  <c:v>-1.4878980209858103E-2</c:v>
                </c:pt>
                <c:pt idx="234">
                  <c:v>-1.4089799853658352E-3</c:v>
                </c:pt>
                <c:pt idx="235">
                  <c:v>2.3976961362054405E-6</c:v>
                </c:pt>
                <c:pt idx="236">
                  <c:v>-1.5882511218840517E-2</c:v>
                </c:pt>
                <c:pt idx="237">
                  <c:v>-3.0369368603899355E-2</c:v>
                </c:pt>
                <c:pt idx="238">
                  <c:v>-3.4560348387307441E-2</c:v>
                </c:pt>
                <c:pt idx="239">
                  <c:v>-3.3100707405680302E-2</c:v>
                </c:pt>
                <c:pt idx="240">
                  <c:v>-3.3322053535404544E-2</c:v>
                </c:pt>
                <c:pt idx="241">
                  <c:v>-7.4289771806289678E-2</c:v>
                </c:pt>
                <c:pt idx="242">
                  <c:v>-0.10744812630281381</c:v>
                </c:pt>
                <c:pt idx="243">
                  <c:v>-0.11447149967633218</c:v>
                </c:pt>
                <c:pt idx="244">
                  <c:v>-0.10461336496902252</c:v>
                </c:pt>
                <c:pt idx="245">
                  <c:v>-0.12259528240972786</c:v>
                </c:pt>
                <c:pt idx="246">
                  <c:v>-0.15145412936466413</c:v>
                </c:pt>
                <c:pt idx="247">
                  <c:v>-0.14855608762972364</c:v>
                </c:pt>
                <c:pt idx="248">
                  <c:v>-0.1276437835562314</c:v>
                </c:pt>
                <c:pt idx="249">
                  <c:v>-0.10155263513426202</c:v>
                </c:pt>
                <c:pt idx="250">
                  <c:v>-0.12311900096692587</c:v>
                </c:pt>
                <c:pt idx="251">
                  <c:v>-0.17168493269524451</c:v>
                </c:pt>
                <c:pt idx="252">
                  <c:v>-0.15776803248763774</c:v>
                </c:pt>
                <c:pt idx="253">
                  <c:v>-0.13446682768488757</c:v>
                </c:pt>
                <c:pt idx="254">
                  <c:v>-9.698466887684784E-2</c:v>
                </c:pt>
                <c:pt idx="255">
                  <c:v>-9.6519823945528799E-2</c:v>
                </c:pt>
                <c:pt idx="256">
                  <c:v>-8.0148325418341673E-2</c:v>
                </c:pt>
                <c:pt idx="257">
                  <c:v>-0.10158286976134147</c:v>
                </c:pt>
                <c:pt idx="258">
                  <c:v>-0.11245321564213764</c:v>
                </c:pt>
                <c:pt idx="259">
                  <c:v>-8.4143358155843839E-2</c:v>
                </c:pt>
                <c:pt idx="260">
                  <c:v>-0.10068738312826135</c:v>
                </c:pt>
                <c:pt idx="261">
                  <c:v>-0.13248635232773998</c:v>
                </c:pt>
                <c:pt idx="262">
                  <c:v>-0.10472797195126841</c:v>
                </c:pt>
                <c:pt idx="263">
                  <c:v>-0.12514602003846728</c:v>
                </c:pt>
                <c:pt idx="264">
                  <c:v>-0.15925055919414216</c:v>
                </c:pt>
                <c:pt idx="265">
                  <c:v>-0.10199834169444641</c:v>
                </c:pt>
                <c:pt idx="266">
                  <c:v>-9.7890613527715692E-2</c:v>
                </c:pt>
                <c:pt idx="267">
                  <c:v>-0.1034415234973106</c:v>
                </c:pt>
                <c:pt idx="268">
                  <c:v>-0.11535790430191407</c:v>
                </c:pt>
                <c:pt idx="269">
                  <c:v>-1.1844781107666874E-2</c:v>
                </c:pt>
                <c:pt idx="270">
                  <c:v>-2.1551535477966989E-2</c:v>
                </c:pt>
                <c:pt idx="271">
                  <c:v>-3.7370763810074127E-2</c:v>
                </c:pt>
                <c:pt idx="272">
                  <c:v>4.7742291892512875E-2</c:v>
                </c:pt>
                <c:pt idx="273">
                  <c:v>2.8726737206955469E-2</c:v>
                </c:pt>
                <c:pt idx="274">
                  <c:v>6.3779496904336208E-2</c:v>
                </c:pt>
                <c:pt idx="275">
                  <c:v>8.326401481278925E-2</c:v>
                </c:pt>
                <c:pt idx="276">
                  <c:v>4.2168201697779205E-2</c:v>
                </c:pt>
                <c:pt idx="277">
                  <c:v>5.6771020164010193E-2</c:v>
                </c:pt>
                <c:pt idx="278">
                  <c:v>1.5618356008837403E-2</c:v>
                </c:pt>
                <c:pt idx="279">
                  <c:v>5.1389290707802605E-2</c:v>
                </c:pt>
                <c:pt idx="280">
                  <c:v>4.8844988625288431E-2</c:v>
                </c:pt>
                <c:pt idx="281">
                  <c:v>2.3693125707521391E-2</c:v>
                </c:pt>
                <c:pt idx="282">
                  <c:v>2.1660565813204847E-2</c:v>
                </c:pt>
                <c:pt idx="283">
                  <c:v>6.8136939495063525E-2</c:v>
                </c:pt>
                <c:pt idx="284">
                  <c:v>5.0524249418246861E-2</c:v>
                </c:pt>
                <c:pt idx="285">
                  <c:v>4.628747055970836E-2</c:v>
                </c:pt>
                <c:pt idx="286">
                  <c:v>3.3969857943103962E-2</c:v>
                </c:pt>
                <c:pt idx="287">
                  <c:v>6.117612083773083E-2</c:v>
                </c:pt>
                <c:pt idx="288">
                  <c:v>2.7493703128405447E-2</c:v>
                </c:pt>
                <c:pt idx="289">
                  <c:v>-9.8371780470171838E-3</c:v>
                </c:pt>
                <c:pt idx="290">
                  <c:v>-1.5044059961714026E-2</c:v>
                </c:pt>
                <c:pt idx="291">
                  <c:v>-6.2679204260265298E-3</c:v>
                </c:pt>
                <c:pt idx="292">
                  <c:v>-2.5273306638589482E-2</c:v>
                </c:pt>
                <c:pt idx="293">
                  <c:v>-1.9376381580687205E-2</c:v>
                </c:pt>
                <c:pt idx="294">
                  <c:v>3.0629714698775498E-2</c:v>
                </c:pt>
                <c:pt idx="295">
                  <c:v>5.1228516429681556E-3</c:v>
                </c:pt>
                <c:pt idx="296">
                  <c:v>1.3941856521785381E-2</c:v>
                </c:pt>
                <c:pt idx="297">
                  <c:v>2.1975516705712864E-2</c:v>
                </c:pt>
                <c:pt idx="298">
                  <c:v>8.4757811060232613E-3</c:v>
                </c:pt>
                <c:pt idx="299">
                  <c:v>3.1721836564746503E-2</c:v>
                </c:pt>
                <c:pt idx="300">
                  <c:v>3.9768875700386536E-2</c:v>
                </c:pt>
                <c:pt idx="301">
                  <c:v>8.8791030634474008E-2</c:v>
                </c:pt>
                <c:pt idx="302">
                  <c:v>0.14736642005050146</c:v>
                </c:pt>
                <c:pt idx="303">
                  <c:v>0.18730035247276139</c:v>
                </c:pt>
                <c:pt idx="304">
                  <c:v>0.196841269434118</c:v>
                </c:pt>
                <c:pt idx="305">
                  <c:v>0.20742997905249166</c:v>
                </c:pt>
                <c:pt idx="306">
                  <c:v>0.20947973500786465</c:v>
                </c:pt>
                <c:pt idx="307">
                  <c:v>0.22493013889063665</c:v>
                </c:pt>
                <c:pt idx="308">
                  <c:v>0.23673628720104295</c:v>
                </c:pt>
                <c:pt idx="309">
                  <c:v>0.21463536037509251</c:v>
                </c:pt>
                <c:pt idx="310">
                  <c:v>0.21559012529446106</c:v>
                </c:pt>
                <c:pt idx="311">
                  <c:v>0.19122961210869135</c:v>
                </c:pt>
                <c:pt idx="312">
                  <c:v>0.17903659150561019</c:v>
                </c:pt>
                <c:pt idx="313">
                  <c:v>0.16333051396078871</c:v>
                </c:pt>
                <c:pt idx="314">
                  <c:v>0.1509810056940285</c:v>
                </c:pt>
                <c:pt idx="315">
                  <c:v>0.15130850275263505</c:v>
                </c:pt>
                <c:pt idx="316">
                  <c:v>0.15733744587801574</c:v>
                </c:pt>
                <c:pt idx="317">
                  <c:v>0.18807831492121252</c:v>
                </c:pt>
                <c:pt idx="318">
                  <c:v>0.19110315287877294</c:v>
                </c:pt>
                <c:pt idx="319">
                  <c:v>0.19759674503052707</c:v>
                </c:pt>
                <c:pt idx="320">
                  <c:v>0.17583569105236657</c:v>
                </c:pt>
                <c:pt idx="321">
                  <c:v>0.2003193135826489</c:v>
                </c:pt>
                <c:pt idx="322">
                  <c:v>0.1574622017463187</c:v>
                </c:pt>
                <c:pt idx="323">
                  <c:v>0.17486290075757263</c:v>
                </c:pt>
                <c:pt idx="324">
                  <c:v>0.20629900287649819</c:v>
                </c:pt>
                <c:pt idx="325">
                  <c:v>0.10533844422443921</c:v>
                </c:pt>
                <c:pt idx="326">
                  <c:v>8.2956140020225153E-2</c:v>
                </c:pt>
                <c:pt idx="327">
                  <c:v>9.9907088914285999E-2</c:v>
                </c:pt>
                <c:pt idx="328">
                  <c:v>0.14374459462329656</c:v>
                </c:pt>
                <c:pt idx="329">
                  <c:v>-2.3676636062714196E-2</c:v>
                </c:pt>
                <c:pt idx="330">
                  <c:v>-3.2289736928150653E-2</c:v>
                </c:pt>
                <c:pt idx="331">
                  <c:v>1.5799050154583438E-2</c:v>
                </c:pt>
                <c:pt idx="332">
                  <c:v>-6.457425832579744E-3</c:v>
                </c:pt>
                <c:pt idx="333">
                  <c:v>-7.577849606253885E-2</c:v>
                </c:pt>
                <c:pt idx="334">
                  <c:v>-9.5514433151155861E-2</c:v>
                </c:pt>
                <c:pt idx="335">
                  <c:v>-0.11189593715823987</c:v>
                </c:pt>
                <c:pt idx="336">
                  <c:v>-8.8909839995603257E-2</c:v>
                </c:pt>
                <c:pt idx="337">
                  <c:v>-8.2891485449056279E-2</c:v>
                </c:pt>
                <c:pt idx="338">
                  <c:v>-3.2505840237030403E-2</c:v>
                </c:pt>
                <c:pt idx="339">
                  <c:v>-4.4827522765030423E-2</c:v>
                </c:pt>
                <c:pt idx="340">
                  <c:v>-7.8438831681033522E-2</c:v>
                </c:pt>
                <c:pt idx="341">
                  <c:v>-7.8132696736850069E-2</c:v>
                </c:pt>
                <c:pt idx="342">
                  <c:v>-6.6283705084186129E-2</c:v>
                </c:pt>
                <c:pt idx="343">
                  <c:v>-0.11033330808671951</c:v>
                </c:pt>
                <c:pt idx="344">
                  <c:v>-0.12871132344350311</c:v>
                </c:pt>
                <c:pt idx="345">
                  <c:v>-9.1177600206345022E-2</c:v>
                </c:pt>
                <c:pt idx="346">
                  <c:v>-6.1229784257379356E-2</c:v>
                </c:pt>
                <c:pt idx="347">
                  <c:v>-5.6059440491009513E-2</c:v>
                </c:pt>
                <c:pt idx="348">
                  <c:v>1.5680753315760153E-2</c:v>
                </c:pt>
                <c:pt idx="349">
                  <c:v>4.5460680381936069E-2</c:v>
                </c:pt>
                <c:pt idx="350">
                  <c:v>1.9931559323054113E-2</c:v>
                </c:pt>
                <c:pt idx="351">
                  <c:v>2.5765794019556865E-2</c:v>
                </c:pt>
                <c:pt idx="352">
                  <c:v>1.317924664371882E-2</c:v>
                </c:pt>
                <c:pt idx="353">
                  <c:v>1.8016558316885534E-2</c:v>
                </c:pt>
                <c:pt idx="354">
                  <c:v>-2.6586076902709324E-2</c:v>
                </c:pt>
                <c:pt idx="355">
                  <c:v>-2.6617479521509044E-2</c:v>
                </c:pt>
                <c:pt idx="356">
                  <c:v>-1.5181587344485922E-2</c:v>
                </c:pt>
                <c:pt idx="357">
                  <c:v>-5.5512831202684798E-3</c:v>
                </c:pt>
                <c:pt idx="358">
                  <c:v>7.3296156722232886E-5</c:v>
                </c:pt>
                <c:pt idx="359">
                  <c:v>-3.6590220193870267E-2</c:v>
                </c:pt>
                <c:pt idx="360">
                  <c:v>-3.2274845437188719E-2</c:v>
                </c:pt>
                <c:pt idx="361">
                  <c:v>-5.0694288584432486E-2</c:v>
                </c:pt>
                <c:pt idx="362">
                  <c:v>-6.744313543449279E-2</c:v>
                </c:pt>
                <c:pt idx="363">
                  <c:v>-9.801909267990068E-2</c:v>
                </c:pt>
                <c:pt idx="364">
                  <c:v>-0.10941731743566711</c:v>
                </c:pt>
                <c:pt idx="365">
                  <c:v>-0.14392000307869832</c:v>
                </c:pt>
                <c:pt idx="366">
                  <c:v>-0.15671797339857754</c:v>
                </c:pt>
                <c:pt idx="367">
                  <c:v>-0.15465577233364314</c:v>
                </c:pt>
                <c:pt idx="368">
                  <c:v>-0.20076843362174174</c:v>
                </c:pt>
                <c:pt idx="369">
                  <c:v>-0.18411967276653146</c:v>
                </c:pt>
                <c:pt idx="370">
                  <c:v>-0.17229671973110136</c:v>
                </c:pt>
                <c:pt idx="371">
                  <c:v>-0.16399695619205648</c:v>
                </c:pt>
                <c:pt idx="372">
                  <c:v>-0.15250220587048935</c:v>
                </c:pt>
                <c:pt idx="373">
                  <c:v>-0.17585930476266251</c:v>
                </c:pt>
                <c:pt idx="374">
                  <c:v>-0.20215614221835018</c:v>
                </c:pt>
                <c:pt idx="375">
                  <c:v>-0.19591279372174825</c:v>
                </c:pt>
                <c:pt idx="376">
                  <c:v>-0.18264577421547645</c:v>
                </c:pt>
                <c:pt idx="377">
                  <c:v>-0.21936706625749461</c:v>
                </c:pt>
                <c:pt idx="378">
                  <c:v>-0.25462682822025318</c:v>
                </c:pt>
                <c:pt idx="379">
                  <c:v>-0.25793765739764052</c:v>
                </c:pt>
                <c:pt idx="380">
                  <c:v>-0.2483324619530129</c:v>
                </c:pt>
                <c:pt idx="381">
                  <c:v>-0.23809215471313724</c:v>
                </c:pt>
                <c:pt idx="382">
                  <c:v>-0.22604566157037892</c:v>
                </c:pt>
                <c:pt idx="383">
                  <c:v>-0.2030625097897667</c:v>
                </c:pt>
                <c:pt idx="384">
                  <c:v>-0.1827472573426227</c:v>
                </c:pt>
                <c:pt idx="385">
                  <c:v>-0.18726145448477352</c:v>
                </c:pt>
                <c:pt idx="386">
                  <c:v>-0.16107071750555396</c:v>
                </c:pt>
                <c:pt idx="387">
                  <c:v>-0.15670197542621425</c:v>
                </c:pt>
                <c:pt idx="388">
                  <c:v>-0.14251567181434074</c:v>
                </c:pt>
                <c:pt idx="389">
                  <c:v>-0.13943447577972809</c:v>
                </c:pt>
                <c:pt idx="390">
                  <c:v>-0.13345837347762221</c:v>
                </c:pt>
                <c:pt idx="391">
                  <c:v>-0.22593425738541129</c:v>
                </c:pt>
                <c:pt idx="392">
                  <c:v>-0.21142799914059271</c:v>
                </c:pt>
                <c:pt idx="393">
                  <c:v>-0.14101238411788225</c:v>
                </c:pt>
                <c:pt idx="394">
                  <c:v>-0.14389229988021729</c:v>
                </c:pt>
                <c:pt idx="395">
                  <c:v>-0.10083396817762302</c:v>
                </c:pt>
                <c:pt idx="396">
                  <c:v>-9.1666375732563143E-2</c:v>
                </c:pt>
                <c:pt idx="397">
                  <c:v>-7.4645111307714812E-2</c:v>
                </c:pt>
                <c:pt idx="398">
                  <c:v>-9.8481985846517878E-2</c:v>
                </c:pt>
                <c:pt idx="399">
                  <c:v>-0.15963820554937364</c:v>
                </c:pt>
                <c:pt idx="400">
                  <c:v>-0.16240195797380244</c:v>
                </c:pt>
                <c:pt idx="401">
                  <c:v>-0.15000734146159078</c:v>
                </c:pt>
                <c:pt idx="402">
                  <c:v>-0.17050708455130936</c:v>
                </c:pt>
                <c:pt idx="403">
                  <c:v>-0.17338139222313675</c:v>
                </c:pt>
                <c:pt idx="404">
                  <c:v>-0.13289466162196334</c:v>
                </c:pt>
                <c:pt idx="405">
                  <c:v>-0.15650849253411231</c:v>
                </c:pt>
                <c:pt idx="406">
                  <c:v>-0.17138493527991555</c:v>
                </c:pt>
                <c:pt idx="407">
                  <c:v>-0.21457478181542264</c:v>
                </c:pt>
                <c:pt idx="408">
                  <c:v>-0.2682030121882284</c:v>
                </c:pt>
                <c:pt idx="409">
                  <c:v>-0.25027786952209297</c:v>
                </c:pt>
                <c:pt idx="410">
                  <c:v>-0.26143330585162239</c:v>
                </c:pt>
                <c:pt idx="411">
                  <c:v>-0.27714697472832062</c:v>
                </c:pt>
                <c:pt idx="412">
                  <c:v>-0.23894338264694109</c:v>
                </c:pt>
                <c:pt idx="413">
                  <c:v>-0.23081388799549582</c:v>
                </c:pt>
                <c:pt idx="414">
                  <c:v>-0.2469007046202214</c:v>
                </c:pt>
                <c:pt idx="415">
                  <c:v>-0.2092238748463508</c:v>
                </c:pt>
                <c:pt idx="416">
                  <c:v>-0.20959415755554375</c:v>
                </c:pt>
                <c:pt idx="417">
                  <c:v>-0.21439829909492858</c:v>
                </c:pt>
                <c:pt idx="418">
                  <c:v>-0.16601647991750446</c:v>
                </c:pt>
                <c:pt idx="419">
                  <c:v>-0.13609322890226377</c:v>
                </c:pt>
                <c:pt idx="420">
                  <c:v>-0.15164101315313475</c:v>
                </c:pt>
                <c:pt idx="421">
                  <c:v>-0.14774126110275282</c:v>
                </c:pt>
                <c:pt idx="422">
                  <c:v>-0.15388582512150339</c:v>
                </c:pt>
                <c:pt idx="423">
                  <c:v>-0.1377908127116107</c:v>
                </c:pt>
                <c:pt idx="424">
                  <c:v>-9.7875976225604192E-2</c:v>
                </c:pt>
                <c:pt idx="425">
                  <c:v>-5.9166174482140677E-2</c:v>
                </c:pt>
                <c:pt idx="426">
                  <c:v>-3.2330784977712274E-2</c:v>
                </c:pt>
                <c:pt idx="427">
                  <c:v>-3.2014714621886958E-2</c:v>
                </c:pt>
                <c:pt idx="428">
                  <c:v>2.4626499133307847E-2</c:v>
                </c:pt>
                <c:pt idx="429">
                  <c:v>-7.6772416167132235E-3</c:v>
                </c:pt>
                <c:pt idx="430">
                  <c:v>-2.5498354904047033E-3</c:v>
                </c:pt>
                <c:pt idx="431">
                  <c:v>1.6084101749172755E-2</c:v>
                </c:pt>
                <c:pt idx="432">
                  <c:v>-8.1708024648219357E-4</c:v>
                </c:pt>
                <c:pt idx="433">
                  <c:v>4.4589586443445933E-2</c:v>
                </c:pt>
                <c:pt idx="434">
                  <c:v>7.5593377559503711E-2</c:v>
                </c:pt>
                <c:pt idx="435">
                  <c:v>8.0243095447505366E-2</c:v>
                </c:pt>
                <c:pt idx="436">
                  <c:v>0.10595947539789644</c:v>
                </c:pt>
                <c:pt idx="437">
                  <c:v>0.13898316069085004</c:v>
                </c:pt>
                <c:pt idx="438">
                  <c:v>0.17743270347344464</c:v>
                </c:pt>
                <c:pt idx="439">
                  <c:v>0.18134437836646478</c:v>
                </c:pt>
                <c:pt idx="440">
                  <c:v>0.18969875526164015</c:v>
                </c:pt>
                <c:pt idx="441">
                  <c:v>0.1787919355328399</c:v>
                </c:pt>
                <c:pt idx="442">
                  <c:v>0.18536471318243464</c:v>
                </c:pt>
                <c:pt idx="443">
                  <c:v>0.17502001048640015</c:v>
                </c:pt>
                <c:pt idx="444">
                  <c:v>0.11941609443020965</c:v>
                </c:pt>
                <c:pt idx="445">
                  <c:v>0.1195499854474204</c:v>
                </c:pt>
                <c:pt idx="446">
                  <c:v>0.11511768391018724</c:v>
                </c:pt>
                <c:pt idx="447">
                  <c:v>0.11294496100922603</c:v>
                </c:pt>
                <c:pt idx="448">
                  <c:v>0.12078993446426536</c:v>
                </c:pt>
                <c:pt idx="449">
                  <c:v>0.19282973882660656</c:v>
                </c:pt>
                <c:pt idx="450">
                  <c:v>-0.17983739809425359</c:v>
                </c:pt>
                <c:pt idx="451">
                  <c:v>-0.14811978904832779</c:v>
                </c:pt>
                <c:pt idx="452">
                  <c:v>-0.18385452127868473</c:v>
                </c:pt>
                <c:pt idx="453">
                  <c:v>-0.17280767112382772</c:v>
                </c:pt>
                <c:pt idx="454">
                  <c:v>-0.15963680795481672</c:v>
                </c:pt>
                <c:pt idx="455">
                  <c:v>-0.18304856222719634</c:v>
                </c:pt>
                <c:pt idx="456">
                  <c:v>-0.20731846384219166</c:v>
                </c:pt>
                <c:pt idx="457">
                  <c:v>-0.20659958435145423</c:v>
                </c:pt>
                <c:pt idx="458">
                  <c:v>-0.2284240186300027</c:v>
                </c:pt>
                <c:pt idx="459">
                  <c:v>-0.16570781300172274</c:v>
                </c:pt>
                <c:pt idx="460">
                  <c:v>-0.15507812245175445</c:v>
                </c:pt>
                <c:pt idx="461">
                  <c:v>-0.16020008789484569</c:v>
                </c:pt>
                <c:pt idx="462">
                  <c:v>-0.15771808156133876</c:v>
                </c:pt>
                <c:pt idx="463">
                  <c:v>-0.14473348420623069</c:v>
                </c:pt>
                <c:pt idx="464">
                  <c:v>-0.18224778148271265</c:v>
                </c:pt>
                <c:pt idx="465">
                  <c:v>-0.21355770441353031</c:v>
                </c:pt>
                <c:pt idx="466">
                  <c:v>-0.21429977904664954</c:v>
                </c:pt>
                <c:pt idx="467">
                  <c:v>-0.20593665228071503</c:v>
                </c:pt>
                <c:pt idx="468">
                  <c:v>-0.23469489027264162</c:v>
                </c:pt>
                <c:pt idx="469">
                  <c:v>-0.24137119100155691</c:v>
                </c:pt>
                <c:pt idx="470">
                  <c:v>-0.20629326869759887</c:v>
                </c:pt>
                <c:pt idx="471">
                  <c:v>-0.21626762974843486</c:v>
                </c:pt>
                <c:pt idx="472">
                  <c:v>-0.21786446577380236</c:v>
                </c:pt>
                <c:pt idx="473">
                  <c:v>-0.24044584031463159</c:v>
                </c:pt>
                <c:pt idx="474">
                  <c:v>-0.21695558420734881</c:v>
                </c:pt>
                <c:pt idx="475">
                  <c:v>-0.24392827868709144</c:v>
                </c:pt>
                <c:pt idx="476">
                  <c:v>-0.26186961633558609</c:v>
                </c:pt>
                <c:pt idx="477">
                  <c:v>-0.24938343861818363</c:v>
                </c:pt>
                <c:pt idx="478">
                  <c:v>-0.28884071575633097</c:v>
                </c:pt>
                <c:pt idx="479">
                  <c:v>-0.27408372979971385</c:v>
                </c:pt>
                <c:pt idx="480">
                  <c:v>-0.27103774790648261</c:v>
                </c:pt>
                <c:pt idx="481">
                  <c:v>-0.27410952878159345</c:v>
                </c:pt>
                <c:pt idx="482">
                  <c:v>-0.28630615998912334</c:v>
                </c:pt>
                <c:pt idx="483">
                  <c:v>-0.29692308365646286</c:v>
                </c:pt>
                <c:pt idx="484">
                  <c:v>-0.30931084613617221</c:v>
                </c:pt>
                <c:pt idx="485">
                  <c:v>-0.29761776001449253</c:v>
                </c:pt>
                <c:pt idx="486">
                  <c:v>-0.27659509013071687</c:v>
                </c:pt>
                <c:pt idx="487">
                  <c:v>-0.27835908521645714</c:v>
                </c:pt>
                <c:pt idx="488">
                  <c:v>-0.3115128415691456</c:v>
                </c:pt>
                <c:pt idx="489">
                  <c:v>-0.30980141857958765</c:v>
                </c:pt>
                <c:pt idx="490">
                  <c:v>-0.28751869036074496</c:v>
                </c:pt>
                <c:pt idx="491">
                  <c:v>-0.30461249475458263</c:v>
                </c:pt>
                <c:pt idx="492">
                  <c:v>-0.29830268960200429</c:v>
                </c:pt>
                <c:pt idx="493">
                  <c:v>-0.29107986412923237</c:v>
                </c:pt>
                <c:pt idx="494">
                  <c:v>-0.28656761692564281</c:v>
                </c:pt>
                <c:pt idx="495">
                  <c:v>-0.29411548870745685</c:v>
                </c:pt>
                <c:pt idx="496">
                  <c:v>-0.35307606674431607</c:v>
                </c:pt>
                <c:pt idx="497">
                  <c:v>-0.36668937258706052</c:v>
                </c:pt>
                <c:pt idx="498">
                  <c:v>-0.34544247079764662</c:v>
                </c:pt>
                <c:pt idx="499">
                  <c:v>-0.32564973745559855</c:v>
                </c:pt>
                <c:pt idx="500">
                  <c:v>-0.35050841469522243</c:v>
                </c:pt>
                <c:pt idx="501">
                  <c:v>-0.32095829554167937</c:v>
                </c:pt>
                <c:pt idx="502">
                  <c:v>-0.34593401486343867</c:v>
                </c:pt>
                <c:pt idx="503">
                  <c:v>-0.34405869756611979</c:v>
                </c:pt>
                <c:pt idx="504">
                  <c:v>-0.29861517220165346</c:v>
                </c:pt>
                <c:pt idx="505">
                  <c:v>-0.28679888216298943</c:v>
                </c:pt>
                <c:pt idx="506">
                  <c:v>-0.30177151415581693</c:v>
                </c:pt>
                <c:pt idx="507">
                  <c:v>-0.30688096796996472</c:v>
                </c:pt>
                <c:pt idx="508">
                  <c:v>-0.29004330903854303</c:v>
                </c:pt>
                <c:pt idx="509">
                  <c:v>-0.33432188688668896</c:v>
                </c:pt>
                <c:pt idx="510">
                  <c:v>9.3649388212471457E-2</c:v>
                </c:pt>
                <c:pt idx="511">
                  <c:v>0.13848899506193602</c:v>
                </c:pt>
                <c:pt idx="512">
                  <c:v>0.12604561218779448</c:v>
                </c:pt>
                <c:pt idx="513">
                  <c:v>0.11430458949411332</c:v>
                </c:pt>
                <c:pt idx="514">
                  <c:v>0.1281635337928077</c:v>
                </c:pt>
                <c:pt idx="515">
                  <c:v>9.0223615707111293E-2</c:v>
                </c:pt>
                <c:pt idx="516">
                  <c:v>8.8963056623759945E-2</c:v>
                </c:pt>
                <c:pt idx="517">
                  <c:v>2.625776007567926E-2</c:v>
                </c:pt>
                <c:pt idx="518">
                  <c:v>7.3568559597805477E-2</c:v>
                </c:pt>
                <c:pt idx="519">
                  <c:v>6.4529140117296657E-2</c:v>
                </c:pt>
                <c:pt idx="520">
                  <c:v>6.3933248165776058E-2</c:v>
                </c:pt>
                <c:pt idx="521">
                  <c:v>4.6669555263682494E-2</c:v>
                </c:pt>
                <c:pt idx="522">
                  <c:v>4.7093465715154048E-2</c:v>
                </c:pt>
                <c:pt idx="523">
                  <c:v>4.9065617132563966E-2</c:v>
                </c:pt>
                <c:pt idx="524">
                  <c:v>0.12639892162770433</c:v>
                </c:pt>
                <c:pt idx="525">
                  <c:v>0.1550276214544884</c:v>
                </c:pt>
                <c:pt idx="526">
                  <c:v>0.13830924449407675</c:v>
                </c:pt>
                <c:pt idx="527">
                  <c:v>0.14757621130856879</c:v>
                </c:pt>
                <c:pt idx="528">
                  <c:v>0.11272287813503087</c:v>
                </c:pt>
                <c:pt idx="529">
                  <c:v>9.9399777530480959E-2</c:v>
                </c:pt>
                <c:pt idx="530">
                  <c:v>6.2690017362004885E-2</c:v>
                </c:pt>
                <c:pt idx="531">
                  <c:v>9.4459298743169801E-2</c:v>
                </c:pt>
                <c:pt idx="532">
                  <c:v>0.11485866755449342</c:v>
                </c:pt>
                <c:pt idx="533">
                  <c:v>3.2119628649233345E-2</c:v>
                </c:pt>
                <c:pt idx="534">
                  <c:v>1.9704439669773616E-2</c:v>
                </c:pt>
                <c:pt idx="535">
                  <c:v>1.9581044702301598E-2</c:v>
                </c:pt>
                <c:pt idx="536">
                  <c:v>2.4568607355125172E-3</c:v>
                </c:pt>
                <c:pt idx="537">
                  <c:v>3.7983303040703131E-3</c:v>
                </c:pt>
                <c:pt idx="538">
                  <c:v>5.3788029833522127E-2</c:v>
                </c:pt>
                <c:pt idx="539">
                  <c:v>4.4176132600145135E-2</c:v>
                </c:pt>
                <c:pt idx="540">
                  <c:v>7.0473330957348118E-2</c:v>
                </c:pt>
                <c:pt idx="541">
                  <c:v>5.6138739378979563E-2</c:v>
                </c:pt>
                <c:pt idx="542">
                  <c:v>4.3892662684330369E-2</c:v>
                </c:pt>
                <c:pt idx="543">
                  <c:v>3.4343664969899435E-2</c:v>
                </c:pt>
                <c:pt idx="544">
                  <c:v>2.7546962007199499E-2</c:v>
                </c:pt>
                <c:pt idx="545">
                  <c:v>1.4046442703971151E-2</c:v>
                </c:pt>
                <c:pt idx="546">
                  <c:v>3.4229244377874946E-2</c:v>
                </c:pt>
                <c:pt idx="547">
                  <c:v>3.0803020574813489E-2</c:v>
                </c:pt>
                <c:pt idx="548">
                  <c:v>4.6028468056253879E-2</c:v>
                </c:pt>
                <c:pt idx="549">
                  <c:v>6.2222791719027296E-2</c:v>
                </c:pt>
                <c:pt idx="550">
                  <c:v>1.9525801642588367E-2</c:v>
                </c:pt>
                <c:pt idx="551">
                  <c:v>1.7818152463616246E-2</c:v>
                </c:pt>
                <c:pt idx="552">
                  <c:v>2.5656646766295768E-2</c:v>
                </c:pt>
                <c:pt idx="553">
                  <c:v>2.9374682603585181E-3</c:v>
                </c:pt>
                <c:pt idx="554">
                  <c:v>-1.674477971445653E-2</c:v>
                </c:pt>
                <c:pt idx="555">
                  <c:v>-2.3410756446737166E-2</c:v>
                </c:pt>
                <c:pt idx="556">
                  <c:v>-1.1371761403488327E-2</c:v>
                </c:pt>
                <c:pt idx="557">
                  <c:v>-1.0423940910261283E-2</c:v>
                </c:pt>
                <c:pt idx="558">
                  <c:v>-1.0716628597283624E-2</c:v>
                </c:pt>
                <c:pt idx="559">
                  <c:v>-5.0289743395354983E-2</c:v>
                </c:pt>
                <c:pt idx="560">
                  <c:v>-2.8310156478856267E-2</c:v>
                </c:pt>
                <c:pt idx="561">
                  <c:v>-8.387070363139304E-2</c:v>
                </c:pt>
                <c:pt idx="562">
                  <c:v>-5.9424936720221221E-2</c:v>
                </c:pt>
                <c:pt idx="563">
                  <c:v>-6.415555940126498E-2</c:v>
                </c:pt>
                <c:pt idx="564">
                  <c:v>-7.6256884969035293E-2</c:v>
                </c:pt>
                <c:pt idx="565">
                  <c:v>-8.3119394823083365E-2</c:v>
                </c:pt>
                <c:pt idx="566">
                  <c:v>-6.8631762398911861E-2</c:v>
                </c:pt>
                <c:pt idx="567">
                  <c:v>-7.6281147183808448E-2</c:v>
                </c:pt>
                <c:pt idx="568">
                  <c:v>-8.722193543733528E-2</c:v>
                </c:pt>
                <c:pt idx="569">
                  <c:v>-8.493547131462377E-2</c:v>
                </c:pt>
                <c:pt idx="570">
                  <c:v>-7.235576194476831E-2</c:v>
                </c:pt>
                <c:pt idx="571">
                  <c:v>-9.5253434564356032E-2</c:v>
                </c:pt>
                <c:pt idx="572">
                  <c:v>-7.2674967391203854E-2</c:v>
                </c:pt>
                <c:pt idx="573">
                  <c:v>-7.1307391524678687E-2</c:v>
                </c:pt>
                <c:pt idx="574">
                  <c:v>-9.2203045618876434E-2</c:v>
                </c:pt>
                <c:pt idx="575">
                  <c:v>-7.279898223832057E-2</c:v>
                </c:pt>
                <c:pt idx="576">
                  <c:v>-6.0806334304926823E-2</c:v>
                </c:pt>
                <c:pt idx="577">
                  <c:v>-2.1082870945067021E-2</c:v>
                </c:pt>
                <c:pt idx="578">
                  <c:v>-3.8929837228426981E-2</c:v>
                </c:pt>
                <c:pt idx="579">
                  <c:v>-3.1205822663991814E-2</c:v>
                </c:pt>
                <c:pt idx="580">
                  <c:v>-3.4341265654224712E-2</c:v>
                </c:pt>
                <c:pt idx="581">
                  <c:v>-3.5519439464934272E-2</c:v>
                </c:pt>
                <c:pt idx="582">
                  <c:v>-1.9911042516711192E-2</c:v>
                </c:pt>
                <c:pt idx="583">
                  <c:v>-0.13454783148115862</c:v>
                </c:pt>
                <c:pt idx="584">
                  <c:v>-0.13038186090406056</c:v>
                </c:pt>
                <c:pt idx="585">
                  <c:v>-0.12162341738679608</c:v>
                </c:pt>
                <c:pt idx="586">
                  <c:v>-9.5778271954073818E-2</c:v>
                </c:pt>
                <c:pt idx="587">
                  <c:v>-0.10998887012317526</c:v>
                </c:pt>
                <c:pt idx="588">
                  <c:v>-9.6310353304582375E-2</c:v>
                </c:pt>
                <c:pt idx="589">
                  <c:v>-0.12553809947211392</c:v>
                </c:pt>
                <c:pt idx="590">
                  <c:v>-0.12285853094791843</c:v>
                </c:pt>
                <c:pt idx="591">
                  <c:v>-0.13736449259479783</c:v>
                </c:pt>
                <c:pt idx="592">
                  <c:v>-0.1487626407152739</c:v>
                </c:pt>
                <c:pt idx="593">
                  <c:v>-7.582121171370447E-2</c:v>
                </c:pt>
                <c:pt idx="594">
                  <c:v>-8.4407930312625903E-2</c:v>
                </c:pt>
                <c:pt idx="595">
                  <c:v>-7.745338638152631E-2</c:v>
                </c:pt>
                <c:pt idx="596">
                  <c:v>-6.7621811412395982E-2</c:v>
                </c:pt>
                <c:pt idx="597">
                  <c:v>-9.5306430791222072E-2</c:v>
                </c:pt>
                <c:pt idx="598">
                  <c:v>-0.12284032734356229</c:v>
                </c:pt>
                <c:pt idx="599">
                  <c:v>-0.14051028077028377</c:v>
                </c:pt>
                <c:pt idx="600">
                  <c:v>-0.17018359493046153</c:v>
                </c:pt>
                <c:pt idx="601">
                  <c:v>-0.16047657584410238</c:v>
                </c:pt>
                <c:pt idx="602">
                  <c:v>-0.12680951325617479</c:v>
                </c:pt>
                <c:pt idx="603">
                  <c:v>-0.1114369383485732</c:v>
                </c:pt>
                <c:pt idx="604">
                  <c:v>-0.10650941934831169</c:v>
                </c:pt>
                <c:pt idx="605">
                  <c:v>-0.10595318013896884</c:v>
                </c:pt>
                <c:pt idx="606">
                  <c:v>-0.13390627072204819</c:v>
                </c:pt>
                <c:pt idx="607">
                  <c:v>-0.13970916605575581</c:v>
                </c:pt>
                <c:pt idx="608">
                  <c:v>-0.13322834848802181</c:v>
                </c:pt>
                <c:pt idx="609">
                  <c:v>-0.13104143455162309</c:v>
                </c:pt>
                <c:pt idx="610">
                  <c:v>-0.13650491050309699</c:v>
                </c:pt>
                <c:pt idx="611">
                  <c:v>-0.11491537040800563</c:v>
                </c:pt>
                <c:pt idx="612">
                  <c:v>-0.15525552346384497</c:v>
                </c:pt>
                <c:pt idx="613">
                  <c:v>-0.14114770705793295</c:v>
                </c:pt>
                <c:pt idx="614">
                  <c:v>-0.10935741213743236</c:v>
                </c:pt>
                <c:pt idx="615">
                  <c:v>-8.8610856034942703E-2</c:v>
                </c:pt>
                <c:pt idx="616">
                  <c:v>-9.7983875459587366E-2</c:v>
                </c:pt>
                <c:pt idx="617">
                  <c:v>-9.3143779169947261E-2</c:v>
                </c:pt>
                <c:pt idx="618">
                  <c:v>-8.4748910916163725E-2</c:v>
                </c:pt>
                <c:pt idx="619">
                  <c:v>-6.1284968322205008E-2</c:v>
                </c:pt>
                <c:pt idx="620">
                  <c:v>-9.4349410927127564E-2</c:v>
                </c:pt>
                <c:pt idx="621">
                  <c:v>-6.0748357119418867E-2</c:v>
                </c:pt>
                <c:pt idx="622">
                  <c:v>-2.5052791363468621E-2</c:v>
                </c:pt>
                <c:pt idx="623">
                  <c:v>-2.6380986611618251E-2</c:v>
                </c:pt>
                <c:pt idx="624">
                  <c:v>-2.8878605024616616E-3</c:v>
                </c:pt>
                <c:pt idx="625">
                  <c:v>6.1525627397050461E-2</c:v>
                </c:pt>
                <c:pt idx="626">
                  <c:v>1.9576012953535241E-2</c:v>
                </c:pt>
                <c:pt idx="627">
                  <c:v>-4.9352597137962834E-3</c:v>
                </c:pt>
                <c:pt idx="628">
                  <c:v>-4.8167294100894431E-2</c:v>
                </c:pt>
                <c:pt idx="629">
                  <c:v>2.6101842387387747E-2</c:v>
                </c:pt>
                <c:pt idx="630">
                  <c:v>5.7904315448115251E-2</c:v>
                </c:pt>
                <c:pt idx="631">
                  <c:v>5.5615530859309537E-2</c:v>
                </c:pt>
                <c:pt idx="632">
                  <c:v>2.4698011658375166E-2</c:v>
                </c:pt>
                <c:pt idx="633">
                  <c:v>2.5832925007301749E-2</c:v>
                </c:pt>
                <c:pt idx="634">
                  <c:v>1.5938917384161963E-2</c:v>
                </c:pt>
                <c:pt idx="635">
                  <c:v>2.0988867302207281E-2</c:v>
                </c:pt>
                <c:pt idx="636">
                  <c:v>3.700898245805348E-2</c:v>
                </c:pt>
                <c:pt idx="637">
                  <c:v>-2.9523830252922156E-3</c:v>
                </c:pt>
                <c:pt idx="638">
                  <c:v>1.1890814645333841E-2</c:v>
                </c:pt>
                <c:pt idx="639">
                  <c:v>1.0139439695928731E-2</c:v>
                </c:pt>
                <c:pt idx="640">
                  <c:v>5.9556359985587781E-3</c:v>
                </c:pt>
                <c:pt idx="641">
                  <c:v>-6.465247897233406E-3</c:v>
                </c:pt>
                <c:pt idx="642">
                  <c:v>-1.668200608551107E-4</c:v>
                </c:pt>
                <c:pt idx="643">
                  <c:v>0.19967224997059027</c:v>
                </c:pt>
                <c:pt idx="644">
                  <c:v>0.21320076061075793</c:v>
                </c:pt>
                <c:pt idx="645">
                  <c:v>-2.5892000805265686E-2</c:v>
                </c:pt>
                <c:pt idx="646">
                  <c:v>-2.4355637319853435E-2</c:v>
                </c:pt>
                <c:pt idx="647">
                  <c:v>6.7753802917007999E-3</c:v>
                </c:pt>
                <c:pt idx="648">
                  <c:v>-7.2283054213529707E-3</c:v>
                </c:pt>
                <c:pt idx="649">
                  <c:v>2.4148858373369358E-2</c:v>
                </c:pt>
                <c:pt idx="650">
                  <c:v>4.2705969135418631E-2</c:v>
                </c:pt>
                <c:pt idx="651">
                  <c:v>1.1537317331218461E-2</c:v>
                </c:pt>
                <c:pt idx="652">
                  <c:v>4.6528932461163519E-2</c:v>
                </c:pt>
                <c:pt idx="653">
                  <c:v>2.7137267468488963E-2</c:v>
                </c:pt>
                <c:pt idx="654">
                  <c:v>3.0758727606155362E-2</c:v>
                </c:pt>
                <c:pt idx="655">
                  <c:v>4.1860775302645536E-2</c:v>
                </c:pt>
                <c:pt idx="656">
                  <c:v>3.9061296400068085E-2</c:v>
                </c:pt>
                <c:pt idx="657">
                  <c:v>0.11200278074374653</c:v>
                </c:pt>
                <c:pt idx="658">
                  <c:v>0.14153824217147482</c:v>
                </c:pt>
                <c:pt idx="659">
                  <c:v>0.17005815064817556</c:v>
                </c:pt>
                <c:pt idx="660">
                  <c:v>0.18603646342342403</c:v>
                </c:pt>
                <c:pt idx="661">
                  <c:v>0.17082916408605173</c:v>
                </c:pt>
                <c:pt idx="662">
                  <c:v>0.13924382822199421</c:v>
                </c:pt>
                <c:pt idx="663">
                  <c:v>0.15909054919085602</c:v>
                </c:pt>
                <c:pt idx="664">
                  <c:v>0.11220987457724463</c:v>
                </c:pt>
                <c:pt idx="665">
                  <c:v>9.3940172480493717E-2</c:v>
                </c:pt>
                <c:pt idx="666">
                  <c:v>2.9348050889873883E-2</c:v>
                </c:pt>
                <c:pt idx="667">
                  <c:v>1.5597343692806021E-2</c:v>
                </c:pt>
                <c:pt idx="668">
                  <c:v>-5.2999367740892978E-3</c:v>
                </c:pt>
                <c:pt idx="669">
                  <c:v>-1.9274542900823699E-2</c:v>
                </c:pt>
                <c:pt idx="670">
                  <c:v>-6.0534299785569012E-3</c:v>
                </c:pt>
                <c:pt idx="671">
                  <c:v>-1.3383043440477332E-2</c:v>
                </c:pt>
                <c:pt idx="672">
                  <c:v>6.3167641265516494E-2</c:v>
                </c:pt>
                <c:pt idx="673">
                  <c:v>-9.5927414052699167E-3</c:v>
                </c:pt>
                <c:pt idx="674">
                  <c:v>-7.0325121285955389E-2</c:v>
                </c:pt>
                <c:pt idx="675">
                  <c:v>-6.5066843191198931E-2</c:v>
                </c:pt>
                <c:pt idx="676">
                  <c:v>-5.2175072701232256E-2</c:v>
                </c:pt>
                <c:pt idx="677">
                  <c:v>-2.3562269644838457E-2</c:v>
                </c:pt>
                <c:pt idx="678">
                  <c:v>-8.9308957763408803E-2</c:v>
                </c:pt>
                <c:pt idx="679">
                  <c:v>-0.12729362449156476</c:v>
                </c:pt>
                <c:pt idx="680">
                  <c:v>-0.17796650152953136</c:v>
                </c:pt>
                <c:pt idx="681">
                  <c:v>-0.19265070982647031</c:v>
                </c:pt>
                <c:pt idx="682">
                  <c:v>-0.27064355573985671</c:v>
                </c:pt>
                <c:pt idx="683">
                  <c:v>-0.28194764746620138</c:v>
                </c:pt>
                <c:pt idx="684">
                  <c:v>-0.29039196580420323</c:v>
                </c:pt>
                <c:pt idx="685">
                  <c:v>-0.3096587163725546</c:v>
                </c:pt>
                <c:pt idx="686">
                  <c:v>-0.2577383322992054</c:v>
                </c:pt>
                <c:pt idx="687">
                  <c:v>-0.23879292580896402</c:v>
                </c:pt>
                <c:pt idx="688">
                  <c:v>-0.24532160751055709</c:v>
                </c:pt>
                <c:pt idx="689">
                  <c:v>-0.29706466911640234</c:v>
                </c:pt>
                <c:pt idx="690">
                  <c:v>-0.28985193798050413</c:v>
                </c:pt>
                <c:pt idx="691">
                  <c:v>-0.28291580876828848</c:v>
                </c:pt>
                <c:pt idx="692">
                  <c:v>-0.27438114827811771</c:v>
                </c:pt>
                <c:pt idx="693">
                  <c:v>-0.24972996647069762</c:v>
                </c:pt>
                <c:pt idx="694">
                  <c:v>-0.24385001973738446</c:v>
                </c:pt>
                <c:pt idx="695">
                  <c:v>-0.25059642295708834</c:v>
                </c:pt>
                <c:pt idx="696">
                  <c:v>-0.25322728061395033</c:v>
                </c:pt>
                <c:pt idx="697">
                  <c:v>-0.24913360712262234</c:v>
                </c:pt>
                <c:pt idx="698">
                  <c:v>-0.24638647012990653</c:v>
                </c:pt>
                <c:pt idx="699">
                  <c:v>-0.22609977554221505</c:v>
                </c:pt>
                <c:pt idx="700">
                  <c:v>-0.15831450590102256</c:v>
                </c:pt>
                <c:pt idx="701">
                  <c:v>-0.1324882287385277</c:v>
                </c:pt>
                <c:pt idx="702">
                  <c:v>-0.14992098575349519</c:v>
                </c:pt>
                <c:pt idx="703">
                  <c:v>-0.14968814425810567</c:v>
                </c:pt>
                <c:pt idx="704">
                  <c:v>-0.16804176169587479</c:v>
                </c:pt>
                <c:pt idx="705">
                  <c:v>-4.9799713514253149E-2</c:v>
                </c:pt>
                <c:pt idx="706">
                  <c:v>-5.6637741269103661E-2</c:v>
                </c:pt>
                <c:pt idx="707">
                  <c:v>-5.1361383768527641E-2</c:v>
                </c:pt>
                <c:pt idx="708">
                  <c:v>-6.8480648248013198E-2</c:v>
                </c:pt>
                <c:pt idx="709">
                  <c:v>-6.1906144742754105E-2</c:v>
                </c:pt>
                <c:pt idx="710">
                  <c:v>-6.3056519315788581E-2</c:v>
                </c:pt>
                <c:pt idx="711">
                  <c:v>-2.4845472893224828E-2</c:v>
                </c:pt>
                <c:pt idx="712">
                  <c:v>-2.812263187394291E-2</c:v>
                </c:pt>
                <c:pt idx="713">
                  <c:v>-1.6957422182839389E-2</c:v>
                </c:pt>
                <c:pt idx="714">
                  <c:v>-5.9183601269942321E-3</c:v>
                </c:pt>
                <c:pt idx="715">
                  <c:v>-1.8670284268710167E-2</c:v>
                </c:pt>
                <c:pt idx="716">
                  <c:v>-1.1053554295427245E-2</c:v>
                </c:pt>
                <c:pt idx="717">
                  <c:v>-3.7076343314722454E-2</c:v>
                </c:pt>
                <c:pt idx="718">
                  <c:v>-5.0698282915173143E-2</c:v>
                </c:pt>
                <c:pt idx="719">
                  <c:v>-5.1151231366348603E-2</c:v>
                </c:pt>
                <c:pt idx="720">
                  <c:v>-3.4753564932022529E-2</c:v>
                </c:pt>
                <c:pt idx="721">
                  <c:v>-5.0608040387424509E-2</c:v>
                </c:pt>
                <c:pt idx="722">
                  <c:v>-4.3976858097954888E-2</c:v>
                </c:pt>
                <c:pt idx="723">
                  <c:v>-9.3672659775259501E-2</c:v>
                </c:pt>
                <c:pt idx="724">
                  <c:v>-3.17360978730893E-2</c:v>
                </c:pt>
                <c:pt idx="725">
                  <c:v>1.4133023224284585E-2</c:v>
                </c:pt>
                <c:pt idx="726">
                  <c:v>8.4054360455631194E-2</c:v>
                </c:pt>
                <c:pt idx="727">
                  <c:v>0.10799871493381208</c:v>
                </c:pt>
                <c:pt idx="728">
                  <c:v>0.12103133591069359</c:v>
                </c:pt>
                <c:pt idx="729">
                  <c:v>0.113889778282296</c:v>
                </c:pt>
                <c:pt idx="730">
                  <c:v>0.10348634006072956</c:v>
                </c:pt>
                <c:pt idx="731">
                  <c:v>0.10752837709098396</c:v>
                </c:pt>
                <c:pt idx="732">
                  <c:v>6.0838204924842383E-2</c:v>
                </c:pt>
                <c:pt idx="733">
                  <c:v>0.104972618305562</c:v>
                </c:pt>
                <c:pt idx="734">
                  <c:v>0.14926703184549656</c:v>
                </c:pt>
                <c:pt idx="735">
                  <c:v>0.13681587922837302</c:v>
                </c:pt>
                <c:pt idx="736">
                  <c:v>0.12029926975739269</c:v>
                </c:pt>
                <c:pt idx="737">
                  <c:v>0.10065777251164776</c:v>
                </c:pt>
                <c:pt idx="738">
                  <c:v>0.18361227194029589</c:v>
                </c:pt>
                <c:pt idx="739">
                  <c:v>0.1950764899796936</c:v>
                </c:pt>
                <c:pt idx="740">
                  <c:v>0.25398484062131882</c:v>
                </c:pt>
                <c:pt idx="741">
                  <c:v>0.24442119845317645</c:v>
                </c:pt>
                <c:pt idx="742">
                  <c:v>0.32256744874079846</c:v>
                </c:pt>
                <c:pt idx="743">
                  <c:v>0.37721679007086711</c:v>
                </c:pt>
                <c:pt idx="744">
                  <c:v>0.38708633826687538</c:v>
                </c:pt>
                <c:pt idx="745">
                  <c:v>0.36621860973188686</c:v>
                </c:pt>
                <c:pt idx="746">
                  <c:v>0.37630087067551538</c:v>
                </c:pt>
                <c:pt idx="747">
                  <c:v>0.40367260054492088</c:v>
                </c:pt>
                <c:pt idx="748">
                  <c:v>0.36063476303681413</c:v>
                </c:pt>
                <c:pt idx="749">
                  <c:v>0.36475631347364385</c:v>
                </c:pt>
                <c:pt idx="750">
                  <c:v>0.32150975731286213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6-4CE6-91AB-AFD99C32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4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WCC!$D$21:$D$773</c:f>
              <c:numCache>
                <c:formatCode>m/d/yyyy</c:formatCode>
                <c:ptCount val="753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46002</c:v>
                </c:pt>
                <c:pt idx="51">
                  <c:v>46001</c:v>
                </c:pt>
                <c:pt idx="52">
                  <c:v>46000</c:v>
                </c:pt>
                <c:pt idx="53">
                  <c:v>45999</c:v>
                </c:pt>
                <c:pt idx="54">
                  <c:v>45996</c:v>
                </c:pt>
                <c:pt idx="55">
                  <c:v>45995</c:v>
                </c:pt>
                <c:pt idx="56">
                  <c:v>45994</c:v>
                </c:pt>
                <c:pt idx="57">
                  <c:v>45993</c:v>
                </c:pt>
                <c:pt idx="58">
                  <c:v>45992</c:v>
                </c:pt>
                <c:pt idx="59">
                  <c:v>45989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45966</c:v>
                </c:pt>
                <c:pt idx="76">
                  <c:v>45965</c:v>
                </c:pt>
                <c:pt idx="77">
                  <c:v>45964</c:v>
                </c:pt>
                <c:pt idx="78">
                  <c:v>45961</c:v>
                </c:pt>
                <c:pt idx="79">
                  <c:v>45960</c:v>
                </c:pt>
                <c:pt idx="80">
                  <c:v>45959</c:v>
                </c:pt>
                <c:pt idx="81">
                  <c:v>45958</c:v>
                </c:pt>
                <c:pt idx="82">
                  <c:v>45957</c:v>
                </c:pt>
                <c:pt idx="83">
                  <c:v>45954</c:v>
                </c:pt>
                <c:pt idx="84">
                  <c:v>45953</c:v>
                </c:pt>
                <c:pt idx="85">
                  <c:v>45952</c:v>
                </c:pt>
                <c:pt idx="86">
                  <c:v>45951</c:v>
                </c:pt>
                <c:pt idx="87">
                  <c:v>45950</c:v>
                </c:pt>
                <c:pt idx="88">
                  <c:v>45947</c:v>
                </c:pt>
                <c:pt idx="89">
                  <c:v>45946</c:v>
                </c:pt>
                <c:pt idx="90">
                  <c:v>45945</c:v>
                </c:pt>
                <c:pt idx="91">
                  <c:v>45944</c:v>
                </c:pt>
                <c:pt idx="92">
                  <c:v>45943</c:v>
                </c:pt>
                <c:pt idx="93">
                  <c:v>45940</c:v>
                </c:pt>
                <c:pt idx="94">
                  <c:v>45939</c:v>
                </c:pt>
                <c:pt idx="95">
                  <c:v>45938</c:v>
                </c:pt>
                <c:pt idx="96">
                  <c:v>45937</c:v>
                </c:pt>
                <c:pt idx="97">
                  <c:v>45936</c:v>
                </c:pt>
                <c:pt idx="98">
                  <c:v>45933</c:v>
                </c:pt>
                <c:pt idx="99">
                  <c:v>45932</c:v>
                </c:pt>
                <c:pt idx="100">
                  <c:v>45931</c:v>
                </c:pt>
                <c:pt idx="101">
                  <c:v>45930</c:v>
                </c:pt>
                <c:pt idx="102">
                  <c:v>45929</c:v>
                </c:pt>
                <c:pt idx="103">
                  <c:v>45926</c:v>
                </c:pt>
                <c:pt idx="104">
                  <c:v>45925</c:v>
                </c:pt>
                <c:pt idx="105">
                  <c:v>45924</c:v>
                </c:pt>
                <c:pt idx="106">
                  <c:v>45923</c:v>
                </c:pt>
                <c:pt idx="107">
                  <c:v>45922</c:v>
                </c:pt>
                <c:pt idx="108">
                  <c:v>45919</c:v>
                </c:pt>
                <c:pt idx="109">
                  <c:v>45918</c:v>
                </c:pt>
                <c:pt idx="110">
                  <c:v>45917</c:v>
                </c:pt>
                <c:pt idx="111">
                  <c:v>45916</c:v>
                </c:pt>
                <c:pt idx="112">
                  <c:v>45915</c:v>
                </c:pt>
                <c:pt idx="113">
                  <c:v>45912</c:v>
                </c:pt>
                <c:pt idx="114">
                  <c:v>45911</c:v>
                </c:pt>
                <c:pt idx="115">
                  <c:v>45910</c:v>
                </c:pt>
                <c:pt idx="116">
                  <c:v>45909</c:v>
                </c:pt>
                <c:pt idx="117">
                  <c:v>45908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45841</c:v>
                </c:pt>
                <c:pt idx="163">
                  <c:v>45840</c:v>
                </c:pt>
                <c:pt idx="164">
                  <c:v>45839</c:v>
                </c:pt>
                <c:pt idx="165">
                  <c:v>45838</c:v>
                </c:pt>
                <c:pt idx="166">
                  <c:v>45835</c:v>
                </c:pt>
                <c:pt idx="167">
                  <c:v>45834</c:v>
                </c:pt>
                <c:pt idx="168">
                  <c:v>45833</c:v>
                </c:pt>
                <c:pt idx="169">
                  <c:v>45832</c:v>
                </c:pt>
                <c:pt idx="170">
                  <c:v>45831</c:v>
                </c:pt>
                <c:pt idx="171">
                  <c:v>45828</c:v>
                </c:pt>
                <c:pt idx="172">
                  <c:v>45826</c:v>
                </c:pt>
                <c:pt idx="173">
                  <c:v>45825</c:v>
                </c:pt>
                <c:pt idx="174">
                  <c:v>45824</c:v>
                </c:pt>
                <c:pt idx="175">
                  <c:v>45821</c:v>
                </c:pt>
                <c:pt idx="176">
                  <c:v>45820</c:v>
                </c:pt>
                <c:pt idx="177">
                  <c:v>45819</c:v>
                </c:pt>
                <c:pt idx="178">
                  <c:v>45818</c:v>
                </c:pt>
                <c:pt idx="179">
                  <c:v>45817</c:v>
                </c:pt>
                <c:pt idx="180">
                  <c:v>45814</c:v>
                </c:pt>
                <c:pt idx="181">
                  <c:v>45813</c:v>
                </c:pt>
                <c:pt idx="182">
                  <c:v>45812</c:v>
                </c:pt>
                <c:pt idx="183">
                  <c:v>45811</c:v>
                </c:pt>
                <c:pt idx="184">
                  <c:v>45810</c:v>
                </c:pt>
                <c:pt idx="185">
                  <c:v>45807</c:v>
                </c:pt>
                <c:pt idx="186">
                  <c:v>45806</c:v>
                </c:pt>
                <c:pt idx="187">
                  <c:v>45805</c:v>
                </c:pt>
                <c:pt idx="188">
                  <c:v>45804</c:v>
                </c:pt>
                <c:pt idx="189">
                  <c:v>45800</c:v>
                </c:pt>
                <c:pt idx="190">
                  <c:v>45799</c:v>
                </c:pt>
                <c:pt idx="191">
                  <c:v>45798</c:v>
                </c:pt>
                <c:pt idx="192">
                  <c:v>45797</c:v>
                </c:pt>
                <c:pt idx="193">
                  <c:v>45796</c:v>
                </c:pt>
                <c:pt idx="194">
                  <c:v>45793</c:v>
                </c:pt>
                <c:pt idx="195">
                  <c:v>45792</c:v>
                </c:pt>
                <c:pt idx="196">
                  <c:v>45791</c:v>
                </c:pt>
                <c:pt idx="197">
                  <c:v>45790</c:v>
                </c:pt>
                <c:pt idx="198">
                  <c:v>45789</c:v>
                </c:pt>
                <c:pt idx="199">
                  <c:v>45786</c:v>
                </c:pt>
                <c:pt idx="200">
                  <c:v>45785</c:v>
                </c:pt>
                <c:pt idx="201">
                  <c:v>45784</c:v>
                </c:pt>
                <c:pt idx="202">
                  <c:v>45783</c:v>
                </c:pt>
                <c:pt idx="203">
                  <c:v>45782</c:v>
                </c:pt>
                <c:pt idx="204">
                  <c:v>45779</c:v>
                </c:pt>
                <c:pt idx="205">
                  <c:v>45778</c:v>
                </c:pt>
                <c:pt idx="206">
                  <c:v>45777</c:v>
                </c:pt>
                <c:pt idx="207">
                  <c:v>45776</c:v>
                </c:pt>
                <c:pt idx="208">
                  <c:v>45775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45764</c:v>
                </c:pt>
                <c:pt idx="215">
                  <c:v>45763</c:v>
                </c:pt>
                <c:pt idx="216">
                  <c:v>45762</c:v>
                </c:pt>
                <c:pt idx="217">
                  <c:v>45761</c:v>
                </c:pt>
                <c:pt idx="218">
                  <c:v>45758</c:v>
                </c:pt>
                <c:pt idx="219">
                  <c:v>45757</c:v>
                </c:pt>
                <c:pt idx="220">
                  <c:v>45756</c:v>
                </c:pt>
                <c:pt idx="221">
                  <c:v>45755</c:v>
                </c:pt>
                <c:pt idx="222">
                  <c:v>45754</c:v>
                </c:pt>
                <c:pt idx="223">
                  <c:v>45751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45702</c:v>
                </c:pt>
                <c:pt idx="258">
                  <c:v>45701</c:v>
                </c:pt>
                <c:pt idx="259">
                  <c:v>45700</c:v>
                </c:pt>
                <c:pt idx="260">
                  <c:v>45699</c:v>
                </c:pt>
                <c:pt idx="261">
                  <c:v>45698</c:v>
                </c:pt>
                <c:pt idx="262">
                  <c:v>45695</c:v>
                </c:pt>
                <c:pt idx="263">
                  <c:v>45694</c:v>
                </c:pt>
                <c:pt idx="264">
                  <c:v>45693</c:v>
                </c:pt>
                <c:pt idx="265">
                  <c:v>45692</c:v>
                </c:pt>
                <c:pt idx="266">
                  <c:v>45691</c:v>
                </c:pt>
                <c:pt idx="267">
                  <c:v>45688</c:v>
                </c:pt>
                <c:pt idx="268">
                  <c:v>45687</c:v>
                </c:pt>
                <c:pt idx="269">
                  <c:v>45686</c:v>
                </c:pt>
                <c:pt idx="270">
                  <c:v>45685</c:v>
                </c:pt>
                <c:pt idx="271">
                  <c:v>45684</c:v>
                </c:pt>
                <c:pt idx="272">
                  <c:v>45681</c:v>
                </c:pt>
                <c:pt idx="273">
                  <c:v>45680</c:v>
                </c:pt>
                <c:pt idx="274">
                  <c:v>45679</c:v>
                </c:pt>
                <c:pt idx="275">
                  <c:v>45678</c:v>
                </c:pt>
                <c:pt idx="276">
                  <c:v>45674</c:v>
                </c:pt>
                <c:pt idx="277">
                  <c:v>45673</c:v>
                </c:pt>
                <c:pt idx="278">
                  <c:v>45672</c:v>
                </c:pt>
                <c:pt idx="279">
                  <c:v>45671</c:v>
                </c:pt>
                <c:pt idx="280">
                  <c:v>45670</c:v>
                </c:pt>
                <c:pt idx="281">
                  <c:v>45667</c:v>
                </c:pt>
                <c:pt idx="282">
                  <c:v>45665</c:v>
                </c:pt>
                <c:pt idx="283">
                  <c:v>45664</c:v>
                </c:pt>
                <c:pt idx="284">
                  <c:v>45663</c:v>
                </c:pt>
                <c:pt idx="285">
                  <c:v>45660</c:v>
                </c:pt>
                <c:pt idx="286">
                  <c:v>45659</c:v>
                </c:pt>
                <c:pt idx="287">
                  <c:v>45657</c:v>
                </c:pt>
                <c:pt idx="288">
                  <c:v>45656</c:v>
                </c:pt>
                <c:pt idx="289">
                  <c:v>45653</c:v>
                </c:pt>
                <c:pt idx="290">
                  <c:v>45652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45623</c:v>
                </c:pt>
                <c:pt idx="310">
                  <c:v>45622</c:v>
                </c:pt>
                <c:pt idx="311">
                  <c:v>45621</c:v>
                </c:pt>
                <c:pt idx="312">
                  <c:v>45618</c:v>
                </c:pt>
                <c:pt idx="313">
                  <c:v>45617</c:v>
                </c:pt>
                <c:pt idx="314">
                  <c:v>45616</c:v>
                </c:pt>
                <c:pt idx="315">
                  <c:v>45615</c:v>
                </c:pt>
                <c:pt idx="316">
                  <c:v>45614</c:v>
                </c:pt>
                <c:pt idx="317">
                  <c:v>45611</c:v>
                </c:pt>
                <c:pt idx="318">
                  <c:v>45610</c:v>
                </c:pt>
                <c:pt idx="319">
                  <c:v>45609</c:v>
                </c:pt>
                <c:pt idx="320">
                  <c:v>45608</c:v>
                </c:pt>
                <c:pt idx="321">
                  <c:v>45607</c:v>
                </c:pt>
                <c:pt idx="322">
                  <c:v>45604</c:v>
                </c:pt>
                <c:pt idx="323">
                  <c:v>45603</c:v>
                </c:pt>
                <c:pt idx="324">
                  <c:v>45602</c:v>
                </c:pt>
                <c:pt idx="325">
                  <c:v>45601</c:v>
                </c:pt>
                <c:pt idx="326">
                  <c:v>45600</c:v>
                </c:pt>
                <c:pt idx="327">
                  <c:v>45597</c:v>
                </c:pt>
                <c:pt idx="328">
                  <c:v>45596</c:v>
                </c:pt>
                <c:pt idx="329">
                  <c:v>45595</c:v>
                </c:pt>
                <c:pt idx="330">
                  <c:v>45594</c:v>
                </c:pt>
                <c:pt idx="331">
                  <c:v>45593</c:v>
                </c:pt>
                <c:pt idx="332">
                  <c:v>45590</c:v>
                </c:pt>
                <c:pt idx="333">
                  <c:v>45589</c:v>
                </c:pt>
                <c:pt idx="334">
                  <c:v>45588</c:v>
                </c:pt>
                <c:pt idx="335">
                  <c:v>45587</c:v>
                </c:pt>
                <c:pt idx="336">
                  <c:v>45586</c:v>
                </c:pt>
                <c:pt idx="337">
                  <c:v>45583</c:v>
                </c:pt>
                <c:pt idx="338">
                  <c:v>45582</c:v>
                </c:pt>
                <c:pt idx="339">
                  <c:v>45581</c:v>
                </c:pt>
                <c:pt idx="340">
                  <c:v>45580</c:v>
                </c:pt>
                <c:pt idx="341">
                  <c:v>45579</c:v>
                </c:pt>
                <c:pt idx="342">
                  <c:v>45576</c:v>
                </c:pt>
                <c:pt idx="343">
                  <c:v>45575</c:v>
                </c:pt>
                <c:pt idx="344">
                  <c:v>45574</c:v>
                </c:pt>
                <c:pt idx="345">
                  <c:v>45573</c:v>
                </c:pt>
                <c:pt idx="346">
                  <c:v>45572</c:v>
                </c:pt>
                <c:pt idx="347">
                  <c:v>45569</c:v>
                </c:pt>
                <c:pt idx="348">
                  <c:v>45568</c:v>
                </c:pt>
                <c:pt idx="349">
                  <c:v>45567</c:v>
                </c:pt>
                <c:pt idx="350">
                  <c:v>45566</c:v>
                </c:pt>
                <c:pt idx="351">
                  <c:v>45565</c:v>
                </c:pt>
                <c:pt idx="352">
                  <c:v>45562</c:v>
                </c:pt>
                <c:pt idx="353">
                  <c:v>45561</c:v>
                </c:pt>
                <c:pt idx="354">
                  <c:v>45560</c:v>
                </c:pt>
                <c:pt idx="355">
                  <c:v>45559</c:v>
                </c:pt>
                <c:pt idx="356">
                  <c:v>45558</c:v>
                </c:pt>
                <c:pt idx="357">
                  <c:v>45555</c:v>
                </c:pt>
                <c:pt idx="358">
                  <c:v>45554</c:v>
                </c:pt>
                <c:pt idx="359">
                  <c:v>45553</c:v>
                </c:pt>
                <c:pt idx="360">
                  <c:v>45552</c:v>
                </c:pt>
                <c:pt idx="361">
                  <c:v>45551</c:v>
                </c:pt>
                <c:pt idx="362">
                  <c:v>45548</c:v>
                </c:pt>
                <c:pt idx="363">
                  <c:v>45547</c:v>
                </c:pt>
                <c:pt idx="364">
                  <c:v>45546</c:v>
                </c:pt>
                <c:pt idx="365">
                  <c:v>45545</c:v>
                </c:pt>
                <c:pt idx="366">
                  <c:v>45544</c:v>
                </c:pt>
                <c:pt idx="367">
                  <c:v>45541</c:v>
                </c:pt>
                <c:pt idx="368">
                  <c:v>45540</c:v>
                </c:pt>
                <c:pt idx="369">
                  <c:v>45539</c:v>
                </c:pt>
                <c:pt idx="370">
                  <c:v>45538</c:v>
                </c:pt>
                <c:pt idx="371">
                  <c:v>45534</c:v>
                </c:pt>
                <c:pt idx="372">
                  <c:v>45533</c:v>
                </c:pt>
                <c:pt idx="373">
                  <c:v>45532</c:v>
                </c:pt>
                <c:pt idx="374">
                  <c:v>45531</c:v>
                </c:pt>
                <c:pt idx="375">
                  <c:v>45530</c:v>
                </c:pt>
                <c:pt idx="376">
                  <c:v>45527</c:v>
                </c:pt>
                <c:pt idx="377">
                  <c:v>45526</c:v>
                </c:pt>
                <c:pt idx="378">
                  <c:v>45525</c:v>
                </c:pt>
                <c:pt idx="379">
                  <c:v>45524</c:v>
                </c:pt>
                <c:pt idx="380">
                  <c:v>45523</c:v>
                </c:pt>
                <c:pt idx="381">
                  <c:v>45520</c:v>
                </c:pt>
                <c:pt idx="382">
                  <c:v>45519</c:v>
                </c:pt>
                <c:pt idx="383">
                  <c:v>45518</c:v>
                </c:pt>
                <c:pt idx="384">
                  <c:v>45517</c:v>
                </c:pt>
                <c:pt idx="385">
                  <c:v>45516</c:v>
                </c:pt>
                <c:pt idx="386">
                  <c:v>45513</c:v>
                </c:pt>
                <c:pt idx="387">
                  <c:v>45512</c:v>
                </c:pt>
                <c:pt idx="388">
                  <c:v>45511</c:v>
                </c:pt>
                <c:pt idx="389">
                  <c:v>45510</c:v>
                </c:pt>
                <c:pt idx="390">
                  <c:v>45509</c:v>
                </c:pt>
                <c:pt idx="391">
                  <c:v>45506</c:v>
                </c:pt>
                <c:pt idx="392">
                  <c:v>45505</c:v>
                </c:pt>
                <c:pt idx="393">
                  <c:v>45504</c:v>
                </c:pt>
                <c:pt idx="394">
                  <c:v>45503</c:v>
                </c:pt>
                <c:pt idx="395">
                  <c:v>45502</c:v>
                </c:pt>
                <c:pt idx="396">
                  <c:v>45499</c:v>
                </c:pt>
                <c:pt idx="397">
                  <c:v>45498</c:v>
                </c:pt>
                <c:pt idx="398">
                  <c:v>45497</c:v>
                </c:pt>
                <c:pt idx="399">
                  <c:v>45496</c:v>
                </c:pt>
                <c:pt idx="400">
                  <c:v>45495</c:v>
                </c:pt>
                <c:pt idx="401">
                  <c:v>45492</c:v>
                </c:pt>
                <c:pt idx="402">
                  <c:v>45491</c:v>
                </c:pt>
                <c:pt idx="403">
                  <c:v>45490</c:v>
                </c:pt>
                <c:pt idx="404">
                  <c:v>45489</c:v>
                </c:pt>
                <c:pt idx="405">
                  <c:v>45488</c:v>
                </c:pt>
                <c:pt idx="406">
                  <c:v>45485</c:v>
                </c:pt>
                <c:pt idx="407">
                  <c:v>45484</c:v>
                </c:pt>
                <c:pt idx="408">
                  <c:v>45483</c:v>
                </c:pt>
                <c:pt idx="409">
                  <c:v>45482</c:v>
                </c:pt>
                <c:pt idx="410">
                  <c:v>45481</c:v>
                </c:pt>
                <c:pt idx="411">
                  <c:v>45478</c:v>
                </c:pt>
                <c:pt idx="412">
                  <c:v>45476</c:v>
                </c:pt>
                <c:pt idx="413">
                  <c:v>45475</c:v>
                </c:pt>
                <c:pt idx="414">
                  <c:v>45474</c:v>
                </c:pt>
                <c:pt idx="415">
                  <c:v>45471</c:v>
                </c:pt>
                <c:pt idx="416">
                  <c:v>45470</c:v>
                </c:pt>
                <c:pt idx="417">
                  <c:v>45469</c:v>
                </c:pt>
                <c:pt idx="418">
                  <c:v>45468</c:v>
                </c:pt>
                <c:pt idx="419">
                  <c:v>45467</c:v>
                </c:pt>
                <c:pt idx="420">
                  <c:v>45464</c:v>
                </c:pt>
                <c:pt idx="421">
                  <c:v>45463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45453</c:v>
                </c:pt>
                <c:pt idx="429">
                  <c:v>45450</c:v>
                </c:pt>
                <c:pt idx="430">
                  <c:v>45449</c:v>
                </c:pt>
                <c:pt idx="431">
                  <c:v>45448</c:v>
                </c:pt>
                <c:pt idx="432">
                  <c:v>45447</c:v>
                </c:pt>
                <c:pt idx="433">
                  <c:v>45446</c:v>
                </c:pt>
                <c:pt idx="434">
                  <c:v>45443</c:v>
                </c:pt>
                <c:pt idx="435">
                  <c:v>45442</c:v>
                </c:pt>
                <c:pt idx="436">
                  <c:v>45441</c:v>
                </c:pt>
                <c:pt idx="437">
                  <c:v>45440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45422</c:v>
                </c:pt>
                <c:pt idx="449">
                  <c:v>45421</c:v>
                </c:pt>
                <c:pt idx="450">
                  <c:v>45420</c:v>
                </c:pt>
                <c:pt idx="451">
                  <c:v>45419</c:v>
                </c:pt>
                <c:pt idx="452">
                  <c:v>45418</c:v>
                </c:pt>
                <c:pt idx="453">
                  <c:v>45415</c:v>
                </c:pt>
                <c:pt idx="454">
                  <c:v>45414</c:v>
                </c:pt>
                <c:pt idx="455">
                  <c:v>45413</c:v>
                </c:pt>
                <c:pt idx="456">
                  <c:v>45412</c:v>
                </c:pt>
                <c:pt idx="457">
                  <c:v>45411</c:v>
                </c:pt>
                <c:pt idx="458">
                  <c:v>45408</c:v>
                </c:pt>
                <c:pt idx="459">
                  <c:v>45407</c:v>
                </c:pt>
                <c:pt idx="460">
                  <c:v>45406</c:v>
                </c:pt>
                <c:pt idx="461">
                  <c:v>45405</c:v>
                </c:pt>
                <c:pt idx="462">
                  <c:v>45404</c:v>
                </c:pt>
                <c:pt idx="463">
                  <c:v>45401</c:v>
                </c:pt>
                <c:pt idx="464">
                  <c:v>45400</c:v>
                </c:pt>
                <c:pt idx="465">
                  <c:v>45399</c:v>
                </c:pt>
                <c:pt idx="466">
                  <c:v>45398</c:v>
                </c:pt>
                <c:pt idx="467">
                  <c:v>45397</c:v>
                </c:pt>
                <c:pt idx="468">
                  <c:v>45394</c:v>
                </c:pt>
                <c:pt idx="469">
                  <c:v>45393</c:v>
                </c:pt>
                <c:pt idx="470">
                  <c:v>45392</c:v>
                </c:pt>
                <c:pt idx="471">
                  <c:v>45391</c:v>
                </c:pt>
                <c:pt idx="472">
                  <c:v>45390</c:v>
                </c:pt>
                <c:pt idx="473">
                  <c:v>45387</c:v>
                </c:pt>
                <c:pt idx="474">
                  <c:v>45386</c:v>
                </c:pt>
                <c:pt idx="475">
                  <c:v>45385</c:v>
                </c:pt>
                <c:pt idx="476">
                  <c:v>45384</c:v>
                </c:pt>
                <c:pt idx="477">
                  <c:v>45383</c:v>
                </c:pt>
                <c:pt idx="478">
                  <c:v>45379</c:v>
                </c:pt>
                <c:pt idx="479">
                  <c:v>45378</c:v>
                </c:pt>
                <c:pt idx="480">
                  <c:v>45377</c:v>
                </c:pt>
                <c:pt idx="481">
                  <c:v>45376</c:v>
                </c:pt>
                <c:pt idx="482">
                  <c:v>45373</c:v>
                </c:pt>
                <c:pt idx="483">
                  <c:v>45372</c:v>
                </c:pt>
                <c:pt idx="484">
                  <c:v>45371</c:v>
                </c:pt>
                <c:pt idx="485">
                  <c:v>45370</c:v>
                </c:pt>
                <c:pt idx="486">
                  <c:v>45369</c:v>
                </c:pt>
                <c:pt idx="487">
                  <c:v>45366</c:v>
                </c:pt>
                <c:pt idx="488">
                  <c:v>45365</c:v>
                </c:pt>
                <c:pt idx="489">
                  <c:v>45364</c:v>
                </c:pt>
                <c:pt idx="490">
                  <c:v>45363</c:v>
                </c:pt>
                <c:pt idx="491">
                  <c:v>45362</c:v>
                </c:pt>
                <c:pt idx="492">
                  <c:v>45359</c:v>
                </c:pt>
                <c:pt idx="493">
                  <c:v>45358</c:v>
                </c:pt>
                <c:pt idx="494">
                  <c:v>45357</c:v>
                </c:pt>
                <c:pt idx="495">
                  <c:v>45356</c:v>
                </c:pt>
                <c:pt idx="496">
                  <c:v>45355</c:v>
                </c:pt>
                <c:pt idx="497">
                  <c:v>45352</c:v>
                </c:pt>
                <c:pt idx="498">
                  <c:v>45351</c:v>
                </c:pt>
                <c:pt idx="499">
                  <c:v>45350</c:v>
                </c:pt>
                <c:pt idx="500">
                  <c:v>45349</c:v>
                </c:pt>
                <c:pt idx="501">
                  <c:v>45348</c:v>
                </c:pt>
                <c:pt idx="502">
                  <c:v>45345</c:v>
                </c:pt>
                <c:pt idx="503">
                  <c:v>45344</c:v>
                </c:pt>
                <c:pt idx="504">
                  <c:v>45343</c:v>
                </c:pt>
                <c:pt idx="505">
                  <c:v>45342</c:v>
                </c:pt>
                <c:pt idx="506">
                  <c:v>45338</c:v>
                </c:pt>
                <c:pt idx="507">
                  <c:v>45337</c:v>
                </c:pt>
                <c:pt idx="508">
                  <c:v>45336</c:v>
                </c:pt>
                <c:pt idx="509">
                  <c:v>45335</c:v>
                </c:pt>
                <c:pt idx="510">
                  <c:v>45334</c:v>
                </c:pt>
                <c:pt idx="511">
                  <c:v>45331</c:v>
                </c:pt>
                <c:pt idx="512">
                  <c:v>45330</c:v>
                </c:pt>
                <c:pt idx="513">
                  <c:v>45329</c:v>
                </c:pt>
                <c:pt idx="514">
                  <c:v>45328</c:v>
                </c:pt>
                <c:pt idx="515">
                  <c:v>45327</c:v>
                </c:pt>
                <c:pt idx="516">
                  <c:v>45324</c:v>
                </c:pt>
                <c:pt idx="517">
                  <c:v>45323</c:v>
                </c:pt>
                <c:pt idx="518">
                  <c:v>45322</c:v>
                </c:pt>
                <c:pt idx="519">
                  <c:v>45321</c:v>
                </c:pt>
                <c:pt idx="520">
                  <c:v>45320</c:v>
                </c:pt>
                <c:pt idx="521">
                  <c:v>45317</c:v>
                </c:pt>
                <c:pt idx="522">
                  <c:v>45316</c:v>
                </c:pt>
                <c:pt idx="523">
                  <c:v>45315</c:v>
                </c:pt>
                <c:pt idx="524">
                  <c:v>45314</c:v>
                </c:pt>
                <c:pt idx="525">
                  <c:v>45313</c:v>
                </c:pt>
                <c:pt idx="526">
                  <c:v>45310</c:v>
                </c:pt>
                <c:pt idx="527">
                  <c:v>45309</c:v>
                </c:pt>
                <c:pt idx="528">
                  <c:v>45308</c:v>
                </c:pt>
                <c:pt idx="529">
                  <c:v>45307</c:v>
                </c:pt>
                <c:pt idx="530">
                  <c:v>45303</c:v>
                </c:pt>
                <c:pt idx="531">
                  <c:v>45302</c:v>
                </c:pt>
                <c:pt idx="532">
                  <c:v>45301</c:v>
                </c:pt>
                <c:pt idx="533">
                  <c:v>45300</c:v>
                </c:pt>
                <c:pt idx="534">
                  <c:v>45299</c:v>
                </c:pt>
                <c:pt idx="535">
                  <c:v>45296</c:v>
                </c:pt>
                <c:pt idx="536">
                  <c:v>45295</c:v>
                </c:pt>
                <c:pt idx="537">
                  <c:v>45294</c:v>
                </c:pt>
                <c:pt idx="538">
                  <c:v>45293</c:v>
                </c:pt>
                <c:pt idx="539">
                  <c:v>45289</c:v>
                </c:pt>
                <c:pt idx="540">
                  <c:v>45288</c:v>
                </c:pt>
                <c:pt idx="541">
                  <c:v>45287</c:v>
                </c:pt>
                <c:pt idx="542">
                  <c:v>45286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45252</c:v>
                </c:pt>
                <c:pt idx="565">
                  <c:v>45251</c:v>
                </c:pt>
                <c:pt idx="566">
                  <c:v>45250</c:v>
                </c:pt>
                <c:pt idx="567">
                  <c:v>45247</c:v>
                </c:pt>
                <c:pt idx="568">
                  <c:v>45246</c:v>
                </c:pt>
                <c:pt idx="569">
                  <c:v>45245</c:v>
                </c:pt>
                <c:pt idx="570">
                  <c:v>45244</c:v>
                </c:pt>
                <c:pt idx="571">
                  <c:v>45243</c:v>
                </c:pt>
                <c:pt idx="572">
                  <c:v>45240</c:v>
                </c:pt>
                <c:pt idx="573">
                  <c:v>45239</c:v>
                </c:pt>
                <c:pt idx="574">
                  <c:v>45238</c:v>
                </c:pt>
                <c:pt idx="575">
                  <c:v>45237</c:v>
                </c:pt>
                <c:pt idx="576">
                  <c:v>45236</c:v>
                </c:pt>
                <c:pt idx="577">
                  <c:v>45233</c:v>
                </c:pt>
                <c:pt idx="578">
                  <c:v>45232</c:v>
                </c:pt>
                <c:pt idx="579">
                  <c:v>45231</c:v>
                </c:pt>
                <c:pt idx="580">
                  <c:v>45230</c:v>
                </c:pt>
                <c:pt idx="581">
                  <c:v>45229</c:v>
                </c:pt>
                <c:pt idx="582">
                  <c:v>45226</c:v>
                </c:pt>
                <c:pt idx="583">
                  <c:v>45225</c:v>
                </c:pt>
                <c:pt idx="584">
                  <c:v>45224</c:v>
                </c:pt>
                <c:pt idx="585">
                  <c:v>45223</c:v>
                </c:pt>
                <c:pt idx="586">
                  <c:v>45222</c:v>
                </c:pt>
                <c:pt idx="587">
                  <c:v>45219</c:v>
                </c:pt>
                <c:pt idx="588">
                  <c:v>45218</c:v>
                </c:pt>
                <c:pt idx="589">
                  <c:v>45217</c:v>
                </c:pt>
                <c:pt idx="590">
                  <c:v>45216</c:v>
                </c:pt>
                <c:pt idx="591">
                  <c:v>45215</c:v>
                </c:pt>
                <c:pt idx="592">
                  <c:v>45212</c:v>
                </c:pt>
                <c:pt idx="593">
                  <c:v>45211</c:v>
                </c:pt>
                <c:pt idx="594">
                  <c:v>45210</c:v>
                </c:pt>
                <c:pt idx="595">
                  <c:v>45209</c:v>
                </c:pt>
                <c:pt idx="596">
                  <c:v>45208</c:v>
                </c:pt>
                <c:pt idx="597">
                  <c:v>45205</c:v>
                </c:pt>
                <c:pt idx="598">
                  <c:v>45204</c:v>
                </c:pt>
                <c:pt idx="599">
                  <c:v>45203</c:v>
                </c:pt>
                <c:pt idx="600">
                  <c:v>45202</c:v>
                </c:pt>
                <c:pt idx="601">
                  <c:v>45201</c:v>
                </c:pt>
                <c:pt idx="602">
                  <c:v>45198</c:v>
                </c:pt>
                <c:pt idx="603">
                  <c:v>45197</c:v>
                </c:pt>
                <c:pt idx="604">
                  <c:v>45196</c:v>
                </c:pt>
                <c:pt idx="605">
                  <c:v>45195</c:v>
                </c:pt>
                <c:pt idx="606">
                  <c:v>45194</c:v>
                </c:pt>
                <c:pt idx="607">
                  <c:v>45191</c:v>
                </c:pt>
                <c:pt idx="608">
                  <c:v>45190</c:v>
                </c:pt>
                <c:pt idx="609">
                  <c:v>45189</c:v>
                </c:pt>
                <c:pt idx="610">
                  <c:v>45188</c:v>
                </c:pt>
                <c:pt idx="611">
                  <c:v>45187</c:v>
                </c:pt>
                <c:pt idx="612">
                  <c:v>45184</c:v>
                </c:pt>
                <c:pt idx="613">
                  <c:v>45183</c:v>
                </c:pt>
                <c:pt idx="614">
                  <c:v>45182</c:v>
                </c:pt>
                <c:pt idx="615">
                  <c:v>45181</c:v>
                </c:pt>
                <c:pt idx="616">
                  <c:v>45180</c:v>
                </c:pt>
                <c:pt idx="617">
                  <c:v>45177</c:v>
                </c:pt>
                <c:pt idx="618">
                  <c:v>45176</c:v>
                </c:pt>
                <c:pt idx="619">
                  <c:v>45175</c:v>
                </c:pt>
                <c:pt idx="620">
                  <c:v>45174</c:v>
                </c:pt>
                <c:pt idx="621">
                  <c:v>45170</c:v>
                </c:pt>
                <c:pt idx="622">
                  <c:v>45169</c:v>
                </c:pt>
                <c:pt idx="623">
                  <c:v>45168</c:v>
                </c:pt>
                <c:pt idx="624">
                  <c:v>45167</c:v>
                </c:pt>
                <c:pt idx="625">
                  <c:v>45166</c:v>
                </c:pt>
                <c:pt idx="626">
                  <c:v>45163</c:v>
                </c:pt>
                <c:pt idx="627">
                  <c:v>45162</c:v>
                </c:pt>
                <c:pt idx="628">
                  <c:v>45161</c:v>
                </c:pt>
                <c:pt idx="629">
                  <c:v>45160</c:v>
                </c:pt>
                <c:pt idx="630">
                  <c:v>45159</c:v>
                </c:pt>
                <c:pt idx="631">
                  <c:v>45156</c:v>
                </c:pt>
                <c:pt idx="632">
                  <c:v>45155</c:v>
                </c:pt>
                <c:pt idx="633">
                  <c:v>45154</c:v>
                </c:pt>
                <c:pt idx="634">
                  <c:v>45153</c:v>
                </c:pt>
                <c:pt idx="635">
                  <c:v>45152</c:v>
                </c:pt>
                <c:pt idx="636">
                  <c:v>45149</c:v>
                </c:pt>
                <c:pt idx="637">
                  <c:v>45148</c:v>
                </c:pt>
                <c:pt idx="638">
                  <c:v>45147</c:v>
                </c:pt>
                <c:pt idx="639">
                  <c:v>45146</c:v>
                </c:pt>
                <c:pt idx="640">
                  <c:v>45145</c:v>
                </c:pt>
                <c:pt idx="641">
                  <c:v>45142</c:v>
                </c:pt>
                <c:pt idx="642">
                  <c:v>45141</c:v>
                </c:pt>
                <c:pt idx="643">
                  <c:v>45140</c:v>
                </c:pt>
                <c:pt idx="644">
                  <c:v>45139</c:v>
                </c:pt>
                <c:pt idx="645">
                  <c:v>45138</c:v>
                </c:pt>
                <c:pt idx="646">
                  <c:v>45135</c:v>
                </c:pt>
                <c:pt idx="647">
                  <c:v>45134</c:v>
                </c:pt>
                <c:pt idx="648">
                  <c:v>45133</c:v>
                </c:pt>
                <c:pt idx="649">
                  <c:v>45132</c:v>
                </c:pt>
                <c:pt idx="650">
                  <c:v>45131</c:v>
                </c:pt>
                <c:pt idx="651">
                  <c:v>45128</c:v>
                </c:pt>
                <c:pt idx="652">
                  <c:v>45127</c:v>
                </c:pt>
                <c:pt idx="653">
                  <c:v>45126</c:v>
                </c:pt>
                <c:pt idx="654">
                  <c:v>45125</c:v>
                </c:pt>
                <c:pt idx="655">
                  <c:v>45124</c:v>
                </c:pt>
                <c:pt idx="656">
                  <c:v>45121</c:v>
                </c:pt>
                <c:pt idx="657">
                  <c:v>45120</c:v>
                </c:pt>
                <c:pt idx="658">
                  <c:v>45119</c:v>
                </c:pt>
                <c:pt idx="659">
                  <c:v>45118</c:v>
                </c:pt>
                <c:pt idx="660">
                  <c:v>45117</c:v>
                </c:pt>
                <c:pt idx="661">
                  <c:v>45114</c:v>
                </c:pt>
                <c:pt idx="662">
                  <c:v>45113</c:v>
                </c:pt>
                <c:pt idx="663">
                  <c:v>45112</c:v>
                </c:pt>
                <c:pt idx="664">
                  <c:v>45110</c:v>
                </c:pt>
                <c:pt idx="665">
                  <c:v>45107</c:v>
                </c:pt>
                <c:pt idx="666">
                  <c:v>45106</c:v>
                </c:pt>
                <c:pt idx="667">
                  <c:v>45105</c:v>
                </c:pt>
                <c:pt idx="668">
                  <c:v>45104</c:v>
                </c:pt>
                <c:pt idx="669">
                  <c:v>45103</c:v>
                </c:pt>
                <c:pt idx="670">
                  <c:v>45100</c:v>
                </c:pt>
                <c:pt idx="671">
                  <c:v>45099</c:v>
                </c:pt>
                <c:pt idx="672">
                  <c:v>45098</c:v>
                </c:pt>
                <c:pt idx="673">
                  <c:v>45097</c:v>
                </c:pt>
                <c:pt idx="674">
                  <c:v>45093</c:v>
                </c:pt>
                <c:pt idx="675">
                  <c:v>45092</c:v>
                </c:pt>
                <c:pt idx="676">
                  <c:v>45091</c:v>
                </c:pt>
                <c:pt idx="677">
                  <c:v>45090</c:v>
                </c:pt>
                <c:pt idx="678">
                  <c:v>45089</c:v>
                </c:pt>
                <c:pt idx="679">
                  <c:v>45086</c:v>
                </c:pt>
                <c:pt idx="680">
                  <c:v>45085</c:v>
                </c:pt>
                <c:pt idx="681">
                  <c:v>45084</c:v>
                </c:pt>
                <c:pt idx="682">
                  <c:v>45083</c:v>
                </c:pt>
                <c:pt idx="683">
                  <c:v>45082</c:v>
                </c:pt>
                <c:pt idx="684">
                  <c:v>45079</c:v>
                </c:pt>
                <c:pt idx="685">
                  <c:v>45078</c:v>
                </c:pt>
                <c:pt idx="686">
                  <c:v>45077</c:v>
                </c:pt>
                <c:pt idx="687">
                  <c:v>45076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45051</c:v>
                </c:pt>
                <c:pt idx="704">
                  <c:v>45050</c:v>
                </c:pt>
                <c:pt idx="705">
                  <c:v>45049</c:v>
                </c:pt>
                <c:pt idx="706">
                  <c:v>45048</c:v>
                </c:pt>
                <c:pt idx="707">
                  <c:v>45047</c:v>
                </c:pt>
                <c:pt idx="708">
                  <c:v>45044</c:v>
                </c:pt>
                <c:pt idx="709">
                  <c:v>45043</c:v>
                </c:pt>
                <c:pt idx="710">
                  <c:v>45042</c:v>
                </c:pt>
                <c:pt idx="711">
                  <c:v>45041</c:v>
                </c:pt>
                <c:pt idx="712">
                  <c:v>45040</c:v>
                </c:pt>
                <c:pt idx="713">
                  <c:v>45037</c:v>
                </c:pt>
                <c:pt idx="714">
                  <c:v>45036</c:v>
                </c:pt>
                <c:pt idx="715">
                  <c:v>45035</c:v>
                </c:pt>
                <c:pt idx="716">
                  <c:v>45034</c:v>
                </c:pt>
                <c:pt idx="717">
                  <c:v>45033</c:v>
                </c:pt>
                <c:pt idx="718">
                  <c:v>45030</c:v>
                </c:pt>
                <c:pt idx="719">
                  <c:v>45029</c:v>
                </c:pt>
                <c:pt idx="720">
                  <c:v>45028</c:v>
                </c:pt>
                <c:pt idx="721">
                  <c:v>45027</c:v>
                </c:pt>
                <c:pt idx="722">
                  <c:v>45026</c:v>
                </c:pt>
                <c:pt idx="723">
                  <c:v>45022</c:v>
                </c:pt>
                <c:pt idx="724">
                  <c:v>45021</c:v>
                </c:pt>
                <c:pt idx="725">
                  <c:v>45020</c:v>
                </c:pt>
                <c:pt idx="726">
                  <c:v>45019</c:v>
                </c:pt>
                <c:pt idx="727">
                  <c:v>45016</c:v>
                </c:pt>
                <c:pt idx="728">
                  <c:v>45015</c:v>
                </c:pt>
                <c:pt idx="729">
                  <c:v>45014</c:v>
                </c:pt>
                <c:pt idx="730">
                  <c:v>45013</c:v>
                </c:pt>
                <c:pt idx="731">
                  <c:v>45012</c:v>
                </c:pt>
                <c:pt idx="732">
                  <c:v>45009</c:v>
                </c:pt>
                <c:pt idx="733">
                  <c:v>45008</c:v>
                </c:pt>
                <c:pt idx="734">
                  <c:v>45007</c:v>
                </c:pt>
                <c:pt idx="735">
                  <c:v>45006</c:v>
                </c:pt>
                <c:pt idx="736">
                  <c:v>45005</c:v>
                </c:pt>
                <c:pt idx="737">
                  <c:v>45002</c:v>
                </c:pt>
                <c:pt idx="738">
                  <c:v>45001</c:v>
                </c:pt>
                <c:pt idx="739">
                  <c:v>45000</c:v>
                </c:pt>
                <c:pt idx="740">
                  <c:v>44999</c:v>
                </c:pt>
                <c:pt idx="741">
                  <c:v>44998</c:v>
                </c:pt>
                <c:pt idx="742">
                  <c:v>44995</c:v>
                </c:pt>
                <c:pt idx="743">
                  <c:v>44994</c:v>
                </c:pt>
                <c:pt idx="744">
                  <c:v>44993</c:v>
                </c:pt>
                <c:pt idx="745">
                  <c:v>44992</c:v>
                </c:pt>
                <c:pt idx="746">
                  <c:v>44991</c:v>
                </c:pt>
                <c:pt idx="747">
                  <c:v>44988</c:v>
                </c:pt>
                <c:pt idx="748">
                  <c:v>44987</c:v>
                </c:pt>
                <c:pt idx="749">
                  <c:v>44986</c:v>
                </c:pt>
                <c:pt idx="750">
                  <c:v>44985</c:v>
                </c:pt>
              </c:numCache>
            </c:numRef>
          </c:cat>
          <c:val>
            <c:numRef>
              <c:f>WCC!$I$21:$I$773</c:f>
              <c:numCache>
                <c:formatCode>0.0%_);\(0.0%\);\-\-_);@_)</c:formatCode>
                <c:ptCount val="753"/>
                <c:pt idx="0">
                  <c:v>4.1972684446178569E-2</c:v>
                </c:pt>
                <c:pt idx="1">
                  <c:v>4.5349743308263121E-2</c:v>
                </c:pt>
                <c:pt idx="2">
                  <c:v>1.8578859856178746E-2</c:v>
                </c:pt>
                <c:pt idx="3">
                  <c:v>2.4486208904190326E-2</c:v>
                </c:pt>
                <c:pt idx="4">
                  <c:v>5.4416965886176435E-2</c:v>
                </c:pt>
                <c:pt idx="5">
                  <c:v>7.2745885271260399E-2</c:v>
                </c:pt>
                <c:pt idx="6">
                  <c:v>9.0739645363058341E-2</c:v>
                </c:pt>
                <c:pt idx="7">
                  <c:v>0.10751459538273925</c:v>
                </c:pt>
                <c:pt idx="8">
                  <c:v>9.123460999666623E-2</c:v>
                </c:pt>
                <c:pt idx="9">
                  <c:v>9.9841445854878488E-2</c:v>
                </c:pt>
                <c:pt idx="10">
                  <c:v>5.3008864227938247E-2</c:v>
                </c:pt>
                <c:pt idx="11">
                  <c:v>0.12061190841569783</c:v>
                </c:pt>
                <c:pt idx="12">
                  <c:v>0.17585713766624209</c:v>
                </c:pt>
                <c:pt idx="13">
                  <c:v>0.16611840197956956</c:v>
                </c:pt>
                <c:pt idx="14">
                  <c:v>0.12102708274227081</c:v>
                </c:pt>
                <c:pt idx="15">
                  <c:v>0.13415314302635875</c:v>
                </c:pt>
                <c:pt idx="16">
                  <c:v>0.15180710742805417</c:v>
                </c:pt>
                <c:pt idx="17">
                  <c:v>0.16024742117090582</c:v>
                </c:pt>
                <c:pt idx="18">
                  <c:v>0.15252535374526255</c:v>
                </c:pt>
                <c:pt idx="19">
                  <c:v>0.1391990622729645</c:v>
                </c:pt>
                <c:pt idx="20">
                  <c:v>0.1215928537354059</c:v>
                </c:pt>
                <c:pt idx="21">
                  <c:v>0.12162443593362025</c:v>
                </c:pt>
                <c:pt idx="22">
                  <c:v>0.13254894427406355</c:v>
                </c:pt>
                <c:pt idx="23">
                  <c:v>0.13156164746809992</c:v>
                </c:pt>
                <c:pt idx="24">
                  <c:v>0.12534363208834462</c:v>
                </c:pt>
                <c:pt idx="25">
                  <c:v>0.12417016711682473</c:v>
                </c:pt>
                <c:pt idx="26">
                  <c:v>6.9739490111518879E-2</c:v>
                </c:pt>
                <c:pt idx="27">
                  <c:v>6.2742275047763557E-2</c:v>
                </c:pt>
                <c:pt idx="28">
                  <c:v>4.1575366702142222E-2</c:v>
                </c:pt>
                <c:pt idx="29">
                  <c:v>2.8885232159905981E-2</c:v>
                </c:pt>
                <c:pt idx="30">
                  <c:v>-3.2737208513624244E-2</c:v>
                </c:pt>
                <c:pt idx="31">
                  <c:v>-4.7454499475950492E-2</c:v>
                </c:pt>
                <c:pt idx="32">
                  <c:v>-1.3711108979294642E-2</c:v>
                </c:pt>
                <c:pt idx="33">
                  <c:v>-4.268980401712201E-2</c:v>
                </c:pt>
                <c:pt idx="34">
                  <c:v>-2.212044345617465E-2</c:v>
                </c:pt>
                <c:pt idx="35">
                  <c:v>-2.7469051238943786E-2</c:v>
                </c:pt>
                <c:pt idx="36">
                  <c:v>-7.0294772415651394E-2</c:v>
                </c:pt>
                <c:pt idx="37">
                  <c:v>-8.5331166696041974E-2</c:v>
                </c:pt>
                <c:pt idx="38">
                  <c:v>-8.1318320884506481E-2</c:v>
                </c:pt>
                <c:pt idx="39">
                  <c:v>-7.1622285783904102E-2</c:v>
                </c:pt>
                <c:pt idx="40">
                  <c:v>-6.8125010299121713E-2</c:v>
                </c:pt>
                <c:pt idx="41">
                  <c:v>-6.1156325504551912E-2</c:v>
                </c:pt>
                <c:pt idx="42">
                  <c:v>-5.7295678198795288E-2</c:v>
                </c:pt>
                <c:pt idx="43">
                  <c:v>-5.6667258108125465E-2</c:v>
                </c:pt>
                <c:pt idx="44">
                  <c:v>-5.6452417182762907E-2</c:v>
                </c:pt>
                <c:pt idx="45">
                  <c:v>-6.3517127027236997E-2</c:v>
                </c:pt>
                <c:pt idx="46">
                  <c:v>-2.0598678326318492E-2</c:v>
                </c:pt>
                <c:pt idx="47">
                  <c:v>1.1686559749313076E-2</c:v>
                </c:pt>
                <c:pt idx="48">
                  <c:v>-1.1775651809191118E-2</c:v>
                </c:pt>
                <c:pt idx="49">
                  <c:v>-1.2507474548167086E-2</c:v>
                </c:pt>
                <c:pt idx="50">
                  <c:v>2.7222079859920832E-2</c:v>
                </c:pt>
                <c:pt idx="51">
                  <c:v>6.4584749539414898E-2</c:v>
                </c:pt>
                <c:pt idx="52">
                  <c:v>1.8182014084387434E-2</c:v>
                </c:pt>
                <c:pt idx="53">
                  <c:v>2.9676332075099489E-2</c:v>
                </c:pt>
                <c:pt idx="54">
                  <c:v>2.8494208727155655E-2</c:v>
                </c:pt>
                <c:pt idx="55">
                  <c:v>4.3869967015854383E-2</c:v>
                </c:pt>
                <c:pt idx="56">
                  <c:v>5.569837622846105E-2</c:v>
                </c:pt>
                <c:pt idx="57">
                  <c:v>2.4409491855228824E-2</c:v>
                </c:pt>
                <c:pt idx="58">
                  <c:v>3.13274293686224E-2</c:v>
                </c:pt>
                <c:pt idx="59">
                  <c:v>5.4069834418784116E-2</c:v>
                </c:pt>
                <c:pt idx="60">
                  <c:v>0.17611452407880349</c:v>
                </c:pt>
                <c:pt idx="61">
                  <c:v>0.20574630634675292</c:v>
                </c:pt>
                <c:pt idx="62">
                  <c:v>0.1787389550009793</c:v>
                </c:pt>
                <c:pt idx="63">
                  <c:v>0.15832551223514241</c:v>
                </c:pt>
                <c:pt idx="64">
                  <c:v>0.17086682866578987</c:v>
                </c:pt>
                <c:pt idx="65">
                  <c:v>0.19484316579748798</c:v>
                </c:pt>
                <c:pt idx="66">
                  <c:v>0.1569005810776162</c:v>
                </c:pt>
                <c:pt idx="67">
                  <c:v>0.14716984203194683</c:v>
                </c:pt>
                <c:pt idx="68">
                  <c:v>0.18523953900753184</c:v>
                </c:pt>
                <c:pt idx="69">
                  <c:v>0.15727940255743039</c:v>
                </c:pt>
                <c:pt idx="70">
                  <c:v>0.18272966569797028</c:v>
                </c:pt>
                <c:pt idx="71">
                  <c:v>0.13402455736650606</c:v>
                </c:pt>
                <c:pt idx="72">
                  <c:v>0.18386869332013162</c:v>
                </c:pt>
                <c:pt idx="73">
                  <c:v>0.1864446671279526</c:v>
                </c:pt>
                <c:pt idx="74">
                  <c:v>0.16220837264905</c:v>
                </c:pt>
                <c:pt idx="75">
                  <c:v>0.13460931206678578</c:v>
                </c:pt>
                <c:pt idx="76">
                  <c:v>0.16546267727053976</c:v>
                </c:pt>
                <c:pt idx="77">
                  <c:v>0.16603134650008081</c:v>
                </c:pt>
                <c:pt idx="78">
                  <c:v>0.17522162593048218</c:v>
                </c:pt>
                <c:pt idx="79">
                  <c:v>0.15531929311651704</c:v>
                </c:pt>
                <c:pt idx="80">
                  <c:v>2.6725588503292749E-2</c:v>
                </c:pt>
                <c:pt idx="81">
                  <c:v>-9.5441334228801092E-3</c:v>
                </c:pt>
                <c:pt idx="82">
                  <c:v>-1.6529838695269472E-3</c:v>
                </c:pt>
                <c:pt idx="83">
                  <c:v>1.4132918931616244E-2</c:v>
                </c:pt>
                <c:pt idx="84">
                  <c:v>1.6868330039286596E-2</c:v>
                </c:pt>
                <c:pt idx="85">
                  <c:v>1.0817164276805805E-2</c:v>
                </c:pt>
                <c:pt idx="86">
                  <c:v>2.7720465790890693E-2</c:v>
                </c:pt>
                <c:pt idx="87">
                  <c:v>2.5258836839312765E-2</c:v>
                </c:pt>
                <c:pt idx="88">
                  <c:v>2.4092078866637508E-2</c:v>
                </c:pt>
                <c:pt idx="89">
                  <c:v>1.6983098827936905E-2</c:v>
                </c:pt>
                <c:pt idx="90">
                  <c:v>1.2713028823914709E-3</c:v>
                </c:pt>
                <c:pt idx="91">
                  <c:v>3.6917810131844673E-3</c:v>
                </c:pt>
                <c:pt idx="92">
                  <c:v>-1.8991836780854129E-2</c:v>
                </c:pt>
                <c:pt idx="93">
                  <c:v>-2.0886449080075302E-2</c:v>
                </c:pt>
                <c:pt idx="94">
                  <c:v>-3.1260828155298022E-2</c:v>
                </c:pt>
                <c:pt idx="95">
                  <c:v>-1.3997683292137797E-2</c:v>
                </c:pt>
                <c:pt idx="96">
                  <c:v>-4.360687822814243E-2</c:v>
                </c:pt>
                <c:pt idx="97">
                  <c:v>-5.2508966345342613E-2</c:v>
                </c:pt>
                <c:pt idx="98">
                  <c:v>-7.2558272037717975E-2</c:v>
                </c:pt>
                <c:pt idx="99">
                  <c:v>-7.145831681878298E-2</c:v>
                </c:pt>
                <c:pt idx="100">
                  <c:v>-8.5892830344466126E-2</c:v>
                </c:pt>
                <c:pt idx="101">
                  <c:v>-0.10189265227503895</c:v>
                </c:pt>
                <c:pt idx="102">
                  <c:v>-8.8240090350805461E-2</c:v>
                </c:pt>
                <c:pt idx="103">
                  <c:v>-8.6792682734489535E-2</c:v>
                </c:pt>
                <c:pt idx="104">
                  <c:v>-0.11024877998027459</c:v>
                </c:pt>
                <c:pt idx="105">
                  <c:v>-0.12466600233559286</c:v>
                </c:pt>
                <c:pt idx="106">
                  <c:v>-0.11696161425276599</c:v>
                </c:pt>
                <c:pt idx="107">
                  <c:v>-0.10491228062180642</c:v>
                </c:pt>
                <c:pt idx="108">
                  <c:v>-8.3169635361593303E-2</c:v>
                </c:pt>
                <c:pt idx="109">
                  <c:v>-3.2683034031231011E-2</c:v>
                </c:pt>
                <c:pt idx="110">
                  <c:v>-3.5630802996352032E-2</c:v>
                </c:pt>
                <c:pt idx="111">
                  <c:v>-9.4164402369669789E-3</c:v>
                </c:pt>
                <c:pt idx="112">
                  <c:v>6.0196164073576114E-4</c:v>
                </c:pt>
                <c:pt idx="113">
                  <c:v>-1.0278839362957669E-2</c:v>
                </c:pt>
                <c:pt idx="114">
                  <c:v>-6.1073016242429237E-3</c:v>
                </c:pt>
                <c:pt idx="115">
                  <c:v>-4.5088912645612905E-3</c:v>
                </c:pt>
                <c:pt idx="116">
                  <c:v>9.9669492904218629E-3</c:v>
                </c:pt>
                <c:pt idx="117">
                  <c:v>4.0099055776496292E-2</c:v>
                </c:pt>
                <c:pt idx="118">
                  <c:v>3.4258841688955766E-2</c:v>
                </c:pt>
                <c:pt idx="119">
                  <c:v>1.9523309551991774E-2</c:v>
                </c:pt>
                <c:pt idx="120">
                  <c:v>1.6228099345763781E-2</c:v>
                </c:pt>
                <c:pt idx="121">
                  <c:v>2.5872040821975098E-2</c:v>
                </c:pt>
                <c:pt idx="122">
                  <c:v>2.355359271509392E-2</c:v>
                </c:pt>
                <c:pt idx="123">
                  <c:v>4.8630892777019534E-2</c:v>
                </c:pt>
                <c:pt idx="124">
                  <c:v>3.8038633989402243E-2</c:v>
                </c:pt>
                <c:pt idx="125">
                  <c:v>2.3899562743858641E-2</c:v>
                </c:pt>
                <c:pt idx="126">
                  <c:v>1.6321179213478476E-2</c:v>
                </c:pt>
                <c:pt idx="127">
                  <c:v>1.648767817168138E-2</c:v>
                </c:pt>
                <c:pt idx="128">
                  <c:v>-5.1828208029853304E-3</c:v>
                </c:pt>
                <c:pt idx="129">
                  <c:v>-2.3492906714041223E-2</c:v>
                </c:pt>
                <c:pt idx="130">
                  <c:v>-6.1834003489179938E-3</c:v>
                </c:pt>
                <c:pt idx="131">
                  <c:v>-4.439898976086834E-3</c:v>
                </c:pt>
                <c:pt idx="132">
                  <c:v>-3.7267498780788853E-2</c:v>
                </c:pt>
                <c:pt idx="133">
                  <c:v>-1.7019309022807551E-2</c:v>
                </c:pt>
                <c:pt idx="134">
                  <c:v>2.9086100905461869E-2</c:v>
                </c:pt>
                <c:pt idx="135">
                  <c:v>1.3791401359032084E-2</c:v>
                </c:pt>
                <c:pt idx="136">
                  <c:v>9.3422723005517905E-4</c:v>
                </c:pt>
                <c:pt idx="137">
                  <c:v>-7.1160690505627233E-3</c:v>
                </c:pt>
                <c:pt idx="138">
                  <c:v>2.7482163026904746E-3</c:v>
                </c:pt>
                <c:pt idx="139">
                  <c:v>1.9085415568791727E-2</c:v>
                </c:pt>
                <c:pt idx="140">
                  <c:v>3.8198269061311019E-2</c:v>
                </c:pt>
                <c:pt idx="141">
                  <c:v>7.28931285121696E-2</c:v>
                </c:pt>
                <c:pt idx="142">
                  <c:v>0</c:v>
                </c:pt>
                <c:pt idx="143">
                  <c:v>4.9816053411784654E-2</c:v>
                </c:pt>
                <c:pt idx="144">
                  <c:v>6.5076516018836128E-2</c:v>
                </c:pt>
                <c:pt idx="145">
                  <c:v>9.7680260934469632E-2</c:v>
                </c:pt>
                <c:pt idx="146">
                  <c:v>0.13041571351028028</c:v>
                </c:pt>
                <c:pt idx="147">
                  <c:v>0.10002393514083588</c:v>
                </c:pt>
                <c:pt idx="148">
                  <c:v>7.9492977750478561E-2</c:v>
                </c:pt>
                <c:pt idx="149">
                  <c:v>9.6262514505186539E-2</c:v>
                </c:pt>
                <c:pt idx="150">
                  <c:v>6.628195829278416E-2</c:v>
                </c:pt>
                <c:pt idx="151">
                  <c:v>4.8609234078523092E-2</c:v>
                </c:pt>
                <c:pt idx="152">
                  <c:v>6.5265434718032839E-2</c:v>
                </c:pt>
                <c:pt idx="153">
                  <c:v>7.5353860826766789E-2</c:v>
                </c:pt>
                <c:pt idx="154">
                  <c:v>8.4922820119184728E-2</c:v>
                </c:pt>
                <c:pt idx="155">
                  <c:v>6.8368008555214244E-2</c:v>
                </c:pt>
                <c:pt idx="156">
                  <c:v>6.2942509153458712E-2</c:v>
                </c:pt>
                <c:pt idx="157">
                  <c:v>6.8185977570710002E-2</c:v>
                </c:pt>
                <c:pt idx="158">
                  <c:v>6.2997912617275928E-2</c:v>
                </c:pt>
                <c:pt idx="159">
                  <c:v>4.6033953295242978E-2</c:v>
                </c:pt>
                <c:pt idx="160">
                  <c:v>4.8971842638861972E-2</c:v>
                </c:pt>
                <c:pt idx="161">
                  <c:v>3.5826238682508456E-2</c:v>
                </c:pt>
                <c:pt idx="162">
                  <c:v>5.3822238745247136E-2</c:v>
                </c:pt>
                <c:pt idx="163">
                  <c:v>4.7756841248115245E-2</c:v>
                </c:pt>
                <c:pt idx="164">
                  <c:v>7.2789856939734027E-2</c:v>
                </c:pt>
                <c:pt idx="165">
                  <c:v>2.349598224437438E-2</c:v>
                </c:pt>
                <c:pt idx="166">
                  <c:v>1.3560098807244625E-2</c:v>
                </c:pt>
                <c:pt idx="167">
                  <c:v>9.0294239318563507E-3</c:v>
                </c:pt>
                <c:pt idx="168">
                  <c:v>3.2064631950109779E-2</c:v>
                </c:pt>
                <c:pt idx="169">
                  <c:v>4.3889190495712674E-2</c:v>
                </c:pt>
                <c:pt idx="170">
                  <c:v>4.1571840477856517E-2</c:v>
                </c:pt>
                <c:pt idx="171">
                  <c:v>3.9208940443479487E-2</c:v>
                </c:pt>
                <c:pt idx="172">
                  <c:v>1.748792121963659E-2</c:v>
                </c:pt>
                <c:pt idx="173">
                  <c:v>-3.453256544379917E-3</c:v>
                </c:pt>
                <c:pt idx="174">
                  <c:v>-3.8770560147201767E-3</c:v>
                </c:pt>
                <c:pt idx="175">
                  <c:v>-4.3018464704459893E-3</c:v>
                </c:pt>
                <c:pt idx="176">
                  <c:v>-2.4073624626490708E-2</c:v>
                </c:pt>
                <c:pt idx="177">
                  <c:v>-1.4865548003086433E-2</c:v>
                </c:pt>
                <c:pt idx="178">
                  <c:v>-8.6561002735948758E-3</c:v>
                </c:pt>
                <c:pt idx="179">
                  <c:v>-6.7651648018647176E-3</c:v>
                </c:pt>
                <c:pt idx="180">
                  <c:v>-2.9036744973092318E-2</c:v>
                </c:pt>
                <c:pt idx="181">
                  <c:v>-1.6646152174032341E-2</c:v>
                </c:pt>
                <c:pt idx="182">
                  <c:v>-2.7544937730799968E-2</c:v>
                </c:pt>
                <c:pt idx="183">
                  <c:v>-2.4810662285231114E-2</c:v>
                </c:pt>
                <c:pt idx="184">
                  <c:v>-5.4397585003415697E-2</c:v>
                </c:pt>
                <c:pt idx="185">
                  <c:v>1.7502665159180267E-2</c:v>
                </c:pt>
                <c:pt idx="186">
                  <c:v>-4.8064056234138716E-2</c:v>
                </c:pt>
                <c:pt idx="187">
                  <c:v>-2.5430129644229998E-2</c:v>
                </c:pt>
                <c:pt idx="188">
                  <c:v>-7.1185127454869768E-2</c:v>
                </c:pt>
                <c:pt idx="189">
                  <c:v>-6.1123016730942045E-2</c:v>
                </c:pt>
                <c:pt idx="190">
                  <c:v>-7.3207337891676494E-2</c:v>
                </c:pt>
                <c:pt idx="191">
                  <c:v>-6.2003003119310757E-2</c:v>
                </c:pt>
                <c:pt idx="192">
                  <c:v>-4.9070232290111121E-2</c:v>
                </c:pt>
                <c:pt idx="193">
                  <c:v>-7.6443989451477817E-2</c:v>
                </c:pt>
                <c:pt idx="194">
                  <c:v>-5.7720642031922342E-2</c:v>
                </c:pt>
                <c:pt idx="195">
                  <c:v>-3.6385823849318738E-2</c:v>
                </c:pt>
                <c:pt idx="196">
                  <c:v>1.1078909229139927E-2</c:v>
                </c:pt>
                <c:pt idx="197">
                  <c:v>1.619243065955428E-2</c:v>
                </c:pt>
                <c:pt idx="198">
                  <c:v>1.4043247475543696E-2</c:v>
                </c:pt>
                <c:pt idx="199">
                  <c:v>-1.5423460700054153E-2</c:v>
                </c:pt>
                <c:pt idx="200">
                  <c:v>-2.1581011689879234E-3</c:v>
                </c:pt>
                <c:pt idx="201">
                  <c:v>-9.5523788161792356E-3</c:v>
                </c:pt>
                <c:pt idx="202">
                  <c:v>-1.0946190239574549E-2</c:v>
                </c:pt>
                <c:pt idx="203">
                  <c:v>1.6760925599197063E-2</c:v>
                </c:pt>
                <c:pt idx="204">
                  <c:v>4.5550902760145784E-2</c:v>
                </c:pt>
                <c:pt idx="205">
                  <c:v>-4.4639959563585546E-2</c:v>
                </c:pt>
                <c:pt idx="206">
                  <c:v>6.0491777763248294E-2</c:v>
                </c:pt>
                <c:pt idx="207">
                  <c:v>5.5926120930012715E-2</c:v>
                </c:pt>
                <c:pt idx="208">
                  <c:v>5.1265316313804293E-2</c:v>
                </c:pt>
                <c:pt idx="209">
                  <c:v>3.6833211856830618E-2</c:v>
                </c:pt>
                <c:pt idx="210">
                  <c:v>3.6054178670276396E-2</c:v>
                </c:pt>
                <c:pt idx="211">
                  <c:v>3.1870678279722064E-2</c:v>
                </c:pt>
                <c:pt idx="212">
                  <c:v>1.8125082661041764E-2</c:v>
                </c:pt>
                <c:pt idx="213">
                  <c:v>3.9271895522610789E-2</c:v>
                </c:pt>
                <c:pt idx="214">
                  <c:v>2.2002113437147086E-2</c:v>
                </c:pt>
                <c:pt idx="215">
                  <c:v>1.1943930200070257E-3</c:v>
                </c:pt>
                <c:pt idx="216">
                  <c:v>-9.2624310060975198E-3</c:v>
                </c:pt>
                <c:pt idx="217">
                  <c:v>-6.8550612743960709E-3</c:v>
                </c:pt>
                <c:pt idx="218">
                  <c:v>-1.098513423458608E-2</c:v>
                </c:pt>
                <c:pt idx="219">
                  <c:v>3.7301034913717057E-4</c:v>
                </c:pt>
                <c:pt idx="220">
                  <c:v>-1.9149323103631766E-2</c:v>
                </c:pt>
                <c:pt idx="221">
                  <c:v>8.9597669035660077E-3</c:v>
                </c:pt>
                <c:pt idx="222">
                  <c:v>3.2879048066633665E-2</c:v>
                </c:pt>
                <c:pt idx="223">
                  <c:v>1.7818899778587305E-2</c:v>
                </c:pt>
                <c:pt idx="224">
                  <c:v>-3.5543239455434569E-2</c:v>
                </c:pt>
                <c:pt idx="225">
                  <c:v>-1.9564698766210004E-3</c:v>
                </c:pt>
                <c:pt idx="226">
                  <c:v>-3.4079905586169024E-3</c:v>
                </c:pt>
                <c:pt idx="227">
                  <c:v>-1.8362039507963029E-2</c:v>
                </c:pt>
                <c:pt idx="228">
                  <c:v>-3.0078914174370308E-2</c:v>
                </c:pt>
                <c:pt idx="229">
                  <c:v>-4.5968878712612571E-2</c:v>
                </c:pt>
                <c:pt idx="230">
                  <c:v>-2.1452800744536843E-2</c:v>
                </c:pt>
                <c:pt idx="231">
                  <c:v>4.4631184437360708E-3</c:v>
                </c:pt>
                <c:pt idx="232">
                  <c:v>8.0430061257267954E-3</c:v>
                </c:pt>
                <c:pt idx="233">
                  <c:v>-1.9048457935087804E-2</c:v>
                </c:pt>
                <c:pt idx="234">
                  <c:v>-2.4290643984531707E-2</c:v>
                </c:pt>
                <c:pt idx="235">
                  <c:v>-3.2725217017728986E-2</c:v>
                </c:pt>
                <c:pt idx="236">
                  <c:v>-5.65955438097476E-2</c:v>
                </c:pt>
                <c:pt idx="237">
                  <c:v>-5.2319863351778489E-2</c:v>
                </c:pt>
                <c:pt idx="238">
                  <c:v>-3.1245701197246151E-2</c:v>
                </c:pt>
                <c:pt idx="239">
                  <c:v>-3.4705566479682565E-2</c:v>
                </c:pt>
                <c:pt idx="240">
                  <c:v>-3.6262321444771595E-3</c:v>
                </c:pt>
                <c:pt idx="241">
                  <c:v>-1.3060288824785715E-2</c:v>
                </c:pt>
                <c:pt idx="242">
                  <c:v>-4.3188796937766089E-2</c:v>
                </c:pt>
                <c:pt idx="243">
                  <c:v>-3.648023210084915E-2</c:v>
                </c:pt>
                <c:pt idx="244">
                  <c:v>-1.0894527514077559E-2</c:v>
                </c:pt>
                <c:pt idx="245">
                  <c:v>-4.9782848619064693E-3</c:v>
                </c:pt>
                <c:pt idx="246">
                  <c:v>-3.6818669224294373E-2</c:v>
                </c:pt>
                <c:pt idx="247">
                  <c:v>-3.3146864510403433E-2</c:v>
                </c:pt>
                <c:pt idx="248">
                  <c:v>-1.8292362181995168E-2</c:v>
                </c:pt>
                <c:pt idx="249">
                  <c:v>8.889131874463399E-3</c:v>
                </c:pt>
                <c:pt idx="250">
                  <c:v>1.126855399568814E-2</c:v>
                </c:pt>
                <c:pt idx="251">
                  <c:v>-2.1986883798317002E-2</c:v>
                </c:pt>
                <c:pt idx="252">
                  <c:v>-7.1141574637782229E-2</c:v>
                </c:pt>
                <c:pt idx="253">
                  <c:v>-4.1895062514752002E-2</c:v>
                </c:pt>
                <c:pt idx="254">
                  <c:v>-3.9167540540750806E-2</c:v>
                </c:pt>
                <c:pt idx="255">
                  <c:v>-3.2113510163734593E-2</c:v>
                </c:pt>
                <c:pt idx="256">
                  <c:v>8.4899483483301258E-3</c:v>
                </c:pt>
                <c:pt idx="257">
                  <c:v>-3.0425017775570336E-2</c:v>
                </c:pt>
                <c:pt idx="258">
                  <c:v>-2.2481945593279373E-2</c:v>
                </c:pt>
                <c:pt idx="259">
                  <c:v>-3.3567199094098395E-2</c:v>
                </c:pt>
                <c:pt idx="260">
                  <c:v>-2.7992824875589628E-2</c:v>
                </c:pt>
                <c:pt idx="261">
                  <c:v>-2.5394361926129552E-2</c:v>
                </c:pt>
                <c:pt idx="262">
                  <c:v>-1.5759722306614432E-2</c:v>
                </c:pt>
                <c:pt idx="263">
                  <c:v>-2.6832138944950824E-2</c:v>
                </c:pt>
                <c:pt idx="264">
                  <c:v>-9.8265904363650548E-3</c:v>
                </c:pt>
                <c:pt idx="265">
                  <c:v>-2.3399229877019829E-2</c:v>
                </c:pt>
                <c:pt idx="266">
                  <c:v>-1.7221382373943682E-2</c:v>
                </c:pt>
                <c:pt idx="267">
                  <c:v>-2.0668277489134378E-2</c:v>
                </c:pt>
                <c:pt idx="268">
                  <c:v>1.4429896180758101E-2</c:v>
                </c:pt>
                <c:pt idx="269">
                  <c:v>2.7002769892155835E-2</c:v>
                </c:pt>
                <c:pt idx="270">
                  <c:v>1.876755281935516E-2</c:v>
                </c:pt>
                <c:pt idx="271">
                  <c:v>1.3668255048391836E-2</c:v>
                </c:pt>
                <c:pt idx="272">
                  <c:v>7.3451603368238444E-2</c:v>
                </c:pt>
                <c:pt idx="273">
                  <c:v>5.7585628419433814E-2</c:v>
                </c:pt>
                <c:pt idx="274">
                  <c:v>7.995330783538146E-2</c:v>
                </c:pt>
                <c:pt idx="275">
                  <c:v>8.3522490858228673E-2</c:v>
                </c:pt>
                <c:pt idx="276">
                  <c:v>4.3007364056083047E-2</c:v>
                </c:pt>
                <c:pt idx="277">
                  <c:v>5.6045148593483751E-2</c:v>
                </c:pt>
                <c:pt idx="278">
                  <c:v>1.9683743292916285E-2</c:v>
                </c:pt>
                <c:pt idx="279">
                  <c:v>3.3662762763949021E-2</c:v>
                </c:pt>
                <c:pt idx="280">
                  <c:v>-7.4452658099107699E-3</c:v>
                </c:pt>
                <c:pt idx="281">
                  <c:v>-4.4563473711612595E-2</c:v>
                </c:pt>
                <c:pt idx="282">
                  <c:v>-6.1265430240761941E-2</c:v>
                </c:pt>
                <c:pt idx="283">
                  <c:v>-6.1060106613305895E-2</c:v>
                </c:pt>
                <c:pt idx="284">
                  <c:v>-9.2085998673420516E-2</c:v>
                </c:pt>
                <c:pt idx="285">
                  <c:v>-0.10101493008216414</c:v>
                </c:pt>
                <c:pt idx="286">
                  <c:v>-0.10666799138070406</c:v>
                </c:pt>
                <c:pt idx="287">
                  <c:v>-0.10230849341246337</c:v>
                </c:pt>
                <c:pt idx="288">
                  <c:v>-0.12026298616476203</c:v>
                </c:pt>
                <c:pt idx="289">
                  <c:v>-0.13511472905769498</c:v>
                </c:pt>
                <c:pt idx="290">
                  <c:v>-0.15117702022914403</c:v>
                </c:pt>
                <c:pt idx="291">
                  <c:v>-0.16870685409425454</c:v>
                </c:pt>
                <c:pt idx="292">
                  <c:v>-0.14827800970376573</c:v>
                </c:pt>
                <c:pt idx="293">
                  <c:v>-0.13632924876680361</c:v>
                </c:pt>
                <c:pt idx="294">
                  <c:v>-0.11813947482277543</c:v>
                </c:pt>
                <c:pt idx="295">
                  <c:v>-0.12827594786089019</c:v>
                </c:pt>
                <c:pt idx="296">
                  <c:v>-0.12862541650655068</c:v>
                </c:pt>
                <c:pt idx="297">
                  <c:v>-0.12869461180497299</c:v>
                </c:pt>
                <c:pt idx="298">
                  <c:v>-0.11015539992018998</c:v>
                </c:pt>
                <c:pt idx="299">
                  <c:v>-8.6264343925367776E-2</c:v>
                </c:pt>
                <c:pt idx="300">
                  <c:v>-6.80307487960949E-2</c:v>
                </c:pt>
                <c:pt idx="301">
                  <c:v>-6.5183765692905196E-2</c:v>
                </c:pt>
                <c:pt idx="302">
                  <c:v>-2.886038772774098E-2</c:v>
                </c:pt>
                <c:pt idx="303">
                  <c:v>-3.6667076127276876E-2</c:v>
                </c:pt>
                <c:pt idx="304">
                  <c:v>-5.7548190215243648E-2</c:v>
                </c:pt>
                <c:pt idx="305">
                  <c:v>3.9367018852898755E-2</c:v>
                </c:pt>
                <c:pt idx="306">
                  <c:v>4.8392051487848767E-2</c:v>
                </c:pt>
                <c:pt idx="307">
                  <c:v>3.7565398797027763E-2</c:v>
                </c:pt>
                <c:pt idx="308">
                  <c:v>9.7007412960401773E-3</c:v>
                </c:pt>
                <c:pt idx="309">
                  <c:v>0.12053939737280467</c:v>
                </c:pt>
                <c:pt idx="310">
                  <c:v>0.13458668838638776</c:v>
                </c:pt>
                <c:pt idx="311">
                  <c:v>0.14220340892302907</c:v>
                </c:pt>
                <c:pt idx="312">
                  <c:v>0.14702457954707859</c:v>
                </c:pt>
                <c:pt idx="313">
                  <c:v>0.12999929308363922</c:v>
                </c:pt>
                <c:pt idx="314">
                  <c:v>0.12227697357073922</c:v>
                </c:pt>
                <c:pt idx="315">
                  <c:v>0.15174178977176453</c:v>
                </c:pt>
                <c:pt idx="316">
                  <c:v>0.13455589633866258</c:v>
                </c:pt>
                <c:pt idx="317">
                  <c:v>0.13294411598553321</c:v>
                </c:pt>
                <c:pt idx="318">
                  <c:v>0.11463888391023369</c:v>
                </c:pt>
                <c:pt idx="319">
                  <c:v>0.11259040592841094</c:v>
                </c:pt>
                <c:pt idx="320">
                  <c:v>0.13708390395749698</c:v>
                </c:pt>
                <c:pt idx="321">
                  <c:v>0.1537241787524101</c:v>
                </c:pt>
                <c:pt idx="322">
                  <c:v>0.1267973872664539</c:v>
                </c:pt>
                <c:pt idx="323">
                  <c:v>0.19086900192652761</c:v>
                </c:pt>
                <c:pt idx="324">
                  <c:v>0.23561639122920827</c:v>
                </c:pt>
                <c:pt idx="325">
                  <c:v>0.1324609492775638</c:v>
                </c:pt>
                <c:pt idx="326">
                  <c:v>0.12067503388854052</c:v>
                </c:pt>
                <c:pt idx="327">
                  <c:v>0.1472934421704572</c:v>
                </c:pt>
                <c:pt idx="328">
                  <c:v>0.16516869582316543</c:v>
                </c:pt>
                <c:pt idx="329">
                  <c:v>3.04426644671267E-2</c:v>
                </c:pt>
                <c:pt idx="330">
                  <c:v>3.0739770548826796E-2</c:v>
                </c:pt>
                <c:pt idx="331">
                  <c:v>4.9960084893325242E-2</c:v>
                </c:pt>
                <c:pt idx="332">
                  <c:v>4.7533382915809323E-3</c:v>
                </c:pt>
                <c:pt idx="333">
                  <c:v>1.1611649611330811E-2</c:v>
                </c:pt>
                <c:pt idx="334">
                  <c:v>4.6747158536748254E-2</c:v>
                </c:pt>
                <c:pt idx="335">
                  <c:v>3.6738096966354161E-3</c:v>
                </c:pt>
                <c:pt idx="336">
                  <c:v>1.5612790940371241E-2</c:v>
                </c:pt>
                <c:pt idx="337">
                  <c:v>2.0725093936040037E-2</c:v>
                </c:pt>
                <c:pt idx="338">
                  <c:v>1.1663099734132265E-2</c:v>
                </c:pt>
                <c:pt idx="339">
                  <c:v>6.282503958583277E-3</c:v>
                </c:pt>
                <c:pt idx="340">
                  <c:v>-2.7865727140571991E-2</c:v>
                </c:pt>
                <c:pt idx="341">
                  <c:v>-7.1196645596505181E-4</c:v>
                </c:pt>
                <c:pt idx="342">
                  <c:v>3.4096998268030199E-2</c:v>
                </c:pt>
                <c:pt idx="343">
                  <c:v>1.5608216101331368E-2</c:v>
                </c:pt>
                <c:pt idx="344">
                  <c:v>2.596944063245496E-3</c:v>
                </c:pt>
                <c:pt idx="345">
                  <c:v>-3.1120510574569882E-3</c:v>
                </c:pt>
                <c:pt idx="346">
                  <c:v>1.1424375895530692E-3</c:v>
                </c:pt>
                <c:pt idx="347">
                  <c:v>-1.0814862810604522E-2</c:v>
                </c:pt>
                <c:pt idx="348">
                  <c:v>1.9947306571526005E-2</c:v>
                </c:pt>
                <c:pt idx="349">
                  <c:v>2.9019714953942691E-2</c:v>
                </c:pt>
                <c:pt idx="350">
                  <c:v>1.5061618189036556E-2</c:v>
                </c:pt>
                <c:pt idx="351">
                  <c:v>-1.9840310119446862E-2</c:v>
                </c:pt>
                <c:pt idx="352">
                  <c:v>7.4484787000536901E-3</c:v>
                </c:pt>
                <c:pt idx="353">
                  <c:v>3.0990344843272524E-3</c:v>
                </c:pt>
                <c:pt idx="354">
                  <c:v>-3.1711624520509962E-2</c:v>
                </c:pt>
                <c:pt idx="355">
                  <c:v>-2.0160236568354563E-2</c:v>
                </c:pt>
                <c:pt idx="356">
                  <c:v>-9.7647608590138192E-3</c:v>
                </c:pt>
                <c:pt idx="357">
                  <c:v>7.9068576830890538E-3</c:v>
                </c:pt>
                <c:pt idx="358">
                  <c:v>4.072912701436663E-2</c:v>
                </c:pt>
                <c:pt idx="359">
                  <c:v>4.9855362306286108E-2</c:v>
                </c:pt>
                <c:pt idx="360">
                  <c:v>4.7228323332353855E-2</c:v>
                </c:pt>
                <c:pt idx="361">
                  <c:v>1.8942385019286745E-2</c:v>
                </c:pt>
                <c:pt idx="362">
                  <c:v>-2.2817876519426704E-2</c:v>
                </c:pt>
                <c:pt idx="363">
                  <c:v>-4.7575241288755184E-2</c:v>
                </c:pt>
                <c:pt idx="364">
                  <c:v>-4.7524893825435101E-2</c:v>
                </c:pt>
                <c:pt idx="365">
                  <c:v>-5.2449563810623955E-2</c:v>
                </c:pt>
                <c:pt idx="366">
                  <c:v>-6.1216106443205867E-2</c:v>
                </c:pt>
                <c:pt idx="367">
                  <c:v>-6.463340813304029E-2</c:v>
                </c:pt>
                <c:pt idx="368">
                  <c:v>-8.5200955164144582E-2</c:v>
                </c:pt>
                <c:pt idx="369">
                  <c:v>-8.6049214574102598E-2</c:v>
                </c:pt>
                <c:pt idx="370">
                  <c:v>-8.3423303647424271E-2</c:v>
                </c:pt>
                <c:pt idx="371">
                  <c:v>-1.7745197636633389E-2</c:v>
                </c:pt>
                <c:pt idx="372">
                  <c:v>-1.9321579768150556E-2</c:v>
                </c:pt>
                <c:pt idx="373">
                  <c:v>-8.5874437806441786E-2</c:v>
                </c:pt>
                <c:pt idx="374">
                  <c:v>-0.10227405995157823</c:v>
                </c:pt>
                <c:pt idx="375">
                  <c:v>-8.6024648498290432E-2</c:v>
                </c:pt>
                <c:pt idx="376">
                  <c:v>-8.5224583326988568E-2</c:v>
                </c:pt>
                <c:pt idx="377">
                  <c:v>-9.8883569312709835E-2</c:v>
                </c:pt>
                <c:pt idx="378">
                  <c:v>-7.8418498242197765E-2</c:v>
                </c:pt>
                <c:pt idx="379">
                  <c:v>-9.2270410360921359E-2</c:v>
                </c:pt>
                <c:pt idx="380">
                  <c:v>-9.0828443883824883E-2</c:v>
                </c:pt>
                <c:pt idx="381">
                  <c:v>-8.7438554296570659E-2</c:v>
                </c:pt>
                <c:pt idx="382">
                  <c:v>-6.9408420893682571E-2</c:v>
                </c:pt>
                <c:pt idx="383">
                  <c:v>-7.3470338077284314E-2</c:v>
                </c:pt>
                <c:pt idx="384">
                  <c:v>-8.0263389560014026E-2</c:v>
                </c:pt>
                <c:pt idx="385">
                  <c:v>-3.5488364812881368E-2</c:v>
                </c:pt>
                <c:pt idx="386">
                  <c:v>-4.0464055083851425E-3</c:v>
                </c:pt>
                <c:pt idx="387">
                  <c:v>1.7949986169932097E-2</c:v>
                </c:pt>
                <c:pt idx="388">
                  <c:v>7.3977082359804491E-2</c:v>
                </c:pt>
                <c:pt idx="389">
                  <c:v>0.12672631028432238</c:v>
                </c:pt>
                <c:pt idx="390">
                  <c:v>0.11611010834797322</c:v>
                </c:pt>
                <c:pt idx="391">
                  <c:v>9.1624182804309728E-2</c:v>
                </c:pt>
                <c:pt idx="392">
                  <c:v>3.8128601954676329E-2</c:v>
                </c:pt>
                <c:pt idx="393">
                  <c:v>0.1057927800415574</c:v>
                </c:pt>
                <c:pt idx="394">
                  <c:v>0.11794680281590977</c:v>
                </c:pt>
                <c:pt idx="395">
                  <c:v>8.5120939895017192E-2</c:v>
                </c:pt>
                <c:pt idx="396">
                  <c:v>8.7786751842750449E-2</c:v>
                </c:pt>
                <c:pt idx="397">
                  <c:v>0.10073985701252916</c:v>
                </c:pt>
                <c:pt idx="398">
                  <c:v>4.5583930803794449E-2</c:v>
                </c:pt>
                <c:pt idx="399">
                  <c:v>-2.759712349331582E-3</c:v>
                </c:pt>
                <c:pt idx="400">
                  <c:v>3.7223446942541288E-3</c:v>
                </c:pt>
                <c:pt idx="401">
                  <c:v>1.8352962470106229E-2</c:v>
                </c:pt>
                <c:pt idx="402">
                  <c:v>1.9854140041883954E-2</c:v>
                </c:pt>
                <c:pt idx="403">
                  <c:v>9.7615540722762462E-3</c:v>
                </c:pt>
                <c:pt idx="404">
                  <c:v>-8.4257176344053331E-3</c:v>
                </c:pt>
                <c:pt idx="405">
                  <c:v>-9.2045757526241681E-2</c:v>
                </c:pt>
                <c:pt idx="406">
                  <c:v>-0.13072694129872567</c:v>
                </c:pt>
                <c:pt idx="407">
                  <c:v>-0.14897329850090846</c:v>
                </c:pt>
                <c:pt idx="408">
                  <c:v>-0.24487869616343871</c:v>
                </c:pt>
                <c:pt idx="409">
                  <c:v>-0.23358050799515034</c:v>
                </c:pt>
                <c:pt idx="410">
                  <c:v>-0.20933974965593513</c:v>
                </c:pt>
                <c:pt idx="411">
                  <c:v>-0.23149273524253439</c:v>
                </c:pt>
                <c:pt idx="412">
                  <c:v>-0.19424161606090923</c:v>
                </c:pt>
                <c:pt idx="413">
                  <c:v>-0.21886285722061299</c:v>
                </c:pt>
                <c:pt idx="414">
                  <c:v>-0.22874564445846574</c:v>
                </c:pt>
                <c:pt idx="415">
                  <c:v>-0.220905987583283</c:v>
                </c:pt>
                <c:pt idx="416">
                  <c:v>-0.20729920323162315</c:v>
                </c:pt>
                <c:pt idx="417">
                  <c:v>-0.23170236400060551</c:v>
                </c:pt>
                <c:pt idx="418">
                  <c:v>-0.23882005506449594</c:v>
                </c:pt>
                <c:pt idx="419">
                  <c:v>-0.20758341987616291</c:v>
                </c:pt>
                <c:pt idx="420">
                  <c:v>-0.20074908672811634</c:v>
                </c:pt>
                <c:pt idx="421">
                  <c:v>-0.20066354854860657</c:v>
                </c:pt>
                <c:pt idx="422">
                  <c:v>-0.21415486972119951</c:v>
                </c:pt>
                <c:pt idx="423">
                  <c:v>-0.18718509166432845</c:v>
                </c:pt>
                <c:pt idx="424">
                  <c:v>-0.14901794349548464</c:v>
                </c:pt>
                <c:pt idx="425">
                  <c:v>-0.12161764928857269</c:v>
                </c:pt>
                <c:pt idx="426">
                  <c:v>-9.1536205211587243E-2</c:v>
                </c:pt>
                <c:pt idx="427">
                  <c:v>-8.8633745920055892E-2</c:v>
                </c:pt>
                <c:pt idx="428">
                  <c:v>-4.4147992774493799E-2</c:v>
                </c:pt>
                <c:pt idx="429">
                  <c:v>-5.7452090087777019E-2</c:v>
                </c:pt>
                <c:pt idx="430">
                  <c:v>-6.909906686182711E-2</c:v>
                </c:pt>
                <c:pt idx="431">
                  <c:v>-9.3100636648921431E-2</c:v>
                </c:pt>
                <c:pt idx="432">
                  <c:v>-5.4559445664521353E-2</c:v>
                </c:pt>
                <c:pt idx="433">
                  <c:v>-1.8927241254823049E-2</c:v>
                </c:pt>
                <c:pt idx="434">
                  <c:v>-1.6488727303056075E-2</c:v>
                </c:pt>
                <c:pt idx="435">
                  <c:v>5.1109427724580839E-2</c:v>
                </c:pt>
                <c:pt idx="436">
                  <c:v>4.2060361247374445E-2</c:v>
                </c:pt>
                <c:pt idx="437">
                  <c:v>8.1688268801091257E-2</c:v>
                </c:pt>
                <c:pt idx="438">
                  <c:v>0.12750513900517266</c:v>
                </c:pt>
                <c:pt idx="439">
                  <c:v>7.9019734765191765E-2</c:v>
                </c:pt>
                <c:pt idx="440">
                  <c:v>6.2073703915748554E-2</c:v>
                </c:pt>
                <c:pt idx="441">
                  <c:v>6.0189663209739397E-2</c:v>
                </c:pt>
                <c:pt idx="442">
                  <c:v>5.7915481738301217E-2</c:v>
                </c:pt>
                <c:pt idx="443">
                  <c:v>3.3761153107835701E-2</c:v>
                </c:pt>
                <c:pt idx="444">
                  <c:v>4.4254131291199511E-2</c:v>
                </c:pt>
                <c:pt idx="445">
                  <c:v>8.095948742044895E-2</c:v>
                </c:pt>
                <c:pt idx="446">
                  <c:v>6.5806715991521242E-2</c:v>
                </c:pt>
                <c:pt idx="447">
                  <c:v>3.4910166957903582E-2</c:v>
                </c:pt>
                <c:pt idx="448">
                  <c:v>4.1202550758623634E-2</c:v>
                </c:pt>
                <c:pt idx="449">
                  <c:v>5.1778111282168075E-2</c:v>
                </c:pt>
                <c:pt idx="450">
                  <c:v>2.6880105269889622E-2</c:v>
                </c:pt>
                <c:pt idx="451">
                  <c:v>5.5106707618850392E-2</c:v>
                </c:pt>
                <c:pt idx="452">
                  <c:v>1.2227735955238961E-2</c:v>
                </c:pt>
                <c:pt idx="453">
                  <c:v>1.1526516342061706E-2</c:v>
                </c:pt>
                <c:pt idx="454">
                  <c:v>9.0744565829386434E-3</c:v>
                </c:pt>
                <c:pt idx="455">
                  <c:v>-2.6267119349040718E-2</c:v>
                </c:pt>
                <c:pt idx="456">
                  <c:v>-3.1454222965106984E-2</c:v>
                </c:pt>
                <c:pt idx="457">
                  <c:v>-4.021775228949856E-2</c:v>
                </c:pt>
                <c:pt idx="458">
                  <c:v>-1.966468434538382E-2</c:v>
                </c:pt>
                <c:pt idx="459">
                  <c:v>1.4130107963506472E-2</c:v>
                </c:pt>
                <c:pt idx="460">
                  <c:v>9.1215590827691817E-3</c:v>
                </c:pt>
                <c:pt idx="461">
                  <c:v>1.4813168702573168E-2</c:v>
                </c:pt>
                <c:pt idx="462">
                  <c:v>2.5808061978903438E-2</c:v>
                </c:pt>
                <c:pt idx="463">
                  <c:v>2.8092713721320633E-2</c:v>
                </c:pt>
                <c:pt idx="464">
                  <c:v>1.85916311155013E-2</c:v>
                </c:pt>
                <c:pt idx="465">
                  <c:v>-1.3408627122879629E-3</c:v>
                </c:pt>
                <c:pt idx="466">
                  <c:v>-4.8870660137689814E-4</c:v>
                </c:pt>
                <c:pt idx="467">
                  <c:v>2.3657369056559324E-2</c:v>
                </c:pt>
                <c:pt idx="468">
                  <c:v>2.5042491427059037E-2</c:v>
                </c:pt>
                <c:pt idx="469">
                  <c:v>-1.7656307073716029E-3</c:v>
                </c:pt>
                <c:pt idx="470">
                  <c:v>3.7703564049823196E-2</c:v>
                </c:pt>
                <c:pt idx="471">
                  <c:v>5.3697829866375515E-2</c:v>
                </c:pt>
                <c:pt idx="472">
                  <c:v>4.171159545984035E-2</c:v>
                </c:pt>
                <c:pt idx="473">
                  <c:v>4.9114111547409176E-2</c:v>
                </c:pt>
                <c:pt idx="474">
                  <c:v>7.81222090721502E-2</c:v>
                </c:pt>
                <c:pt idx="475">
                  <c:v>6.0892853950262268E-2</c:v>
                </c:pt>
                <c:pt idx="476">
                  <c:v>0.10008070364425055</c:v>
                </c:pt>
                <c:pt idx="477">
                  <c:v>0.10195885253052259</c:v>
                </c:pt>
                <c:pt idx="478">
                  <c:v>6.6435136251430174E-2</c:v>
                </c:pt>
                <c:pt idx="479">
                  <c:v>7.9719443870456999E-2</c:v>
                </c:pt>
                <c:pt idx="480">
                  <c:v>0.1045615109241774</c:v>
                </c:pt>
                <c:pt idx="481">
                  <c:v>8.855687110687345E-2</c:v>
                </c:pt>
                <c:pt idx="482">
                  <c:v>8.9734339649204464E-2</c:v>
                </c:pt>
                <c:pt idx="483">
                  <c:v>9.7759689665923633E-2</c:v>
                </c:pt>
                <c:pt idx="484">
                  <c:v>4.1036310404900342E-2</c:v>
                </c:pt>
                <c:pt idx="485">
                  <c:v>3.1266565356405498E-2</c:v>
                </c:pt>
                <c:pt idx="486">
                  <c:v>4.0954000716836136E-2</c:v>
                </c:pt>
                <c:pt idx="487">
                  <c:v>4.3287103502258881E-2</c:v>
                </c:pt>
                <c:pt idx="488">
                  <c:v>4.1871738541346015E-2</c:v>
                </c:pt>
                <c:pt idx="489">
                  <c:v>0.12755722701003014</c:v>
                </c:pt>
                <c:pt idx="490">
                  <c:v>-0.23260970302030559</c:v>
                </c:pt>
                <c:pt idx="491">
                  <c:v>-0.23147630062292612</c:v>
                </c:pt>
                <c:pt idx="492">
                  <c:v>-0.22289654800344086</c:v>
                </c:pt>
                <c:pt idx="493">
                  <c:v>-0.22596741902784095</c:v>
                </c:pt>
                <c:pt idx="494">
                  <c:v>-0.23314080904203593</c:v>
                </c:pt>
                <c:pt idx="495">
                  <c:v>-0.21076239439600269</c:v>
                </c:pt>
                <c:pt idx="496">
                  <c:v>-0.26548585530416446</c:v>
                </c:pt>
                <c:pt idx="497">
                  <c:v>-0.25149214205851977</c:v>
                </c:pt>
                <c:pt idx="498">
                  <c:v>-0.26422865284856079</c:v>
                </c:pt>
                <c:pt idx="499">
                  <c:v>-0.23866592366717349</c:v>
                </c:pt>
                <c:pt idx="500">
                  <c:v>-0.24519261094358252</c:v>
                </c:pt>
                <c:pt idx="501">
                  <c:v>-0.24460252555987524</c:v>
                </c:pt>
                <c:pt idx="502">
                  <c:v>-0.25700767931973589</c:v>
                </c:pt>
                <c:pt idx="503">
                  <c:v>-0.26207866574519789</c:v>
                </c:pt>
                <c:pt idx="504">
                  <c:v>-0.23545759492795595</c:v>
                </c:pt>
                <c:pt idx="505">
                  <c:v>-0.23881458553524643</c:v>
                </c:pt>
                <c:pt idx="506">
                  <c:v>-0.25131578858563375</c:v>
                </c:pt>
                <c:pt idx="507">
                  <c:v>-0.26936011814097238</c:v>
                </c:pt>
                <c:pt idx="508">
                  <c:v>-0.28729682162961023</c:v>
                </c:pt>
                <c:pt idx="509">
                  <c:v>-0.30951180856050176</c:v>
                </c:pt>
                <c:pt idx="510">
                  <c:v>4.9126460204106659E-2</c:v>
                </c:pt>
                <c:pt idx="511">
                  <c:v>3.4316028013437735E-2</c:v>
                </c:pt>
                <c:pt idx="512">
                  <c:v>2.8970425464225985E-2</c:v>
                </c:pt>
                <c:pt idx="513">
                  <c:v>2.0465290407291753E-3</c:v>
                </c:pt>
                <c:pt idx="514">
                  <c:v>5.8269950591396946E-5</c:v>
                </c:pt>
                <c:pt idx="515">
                  <c:v>-1.7099798685970502E-2</c:v>
                </c:pt>
                <c:pt idx="516">
                  <c:v>-6.0139327487211958E-3</c:v>
                </c:pt>
                <c:pt idx="517">
                  <c:v>-2.5607699753424418E-2</c:v>
                </c:pt>
                <c:pt idx="518">
                  <c:v>-3.604075677696645E-2</c:v>
                </c:pt>
                <c:pt idx="519">
                  <c:v>-4.5254443061882615E-2</c:v>
                </c:pt>
                <c:pt idx="520">
                  <c:v>-6.7038673694930301E-2</c:v>
                </c:pt>
                <c:pt idx="521">
                  <c:v>-6.1989032407909407E-2</c:v>
                </c:pt>
                <c:pt idx="522">
                  <c:v>-6.0564391200833345E-2</c:v>
                </c:pt>
                <c:pt idx="523">
                  <c:v>-7.1655613722346162E-2</c:v>
                </c:pt>
                <c:pt idx="524">
                  <c:v>-5.6022047997154163E-2</c:v>
                </c:pt>
                <c:pt idx="525">
                  <c:v>-3.2946689546712336E-2</c:v>
                </c:pt>
                <c:pt idx="526">
                  <c:v>-3.2849458307176949E-2</c:v>
                </c:pt>
                <c:pt idx="527">
                  <c:v>-2.918416037097557E-2</c:v>
                </c:pt>
                <c:pt idx="528">
                  <c:v>-4.0190554391073094E-2</c:v>
                </c:pt>
                <c:pt idx="529">
                  <c:v>-6.2830185306004246E-2</c:v>
                </c:pt>
                <c:pt idx="530">
                  <c:v>-2.8696875817603294E-2</c:v>
                </c:pt>
                <c:pt idx="531">
                  <c:v>-1.6367167013631737E-2</c:v>
                </c:pt>
                <c:pt idx="532">
                  <c:v>-2.0933153198555557E-2</c:v>
                </c:pt>
                <c:pt idx="533">
                  <c:v>1.8856439752648946E-2</c:v>
                </c:pt>
                <c:pt idx="534">
                  <c:v>2.9990583727800488E-2</c:v>
                </c:pt>
                <c:pt idx="535">
                  <c:v>1.6355341526773648E-2</c:v>
                </c:pt>
                <c:pt idx="536">
                  <c:v>1.4294810611246551E-2</c:v>
                </c:pt>
                <c:pt idx="537">
                  <c:v>-1.2966525033933203E-2</c:v>
                </c:pt>
                <c:pt idx="538">
                  <c:v>1.4925639923702681E-2</c:v>
                </c:pt>
                <c:pt idx="539">
                  <c:v>4.388190171363969E-2</c:v>
                </c:pt>
                <c:pt idx="540">
                  <c:v>5.7676283877086065E-2</c:v>
                </c:pt>
                <c:pt idx="541">
                  <c:v>7.6085824261937426E-2</c:v>
                </c:pt>
                <c:pt idx="542">
                  <c:v>6.099999692687906E-2</c:v>
                </c:pt>
                <c:pt idx="543">
                  <c:v>7.2520385596397938E-2</c:v>
                </c:pt>
                <c:pt idx="544">
                  <c:v>8.194906928214403E-2</c:v>
                </c:pt>
                <c:pt idx="545">
                  <c:v>7.4387545568704569E-2</c:v>
                </c:pt>
                <c:pt idx="546">
                  <c:v>6.9876027900495102E-2</c:v>
                </c:pt>
                <c:pt idx="547">
                  <c:v>6.9688992922969289E-2</c:v>
                </c:pt>
                <c:pt idx="548">
                  <c:v>0.11361641567889585</c:v>
                </c:pt>
                <c:pt idx="549">
                  <c:v>0.12669928447045165</c:v>
                </c:pt>
                <c:pt idx="550">
                  <c:v>6.7001203787781113E-2</c:v>
                </c:pt>
                <c:pt idx="551">
                  <c:v>0.10331255774351455</c:v>
                </c:pt>
                <c:pt idx="552">
                  <c:v>0.10504766861726531</c:v>
                </c:pt>
                <c:pt idx="553">
                  <c:v>8.1250813825673687E-2</c:v>
                </c:pt>
                <c:pt idx="554">
                  <c:v>8.3256132306436179E-2</c:v>
                </c:pt>
                <c:pt idx="555">
                  <c:v>7.9736092038846851E-2</c:v>
                </c:pt>
                <c:pt idx="556">
                  <c:v>6.8715219497921781E-2</c:v>
                </c:pt>
                <c:pt idx="557">
                  <c:v>6.2378883469988294E-2</c:v>
                </c:pt>
                <c:pt idx="558">
                  <c:v>9.0980424756523667E-2</c:v>
                </c:pt>
                <c:pt idx="559">
                  <c:v>6.4754683193309404E-2</c:v>
                </c:pt>
                <c:pt idx="560">
                  <c:v>7.4766024452272095E-2</c:v>
                </c:pt>
                <c:pt idx="561">
                  <c:v>3.7771645456295577E-2</c:v>
                </c:pt>
                <c:pt idx="562">
                  <c:v>6.1171586084220353E-2</c:v>
                </c:pt>
                <c:pt idx="563">
                  <c:v>5.8294699684293849E-2</c:v>
                </c:pt>
                <c:pt idx="564">
                  <c:v>8.6358248944935767E-2</c:v>
                </c:pt>
                <c:pt idx="565">
                  <c:v>9.4375798751185111E-2</c:v>
                </c:pt>
                <c:pt idx="566">
                  <c:v>8.6334427232866384E-2</c:v>
                </c:pt>
                <c:pt idx="567">
                  <c:v>9.3548269194058148E-2</c:v>
                </c:pt>
                <c:pt idx="568">
                  <c:v>2.7315455408454245E-2</c:v>
                </c:pt>
                <c:pt idx="569">
                  <c:v>2.9698515673608025E-2</c:v>
                </c:pt>
                <c:pt idx="570">
                  <c:v>1.8534892698298645E-2</c:v>
                </c:pt>
                <c:pt idx="571">
                  <c:v>4.5849358375776444E-3</c:v>
                </c:pt>
                <c:pt idx="572">
                  <c:v>1.9187745932001066E-2</c:v>
                </c:pt>
                <c:pt idx="573">
                  <c:v>-5.4967865920698938E-2</c:v>
                </c:pt>
                <c:pt idx="574">
                  <c:v>-7.7969070031404172E-2</c:v>
                </c:pt>
                <c:pt idx="575">
                  <c:v>-6.6911672483645476E-2</c:v>
                </c:pt>
                <c:pt idx="576">
                  <c:v>-6.9482638750755471E-2</c:v>
                </c:pt>
                <c:pt idx="577">
                  <c:v>-4.102923095665896E-2</c:v>
                </c:pt>
                <c:pt idx="578">
                  <c:v>-5.3697244948384244E-2</c:v>
                </c:pt>
                <c:pt idx="579">
                  <c:v>-5.6281510634942654E-2</c:v>
                </c:pt>
                <c:pt idx="580">
                  <c:v>-5.5564099762415241E-2</c:v>
                </c:pt>
                <c:pt idx="581">
                  <c:v>-4.171539658954336E-2</c:v>
                </c:pt>
                <c:pt idx="582">
                  <c:v>-5.0219936285900921E-2</c:v>
                </c:pt>
                <c:pt idx="583">
                  <c:v>-6.1832637218157169E-2</c:v>
                </c:pt>
                <c:pt idx="584">
                  <c:v>-0.10605844135382428</c:v>
                </c:pt>
                <c:pt idx="585">
                  <c:v>-0.12723193496965685</c:v>
                </c:pt>
                <c:pt idx="586">
                  <c:v>-8.6953959078867521E-2</c:v>
                </c:pt>
                <c:pt idx="587">
                  <c:v>-9.9146016864199105E-2</c:v>
                </c:pt>
                <c:pt idx="588">
                  <c:v>-8.3097336280754566E-2</c:v>
                </c:pt>
                <c:pt idx="589">
                  <c:v>-7.577232461076043E-2</c:v>
                </c:pt>
                <c:pt idx="590">
                  <c:v>-5.503636913467571E-2</c:v>
                </c:pt>
                <c:pt idx="591">
                  <c:v>-6.6909023738196155E-2</c:v>
                </c:pt>
                <c:pt idx="592">
                  <c:v>-7.1256165297089932E-2</c:v>
                </c:pt>
                <c:pt idx="593">
                  <c:v>4.5948633223654167E-3</c:v>
                </c:pt>
                <c:pt idx="594">
                  <c:v>-1.1665118057410384E-3</c:v>
                </c:pt>
                <c:pt idx="595">
                  <c:v>-1.7278459720253166E-2</c:v>
                </c:pt>
                <c:pt idx="596">
                  <c:v>1.0421972232164844E-2</c:v>
                </c:pt>
                <c:pt idx="597">
                  <c:v>-1.3316756351496789E-2</c:v>
                </c:pt>
                <c:pt idx="598">
                  <c:v>-2.0224738575787063E-2</c:v>
                </c:pt>
                <c:pt idx="599">
                  <c:v>-2.5665450516792365E-2</c:v>
                </c:pt>
                <c:pt idx="600">
                  <c:v>-8.3413287314376416E-3</c:v>
                </c:pt>
                <c:pt idx="601">
                  <c:v>-3.995957654873393E-2</c:v>
                </c:pt>
                <c:pt idx="602">
                  <c:v>-2.0410038797411795E-2</c:v>
                </c:pt>
                <c:pt idx="603">
                  <c:v>-1.0731766232235637E-2</c:v>
                </c:pt>
                <c:pt idx="604">
                  <c:v>-6.1836967748833682E-3</c:v>
                </c:pt>
                <c:pt idx="605">
                  <c:v>-1.005690225840003E-2</c:v>
                </c:pt>
                <c:pt idx="606">
                  <c:v>-2.210087948109311E-2</c:v>
                </c:pt>
                <c:pt idx="607">
                  <c:v>-2.8373857787566528E-2</c:v>
                </c:pt>
                <c:pt idx="608">
                  <c:v>-1.3554976563101402E-2</c:v>
                </c:pt>
                <c:pt idx="609">
                  <c:v>-2.268849913272088E-2</c:v>
                </c:pt>
                <c:pt idx="610">
                  <c:v>-2.796363823232741E-2</c:v>
                </c:pt>
                <c:pt idx="611">
                  <c:v>-3.0441512639164482E-2</c:v>
                </c:pt>
                <c:pt idx="612">
                  <c:v>-1.0035358372192008E-2</c:v>
                </c:pt>
                <c:pt idx="613">
                  <c:v>-2.2190964433462537E-2</c:v>
                </c:pt>
                <c:pt idx="614">
                  <c:v>-1.5665113153130079E-2</c:v>
                </c:pt>
                <c:pt idx="615">
                  <c:v>1.0112777929923062E-2</c:v>
                </c:pt>
                <c:pt idx="616">
                  <c:v>-3.3213939989015402E-3</c:v>
                </c:pt>
                <c:pt idx="617">
                  <c:v>3.6360666393178295E-2</c:v>
                </c:pt>
                <c:pt idx="618">
                  <c:v>3.854272804551262E-2</c:v>
                </c:pt>
                <c:pt idx="619">
                  <c:v>5.3616726200976628E-2</c:v>
                </c:pt>
                <c:pt idx="620">
                  <c:v>2.8668113314981931E-2</c:v>
                </c:pt>
                <c:pt idx="621">
                  <c:v>4.8093761180463962E-2</c:v>
                </c:pt>
                <c:pt idx="622">
                  <c:v>5.3081138503970553E-2</c:v>
                </c:pt>
                <c:pt idx="623">
                  <c:v>-9.6654742913557704E-2</c:v>
                </c:pt>
                <c:pt idx="624">
                  <c:v>-6.7900291029300897E-2</c:v>
                </c:pt>
                <c:pt idx="625">
                  <c:v>-2.2962889024564684E-2</c:v>
                </c:pt>
                <c:pt idx="626">
                  <c:v>-1.2292064963026747E-2</c:v>
                </c:pt>
                <c:pt idx="627">
                  <c:v>-7.6316758730614331E-3</c:v>
                </c:pt>
                <c:pt idx="628">
                  <c:v>-1.9777538085751681E-2</c:v>
                </c:pt>
                <c:pt idx="629">
                  <c:v>-4.5186548725786271E-2</c:v>
                </c:pt>
                <c:pt idx="630">
                  <c:v>-5.1653572354034796E-2</c:v>
                </c:pt>
                <c:pt idx="631">
                  <c:v>-4.9315126010690796E-2</c:v>
                </c:pt>
                <c:pt idx="632">
                  <c:v>-7.8452764094007366E-2</c:v>
                </c:pt>
                <c:pt idx="633">
                  <c:v>-6.0530523695781643E-2</c:v>
                </c:pt>
                <c:pt idx="634">
                  <c:v>-6.9898594505840878E-2</c:v>
                </c:pt>
                <c:pt idx="635">
                  <c:v>-7.4264378883710735E-2</c:v>
                </c:pt>
                <c:pt idx="636">
                  <c:v>-7.833552761390776E-2</c:v>
                </c:pt>
                <c:pt idx="637">
                  <c:v>-0.12121629527421918</c:v>
                </c:pt>
                <c:pt idx="638">
                  <c:v>-0.14834282401065263</c:v>
                </c:pt>
                <c:pt idx="639">
                  <c:v>-0.17654979509032356</c:v>
                </c:pt>
                <c:pt idx="640">
                  <c:v>-0.21003948277968981</c:v>
                </c:pt>
                <c:pt idx="641">
                  <c:v>-0.17822609649368351</c:v>
                </c:pt>
                <c:pt idx="642">
                  <c:v>-0.16706485524996484</c:v>
                </c:pt>
                <c:pt idx="643">
                  <c:v>-1.4230432553693054E-2</c:v>
                </c:pt>
                <c:pt idx="644">
                  <c:v>-4.1032666978042497E-2</c:v>
                </c:pt>
                <c:pt idx="645">
                  <c:v>-8.1991537063291264E-2</c:v>
                </c:pt>
                <c:pt idx="646">
                  <c:v>-0.106322922678974</c:v>
                </c:pt>
                <c:pt idx="647">
                  <c:v>-0.11103046032070907</c:v>
                </c:pt>
                <c:pt idx="648">
                  <c:v>-0.10556966148714508</c:v>
                </c:pt>
                <c:pt idx="649">
                  <c:v>-5.5443912413436214E-2</c:v>
                </c:pt>
                <c:pt idx="650">
                  <c:v>-4.8312707730536891E-2</c:v>
                </c:pt>
                <c:pt idx="651">
                  <c:v>-2.5496661457095324E-2</c:v>
                </c:pt>
                <c:pt idx="652">
                  <c:v>-5.8870744138357814E-2</c:v>
                </c:pt>
                <c:pt idx="653">
                  <c:v>-5.0918310056426386E-2</c:v>
                </c:pt>
                <c:pt idx="654">
                  <c:v>-1.6946479971418987E-2</c:v>
                </c:pt>
                <c:pt idx="655">
                  <c:v>-2.1242475817663559E-2</c:v>
                </c:pt>
                <c:pt idx="656">
                  <c:v>-7.9170747130864888E-3</c:v>
                </c:pt>
                <c:pt idx="657">
                  <c:v>8.6739007680922894E-3</c:v>
                </c:pt>
                <c:pt idx="658">
                  <c:v>4.7434170254415139E-2</c:v>
                </c:pt>
                <c:pt idx="659">
                  <c:v>9.4022579547062321E-2</c:v>
                </c:pt>
                <c:pt idx="660">
                  <c:v>0.12388689175933737</c:v>
                </c:pt>
                <c:pt idx="661">
                  <c:v>0.10152145306579299</c:v>
                </c:pt>
                <c:pt idx="662">
                  <c:v>0.12025880831950772</c:v>
                </c:pt>
                <c:pt idx="663">
                  <c:v>0.11372360568995767</c:v>
                </c:pt>
                <c:pt idx="664">
                  <c:v>0.13973184340280553</c:v>
                </c:pt>
                <c:pt idx="665">
                  <c:v>0.21044786337101479</c:v>
                </c:pt>
                <c:pt idx="666">
                  <c:v>0.17916753872011815</c:v>
                </c:pt>
                <c:pt idx="667">
                  <c:v>0.14510136187158434</c:v>
                </c:pt>
                <c:pt idx="668">
                  <c:v>0.10826079536111663</c:v>
                </c:pt>
                <c:pt idx="669">
                  <c:v>0.16706458916891948</c:v>
                </c:pt>
                <c:pt idx="670">
                  <c:v>0.20690742390477398</c:v>
                </c:pt>
                <c:pt idx="671">
                  <c:v>0.17399942047922312</c:v>
                </c:pt>
                <c:pt idx="672">
                  <c:v>0.2121932141156469</c:v>
                </c:pt>
                <c:pt idx="673">
                  <c:v>0.17669969212952524</c:v>
                </c:pt>
                <c:pt idx="674">
                  <c:v>0.13405387727261264</c:v>
                </c:pt>
                <c:pt idx="675">
                  <c:v>0.14726165437031535</c:v>
                </c:pt>
                <c:pt idx="676">
                  <c:v>0.15507439838743931</c:v>
                </c:pt>
                <c:pt idx="677">
                  <c:v>0.14913219781044193</c:v>
                </c:pt>
                <c:pt idx="678">
                  <c:v>0.15648848078760719</c:v>
                </c:pt>
                <c:pt idx="679">
                  <c:v>0.1327508435603359</c:v>
                </c:pt>
                <c:pt idx="680">
                  <c:v>0.13579144799199705</c:v>
                </c:pt>
                <c:pt idx="681">
                  <c:v>0.10673087820796023</c:v>
                </c:pt>
                <c:pt idx="682">
                  <c:v>7.8656759627342601E-2</c:v>
                </c:pt>
                <c:pt idx="683">
                  <c:v>7.7385074359351602E-2</c:v>
                </c:pt>
                <c:pt idx="684">
                  <c:v>8.5502412690791688E-2</c:v>
                </c:pt>
                <c:pt idx="685">
                  <c:v>-0.11299296721152509</c:v>
                </c:pt>
                <c:pt idx="686">
                  <c:v>-6.8129705484923225E-2</c:v>
                </c:pt>
                <c:pt idx="687">
                  <c:v>-1.3218206162079339E-2</c:v>
                </c:pt>
                <c:pt idx="688">
                  <c:v>-1.4967345790788886E-3</c:v>
                </c:pt>
                <c:pt idx="689">
                  <c:v>-7.1846144656087893E-2</c:v>
                </c:pt>
                <c:pt idx="690">
                  <c:v>-9.1607227917537809E-2</c:v>
                </c:pt>
                <c:pt idx="691">
                  <c:v>-0.11034471674244538</c:v>
                </c:pt>
                <c:pt idx="692">
                  <c:v>-8.3443045480621855E-2</c:v>
                </c:pt>
                <c:pt idx="693">
                  <c:v>-7.9061853704567003E-2</c:v>
                </c:pt>
                <c:pt idx="694">
                  <c:v>-7.3856237442290446E-2</c:v>
                </c:pt>
                <c:pt idx="695">
                  <c:v>-6.8746025063341668E-2</c:v>
                </c:pt>
                <c:pt idx="696">
                  <c:v>-8.9374799389487253E-2</c:v>
                </c:pt>
                <c:pt idx="697">
                  <c:v>-4.549933263737542E-2</c:v>
                </c:pt>
                <c:pt idx="698">
                  <c:v>-6.1856181017204942E-2</c:v>
                </c:pt>
                <c:pt idx="699">
                  <c:v>-6.055259010658124E-2</c:v>
                </c:pt>
                <c:pt idx="700">
                  <c:v>-7.6110746873650631E-2</c:v>
                </c:pt>
                <c:pt idx="701">
                  <c:v>-4.553047619443383E-2</c:v>
                </c:pt>
                <c:pt idx="702">
                  <c:v>-6.2687606777197938E-2</c:v>
                </c:pt>
                <c:pt idx="703">
                  <c:v>-4.0835371110333578E-2</c:v>
                </c:pt>
                <c:pt idx="704">
                  <c:v>-0.10329509386220809</c:v>
                </c:pt>
                <c:pt idx="705">
                  <c:v>1.406460412036782E-2</c:v>
                </c:pt>
                <c:pt idx="706">
                  <c:v>-5.5808707351151433E-2</c:v>
                </c:pt>
                <c:pt idx="707">
                  <c:v>-9.0585774437082461E-2</c:v>
                </c:pt>
                <c:pt idx="708">
                  <c:v>-8.8482844008302475E-2</c:v>
                </c:pt>
                <c:pt idx="709">
                  <c:v>-7.7017536990413651E-2</c:v>
                </c:pt>
                <c:pt idx="710">
                  <c:v>-7.2792732466887153E-2</c:v>
                </c:pt>
                <c:pt idx="711">
                  <c:v>-3.2155360738595394E-2</c:v>
                </c:pt>
                <c:pt idx="712">
                  <c:v>-2.4483884342795768E-2</c:v>
                </c:pt>
                <c:pt idx="713">
                  <c:v>-5.7723305270059422E-2</c:v>
                </c:pt>
                <c:pt idx="714">
                  <c:v>-7.7227031261320286E-2</c:v>
                </c:pt>
                <c:pt idx="715">
                  <c:v>-9.1470296730016054E-2</c:v>
                </c:pt>
                <c:pt idx="716">
                  <c:v>-6.1035632440826978E-2</c:v>
                </c:pt>
                <c:pt idx="717">
                  <c:v>-8.0554037123518857E-2</c:v>
                </c:pt>
                <c:pt idx="718">
                  <c:v>-0.131509764986911</c:v>
                </c:pt>
                <c:pt idx="719">
                  <c:v>-0.14719190983581704</c:v>
                </c:pt>
                <c:pt idx="720">
                  <c:v>-0.18268457482279787</c:v>
                </c:pt>
                <c:pt idx="721">
                  <c:v>-0.20156683737224387</c:v>
                </c:pt>
                <c:pt idx="722">
                  <c:v>-0.23514625610300791</c:v>
                </c:pt>
                <c:pt idx="723">
                  <c:v>-0.26748481543484876</c:v>
                </c:pt>
                <c:pt idx="724">
                  <c:v>-0.23319383241036518</c:v>
                </c:pt>
                <c:pt idx="725">
                  <c:v>-0.20774574329672041</c:v>
                </c:pt>
                <c:pt idx="726">
                  <c:v>-0.14077340627383023</c:v>
                </c:pt>
                <c:pt idx="727">
                  <c:v>-0.12853498508247035</c:v>
                </c:pt>
                <c:pt idx="728">
                  <c:v>-0.13932711267712466</c:v>
                </c:pt>
                <c:pt idx="729">
                  <c:v>-0.14718074369668363</c:v>
                </c:pt>
                <c:pt idx="730">
                  <c:v>-0.13690976118466855</c:v>
                </c:pt>
                <c:pt idx="731">
                  <c:v>-0.14549241337852489</c:v>
                </c:pt>
                <c:pt idx="732">
                  <c:v>-0.15741235480092411</c:v>
                </c:pt>
                <c:pt idx="733">
                  <c:v>-0.11112463026362576</c:v>
                </c:pt>
                <c:pt idx="734">
                  <c:v>-8.9768911167477913E-2</c:v>
                </c:pt>
                <c:pt idx="735">
                  <c:v>-9.3208538109696593E-2</c:v>
                </c:pt>
                <c:pt idx="736">
                  <c:v>-0.11492291315105602</c:v>
                </c:pt>
                <c:pt idx="737">
                  <c:v>-0.13223315299385846</c:v>
                </c:pt>
                <c:pt idx="738">
                  <c:v>-7.9904070975768751E-2</c:v>
                </c:pt>
                <c:pt idx="739">
                  <c:v>-4.2273954569129038E-2</c:v>
                </c:pt>
                <c:pt idx="740">
                  <c:v>8.8665769447766052E-2</c:v>
                </c:pt>
                <c:pt idx="741">
                  <c:v>0.10436069487348912</c:v>
                </c:pt>
                <c:pt idx="742">
                  <c:v>0.14323046973496789</c:v>
                </c:pt>
                <c:pt idx="743">
                  <c:v>0.16549131247721016</c:v>
                </c:pt>
                <c:pt idx="744">
                  <c:v>0.17525099100382513</c:v>
                </c:pt>
                <c:pt idx="745">
                  <c:v>0.15780118871171395</c:v>
                </c:pt>
                <c:pt idx="746">
                  <c:v>0.14989013763871928</c:v>
                </c:pt>
                <c:pt idx="747">
                  <c:v>0.18023405450146476</c:v>
                </c:pt>
                <c:pt idx="748">
                  <c:v>0.16761420698015453</c:v>
                </c:pt>
                <c:pt idx="749">
                  <c:v>0.17341886924355546</c:v>
                </c:pt>
                <c:pt idx="750">
                  <c:v>0.16579888437998055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7-4DDA-95B1-F8B8D5AFB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vs. Beta Trailing 2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WCC!$D$21:$D$773</c:f>
              <c:numCache>
                <c:formatCode>m/d/yyyy</c:formatCode>
                <c:ptCount val="753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46002</c:v>
                </c:pt>
                <c:pt idx="51">
                  <c:v>46001</c:v>
                </c:pt>
                <c:pt idx="52">
                  <c:v>46000</c:v>
                </c:pt>
                <c:pt idx="53">
                  <c:v>45999</c:v>
                </c:pt>
                <c:pt idx="54">
                  <c:v>45996</c:v>
                </c:pt>
                <c:pt idx="55">
                  <c:v>45995</c:v>
                </c:pt>
                <c:pt idx="56">
                  <c:v>45994</c:v>
                </c:pt>
                <c:pt idx="57">
                  <c:v>45993</c:v>
                </c:pt>
                <c:pt idx="58">
                  <c:v>45992</c:v>
                </c:pt>
                <c:pt idx="59">
                  <c:v>45989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45966</c:v>
                </c:pt>
                <c:pt idx="76">
                  <c:v>45965</c:v>
                </c:pt>
                <c:pt idx="77">
                  <c:v>45964</c:v>
                </c:pt>
                <c:pt idx="78">
                  <c:v>45961</c:v>
                </c:pt>
                <c:pt idx="79">
                  <c:v>45960</c:v>
                </c:pt>
                <c:pt idx="80">
                  <c:v>45959</c:v>
                </c:pt>
                <c:pt idx="81">
                  <c:v>45958</c:v>
                </c:pt>
                <c:pt idx="82">
                  <c:v>45957</c:v>
                </c:pt>
                <c:pt idx="83">
                  <c:v>45954</c:v>
                </c:pt>
                <c:pt idx="84">
                  <c:v>45953</c:v>
                </c:pt>
                <c:pt idx="85">
                  <c:v>45952</c:v>
                </c:pt>
                <c:pt idx="86">
                  <c:v>45951</c:v>
                </c:pt>
                <c:pt idx="87">
                  <c:v>45950</c:v>
                </c:pt>
                <c:pt idx="88">
                  <c:v>45947</c:v>
                </c:pt>
                <c:pt idx="89">
                  <c:v>45946</c:v>
                </c:pt>
                <c:pt idx="90">
                  <c:v>45945</c:v>
                </c:pt>
                <c:pt idx="91">
                  <c:v>45944</c:v>
                </c:pt>
                <c:pt idx="92">
                  <c:v>45943</c:v>
                </c:pt>
                <c:pt idx="93">
                  <c:v>45940</c:v>
                </c:pt>
                <c:pt idx="94">
                  <c:v>45939</c:v>
                </c:pt>
                <c:pt idx="95">
                  <c:v>45938</c:v>
                </c:pt>
                <c:pt idx="96">
                  <c:v>45937</c:v>
                </c:pt>
                <c:pt idx="97">
                  <c:v>45936</c:v>
                </c:pt>
                <c:pt idx="98">
                  <c:v>45933</c:v>
                </c:pt>
                <c:pt idx="99">
                  <c:v>45932</c:v>
                </c:pt>
                <c:pt idx="100">
                  <c:v>45931</c:v>
                </c:pt>
                <c:pt idx="101">
                  <c:v>45930</c:v>
                </c:pt>
                <c:pt idx="102">
                  <c:v>45929</c:v>
                </c:pt>
                <c:pt idx="103">
                  <c:v>45926</c:v>
                </c:pt>
                <c:pt idx="104">
                  <c:v>45925</c:v>
                </c:pt>
                <c:pt idx="105">
                  <c:v>45924</c:v>
                </c:pt>
                <c:pt idx="106">
                  <c:v>45923</c:v>
                </c:pt>
                <c:pt idx="107">
                  <c:v>45922</c:v>
                </c:pt>
                <c:pt idx="108">
                  <c:v>45919</c:v>
                </c:pt>
                <c:pt idx="109">
                  <c:v>45918</c:v>
                </c:pt>
                <c:pt idx="110">
                  <c:v>45917</c:v>
                </c:pt>
                <c:pt idx="111">
                  <c:v>45916</c:v>
                </c:pt>
                <c:pt idx="112">
                  <c:v>45915</c:v>
                </c:pt>
                <c:pt idx="113">
                  <c:v>45912</c:v>
                </c:pt>
                <c:pt idx="114">
                  <c:v>45911</c:v>
                </c:pt>
                <c:pt idx="115">
                  <c:v>45910</c:v>
                </c:pt>
                <c:pt idx="116">
                  <c:v>45909</c:v>
                </c:pt>
                <c:pt idx="117">
                  <c:v>45908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45841</c:v>
                </c:pt>
                <c:pt idx="163">
                  <c:v>45840</c:v>
                </c:pt>
                <c:pt idx="164">
                  <c:v>45839</c:v>
                </c:pt>
                <c:pt idx="165">
                  <c:v>45838</c:v>
                </c:pt>
                <c:pt idx="166">
                  <c:v>45835</c:v>
                </c:pt>
                <c:pt idx="167">
                  <c:v>45834</c:v>
                </c:pt>
                <c:pt idx="168">
                  <c:v>45833</c:v>
                </c:pt>
                <c:pt idx="169">
                  <c:v>45832</c:v>
                </c:pt>
                <c:pt idx="170">
                  <c:v>45831</c:v>
                </c:pt>
                <c:pt idx="171">
                  <c:v>45828</c:v>
                </c:pt>
                <c:pt idx="172">
                  <c:v>45826</c:v>
                </c:pt>
                <c:pt idx="173">
                  <c:v>45825</c:v>
                </c:pt>
                <c:pt idx="174">
                  <c:v>45824</c:v>
                </c:pt>
                <c:pt idx="175">
                  <c:v>45821</c:v>
                </c:pt>
                <c:pt idx="176">
                  <c:v>45820</c:v>
                </c:pt>
                <c:pt idx="177">
                  <c:v>45819</c:v>
                </c:pt>
                <c:pt idx="178">
                  <c:v>45818</c:v>
                </c:pt>
                <c:pt idx="179">
                  <c:v>45817</c:v>
                </c:pt>
                <c:pt idx="180">
                  <c:v>45814</c:v>
                </c:pt>
                <c:pt idx="181">
                  <c:v>45813</c:v>
                </c:pt>
                <c:pt idx="182">
                  <c:v>45812</c:v>
                </c:pt>
                <c:pt idx="183">
                  <c:v>45811</c:v>
                </c:pt>
                <c:pt idx="184">
                  <c:v>45810</c:v>
                </c:pt>
                <c:pt idx="185">
                  <c:v>45807</c:v>
                </c:pt>
                <c:pt idx="186">
                  <c:v>45806</c:v>
                </c:pt>
                <c:pt idx="187">
                  <c:v>45805</c:v>
                </c:pt>
                <c:pt idx="188">
                  <c:v>45804</c:v>
                </c:pt>
                <c:pt idx="189">
                  <c:v>45800</c:v>
                </c:pt>
                <c:pt idx="190">
                  <c:v>45799</c:v>
                </c:pt>
                <c:pt idx="191">
                  <c:v>45798</c:v>
                </c:pt>
                <c:pt idx="192">
                  <c:v>45797</c:v>
                </c:pt>
                <c:pt idx="193">
                  <c:v>45796</c:v>
                </c:pt>
                <c:pt idx="194">
                  <c:v>45793</c:v>
                </c:pt>
                <c:pt idx="195">
                  <c:v>45792</c:v>
                </c:pt>
                <c:pt idx="196">
                  <c:v>45791</c:v>
                </c:pt>
                <c:pt idx="197">
                  <c:v>45790</c:v>
                </c:pt>
                <c:pt idx="198">
                  <c:v>45789</c:v>
                </c:pt>
                <c:pt idx="199">
                  <c:v>45786</c:v>
                </c:pt>
                <c:pt idx="200">
                  <c:v>45785</c:v>
                </c:pt>
                <c:pt idx="201">
                  <c:v>45784</c:v>
                </c:pt>
                <c:pt idx="202">
                  <c:v>45783</c:v>
                </c:pt>
                <c:pt idx="203">
                  <c:v>45782</c:v>
                </c:pt>
                <c:pt idx="204">
                  <c:v>45779</c:v>
                </c:pt>
                <c:pt idx="205">
                  <c:v>45778</c:v>
                </c:pt>
                <c:pt idx="206">
                  <c:v>45777</c:v>
                </c:pt>
                <c:pt idx="207">
                  <c:v>45776</c:v>
                </c:pt>
                <c:pt idx="208">
                  <c:v>45775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45764</c:v>
                </c:pt>
                <c:pt idx="215">
                  <c:v>45763</c:v>
                </c:pt>
                <c:pt idx="216">
                  <c:v>45762</c:v>
                </c:pt>
                <c:pt idx="217">
                  <c:v>45761</c:v>
                </c:pt>
                <c:pt idx="218">
                  <c:v>45758</c:v>
                </c:pt>
                <c:pt idx="219">
                  <c:v>45757</c:v>
                </c:pt>
                <c:pt idx="220">
                  <c:v>45756</c:v>
                </c:pt>
                <c:pt idx="221">
                  <c:v>45755</c:v>
                </c:pt>
                <c:pt idx="222">
                  <c:v>45754</c:v>
                </c:pt>
                <c:pt idx="223">
                  <c:v>45751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45702</c:v>
                </c:pt>
                <c:pt idx="258">
                  <c:v>45701</c:v>
                </c:pt>
                <c:pt idx="259">
                  <c:v>45700</c:v>
                </c:pt>
                <c:pt idx="260">
                  <c:v>45699</c:v>
                </c:pt>
                <c:pt idx="261">
                  <c:v>45698</c:v>
                </c:pt>
                <c:pt idx="262">
                  <c:v>45695</c:v>
                </c:pt>
                <c:pt idx="263">
                  <c:v>45694</c:v>
                </c:pt>
                <c:pt idx="264">
                  <c:v>45693</c:v>
                </c:pt>
                <c:pt idx="265">
                  <c:v>45692</c:v>
                </c:pt>
                <c:pt idx="266">
                  <c:v>45691</c:v>
                </c:pt>
                <c:pt idx="267">
                  <c:v>45688</c:v>
                </c:pt>
                <c:pt idx="268">
                  <c:v>45687</c:v>
                </c:pt>
                <c:pt idx="269">
                  <c:v>45686</c:v>
                </c:pt>
                <c:pt idx="270">
                  <c:v>45685</c:v>
                </c:pt>
                <c:pt idx="271">
                  <c:v>45684</c:v>
                </c:pt>
                <c:pt idx="272">
                  <c:v>45681</c:v>
                </c:pt>
                <c:pt idx="273">
                  <c:v>45680</c:v>
                </c:pt>
                <c:pt idx="274">
                  <c:v>45679</c:v>
                </c:pt>
                <c:pt idx="275">
                  <c:v>45678</c:v>
                </c:pt>
                <c:pt idx="276">
                  <c:v>45674</c:v>
                </c:pt>
                <c:pt idx="277">
                  <c:v>45673</c:v>
                </c:pt>
                <c:pt idx="278">
                  <c:v>45672</c:v>
                </c:pt>
                <c:pt idx="279">
                  <c:v>45671</c:v>
                </c:pt>
                <c:pt idx="280">
                  <c:v>45670</c:v>
                </c:pt>
                <c:pt idx="281">
                  <c:v>45667</c:v>
                </c:pt>
                <c:pt idx="282">
                  <c:v>45665</c:v>
                </c:pt>
                <c:pt idx="283">
                  <c:v>45664</c:v>
                </c:pt>
                <c:pt idx="284">
                  <c:v>45663</c:v>
                </c:pt>
                <c:pt idx="285">
                  <c:v>45660</c:v>
                </c:pt>
                <c:pt idx="286">
                  <c:v>45659</c:v>
                </c:pt>
                <c:pt idx="287">
                  <c:v>45657</c:v>
                </c:pt>
                <c:pt idx="288">
                  <c:v>45656</c:v>
                </c:pt>
                <c:pt idx="289">
                  <c:v>45653</c:v>
                </c:pt>
                <c:pt idx="290">
                  <c:v>45652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45623</c:v>
                </c:pt>
                <c:pt idx="310">
                  <c:v>45622</c:v>
                </c:pt>
                <c:pt idx="311">
                  <c:v>45621</c:v>
                </c:pt>
                <c:pt idx="312">
                  <c:v>45618</c:v>
                </c:pt>
                <c:pt idx="313">
                  <c:v>45617</c:v>
                </c:pt>
                <c:pt idx="314">
                  <c:v>45616</c:v>
                </c:pt>
                <c:pt idx="315">
                  <c:v>45615</c:v>
                </c:pt>
                <c:pt idx="316">
                  <c:v>45614</c:v>
                </c:pt>
                <c:pt idx="317">
                  <c:v>45611</c:v>
                </c:pt>
                <c:pt idx="318">
                  <c:v>45610</c:v>
                </c:pt>
                <c:pt idx="319">
                  <c:v>45609</c:v>
                </c:pt>
                <c:pt idx="320">
                  <c:v>45608</c:v>
                </c:pt>
                <c:pt idx="321">
                  <c:v>45607</c:v>
                </c:pt>
                <c:pt idx="322">
                  <c:v>45604</c:v>
                </c:pt>
                <c:pt idx="323">
                  <c:v>45603</c:v>
                </c:pt>
                <c:pt idx="324">
                  <c:v>45602</c:v>
                </c:pt>
                <c:pt idx="325">
                  <c:v>45601</c:v>
                </c:pt>
                <c:pt idx="326">
                  <c:v>45600</c:v>
                </c:pt>
                <c:pt idx="327">
                  <c:v>45597</c:v>
                </c:pt>
                <c:pt idx="328">
                  <c:v>45596</c:v>
                </c:pt>
                <c:pt idx="329">
                  <c:v>45595</c:v>
                </c:pt>
                <c:pt idx="330">
                  <c:v>45594</c:v>
                </c:pt>
                <c:pt idx="331">
                  <c:v>45593</c:v>
                </c:pt>
                <c:pt idx="332">
                  <c:v>45590</c:v>
                </c:pt>
                <c:pt idx="333">
                  <c:v>45589</c:v>
                </c:pt>
                <c:pt idx="334">
                  <c:v>45588</c:v>
                </c:pt>
                <c:pt idx="335">
                  <c:v>45587</c:v>
                </c:pt>
                <c:pt idx="336">
                  <c:v>45586</c:v>
                </c:pt>
                <c:pt idx="337">
                  <c:v>45583</c:v>
                </c:pt>
                <c:pt idx="338">
                  <c:v>45582</c:v>
                </c:pt>
                <c:pt idx="339">
                  <c:v>45581</c:v>
                </c:pt>
                <c:pt idx="340">
                  <c:v>45580</c:v>
                </c:pt>
                <c:pt idx="341">
                  <c:v>45579</c:v>
                </c:pt>
                <c:pt idx="342">
                  <c:v>45576</c:v>
                </c:pt>
                <c:pt idx="343">
                  <c:v>45575</c:v>
                </c:pt>
                <c:pt idx="344">
                  <c:v>45574</c:v>
                </c:pt>
                <c:pt idx="345">
                  <c:v>45573</c:v>
                </c:pt>
                <c:pt idx="346">
                  <c:v>45572</c:v>
                </c:pt>
                <c:pt idx="347">
                  <c:v>45569</c:v>
                </c:pt>
                <c:pt idx="348">
                  <c:v>45568</c:v>
                </c:pt>
                <c:pt idx="349">
                  <c:v>45567</c:v>
                </c:pt>
                <c:pt idx="350">
                  <c:v>45566</c:v>
                </c:pt>
                <c:pt idx="351">
                  <c:v>45565</c:v>
                </c:pt>
                <c:pt idx="352">
                  <c:v>45562</c:v>
                </c:pt>
                <c:pt idx="353">
                  <c:v>45561</c:v>
                </c:pt>
                <c:pt idx="354">
                  <c:v>45560</c:v>
                </c:pt>
                <c:pt idx="355">
                  <c:v>45559</c:v>
                </c:pt>
                <c:pt idx="356">
                  <c:v>45558</c:v>
                </c:pt>
                <c:pt idx="357">
                  <c:v>45555</c:v>
                </c:pt>
                <c:pt idx="358">
                  <c:v>45554</c:v>
                </c:pt>
                <c:pt idx="359">
                  <c:v>45553</c:v>
                </c:pt>
                <c:pt idx="360">
                  <c:v>45552</c:v>
                </c:pt>
                <c:pt idx="361">
                  <c:v>45551</c:v>
                </c:pt>
                <c:pt idx="362">
                  <c:v>45548</c:v>
                </c:pt>
                <c:pt idx="363">
                  <c:v>45547</c:v>
                </c:pt>
                <c:pt idx="364">
                  <c:v>45546</c:v>
                </c:pt>
                <c:pt idx="365">
                  <c:v>45545</c:v>
                </c:pt>
                <c:pt idx="366">
                  <c:v>45544</c:v>
                </c:pt>
                <c:pt idx="367">
                  <c:v>45541</c:v>
                </c:pt>
                <c:pt idx="368">
                  <c:v>45540</c:v>
                </c:pt>
                <c:pt idx="369">
                  <c:v>45539</c:v>
                </c:pt>
                <c:pt idx="370">
                  <c:v>45538</c:v>
                </c:pt>
                <c:pt idx="371">
                  <c:v>45534</c:v>
                </c:pt>
                <c:pt idx="372">
                  <c:v>45533</c:v>
                </c:pt>
                <c:pt idx="373">
                  <c:v>45532</c:v>
                </c:pt>
                <c:pt idx="374">
                  <c:v>45531</c:v>
                </c:pt>
                <c:pt idx="375">
                  <c:v>45530</c:v>
                </c:pt>
                <c:pt idx="376">
                  <c:v>45527</c:v>
                </c:pt>
                <c:pt idx="377">
                  <c:v>45526</c:v>
                </c:pt>
                <c:pt idx="378">
                  <c:v>45525</c:v>
                </c:pt>
                <c:pt idx="379">
                  <c:v>45524</c:v>
                </c:pt>
                <c:pt idx="380">
                  <c:v>45523</c:v>
                </c:pt>
                <c:pt idx="381">
                  <c:v>45520</c:v>
                </c:pt>
                <c:pt idx="382">
                  <c:v>45519</c:v>
                </c:pt>
                <c:pt idx="383">
                  <c:v>45518</c:v>
                </c:pt>
                <c:pt idx="384">
                  <c:v>45517</c:v>
                </c:pt>
                <c:pt idx="385">
                  <c:v>45516</c:v>
                </c:pt>
                <c:pt idx="386">
                  <c:v>45513</c:v>
                </c:pt>
                <c:pt idx="387">
                  <c:v>45512</c:v>
                </c:pt>
                <c:pt idx="388">
                  <c:v>45511</c:v>
                </c:pt>
                <c:pt idx="389">
                  <c:v>45510</c:v>
                </c:pt>
                <c:pt idx="390">
                  <c:v>45509</c:v>
                </c:pt>
                <c:pt idx="391">
                  <c:v>45506</c:v>
                </c:pt>
                <c:pt idx="392">
                  <c:v>45505</c:v>
                </c:pt>
                <c:pt idx="393">
                  <c:v>45504</c:v>
                </c:pt>
                <c:pt idx="394">
                  <c:v>45503</c:v>
                </c:pt>
                <c:pt idx="395">
                  <c:v>45502</c:v>
                </c:pt>
                <c:pt idx="396">
                  <c:v>45499</c:v>
                </c:pt>
                <c:pt idx="397">
                  <c:v>45498</c:v>
                </c:pt>
                <c:pt idx="398">
                  <c:v>45497</c:v>
                </c:pt>
                <c:pt idx="399">
                  <c:v>45496</c:v>
                </c:pt>
                <c:pt idx="400">
                  <c:v>45495</c:v>
                </c:pt>
                <c:pt idx="401">
                  <c:v>45492</c:v>
                </c:pt>
                <c:pt idx="402">
                  <c:v>45491</c:v>
                </c:pt>
                <c:pt idx="403">
                  <c:v>45490</c:v>
                </c:pt>
                <c:pt idx="404">
                  <c:v>45489</c:v>
                </c:pt>
                <c:pt idx="405">
                  <c:v>45488</c:v>
                </c:pt>
                <c:pt idx="406">
                  <c:v>45485</c:v>
                </c:pt>
                <c:pt idx="407">
                  <c:v>45484</c:v>
                </c:pt>
                <c:pt idx="408">
                  <c:v>45483</c:v>
                </c:pt>
                <c:pt idx="409">
                  <c:v>45482</c:v>
                </c:pt>
                <c:pt idx="410">
                  <c:v>45481</c:v>
                </c:pt>
                <c:pt idx="411">
                  <c:v>45478</c:v>
                </c:pt>
                <c:pt idx="412">
                  <c:v>45476</c:v>
                </c:pt>
                <c:pt idx="413">
                  <c:v>45475</c:v>
                </c:pt>
                <c:pt idx="414">
                  <c:v>45474</c:v>
                </c:pt>
                <c:pt idx="415">
                  <c:v>45471</c:v>
                </c:pt>
                <c:pt idx="416">
                  <c:v>45470</c:v>
                </c:pt>
                <c:pt idx="417">
                  <c:v>45469</c:v>
                </c:pt>
                <c:pt idx="418">
                  <c:v>45468</c:v>
                </c:pt>
                <c:pt idx="419">
                  <c:v>45467</c:v>
                </c:pt>
                <c:pt idx="420">
                  <c:v>45464</c:v>
                </c:pt>
                <c:pt idx="421">
                  <c:v>45463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45453</c:v>
                </c:pt>
                <c:pt idx="429">
                  <c:v>45450</c:v>
                </c:pt>
                <c:pt idx="430">
                  <c:v>45449</c:v>
                </c:pt>
                <c:pt idx="431">
                  <c:v>45448</c:v>
                </c:pt>
                <c:pt idx="432">
                  <c:v>45447</c:v>
                </c:pt>
                <c:pt idx="433">
                  <c:v>45446</c:v>
                </c:pt>
                <c:pt idx="434">
                  <c:v>45443</c:v>
                </c:pt>
                <c:pt idx="435">
                  <c:v>45442</c:v>
                </c:pt>
                <c:pt idx="436">
                  <c:v>45441</c:v>
                </c:pt>
                <c:pt idx="437">
                  <c:v>45440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45422</c:v>
                </c:pt>
                <c:pt idx="449">
                  <c:v>45421</c:v>
                </c:pt>
                <c:pt idx="450">
                  <c:v>45420</c:v>
                </c:pt>
                <c:pt idx="451">
                  <c:v>45419</c:v>
                </c:pt>
                <c:pt idx="452">
                  <c:v>45418</c:v>
                </c:pt>
                <c:pt idx="453">
                  <c:v>45415</c:v>
                </c:pt>
                <c:pt idx="454">
                  <c:v>45414</c:v>
                </c:pt>
                <c:pt idx="455">
                  <c:v>45413</c:v>
                </c:pt>
                <c:pt idx="456">
                  <c:v>45412</c:v>
                </c:pt>
                <c:pt idx="457">
                  <c:v>45411</c:v>
                </c:pt>
                <c:pt idx="458">
                  <c:v>45408</c:v>
                </c:pt>
                <c:pt idx="459">
                  <c:v>45407</c:v>
                </c:pt>
                <c:pt idx="460">
                  <c:v>45406</c:v>
                </c:pt>
                <c:pt idx="461">
                  <c:v>45405</c:v>
                </c:pt>
                <c:pt idx="462">
                  <c:v>45404</c:v>
                </c:pt>
                <c:pt idx="463">
                  <c:v>45401</c:v>
                </c:pt>
                <c:pt idx="464">
                  <c:v>45400</c:v>
                </c:pt>
                <c:pt idx="465">
                  <c:v>45399</c:v>
                </c:pt>
                <c:pt idx="466">
                  <c:v>45398</c:v>
                </c:pt>
                <c:pt idx="467">
                  <c:v>45397</c:v>
                </c:pt>
                <c:pt idx="468">
                  <c:v>45394</c:v>
                </c:pt>
                <c:pt idx="469">
                  <c:v>45393</c:v>
                </c:pt>
                <c:pt idx="470">
                  <c:v>45392</c:v>
                </c:pt>
                <c:pt idx="471">
                  <c:v>45391</c:v>
                </c:pt>
                <c:pt idx="472">
                  <c:v>45390</c:v>
                </c:pt>
                <c:pt idx="473">
                  <c:v>45387</c:v>
                </c:pt>
                <c:pt idx="474">
                  <c:v>45386</c:v>
                </c:pt>
                <c:pt idx="475">
                  <c:v>45385</c:v>
                </c:pt>
                <c:pt idx="476">
                  <c:v>45384</c:v>
                </c:pt>
                <c:pt idx="477">
                  <c:v>45383</c:v>
                </c:pt>
                <c:pt idx="478">
                  <c:v>45379</c:v>
                </c:pt>
                <c:pt idx="479">
                  <c:v>45378</c:v>
                </c:pt>
                <c:pt idx="480">
                  <c:v>45377</c:v>
                </c:pt>
                <c:pt idx="481">
                  <c:v>45376</c:v>
                </c:pt>
                <c:pt idx="482">
                  <c:v>45373</c:v>
                </c:pt>
                <c:pt idx="483">
                  <c:v>45372</c:v>
                </c:pt>
                <c:pt idx="484">
                  <c:v>45371</c:v>
                </c:pt>
                <c:pt idx="485">
                  <c:v>45370</c:v>
                </c:pt>
                <c:pt idx="486">
                  <c:v>45369</c:v>
                </c:pt>
                <c:pt idx="487">
                  <c:v>45366</c:v>
                </c:pt>
                <c:pt idx="488">
                  <c:v>45365</c:v>
                </c:pt>
                <c:pt idx="489">
                  <c:v>45364</c:v>
                </c:pt>
                <c:pt idx="490">
                  <c:v>45363</c:v>
                </c:pt>
                <c:pt idx="491">
                  <c:v>45362</c:v>
                </c:pt>
                <c:pt idx="492">
                  <c:v>45359</c:v>
                </c:pt>
                <c:pt idx="493">
                  <c:v>45358</c:v>
                </c:pt>
                <c:pt idx="494">
                  <c:v>45357</c:v>
                </c:pt>
                <c:pt idx="495">
                  <c:v>45356</c:v>
                </c:pt>
                <c:pt idx="496">
                  <c:v>45355</c:v>
                </c:pt>
                <c:pt idx="497">
                  <c:v>45352</c:v>
                </c:pt>
                <c:pt idx="498">
                  <c:v>45351</c:v>
                </c:pt>
                <c:pt idx="499">
                  <c:v>45350</c:v>
                </c:pt>
                <c:pt idx="500">
                  <c:v>45349</c:v>
                </c:pt>
                <c:pt idx="501">
                  <c:v>45348</c:v>
                </c:pt>
                <c:pt idx="502">
                  <c:v>45345</c:v>
                </c:pt>
                <c:pt idx="503">
                  <c:v>45344</c:v>
                </c:pt>
                <c:pt idx="504">
                  <c:v>45343</c:v>
                </c:pt>
                <c:pt idx="505">
                  <c:v>45342</c:v>
                </c:pt>
                <c:pt idx="506">
                  <c:v>45338</c:v>
                </c:pt>
                <c:pt idx="507">
                  <c:v>45337</c:v>
                </c:pt>
                <c:pt idx="508">
                  <c:v>45336</c:v>
                </c:pt>
                <c:pt idx="509">
                  <c:v>45335</c:v>
                </c:pt>
                <c:pt idx="510">
                  <c:v>45334</c:v>
                </c:pt>
                <c:pt idx="511">
                  <c:v>45331</c:v>
                </c:pt>
                <c:pt idx="512">
                  <c:v>45330</c:v>
                </c:pt>
                <c:pt idx="513">
                  <c:v>45329</c:v>
                </c:pt>
                <c:pt idx="514">
                  <c:v>45328</c:v>
                </c:pt>
                <c:pt idx="515">
                  <c:v>45327</c:v>
                </c:pt>
                <c:pt idx="516">
                  <c:v>45324</c:v>
                </c:pt>
                <c:pt idx="517">
                  <c:v>45323</c:v>
                </c:pt>
                <c:pt idx="518">
                  <c:v>45322</c:v>
                </c:pt>
                <c:pt idx="519">
                  <c:v>45321</c:v>
                </c:pt>
                <c:pt idx="520">
                  <c:v>45320</c:v>
                </c:pt>
                <c:pt idx="521">
                  <c:v>45317</c:v>
                </c:pt>
                <c:pt idx="522">
                  <c:v>45316</c:v>
                </c:pt>
                <c:pt idx="523">
                  <c:v>45315</c:v>
                </c:pt>
                <c:pt idx="524">
                  <c:v>45314</c:v>
                </c:pt>
                <c:pt idx="525">
                  <c:v>45313</c:v>
                </c:pt>
                <c:pt idx="526">
                  <c:v>45310</c:v>
                </c:pt>
                <c:pt idx="527">
                  <c:v>45309</c:v>
                </c:pt>
                <c:pt idx="528">
                  <c:v>45308</c:v>
                </c:pt>
                <c:pt idx="529">
                  <c:v>45307</c:v>
                </c:pt>
                <c:pt idx="530">
                  <c:v>45303</c:v>
                </c:pt>
                <c:pt idx="531">
                  <c:v>45302</c:v>
                </c:pt>
                <c:pt idx="532">
                  <c:v>45301</c:v>
                </c:pt>
                <c:pt idx="533">
                  <c:v>45300</c:v>
                </c:pt>
                <c:pt idx="534">
                  <c:v>45299</c:v>
                </c:pt>
                <c:pt idx="535">
                  <c:v>45296</c:v>
                </c:pt>
                <c:pt idx="536">
                  <c:v>45295</c:v>
                </c:pt>
                <c:pt idx="537">
                  <c:v>45294</c:v>
                </c:pt>
                <c:pt idx="538">
                  <c:v>45293</c:v>
                </c:pt>
                <c:pt idx="539">
                  <c:v>45289</c:v>
                </c:pt>
                <c:pt idx="540">
                  <c:v>45288</c:v>
                </c:pt>
                <c:pt idx="541">
                  <c:v>45287</c:v>
                </c:pt>
                <c:pt idx="542">
                  <c:v>45286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45252</c:v>
                </c:pt>
                <c:pt idx="565">
                  <c:v>45251</c:v>
                </c:pt>
                <c:pt idx="566">
                  <c:v>45250</c:v>
                </c:pt>
                <c:pt idx="567">
                  <c:v>45247</c:v>
                </c:pt>
                <c:pt idx="568">
                  <c:v>45246</c:v>
                </c:pt>
                <c:pt idx="569">
                  <c:v>45245</c:v>
                </c:pt>
                <c:pt idx="570">
                  <c:v>45244</c:v>
                </c:pt>
                <c:pt idx="571">
                  <c:v>45243</c:v>
                </c:pt>
                <c:pt idx="572">
                  <c:v>45240</c:v>
                </c:pt>
                <c:pt idx="573">
                  <c:v>45239</c:v>
                </c:pt>
                <c:pt idx="574">
                  <c:v>45238</c:v>
                </c:pt>
                <c:pt idx="575">
                  <c:v>45237</c:v>
                </c:pt>
                <c:pt idx="576">
                  <c:v>45236</c:v>
                </c:pt>
                <c:pt idx="577">
                  <c:v>45233</c:v>
                </c:pt>
                <c:pt idx="578">
                  <c:v>45232</c:v>
                </c:pt>
                <c:pt idx="579">
                  <c:v>45231</c:v>
                </c:pt>
                <c:pt idx="580">
                  <c:v>45230</c:v>
                </c:pt>
                <c:pt idx="581">
                  <c:v>45229</c:v>
                </c:pt>
                <c:pt idx="582">
                  <c:v>45226</c:v>
                </c:pt>
                <c:pt idx="583">
                  <c:v>45225</c:v>
                </c:pt>
                <c:pt idx="584">
                  <c:v>45224</c:v>
                </c:pt>
                <c:pt idx="585">
                  <c:v>45223</c:v>
                </c:pt>
                <c:pt idx="586">
                  <c:v>45222</c:v>
                </c:pt>
                <c:pt idx="587">
                  <c:v>45219</c:v>
                </c:pt>
                <c:pt idx="588">
                  <c:v>45218</c:v>
                </c:pt>
                <c:pt idx="589">
                  <c:v>45217</c:v>
                </c:pt>
                <c:pt idx="590">
                  <c:v>45216</c:v>
                </c:pt>
                <c:pt idx="591">
                  <c:v>45215</c:v>
                </c:pt>
                <c:pt idx="592">
                  <c:v>45212</c:v>
                </c:pt>
                <c:pt idx="593">
                  <c:v>45211</c:v>
                </c:pt>
                <c:pt idx="594">
                  <c:v>45210</c:v>
                </c:pt>
                <c:pt idx="595">
                  <c:v>45209</c:v>
                </c:pt>
                <c:pt idx="596">
                  <c:v>45208</c:v>
                </c:pt>
                <c:pt idx="597">
                  <c:v>45205</c:v>
                </c:pt>
                <c:pt idx="598">
                  <c:v>45204</c:v>
                </c:pt>
                <c:pt idx="599">
                  <c:v>45203</c:v>
                </c:pt>
                <c:pt idx="600">
                  <c:v>45202</c:v>
                </c:pt>
                <c:pt idx="601">
                  <c:v>45201</c:v>
                </c:pt>
                <c:pt idx="602">
                  <c:v>45198</c:v>
                </c:pt>
                <c:pt idx="603">
                  <c:v>45197</c:v>
                </c:pt>
                <c:pt idx="604">
                  <c:v>45196</c:v>
                </c:pt>
                <c:pt idx="605">
                  <c:v>45195</c:v>
                </c:pt>
                <c:pt idx="606">
                  <c:v>45194</c:v>
                </c:pt>
                <c:pt idx="607">
                  <c:v>45191</c:v>
                </c:pt>
                <c:pt idx="608">
                  <c:v>45190</c:v>
                </c:pt>
                <c:pt idx="609">
                  <c:v>45189</c:v>
                </c:pt>
                <c:pt idx="610">
                  <c:v>45188</c:v>
                </c:pt>
                <c:pt idx="611">
                  <c:v>45187</c:v>
                </c:pt>
                <c:pt idx="612">
                  <c:v>45184</c:v>
                </c:pt>
                <c:pt idx="613">
                  <c:v>45183</c:v>
                </c:pt>
                <c:pt idx="614">
                  <c:v>45182</c:v>
                </c:pt>
                <c:pt idx="615">
                  <c:v>45181</c:v>
                </c:pt>
                <c:pt idx="616">
                  <c:v>45180</c:v>
                </c:pt>
                <c:pt idx="617">
                  <c:v>45177</c:v>
                </c:pt>
                <c:pt idx="618">
                  <c:v>45176</c:v>
                </c:pt>
                <c:pt idx="619">
                  <c:v>45175</c:v>
                </c:pt>
                <c:pt idx="620">
                  <c:v>45174</c:v>
                </c:pt>
                <c:pt idx="621">
                  <c:v>45170</c:v>
                </c:pt>
                <c:pt idx="622">
                  <c:v>45169</c:v>
                </c:pt>
                <c:pt idx="623">
                  <c:v>45168</c:v>
                </c:pt>
                <c:pt idx="624">
                  <c:v>45167</c:v>
                </c:pt>
                <c:pt idx="625">
                  <c:v>45166</c:v>
                </c:pt>
                <c:pt idx="626">
                  <c:v>45163</c:v>
                </c:pt>
                <c:pt idx="627">
                  <c:v>45162</c:v>
                </c:pt>
                <c:pt idx="628">
                  <c:v>45161</c:v>
                </c:pt>
                <c:pt idx="629">
                  <c:v>45160</c:v>
                </c:pt>
                <c:pt idx="630">
                  <c:v>45159</c:v>
                </c:pt>
                <c:pt idx="631">
                  <c:v>45156</c:v>
                </c:pt>
                <c:pt idx="632">
                  <c:v>45155</c:v>
                </c:pt>
                <c:pt idx="633">
                  <c:v>45154</c:v>
                </c:pt>
                <c:pt idx="634">
                  <c:v>45153</c:v>
                </c:pt>
                <c:pt idx="635">
                  <c:v>45152</c:v>
                </c:pt>
                <c:pt idx="636">
                  <c:v>45149</c:v>
                </c:pt>
                <c:pt idx="637">
                  <c:v>45148</c:v>
                </c:pt>
                <c:pt idx="638">
                  <c:v>45147</c:v>
                </c:pt>
                <c:pt idx="639">
                  <c:v>45146</c:v>
                </c:pt>
                <c:pt idx="640">
                  <c:v>45145</c:v>
                </c:pt>
                <c:pt idx="641">
                  <c:v>45142</c:v>
                </c:pt>
                <c:pt idx="642">
                  <c:v>45141</c:v>
                </c:pt>
                <c:pt idx="643">
                  <c:v>45140</c:v>
                </c:pt>
                <c:pt idx="644">
                  <c:v>45139</c:v>
                </c:pt>
                <c:pt idx="645">
                  <c:v>45138</c:v>
                </c:pt>
                <c:pt idx="646">
                  <c:v>45135</c:v>
                </c:pt>
                <c:pt idx="647">
                  <c:v>45134</c:v>
                </c:pt>
                <c:pt idx="648">
                  <c:v>45133</c:v>
                </c:pt>
                <c:pt idx="649">
                  <c:v>45132</c:v>
                </c:pt>
                <c:pt idx="650">
                  <c:v>45131</c:v>
                </c:pt>
                <c:pt idx="651">
                  <c:v>45128</c:v>
                </c:pt>
                <c:pt idx="652">
                  <c:v>45127</c:v>
                </c:pt>
                <c:pt idx="653">
                  <c:v>45126</c:v>
                </c:pt>
                <c:pt idx="654">
                  <c:v>45125</c:v>
                </c:pt>
                <c:pt idx="655">
                  <c:v>45124</c:v>
                </c:pt>
                <c:pt idx="656">
                  <c:v>45121</c:v>
                </c:pt>
                <c:pt idx="657">
                  <c:v>45120</c:v>
                </c:pt>
                <c:pt idx="658">
                  <c:v>45119</c:v>
                </c:pt>
                <c:pt idx="659">
                  <c:v>45118</c:v>
                </c:pt>
                <c:pt idx="660">
                  <c:v>45117</c:v>
                </c:pt>
                <c:pt idx="661">
                  <c:v>45114</c:v>
                </c:pt>
                <c:pt idx="662">
                  <c:v>45113</c:v>
                </c:pt>
                <c:pt idx="663">
                  <c:v>45112</c:v>
                </c:pt>
                <c:pt idx="664">
                  <c:v>45110</c:v>
                </c:pt>
                <c:pt idx="665">
                  <c:v>45107</c:v>
                </c:pt>
                <c:pt idx="666">
                  <c:v>45106</c:v>
                </c:pt>
                <c:pt idx="667">
                  <c:v>45105</c:v>
                </c:pt>
                <c:pt idx="668">
                  <c:v>45104</c:v>
                </c:pt>
                <c:pt idx="669">
                  <c:v>45103</c:v>
                </c:pt>
                <c:pt idx="670">
                  <c:v>45100</c:v>
                </c:pt>
                <c:pt idx="671">
                  <c:v>45099</c:v>
                </c:pt>
                <c:pt idx="672">
                  <c:v>45098</c:v>
                </c:pt>
                <c:pt idx="673">
                  <c:v>45097</c:v>
                </c:pt>
                <c:pt idx="674">
                  <c:v>45093</c:v>
                </c:pt>
                <c:pt idx="675">
                  <c:v>45092</c:v>
                </c:pt>
                <c:pt idx="676">
                  <c:v>45091</c:v>
                </c:pt>
                <c:pt idx="677">
                  <c:v>45090</c:v>
                </c:pt>
                <c:pt idx="678">
                  <c:v>45089</c:v>
                </c:pt>
                <c:pt idx="679">
                  <c:v>45086</c:v>
                </c:pt>
                <c:pt idx="680">
                  <c:v>45085</c:v>
                </c:pt>
                <c:pt idx="681">
                  <c:v>45084</c:v>
                </c:pt>
                <c:pt idx="682">
                  <c:v>45083</c:v>
                </c:pt>
                <c:pt idx="683">
                  <c:v>45082</c:v>
                </c:pt>
                <c:pt idx="684">
                  <c:v>45079</c:v>
                </c:pt>
                <c:pt idx="685">
                  <c:v>45078</c:v>
                </c:pt>
                <c:pt idx="686">
                  <c:v>45077</c:v>
                </c:pt>
                <c:pt idx="687">
                  <c:v>45076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45051</c:v>
                </c:pt>
                <c:pt idx="704">
                  <c:v>45050</c:v>
                </c:pt>
                <c:pt idx="705">
                  <c:v>45049</c:v>
                </c:pt>
                <c:pt idx="706">
                  <c:v>45048</c:v>
                </c:pt>
                <c:pt idx="707">
                  <c:v>45047</c:v>
                </c:pt>
                <c:pt idx="708">
                  <c:v>45044</c:v>
                </c:pt>
                <c:pt idx="709">
                  <c:v>45043</c:v>
                </c:pt>
                <c:pt idx="710">
                  <c:v>45042</c:v>
                </c:pt>
                <c:pt idx="711">
                  <c:v>45041</c:v>
                </c:pt>
                <c:pt idx="712">
                  <c:v>45040</c:v>
                </c:pt>
                <c:pt idx="713">
                  <c:v>45037</c:v>
                </c:pt>
                <c:pt idx="714">
                  <c:v>45036</c:v>
                </c:pt>
                <c:pt idx="715">
                  <c:v>45035</c:v>
                </c:pt>
                <c:pt idx="716">
                  <c:v>45034</c:v>
                </c:pt>
                <c:pt idx="717">
                  <c:v>45033</c:v>
                </c:pt>
                <c:pt idx="718">
                  <c:v>45030</c:v>
                </c:pt>
                <c:pt idx="719">
                  <c:v>45029</c:v>
                </c:pt>
                <c:pt idx="720">
                  <c:v>45028</c:v>
                </c:pt>
                <c:pt idx="721">
                  <c:v>45027</c:v>
                </c:pt>
                <c:pt idx="722">
                  <c:v>45026</c:v>
                </c:pt>
                <c:pt idx="723">
                  <c:v>45022</c:v>
                </c:pt>
                <c:pt idx="724">
                  <c:v>45021</c:v>
                </c:pt>
                <c:pt idx="725">
                  <c:v>45020</c:v>
                </c:pt>
                <c:pt idx="726">
                  <c:v>45019</c:v>
                </c:pt>
                <c:pt idx="727">
                  <c:v>45016</c:v>
                </c:pt>
                <c:pt idx="728">
                  <c:v>45015</c:v>
                </c:pt>
                <c:pt idx="729">
                  <c:v>45014</c:v>
                </c:pt>
                <c:pt idx="730">
                  <c:v>45013</c:v>
                </c:pt>
                <c:pt idx="731">
                  <c:v>45012</c:v>
                </c:pt>
                <c:pt idx="732">
                  <c:v>45009</c:v>
                </c:pt>
                <c:pt idx="733">
                  <c:v>45008</c:v>
                </c:pt>
                <c:pt idx="734">
                  <c:v>45007</c:v>
                </c:pt>
                <c:pt idx="735">
                  <c:v>45006</c:v>
                </c:pt>
                <c:pt idx="736">
                  <c:v>45005</c:v>
                </c:pt>
                <c:pt idx="737">
                  <c:v>45002</c:v>
                </c:pt>
                <c:pt idx="738">
                  <c:v>45001</c:v>
                </c:pt>
                <c:pt idx="739">
                  <c:v>45000</c:v>
                </c:pt>
                <c:pt idx="740">
                  <c:v>44999</c:v>
                </c:pt>
                <c:pt idx="741">
                  <c:v>44998</c:v>
                </c:pt>
                <c:pt idx="742">
                  <c:v>44995</c:v>
                </c:pt>
                <c:pt idx="743">
                  <c:v>44994</c:v>
                </c:pt>
                <c:pt idx="744">
                  <c:v>44993</c:v>
                </c:pt>
                <c:pt idx="745">
                  <c:v>44992</c:v>
                </c:pt>
                <c:pt idx="746">
                  <c:v>44991</c:v>
                </c:pt>
                <c:pt idx="747">
                  <c:v>44988</c:v>
                </c:pt>
                <c:pt idx="748">
                  <c:v>44987</c:v>
                </c:pt>
                <c:pt idx="749">
                  <c:v>44986</c:v>
                </c:pt>
                <c:pt idx="750">
                  <c:v>44985</c:v>
                </c:pt>
              </c:numCache>
            </c:numRef>
          </c:cat>
          <c:val>
            <c:numRef>
              <c:f>WCC!$H$21:$H$773</c:f>
              <c:numCache>
                <c:formatCode>0.0%_);\(0.0%\);\-\-_);@_)</c:formatCode>
                <c:ptCount val="753"/>
                <c:pt idx="0">
                  <c:v>4.0711951415665457E-2</c:v>
                </c:pt>
                <c:pt idx="1">
                  <c:v>-2.217289921664891E-3</c:v>
                </c:pt>
                <c:pt idx="2">
                  <c:v>-6.9139278818605127E-2</c:v>
                </c:pt>
                <c:pt idx="3">
                  <c:v>-3.4150046489313121E-2</c:v>
                </c:pt>
                <c:pt idx="4">
                  <c:v>4.9960528086133178E-4</c:v>
                </c:pt>
                <c:pt idx="5">
                  <c:v>2.0871628813179631E-3</c:v>
                </c:pt>
                <c:pt idx="6">
                  <c:v>4.0935278121834597E-2</c:v>
                </c:pt>
                <c:pt idx="7">
                  <c:v>8.5606395468177804E-2</c:v>
                </c:pt>
                <c:pt idx="8">
                  <c:v>4.3938047345774341E-2</c:v>
                </c:pt>
                <c:pt idx="9">
                  <c:v>4.861955967593562E-2</c:v>
                </c:pt>
                <c:pt idx="10">
                  <c:v>1.6693113728985225E-3</c:v>
                </c:pt>
                <c:pt idx="11">
                  <c:v>4.857770170335074E-2</c:v>
                </c:pt>
                <c:pt idx="12">
                  <c:v>9.6773310357249134E-2</c:v>
                </c:pt>
                <c:pt idx="13">
                  <c:v>5.878703278597678E-2</c:v>
                </c:pt>
                <c:pt idx="14">
                  <c:v>5.4127813909204348E-2</c:v>
                </c:pt>
                <c:pt idx="15">
                  <c:v>7.0123704840314161E-2</c:v>
                </c:pt>
                <c:pt idx="16">
                  <c:v>4.8450678886982526E-2</c:v>
                </c:pt>
                <c:pt idx="17">
                  <c:v>2.0752176371606378E-2</c:v>
                </c:pt>
                <c:pt idx="18">
                  <c:v>4.6311097867106875E-2</c:v>
                </c:pt>
                <c:pt idx="19">
                  <c:v>4.9106361278629766E-2</c:v>
                </c:pt>
                <c:pt idx="20">
                  <c:v>5.169773897375235E-2</c:v>
                </c:pt>
                <c:pt idx="21">
                  <c:v>6.8782502936850842E-2</c:v>
                </c:pt>
                <c:pt idx="22">
                  <c:v>7.1965147862254636E-2</c:v>
                </c:pt>
                <c:pt idx="23">
                  <c:v>0.10413614706540514</c:v>
                </c:pt>
                <c:pt idx="24">
                  <c:v>6.4569118193116823E-2</c:v>
                </c:pt>
                <c:pt idx="25">
                  <c:v>5.9913721721160287E-2</c:v>
                </c:pt>
                <c:pt idx="26">
                  <c:v>9.6930508561065123E-2</c:v>
                </c:pt>
                <c:pt idx="27">
                  <c:v>0.13604956555347558</c:v>
                </c:pt>
                <c:pt idx="28">
                  <c:v>0.10010736657869559</c:v>
                </c:pt>
                <c:pt idx="29">
                  <c:v>8.4507482737583767E-2</c:v>
                </c:pt>
                <c:pt idx="30">
                  <c:v>6.5537121988106795E-2</c:v>
                </c:pt>
                <c:pt idx="31">
                  <c:v>4.8894813323394203E-2</c:v>
                </c:pt>
                <c:pt idx="32">
                  <c:v>5.6298046674467563E-2</c:v>
                </c:pt>
                <c:pt idx="33">
                  <c:v>2.350800515456131E-2</c:v>
                </c:pt>
                <c:pt idx="34">
                  <c:v>5.5803112822317272E-2</c:v>
                </c:pt>
                <c:pt idx="35">
                  <c:v>5.9657405858620019E-2</c:v>
                </c:pt>
                <c:pt idx="36">
                  <c:v>-2.6694231390212653E-2</c:v>
                </c:pt>
                <c:pt idx="37">
                  <c:v>-6.4283468159147858E-2</c:v>
                </c:pt>
                <c:pt idx="38">
                  <c:v>-5.4116328440429899E-2</c:v>
                </c:pt>
                <c:pt idx="39">
                  <c:v>-5.1472219197236338E-2</c:v>
                </c:pt>
                <c:pt idx="40">
                  <c:v>-9.1352522603534242E-2</c:v>
                </c:pt>
                <c:pt idx="41">
                  <c:v>-9.124447835964139E-2</c:v>
                </c:pt>
                <c:pt idx="42">
                  <c:v>-6.6169443194666833E-2</c:v>
                </c:pt>
                <c:pt idx="43">
                  <c:v>-6.379014201041143E-2</c:v>
                </c:pt>
                <c:pt idx="44">
                  <c:v>-7.1702813373100013E-2</c:v>
                </c:pt>
                <c:pt idx="45">
                  <c:v>-7.9368393251419575E-2</c:v>
                </c:pt>
                <c:pt idx="46">
                  <c:v>-4.3512357202687257E-2</c:v>
                </c:pt>
                <c:pt idx="47">
                  <c:v>-2.2803363910505411E-2</c:v>
                </c:pt>
                <c:pt idx="48">
                  <c:v>-2.8136839026365032E-2</c:v>
                </c:pt>
                <c:pt idx="49">
                  <c:v>-2.1097562095900285E-2</c:v>
                </c:pt>
                <c:pt idx="50">
                  <c:v>2.8614035923793125E-2</c:v>
                </c:pt>
                <c:pt idx="51">
                  <c:v>3.7376573504354096E-2</c:v>
                </c:pt>
                <c:pt idx="52">
                  <c:v>1.3970652721870865E-2</c:v>
                </c:pt>
                <c:pt idx="53">
                  <c:v>1.6981044070205495E-2</c:v>
                </c:pt>
                <c:pt idx="54">
                  <c:v>3.0516837926990087E-2</c:v>
                </c:pt>
                <c:pt idx="55">
                  <c:v>2.6387243668296922E-2</c:v>
                </c:pt>
                <c:pt idx="56">
                  <c:v>3.3356607385790063E-2</c:v>
                </c:pt>
                <c:pt idx="57">
                  <c:v>3.9197498526916459E-2</c:v>
                </c:pt>
                <c:pt idx="58">
                  <c:v>1.8722591440653805E-2</c:v>
                </c:pt>
                <c:pt idx="59">
                  <c:v>1.1317058838822787E-2</c:v>
                </c:pt>
                <c:pt idx="60">
                  <c:v>-1.1458033042246289E-3</c:v>
                </c:pt>
                <c:pt idx="61">
                  <c:v>2.6104639524829294E-2</c:v>
                </c:pt>
                <c:pt idx="62">
                  <c:v>4.7675552297180776E-3</c:v>
                </c:pt>
                <c:pt idx="63">
                  <c:v>1.3785614024583719E-2</c:v>
                </c:pt>
                <c:pt idx="64">
                  <c:v>2.0272665634250703E-3</c:v>
                </c:pt>
                <c:pt idx="65">
                  <c:v>1.8889009297159337E-2</c:v>
                </c:pt>
                <c:pt idx="66">
                  <c:v>2.3255756996832147E-2</c:v>
                </c:pt>
                <c:pt idx="67">
                  <c:v>-9.9502136168668626E-3</c:v>
                </c:pt>
                <c:pt idx="68">
                  <c:v>1.2527495242996785E-2</c:v>
                </c:pt>
                <c:pt idx="69">
                  <c:v>4.106850932091493E-2</c:v>
                </c:pt>
                <c:pt idx="70">
                  <c:v>0.17846091544180762</c:v>
                </c:pt>
                <c:pt idx="71">
                  <c:v>0.17786732653829301</c:v>
                </c:pt>
                <c:pt idx="72">
                  <c:v>0.17790230580992378</c:v>
                </c:pt>
                <c:pt idx="73">
                  <c:v>0.14625029534269049</c:v>
                </c:pt>
                <c:pt idx="74">
                  <c:v>0.17565450284792508</c:v>
                </c:pt>
                <c:pt idx="75">
                  <c:v>0.17928250750050434</c:v>
                </c:pt>
                <c:pt idx="76">
                  <c:v>0.13551282136472839</c:v>
                </c:pt>
                <c:pt idx="77">
                  <c:v>0.1684323609580064</c:v>
                </c:pt>
                <c:pt idx="78">
                  <c:v>0.17542799204237489</c:v>
                </c:pt>
                <c:pt idx="79">
                  <c:v>0.11094653183569909</c:v>
                </c:pt>
                <c:pt idx="80">
                  <c:v>-1.3736488252502316E-2</c:v>
                </c:pt>
                <c:pt idx="81">
                  <c:v>-5.7640705813405552E-2</c:v>
                </c:pt>
                <c:pt idx="82">
                  <c:v>-1.1646986599719134E-2</c:v>
                </c:pt>
                <c:pt idx="83">
                  <c:v>1.5832958856971988E-2</c:v>
                </c:pt>
                <c:pt idx="84">
                  <c:v>-1.1747067406138928E-2</c:v>
                </c:pt>
                <c:pt idx="85">
                  <c:v>-3.2291249229165299E-2</c:v>
                </c:pt>
                <c:pt idx="86">
                  <c:v>2.4683205948822919E-2</c:v>
                </c:pt>
                <c:pt idx="87">
                  <c:v>-1.5759832520714232E-3</c:v>
                </c:pt>
                <c:pt idx="88">
                  <c:v>4.1738788323872691E-3</c:v>
                </c:pt>
                <c:pt idx="89">
                  <c:v>4.4408209046828781E-2</c:v>
                </c:pt>
                <c:pt idx="90">
                  <c:v>3.9329076565019716E-2</c:v>
                </c:pt>
                <c:pt idx="91">
                  <c:v>4.7910250626467824E-2</c:v>
                </c:pt>
                <c:pt idx="92">
                  <c:v>9.6636917575263614E-3</c:v>
                </c:pt>
                <c:pt idx="93">
                  <c:v>-9.4570202325984162E-4</c:v>
                </c:pt>
                <c:pt idx="94">
                  <c:v>3.1232754199497351E-2</c:v>
                </c:pt>
                <c:pt idx="95">
                  <c:v>4.9884938477795474E-2</c:v>
                </c:pt>
                <c:pt idx="96">
                  <c:v>4.2839214833781548E-3</c:v>
                </c:pt>
                <c:pt idx="97">
                  <c:v>2.8470391526922566E-2</c:v>
                </c:pt>
                <c:pt idx="98">
                  <c:v>2.1742258039240788E-2</c:v>
                </c:pt>
                <c:pt idx="99">
                  <c:v>-2.4321318299264337E-2</c:v>
                </c:pt>
                <c:pt idx="100">
                  <c:v>-3.3013489315836003E-2</c:v>
                </c:pt>
                <c:pt idx="101">
                  <c:v>-4.0497429772435187E-2</c:v>
                </c:pt>
                <c:pt idx="102">
                  <c:v>-2.6734276006580227E-2</c:v>
                </c:pt>
                <c:pt idx="103">
                  <c:v>-1.83908767927068E-2</c:v>
                </c:pt>
                <c:pt idx="104">
                  <c:v>-5.8233687464012696E-2</c:v>
                </c:pt>
                <c:pt idx="105">
                  <c:v>-5.8474163039555181E-2</c:v>
                </c:pt>
                <c:pt idx="106">
                  <c:v>-4.6545507547429199E-2</c:v>
                </c:pt>
                <c:pt idx="107">
                  <c:v>-7.8813052036915049E-2</c:v>
                </c:pt>
                <c:pt idx="108">
                  <c:v>-9.1789431087518455E-2</c:v>
                </c:pt>
                <c:pt idx="109">
                  <c:v>-4.7446035267856027E-2</c:v>
                </c:pt>
                <c:pt idx="110">
                  <c:v>-5.3944227898499016E-2</c:v>
                </c:pt>
                <c:pt idx="111">
                  <c:v>-6.0865640976603887E-2</c:v>
                </c:pt>
                <c:pt idx="112">
                  <c:v>-6.1276864775476406E-2</c:v>
                </c:pt>
                <c:pt idx="113">
                  <c:v>-6.8356132217065685E-2</c:v>
                </c:pt>
                <c:pt idx="114">
                  <c:v>-5.5436681799172854E-2</c:v>
                </c:pt>
                <c:pt idx="115">
                  <c:v>-6.7817872323537698E-2</c:v>
                </c:pt>
                <c:pt idx="116">
                  <c:v>-7.0827265064496617E-2</c:v>
                </c:pt>
                <c:pt idx="117">
                  <c:v>-2.6559234173098811E-2</c:v>
                </c:pt>
                <c:pt idx="118">
                  <c:v>1.0922680322338597E-2</c:v>
                </c:pt>
                <c:pt idx="119">
                  <c:v>1.5969226466320593E-2</c:v>
                </c:pt>
                <c:pt idx="120">
                  <c:v>1.8955138658269623E-2</c:v>
                </c:pt>
                <c:pt idx="121">
                  <c:v>5.1886358562906847E-2</c:v>
                </c:pt>
                <c:pt idx="122">
                  <c:v>6.3460766678501881E-2</c:v>
                </c:pt>
                <c:pt idx="123">
                  <c:v>6.1490483959360201E-2</c:v>
                </c:pt>
                <c:pt idx="124">
                  <c:v>5.0978432466717752E-2</c:v>
                </c:pt>
                <c:pt idx="125">
                  <c:v>6.7059654157255288E-2</c:v>
                </c:pt>
                <c:pt idx="126">
                  <c:v>8.6281726774383879E-2</c:v>
                </c:pt>
                <c:pt idx="127">
                  <c:v>6.8181655040569542E-2</c:v>
                </c:pt>
                <c:pt idx="128">
                  <c:v>2.2163153504572743E-2</c:v>
                </c:pt>
                <c:pt idx="129">
                  <c:v>2.894678752643088E-3</c:v>
                </c:pt>
                <c:pt idx="130">
                  <c:v>-3.3478803970630536E-3</c:v>
                </c:pt>
                <c:pt idx="131">
                  <c:v>-2.6377626415362319E-2</c:v>
                </c:pt>
                <c:pt idx="132">
                  <c:v>-4.102966438155458E-2</c:v>
                </c:pt>
                <c:pt idx="133">
                  <c:v>-1.4117636908381685E-2</c:v>
                </c:pt>
                <c:pt idx="134">
                  <c:v>-1.3957858809640872E-2</c:v>
                </c:pt>
                <c:pt idx="135">
                  <c:v>-4.1826850791414794E-2</c:v>
                </c:pt>
                <c:pt idx="136">
                  <c:v>-6.3062890023447948E-2</c:v>
                </c:pt>
                <c:pt idx="137">
                  <c:v>-4.753943503707482E-2</c:v>
                </c:pt>
                <c:pt idx="138">
                  <c:v>-2.6412729882928976E-2</c:v>
                </c:pt>
                <c:pt idx="139">
                  <c:v>-2.5944607882570147E-2</c:v>
                </c:pt>
                <c:pt idx="140">
                  <c:v>-2.7230899709951538E-3</c:v>
                </c:pt>
                <c:pt idx="141">
                  <c:v>2.1908456438296576E-2</c:v>
                </c:pt>
                <c:pt idx="142">
                  <c:v>3.4365251679653163E-3</c:v>
                </c:pt>
                <c:pt idx="143">
                  <c:v>-2.8573560030238677E-3</c:v>
                </c:pt>
                <c:pt idx="144">
                  <c:v>4.2830005663843318E-2</c:v>
                </c:pt>
                <c:pt idx="145">
                  <c:v>5.8358130539834206E-2</c:v>
                </c:pt>
                <c:pt idx="146">
                  <c:v>7.0913363938671051E-2</c:v>
                </c:pt>
                <c:pt idx="147">
                  <c:v>4.4194738518917587E-2</c:v>
                </c:pt>
                <c:pt idx="148">
                  <c:v>3.0855386098390516E-2</c:v>
                </c:pt>
                <c:pt idx="149">
                  <c:v>4.7086955074727682E-2</c:v>
                </c:pt>
                <c:pt idx="150">
                  <c:v>4.1300031235371598E-2</c:v>
                </c:pt>
                <c:pt idx="151">
                  <c:v>4.9178539426348755E-2</c:v>
                </c:pt>
                <c:pt idx="152">
                  <c:v>0</c:v>
                </c:pt>
                <c:pt idx="153">
                  <c:v>5.2173001920576091E-2</c:v>
                </c:pt>
                <c:pt idx="154">
                  <c:v>2.0223473838400244E-2</c:v>
                </c:pt>
                <c:pt idx="155">
                  <c:v>3.5108484242261331E-2</c:v>
                </c:pt>
                <c:pt idx="156">
                  <c:v>5.2433175274523319E-2</c:v>
                </c:pt>
                <c:pt idx="157">
                  <c:v>5.034995013617366E-2</c:v>
                </c:pt>
                <c:pt idx="158">
                  <c:v>4.454459785990892E-2</c:v>
                </c:pt>
                <c:pt idx="159">
                  <c:v>4.3588112368638104E-2</c:v>
                </c:pt>
                <c:pt idx="160">
                  <c:v>2.1814832715940785E-2</c:v>
                </c:pt>
                <c:pt idx="161">
                  <c:v>-3.5475623816052515E-3</c:v>
                </c:pt>
                <c:pt idx="162">
                  <c:v>1.91557662213898E-2</c:v>
                </c:pt>
                <c:pt idx="163">
                  <c:v>6.2351449615432139E-2</c:v>
                </c:pt>
                <c:pt idx="164">
                  <c:v>3.0787748828347734E-2</c:v>
                </c:pt>
                <c:pt idx="165">
                  <c:v>7.6414204668785943E-3</c:v>
                </c:pt>
                <c:pt idx="166">
                  <c:v>1.5173858004033251E-2</c:v>
                </c:pt>
                <c:pt idx="167">
                  <c:v>1.5704695346109077E-2</c:v>
                </c:pt>
                <c:pt idx="168">
                  <c:v>1.5630060317851132E-3</c:v>
                </c:pt>
                <c:pt idx="169">
                  <c:v>2.5150857343359562E-2</c:v>
                </c:pt>
                <c:pt idx="170">
                  <c:v>3.742629109774586E-2</c:v>
                </c:pt>
                <c:pt idx="171">
                  <c:v>3.9822714046467263E-2</c:v>
                </c:pt>
                <c:pt idx="172">
                  <c:v>3.1445967307217777E-2</c:v>
                </c:pt>
                <c:pt idx="173">
                  <c:v>-1.3157395119020379E-2</c:v>
                </c:pt>
                <c:pt idx="174">
                  <c:v>3.826352413174243E-2</c:v>
                </c:pt>
                <c:pt idx="175">
                  <c:v>1.4462601616863822E-2</c:v>
                </c:pt>
                <c:pt idx="176">
                  <c:v>-2.1813717981862962E-3</c:v>
                </c:pt>
                <c:pt idx="177">
                  <c:v>-7.0320969783277051E-3</c:v>
                </c:pt>
                <c:pt idx="178">
                  <c:v>2.990216322981569E-2</c:v>
                </c:pt>
                <c:pt idx="179">
                  <c:v>1.6109955110721268E-2</c:v>
                </c:pt>
                <c:pt idx="180">
                  <c:v>2.4684102005376601E-3</c:v>
                </c:pt>
                <c:pt idx="181">
                  <c:v>-1.6255860871894276E-3</c:v>
                </c:pt>
                <c:pt idx="182">
                  <c:v>-1.3764354230051524E-2</c:v>
                </c:pt>
                <c:pt idx="183">
                  <c:v>9.8215231877881639E-3</c:v>
                </c:pt>
                <c:pt idx="184">
                  <c:v>-3.9340219874001166E-2</c:v>
                </c:pt>
                <c:pt idx="185">
                  <c:v>-1.8162173282000756E-2</c:v>
                </c:pt>
                <c:pt idx="186">
                  <c:v>-2.1198847118542224E-2</c:v>
                </c:pt>
                <c:pt idx="187">
                  <c:v>-7.6119932688838579E-3</c:v>
                </c:pt>
                <c:pt idx="188">
                  <c:v>-3.71371132895668E-2</c:v>
                </c:pt>
                <c:pt idx="189">
                  <c:v>-2.2809190767423326E-2</c:v>
                </c:pt>
                <c:pt idx="190">
                  <c:v>-3.1233588590994628E-2</c:v>
                </c:pt>
                <c:pt idx="191">
                  <c:v>-1.5421054693917441E-2</c:v>
                </c:pt>
                <c:pt idx="192">
                  <c:v>-1.2997547785622371E-2</c:v>
                </c:pt>
                <c:pt idx="193">
                  <c:v>-3.5642213318277979E-2</c:v>
                </c:pt>
                <c:pt idx="194">
                  <c:v>-1.32739958964673E-2</c:v>
                </c:pt>
                <c:pt idx="195">
                  <c:v>3.7216474335461339E-2</c:v>
                </c:pt>
                <c:pt idx="196">
                  <c:v>-2.6471585721262139E-2</c:v>
                </c:pt>
                <c:pt idx="197">
                  <c:v>-1.7989803120305153E-2</c:v>
                </c:pt>
                <c:pt idx="198">
                  <c:v>-3.1988571656050388E-2</c:v>
                </c:pt>
                <c:pt idx="199">
                  <c:v>-3.7010209915071382E-2</c:v>
                </c:pt>
                <c:pt idx="200">
                  <c:v>-4.0221516068071089E-2</c:v>
                </c:pt>
                <c:pt idx="201">
                  <c:v>-4.4415386507342475E-2</c:v>
                </c:pt>
                <c:pt idx="202">
                  <c:v>-3.4554270861175101E-2</c:v>
                </c:pt>
                <c:pt idx="203">
                  <c:v>-3.5570157363258775E-2</c:v>
                </c:pt>
                <c:pt idx="204">
                  <c:v>-4.7711604136776831E-2</c:v>
                </c:pt>
                <c:pt idx="205">
                  <c:v>-7.3347662213110162E-2</c:v>
                </c:pt>
                <c:pt idx="206">
                  <c:v>3.3364889152782212E-2</c:v>
                </c:pt>
                <c:pt idx="207">
                  <c:v>2.981942492206735E-2</c:v>
                </c:pt>
                <c:pt idx="208">
                  <c:v>4.4035501450252222E-2</c:v>
                </c:pt>
                <c:pt idx="209">
                  <c:v>2.3813923566988512E-2</c:v>
                </c:pt>
                <c:pt idx="210">
                  <c:v>3.7854443019205673E-2</c:v>
                </c:pt>
                <c:pt idx="211">
                  <c:v>3.7024075830903391E-2</c:v>
                </c:pt>
                <c:pt idx="212">
                  <c:v>2.2925032851688815E-2</c:v>
                </c:pt>
                <c:pt idx="213">
                  <c:v>4.6377310834556554E-2</c:v>
                </c:pt>
                <c:pt idx="214">
                  <c:v>8.4927331917648397E-2</c:v>
                </c:pt>
                <c:pt idx="215">
                  <c:v>2.0531376965519113E-2</c:v>
                </c:pt>
                <c:pt idx="216">
                  <c:v>2.620249457864296E-2</c:v>
                </c:pt>
                <c:pt idx="217">
                  <c:v>2.5070836542994163E-2</c:v>
                </c:pt>
                <c:pt idx="218">
                  <c:v>1.0763416926127957E-2</c:v>
                </c:pt>
                <c:pt idx="219">
                  <c:v>2.018645939680129E-2</c:v>
                </c:pt>
                <c:pt idx="220">
                  <c:v>3.3256896089832871E-3</c:v>
                </c:pt>
                <c:pt idx="221">
                  <c:v>1.5305660196650972E-2</c:v>
                </c:pt>
                <c:pt idx="222">
                  <c:v>9.8183888958685017E-3</c:v>
                </c:pt>
                <c:pt idx="223">
                  <c:v>5.5693038303606113E-3</c:v>
                </c:pt>
                <c:pt idx="224">
                  <c:v>-4.3319995481527526E-2</c:v>
                </c:pt>
                <c:pt idx="225">
                  <c:v>-2.1179715757456957E-2</c:v>
                </c:pt>
                <c:pt idx="226">
                  <c:v>-3.7147874474952394E-2</c:v>
                </c:pt>
                <c:pt idx="227">
                  <c:v>-3.2474568977979304E-2</c:v>
                </c:pt>
                <c:pt idx="228">
                  <c:v>-2.2573636276622105E-2</c:v>
                </c:pt>
                <c:pt idx="229">
                  <c:v>-2.1128168417920083E-2</c:v>
                </c:pt>
                <c:pt idx="230">
                  <c:v>-2.3156236170863792E-2</c:v>
                </c:pt>
                <c:pt idx="231">
                  <c:v>-3.5967228512319496E-3</c:v>
                </c:pt>
                <c:pt idx="232">
                  <c:v>3.1724331662244698E-2</c:v>
                </c:pt>
                <c:pt idx="233">
                  <c:v>1.2810177542555506E-2</c:v>
                </c:pt>
                <c:pt idx="234">
                  <c:v>4.1807644148404502E-3</c:v>
                </c:pt>
                <c:pt idx="235">
                  <c:v>1.7249765460558425E-2</c:v>
                </c:pt>
                <c:pt idx="236">
                  <c:v>3.2247761602548025E-2</c:v>
                </c:pt>
                <c:pt idx="237">
                  <c:v>1.2544305135600113E-2</c:v>
                </c:pt>
                <c:pt idx="238">
                  <c:v>-1.0566964816128829E-2</c:v>
                </c:pt>
                <c:pt idx="239">
                  <c:v>-2.2339793027522828E-2</c:v>
                </c:pt>
                <c:pt idx="240">
                  <c:v>2.336132792508841E-3</c:v>
                </c:pt>
                <c:pt idx="241">
                  <c:v>1.0764826641043626E-2</c:v>
                </c:pt>
                <c:pt idx="242">
                  <c:v>-1.4610499065155186E-2</c:v>
                </c:pt>
                <c:pt idx="243">
                  <c:v>-3.1779122596095971E-2</c:v>
                </c:pt>
                <c:pt idx="244">
                  <c:v>-2.8510440353325534E-2</c:v>
                </c:pt>
                <c:pt idx="245">
                  <c:v>-4.9849699624879021E-2</c:v>
                </c:pt>
                <c:pt idx="246">
                  <c:v>-8.7811718423304971E-2</c:v>
                </c:pt>
                <c:pt idx="247">
                  <c:v>-6.9908789999045942E-2</c:v>
                </c:pt>
                <c:pt idx="248">
                  <c:v>-2.8796511546430772E-2</c:v>
                </c:pt>
                <c:pt idx="249">
                  <c:v>-2.1268263073338844E-2</c:v>
                </c:pt>
                <c:pt idx="250">
                  <c:v>-7.5670870940363136E-3</c:v>
                </c:pt>
                <c:pt idx="251">
                  <c:v>-2.683328268722298E-2</c:v>
                </c:pt>
                <c:pt idx="252">
                  <c:v>-3.3177907861402227E-2</c:v>
                </c:pt>
                <c:pt idx="253">
                  <c:v>-6.4609470955878864E-3</c:v>
                </c:pt>
                <c:pt idx="254">
                  <c:v>2.2097280416344709E-2</c:v>
                </c:pt>
                <c:pt idx="255">
                  <c:v>5.6222228760125503E-2</c:v>
                </c:pt>
                <c:pt idx="256">
                  <c:v>6.8852787306276864E-2</c:v>
                </c:pt>
                <c:pt idx="257">
                  <c:v>4.4766221006291657E-2</c:v>
                </c:pt>
                <c:pt idx="258">
                  <c:v>1.1164665486373179E-2</c:v>
                </c:pt>
                <c:pt idx="259">
                  <c:v>3.2431117902849214E-2</c:v>
                </c:pt>
                <c:pt idx="260">
                  <c:v>1.9597254241645663E-2</c:v>
                </c:pt>
                <c:pt idx="261">
                  <c:v>6.2283803873823818E-3</c:v>
                </c:pt>
                <c:pt idx="262">
                  <c:v>-4.1128853420981201E-2</c:v>
                </c:pt>
                <c:pt idx="263">
                  <c:v>-3.6593670549014565E-2</c:v>
                </c:pt>
                <c:pt idx="264">
                  <c:v>-5.8847517741628656E-2</c:v>
                </c:pt>
                <c:pt idx="265">
                  <c:v>-8.1283301121777812E-2</c:v>
                </c:pt>
                <c:pt idx="266">
                  <c:v>-5.4609288102825677E-2</c:v>
                </c:pt>
                <c:pt idx="267">
                  <c:v>-7.2326411604976493E-2</c:v>
                </c:pt>
                <c:pt idx="268">
                  <c:v>-3.3564420072856066E-2</c:v>
                </c:pt>
                <c:pt idx="269">
                  <c:v>-6.4915302663312496E-2</c:v>
                </c:pt>
                <c:pt idx="270">
                  <c:v>-4.3748169772534623E-2</c:v>
                </c:pt>
                <c:pt idx="271">
                  <c:v>-2.858564449406404E-2</c:v>
                </c:pt>
                <c:pt idx="272">
                  <c:v>3.2175672714475682E-2</c:v>
                </c:pt>
                <c:pt idx="273">
                  <c:v>1.5538706659447052E-2</c:v>
                </c:pt>
                <c:pt idx="274">
                  <c:v>5.5394013365045E-2</c:v>
                </c:pt>
                <c:pt idx="275">
                  <c:v>6.6617790355244233E-2</c:v>
                </c:pt>
                <c:pt idx="276">
                  <c:v>4.3127496575350074E-2</c:v>
                </c:pt>
                <c:pt idx="277">
                  <c:v>5.5646019806196226E-2</c:v>
                </c:pt>
                <c:pt idx="278">
                  <c:v>4.8611666203443288E-2</c:v>
                </c:pt>
                <c:pt idx="279">
                  <c:v>9.1535467366002349E-2</c:v>
                </c:pt>
                <c:pt idx="280">
                  <c:v>6.3109721129779237E-2</c:v>
                </c:pt>
                <c:pt idx="281">
                  <c:v>4.3308537899342595E-2</c:v>
                </c:pt>
                <c:pt idx="282">
                  <c:v>3.9473381999701164E-2</c:v>
                </c:pt>
                <c:pt idx="283">
                  <c:v>3.9799785471886576E-2</c:v>
                </c:pt>
                <c:pt idx="284">
                  <c:v>1.8659988235045253E-2</c:v>
                </c:pt>
                <c:pt idx="285">
                  <c:v>1.2689744963420367E-2</c:v>
                </c:pt>
                <c:pt idx="286">
                  <c:v>6.8591373374546488E-3</c:v>
                </c:pt>
                <c:pt idx="287">
                  <c:v>6.0636317423278935E-3</c:v>
                </c:pt>
                <c:pt idx="288">
                  <c:v>-2.3192954377834155E-2</c:v>
                </c:pt>
                <c:pt idx="289">
                  <c:v>-5.2186172906838274E-2</c:v>
                </c:pt>
                <c:pt idx="290">
                  <c:v>-6.8648380766732187E-2</c:v>
                </c:pt>
                <c:pt idx="291">
                  <c:v>-8.9083927511361488E-2</c:v>
                </c:pt>
                <c:pt idx="292">
                  <c:v>-9.6572439359064219E-2</c:v>
                </c:pt>
                <c:pt idx="293">
                  <c:v>-9.4404939352053435E-2</c:v>
                </c:pt>
                <c:pt idx="294">
                  <c:v>-0.10348404368800891</c:v>
                </c:pt>
                <c:pt idx="295">
                  <c:v>-0.108776948026339</c:v>
                </c:pt>
                <c:pt idx="296">
                  <c:v>-0.11869241011415221</c:v>
                </c:pt>
                <c:pt idx="297">
                  <c:v>-0.11348017307810843</c:v>
                </c:pt>
                <c:pt idx="298">
                  <c:v>-0.10327724535654983</c:v>
                </c:pt>
                <c:pt idx="299">
                  <c:v>-8.8321443372710071E-2</c:v>
                </c:pt>
                <c:pt idx="300">
                  <c:v>-8.7903287889139398E-2</c:v>
                </c:pt>
                <c:pt idx="301">
                  <c:v>-8.5857407751655304E-2</c:v>
                </c:pt>
                <c:pt idx="302">
                  <c:v>-5.5249159375881825E-2</c:v>
                </c:pt>
                <c:pt idx="303">
                  <c:v>-4.1742670742691987E-2</c:v>
                </c:pt>
                <c:pt idx="304">
                  <c:v>-9.153492465674623E-3</c:v>
                </c:pt>
                <c:pt idx="305">
                  <c:v>-1.4072808440881109E-2</c:v>
                </c:pt>
                <c:pt idx="306">
                  <c:v>-4.6352730730502625E-3</c:v>
                </c:pt>
                <c:pt idx="307">
                  <c:v>-1.0115342716866267E-2</c:v>
                </c:pt>
                <c:pt idx="308">
                  <c:v>-4.8031580106767391E-3</c:v>
                </c:pt>
                <c:pt idx="309">
                  <c:v>2.5941199174412911E-3</c:v>
                </c:pt>
                <c:pt idx="310">
                  <c:v>2.2392894473884296E-2</c:v>
                </c:pt>
                <c:pt idx="311">
                  <c:v>2.1946673438476876E-2</c:v>
                </c:pt>
                <c:pt idx="312">
                  <c:v>2.6936348824602861E-2</c:v>
                </c:pt>
                <c:pt idx="313">
                  <c:v>4.9989757262647984E-3</c:v>
                </c:pt>
                <c:pt idx="314">
                  <c:v>-4.6794156299638325E-2</c:v>
                </c:pt>
                <c:pt idx="315">
                  <c:v>5.2058867844441865E-2</c:v>
                </c:pt>
                <c:pt idx="316">
                  <c:v>5.0276939237043537E-2</c:v>
                </c:pt>
                <c:pt idx="317">
                  <c:v>4.5143881536449396E-2</c:v>
                </c:pt>
                <c:pt idx="318">
                  <c:v>1.2612913204978884E-2</c:v>
                </c:pt>
                <c:pt idx="319">
                  <c:v>0.11575560158271715</c:v>
                </c:pt>
                <c:pt idx="320">
                  <c:v>0.10644153386331043</c:v>
                </c:pt>
                <c:pt idx="321">
                  <c:v>0.11676310778409479</c:v>
                </c:pt>
                <c:pt idx="322">
                  <c:v>0.11601830048236317</c:v>
                </c:pt>
                <c:pt idx="323">
                  <c:v>0.12447704694841442</c:v>
                </c:pt>
                <c:pt idx="324">
                  <c:v>0.17821967516460682</c:v>
                </c:pt>
                <c:pt idx="325">
                  <c:v>9.0911750553510196E-2</c:v>
                </c:pt>
                <c:pt idx="326">
                  <c:v>7.4631495224993225E-2</c:v>
                </c:pt>
                <c:pt idx="327">
                  <c:v>7.85043327555624E-2</c:v>
                </c:pt>
                <c:pt idx="328">
                  <c:v>9.097979103253967E-2</c:v>
                </c:pt>
                <c:pt idx="329">
                  <c:v>-1.4683203137717069E-3</c:v>
                </c:pt>
                <c:pt idx="330">
                  <c:v>2.5912013434538861E-2</c:v>
                </c:pt>
                <c:pt idx="331">
                  <c:v>3.3372053875853548E-2</c:v>
                </c:pt>
                <c:pt idx="332">
                  <c:v>9.5625225229071104E-3</c:v>
                </c:pt>
                <c:pt idx="333">
                  <c:v>5.5247320796609323E-2</c:v>
                </c:pt>
                <c:pt idx="334">
                  <c:v>4.6844644869399071E-2</c:v>
                </c:pt>
                <c:pt idx="335">
                  <c:v>3.0567394153998461E-2</c:v>
                </c:pt>
                <c:pt idx="336">
                  <c:v>3.1892995188465022E-2</c:v>
                </c:pt>
                <c:pt idx="337">
                  <c:v>5.6754757868820421E-2</c:v>
                </c:pt>
                <c:pt idx="338">
                  <c:v>5.9244663557424103E-2</c:v>
                </c:pt>
                <c:pt idx="339">
                  <c:v>3.0862610586744749E-2</c:v>
                </c:pt>
                <c:pt idx="340">
                  <c:v>2.9790893628483875E-3</c:v>
                </c:pt>
                <c:pt idx="341">
                  <c:v>1.4734231594682401E-2</c:v>
                </c:pt>
                <c:pt idx="342">
                  <c:v>-5.3847464668952717E-3</c:v>
                </c:pt>
                <c:pt idx="343">
                  <c:v>-4.1542086461255068E-2</c:v>
                </c:pt>
                <c:pt idx="344">
                  <c:v>-3.3566580690213774E-4</c:v>
                </c:pt>
                <c:pt idx="345">
                  <c:v>-2.5347987418412394E-2</c:v>
                </c:pt>
                <c:pt idx="346">
                  <c:v>-1.4907867508398009E-2</c:v>
                </c:pt>
                <c:pt idx="347">
                  <c:v>-3.3536200556279927E-2</c:v>
                </c:pt>
                <c:pt idx="348">
                  <c:v>-4.2879237011135427E-2</c:v>
                </c:pt>
                <c:pt idx="349">
                  <c:v>-2.3455023870143529E-2</c:v>
                </c:pt>
                <c:pt idx="350">
                  <c:v>-2.9962615211298397E-2</c:v>
                </c:pt>
                <c:pt idx="351">
                  <c:v>-1.5800661999560629E-2</c:v>
                </c:pt>
                <c:pt idx="352">
                  <c:v>3.8560986696088317E-2</c:v>
                </c:pt>
                <c:pt idx="353">
                  <c:v>5.9762314422102586E-2</c:v>
                </c:pt>
                <c:pt idx="354">
                  <c:v>1.7776527300821313E-3</c:v>
                </c:pt>
                <c:pt idx="355">
                  <c:v>2.3891961892803779E-2</c:v>
                </c:pt>
                <c:pt idx="356">
                  <c:v>1.7886446417337318E-2</c:v>
                </c:pt>
                <c:pt idx="357">
                  <c:v>2.6187841128240699E-2</c:v>
                </c:pt>
                <c:pt idx="358">
                  <c:v>6.9883847472587968E-2</c:v>
                </c:pt>
                <c:pt idx="359">
                  <c:v>5.2861055937167167E-2</c:v>
                </c:pt>
                <c:pt idx="360">
                  <c:v>4.672457553763578E-2</c:v>
                </c:pt>
                <c:pt idx="361">
                  <c:v>-4.0610955217199969E-3</c:v>
                </c:pt>
                <c:pt idx="362">
                  <c:v>-2.9161580074312781E-2</c:v>
                </c:pt>
                <c:pt idx="363">
                  <c:v>-5.124261834401108E-2</c:v>
                </c:pt>
                <c:pt idx="364">
                  <c:v>-3.1656014113217147E-2</c:v>
                </c:pt>
                <c:pt idx="365">
                  <c:v>-3.8555661679047663E-2</c:v>
                </c:pt>
                <c:pt idx="366">
                  <c:v>-2.3457634847673998E-2</c:v>
                </c:pt>
                <c:pt idx="367">
                  <c:v>-1.4158155007004743E-2</c:v>
                </c:pt>
                <c:pt idx="368">
                  <c:v>-2.2145121085736227E-2</c:v>
                </c:pt>
                <c:pt idx="369">
                  <c:v>-9.6541780371702315E-4</c:v>
                </c:pt>
                <c:pt idx="370">
                  <c:v>2.4116018418772374E-3</c:v>
                </c:pt>
                <c:pt idx="371">
                  <c:v>2.3702420058737357E-2</c:v>
                </c:pt>
                <c:pt idx="372">
                  <c:v>7.0613503449538043E-3</c:v>
                </c:pt>
                <c:pt idx="373">
                  <c:v>6.1067334214374783E-3</c:v>
                </c:pt>
                <c:pt idx="374">
                  <c:v>-1.4366032363374109E-2</c:v>
                </c:pt>
                <c:pt idx="375">
                  <c:v>-6.8412868984969316E-3</c:v>
                </c:pt>
                <c:pt idx="376">
                  <c:v>-3.3043326063175366E-2</c:v>
                </c:pt>
                <c:pt idx="377">
                  <c:v>-4.8241218619497803E-2</c:v>
                </c:pt>
                <c:pt idx="378">
                  <c:v>-5.4654151051340999E-2</c:v>
                </c:pt>
                <c:pt idx="379">
                  <c:v>-7.9918427094894828E-2</c:v>
                </c:pt>
                <c:pt idx="380">
                  <c:v>-7.8406937994165038E-2</c:v>
                </c:pt>
                <c:pt idx="381">
                  <c:v>-4.021663674117737E-2</c:v>
                </c:pt>
                <c:pt idx="382">
                  <c:v>-2.5738115134247262E-2</c:v>
                </c:pt>
                <c:pt idx="383">
                  <c:v>-8.8297222872090561E-2</c:v>
                </c:pt>
                <c:pt idx="384">
                  <c:v>-8.4065928730023678E-2</c:v>
                </c:pt>
                <c:pt idx="385">
                  <c:v>-7.3110828065805239E-2</c:v>
                </c:pt>
                <c:pt idx="386">
                  <c:v>-4.9840954363406485E-2</c:v>
                </c:pt>
                <c:pt idx="387">
                  <c:v>-4.9587940136366374E-2</c:v>
                </c:pt>
                <c:pt idx="388">
                  <c:v>-1.97423957829055E-2</c:v>
                </c:pt>
                <c:pt idx="389">
                  <c:v>1.8165787821033674E-2</c:v>
                </c:pt>
                <c:pt idx="390">
                  <c:v>2.6042393847439699E-2</c:v>
                </c:pt>
                <c:pt idx="391">
                  <c:v>-2.3115917395826191E-2</c:v>
                </c:pt>
                <c:pt idx="392">
                  <c:v>-2.8665719820800038E-2</c:v>
                </c:pt>
                <c:pt idx="393">
                  <c:v>2.3718709687935373E-2</c:v>
                </c:pt>
                <c:pt idx="394">
                  <c:v>3.0928298392283393E-2</c:v>
                </c:pt>
                <c:pt idx="395">
                  <c:v>6.1418609424798778E-2</c:v>
                </c:pt>
                <c:pt idx="396">
                  <c:v>7.0141771646819812E-2</c:v>
                </c:pt>
                <c:pt idx="397">
                  <c:v>9.6376056633000709E-2</c:v>
                </c:pt>
                <c:pt idx="398">
                  <c:v>0.12521770865706217</c:v>
                </c:pt>
                <c:pt idx="399">
                  <c:v>0.12230798859313437</c:v>
                </c:pt>
                <c:pt idx="400">
                  <c:v>0.10328269654868809</c:v>
                </c:pt>
                <c:pt idx="401">
                  <c:v>0.12496139953456147</c:v>
                </c:pt>
                <c:pt idx="402">
                  <c:v>7.228830290648261E-2</c:v>
                </c:pt>
                <c:pt idx="403">
                  <c:v>8.0457569977211624E-2</c:v>
                </c:pt>
                <c:pt idx="404">
                  <c:v>9.338543006534776E-2</c:v>
                </c:pt>
                <c:pt idx="405">
                  <c:v>2.1813353564657259E-2</c:v>
                </c:pt>
                <c:pt idx="406">
                  <c:v>1.6878053064163789E-2</c:v>
                </c:pt>
                <c:pt idx="407">
                  <c:v>2.9955101232222517E-3</c:v>
                </c:pt>
                <c:pt idx="408">
                  <c:v>-8.5104199659173624E-2</c:v>
                </c:pt>
                <c:pt idx="409">
                  <c:v>-0.11877472164148868</c:v>
                </c:pt>
                <c:pt idx="410">
                  <c:v>-9.5246789541099344E-2</c:v>
                </c:pt>
                <c:pt idx="411">
                  <c:v>-0.10126451007047099</c:v>
                </c:pt>
                <c:pt idx="412">
                  <c:v>-5.0289505049240638E-2</c:v>
                </c:pt>
                <c:pt idx="413">
                  <c:v>-6.4784812412977677E-2</c:v>
                </c:pt>
                <c:pt idx="414">
                  <c:v>-8.8591171525355422E-2</c:v>
                </c:pt>
                <c:pt idx="415">
                  <c:v>-0.10452583725516465</c:v>
                </c:pt>
                <c:pt idx="416">
                  <c:v>-0.13932029397297244</c:v>
                </c:pt>
                <c:pt idx="417">
                  <c:v>-0.14784018238744068</c:v>
                </c:pt>
                <c:pt idx="418">
                  <c:v>-0.15860766489525643</c:v>
                </c:pt>
                <c:pt idx="419">
                  <c:v>-0.1181712322952591</c:v>
                </c:pt>
                <c:pt idx="420">
                  <c:v>-0.11638063856989181</c:v>
                </c:pt>
                <c:pt idx="421">
                  <c:v>-0.13436770399796619</c:v>
                </c:pt>
                <c:pt idx="422">
                  <c:v>-0.14472733568945534</c:v>
                </c:pt>
                <c:pt idx="423">
                  <c:v>-0.15723644935234449</c:v>
                </c:pt>
                <c:pt idx="424">
                  <c:v>-0.14626880443102694</c:v>
                </c:pt>
                <c:pt idx="425">
                  <c:v>-0.11796394086883515</c:v>
                </c:pt>
                <c:pt idx="426">
                  <c:v>-6.6214915728712034E-2</c:v>
                </c:pt>
                <c:pt idx="427">
                  <c:v>-8.8600164662940406E-2</c:v>
                </c:pt>
                <c:pt idx="428">
                  <c:v>-8.6257112616683757E-2</c:v>
                </c:pt>
                <c:pt idx="429">
                  <c:v>-9.2535982779869644E-2</c:v>
                </c:pt>
                <c:pt idx="430">
                  <c:v>-8.7832053006749622E-2</c:v>
                </c:pt>
                <c:pt idx="431">
                  <c:v>-6.9957588602708454E-2</c:v>
                </c:pt>
                <c:pt idx="432">
                  <c:v>-7.4079617008121476E-2</c:v>
                </c:pt>
                <c:pt idx="433">
                  <c:v>-3.32741150257242E-2</c:v>
                </c:pt>
                <c:pt idx="434">
                  <c:v>-4.2998618145695024E-3</c:v>
                </c:pt>
                <c:pt idx="435">
                  <c:v>-6.0263257190845063E-3</c:v>
                </c:pt>
                <c:pt idx="436">
                  <c:v>-2.5046283091108776E-2</c:v>
                </c:pt>
                <c:pt idx="437">
                  <c:v>3.3408987100896972E-3</c:v>
                </c:pt>
                <c:pt idx="438">
                  <c:v>4.8030157313757829E-2</c:v>
                </c:pt>
                <c:pt idx="439">
                  <c:v>3.9406524643134405E-2</c:v>
                </c:pt>
                <c:pt idx="440">
                  <c:v>2.4608909564877719E-2</c:v>
                </c:pt>
                <c:pt idx="441">
                  <c:v>-2.0696505264525572E-2</c:v>
                </c:pt>
                <c:pt idx="442">
                  <c:v>2.6404211563995285E-2</c:v>
                </c:pt>
                <c:pt idx="443">
                  <c:v>1.8585127134085597E-2</c:v>
                </c:pt>
                <c:pt idx="444">
                  <c:v>-1.189336821232205E-2</c:v>
                </c:pt>
                <c:pt idx="445">
                  <c:v>6.40991725019259E-2</c:v>
                </c:pt>
                <c:pt idx="446">
                  <c:v>7.3378187411809959E-2</c:v>
                </c:pt>
                <c:pt idx="447">
                  <c:v>7.4145375433071564E-2</c:v>
                </c:pt>
                <c:pt idx="448">
                  <c:v>6.9975417904633117E-2</c:v>
                </c:pt>
                <c:pt idx="449">
                  <c:v>3.3805917341424269E-2</c:v>
                </c:pt>
                <c:pt idx="450">
                  <c:v>3.1520431965791344E-2</c:v>
                </c:pt>
                <c:pt idx="451">
                  <c:v>7.6823058763641344E-2</c:v>
                </c:pt>
                <c:pt idx="452">
                  <c:v>2.5120089770083037E-2</c:v>
                </c:pt>
                <c:pt idx="453">
                  <c:v>1.1239805923665067E-2</c:v>
                </c:pt>
                <c:pt idx="454">
                  <c:v>5.0141879207350179E-2</c:v>
                </c:pt>
                <c:pt idx="455">
                  <c:v>1.412135435940956E-2</c:v>
                </c:pt>
                <c:pt idx="456">
                  <c:v>-5.792788658029885E-3</c:v>
                </c:pt>
                <c:pt idx="457">
                  <c:v>-3.7147974641131953E-2</c:v>
                </c:pt>
                <c:pt idx="458">
                  <c:v>-2.4637331374624202E-2</c:v>
                </c:pt>
                <c:pt idx="459">
                  <c:v>2.1418601011971503E-2</c:v>
                </c:pt>
                <c:pt idx="460">
                  <c:v>-2.4289086065074142E-3</c:v>
                </c:pt>
                <c:pt idx="461">
                  <c:v>-1.4065134759889741E-2</c:v>
                </c:pt>
                <c:pt idx="462">
                  <c:v>-6.5466656854050176E-3</c:v>
                </c:pt>
                <c:pt idx="463">
                  <c:v>2.0566378638417621E-3</c:v>
                </c:pt>
                <c:pt idx="464">
                  <c:v>-3.7200818938516997E-2</c:v>
                </c:pt>
                <c:pt idx="465">
                  <c:v>-4.0589537243753304E-2</c:v>
                </c:pt>
                <c:pt idx="466">
                  <c:v>-2.8710606525646165E-2</c:v>
                </c:pt>
                <c:pt idx="467">
                  <c:v>-9.0299097555510549E-3</c:v>
                </c:pt>
                <c:pt idx="468">
                  <c:v>1.6543760637642291E-3</c:v>
                </c:pt>
                <c:pt idx="469">
                  <c:v>-8.6668298762656582E-3</c:v>
                </c:pt>
                <c:pt idx="470">
                  <c:v>1.1369020540893456E-2</c:v>
                </c:pt>
                <c:pt idx="471">
                  <c:v>3.1121687058969581E-2</c:v>
                </c:pt>
                <c:pt idx="472">
                  <c:v>3.5185956565172226E-2</c:v>
                </c:pt>
                <c:pt idx="473">
                  <c:v>2.9168156178053913E-2</c:v>
                </c:pt>
                <c:pt idx="474">
                  <c:v>6.198124062798193E-2</c:v>
                </c:pt>
                <c:pt idx="475">
                  <c:v>4.498687715613206E-2</c:v>
                </c:pt>
                <c:pt idx="476">
                  <c:v>3.0789275661765664E-2</c:v>
                </c:pt>
                <c:pt idx="477">
                  <c:v>3.3719899212564561E-2</c:v>
                </c:pt>
                <c:pt idx="478">
                  <c:v>2.2078811859797057E-2</c:v>
                </c:pt>
                <c:pt idx="479">
                  <c:v>5.4321588802674695E-3</c:v>
                </c:pt>
                <c:pt idx="480">
                  <c:v>2.5957589510283433E-2</c:v>
                </c:pt>
                <c:pt idx="481">
                  <c:v>1.8121066684350283E-2</c:v>
                </c:pt>
                <c:pt idx="482">
                  <c:v>3.5534535822351193E-3</c:v>
                </c:pt>
                <c:pt idx="483">
                  <c:v>1.7940591092519061E-2</c:v>
                </c:pt>
                <c:pt idx="484">
                  <c:v>1.2635402795665149E-2</c:v>
                </c:pt>
                <c:pt idx="485">
                  <c:v>1.3362493710342892E-2</c:v>
                </c:pt>
                <c:pt idx="486">
                  <c:v>6.5252596271719102E-2</c:v>
                </c:pt>
                <c:pt idx="487">
                  <c:v>6.2586807871271077E-2</c:v>
                </c:pt>
                <c:pt idx="488">
                  <c:v>4.1132353091847394E-2</c:v>
                </c:pt>
                <c:pt idx="489">
                  <c:v>7.2183703581096104E-2</c:v>
                </c:pt>
                <c:pt idx="490">
                  <c:v>7.6015205583344153E-2</c:v>
                </c:pt>
                <c:pt idx="491">
                  <c:v>6.6021441344967735E-2</c:v>
                </c:pt>
                <c:pt idx="492">
                  <c:v>8.1946269957757056E-2</c:v>
                </c:pt>
                <c:pt idx="493">
                  <c:v>7.6091557899298778E-2</c:v>
                </c:pt>
                <c:pt idx="494">
                  <c:v>2.7865282491167924E-2</c:v>
                </c:pt>
                <c:pt idx="495">
                  <c:v>1.7055939301142423E-2</c:v>
                </c:pt>
                <c:pt idx="496">
                  <c:v>-2.5732932104689847E-2</c:v>
                </c:pt>
                <c:pt idx="497">
                  <c:v>-2.0457250781530503E-2</c:v>
                </c:pt>
                <c:pt idx="498">
                  <c:v>-1.4838713076407023E-3</c:v>
                </c:pt>
                <c:pt idx="499">
                  <c:v>4.5169650318008563E-2</c:v>
                </c:pt>
                <c:pt idx="500">
                  <c:v>-0.27738129912495252</c:v>
                </c:pt>
                <c:pt idx="501">
                  <c:v>-0.27464688852772456</c:v>
                </c:pt>
                <c:pt idx="502">
                  <c:v>-0.28185545158670899</c:v>
                </c:pt>
                <c:pt idx="503">
                  <c:v>-0.2767372750382931</c:v>
                </c:pt>
                <c:pt idx="504">
                  <c:v>-0.24165295316122534</c:v>
                </c:pt>
                <c:pt idx="505">
                  <c:v>-0.21526207670039293</c:v>
                </c:pt>
                <c:pt idx="506">
                  <c:v>-0.23251156623803343</c:v>
                </c:pt>
                <c:pt idx="507">
                  <c:v>-0.22470701245048502</c:v>
                </c:pt>
                <c:pt idx="508">
                  <c:v>-0.25279756257836894</c:v>
                </c:pt>
                <c:pt idx="509">
                  <c:v>-0.2583644992691298</c:v>
                </c:pt>
                <c:pt idx="510">
                  <c:v>7.2307838665432667E-2</c:v>
                </c:pt>
                <c:pt idx="511">
                  <c:v>8.3449895467655646E-2</c:v>
                </c:pt>
                <c:pt idx="512">
                  <c:v>6.4842502158258347E-2</c:v>
                </c:pt>
                <c:pt idx="513">
                  <c:v>5.7826132070043536E-2</c:v>
                </c:pt>
                <c:pt idx="514">
                  <c:v>3.6303981476409349E-2</c:v>
                </c:pt>
                <c:pt idx="515">
                  <c:v>-2.0674634493537611E-3</c:v>
                </c:pt>
                <c:pt idx="516">
                  <c:v>1.3020087930321417E-2</c:v>
                </c:pt>
                <c:pt idx="517">
                  <c:v>-1.8561964219065814E-2</c:v>
                </c:pt>
                <c:pt idx="518">
                  <c:v>-1.1201722827451417E-2</c:v>
                </c:pt>
                <c:pt idx="519">
                  <c:v>-2.0450029333398859E-2</c:v>
                </c:pt>
                <c:pt idx="520">
                  <c:v>-2.3952357701323958E-2</c:v>
                </c:pt>
                <c:pt idx="521">
                  <c:v>-4.6126569397150409E-2</c:v>
                </c:pt>
                <c:pt idx="522">
                  <c:v>-3.607493043446084E-2</c:v>
                </c:pt>
                <c:pt idx="523">
                  <c:v>-5.2708040676564351E-2</c:v>
                </c:pt>
                <c:pt idx="524">
                  <c:v>-3.4957759327475704E-2</c:v>
                </c:pt>
                <c:pt idx="525">
                  <c:v>-1.4660117485413335E-2</c:v>
                </c:pt>
                <c:pt idx="526">
                  <c:v>-1.9314364140655023E-2</c:v>
                </c:pt>
                <c:pt idx="527">
                  <c:v>-7.329374579822804E-3</c:v>
                </c:pt>
                <c:pt idx="528">
                  <c:v>-2.4184460958687277E-2</c:v>
                </c:pt>
                <c:pt idx="529">
                  <c:v>-2.3940693804614919E-2</c:v>
                </c:pt>
                <c:pt idx="530">
                  <c:v>-4.1961131006422146E-2</c:v>
                </c:pt>
                <c:pt idx="531">
                  <c:v>-1.5989162028546923E-2</c:v>
                </c:pt>
                <c:pt idx="532">
                  <c:v>-2.4200859984825688E-2</c:v>
                </c:pt>
                <c:pt idx="533">
                  <c:v>-1.9163833485985122E-2</c:v>
                </c:pt>
                <c:pt idx="534">
                  <c:v>-2.0970989425241605E-2</c:v>
                </c:pt>
                <c:pt idx="535">
                  <c:v>-1.7573989343964064E-2</c:v>
                </c:pt>
                <c:pt idx="536">
                  <c:v>-1.2852081896183389E-2</c:v>
                </c:pt>
                <c:pt idx="537">
                  <c:v>-2.1406784884177129E-2</c:v>
                </c:pt>
                <c:pt idx="538">
                  <c:v>-1.6019176730394255E-2</c:v>
                </c:pt>
                <c:pt idx="539">
                  <c:v>-3.8737937443676443E-2</c:v>
                </c:pt>
                <c:pt idx="540">
                  <c:v>1.6152688095318044E-2</c:v>
                </c:pt>
                <c:pt idx="541">
                  <c:v>2.8787992509466884E-3</c:v>
                </c:pt>
                <c:pt idx="542">
                  <c:v>6.8588770247336242E-3</c:v>
                </c:pt>
                <c:pt idx="543">
                  <c:v>4.2054381372006081E-2</c:v>
                </c:pt>
                <c:pt idx="544">
                  <c:v>5.5734650829374177E-2</c:v>
                </c:pt>
                <c:pt idx="545">
                  <c:v>3.8274053660322722E-2</c:v>
                </c:pt>
                <c:pt idx="546">
                  <c:v>3.4273985459640069E-2</c:v>
                </c:pt>
                <c:pt idx="547">
                  <c:v>1.3537899985296621E-2</c:v>
                </c:pt>
                <c:pt idx="548">
                  <c:v>3.1909448510955528E-2</c:v>
                </c:pt>
                <c:pt idx="549">
                  <c:v>8.5732453001269873E-2</c:v>
                </c:pt>
                <c:pt idx="550">
                  <c:v>3.9000933629326003E-2</c:v>
                </c:pt>
                <c:pt idx="551">
                  <c:v>6.9316030817135388E-2</c:v>
                </c:pt>
                <c:pt idx="552">
                  <c:v>5.0939655083828222E-2</c:v>
                </c:pt>
                <c:pt idx="553">
                  <c:v>2.759642059704227E-2</c:v>
                </c:pt>
                <c:pt idx="554">
                  <c:v>2.3344934890280042E-2</c:v>
                </c:pt>
                <c:pt idx="555">
                  <c:v>3.299689343934329E-2</c:v>
                </c:pt>
                <c:pt idx="556">
                  <c:v>3.2021219668966372E-2</c:v>
                </c:pt>
                <c:pt idx="557">
                  <c:v>5.189431788161028E-2</c:v>
                </c:pt>
                <c:pt idx="558">
                  <c:v>7.4800288590415806E-2</c:v>
                </c:pt>
                <c:pt idx="559">
                  <c:v>3.43247724686737E-2</c:v>
                </c:pt>
                <c:pt idx="560">
                  <c:v>2.4598861201291605E-2</c:v>
                </c:pt>
                <c:pt idx="561">
                  <c:v>2.7630563069608573E-2</c:v>
                </c:pt>
                <c:pt idx="562">
                  <c:v>4.7382548162950872E-2</c:v>
                </c:pt>
                <c:pt idx="563">
                  <c:v>4.7407922100359615E-2</c:v>
                </c:pt>
                <c:pt idx="564">
                  <c:v>5.0682485811880812E-2</c:v>
                </c:pt>
                <c:pt idx="565">
                  <c:v>4.0191644361048898E-2</c:v>
                </c:pt>
                <c:pt idx="566">
                  <c:v>2.8237063715941549E-2</c:v>
                </c:pt>
                <c:pt idx="567">
                  <c:v>3.0137755787754544E-3</c:v>
                </c:pt>
                <c:pt idx="568">
                  <c:v>1.0061020072223981E-3</c:v>
                </c:pt>
                <c:pt idx="569">
                  <c:v>9.5125390932249143E-3</c:v>
                </c:pt>
                <c:pt idx="570">
                  <c:v>2.6541879982891009E-2</c:v>
                </c:pt>
                <c:pt idx="571">
                  <c:v>-7.7948393286212808E-3</c:v>
                </c:pt>
                <c:pt idx="572">
                  <c:v>-1.0359147669835062E-2</c:v>
                </c:pt>
                <c:pt idx="573">
                  <c:v>-7.4459315235144291E-3</c:v>
                </c:pt>
                <c:pt idx="574">
                  <c:v>1.8443635986390761E-2</c:v>
                </c:pt>
                <c:pt idx="575">
                  <c:v>3.9423473485110758E-2</c:v>
                </c:pt>
                <c:pt idx="576">
                  <c:v>4.2265383102454854E-2</c:v>
                </c:pt>
                <c:pt idx="577">
                  <c:v>7.661633901516951E-2</c:v>
                </c:pt>
                <c:pt idx="578">
                  <c:v>2.3222630995845584E-2</c:v>
                </c:pt>
                <c:pt idx="579">
                  <c:v>2.0134852046567855E-2</c:v>
                </c:pt>
                <c:pt idx="580">
                  <c:v>-1.5115774238134705E-3</c:v>
                </c:pt>
                <c:pt idx="581">
                  <c:v>1.6079886302734436E-2</c:v>
                </c:pt>
                <c:pt idx="582">
                  <c:v>3.2411415147362066E-2</c:v>
                </c:pt>
                <c:pt idx="583">
                  <c:v>-3.5643124136236284E-2</c:v>
                </c:pt>
                <c:pt idx="584">
                  <c:v>-6.9600191651963142E-2</c:v>
                </c:pt>
                <c:pt idx="585">
                  <c:v>-8.6595618657401105E-2</c:v>
                </c:pt>
                <c:pt idx="586">
                  <c:v>-9.0691839928174062E-2</c:v>
                </c:pt>
                <c:pt idx="587">
                  <c:v>-9.54902748130384E-2</c:v>
                </c:pt>
                <c:pt idx="588">
                  <c:v>-7.5294103197105555E-2</c:v>
                </c:pt>
                <c:pt idx="589">
                  <c:v>-8.0591085026051473E-2</c:v>
                </c:pt>
                <c:pt idx="590">
                  <c:v>-6.5039732858098373E-2</c:v>
                </c:pt>
                <c:pt idx="591">
                  <c:v>-6.5202158225142151E-2</c:v>
                </c:pt>
                <c:pt idx="592">
                  <c:v>-8.910368266745286E-2</c:v>
                </c:pt>
                <c:pt idx="593">
                  <c:v>-2.854273554671645E-2</c:v>
                </c:pt>
                <c:pt idx="594">
                  <c:v>-3.101980666469939E-2</c:v>
                </c:pt>
                <c:pt idx="595">
                  <c:v>-3.7160594354696291E-2</c:v>
                </c:pt>
                <c:pt idx="596">
                  <c:v>4.195101974850372E-3</c:v>
                </c:pt>
                <c:pt idx="597">
                  <c:v>-5.4962583026501683E-3</c:v>
                </c:pt>
                <c:pt idx="598">
                  <c:v>-1.3936258088439693E-2</c:v>
                </c:pt>
                <c:pt idx="599">
                  <c:v>-7.2572669151369368E-3</c:v>
                </c:pt>
                <c:pt idx="600">
                  <c:v>-4.448900155653232E-3</c:v>
                </c:pt>
                <c:pt idx="601">
                  <c:v>-1.1587621229899731E-2</c:v>
                </c:pt>
                <c:pt idx="602">
                  <c:v>7.2390482115759769E-3</c:v>
                </c:pt>
                <c:pt idx="603">
                  <c:v>2.6175733623845218E-2</c:v>
                </c:pt>
                <c:pt idx="604">
                  <c:v>2.5028318769512128E-2</c:v>
                </c:pt>
                <c:pt idx="605">
                  <c:v>1.6790982951597547E-2</c:v>
                </c:pt>
                <c:pt idx="606">
                  <c:v>6.1623095502908731E-3</c:v>
                </c:pt>
                <c:pt idx="607">
                  <c:v>-8.7704526401387248E-3</c:v>
                </c:pt>
                <c:pt idx="608">
                  <c:v>-7.3695485805017613E-3</c:v>
                </c:pt>
                <c:pt idx="609">
                  <c:v>-1.8941501183181012E-2</c:v>
                </c:pt>
                <c:pt idx="610">
                  <c:v>-3.720423037927547E-3</c:v>
                </c:pt>
                <c:pt idx="611">
                  <c:v>-3.0150615755631206E-2</c:v>
                </c:pt>
                <c:pt idx="612">
                  <c:v>-2.8573425128868131E-2</c:v>
                </c:pt>
                <c:pt idx="613">
                  <c:v>-3.8876037170235272E-2</c:v>
                </c:pt>
                <c:pt idx="614">
                  <c:v>-3.2362622116721314E-2</c:v>
                </c:pt>
                <c:pt idx="615">
                  <c:v>-2.9075405892278396E-2</c:v>
                </c:pt>
                <c:pt idx="616">
                  <c:v>-3.0549525514070079E-2</c:v>
                </c:pt>
                <c:pt idx="617">
                  <c:v>-2.2703714035557362E-2</c:v>
                </c:pt>
                <c:pt idx="618">
                  <c:v>-6.7448486072979328E-3</c:v>
                </c:pt>
                <c:pt idx="619">
                  <c:v>-5.047874495602768E-3</c:v>
                </c:pt>
                <c:pt idx="620">
                  <c:v>-2.7023425620525343E-2</c:v>
                </c:pt>
                <c:pt idx="621">
                  <c:v>-1.1213695378651939E-3</c:v>
                </c:pt>
                <c:pt idx="622">
                  <c:v>1.6970109162676911E-2</c:v>
                </c:pt>
                <c:pt idx="623">
                  <c:v>1.6238523449822469E-2</c:v>
                </c:pt>
                <c:pt idx="624">
                  <c:v>1.6496108962505182E-2</c:v>
                </c:pt>
                <c:pt idx="625">
                  <c:v>4.0310162913501271E-2</c:v>
                </c:pt>
                <c:pt idx="626">
                  <c:v>2.7496760320550356E-2</c:v>
                </c:pt>
                <c:pt idx="627">
                  <c:v>5.6973513553352159E-2</c:v>
                </c:pt>
                <c:pt idx="628">
                  <c:v>4.5507521513521262E-2</c:v>
                </c:pt>
                <c:pt idx="629">
                  <c:v>5.6572620242117018E-2</c:v>
                </c:pt>
                <c:pt idx="630">
                  <c:v>5.3349606344182017E-2</c:v>
                </c:pt>
                <c:pt idx="631">
                  <c:v>4.7103381244434035E-2</c:v>
                </c:pt>
                <c:pt idx="632">
                  <c:v>3.3508486032307015E-2</c:v>
                </c:pt>
                <c:pt idx="633">
                  <c:v>-0.10530186563493363</c:v>
                </c:pt>
                <c:pt idx="634">
                  <c:v>-8.1260851144502586E-2</c:v>
                </c:pt>
                <c:pt idx="635">
                  <c:v>-6.2115009200715762E-2</c:v>
                </c:pt>
                <c:pt idx="636">
                  <c:v>-3.9777042063460992E-2</c:v>
                </c:pt>
                <c:pt idx="637">
                  <c:v>-6.3395935831338041E-2</c:v>
                </c:pt>
                <c:pt idx="638">
                  <c:v>-6.3572006289290106E-2</c:v>
                </c:pt>
                <c:pt idx="639">
                  <c:v>-0.10140696262955111</c:v>
                </c:pt>
                <c:pt idx="640">
                  <c:v>-0.1052249453747534</c:v>
                </c:pt>
                <c:pt idx="641">
                  <c:v>-9.6909559955970906E-2</c:v>
                </c:pt>
                <c:pt idx="642">
                  <c:v>-0.11499864692689946</c:v>
                </c:pt>
                <c:pt idx="643">
                  <c:v>4.8544604148935688E-2</c:v>
                </c:pt>
                <c:pt idx="644">
                  <c:v>1.4806606709924985E-2</c:v>
                </c:pt>
                <c:pt idx="645">
                  <c:v>-1.0032002888625689E-2</c:v>
                </c:pt>
                <c:pt idx="646">
                  <c:v>-3.8344386913152353E-2</c:v>
                </c:pt>
                <c:pt idx="647">
                  <c:v>-6.2246676389495173E-2</c:v>
                </c:pt>
                <c:pt idx="648">
                  <c:v>-8.9051721396786229E-2</c:v>
                </c:pt>
                <c:pt idx="649">
                  <c:v>-7.6403189319791218E-2</c:v>
                </c:pt>
                <c:pt idx="650">
                  <c:v>-0.10697142791887961</c:v>
                </c:pt>
                <c:pt idx="651">
                  <c:v>-8.0927794028807634E-2</c:v>
                </c:pt>
                <c:pt idx="652">
                  <c:v>-4.8461958856830585E-2</c:v>
                </c:pt>
                <c:pt idx="653">
                  <c:v>-6.2192778851395222E-2</c:v>
                </c:pt>
                <c:pt idx="654">
                  <c:v>-5.4230527492963386E-2</c:v>
                </c:pt>
                <c:pt idx="655">
                  <c:v>-6.9586867466854815E-2</c:v>
                </c:pt>
                <c:pt idx="656">
                  <c:v>-6.6155529289797954E-2</c:v>
                </c:pt>
                <c:pt idx="657">
                  <c:v>-4.7498437818905614E-2</c:v>
                </c:pt>
                <c:pt idx="658">
                  <c:v>-1.3771564247572469E-2</c:v>
                </c:pt>
                <c:pt idx="659">
                  <c:v>2.4323218934332251E-2</c:v>
                </c:pt>
                <c:pt idx="660">
                  <c:v>6.3138704168800408E-2</c:v>
                </c:pt>
                <c:pt idx="661">
                  <c:v>5.6932772270942823E-2</c:v>
                </c:pt>
                <c:pt idx="662">
                  <c:v>-9.6315281729633211E-3</c:v>
                </c:pt>
                <c:pt idx="663">
                  <c:v>1.2677999440273331E-2</c:v>
                </c:pt>
                <c:pt idx="664">
                  <c:v>3.8685987367114705E-2</c:v>
                </c:pt>
                <c:pt idx="665">
                  <c:v>5.10516780439315E-2</c:v>
                </c:pt>
                <c:pt idx="666">
                  <c:v>5.9922532495460451E-2</c:v>
                </c:pt>
                <c:pt idx="667">
                  <c:v>5.5642426829486731E-2</c:v>
                </c:pt>
                <c:pt idx="668">
                  <c:v>5.9460087648292491E-2</c:v>
                </c:pt>
                <c:pt idx="669">
                  <c:v>6.4558572997886893E-2</c:v>
                </c:pt>
                <c:pt idx="670">
                  <c:v>5.4569158162728837E-2</c:v>
                </c:pt>
                <c:pt idx="671">
                  <c:v>3.9334725688312193E-2</c:v>
                </c:pt>
                <c:pt idx="672">
                  <c:v>0.12811568430027567</c:v>
                </c:pt>
                <c:pt idx="673">
                  <c:v>9.539555150017312E-2</c:v>
                </c:pt>
                <c:pt idx="674">
                  <c:v>9.1411069563233888E-2</c:v>
                </c:pt>
                <c:pt idx="675">
                  <c:v>0.14200627490207926</c:v>
                </c:pt>
                <c:pt idx="676">
                  <c:v>0.10318096048178496</c:v>
                </c:pt>
                <c:pt idx="677">
                  <c:v>7.9520751160147438E-2</c:v>
                </c:pt>
                <c:pt idx="678">
                  <c:v>4.1581850624568026E-2</c:v>
                </c:pt>
                <c:pt idx="679">
                  <c:v>9.0920192299434821E-2</c:v>
                </c:pt>
                <c:pt idx="680">
                  <c:v>0.13665214993704911</c:v>
                </c:pt>
                <c:pt idx="681">
                  <c:v>0.12096948895831922</c:v>
                </c:pt>
                <c:pt idx="682">
                  <c:v>6.7387538278848413E-2</c:v>
                </c:pt>
                <c:pt idx="683">
                  <c:v>6.7600598539727191E-2</c:v>
                </c:pt>
                <c:pt idx="684">
                  <c:v>3.4190306842978982E-2</c:v>
                </c:pt>
                <c:pt idx="685">
                  <c:v>1.5278350932098825E-3</c:v>
                </c:pt>
                <c:pt idx="686">
                  <c:v>4.1422966905248264E-2</c:v>
                </c:pt>
                <c:pt idx="687">
                  <c:v>5.8510437268639963E-2</c:v>
                </c:pt>
                <c:pt idx="688">
                  <c:v>0.10309993983598378</c:v>
                </c:pt>
                <c:pt idx="689">
                  <c:v>3.5687115349023885E-2</c:v>
                </c:pt>
                <c:pt idx="690">
                  <c:v>-3.8590715311603505E-4</c:v>
                </c:pt>
                <c:pt idx="691">
                  <c:v>-1.2145508168926577E-2</c:v>
                </c:pt>
                <c:pt idx="692">
                  <c:v>1.141029562322279E-2</c:v>
                </c:pt>
                <c:pt idx="693">
                  <c:v>1.0199319443744564E-2</c:v>
                </c:pt>
                <c:pt idx="694">
                  <c:v>5.3145205018343501E-2</c:v>
                </c:pt>
                <c:pt idx="695">
                  <c:v>-0.10816006792087718</c:v>
                </c:pt>
                <c:pt idx="696">
                  <c:v>-0.10240491936756776</c:v>
                </c:pt>
                <c:pt idx="697">
                  <c:v>-6.6649105637470993E-2</c:v>
                </c:pt>
                <c:pt idx="698">
                  <c:v>-9.214854534218514E-2</c:v>
                </c:pt>
                <c:pt idx="699">
                  <c:v>-0.1030531482804701</c:v>
                </c:pt>
                <c:pt idx="700">
                  <c:v>-9.0235701748301061E-2</c:v>
                </c:pt>
                <c:pt idx="701">
                  <c:v>-9.7295939332414413E-2</c:v>
                </c:pt>
                <c:pt idx="702">
                  <c:v>-9.1788891207564657E-2</c:v>
                </c:pt>
                <c:pt idx="703">
                  <c:v>-8.6340605049178051E-2</c:v>
                </c:pt>
                <c:pt idx="704">
                  <c:v>-0.11656748753471902</c:v>
                </c:pt>
                <c:pt idx="705">
                  <c:v>3.5912432348287379E-2</c:v>
                </c:pt>
                <c:pt idx="706">
                  <c:v>1.0687009668632742E-2</c:v>
                </c:pt>
                <c:pt idx="707">
                  <c:v>2.443044019203474E-2</c:v>
                </c:pt>
                <c:pt idx="708">
                  <c:v>3.6549417697236561E-2</c:v>
                </c:pt>
                <c:pt idx="709">
                  <c:v>4.6563649176496219E-2</c:v>
                </c:pt>
                <c:pt idx="710">
                  <c:v>1.2380676547410405E-2</c:v>
                </c:pt>
                <c:pt idx="711">
                  <c:v>5.3151699338303306E-2</c:v>
                </c:pt>
                <c:pt idx="712">
                  <c:v>3.4491843352561211E-2</c:v>
                </c:pt>
                <c:pt idx="713">
                  <c:v>5.1196629378674335E-2</c:v>
                </c:pt>
                <c:pt idx="714">
                  <c:v>1.755842225261485E-2</c:v>
                </c:pt>
                <c:pt idx="715">
                  <c:v>-2.2737979828981077E-2</c:v>
                </c:pt>
                <c:pt idx="716">
                  <c:v>-6.7069697069398845E-2</c:v>
                </c:pt>
                <c:pt idx="717">
                  <c:v>-0.11267206330652832</c:v>
                </c:pt>
                <c:pt idx="718">
                  <c:v>-0.11995353771450966</c:v>
                </c:pt>
                <c:pt idx="719">
                  <c:v>-0.12043441526544618</c:v>
                </c:pt>
                <c:pt idx="720">
                  <c:v>-8.6865942730117607E-2</c:v>
                </c:pt>
                <c:pt idx="721">
                  <c:v>-8.7050680648183526E-2</c:v>
                </c:pt>
                <c:pt idx="722">
                  <c:v>-6.2213092317431232E-2</c:v>
                </c:pt>
                <c:pt idx="723">
                  <c:v>-0.10994903633323616</c:v>
                </c:pt>
                <c:pt idx="724">
                  <c:v>-9.797288570493537E-2</c:v>
                </c:pt>
                <c:pt idx="725">
                  <c:v>-7.1219105025441765E-2</c:v>
                </c:pt>
                <c:pt idx="726">
                  <c:v>6.7857892838228961E-3</c:v>
                </c:pt>
                <c:pt idx="727">
                  <c:v>4.1599762360868903E-2</c:v>
                </c:pt>
                <c:pt idx="728">
                  <c:v>-9.6784461522097728E-3</c:v>
                </c:pt>
                <c:pt idx="729">
                  <c:v>-2.4323187098282621E-2</c:v>
                </c:pt>
                <c:pt idx="730">
                  <c:v>-9.8831389528090466E-2</c:v>
                </c:pt>
                <c:pt idx="731">
                  <c:v>-0.11487625044025948</c:v>
                </c:pt>
                <c:pt idx="732">
                  <c:v>-0.17021176356418866</c:v>
                </c:pt>
                <c:pt idx="733">
                  <c:v>-0.16400249823907007</c:v>
                </c:pt>
                <c:pt idx="734">
                  <c:v>-0.14345366645647833</c:v>
                </c:pt>
                <c:pt idx="735">
                  <c:v>-0.1406221797995264</c:v>
                </c:pt>
                <c:pt idx="736">
                  <c:v>-0.13810433437044731</c:v>
                </c:pt>
                <c:pt idx="737">
                  <c:v>-0.15101758947545135</c:v>
                </c:pt>
                <c:pt idx="738">
                  <c:v>-0.12681962083140455</c:v>
                </c:pt>
                <c:pt idx="739">
                  <c:v>-0.12035999827429512</c:v>
                </c:pt>
                <c:pt idx="740">
                  <c:v>-4.4070877327291508E-2</c:v>
                </c:pt>
                <c:pt idx="741">
                  <c:v>-3.9389306519982216E-2</c:v>
                </c:pt>
                <c:pt idx="742">
                  <c:v>7.3338190806811754E-3</c:v>
                </c:pt>
                <c:pt idx="743">
                  <c:v>5.5494482876516114E-2</c:v>
                </c:pt>
                <c:pt idx="744">
                  <c:v>6.4243810934759643E-2</c:v>
                </c:pt>
                <c:pt idx="745">
                  <c:v>5.3918971342972424E-2</c:v>
                </c:pt>
                <c:pt idx="746">
                  <c:v>2.5405329443620422E-2</c:v>
                </c:pt>
                <c:pt idx="747">
                  <c:v>1.921638821564662E-2</c:v>
                </c:pt>
                <c:pt idx="748">
                  <c:v>4.2887987481097033E-2</c:v>
                </c:pt>
                <c:pt idx="749">
                  <c:v>7.8447870323143334E-2</c:v>
                </c:pt>
                <c:pt idx="750">
                  <c:v>0.13663440400104859</c:v>
                </c:pt>
                <c:pt idx="751">
                  <c:v>0</c:v>
                </c:pt>
                <c:pt idx="7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F-45D3-AB74-045BC469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10272"/>
        <c:axId val="506315311"/>
      </c:lineChart>
      <c:dateAx>
        <c:axId val="14901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315311"/>
        <c:crosses val="autoZero"/>
        <c:auto val="1"/>
        <c:lblOffset val="100"/>
        <c:baseTimeUnit val="days"/>
      </c:dateAx>
      <c:valAx>
        <c:axId val="5063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_);\(0.0%\);\-\-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WCC!$D$21:$D$773</c:f>
              <c:numCache>
                <c:formatCode>m/d/yyyy</c:formatCode>
                <c:ptCount val="753"/>
                <c:pt idx="0">
                  <c:v>46078</c:v>
                </c:pt>
                <c:pt idx="1">
                  <c:v>46077</c:v>
                </c:pt>
                <c:pt idx="2">
                  <c:v>46076</c:v>
                </c:pt>
                <c:pt idx="3">
                  <c:v>46073</c:v>
                </c:pt>
                <c:pt idx="4">
                  <c:v>46072</c:v>
                </c:pt>
                <c:pt idx="5">
                  <c:v>46071</c:v>
                </c:pt>
                <c:pt idx="6">
                  <c:v>46070</c:v>
                </c:pt>
                <c:pt idx="7">
                  <c:v>46066</c:v>
                </c:pt>
                <c:pt idx="8">
                  <c:v>46065</c:v>
                </c:pt>
                <c:pt idx="9">
                  <c:v>46064</c:v>
                </c:pt>
                <c:pt idx="10">
                  <c:v>46063</c:v>
                </c:pt>
                <c:pt idx="11">
                  <c:v>46062</c:v>
                </c:pt>
                <c:pt idx="12">
                  <c:v>46059</c:v>
                </c:pt>
                <c:pt idx="13">
                  <c:v>46058</c:v>
                </c:pt>
                <c:pt idx="14">
                  <c:v>46057</c:v>
                </c:pt>
                <c:pt idx="15">
                  <c:v>46056</c:v>
                </c:pt>
                <c:pt idx="16">
                  <c:v>46055</c:v>
                </c:pt>
                <c:pt idx="17">
                  <c:v>46052</c:v>
                </c:pt>
                <c:pt idx="18">
                  <c:v>46051</c:v>
                </c:pt>
                <c:pt idx="19">
                  <c:v>46050</c:v>
                </c:pt>
                <c:pt idx="20">
                  <c:v>46049</c:v>
                </c:pt>
                <c:pt idx="21">
                  <c:v>46048</c:v>
                </c:pt>
                <c:pt idx="22">
                  <c:v>46045</c:v>
                </c:pt>
                <c:pt idx="23">
                  <c:v>46044</c:v>
                </c:pt>
                <c:pt idx="24">
                  <c:v>46043</c:v>
                </c:pt>
                <c:pt idx="25">
                  <c:v>46042</c:v>
                </c:pt>
                <c:pt idx="26">
                  <c:v>46038</c:v>
                </c:pt>
                <c:pt idx="27">
                  <c:v>46037</c:v>
                </c:pt>
                <c:pt idx="28">
                  <c:v>46036</c:v>
                </c:pt>
                <c:pt idx="29">
                  <c:v>46035</c:v>
                </c:pt>
                <c:pt idx="30">
                  <c:v>46034</c:v>
                </c:pt>
                <c:pt idx="31">
                  <c:v>46031</c:v>
                </c:pt>
                <c:pt idx="32">
                  <c:v>46030</c:v>
                </c:pt>
                <c:pt idx="33">
                  <c:v>46029</c:v>
                </c:pt>
                <c:pt idx="34">
                  <c:v>46028</c:v>
                </c:pt>
                <c:pt idx="35">
                  <c:v>46027</c:v>
                </c:pt>
                <c:pt idx="36">
                  <c:v>46024</c:v>
                </c:pt>
                <c:pt idx="37">
                  <c:v>46022</c:v>
                </c:pt>
                <c:pt idx="38">
                  <c:v>46021</c:v>
                </c:pt>
                <c:pt idx="39">
                  <c:v>46020</c:v>
                </c:pt>
                <c:pt idx="40">
                  <c:v>46017</c:v>
                </c:pt>
                <c:pt idx="41">
                  <c:v>46015</c:v>
                </c:pt>
                <c:pt idx="42">
                  <c:v>46014</c:v>
                </c:pt>
                <c:pt idx="43">
                  <c:v>46013</c:v>
                </c:pt>
                <c:pt idx="44">
                  <c:v>46010</c:v>
                </c:pt>
                <c:pt idx="45">
                  <c:v>46009</c:v>
                </c:pt>
                <c:pt idx="46">
                  <c:v>46008</c:v>
                </c:pt>
                <c:pt idx="47">
                  <c:v>46007</c:v>
                </c:pt>
                <c:pt idx="48">
                  <c:v>46006</c:v>
                </c:pt>
                <c:pt idx="49">
                  <c:v>46003</c:v>
                </c:pt>
                <c:pt idx="50">
                  <c:v>46002</c:v>
                </c:pt>
                <c:pt idx="51">
                  <c:v>46001</c:v>
                </c:pt>
                <c:pt idx="52">
                  <c:v>46000</c:v>
                </c:pt>
                <c:pt idx="53">
                  <c:v>45999</c:v>
                </c:pt>
                <c:pt idx="54">
                  <c:v>45996</c:v>
                </c:pt>
                <c:pt idx="55">
                  <c:v>45995</c:v>
                </c:pt>
                <c:pt idx="56">
                  <c:v>45994</c:v>
                </c:pt>
                <c:pt idx="57">
                  <c:v>45993</c:v>
                </c:pt>
                <c:pt idx="58">
                  <c:v>45992</c:v>
                </c:pt>
                <c:pt idx="59">
                  <c:v>45989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45966</c:v>
                </c:pt>
                <c:pt idx="76">
                  <c:v>45965</c:v>
                </c:pt>
                <c:pt idx="77">
                  <c:v>45964</c:v>
                </c:pt>
                <c:pt idx="78">
                  <c:v>45961</c:v>
                </c:pt>
                <c:pt idx="79">
                  <c:v>45960</c:v>
                </c:pt>
                <c:pt idx="80">
                  <c:v>45959</c:v>
                </c:pt>
                <c:pt idx="81">
                  <c:v>45958</c:v>
                </c:pt>
                <c:pt idx="82">
                  <c:v>45957</c:v>
                </c:pt>
                <c:pt idx="83">
                  <c:v>45954</c:v>
                </c:pt>
                <c:pt idx="84">
                  <c:v>45953</c:v>
                </c:pt>
                <c:pt idx="85">
                  <c:v>45952</c:v>
                </c:pt>
                <c:pt idx="86">
                  <c:v>45951</c:v>
                </c:pt>
                <c:pt idx="87">
                  <c:v>45950</c:v>
                </c:pt>
                <c:pt idx="88">
                  <c:v>45947</c:v>
                </c:pt>
                <c:pt idx="89">
                  <c:v>45946</c:v>
                </c:pt>
                <c:pt idx="90">
                  <c:v>45945</c:v>
                </c:pt>
                <c:pt idx="91">
                  <c:v>45944</c:v>
                </c:pt>
                <c:pt idx="92">
                  <c:v>45943</c:v>
                </c:pt>
                <c:pt idx="93">
                  <c:v>45940</c:v>
                </c:pt>
                <c:pt idx="94">
                  <c:v>45939</c:v>
                </c:pt>
                <c:pt idx="95">
                  <c:v>45938</c:v>
                </c:pt>
                <c:pt idx="96">
                  <c:v>45937</c:v>
                </c:pt>
                <c:pt idx="97">
                  <c:v>45936</c:v>
                </c:pt>
                <c:pt idx="98">
                  <c:v>45933</c:v>
                </c:pt>
                <c:pt idx="99">
                  <c:v>45932</c:v>
                </c:pt>
                <c:pt idx="100">
                  <c:v>45931</c:v>
                </c:pt>
                <c:pt idx="101">
                  <c:v>45930</c:v>
                </c:pt>
                <c:pt idx="102">
                  <c:v>45929</c:v>
                </c:pt>
                <c:pt idx="103">
                  <c:v>45926</c:v>
                </c:pt>
                <c:pt idx="104">
                  <c:v>45925</c:v>
                </c:pt>
                <c:pt idx="105">
                  <c:v>45924</c:v>
                </c:pt>
                <c:pt idx="106">
                  <c:v>45923</c:v>
                </c:pt>
                <c:pt idx="107">
                  <c:v>45922</c:v>
                </c:pt>
                <c:pt idx="108">
                  <c:v>45919</c:v>
                </c:pt>
                <c:pt idx="109">
                  <c:v>45918</c:v>
                </c:pt>
                <c:pt idx="110">
                  <c:v>45917</c:v>
                </c:pt>
                <c:pt idx="111">
                  <c:v>45916</c:v>
                </c:pt>
                <c:pt idx="112">
                  <c:v>45915</c:v>
                </c:pt>
                <c:pt idx="113">
                  <c:v>45912</c:v>
                </c:pt>
                <c:pt idx="114">
                  <c:v>45911</c:v>
                </c:pt>
                <c:pt idx="115">
                  <c:v>45910</c:v>
                </c:pt>
                <c:pt idx="116">
                  <c:v>45909</c:v>
                </c:pt>
                <c:pt idx="117">
                  <c:v>45908</c:v>
                </c:pt>
                <c:pt idx="118">
                  <c:v>45905</c:v>
                </c:pt>
                <c:pt idx="119">
                  <c:v>45904</c:v>
                </c:pt>
                <c:pt idx="120">
                  <c:v>45903</c:v>
                </c:pt>
                <c:pt idx="121">
                  <c:v>45902</c:v>
                </c:pt>
                <c:pt idx="122">
                  <c:v>45898</c:v>
                </c:pt>
                <c:pt idx="123">
                  <c:v>45897</c:v>
                </c:pt>
                <c:pt idx="124">
                  <c:v>45896</c:v>
                </c:pt>
                <c:pt idx="125">
                  <c:v>45895</c:v>
                </c:pt>
                <c:pt idx="126">
                  <c:v>45894</c:v>
                </c:pt>
                <c:pt idx="127">
                  <c:v>45891</c:v>
                </c:pt>
                <c:pt idx="128">
                  <c:v>45890</c:v>
                </c:pt>
                <c:pt idx="129">
                  <c:v>45889</c:v>
                </c:pt>
                <c:pt idx="130">
                  <c:v>45888</c:v>
                </c:pt>
                <c:pt idx="131">
                  <c:v>45887</c:v>
                </c:pt>
                <c:pt idx="132">
                  <c:v>45884</c:v>
                </c:pt>
                <c:pt idx="133">
                  <c:v>45883</c:v>
                </c:pt>
                <c:pt idx="134">
                  <c:v>45882</c:v>
                </c:pt>
                <c:pt idx="135">
                  <c:v>45881</c:v>
                </c:pt>
                <c:pt idx="136">
                  <c:v>45880</c:v>
                </c:pt>
                <c:pt idx="137">
                  <c:v>45877</c:v>
                </c:pt>
                <c:pt idx="138">
                  <c:v>45876</c:v>
                </c:pt>
                <c:pt idx="139">
                  <c:v>45875</c:v>
                </c:pt>
                <c:pt idx="140">
                  <c:v>45874</c:v>
                </c:pt>
                <c:pt idx="141">
                  <c:v>45873</c:v>
                </c:pt>
                <c:pt idx="142">
                  <c:v>45870</c:v>
                </c:pt>
                <c:pt idx="143">
                  <c:v>45869</c:v>
                </c:pt>
                <c:pt idx="144">
                  <c:v>45868</c:v>
                </c:pt>
                <c:pt idx="145">
                  <c:v>45867</c:v>
                </c:pt>
                <c:pt idx="146">
                  <c:v>45866</c:v>
                </c:pt>
                <c:pt idx="147">
                  <c:v>45863</c:v>
                </c:pt>
                <c:pt idx="148">
                  <c:v>45862</c:v>
                </c:pt>
                <c:pt idx="149">
                  <c:v>45861</c:v>
                </c:pt>
                <c:pt idx="150">
                  <c:v>45860</c:v>
                </c:pt>
                <c:pt idx="151">
                  <c:v>45859</c:v>
                </c:pt>
                <c:pt idx="152">
                  <c:v>45856</c:v>
                </c:pt>
                <c:pt idx="153">
                  <c:v>45855</c:v>
                </c:pt>
                <c:pt idx="154">
                  <c:v>45854</c:v>
                </c:pt>
                <c:pt idx="155">
                  <c:v>45853</c:v>
                </c:pt>
                <c:pt idx="156">
                  <c:v>45852</c:v>
                </c:pt>
                <c:pt idx="157">
                  <c:v>45849</c:v>
                </c:pt>
                <c:pt idx="158">
                  <c:v>45848</c:v>
                </c:pt>
                <c:pt idx="159">
                  <c:v>45847</c:v>
                </c:pt>
                <c:pt idx="160">
                  <c:v>45846</c:v>
                </c:pt>
                <c:pt idx="161">
                  <c:v>45845</c:v>
                </c:pt>
                <c:pt idx="162">
                  <c:v>45841</c:v>
                </c:pt>
                <c:pt idx="163">
                  <c:v>45840</c:v>
                </c:pt>
                <c:pt idx="164">
                  <c:v>45839</c:v>
                </c:pt>
                <c:pt idx="165">
                  <c:v>45838</c:v>
                </c:pt>
                <c:pt idx="166">
                  <c:v>45835</c:v>
                </c:pt>
                <c:pt idx="167">
                  <c:v>45834</c:v>
                </c:pt>
                <c:pt idx="168">
                  <c:v>45833</c:v>
                </c:pt>
                <c:pt idx="169">
                  <c:v>45832</c:v>
                </c:pt>
                <c:pt idx="170">
                  <c:v>45831</c:v>
                </c:pt>
                <c:pt idx="171">
                  <c:v>45828</c:v>
                </c:pt>
                <c:pt idx="172">
                  <c:v>45826</c:v>
                </c:pt>
                <c:pt idx="173">
                  <c:v>45825</c:v>
                </c:pt>
                <c:pt idx="174">
                  <c:v>45824</c:v>
                </c:pt>
                <c:pt idx="175">
                  <c:v>45821</c:v>
                </c:pt>
                <c:pt idx="176">
                  <c:v>45820</c:v>
                </c:pt>
                <c:pt idx="177">
                  <c:v>45819</c:v>
                </c:pt>
                <c:pt idx="178">
                  <c:v>45818</c:v>
                </c:pt>
                <c:pt idx="179">
                  <c:v>45817</c:v>
                </c:pt>
                <c:pt idx="180">
                  <c:v>45814</c:v>
                </c:pt>
                <c:pt idx="181">
                  <c:v>45813</c:v>
                </c:pt>
                <c:pt idx="182">
                  <c:v>45812</c:v>
                </c:pt>
                <c:pt idx="183">
                  <c:v>45811</c:v>
                </c:pt>
                <c:pt idx="184">
                  <c:v>45810</c:v>
                </c:pt>
                <c:pt idx="185">
                  <c:v>45807</c:v>
                </c:pt>
                <c:pt idx="186">
                  <c:v>45806</c:v>
                </c:pt>
                <c:pt idx="187">
                  <c:v>45805</c:v>
                </c:pt>
                <c:pt idx="188">
                  <c:v>45804</c:v>
                </c:pt>
                <c:pt idx="189">
                  <c:v>45800</c:v>
                </c:pt>
                <c:pt idx="190">
                  <c:v>45799</c:v>
                </c:pt>
                <c:pt idx="191">
                  <c:v>45798</c:v>
                </c:pt>
                <c:pt idx="192">
                  <c:v>45797</c:v>
                </c:pt>
                <c:pt idx="193">
                  <c:v>45796</c:v>
                </c:pt>
                <c:pt idx="194">
                  <c:v>45793</c:v>
                </c:pt>
                <c:pt idx="195">
                  <c:v>45792</c:v>
                </c:pt>
                <c:pt idx="196">
                  <c:v>45791</c:v>
                </c:pt>
                <c:pt idx="197">
                  <c:v>45790</c:v>
                </c:pt>
                <c:pt idx="198">
                  <c:v>45789</c:v>
                </c:pt>
                <c:pt idx="199">
                  <c:v>45786</c:v>
                </c:pt>
                <c:pt idx="200">
                  <c:v>45785</c:v>
                </c:pt>
                <c:pt idx="201">
                  <c:v>45784</c:v>
                </c:pt>
                <c:pt idx="202">
                  <c:v>45783</c:v>
                </c:pt>
                <c:pt idx="203">
                  <c:v>45782</c:v>
                </c:pt>
                <c:pt idx="204">
                  <c:v>45779</c:v>
                </c:pt>
                <c:pt idx="205">
                  <c:v>45778</c:v>
                </c:pt>
                <c:pt idx="206">
                  <c:v>45777</c:v>
                </c:pt>
                <c:pt idx="207">
                  <c:v>45776</c:v>
                </c:pt>
                <c:pt idx="208">
                  <c:v>45775</c:v>
                </c:pt>
                <c:pt idx="209">
                  <c:v>45772</c:v>
                </c:pt>
                <c:pt idx="210">
                  <c:v>45771</c:v>
                </c:pt>
                <c:pt idx="211">
                  <c:v>45770</c:v>
                </c:pt>
                <c:pt idx="212">
                  <c:v>45769</c:v>
                </c:pt>
                <c:pt idx="213">
                  <c:v>45768</c:v>
                </c:pt>
                <c:pt idx="214">
                  <c:v>45764</c:v>
                </c:pt>
                <c:pt idx="215">
                  <c:v>45763</c:v>
                </c:pt>
                <c:pt idx="216">
                  <c:v>45762</c:v>
                </c:pt>
                <c:pt idx="217">
                  <c:v>45761</c:v>
                </c:pt>
                <c:pt idx="218">
                  <c:v>45758</c:v>
                </c:pt>
                <c:pt idx="219">
                  <c:v>45757</c:v>
                </c:pt>
                <c:pt idx="220">
                  <c:v>45756</c:v>
                </c:pt>
                <c:pt idx="221">
                  <c:v>45755</c:v>
                </c:pt>
                <c:pt idx="222">
                  <c:v>45754</c:v>
                </c:pt>
                <c:pt idx="223">
                  <c:v>45751</c:v>
                </c:pt>
                <c:pt idx="224">
                  <c:v>45750</c:v>
                </c:pt>
                <c:pt idx="225">
                  <c:v>45749</c:v>
                </c:pt>
                <c:pt idx="226">
                  <c:v>45748</c:v>
                </c:pt>
                <c:pt idx="227">
                  <c:v>45747</c:v>
                </c:pt>
                <c:pt idx="228">
                  <c:v>45744</c:v>
                </c:pt>
                <c:pt idx="229">
                  <c:v>45743</c:v>
                </c:pt>
                <c:pt idx="230">
                  <c:v>45742</c:v>
                </c:pt>
                <c:pt idx="231">
                  <c:v>45741</c:v>
                </c:pt>
                <c:pt idx="232">
                  <c:v>45740</c:v>
                </c:pt>
                <c:pt idx="233">
                  <c:v>45737</c:v>
                </c:pt>
                <c:pt idx="234">
                  <c:v>45736</c:v>
                </c:pt>
                <c:pt idx="235">
                  <c:v>45735</c:v>
                </c:pt>
                <c:pt idx="236">
                  <c:v>45734</c:v>
                </c:pt>
                <c:pt idx="237">
                  <c:v>45733</c:v>
                </c:pt>
                <c:pt idx="238">
                  <c:v>45730</c:v>
                </c:pt>
                <c:pt idx="239">
                  <c:v>45729</c:v>
                </c:pt>
                <c:pt idx="240">
                  <c:v>45728</c:v>
                </c:pt>
                <c:pt idx="241">
                  <c:v>45727</c:v>
                </c:pt>
                <c:pt idx="242">
                  <c:v>45726</c:v>
                </c:pt>
                <c:pt idx="243">
                  <c:v>45723</c:v>
                </c:pt>
                <c:pt idx="244">
                  <c:v>45722</c:v>
                </c:pt>
                <c:pt idx="245">
                  <c:v>45721</c:v>
                </c:pt>
                <c:pt idx="246">
                  <c:v>45720</c:v>
                </c:pt>
                <c:pt idx="247">
                  <c:v>45719</c:v>
                </c:pt>
                <c:pt idx="248">
                  <c:v>45716</c:v>
                </c:pt>
                <c:pt idx="249">
                  <c:v>45715</c:v>
                </c:pt>
                <c:pt idx="250">
                  <c:v>45714</c:v>
                </c:pt>
                <c:pt idx="251">
                  <c:v>45713</c:v>
                </c:pt>
                <c:pt idx="252">
                  <c:v>45712</c:v>
                </c:pt>
                <c:pt idx="253">
                  <c:v>45709</c:v>
                </c:pt>
                <c:pt idx="254">
                  <c:v>45708</c:v>
                </c:pt>
                <c:pt idx="255">
                  <c:v>45707</c:v>
                </c:pt>
                <c:pt idx="256">
                  <c:v>45706</c:v>
                </c:pt>
                <c:pt idx="257">
                  <c:v>45702</c:v>
                </c:pt>
                <c:pt idx="258">
                  <c:v>45701</c:v>
                </c:pt>
                <c:pt idx="259">
                  <c:v>45700</c:v>
                </c:pt>
                <c:pt idx="260">
                  <c:v>45699</c:v>
                </c:pt>
                <c:pt idx="261">
                  <c:v>45698</c:v>
                </c:pt>
                <c:pt idx="262">
                  <c:v>45695</c:v>
                </c:pt>
                <c:pt idx="263">
                  <c:v>45694</c:v>
                </c:pt>
                <c:pt idx="264">
                  <c:v>45693</c:v>
                </c:pt>
                <c:pt idx="265">
                  <c:v>45692</c:v>
                </c:pt>
                <c:pt idx="266">
                  <c:v>45691</c:v>
                </c:pt>
                <c:pt idx="267">
                  <c:v>45688</c:v>
                </c:pt>
                <c:pt idx="268">
                  <c:v>45687</c:v>
                </c:pt>
                <c:pt idx="269">
                  <c:v>45686</c:v>
                </c:pt>
                <c:pt idx="270">
                  <c:v>45685</c:v>
                </c:pt>
                <c:pt idx="271">
                  <c:v>45684</c:v>
                </c:pt>
                <c:pt idx="272">
                  <c:v>45681</c:v>
                </c:pt>
                <c:pt idx="273">
                  <c:v>45680</c:v>
                </c:pt>
                <c:pt idx="274">
                  <c:v>45679</c:v>
                </c:pt>
                <c:pt idx="275">
                  <c:v>45678</c:v>
                </c:pt>
                <c:pt idx="276">
                  <c:v>45674</c:v>
                </c:pt>
                <c:pt idx="277">
                  <c:v>45673</c:v>
                </c:pt>
                <c:pt idx="278">
                  <c:v>45672</c:v>
                </c:pt>
                <c:pt idx="279">
                  <c:v>45671</c:v>
                </c:pt>
                <c:pt idx="280">
                  <c:v>45670</c:v>
                </c:pt>
                <c:pt idx="281">
                  <c:v>45667</c:v>
                </c:pt>
                <c:pt idx="282">
                  <c:v>45665</c:v>
                </c:pt>
                <c:pt idx="283">
                  <c:v>45664</c:v>
                </c:pt>
                <c:pt idx="284">
                  <c:v>45663</c:v>
                </c:pt>
                <c:pt idx="285">
                  <c:v>45660</c:v>
                </c:pt>
                <c:pt idx="286">
                  <c:v>45659</c:v>
                </c:pt>
                <c:pt idx="287">
                  <c:v>45657</c:v>
                </c:pt>
                <c:pt idx="288">
                  <c:v>45656</c:v>
                </c:pt>
                <c:pt idx="289">
                  <c:v>45653</c:v>
                </c:pt>
                <c:pt idx="290">
                  <c:v>45652</c:v>
                </c:pt>
                <c:pt idx="291">
                  <c:v>45650</c:v>
                </c:pt>
                <c:pt idx="292">
                  <c:v>45649</c:v>
                </c:pt>
                <c:pt idx="293">
                  <c:v>45646</c:v>
                </c:pt>
                <c:pt idx="294">
                  <c:v>45645</c:v>
                </c:pt>
                <c:pt idx="295">
                  <c:v>45644</c:v>
                </c:pt>
                <c:pt idx="296">
                  <c:v>45643</c:v>
                </c:pt>
                <c:pt idx="297">
                  <c:v>45642</c:v>
                </c:pt>
                <c:pt idx="298">
                  <c:v>45639</c:v>
                </c:pt>
                <c:pt idx="299">
                  <c:v>45638</c:v>
                </c:pt>
                <c:pt idx="300">
                  <c:v>45637</c:v>
                </c:pt>
                <c:pt idx="301">
                  <c:v>45636</c:v>
                </c:pt>
                <c:pt idx="302">
                  <c:v>45635</c:v>
                </c:pt>
                <c:pt idx="303">
                  <c:v>45632</c:v>
                </c:pt>
                <c:pt idx="304">
                  <c:v>45631</c:v>
                </c:pt>
                <c:pt idx="305">
                  <c:v>45630</c:v>
                </c:pt>
                <c:pt idx="306">
                  <c:v>45629</c:v>
                </c:pt>
                <c:pt idx="307">
                  <c:v>45628</c:v>
                </c:pt>
                <c:pt idx="308">
                  <c:v>45625</c:v>
                </c:pt>
                <c:pt idx="309">
                  <c:v>45623</c:v>
                </c:pt>
                <c:pt idx="310">
                  <c:v>45622</c:v>
                </c:pt>
                <c:pt idx="311">
                  <c:v>45621</c:v>
                </c:pt>
                <c:pt idx="312">
                  <c:v>45618</c:v>
                </c:pt>
                <c:pt idx="313">
                  <c:v>45617</c:v>
                </c:pt>
                <c:pt idx="314">
                  <c:v>45616</c:v>
                </c:pt>
                <c:pt idx="315">
                  <c:v>45615</c:v>
                </c:pt>
                <c:pt idx="316">
                  <c:v>45614</c:v>
                </c:pt>
                <c:pt idx="317">
                  <c:v>45611</c:v>
                </c:pt>
                <c:pt idx="318">
                  <c:v>45610</c:v>
                </c:pt>
                <c:pt idx="319">
                  <c:v>45609</c:v>
                </c:pt>
                <c:pt idx="320">
                  <c:v>45608</c:v>
                </c:pt>
                <c:pt idx="321">
                  <c:v>45607</c:v>
                </c:pt>
                <c:pt idx="322">
                  <c:v>45604</c:v>
                </c:pt>
                <c:pt idx="323">
                  <c:v>45603</c:v>
                </c:pt>
                <c:pt idx="324">
                  <c:v>45602</c:v>
                </c:pt>
                <c:pt idx="325">
                  <c:v>45601</c:v>
                </c:pt>
                <c:pt idx="326">
                  <c:v>45600</c:v>
                </c:pt>
                <c:pt idx="327">
                  <c:v>45597</c:v>
                </c:pt>
                <c:pt idx="328">
                  <c:v>45596</c:v>
                </c:pt>
                <c:pt idx="329">
                  <c:v>45595</c:v>
                </c:pt>
                <c:pt idx="330">
                  <c:v>45594</c:v>
                </c:pt>
                <c:pt idx="331">
                  <c:v>45593</c:v>
                </c:pt>
                <c:pt idx="332">
                  <c:v>45590</c:v>
                </c:pt>
                <c:pt idx="333">
                  <c:v>45589</c:v>
                </c:pt>
                <c:pt idx="334">
                  <c:v>45588</c:v>
                </c:pt>
                <c:pt idx="335">
                  <c:v>45587</c:v>
                </c:pt>
                <c:pt idx="336">
                  <c:v>45586</c:v>
                </c:pt>
                <c:pt idx="337">
                  <c:v>45583</c:v>
                </c:pt>
                <c:pt idx="338">
                  <c:v>45582</c:v>
                </c:pt>
                <c:pt idx="339">
                  <c:v>45581</c:v>
                </c:pt>
                <c:pt idx="340">
                  <c:v>45580</c:v>
                </c:pt>
                <c:pt idx="341">
                  <c:v>45579</c:v>
                </c:pt>
                <c:pt idx="342">
                  <c:v>45576</c:v>
                </c:pt>
                <c:pt idx="343">
                  <c:v>45575</c:v>
                </c:pt>
                <c:pt idx="344">
                  <c:v>45574</c:v>
                </c:pt>
                <c:pt idx="345">
                  <c:v>45573</c:v>
                </c:pt>
                <c:pt idx="346">
                  <c:v>45572</c:v>
                </c:pt>
                <c:pt idx="347">
                  <c:v>45569</c:v>
                </c:pt>
                <c:pt idx="348">
                  <c:v>45568</c:v>
                </c:pt>
                <c:pt idx="349">
                  <c:v>45567</c:v>
                </c:pt>
                <c:pt idx="350">
                  <c:v>45566</c:v>
                </c:pt>
                <c:pt idx="351">
                  <c:v>45565</c:v>
                </c:pt>
                <c:pt idx="352">
                  <c:v>45562</c:v>
                </c:pt>
                <c:pt idx="353">
                  <c:v>45561</c:v>
                </c:pt>
                <c:pt idx="354">
                  <c:v>45560</c:v>
                </c:pt>
                <c:pt idx="355">
                  <c:v>45559</c:v>
                </c:pt>
                <c:pt idx="356">
                  <c:v>45558</c:v>
                </c:pt>
                <c:pt idx="357">
                  <c:v>45555</c:v>
                </c:pt>
                <c:pt idx="358">
                  <c:v>45554</c:v>
                </c:pt>
                <c:pt idx="359">
                  <c:v>45553</c:v>
                </c:pt>
                <c:pt idx="360">
                  <c:v>45552</c:v>
                </c:pt>
                <c:pt idx="361">
                  <c:v>45551</c:v>
                </c:pt>
                <c:pt idx="362">
                  <c:v>45548</c:v>
                </c:pt>
                <c:pt idx="363">
                  <c:v>45547</c:v>
                </c:pt>
                <c:pt idx="364">
                  <c:v>45546</c:v>
                </c:pt>
                <c:pt idx="365">
                  <c:v>45545</c:v>
                </c:pt>
                <c:pt idx="366">
                  <c:v>45544</c:v>
                </c:pt>
                <c:pt idx="367">
                  <c:v>45541</c:v>
                </c:pt>
                <c:pt idx="368">
                  <c:v>45540</c:v>
                </c:pt>
                <c:pt idx="369">
                  <c:v>45539</c:v>
                </c:pt>
                <c:pt idx="370">
                  <c:v>45538</c:v>
                </c:pt>
                <c:pt idx="371">
                  <c:v>45534</c:v>
                </c:pt>
                <c:pt idx="372">
                  <c:v>45533</c:v>
                </c:pt>
                <c:pt idx="373">
                  <c:v>45532</c:v>
                </c:pt>
                <c:pt idx="374">
                  <c:v>45531</c:v>
                </c:pt>
                <c:pt idx="375">
                  <c:v>45530</c:v>
                </c:pt>
                <c:pt idx="376">
                  <c:v>45527</c:v>
                </c:pt>
                <c:pt idx="377">
                  <c:v>45526</c:v>
                </c:pt>
                <c:pt idx="378">
                  <c:v>45525</c:v>
                </c:pt>
                <c:pt idx="379">
                  <c:v>45524</c:v>
                </c:pt>
                <c:pt idx="380">
                  <c:v>45523</c:v>
                </c:pt>
                <c:pt idx="381">
                  <c:v>45520</c:v>
                </c:pt>
                <c:pt idx="382">
                  <c:v>45519</c:v>
                </c:pt>
                <c:pt idx="383">
                  <c:v>45518</c:v>
                </c:pt>
                <c:pt idx="384">
                  <c:v>45517</c:v>
                </c:pt>
                <c:pt idx="385">
                  <c:v>45516</c:v>
                </c:pt>
                <c:pt idx="386">
                  <c:v>45513</c:v>
                </c:pt>
                <c:pt idx="387">
                  <c:v>45512</c:v>
                </c:pt>
                <c:pt idx="388">
                  <c:v>45511</c:v>
                </c:pt>
                <c:pt idx="389">
                  <c:v>45510</c:v>
                </c:pt>
                <c:pt idx="390">
                  <c:v>45509</c:v>
                </c:pt>
                <c:pt idx="391">
                  <c:v>45506</c:v>
                </c:pt>
                <c:pt idx="392">
                  <c:v>45505</c:v>
                </c:pt>
                <c:pt idx="393">
                  <c:v>45504</c:v>
                </c:pt>
                <c:pt idx="394">
                  <c:v>45503</c:v>
                </c:pt>
                <c:pt idx="395">
                  <c:v>45502</c:v>
                </c:pt>
                <c:pt idx="396">
                  <c:v>45499</c:v>
                </c:pt>
                <c:pt idx="397">
                  <c:v>45498</c:v>
                </c:pt>
                <c:pt idx="398">
                  <c:v>45497</c:v>
                </c:pt>
                <c:pt idx="399">
                  <c:v>45496</c:v>
                </c:pt>
                <c:pt idx="400">
                  <c:v>45495</c:v>
                </c:pt>
                <c:pt idx="401">
                  <c:v>45492</c:v>
                </c:pt>
                <c:pt idx="402">
                  <c:v>45491</c:v>
                </c:pt>
                <c:pt idx="403">
                  <c:v>45490</c:v>
                </c:pt>
                <c:pt idx="404">
                  <c:v>45489</c:v>
                </c:pt>
                <c:pt idx="405">
                  <c:v>45488</c:v>
                </c:pt>
                <c:pt idx="406">
                  <c:v>45485</c:v>
                </c:pt>
                <c:pt idx="407">
                  <c:v>45484</c:v>
                </c:pt>
                <c:pt idx="408">
                  <c:v>45483</c:v>
                </c:pt>
                <c:pt idx="409">
                  <c:v>45482</c:v>
                </c:pt>
                <c:pt idx="410">
                  <c:v>45481</c:v>
                </c:pt>
                <c:pt idx="411">
                  <c:v>45478</c:v>
                </c:pt>
                <c:pt idx="412">
                  <c:v>45476</c:v>
                </c:pt>
                <c:pt idx="413">
                  <c:v>45475</c:v>
                </c:pt>
                <c:pt idx="414">
                  <c:v>45474</c:v>
                </c:pt>
                <c:pt idx="415">
                  <c:v>45471</c:v>
                </c:pt>
                <c:pt idx="416">
                  <c:v>45470</c:v>
                </c:pt>
                <c:pt idx="417">
                  <c:v>45469</c:v>
                </c:pt>
                <c:pt idx="418">
                  <c:v>45468</c:v>
                </c:pt>
                <c:pt idx="419">
                  <c:v>45467</c:v>
                </c:pt>
                <c:pt idx="420">
                  <c:v>45464</c:v>
                </c:pt>
                <c:pt idx="421">
                  <c:v>45463</c:v>
                </c:pt>
                <c:pt idx="422">
                  <c:v>45461</c:v>
                </c:pt>
                <c:pt idx="423">
                  <c:v>45460</c:v>
                </c:pt>
                <c:pt idx="424">
                  <c:v>45457</c:v>
                </c:pt>
                <c:pt idx="425">
                  <c:v>45456</c:v>
                </c:pt>
                <c:pt idx="426">
                  <c:v>45455</c:v>
                </c:pt>
                <c:pt idx="427">
                  <c:v>45454</c:v>
                </c:pt>
                <c:pt idx="428">
                  <c:v>45453</c:v>
                </c:pt>
                <c:pt idx="429">
                  <c:v>45450</c:v>
                </c:pt>
                <c:pt idx="430">
                  <c:v>45449</c:v>
                </c:pt>
                <c:pt idx="431">
                  <c:v>45448</c:v>
                </c:pt>
                <c:pt idx="432">
                  <c:v>45447</c:v>
                </c:pt>
                <c:pt idx="433">
                  <c:v>45446</c:v>
                </c:pt>
                <c:pt idx="434">
                  <c:v>45443</c:v>
                </c:pt>
                <c:pt idx="435">
                  <c:v>45442</c:v>
                </c:pt>
                <c:pt idx="436">
                  <c:v>45441</c:v>
                </c:pt>
                <c:pt idx="437">
                  <c:v>45440</c:v>
                </c:pt>
                <c:pt idx="438">
                  <c:v>45436</c:v>
                </c:pt>
                <c:pt idx="439">
                  <c:v>45435</c:v>
                </c:pt>
                <c:pt idx="440">
                  <c:v>45434</c:v>
                </c:pt>
                <c:pt idx="441">
                  <c:v>45433</c:v>
                </c:pt>
                <c:pt idx="442">
                  <c:v>45432</c:v>
                </c:pt>
                <c:pt idx="443">
                  <c:v>45429</c:v>
                </c:pt>
                <c:pt idx="444">
                  <c:v>45428</c:v>
                </c:pt>
                <c:pt idx="445">
                  <c:v>45427</c:v>
                </c:pt>
                <c:pt idx="446">
                  <c:v>45426</c:v>
                </c:pt>
                <c:pt idx="447">
                  <c:v>45425</c:v>
                </c:pt>
                <c:pt idx="448">
                  <c:v>45422</c:v>
                </c:pt>
                <c:pt idx="449">
                  <c:v>45421</c:v>
                </c:pt>
                <c:pt idx="450">
                  <c:v>45420</c:v>
                </c:pt>
                <c:pt idx="451">
                  <c:v>45419</c:v>
                </c:pt>
                <c:pt idx="452">
                  <c:v>45418</c:v>
                </c:pt>
                <c:pt idx="453">
                  <c:v>45415</c:v>
                </c:pt>
                <c:pt idx="454">
                  <c:v>45414</c:v>
                </c:pt>
                <c:pt idx="455">
                  <c:v>45413</c:v>
                </c:pt>
                <c:pt idx="456">
                  <c:v>45412</c:v>
                </c:pt>
                <c:pt idx="457">
                  <c:v>45411</c:v>
                </c:pt>
                <c:pt idx="458">
                  <c:v>45408</c:v>
                </c:pt>
                <c:pt idx="459">
                  <c:v>45407</c:v>
                </c:pt>
                <c:pt idx="460">
                  <c:v>45406</c:v>
                </c:pt>
                <c:pt idx="461">
                  <c:v>45405</c:v>
                </c:pt>
                <c:pt idx="462">
                  <c:v>45404</c:v>
                </c:pt>
                <c:pt idx="463">
                  <c:v>45401</c:v>
                </c:pt>
                <c:pt idx="464">
                  <c:v>45400</c:v>
                </c:pt>
                <c:pt idx="465">
                  <c:v>45399</c:v>
                </c:pt>
                <c:pt idx="466">
                  <c:v>45398</c:v>
                </c:pt>
                <c:pt idx="467">
                  <c:v>45397</c:v>
                </c:pt>
                <c:pt idx="468">
                  <c:v>45394</c:v>
                </c:pt>
                <c:pt idx="469">
                  <c:v>45393</c:v>
                </c:pt>
                <c:pt idx="470">
                  <c:v>45392</c:v>
                </c:pt>
                <c:pt idx="471">
                  <c:v>45391</c:v>
                </c:pt>
                <c:pt idx="472">
                  <c:v>45390</c:v>
                </c:pt>
                <c:pt idx="473">
                  <c:v>45387</c:v>
                </c:pt>
                <c:pt idx="474">
                  <c:v>45386</c:v>
                </c:pt>
                <c:pt idx="475">
                  <c:v>45385</c:v>
                </c:pt>
                <c:pt idx="476">
                  <c:v>45384</c:v>
                </c:pt>
                <c:pt idx="477">
                  <c:v>45383</c:v>
                </c:pt>
                <c:pt idx="478">
                  <c:v>45379</c:v>
                </c:pt>
                <c:pt idx="479">
                  <c:v>45378</c:v>
                </c:pt>
                <c:pt idx="480">
                  <c:v>45377</c:v>
                </c:pt>
                <c:pt idx="481">
                  <c:v>45376</c:v>
                </c:pt>
                <c:pt idx="482">
                  <c:v>45373</c:v>
                </c:pt>
                <c:pt idx="483">
                  <c:v>45372</c:v>
                </c:pt>
                <c:pt idx="484">
                  <c:v>45371</c:v>
                </c:pt>
                <c:pt idx="485">
                  <c:v>45370</c:v>
                </c:pt>
                <c:pt idx="486">
                  <c:v>45369</c:v>
                </c:pt>
                <c:pt idx="487">
                  <c:v>45366</c:v>
                </c:pt>
                <c:pt idx="488">
                  <c:v>45365</c:v>
                </c:pt>
                <c:pt idx="489">
                  <c:v>45364</c:v>
                </c:pt>
                <c:pt idx="490">
                  <c:v>45363</c:v>
                </c:pt>
                <c:pt idx="491">
                  <c:v>45362</c:v>
                </c:pt>
                <c:pt idx="492">
                  <c:v>45359</c:v>
                </c:pt>
                <c:pt idx="493">
                  <c:v>45358</c:v>
                </c:pt>
                <c:pt idx="494">
                  <c:v>45357</c:v>
                </c:pt>
                <c:pt idx="495">
                  <c:v>45356</c:v>
                </c:pt>
                <c:pt idx="496">
                  <c:v>45355</c:v>
                </c:pt>
                <c:pt idx="497">
                  <c:v>45352</c:v>
                </c:pt>
                <c:pt idx="498">
                  <c:v>45351</c:v>
                </c:pt>
                <c:pt idx="499">
                  <c:v>45350</c:v>
                </c:pt>
                <c:pt idx="500">
                  <c:v>45349</c:v>
                </c:pt>
                <c:pt idx="501">
                  <c:v>45348</c:v>
                </c:pt>
                <c:pt idx="502">
                  <c:v>45345</c:v>
                </c:pt>
                <c:pt idx="503">
                  <c:v>45344</c:v>
                </c:pt>
                <c:pt idx="504">
                  <c:v>45343</c:v>
                </c:pt>
                <c:pt idx="505">
                  <c:v>45342</c:v>
                </c:pt>
                <c:pt idx="506">
                  <c:v>45338</c:v>
                </c:pt>
                <c:pt idx="507">
                  <c:v>45337</c:v>
                </c:pt>
                <c:pt idx="508">
                  <c:v>45336</c:v>
                </c:pt>
                <c:pt idx="509">
                  <c:v>45335</c:v>
                </c:pt>
                <c:pt idx="510">
                  <c:v>45334</c:v>
                </c:pt>
                <c:pt idx="511">
                  <c:v>45331</c:v>
                </c:pt>
                <c:pt idx="512">
                  <c:v>45330</c:v>
                </c:pt>
                <c:pt idx="513">
                  <c:v>45329</c:v>
                </c:pt>
                <c:pt idx="514">
                  <c:v>45328</c:v>
                </c:pt>
                <c:pt idx="515">
                  <c:v>45327</c:v>
                </c:pt>
                <c:pt idx="516">
                  <c:v>45324</c:v>
                </c:pt>
                <c:pt idx="517">
                  <c:v>45323</c:v>
                </c:pt>
                <c:pt idx="518">
                  <c:v>45322</c:v>
                </c:pt>
                <c:pt idx="519">
                  <c:v>45321</c:v>
                </c:pt>
                <c:pt idx="520">
                  <c:v>45320</c:v>
                </c:pt>
                <c:pt idx="521">
                  <c:v>45317</c:v>
                </c:pt>
                <c:pt idx="522">
                  <c:v>45316</c:v>
                </c:pt>
                <c:pt idx="523">
                  <c:v>45315</c:v>
                </c:pt>
                <c:pt idx="524">
                  <c:v>45314</c:v>
                </c:pt>
                <c:pt idx="525">
                  <c:v>45313</c:v>
                </c:pt>
                <c:pt idx="526">
                  <c:v>45310</c:v>
                </c:pt>
                <c:pt idx="527">
                  <c:v>45309</c:v>
                </c:pt>
                <c:pt idx="528">
                  <c:v>45308</c:v>
                </c:pt>
                <c:pt idx="529">
                  <c:v>45307</c:v>
                </c:pt>
                <c:pt idx="530">
                  <c:v>45303</c:v>
                </c:pt>
                <c:pt idx="531">
                  <c:v>45302</c:v>
                </c:pt>
                <c:pt idx="532">
                  <c:v>45301</c:v>
                </c:pt>
                <c:pt idx="533">
                  <c:v>45300</c:v>
                </c:pt>
                <c:pt idx="534">
                  <c:v>45299</c:v>
                </c:pt>
                <c:pt idx="535">
                  <c:v>45296</c:v>
                </c:pt>
                <c:pt idx="536">
                  <c:v>45295</c:v>
                </c:pt>
                <c:pt idx="537">
                  <c:v>45294</c:v>
                </c:pt>
                <c:pt idx="538">
                  <c:v>45293</c:v>
                </c:pt>
                <c:pt idx="539">
                  <c:v>45289</c:v>
                </c:pt>
                <c:pt idx="540">
                  <c:v>45288</c:v>
                </c:pt>
                <c:pt idx="541">
                  <c:v>45287</c:v>
                </c:pt>
                <c:pt idx="542">
                  <c:v>45286</c:v>
                </c:pt>
                <c:pt idx="543">
                  <c:v>45282</c:v>
                </c:pt>
                <c:pt idx="544">
                  <c:v>45281</c:v>
                </c:pt>
                <c:pt idx="545">
                  <c:v>45280</c:v>
                </c:pt>
                <c:pt idx="546">
                  <c:v>45279</c:v>
                </c:pt>
                <c:pt idx="547">
                  <c:v>45278</c:v>
                </c:pt>
                <c:pt idx="548">
                  <c:v>45275</c:v>
                </c:pt>
                <c:pt idx="549">
                  <c:v>45274</c:v>
                </c:pt>
                <c:pt idx="550">
                  <c:v>45273</c:v>
                </c:pt>
                <c:pt idx="551">
                  <c:v>45272</c:v>
                </c:pt>
                <c:pt idx="552">
                  <c:v>45271</c:v>
                </c:pt>
                <c:pt idx="553">
                  <c:v>45268</c:v>
                </c:pt>
                <c:pt idx="554">
                  <c:v>45267</c:v>
                </c:pt>
                <c:pt idx="555">
                  <c:v>45266</c:v>
                </c:pt>
                <c:pt idx="556">
                  <c:v>45265</c:v>
                </c:pt>
                <c:pt idx="557">
                  <c:v>45264</c:v>
                </c:pt>
                <c:pt idx="558">
                  <c:v>45261</c:v>
                </c:pt>
                <c:pt idx="559">
                  <c:v>45260</c:v>
                </c:pt>
                <c:pt idx="560">
                  <c:v>45259</c:v>
                </c:pt>
                <c:pt idx="561">
                  <c:v>45258</c:v>
                </c:pt>
                <c:pt idx="562">
                  <c:v>45257</c:v>
                </c:pt>
                <c:pt idx="563">
                  <c:v>45254</c:v>
                </c:pt>
                <c:pt idx="564">
                  <c:v>45252</c:v>
                </c:pt>
                <c:pt idx="565">
                  <c:v>45251</c:v>
                </c:pt>
                <c:pt idx="566">
                  <c:v>45250</c:v>
                </c:pt>
                <c:pt idx="567">
                  <c:v>45247</c:v>
                </c:pt>
                <c:pt idx="568">
                  <c:v>45246</c:v>
                </c:pt>
                <c:pt idx="569">
                  <c:v>45245</c:v>
                </c:pt>
                <c:pt idx="570">
                  <c:v>45244</c:v>
                </c:pt>
                <c:pt idx="571">
                  <c:v>45243</c:v>
                </c:pt>
                <c:pt idx="572">
                  <c:v>45240</c:v>
                </c:pt>
                <c:pt idx="573">
                  <c:v>45239</c:v>
                </c:pt>
                <c:pt idx="574">
                  <c:v>45238</c:v>
                </c:pt>
                <c:pt idx="575">
                  <c:v>45237</c:v>
                </c:pt>
                <c:pt idx="576">
                  <c:v>45236</c:v>
                </c:pt>
                <c:pt idx="577">
                  <c:v>45233</c:v>
                </c:pt>
                <c:pt idx="578">
                  <c:v>45232</c:v>
                </c:pt>
                <c:pt idx="579">
                  <c:v>45231</c:v>
                </c:pt>
                <c:pt idx="580">
                  <c:v>45230</c:v>
                </c:pt>
                <c:pt idx="581">
                  <c:v>45229</c:v>
                </c:pt>
                <c:pt idx="582">
                  <c:v>45226</c:v>
                </c:pt>
                <c:pt idx="583">
                  <c:v>45225</c:v>
                </c:pt>
                <c:pt idx="584">
                  <c:v>45224</c:v>
                </c:pt>
                <c:pt idx="585">
                  <c:v>45223</c:v>
                </c:pt>
                <c:pt idx="586">
                  <c:v>45222</c:v>
                </c:pt>
                <c:pt idx="587">
                  <c:v>45219</c:v>
                </c:pt>
                <c:pt idx="588">
                  <c:v>45218</c:v>
                </c:pt>
                <c:pt idx="589">
                  <c:v>45217</c:v>
                </c:pt>
                <c:pt idx="590">
                  <c:v>45216</c:v>
                </c:pt>
                <c:pt idx="591">
                  <c:v>45215</c:v>
                </c:pt>
                <c:pt idx="592">
                  <c:v>45212</c:v>
                </c:pt>
                <c:pt idx="593">
                  <c:v>45211</c:v>
                </c:pt>
                <c:pt idx="594">
                  <c:v>45210</c:v>
                </c:pt>
                <c:pt idx="595">
                  <c:v>45209</c:v>
                </c:pt>
                <c:pt idx="596">
                  <c:v>45208</c:v>
                </c:pt>
                <c:pt idx="597">
                  <c:v>45205</c:v>
                </c:pt>
                <c:pt idx="598">
                  <c:v>45204</c:v>
                </c:pt>
                <c:pt idx="599">
                  <c:v>45203</c:v>
                </c:pt>
                <c:pt idx="600">
                  <c:v>45202</c:v>
                </c:pt>
                <c:pt idx="601">
                  <c:v>45201</c:v>
                </c:pt>
                <c:pt idx="602">
                  <c:v>45198</c:v>
                </c:pt>
                <c:pt idx="603">
                  <c:v>45197</c:v>
                </c:pt>
                <c:pt idx="604">
                  <c:v>45196</c:v>
                </c:pt>
                <c:pt idx="605">
                  <c:v>45195</c:v>
                </c:pt>
                <c:pt idx="606">
                  <c:v>45194</c:v>
                </c:pt>
                <c:pt idx="607">
                  <c:v>45191</c:v>
                </c:pt>
                <c:pt idx="608">
                  <c:v>45190</c:v>
                </c:pt>
                <c:pt idx="609">
                  <c:v>45189</c:v>
                </c:pt>
                <c:pt idx="610">
                  <c:v>45188</c:v>
                </c:pt>
                <c:pt idx="611">
                  <c:v>45187</c:v>
                </c:pt>
                <c:pt idx="612">
                  <c:v>45184</c:v>
                </c:pt>
                <c:pt idx="613">
                  <c:v>45183</c:v>
                </c:pt>
                <c:pt idx="614">
                  <c:v>45182</c:v>
                </c:pt>
                <c:pt idx="615">
                  <c:v>45181</c:v>
                </c:pt>
                <c:pt idx="616">
                  <c:v>45180</c:v>
                </c:pt>
                <c:pt idx="617">
                  <c:v>45177</c:v>
                </c:pt>
                <c:pt idx="618">
                  <c:v>45176</c:v>
                </c:pt>
                <c:pt idx="619">
                  <c:v>45175</c:v>
                </c:pt>
                <c:pt idx="620">
                  <c:v>45174</c:v>
                </c:pt>
                <c:pt idx="621">
                  <c:v>45170</c:v>
                </c:pt>
                <c:pt idx="622">
                  <c:v>45169</c:v>
                </c:pt>
                <c:pt idx="623">
                  <c:v>45168</c:v>
                </c:pt>
                <c:pt idx="624">
                  <c:v>45167</c:v>
                </c:pt>
                <c:pt idx="625">
                  <c:v>45166</c:v>
                </c:pt>
                <c:pt idx="626">
                  <c:v>45163</c:v>
                </c:pt>
                <c:pt idx="627">
                  <c:v>45162</c:v>
                </c:pt>
                <c:pt idx="628">
                  <c:v>45161</c:v>
                </c:pt>
                <c:pt idx="629">
                  <c:v>45160</c:v>
                </c:pt>
                <c:pt idx="630">
                  <c:v>45159</c:v>
                </c:pt>
                <c:pt idx="631">
                  <c:v>45156</c:v>
                </c:pt>
                <c:pt idx="632">
                  <c:v>45155</c:v>
                </c:pt>
                <c:pt idx="633">
                  <c:v>45154</c:v>
                </c:pt>
                <c:pt idx="634">
                  <c:v>45153</c:v>
                </c:pt>
                <c:pt idx="635">
                  <c:v>45152</c:v>
                </c:pt>
                <c:pt idx="636">
                  <c:v>45149</c:v>
                </c:pt>
                <c:pt idx="637">
                  <c:v>45148</c:v>
                </c:pt>
                <c:pt idx="638">
                  <c:v>45147</c:v>
                </c:pt>
                <c:pt idx="639">
                  <c:v>45146</c:v>
                </c:pt>
                <c:pt idx="640">
                  <c:v>45145</c:v>
                </c:pt>
                <c:pt idx="641">
                  <c:v>45142</c:v>
                </c:pt>
                <c:pt idx="642">
                  <c:v>45141</c:v>
                </c:pt>
                <c:pt idx="643">
                  <c:v>45140</c:v>
                </c:pt>
                <c:pt idx="644">
                  <c:v>45139</c:v>
                </c:pt>
                <c:pt idx="645">
                  <c:v>45138</c:v>
                </c:pt>
                <c:pt idx="646">
                  <c:v>45135</c:v>
                </c:pt>
                <c:pt idx="647">
                  <c:v>45134</c:v>
                </c:pt>
                <c:pt idx="648">
                  <c:v>45133</c:v>
                </c:pt>
                <c:pt idx="649">
                  <c:v>45132</c:v>
                </c:pt>
                <c:pt idx="650">
                  <c:v>45131</c:v>
                </c:pt>
                <c:pt idx="651">
                  <c:v>45128</c:v>
                </c:pt>
                <c:pt idx="652">
                  <c:v>45127</c:v>
                </c:pt>
                <c:pt idx="653">
                  <c:v>45126</c:v>
                </c:pt>
                <c:pt idx="654">
                  <c:v>45125</c:v>
                </c:pt>
                <c:pt idx="655">
                  <c:v>45124</c:v>
                </c:pt>
                <c:pt idx="656">
                  <c:v>45121</c:v>
                </c:pt>
                <c:pt idx="657">
                  <c:v>45120</c:v>
                </c:pt>
                <c:pt idx="658">
                  <c:v>45119</c:v>
                </c:pt>
                <c:pt idx="659">
                  <c:v>45118</c:v>
                </c:pt>
                <c:pt idx="660">
                  <c:v>45117</c:v>
                </c:pt>
                <c:pt idx="661">
                  <c:v>45114</c:v>
                </c:pt>
                <c:pt idx="662">
                  <c:v>45113</c:v>
                </c:pt>
                <c:pt idx="663">
                  <c:v>45112</c:v>
                </c:pt>
                <c:pt idx="664">
                  <c:v>45110</c:v>
                </c:pt>
                <c:pt idx="665">
                  <c:v>45107</c:v>
                </c:pt>
                <c:pt idx="666">
                  <c:v>45106</c:v>
                </c:pt>
                <c:pt idx="667">
                  <c:v>45105</c:v>
                </c:pt>
                <c:pt idx="668">
                  <c:v>45104</c:v>
                </c:pt>
                <c:pt idx="669">
                  <c:v>45103</c:v>
                </c:pt>
                <c:pt idx="670">
                  <c:v>45100</c:v>
                </c:pt>
                <c:pt idx="671">
                  <c:v>45099</c:v>
                </c:pt>
                <c:pt idx="672">
                  <c:v>45098</c:v>
                </c:pt>
                <c:pt idx="673">
                  <c:v>45097</c:v>
                </c:pt>
                <c:pt idx="674">
                  <c:v>45093</c:v>
                </c:pt>
                <c:pt idx="675">
                  <c:v>45092</c:v>
                </c:pt>
                <c:pt idx="676">
                  <c:v>45091</c:v>
                </c:pt>
                <c:pt idx="677">
                  <c:v>45090</c:v>
                </c:pt>
                <c:pt idx="678">
                  <c:v>45089</c:v>
                </c:pt>
                <c:pt idx="679">
                  <c:v>45086</c:v>
                </c:pt>
                <c:pt idx="680">
                  <c:v>45085</c:v>
                </c:pt>
                <c:pt idx="681">
                  <c:v>45084</c:v>
                </c:pt>
                <c:pt idx="682">
                  <c:v>45083</c:v>
                </c:pt>
                <c:pt idx="683">
                  <c:v>45082</c:v>
                </c:pt>
                <c:pt idx="684">
                  <c:v>45079</c:v>
                </c:pt>
                <c:pt idx="685">
                  <c:v>45078</c:v>
                </c:pt>
                <c:pt idx="686">
                  <c:v>45077</c:v>
                </c:pt>
                <c:pt idx="687">
                  <c:v>45076</c:v>
                </c:pt>
                <c:pt idx="688">
                  <c:v>45072</c:v>
                </c:pt>
                <c:pt idx="689">
                  <c:v>45071</c:v>
                </c:pt>
                <c:pt idx="690">
                  <c:v>45070</c:v>
                </c:pt>
                <c:pt idx="691">
                  <c:v>45069</c:v>
                </c:pt>
                <c:pt idx="692">
                  <c:v>45068</c:v>
                </c:pt>
                <c:pt idx="693">
                  <c:v>45065</c:v>
                </c:pt>
                <c:pt idx="694">
                  <c:v>45064</c:v>
                </c:pt>
                <c:pt idx="695">
                  <c:v>45063</c:v>
                </c:pt>
                <c:pt idx="696">
                  <c:v>45062</c:v>
                </c:pt>
                <c:pt idx="697">
                  <c:v>45061</c:v>
                </c:pt>
                <c:pt idx="698">
                  <c:v>45058</c:v>
                </c:pt>
                <c:pt idx="699">
                  <c:v>45057</c:v>
                </c:pt>
                <c:pt idx="700">
                  <c:v>45056</c:v>
                </c:pt>
                <c:pt idx="701">
                  <c:v>45055</c:v>
                </c:pt>
                <c:pt idx="702">
                  <c:v>45054</c:v>
                </c:pt>
                <c:pt idx="703">
                  <c:v>45051</c:v>
                </c:pt>
                <c:pt idx="704">
                  <c:v>45050</c:v>
                </c:pt>
                <c:pt idx="705">
                  <c:v>45049</c:v>
                </c:pt>
                <c:pt idx="706">
                  <c:v>45048</c:v>
                </c:pt>
                <c:pt idx="707">
                  <c:v>45047</c:v>
                </c:pt>
                <c:pt idx="708">
                  <c:v>45044</c:v>
                </c:pt>
                <c:pt idx="709">
                  <c:v>45043</c:v>
                </c:pt>
                <c:pt idx="710">
                  <c:v>45042</c:v>
                </c:pt>
                <c:pt idx="711">
                  <c:v>45041</c:v>
                </c:pt>
                <c:pt idx="712">
                  <c:v>45040</c:v>
                </c:pt>
                <c:pt idx="713">
                  <c:v>45037</c:v>
                </c:pt>
                <c:pt idx="714">
                  <c:v>45036</c:v>
                </c:pt>
                <c:pt idx="715">
                  <c:v>45035</c:v>
                </c:pt>
                <c:pt idx="716">
                  <c:v>45034</c:v>
                </c:pt>
                <c:pt idx="717">
                  <c:v>45033</c:v>
                </c:pt>
                <c:pt idx="718">
                  <c:v>45030</c:v>
                </c:pt>
                <c:pt idx="719">
                  <c:v>45029</c:v>
                </c:pt>
                <c:pt idx="720">
                  <c:v>45028</c:v>
                </c:pt>
                <c:pt idx="721">
                  <c:v>45027</c:v>
                </c:pt>
                <c:pt idx="722">
                  <c:v>45026</c:v>
                </c:pt>
                <c:pt idx="723">
                  <c:v>45022</c:v>
                </c:pt>
                <c:pt idx="724">
                  <c:v>45021</c:v>
                </c:pt>
                <c:pt idx="725">
                  <c:v>45020</c:v>
                </c:pt>
                <c:pt idx="726">
                  <c:v>45019</c:v>
                </c:pt>
                <c:pt idx="727">
                  <c:v>45016</c:v>
                </c:pt>
                <c:pt idx="728">
                  <c:v>45015</c:v>
                </c:pt>
                <c:pt idx="729">
                  <c:v>45014</c:v>
                </c:pt>
                <c:pt idx="730">
                  <c:v>45013</c:v>
                </c:pt>
                <c:pt idx="731">
                  <c:v>45012</c:v>
                </c:pt>
                <c:pt idx="732">
                  <c:v>45009</c:v>
                </c:pt>
                <c:pt idx="733">
                  <c:v>45008</c:v>
                </c:pt>
                <c:pt idx="734">
                  <c:v>45007</c:v>
                </c:pt>
                <c:pt idx="735">
                  <c:v>45006</c:v>
                </c:pt>
                <c:pt idx="736">
                  <c:v>45005</c:v>
                </c:pt>
                <c:pt idx="737">
                  <c:v>45002</c:v>
                </c:pt>
                <c:pt idx="738">
                  <c:v>45001</c:v>
                </c:pt>
                <c:pt idx="739">
                  <c:v>45000</c:v>
                </c:pt>
                <c:pt idx="740">
                  <c:v>44999</c:v>
                </c:pt>
                <c:pt idx="741">
                  <c:v>44998</c:v>
                </c:pt>
                <c:pt idx="742">
                  <c:v>44995</c:v>
                </c:pt>
                <c:pt idx="743">
                  <c:v>44994</c:v>
                </c:pt>
                <c:pt idx="744">
                  <c:v>44993</c:v>
                </c:pt>
                <c:pt idx="745">
                  <c:v>44992</c:v>
                </c:pt>
                <c:pt idx="746">
                  <c:v>44991</c:v>
                </c:pt>
                <c:pt idx="747">
                  <c:v>44988</c:v>
                </c:pt>
                <c:pt idx="748">
                  <c:v>44987</c:v>
                </c:pt>
                <c:pt idx="749">
                  <c:v>44986</c:v>
                </c:pt>
                <c:pt idx="750">
                  <c:v>44985</c:v>
                </c:pt>
              </c:numCache>
            </c:numRef>
          </c:cat>
          <c:val>
            <c:numRef>
              <c:f>WCC!$E$21:$E$773</c:f>
              <c:numCache>
                <c:formatCode>"$"#,##0.00_);\("$"#,##0.00\);\-\-_);@_)\ </c:formatCode>
                <c:ptCount val="753"/>
                <c:pt idx="0">
                  <c:v>297.62</c:v>
                </c:pt>
                <c:pt idx="1">
                  <c:v>295.77</c:v>
                </c:pt>
                <c:pt idx="2">
                  <c:v>286.51</c:v>
                </c:pt>
                <c:pt idx="3">
                  <c:v>296.99</c:v>
                </c:pt>
                <c:pt idx="4">
                  <c:v>300.06</c:v>
                </c:pt>
                <c:pt idx="5">
                  <c:v>301.74</c:v>
                </c:pt>
                <c:pt idx="6">
                  <c:v>300.92</c:v>
                </c:pt>
                <c:pt idx="7">
                  <c:v>307.10000000000002</c:v>
                </c:pt>
                <c:pt idx="8">
                  <c:v>295.70999999999998</c:v>
                </c:pt>
                <c:pt idx="9">
                  <c:v>302.94</c:v>
                </c:pt>
                <c:pt idx="10">
                  <c:v>285.8</c:v>
                </c:pt>
                <c:pt idx="11">
                  <c:v>301.69</c:v>
                </c:pt>
                <c:pt idx="12">
                  <c:v>315.27</c:v>
                </c:pt>
                <c:pt idx="13">
                  <c:v>299.49</c:v>
                </c:pt>
                <c:pt idx="14">
                  <c:v>301.37</c:v>
                </c:pt>
                <c:pt idx="15">
                  <c:v>303.67</c:v>
                </c:pt>
                <c:pt idx="16">
                  <c:v>297.8</c:v>
                </c:pt>
                <c:pt idx="17">
                  <c:v>289.43</c:v>
                </c:pt>
                <c:pt idx="18">
                  <c:v>292.29000000000002</c:v>
                </c:pt>
                <c:pt idx="19">
                  <c:v>291.3</c:v>
                </c:pt>
                <c:pt idx="20">
                  <c:v>287.81</c:v>
                </c:pt>
                <c:pt idx="21">
                  <c:v>286.79000000000002</c:v>
                </c:pt>
                <c:pt idx="22">
                  <c:v>286.41000000000003</c:v>
                </c:pt>
                <c:pt idx="23">
                  <c:v>290.14</c:v>
                </c:pt>
                <c:pt idx="24">
                  <c:v>285.44</c:v>
                </c:pt>
                <c:pt idx="25">
                  <c:v>276.16000000000003</c:v>
                </c:pt>
                <c:pt idx="26">
                  <c:v>281.63</c:v>
                </c:pt>
                <c:pt idx="27">
                  <c:v>283.91000000000003</c:v>
                </c:pt>
                <c:pt idx="28">
                  <c:v>276.64999999999998</c:v>
                </c:pt>
                <c:pt idx="29">
                  <c:v>276.77</c:v>
                </c:pt>
                <c:pt idx="30">
                  <c:v>273.58</c:v>
                </c:pt>
                <c:pt idx="31">
                  <c:v>269.3</c:v>
                </c:pt>
                <c:pt idx="32">
                  <c:v>267.52999999999997</c:v>
                </c:pt>
                <c:pt idx="33">
                  <c:v>263.20999999999998</c:v>
                </c:pt>
                <c:pt idx="34">
                  <c:v>272.37</c:v>
                </c:pt>
                <c:pt idx="35">
                  <c:v>266.86</c:v>
                </c:pt>
                <c:pt idx="36">
                  <c:v>252.12</c:v>
                </c:pt>
                <c:pt idx="37">
                  <c:v>244.64</c:v>
                </c:pt>
                <c:pt idx="38">
                  <c:v>249.79</c:v>
                </c:pt>
                <c:pt idx="39">
                  <c:v>251.88</c:v>
                </c:pt>
                <c:pt idx="40">
                  <c:v>253.97</c:v>
                </c:pt>
                <c:pt idx="41">
                  <c:v>254.7</c:v>
                </c:pt>
                <c:pt idx="42">
                  <c:v>252.58</c:v>
                </c:pt>
                <c:pt idx="43">
                  <c:v>254.51</c:v>
                </c:pt>
                <c:pt idx="44">
                  <c:v>251.41</c:v>
                </c:pt>
                <c:pt idx="45">
                  <c:v>244.49</c:v>
                </c:pt>
                <c:pt idx="46">
                  <c:v>250.39</c:v>
                </c:pt>
                <c:pt idx="47">
                  <c:v>258.42</c:v>
                </c:pt>
                <c:pt idx="48">
                  <c:v>258.83999999999997</c:v>
                </c:pt>
                <c:pt idx="49">
                  <c:v>260.39</c:v>
                </c:pt>
                <c:pt idx="50">
                  <c:v>277.42</c:v>
                </c:pt>
                <c:pt idx="51">
                  <c:v>276.98</c:v>
                </c:pt>
                <c:pt idx="52">
                  <c:v>265.79000000000002</c:v>
                </c:pt>
                <c:pt idx="53">
                  <c:v>269.64999999999998</c:v>
                </c:pt>
                <c:pt idx="54">
                  <c:v>273.36</c:v>
                </c:pt>
                <c:pt idx="55">
                  <c:v>271.3</c:v>
                </c:pt>
                <c:pt idx="56">
                  <c:v>270.57</c:v>
                </c:pt>
                <c:pt idx="57">
                  <c:v>266.33</c:v>
                </c:pt>
                <c:pt idx="58">
                  <c:v>266.08</c:v>
                </c:pt>
                <c:pt idx="59">
                  <c:v>267.41000000000003</c:v>
                </c:pt>
                <c:pt idx="60">
                  <c:v>264.58</c:v>
                </c:pt>
                <c:pt idx="61">
                  <c:v>260.13</c:v>
                </c:pt>
                <c:pt idx="62">
                  <c:v>254.53</c:v>
                </c:pt>
                <c:pt idx="63">
                  <c:v>251.59</c:v>
                </c:pt>
                <c:pt idx="64">
                  <c:v>246.98</c:v>
                </c:pt>
                <c:pt idx="65">
                  <c:v>252.36</c:v>
                </c:pt>
                <c:pt idx="66">
                  <c:v>249.02</c:v>
                </c:pt>
                <c:pt idx="67">
                  <c:v>247.84</c:v>
                </c:pt>
                <c:pt idx="68">
                  <c:v>256.75</c:v>
                </c:pt>
                <c:pt idx="69">
                  <c:v>258.01</c:v>
                </c:pt>
                <c:pt idx="70">
                  <c:v>267.14999999999998</c:v>
                </c:pt>
                <c:pt idx="71">
                  <c:v>258</c:v>
                </c:pt>
                <c:pt idx="72">
                  <c:v>260.58999999999997</c:v>
                </c:pt>
                <c:pt idx="73">
                  <c:v>255.43</c:v>
                </c:pt>
                <c:pt idx="74">
                  <c:v>257.38</c:v>
                </c:pt>
                <c:pt idx="75">
                  <c:v>256.58999999999997</c:v>
                </c:pt>
                <c:pt idx="76">
                  <c:v>252.12</c:v>
                </c:pt>
                <c:pt idx="77">
                  <c:v>261.25</c:v>
                </c:pt>
                <c:pt idx="78">
                  <c:v>259.52999999999997</c:v>
                </c:pt>
                <c:pt idx="79">
                  <c:v>252.27</c:v>
                </c:pt>
                <c:pt idx="80">
                  <c:v>228.29</c:v>
                </c:pt>
                <c:pt idx="81">
                  <c:v>220.77</c:v>
                </c:pt>
                <c:pt idx="82">
                  <c:v>222.97</c:v>
                </c:pt>
                <c:pt idx="83">
                  <c:v>225.54</c:v>
                </c:pt>
                <c:pt idx="84">
                  <c:v>219.67</c:v>
                </c:pt>
                <c:pt idx="85">
                  <c:v>213.59</c:v>
                </c:pt>
                <c:pt idx="86">
                  <c:v>220.46</c:v>
                </c:pt>
                <c:pt idx="87">
                  <c:v>218.85</c:v>
                </c:pt>
                <c:pt idx="88">
                  <c:v>213.78</c:v>
                </c:pt>
                <c:pt idx="89">
                  <c:v>218.4</c:v>
                </c:pt>
                <c:pt idx="90">
                  <c:v>218.74</c:v>
                </c:pt>
                <c:pt idx="91">
                  <c:v>219.06</c:v>
                </c:pt>
                <c:pt idx="92">
                  <c:v>213.02</c:v>
                </c:pt>
                <c:pt idx="93">
                  <c:v>208.29</c:v>
                </c:pt>
                <c:pt idx="94">
                  <c:v>222.08</c:v>
                </c:pt>
                <c:pt idx="95">
                  <c:v>224.25</c:v>
                </c:pt>
                <c:pt idx="96">
                  <c:v>213.98</c:v>
                </c:pt>
                <c:pt idx="97">
                  <c:v>219.5</c:v>
                </c:pt>
                <c:pt idx="98">
                  <c:v>215.87</c:v>
                </c:pt>
                <c:pt idx="99">
                  <c:v>213.89</c:v>
                </c:pt>
                <c:pt idx="100">
                  <c:v>212.69</c:v>
                </c:pt>
                <c:pt idx="101">
                  <c:v>211.5</c:v>
                </c:pt>
                <c:pt idx="102">
                  <c:v>211.36</c:v>
                </c:pt>
                <c:pt idx="103">
                  <c:v>213.78</c:v>
                </c:pt>
                <c:pt idx="104">
                  <c:v>208.51</c:v>
                </c:pt>
                <c:pt idx="105">
                  <c:v>207.7</c:v>
                </c:pt>
                <c:pt idx="106">
                  <c:v>210.15</c:v>
                </c:pt>
                <c:pt idx="107">
                  <c:v>211.15</c:v>
                </c:pt>
                <c:pt idx="108">
                  <c:v>208.77</c:v>
                </c:pt>
                <c:pt idx="109">
                  <c:v>214.92</c:v>
                </c:pt>
                <c:pt idx="110">
                  <c:v>214.29</c:v>
                </c:pt>
                <c:pt idx="111">
                  <c:v>216</c:v>
                </c:pt>
                <c:pt idx="112">
                  <c:v>214.72</c:v>
                </c:pt>
                <c:pt idx="113">
                  <c:v>214.64</c:v>
                </c:pt>
                <c:pt idx="114">
                  <c:v>220.5</c:v>
                </c:pt>
                <c:pt idx="115">
                  <c:v>214.8</c:v>
                </c:pt>
                <c:pt idx="116">
                  <c:v>212.64</c:v>
                </c:pt>
                <c:pt idx="117">
                  <c:v>217.84</c:v>
                </c:pt>
                <c:pt idx="118">
                  <c:v>219.18</c:v>
                </c:pt>
                <c:pt idx="119">
                  <c:v>218.37</c:v>
                </c:pt>
                <c:pt idx="120">
                  <c:v>217.89</c:v>
                </c:pt>
                <c:pt idx="121">
                  <c:v>219</c:v>
                </c:pt>
                <c:pt idx="122">
                  <c:v>219.84</c:v>
                </c:pt>
                <c:pt idx="123">
                  <c:v>225.51</c:v>
                </c:pt>
                <c:pt idx="124">
                  <c:v>227.19</c:v>
                </c:pt>
                <c:pt idx="125">
                  <c:v>226.49</c:v>
                </c:pt>
                <c:pt idx="126">
                  <c:v>224.48</c:v>
                </c:pt>
                <c:pt idx="127">
                  <c:v>222.2</c:v>
                </c:pt>
                <c:pt idx="128">
                  <c:v>211.02</c:v>
                </c:pt>
                <c:pt idx="129">
                  <c:v>209.51</c:v>
                </c:pt>
                <c:pt idx="130">
                  <c:v>211.93</c:v>
                </c:pt>
                <c:pt idx="131">
                  <c:v>209.86</c:v>
                </c:pt>
                <c:pt idx="132">
                  <c:v>206.22</c:v>
                </c:pt>
                <c:pt idx="133">
                  <c:v>210.81</c:v>
                </c:pt>
                <c:pt idx="134">
                  <c:v>215.42</c:v>
                </c:pt>
                <c:pt idx="135">
                  <c:v>211.27</c:v>
                </c:pt>
                <c:pt idx="136">
                  <c:v>203.55</c:v>
                </c:pt>
                <c:pt idx="137">
                  <c:v>204.28</c:v>
                </c:pt>
                <c:pt idx="138">
                  <c:v>204.9</c:v>
                </c:pt>
                <c:pt idx="139">
                  <c:v>206.26</c:v>
                </c:pt>
                <c:pt idx="140">
                  <c:v>206.74</c:v>
                </c:pt>
                <c:pt idx="141">
                  <c:v>209.07</c:v>
                </c:pt>
                <c:pt idx="142">
                  <c:v>203.49</c:v>
                </c:pt>
                <c:pt idx="143">
                  <c:v>206.96</c:v>
                </c:pt>
                <c:pt idx="144">
                  <c:v>212.77</c:v>
                </c:pt>
                <c:pt idx="145">
                  <c:v>216.19</c:v>
                </c:pt>
                <c:pt idx="146">
                  <c:v>218.21</c:v>
                </c:pt>
                <c:pt idx="147">
                  <c:v>214.43</c:v>
                </c:pt>
                <c:pt idx="148">
                  <c:v>211.75</c:v>
                </c:pt>
                <c:pt idx="149">
                  <c:v>212.52</c:v>
                </c:pt>
                <c:pt idx="150">
                  <c:v>207.86</c:v>
                </c:pt>
                <c:pt idx="151">
                  <c:v>203.35</c:v>
                </c:pt>
                <c:pt idx="152">
                  <c:v>205.87</c:v>
                </c:pt>
                <c:pt idx="153">
                  <c:v>205.34</c:v>
                </c:pt>
                <c:pt idx="154">
                  <c:v>199.17</c:v>
                </c:pt>
                <c:pt idx="155">
                  <c:v>198.14</c:v>
                </c:pt>
                <c:pt idx="156">
                  <c:v>198.02</c:v>
                </c:pt>
                <c:pt idx="157">
                  <c:v>199.04</c:v>
                </c:pt>
                <c:pt idx="158">
                  <c:v>201.26</c:v>
                </c:pt>
                <c:pt idx="159">
                  <c:v>198.3</c:v>
                </c:pt>
                <c:pt idx="160">
                  <c:v>195.54</c:v>
                </c:pt>
                <c:pt idx="161">
                  <c:v>190.28</c:v>
                </c:pt>
                <c:pt idx="162">
                  <c:v>194.29</c:v>
                </c:pt>
                <c:pt idx="163">
                  <c:v>193.42</c:v>
                </c:pt>
                <c:pt idx="164">
                  <c:v>189.22</c:v>
                </c:pt>
                <c:pt idx="165">
                  <c:v>185.2</c:v>
                </c:pt>
                <c:pt idx="166">
                  <c:v>185.46</c:v>
                </c:pt>
                <c:pt idx="167">
                  <c:v>186.1</c:v>
                </c:pt>
                <c:pt idx="168">
                  <c:v>182.13</c:v>
                </c:pt>
                <c:pt idx="169">
                  <c:v>184.99</c:v>
                </c:pt>
                <c:pt idx="170">
                  <c:v>181.01</c:v>
                </c:pt>
                <c:pt idx="171">
                  <c:v>178.14</c:v>
                </c:pt>
                <c:pt idx="172">
                  <c:v>176.7</c:v>
                </c:pt>
                <c:pt idx="173">
                  <c:v>171.47</c:v>
                </c:pt>
                <c:pt idx="174">
                  <c:v>176.08</c:v>
                </c:pt>
                <c:pt idx="175">
                  <c:v>173.27</c:v>
                </c:pt>
                <c:pt idx="176">
                  <c:v>176.77</c:v>
                </c:pt>
                <c:pt idx="177">
                  <c:v>177.68</c:v>
                </c:pt>
                <c:pt idx="178">
                  <c:v>179.32</c:v>
                </c:pt>
                <c:pt idx="179">
                  <c:v>176.51</c:v>
                </c:pt>
                <c:pt idx="180">
                  <c:v>173.38</c:v>
                </c:pt>
                <c:pt idx="181">
                  <c:v>170.07</c:v>
                </c:pt>
                <c:pt idx="182">
                  <c:v>170.87</c:v>
                </c:pt>
                <c:pt idx="183">
                  <c:v>173.18</c:v>
                </c:pt>
                <c:pt idx="184">
                  <c:v>165.46</c:v>
                </c:pt>
                <c:pt idx="185">
                  <c:v>167.89</c:v>
                </c:pt>
                <c:pt idx="186">
                  <c:v>171.01</c:v>
                </c:pt>
                <c:pt idx="187">
                  <c:v>172.65</c:v>
                </c:pt>
                <c:pt idx="188">
                  <c:v>168.94</c:v>
                </c:pt>
                <c:pt idx="189">
                  <c:v>164.68</c:v>
                </c:pt>
                <c:pt idx="190">
                  <c:v>165.84</c:v>
                </c:pt>
                <c:pt idx="191">
                  <c:v>166.07</c:v>
                </c:pt>
                <c:pt idx="192">
                  <c:v>171.84</c:v>
                </c:pt>
                <c:pt idx="193">
                  <c:v>171.19</c:v>
                </c:pt>
                <c:pt idx="194">
                  <c:v>173.31</c:v>
                </c:pt>
                <c:pt idx="195">
                  <c:v>171.24</c:v>
                </c:pt>
                <c:pt idx="196">
                  <c:v>173.78</c:v>
                </c:pt>
                <c:pt idx="197">
                  <c:v>173.88</c:v>
                </c:pt>
                <c:pt idx="198">
                  <c:v>171.7</c:v>
                </c:pt>
                <c:pt idx="199">
                  <c:v>161.85</c:v>
                </c:pt>
                <c:pt idx="200">
                  <c:v>162.77000000000001</c:v>
                </c:pt>
                <c:pt idx="201">
                  <c:v>158.91999999999999</c:v>
                </c:pt>
                <c:pt idx="202">
                  <c:v>158.86000000000001</c:v>
                </c:pt>
                <c:pt idx="203">
                  <c:v>162.59</c:v>
                </c:pt>
                <c:pt idx="204">
                  <c:v>163.03</c:v>
                </c:pt>
                <c:pt idx="205">
                  <c:v>152.03</c:v>
                </c:pt>
                <c:pt idx="206">
                  <c:v>162.96</c:v>
                </c:pt>
                <c:pt idx="207">
                  <c:v>161.66999999999999</c:v>
                </c:pt>
                <c:pt idx="208">
                  <c:v>162.15</c:v>
                </c:pt>
                <c:pt idx="209">
                  <c:v>161.6</c:v>
                </c:pt>
                <c:pt idx="210">
                  <c:v>160.91999999999999</c:v>
                </c:pt>
                <c:pt idx="211">
                  <c:v>154.19</c:v>
                </c:pt>
                <c:pt idx="212">
                  <c:v>149.76</c:v>
                </c:pt>
                <c:pt idx="213">
                  <c:v>145.94999999999999</c:v>
                </c:pt>
                <c:pt idx="214">
                  <c:v>151.15</c:v>
                </c:pt>
                <c:pt idx="215">
                  <c:v>147.91</c:v>
                </c:pt>
                <c:pt idx="216">
                  <c:v>150.07</c:v>
                </c:pt>
                <c:pt idx="217">
                  <c:v>150.13999999999999</c:v>
                </c:pt>
                <c:pt idx="218">
                  <c:v>148.41999999999999</c:v>
                </c:pt>
                <c:pt idx="219">
                  <c:v>146.84</c:v>
                </c:pt>
                <c:pt idx="220">
                  <c:v>153.86000000000001</c:v>
                </c:pt>
                <c:pt idx="221">
                  <c:v>132.86000000000001</c:v>
                </c:pt>
                <c:pt idx="222">
                  <c:v>137.07</c:v>
                </c:pt>
                <c:pt idx="223">
                  <c:v>136.08000000000001</c:v>
                </c:pt>
                <c:pt idx="224">
                  <c:v>143.72</c:v>
                </c:pt>
                <c:pt idx="225">
                  <c:v>162.38999999999999</c:v>
                </c:pt>
                <c:pt idx="226">
                  <c:v>156.41999999999999</c:v>
                </c:pt>
                <c:pt idx="227">
                  <c:v>155.30000000000001</c:v>
                </c:pt>
                <c:pt idx="228">
                  <c:v>156.43</c:v>
                </c:pt>
                <c:pt idx="229">
                  <c:v>163.16</c:v>
                </c:pt>
                <c:pt idx="230">
                  <c:v>165.31</c:v>
                </c:pt>
                <c:pt idx="231">
                  <c:v>167.01</c:v>
                </c:pt>
                <c:pt idx="232">
                  <c:v>168.64</c:v>
                </c:pt>
                <c:pt idx="233">
                  <c:v>162.62</c:v>
                </c:pt>
                <c:pt idx="234">
                  <c:v>164.97</c:v>
                </c:pt>
                <c:pt idx="235">
                  <c:v>166.12</c:v>
                </c:pt>
                <c:pt idx="236">
                  <c:v>161.55000000000001</c:v>
                </c:pt>
                <c:pt idx="237">
                  <c:v>163.59</c:v>
                </c:pt>
                <c:pt idx="238">
                  <c:v>162.86000000000001</c:v>
                </c:pt>
                <c:pt idx="239">
                  <c:v>158.49</c:v>
                </c:pt>
                <c:pt idx="240">
                  <c:v>163.76</c:v>
                </c:pt>
                <c:pt idx="241">
                  <c:v>158.19999999999999</c:v>
                </c:pt>
                <c:pt idx="242">
                  <c:v>156.76</c:v>
                </c:pt>
                <c:pt idx="243">
                  <c:v>165.27</c:v>
                </c:pt>
                <c:pt idx="244">
                  <c:v>167.87</c:v>
                </c:pt>
                <c:pt idx="245">
                  <c:v>171.14</c:v>
                </c:pt>
                <c:pt idx="246">
                  <c:v>163.74</c:v>
                </c:pt>
                <c:pt idx="247">
                  <c:v>169.68</c:v>
                </c:pt>
                <c:pt idx="248">
                  <c:v>180.47</c:v>
                </c:pt>
                <c:pt idx="249">
                  <c:v>179.82</c:v>
                </c:pt>
                <c:pt idx="250">
                  <c:v>181.2</c:v>
                </c:pt>
                <c:pt idx="251">
                  <c:v>174.69</c:v>
                </c:pt>
                <c:pt idx="252">
                  <c:v>177.56</c:v>
                </c:pt>
                <c:pt idx="253">
                  <c:v>183.18</c:v>
                </c:pt>
                <c:pt idx="254">
                  <c:v>193.01</c:v>
                </c:pt>
                <c:pt idx="255">
                  <c:v>197.02</c:v>
                </c:pt>
                <c:pt idx="256">
                  <c:v>199.95</c:v>
                </c:pt>
                <c:pt idx="257">
                  <c:v>196.85</c:v>
                </c:pt>
                <c:pt idx="258">
                  <c:v>193.67</c:v>
                </c:pt>
                <c:pt idx="259">
                  <c:v>193.32</c:v>
                </c:pt>
                <c:pt idx="260">
                  <c:v>188.42</c:v>
                </c:pt>
                <c:pt idx="261">
                  <c:v>185.3</c:v>
                </c:pt>
                <c:pt idx="262">
                  <c:v>185.91</c:v>
                </c:pt>
                <c:pt idx="263">
                  <c:v>187.94</c:v>
                </c:pt>
                <c:pt idx="264">
                  <c:v>186.19</c:v>
                </c:pt>
                <c:pt idx="265">
                  <c:v>181.81</c:v>
                </c:pt>
                <c:pt idx="266">
                  <c:v>181.04</c:v>
                </c:pt>
                <c:pt idx="267">
                  <c:v>185</c:v>
                </c:pt>
                <c:pt idx="268">
                  <c:v>189.39</c:v>
                </c:pt>
                <c:pt idx="269">
                  <c:v>186.64</c:v>
                </c:pt>
                <c:pt idx="270">
                  <c:v>184.76</c:v>
                </c:pt>
                <c:pt idx="271">
                  <c:v>181.54</c:v>
                </c:pt>
                <c:pt idx="272">
                  <c:v>197.98</c:v>
                </c:pt>
                <c:pt idx="273">
                  <c:v>196.97</c:v>
                </c:pt>
                <c:pt idx="274">
                  <c:v>199.21</c:v>
                </c:pt>
                <c:pt idx="275">
                  <c:v>198.54</c:v>
                </c:pt>
                <c:pt idx="276">
                  <c:v>191.61</c:v>
                </c:pt>
                <c:pt idx="277">
                  <c:v>193.65</c:v>
                </c:pt>
                <c:pt idx="278">
                  <c:v>189.61</c:v>
                </c:pt>
                <c:pt idx="279">
                  <c:v>188.83</c:v>
                </c:pt>
                <c:pt idx="280">
                  <c:v>181.86</c:v>
                </c:pt>
                <c:pt idx="281">
                  <c:v>178.06</c:v>
                </c:pt>
                <c:pt idx="282">
                  <c:v>183.43</c:v>
                </c:pt>
                <c:pt idx="283">
                  <c:v>184.12</c:v>
                </c:pt>
                <c:pt idx="284">
                  <c:v>183.78</c:v>
                </c:pt>
                <c:pt idx="285">
                  <c:v>181.43</c:v>
                </c:pt>
                <c:pt idx="286">
                  <c:v>178.02</c:v>
                </c:pt>
                <c:pt idx="287">
                  <c:v>180.96</c:v>
                </c:pt>
                <c:pt idx="288">
                  <c:v>178.9</c:v>
                </c:pt>
                <c:pt idx="289">
                  <c:v>178.57</c:v>
                </c:pt>
                <c:pt idx="290">
                  <c:v>180.03</c:v>
                </c:pt>
                <c:pt idx="291">
                  <c:v>180.33</c:v>
                </c:pt>
                <c:pt idx="292">
                  <c:v>179.02</c:v>
                </c:pt>
                <c:pt idx="293">
                  <c:v>178.09</c:v>
                </c:pt>
                <c:pt idx="294">
                  <c:v>175.14</c:v>
                </c:pt>
                <c:pt idx="295">
                  <c:v>175.7</c:v>
                </c:pt>
                <c:pt idx="296">
                  <c:v>186.13</c:v>
                </c:pt>
                <c:pt idx="297">
                  <c:v>189.55</c:v>
                </c:pt>
                <c:pt idx="298">
                  <c:v>190.79</c:v>
                </c:pt>
                <c:pt idx="299">
                  <c:v>192.9</c:v>
                </c:pt>
                <c:pt idx="300">
                  <c:v>196</c:v>
                </c:pt>
                <c:pt idx="301">
                  <c:v>197.66</c:v>
                </c:pt>
                <c:pt idx="302">
                  <c:v>203.04</c:v>
                </c:pt>
                <c:pt idx="303">
                  <c:v>206.67</c:v>
                </c:pt>
                <c:pt idx="304">
                  <c:v>208.69</c:v>
                </c:pt>
                <c:pt idx="305">
                  <c:v>211.06</c:v>
                </c:pt>
                <c:pt idx="306">
                  <c:v>211.15</c:v>
                </c:pt>
                <c:pt idx="307">
                  <c:v>212.07</c:v>
                </c:pt>
                <c:pt idx="308">
                  <c:v>211.57</c:v>
                </c:pt>
                <c:pt idx="309">
                  <c:v>208.33</c:v>
                </c:pt>
                <c:pt idx="310">
                  <c:v>210.99</c:v>
                </c:pt>
                <c:pt idx="311">
                  <c:v>213.19</c:v>
                </c:pt>
                <c:pt idx="312">
                  <c:v>209.86</c:v>
                </c:pt>
                <c:pt idx="313">
                  <c:v>207.41</c:v>
                </c:pt>
                <c:pt idx="314">
                  <c:v>201.84</c:v>
                </c:pt>
                <c:pt idx="315">
                  <c:v>204.52</c:v>
                </c:pt>
                <c:pt idx="316">
                  <c:v>203.38</c:v>
                </c:pt>
                <c:pt idx="317">
                  <c:v>204.25</c:v>
                </c:pt>
                <c:pt idx="318">
                  <c:v>207.88</c:v>
                </c:pt>
                <c:pt idx="319">
                  <c:v>207.05</c:v>
                </c:pt>
                <c:pt idx="320">
                  <c:v>204.35</c:v>
                </c:pt>
                <c:pt idx="321">
                  <c:v>209.39</c:v>
                </c:pt>
                <c:pt idx="322">
                  <c:v>205.78</c:v>
                </c:pt>
                <c:pt idx="323">
                  <c:v>207.75</c:v>
                </c:pt>
                <c:pt idx="324">
                  <c:v>212.47</c:v>
                </c:pt>
                <c:pt idx="325">
                  <c:v>187.81</c:v>
                </c:pt>
                <c:pt idx="326">
                  <c:v>184.61</c:v>
                </c:pt>
                <c:pt idx="327">
                  <c:v>188.17</c:v>
                </c:pt>
                <c:pt idx="328">
                  <c:v>191.97</c:v>
                </c:pt>
                <c:pt idx="329">
                  <c:v>177.8</c:v>
                </c:pt>
                <c:pt idx="330">
                  <c:v>177.82</c:v>
                </c:pt>
                <c:pt idx="331">
                  <c:v>179.44</c:v>
                </c:pt>
                <c:pt idx="332">
                  <c:v>176.03</c:v>
                </c:pt>
                <c:pt idx="333">
                  <c:v>177.45</c:v>
                </c:pt>
                <c:pt idx="334">
                  <c:v>174.68</c:v>
                </c:pt>
                <c:pt idx="335">
                  <c:v>174.86</c:v>
                </c:pt>
                <c:pt idx="336">
                  <c:v>177.54</c:v>
                </c:pt>
                <c:pt idx="337">
                  <c:v>180.02</c:v>
                </c:pt>
                <c:pt idx="338">
                  <c:v>181.56</c:v>
                </c:pt>
                <c:pt idx="339">
                  <c:v>179.58</c:v>
                </c:pt>
                <c:pt idx="340">
                  <c:v>172.45</c:v>
                </c:pt>
                <c:pt idx="341">
                  <c:v>175.46</c:v>
                </c:pt>
                <c:pt idx="342">
                  <c:v>174.72</c:v>
                </c:pt>
                <c:pt idx="343">
                  <c:v>166.75</c:v>
                </c:pt>
                <c:pt idx="344">
                  <c:v>166.6</c:v>
                </c:pt>
                <c:pt idx="345">
                  <c:v>164.69</c:v>
                </c:pt>
                <c:pt idx="346">
                  <c:v>164.11</c:v>
                </c:pt>
                <c:pt idx="347">
                  <c:v>164.81</c:v>
                </c:pt>
                <c:pt idx="348">
                  <c:v>164.56</c:v>
                </c:pt>
                <c:pt idx="349">
                  <c:v>167.47</c:v>
                </c:pt>
                <c:pt idx="350">
                  <c:v>166.47</c:v>
                </c:pt>
                <c:pt idx="351">
                  <c:v>167.98</c:v>
                </c:pt>
                <c:pt idx="352">
                  <c:v>171.58</c:v>
                </c:pt>
                <c:pt idx="353">
                  <c:v>172.11</c:v>
                </c:pt>
                <c:pt idx="354">
                  <c:v>163.22999999999999</c:v>
                </c:pt>
                <c:pt idx="355">
                  <c:v>168.03</c:v>
                </c:pt>
                <c:pt idx="356">
                  <c:v>167.77</c:v>
                </c:pt>
                <c:pt idx="357">
                  <c:v>167.95</c:v>
                </c:pt>
                <c:pt idx="358">
                  <c:v>172.69</c:v>
                </c:pt>
                <c:pt idx="359">
                  <c:v>166.69</c:v>
                </c:pt>
                <c:pt idx="360">
                  <c:v>167.63</c:v>
                </c:pt>
                <c:pt idx="361">
                  <c:v>163.94</c:v>
                </c:pt>
                <c:pt idx="362">
                  <c:v>159.78</c:v>
                </c:pt>
                <c:pt idx="363">
                  <c:v>155.5</c:v>
                </c:pt>
                <c:pt idx="364">
                  <c:v>154.79</c:v>
                </c:pt>
                <c:pt idx="365">
                  <c:v>152.91</c:v>
                </c:pt>
                <c:pt idx="366">
                  <c:v>152.96</c:v>
                </c:pt>
                <c:pt idx="367">
                  <c:v>149.87</c:v>
                </c:pt>
                <c:pt idx="368">
                  <c:v>152.02000000000001</c:v>
                </c:pt>
                <c:pt idx="369">
                  <c:v>153.86000000000001</c:v>
                </c:pt>
                <c:pt idx="370">
                  <c:v>155.29</c:v>
                </c:pt>
                <c:pt idx="371">
                  <c:v>165.38</c:v>
                </c:pt>
                <c:pt idx="372">
                  <c:v>162.83000000000001</c:v>
                </c:pt>
                <c:pt idx="373">
                  <c:v>163.71</c:v>
                </c:pt>
                <c:pt idx="374">
                  <c:v>163.53</c:v>
                </c:pt>
                <c:pt idx="375">
                  <c:v>165.43</c:v>
                </c:pt>
                <c:pt idx="376">
                  <c:v>165.09</c:v>
                </c:pt>
                <c:pt idx="377">
                  <c:v>160.1</c:v>
                </c:pt>
                <c:pt idx="378">
                  <c:v>161.5</c:v>
                </c:pt>
                <c:pt idx="379">
                  <c:v>157.80000000000001</c:v>
                </c:pt>
                <c:pt idx="380">
                  <c:v>158.85</c:v>
                </c:pt>
                <c:pt idx="381">
                  <c:v>157.13999999999999</c:v>
                </c:pt>
                <c:pt idx="382">
                  <c:v>159.34</c:v>
                </c:pt>
                <c:pt idx="383">
                  <c:v>156.06</c:v>
                </c:pt>
                <c:pt idx="384">
                  <c:v>156.33000000000001</c:v>
                </c:pt>
                <c:pt idx="385">
                  <c:v>153.5</c:v>
                </c:pt>
                <c:pt idx="386">
                  <c:v>156.13</c:v>
                </c:pt>
                <c:pt idx="387">
                  <c:v>155.47</c:v>
                </c:pt>
                <c:pt idx="388">
                  <c:v>149.47</c:v>
                </c:pt>
                <c:pt idx="389">
                  <c:v>152.77000000000001</c:v>
                </c:pt>
                <c:pt idx="390">
                  <c:v>150.4</c:v>
                </c:pt>
                <c:pt idx="391">
                  <c:v>153.41999999999999</c:v>
                </c:pt>
                <c:pt idx="392">
                  <c:v>158.75</c:v>
                </c:pt>
                <c:pt idx="393">
                  <c:v>174.95</c:v>
                </c:pt>
                <c:pt idx="394">
                  <c:v>170.79</c:v>
                </c:pt>
                <c:pt idx="395">
                  <c:v>172.23</c:v>
                </c:pt>
                <c:pt idx="396">
                  <c:v>170.5</c:v>
                </c:pt>
                <c:pt idx="397">
                  <c:v>167.9</c:v>
                </c:pt>
                <c:pt idx="398">
                  <c:v>164.61</c:v>
                </c:pt>
                <c:pt idx="399">
                  <c:v>171.51</c:v>
                </c:pt>
                <c:pt idx="400">
                  <c:v>172.25</c:v>
                </c:pt>
                <c:pt idx="401">
                  <c:v>169.44</c:v>
                </c:pt>
                <c:pt idx="402">
                  <c:v>171.3</c:v>
                </c:pt>
                <c:pt idx="403">
                  <c:v>175.75</c:v>
                </c:pt>
                <c:pt idx="404">
                  <c:v>183.24</c:v>
                </c:pt>
                <c:pt idx="405">
                  <c:v>174.18</c:v>
                </c:pt>
                <c:pt idx="406">
                  <c:v>170.27</c:v>
                </c:pt>
                <c:pt idx="407">
                  <c:v>165.48</c:v>
                </c:pt>
                <c:pt idx="408">
                  <c:v>158.81</c:v>
                </c:pt>
                <c:pt idx="409">
                  <c:v>154.12</c:v>
                </c:pt>
                <c:pt idx="410">
                  <c:v>156.66</c:v>
                </c:pt>
                <c:pt idx="411">
                  <c:v>154.46</c:v>
                </c:pt>
                <c:pt idx="412">
                  <c:v>159.24</c:v>
                </c:pt>
                <c:pt idx="413">
                  <c:v>157.38999999999999</c:v>
                </c:pt>
                <c:pt idx="414">
                  <c:v>155.15</c:v>
                </c:pt>
                <c:pt idx="415">
                  <c:v>158.52000000000001</c:v>
                </c:pt>
                <c:pt idx="416">
                  <c:v>158.30000000000001</c:v>
                </c:pt>
                <c:pt idx="417">
                  <c:v>157.6</c:v>
                </c:pt>
                <c:pt idx="418">
                  <c:v>160.29</c:v>
                </c:pt>
                <c:pt idx="419">
                  <c:v>163.89</c:v>
                </c:pt>
                <c:pt idx="420">
                  <c:v>164.18</c:v>
                </c:pt>
                <c:pt idx="421">
                  <c:v>164.04</c:v>
                </c:pt>
                <c:pt idx="422">
                  <c:v>163.72</c:v>
                </c:pt>
                <c:pt idx="423">
                  <c:v>165.39</c:v>
                </c:pt>
                <c:pt idx="424">
                  <c:v>166.59</c:v>
                </c:pt>
                <c:pt idx="425">
                  <c:v>174.63</c:v>
                </c:pt>
                <c:pt idx="426">
                  <c:v>178.03</c:v>
                </c:pt>
                <c:pt idx="427">
                  <c:v>175.11</c:v>
                </c:pt>
                <c:pt idx="428">
                  <c:v>179.74</c:v>
                </c:pt>
                <c:pt idx="429">
                  <c:v>176.38</c:v>
                </c:pt>
                <c:pt idx="430">
                  <c:v>175.39</c:v>
                </c:pt>
                <c:pt idx="431">
                  <c:v>177.98</c:v>
                </c:pt>
                <c:pt idx="432">
                  <c:v>172.6</c:v>
                </c:pt>
                <c:pt idx="433">
                  <c:v>177.17</c:v>
                </c:pt>
                <c:pt idx="434">
                  <c:v>179.49</c:v>
                </c:pt>
                <c:pt idx="435">
                  <c:v>178.86</c:v>
                </c:pt>
                <c:pt idx="436">
                  <c:v>176.85</c:v>
                </c:pt>
                <c:pt idx="437">
                  <c:v>185.52</c:v>
                </c:pt>
                <c:pt idx="438">
                  <c:v>191.18</c:v>
                </c:pt>
                <c:pt idx="439">
                  <c:v>186.62</c:v>
                </c:pt>
                <c:pt idx="440">
                  <c:v>187.86</c:v>
                </c:pt>
                <c:pt idx="441">
                  <c:v>188.3</c:v>
                </c:pt>
                <c:pt idx="442">
                  <c:v>188</c:v>
                </c:pt>
                <c:pt idx="443">
                  <c:v>185.05</c:v>
                </c:pt>
                <c:pt idx="444">
                  <c:v>181.93</c:v>
                </c:pt>
                <c:pt idx="445">
                  <c:v>186.31</c:v>
                </c:pt>
                <c:pt idx="446">
                  <c:v>179.6</c:v>
                </c:pt>
                <c:pt idx="447">
                  <c:v>177.83</c:v>
                </c:pt>
                <c:pt idx="448">
                  <c:v>175.88</c:v>
                </c:pt>
                <c:pt idx="449">
                  <c:v>175.25</c:v>
                </c:pt>
                <c:pt idx="450">
                  <c:v>173.68</c:v>
                </c:pt>
                <c:pt idx="451">
                  <c:v>180.48</c:v>
                </c:pt>
                <c:pt idx="452">
                  <c:v>172.89</c:v>
                </c:pt>
                <c:pt idx="453">
                  <c:v>167.7</c:v>
                </c:pt>
                <c:pt idx="454">
                  <c:v>165.08</c:v>
                </c:pt>
                <c:pt idx="455">
                  <c:v>154.4</c:v>
                </c:pt>
                <c:pt idx="456">
                  <c:v>152.75</c:v>
                </c:pt>
                <c:pt idx="457">
                  <c:v>158.15</c:v>
                </c:pt>
                <c:pt idx="458">
                  <c:v>155.80000000000001</c:v>
                </c:pt>
                <c:pt idx="459">
                  <c:v>157.30000000000001</c:v>
                </c:pt>
                <c:pt idx="460">
                  <c:v>159.59</c:v>
                </c:pt>
                <c:pt idx="461">
                  <c:v>159.16</c:v>
                </c:pt>
                <c:pt idx="462">
                  <c:v>155.99</c:v>
                </c:pt>
                <c:pt idx="463">
                  <c:v>154.01</c:v>
                </c:pt>
                <c:pt idx="464">
                  <c:v>153.44</c:v>
                </c:pt>
                <c:pt idx="465">
                  <c:v>152.52000000000001</c:v>
                </c:pt>
                <c:pt idx="466">
                  <c:v>154.79</c:v>
                </c:pt>
                <c:pt idx="467">
                  <c:v>159.91999999999999</c:v>
                </c:pt>
                <c:pt idx="468">
                  <c:v>161.56</c:v>
                </c:pt>
                <c:pt idx="469">
                  <c:v>165.51</c:v>
                </c:pt>
                <c:pt idx="470">
                  <c:v>167.02</c:v>
                </c:pt>
                <c:pt idx="471">
                  <c:v>172.78</c:v>
                </c:pt>
                <c:pt idx="472">
                  <c:v>172.54</c:v>
                </c:pt>
                <c:pt idx="473">
                  <c:v>171.79</c:v>
                </c:pt>
                <c:pt idx="474">
                  <c:v>170.2</c:v>
                </c:pt>
                <c:pt idx="475">
                  <c:v>174.21</c:v>
                </c:pt>
                <c:pt idx="476">
                  <c:v>171.44</c:v>
                </c:pt>
                <c:pt idx="477">
                  <c:v>175.59</c:v>
                </c:pt>
                <c:pt idx="478">
                  <c:v>171.28</c:v>
                </c:pt>
                <c:pt idx="479">
                  <c:v>170.85</c:v>
                </c:pt>
                <c:pt idx="480">
                  <c:v>168.47</c:v>
                </c:pt>
                <c:pt idx="481">
                  <c:v>168.19</c:v>
                </c:pt>
                <c:pt idx="482">
                  <c:v>169.14</c:v>
                </c:pt>
                <c:pt idx="483">
                  <c:v>169.83</c:v>
                </c:pt>
                <c:pt idx="484">
                  <c:v>166.08</c:v>
                </c:pt>
                <c:pt idx="485">
                  <c:v>164.19</c:v>
                </c:pt>
                <c:pt idx="486">
                  <c:v>161.97999999999999</c:v>
                </c:pt>
                <c:pt idx="487">
                  <c:v>160.13</c:v>
                </c:pt>
                <c:pt idx="488">
                  <c:v>159.53</c:v>
                </c:pt>
                <c:pt idx="489">
                  <c:v>163.24</c:v>
                </c:pt>
                <c:pt idx="490">
                  <c:v>162.02000000000001</c:v>
                </c:pt>
                <c:pt idx="491">
                  <c:v>157.49</c:v>
                </c:pt>
                <c:pt idx="492">
                  <c:v>159.78</c:v>
                </c:pt>
                <c:pt idx="493">
                  <c:v>160.29</c:v>
                </c:pt>
                <c:pt idx="494">
                  <c:v>154.87</c:v>
                </c:pt>
                <c:pt idx="495">
                  <c:v>154.61000000000001</c:v>
                </c:pt>
                <c:pt idx="496">
                  <c:v>150.80000000000001</c:v>
                </c:pt>
                <c:pt idx="497">
                  <c:v>152.07</c:v>
                </c:pt>
                <c:pt idx="498">
                  <c:v>149.49</c:v>
                </c:pt>
                <c:pt idx="499">
                  <c:v>146.04</c:v>
                </c:pt>
                <c:pt idx="500">
                  <c:v>144.35</c:v>
                </c:pt>
                <c:pt idx="501">
                  <c:v>144.6</c:v>
                </c:pt>
                <c:pt idx="502">
                  <c:v>145.47999999999999</c:v>
                </c:pt>
                <c:pt idx="503">
                  <c:v>144.52000000000001</c:v>
                </c:pt>
                <c:pt idx="504">
                  <c:v>142.55000000000001</c:v>
                </c:pt>
                <c:pt idx="505">
                  <c:v>145.03</c:v>
                </c:pt>
                <c:pt idx="506">
                  <c:v>145.68</c:v>
                </c:pt>
                <c:pt idx="507">
                  <c:v>147.44</c:v>
                </c:pt>
                <c:pt idx="508">
                  <c:v>143.05000000000001</c:v>
                </c:pt>
                <c:pt idx="509">
                  <c:v>132.59</c:v>
                </c:pt>
                <c:pt idx="510">
                  <c:v>192.53</c:v>
                </c:pt>
                <c:pt idx="511">
                  <c:v>193.83</c:v>
                </c:pt>
                <c:pt idx="512">
                  <c:v>190.87</c:v>
                </c:pt>
                <c:pt idx="513">
                  <c:v>188.21</c:v>
                </c:pt>
                <c:pt idx="514">
                  <c:v>184.6</c:v>
                </c:pt>
                <c:pt idx="515">
                  <c:v>181</c:v>
                </c:pt>
                <c:pt idx="516">
                  <c:v>184.13</c:v>
                </c:pt>
                <c:pt idx="517">
                  <c:v>176.24</c:v>
                </c:pt>
                <c:pt idx="518">
                  <c:v>173.52</c:v>
                </c:pt>
                <c:pt idx="519">
                  <c:v>175.61</c:v>
                </c:pt>
                <c:pt idx="520">
                  <c:v>174.22</c:v>
                </c:pt>
                <c:pt idx="521">
                  <c:v>171.38</c:v>
                </c:pt>
                <c:pt idx="522">
                  <c:v>173.33</c:v>
                </c:pt>
                <c:pt idx="523">
                  <c:v>170.7</c:v>
                </c:pt>
                <c:pt idx="524">
                  <c:v>172.88</c:v>
                </c:pt>
                <c:pt idx="525">
                  <c:v>175.66</c:v>
                </c:pt>
                <c:pt idx="526">
                  <c:v>174.6</c:v>
                </c:pt>
                <c:pt idx="527">
                  <c:v>171.98</c:v>
                </c:pt>
                <c:pt idx="528">
                  <c:v>169.12</c:v>
                </c:pt>
                <c:pt idx="529">
                  <c:v>169.48</c:v>
                </c:pt>
                <c:pt idx="530">
                  <c:v>169.67</c:v>
                </c:pt>
                <c:pt idx="531">
                  <c:v>172.65</c:v>
                </c:pt>
                <c:pt idx="532">
                  <c:v>172.6</c:v>
                </c:pt>
                <c:pt idx="533">
                  <c:v>172.92</c:v>
                </c:pt>
                <c:pt idx="534">
                  <c:v>172.77</c:v>
                </c:pt>
                <c:pt idx="535">
                  <c:v>168.84</c:v>
                </c:pt>
                <c:pt idx="536">
                  <c:v>168.7</c:v>
                </c:pt>
                <c:pt idx="537">
                  <c:v>168.62</c:v>
                </c:pt>
                <c:pt idx="538">
                  <c:v>173.54</c:v>
                </c:pt>
                <c:pt idx="539">
                  <c:v>173.88</c:v>
                </c:pt>
                <c:pt idx="540">
                  <c:v>177.07</c:v>
                </c:pt>
                <c:pt idx="541">
                  <c:v>175.54</c:v>
                </c:pt>
                <c:pt idx="542">
                  <c:v>176.33</c:v>
                </c:pt>
                <c:pt idx="543">
                  <c:v>176.18</c:v>
                </c:pt>
                <c:pt idx="544">
                  <c:v>175.4</c:v>
                </c:pt>
                <c:pt idx="545">
                  <c:v>171.93</c:v>
                </c:pt>
                <c:pt idx="546">
                  <c:v>175.94</c:v>
                </c:pt>
                <c:pt idx="547">
                  <c:v>174.57</c:v>
                </c:pt>
                <c:pt idx="548">
                  <c:v>174.9</c:v>
                </c:pt>
                <c:pt idx="549">
                  <c:v>177.69</c:v>
                </c:pt>
                <c:pt idx="550">
                  <c:v>169.86</c:v>
                </c:pt>
                <c:pt idx="551">
                  <c:v>167.07</c:v>
                </c:pt>
                <c:pt idx="552">
                  <c:v>166.39</c:v>
                </c:pt>
                <c:pt idx="553">
                  <c:v>160.96</c:v>
                </c:pt>
                <c:pt idx="554">
                  <c:v>157.69999999999999</c:v>
                </c:pt>
                <c:pt idx="555">
                  <c:v>157.62</c:v>
                </c:pt>
                <c:pt idx="556">
                  <c:v>159.25</c:v>
                </c:pt>
                <c:pt idx="557">
                  <c:v>162.65</c:v>
                </c:pt>
                <c:pt idx="558">
                  <c:v>162.49</c:v>
                </c:pt>
                <c:pt idx="559">
                  <c:v>155.85</c:v>
                </c:pt>
                <c:pt idx="560">
                  <c:v>155.22999999999999</c:v>
                </c:pt>
                <c:pt idx="561">
                  <c:v>151.82</c:v>
                </c:pt>
                <c:pt idx="562">
                  <c:v>154.66</c:v>
                </c:pt>
                <c:pt idx="563">
                  <c:v>154.35</c:v>
                </c:pt>
                <c:pt idx="564">
                  <c:v>152.65</c:v>
                </c:pt>
                <c:pt idx="565">
                  <c:v>152.02000000000001</c:v>
                </c:pt>
                <c:pt idx="566">
                  <c:v>153.30000000000001</c:v>
                </c:pt>
                <c:pt idx="567">
                  <c:v>151.81</c:v>
                </c:pt>
                <c:pt idx="568">
                  <c:v>146.93</c:v>
                </c:pt>
                <c:pt idx="569">
                  <c:v>147.4</c:v>
                </c:pt>
                <c:pt idx="570">
                  <c:v>148.66999999999999</c:v>
                </c:pt>
                <c:pt idx="571">
                  <c:v>140.71</c:v>
                </c:pt>
                <c:pt idx="572">
                  <c:v>141.13999999999999</c:v>
                </c:pt>
                <c:pt idx="573">
                  <c:v>137.29</c:v>
                </c:pt>
                <c:pt idx="574">
                  <c:v>136.63999999999999</c:v>
                </c:pt>
                <c:pt idx="575">
                  <c:v>138.16999999999999</c:v>
                </c:pt>
                <c:pt idx="576">
                  <c:v>139.62</c:v>
                </c:pt>
                <c:pt idx="577">
                  <c:v>142.80000000000001</c:v>
                </c:pt>
                <c:pt idx="578">
                  <c:v>135.97</c:v>
                </c:pt>
                <c:pt idx="579">
                  <c:v>131.08000000000001</c:v>
                </c:pt>
                <c:pt idx="580">
                  <c:v>128.19999999999999</c:v>
                </c:pt>
                <c:pt idx="581">
                  <c:v>128.13</c:v>
                </c:pt>
                <c:pt idx="582">
                  <c:v>126</c:v>
                </c:pt>
                <c:pt idx="583">
                  <c:v>126.61</c:v>
                </c:pt>
                <c:pt idx="584">
                  <c:v>123.66</c:v>
                </c:pt>
                <c:pt idx="585">
                  <c:v>125.96</c:v>
                </c:pt>
                <c:pt idx="586">
                  <c:v>125.88</c:v>
                </c:pt>
                <c:pt idx="587">
                  <c:v>125.57</c:v>
                </c:pt>
                <c:pt idx="588">
                  <c:v>130.66999999999999</c:v>
                </c:pt>
                <c:pt idx="589">
                  <c:v>132.80000000000001</c:v>
                </c:pt>
                <c:pt idx="590">
                  <c:v>138.9</c:v>
                </c:pt>
                <c:pt idx="591">
                  <c:v>137.91999999999999</c:v>
                </c:pt>
                <c:pt idx="592">
                  <c:v>133.69999999999999</c:v>
                </c:pt>
                <c:pt idx="593">
                  <c:v>145.41999999999999</c:v>
                </c:pt>
                <c:pt idx="594">
                  <c:v>147.80000000000001</c:v>
                </c:pt>
                <c:pt idx="595">
                  <c:v>146.72</c:v>
                </c:pt>
                <c:pt idx="596">
                  <c:v>147.94</c:v>
                </c:pt>
                <c:pt idx="597">
                  <c:v>145.56</c:v>
                </c:pt>
                <c:pt idx="598">
                  <c:v>139.83000000000001</c:v>
                </c:pt>
                <c:pt idx="599">
                  <c:v>140.58000000000001</c:v>
                </c:pt>
                <c:pt idx="600">
                  <c:v>138.01</c:v>
                </c:pt>
                <c:pt idx="601">
                  <c:v>141.41</c:v>
                </c:pt>
                <c:pt idx="602">
                  <c:v>143.82</c:v>
                </c:pt>
                <c:pt idx="603">
                  <c:v>146.26</c:v>
                </c:pt>
                <c:pt idx="604">
                  <c:v>145.54</c:v>
                </c:pt>
                <c:pt idx="605">
                  <c:v>146.52000000000001</c:v>
                </c:pt>
                <c:pt idx="606">
                  <c:v>147.44</c:v>
                </c:pt>
                <c:pt idx="607">
                  <c:v>147.13999999999999</c:v>
                </c:pt>
                <c:pt idx="608">
                  <c:v>146.55000000000001</c:v>
                </c:pt>
                <c:pt idx="609">
                  <c:v>150.55000000000001</c:v>
                </c:pt>
                <c:pt idx="610">
                  <c:v>152.38999999999999</c:v>
                </c:pt>
                <c:pt idx="611">
                  <c:v>153.84</c:v>
                </c:pt>
                <c:pt idx="612">
                  <c:v>153.13999999999999</c:v>
                </c:pt>
                <c:pt idx="613">
                  <c:v>155.22999999999999</c:v>
                </c:pt>
                <c:pt idx="614">
                  <c:v>154.04</c:v>
                </c:pt>
                <c:pt idx="615">
                  <c:v>156.49</c:v>
                </c:pt>
                <c:pt idx="616">
                  <c:v>156.69</c:v>
                </c:pt>
                <c:pt idx="617">
                  <c:v>158.01</c:v>
                </c:pt>
                <c:pt idx="618">
                  <c:v>156</c:v>
                </c:pt>
                <c:pt idx="619">
                  <c:v>158.02000000000001</c:v>
                </c:pt>
                <c:pt idx="620">
                  <c:v>156.66999999999999</c:v>
                </c:pt>
                <c:pt idx="621">
                  <c:v>163.28</c:v>
                </c:pt>
                <c:pt idx="622">
                  <c:v>161.85</c:v>
                </c:pt>
                <c:pt idx="623">
                  <c:v>162.24</c:v>
                </c:pt>
                <c:pt idx="624">
                  <c:v>161.41</c:v>
                </c:pt>
                <c:pt idx="625">
                  <c:v>159.05000000000001</c:v>
                </c:pt>
                <c:pt idx="626">
                  <c:v>155.58000000000001</c:v>
                </c:pt>
                <c:pt idx="627">
                  <c:v>155.44</c:v>
                </c:pt>
                <c:pt idx="628">
                  <c:v>155.94999999999999</c:v>
                </c:pt>
                <c:pt idx="629">
                  <c:v>153</c:v>
                </c:pt>
                <c:pt idx="630">
                  <c:v>153.59</c:v>
                </c:pt>
                <c:pt idx="631">
                  <c:v>152.61000000000001</c:v>
                </c:pt>
                <c:pt idx="632">
                  <c:v>149.22</c:v>
                </c:pt>
                <c:pt idx="633">
                  <c:v>151.65</c:v>
                </c:pt>
                <c:pt idx="634">
                  <c:v>154.41999999999999</c:v>
                </c:pt>
                <c:pt idx="635">
                  <c:v>156.86000000000001</c:v>
                </c:pt>
                <c:pt idx="636">
                  <c:v>155.55000000000001</c:v>
                </c:pt>
                <c:pt idx="637">
                  <c:v>153.26</c:v>
                </c:pt>
                <c:pt idx="638">
                  <c:v>151.33000000000001</c:v>
                </c:pt>
                <c:pt idx="639">
                  <c:v>152.30000000000001</c:v>
                </c:pt>
                <c:pt idx="640">
                  <c:v>153.83000000000001</c:v>
                </c:pt>
                <c:pt idx="641">
                  <c:v>153.16999999999999</c:v>
                </c:pt>
                <c:pt idx="642">
                  <c:v>153.29</c:v>
                </c:pt>
                <c:pt idx="643">
                  <c:v>179.46</c:v>
                </c:pt>
                <c:pt idx="644">
                  <c:v>180.31</c:v>
                </c:pt>
                <c:pt idx="645">
                  <c:v>175.57</c:v>
                </c:pt>
                <c:pt idx="646">
                  <c:v>171.49</c:v>
                </c:pt>
                <c:pt idx="647">
                  <c:v>169.13</c:v>
                </c:pt>
                <c:pt idx="648">
                  <c:v>169.55</c:v>
                </c:pt>
                <c:pt idx="649">
                  <c:v>175.37</c:v>
                </c:pt>
                <c:pt idx="650">
                  <c:v>175.08</c:v>
                </c:pt>
                <c:pt idx="651">
                  <c:v>174.69</c:v>
                </c:pt>
                <c:pt idx="652">
                  <c:v>176.18</c:v>
                </c:pt>
                <c:pt idx="653">
                  <c:v>174.95</c:v>
                </c:pt>
                <c:pt idx="654">
                  <c:v>176.02</c:v>
                </c:pt>
                <c:pt idx="655">
                  <c:v>172.24</c:v>
                </c:pt>
                <c:pt idx="656">
                  <c:v>172.31</c:v>
                </c:pt>
                <c:pt idx="657">
                  <c:v>178.13</c:v>
                </c:pt>
                <c:pt idx="658">
                  <c:v>178.11</c:v>
                </c:pt>
                <c:pt idx="659">
                  <c:v>179</c:v>
                </c:pt>
                <c:pt idx="660">
                  <c:v>183.1</c:v>
                </c:pt>
                <c:pt idx="661">
                  <c:v>178.41</c:v>
                </c:pt>
                <c:pt idx="662">
                  <c:v>175.2</c:v>
                </c:pt>
                <c:pt idx="663">
                  <c:v>176.72</c:v>
                </c:pt>
                <c:pt idx="664">
                  <c:v>177.92</c:v>
                </c:pt>
                <c:pt idx="665">
                  <c:v>179.06</c:v>
                </c:pt>
                <c:pt idx="666">
                  <c:v>175.54</c:v>
                </c:pt>
                <c:pt idx="667">
                  <c:v>176.21</c:v>
                </c:pt>
                <c:pt idx="668">
                  <c:v>173.4</c:v>
                </c:pt>
                <c:pt idx="669">
                  <c:v>166.75</c:v>
                </c:pt>
                <c:pt idx="670">
                  <c:v>167.9</c:v>
                </c:pt>
                <c:pt idx="671">
                  <c:v>167.6</c:v>
                </c:pt>
                <c:pt idx="672">
                  <c:v>173.39</c:v>
                </c:pt>
                <c:pt idx="673">
                  <c:v>170.22</c:v>
                </c:pt>
                <c:pt idx="674">
                  <c:v>168.05</c:v>
                </c:pt>
                <c:pt idx="675">
                  <c:v>168.67</c:v>
                </c:pt>
                <c:pt idx="676">
                  <c:v>164.01</c:v>
                </c:pt>
                <c:pt idx="677">
                  <c:v>166.38</c:v>
                </c:pt>
                <c:pt idx="678">
                  <c:v>161.02000000000001</c:v>
                </c:pt>
                <c:pt idx="679">
                  <c:v>154.72</c:v>
                </c:pt>
                <c:pt idx="680">
                  <c:v>155.66</c:v>
                </c:pt>
                <c:pt idx="681">
                  <c:v>153.62</c:v>
                </c:pt>
                <c:pt idx="682">
                  <c:v>148.83000000000001</c:v>
                </c:pt>
                <c:pt idx="683">
                  <c:v>148.29</c:v>
                </c:pt>
                <c:pt idx="684">
                  <c:v>146.13999999999999</c:v>
                </c:pt>
                <c:pt idx="685">
                  <c:v>136.29</c:v>
                </c:pt>
                <c:pt idx="686">
                  <c:v>137.38</c:v>
                </c:pt>
                <c:pt idx="687">
                  <c:v>144.07</c:v>
                </c:pt>
                <c:pt idx="688">
                  <c:v>146.08000000000001</c:v>
                </c:pt>
                <c:pt idx="689">
                  <c:v>133.61000000000001</c:v>
                </c:pt>
                <c:pt idx="690">
                  <c:v>127.73</c:v>
                </c:pt>
                <c:pt idx="691">
                  <c:v>130.54</c:v>
                </c:pt>
                <c:pt idx="692">
                  <c:v>134.21</c:v>
                </c:pt>
                <c:pt idx="693">
                  <c:v>134.21</c:v>
                </c:pt>
                <c:pt idx="694">
                  <c:v>136.26</c:v>
                </c:pt>
                <c:pt idx="695">
                  <c:v>132.41999999999999</c:v>
                </c:pt>
                <c:pt idx="696">
                  <c:v>128.06</c:v>
                </c:pt>
                <c:pt idx="697">
                  <c:v>132.24</c:v>
                </c:pt>
                <c:pt idx="698">
                  <c:v>128.19</c:v>
                </c:pt>
                <c:pt idx="699">
                  <c:v>127.91</c:v>
                </c:pt>
                <c:pt idx="700">
                  <c:v>128.94999999999999</c:v>
                </c:pt>
                <c:pt idx="701">
                  <c:v>130.72999999999999</c:v>
                </c:pt>
                <c:pt idx="702">
                  <c:v>129.88</c:v>
                </c:pt>
                <c:pt idx="703">
                  <c:v>129.97</c:v>
                </c:pt>
                <c:pt idx="704">
                  <c:v>122.87</c:v>
                </c:pt>
                <c:pt idx="705">
                  <c:v>144.08000000000001</c:v>
                </c:pt>
                <c:pt idx="706">
                  <c:v>143.28</c:v>
                </c:pt>
                <c:pt idx="707">
                  <c:v>143.57</c:v>
                </c:pt>
                <c:pt idx="708">
                  <c:v>144</c:v>
                </c:pt>
                <c:pt idx="709">
                  <c:v>142.9</c:v>
                </c:pt>
                <c:pt idx="710">
                  <c:v>136.91999999999999</c:v>
                </c:pt>
                <c:pt idx="711">
                  <c:v>141.9</c:v>
                </c:pt>
                <c:pt idx="712">
                  <c:v>142.94</c:v>
                </c:pt>
                <c:pt idx="713">
                  <c:v>142.1</c:v>
                </c:pt>
                <c:pt idx="714">
                  <c:v>142.9</c:v>
                </c:pt>
                <c:pt idx="715">
                  <c:v>141.94</c:v>
                </c:pt>
                <c:pt idx="716">
                  <c:v>143.4</c:v>
                </c:pt>
                <c:pt idx="717">
                  <c:v>139.4</c:v>
                </c:pt>
                <c:pt idx="718">
                  <c:v>137.41999999999999</c:v>
                </c:pt>
                <c:pt idx="719">
                  <c:v>137.04</c:v>
                </c:pt>
                <c:pt idx="720">
                  <c:v>136.94</c:v>
                </c:pt>
                <c:pt idx="721">
                  <c:v>136.4</c:v>
                </c:pt>
                <c:pt idx="722">
                  <c:v>136.9</c:v>
                </c:pt>
                <c:pt idx="723">
                  <c:v>133.93</c:v>
                </c:pt>
                <c:pt idx="724">
                  <c:v>138.59</c:v>
                </c:pt>
                <c:pt idx="725">
                  <c:v>142.54</c:v>
                </c:pt>
                <c:pt idx="726">
                  <c:v>152.01</c:v>
                </c:pt>
                <c:pt idx="727">
                  <c:v>154.54</c:v>
                </c:pt>
                <c:pt idx="728">
                  <c:v>150.84</c:v>
                </c:pt>
                <c:pt idx="729">
                  <c:v>148.59</c:v>
                </c:pt>
                <c:pt idx="730">
                  <c:v>142.97999999999999</c:v>
                </c:pt>
                <c:pt idx="731">
                  <c:v>141.72</c:v>
                </c:pt>
                <c:pt idx="732">
                  <c:v>138.13999999999999</c:v>
                </c:pt>
                <c:pt idx="733">
                  <c:v>140.91999999999999</c:v>
                </c:pt>
                <c:pt idx="734">
                  <c:v>144.11000000000001</c:v>
                </c:pt>
                <c:pt idx="735">
                  <c:v>147.56</c:v>
                </c:pt>
                <c:pt idx="736">
                  <c:v>141.72</c:v>
                </c:pt>
                <c:pt idx="737">
                  <c:v>138.62</c:v>
                </c:pt>
                <c:pt idx="738">
                  <c:v>147.25</c:v>
                </c:pt>
                <c:pt idx="739">
                  <c:v>144.6</c:v>
                </c:pt>
                <c:pt idx="740">
                  <c:v>155.26</c:v>
                </c:pt>
                <c:pt idx="741">
                  <c:v>152.09</c:v>
                </c:pt>
                <c:pt idx="742">
                  <c:v>158.63999999999999</c:v>
                </c:pt>
                <c:pt idx="743">
                  <c:v>166.34</c:v>
                </c:pt>
                <c:pt idx="744">
                  <c:v>172.26</c:v>
                </c:pt>
                <c:pt idx="745">
                  <c:v>170.52</c:v>
                </c:pt>
                <c:pt idx="746">
                  <c:v>171.28</c:v>
                </c:pt>
                <c:pt idx="747" formatCode="_(* #,##0.00_);_(* \(#,##0.00\);_(* &quot;-&quot;??_);_(@_)">
                  <c:v>172.69</c:v>
                </c:pt>
                <c:pt idx="748" formatCode="_(* #,##0.00_);_(* \(#,##0.00\);_(* &quot;-&quot;??_);_(@_)">
                  <c:v>170.12</c:v>
                </c:pt>
                <c:pt idx="749" formatCode="_(* #,##0.00_);_(* \(#,##0.00\);_(* &quot;-&quot;??_);_(@_)">
                  <c:v>168.55</c:v>
                </c:pt>
                <c:pt idx="750" formatCode="_(* #,##0.00_);_(* \(#,##0.00\);_(* &quot;-&quot;??_);_(@_)">
                  <c:v>165.58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4-4000-A493-ABD71520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517391"/>
        <c:axId val="1549873663"/>
      </c:lineChart>
      <c:dateAx>
        <c:axId val="1570517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873663"/>
        <c:crosses val="autoZero"/>
        <c:auto val="1"/>
        <c:lblOffset val="100"/>
        <c:baseTimeUnit val="days"/>
      </c:dateAx>
      <c:valAx>
        <c:axId val="154987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;\-\-_);@_)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1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466725</xdr:colOff>
      <xdr:row>3</xdr:row>
      <xdr:rowOff>95250</xdr:rowOff>
    </xdr:from>
    <xdr:to>
      <xdr:col>62</xdr:col>
      <xdr:colOff>600075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9B97D-8CDC-42F6-ABBE-1E7B90DF1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66675</xdr:colOff>
      <xdr:row>20</xdr:row>
      <xdr:rowOff>83240</xdr:rowOff>
    </xdr:from>
    <xdr:to>
      <xdr:col>53</xdr:col>
      <xdr:colOff>200522</xdr:colOff>
      <xdr:row>34</xdr:row>
      <xdr:rowOff>159440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DD7F8D-6720-4DBC-BC45-795B73729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500187</xdr:colOff>
      <xdr:row>20</xdr:row>
      <xdr:rowOff>83240</xdr:rowOff>
    </xdr:from>
    <xdr:to>
      <xdr:col>62</xdr:col>
      <xdr:colOff>600075</xdr:colOff>
      <xdr:row>34</xdr:row>
      <xdr:rowOff>159440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DF0F04-3A49-498B-96A9-98175F0D9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66675</xdr:colOff>
      <xdr:row>3</xdr:row>
      <xdr:rowOff>95250</xdr:rowOff>
    </xdr:from>
    <xdr:to>
      <xdr:col>53</xdr:col>
      <xdr:colOff>203835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17763-1D50-4DEE-B064-77BF92AA9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9A9466-094A-4317-BE43-2D451F4480AC}">
  <we:reference id="wa200004041" version="3.1.1.0" store="en-US" storeType="OMEX"/>
  <we:alternateReferences>
    <we:reference id="wa200004041" version="3.1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_xldudf_TEGUS_CD</we:customFunctionIds>
        <we:customFunctionIds>_xldudf_TEGUS_FX</we:customFunctionIds>
        <we:customFunctionIds>_xldudf_TEGUS_P</we:customFunctionIds>
        <we:customFunctionIds>_xldudf_TEGUS_MD</we:customFunctionIds>
        <we:customFunctionIds>_xldudf_TEGUS_CE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826D-AD97-4EBD-9B45-D390216E086C}">
  <dimension ref="A1:B35"/>
  <sheetViews>
    <sheetView showGridLines="0" workbookViewId="0"/>
  </sheetViews>
  <sheetFormatPr defaultRowHeight="15" x14ac:dyDescent="0.25"/>
  <sheetData>
    <row r="1" spans="1:2" x14ac:dyDescent="0.25">
      <c r="B1" t="s">
        <v>29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2A09-68E9-4D7D-B4BB-062A85CFE772}">
  <dimension ref="A1:AN801"/>
  <sheetViews>
    <sheetView showGridLines="0" tabSelected="1" topLeftCell="L1" zoomScale="85" zoomScaleNormal="85" workbookViewId="0">
      <selection activeCell="BE41" sqref="BE41"/>
    </sheetView>
  </sheetViews>
  <sheetFormatPr defaultRowHeight="15" x14ac:dyDescent="0.25"/>
  <cols>
    <col min="1" max="3" width="2.7109375" customWidth="1"/>
    <col min="4" max="4" width="18.5703125" bestFit="1" customWidth="1"/>
    <col min="5" max="5" width="15.28515625" bestFit="1" customWidth="1"/>
    <col min="6" max="6" width="12.7109375" customWidth="1"/>
    <col min="33" max="37" width="10.7109375" bestFit="1" customWidth="1"/>
    <col min="38" max="38" width="9.7109375" bestFit="1" customWidth="1"/>
    <col min="40" max="40" width="10.7109375" bestFit="1" customWidth="1"/>
  </cols>
  <sheetData>
    <row r="1" spans="1:40" ht="15.75" customHeight="1" thickBot="1" x14ac:dyDescent="0.3">
      <c r="E1" s="5" t="s">
        <v>2</v>
      </c>
      <c r="F1" s="26">
        <v>46078</v>
      </c>
      <c r="AN1" s="2" t="s">
        <v>26</v>
      </c>
    </row>
    <row r="2" spans="1:40" ht="15.75" thickBo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N2" s="21">
        <v>43831</v>
      </c>
    </row>
    <row r="3" spans="1:40" x14ac:dyDescent="0.25">
      <c r="AN3" s="21">
        <v>43850</v>
      </c>
    </row>
    <row r="4" spans="1:40" x14ac:dyDescent="0.25">
      <c r="C4" s="3"/>
      <c r="D4" s="3" t="s">
        <v>4</v>
      </c>
      <c r="E4" s="4">
        <f>+EOMONTH(E5, -36)</f>
        <v>44985</v>
      </c>
      <c r="AN4" s="21">
        <v>43878</v>
      </c>
    </row>
    <row r="5" spans="1:40" x14ac:dyDescent="0.25">
      <c r="C5" s="3"/>
      <c r="D5" s="3" t="s">
        <v>5</v>
      </c>
      <c r="E5" s="4">
        <f>+$F$1</f>
        <v>46078</v>
      </c>
      <c r="AN5" s="21">
        <v>43931</v>
      </c>
    </row>
    <row r="6" spans="1:40" x14ac:dyDescent="0.25">
      <c r="C6" s="3"/>
      <c r="D6" s="3" t="s">
        <v>6</v>
      </c>
      <c r="E6" s="10" t="str" cm="1">
        <f t="array" aca="1" ref="E6" ca="1">RIGHT(CELL("filename", A1), LEN(CELL("filename", A1)) - FIND("]", CELL("filename", A1)))&amp;" US Equity"</f>
        <v>WCC US Equity</v>
      </c>
      <c r="AN6" s="21">
        <v>43976</v>
      </c>
    </row>
    <row r="7" spans="1:40" x14ac:dyDescent="0.25">
      <c r="C7" s="3"/>
      <c r="D7" s="3" t="s">
        <v>7</v>
      </c>
      <c r="E7" s="10" t="str" cm="1">
        <f t="array" aca="1" ref="E7" ca="1">RIGHT(CELL("filename", A1), LEN(CELL("filename", A1)) - FIND("]", CELL("filename", A1)))&amp;"-US"</f>
        <v>WCC-US</v>
      </c>
      <c r="AN7" s="21">
        <v>44015</v>
      </c>
    </row>
    <row r="8" spans="1:40" x14ac:dyDescent="0.25">
      <c r="C8" s="3"/>
      <c r="D8" s="3" t="s">
        <v>8</v>
      </c>
      <c r="E8" s="11" t="str" cm="1">
        <f t="array" aca="1" ref="E8" ca="1">_xll.BDP($E$6,"BETA_OVERRIDE_REL_INDEX")</f>
        <v>SPX Index</v>
      </c>
      <c r="AN8" s="21">
        <v>44081</v>
      </c>
    </row>
    <row r="9" spans="1:40" x14ac:dyDescent="0.25">
      <c r="C9" s="3"/>
      <c r="D9" s="3" t="s">
        <v>9</v>
      </c>
      <c r="E9" s="10" t="s">
        <v>10</v>
      </c>
      <c r="AN9" s="21">
        <v>44161</v>
      </c>
    </row>
    <row r="10" spans="1:40" x14ac:dyDescent="0.25">
      <c r="AN10" s="21">
        <v>44190</v>
      </c>
    </row>
    <row r="11" spans="1:40" x14ac:dyDescent="0.25">
      <c r="AN11" s="21">
        <v>44197</v>
      </c>
    </row>
    <row r="12" spans="1:40" x14ac:dyDescent="0.25">
      <c r="E12" s="8"/>
      <c r="AN12" s="21">
        <v>44214</v>
      </c>
    </row>
    <row r="14" spans="1:40" x14ac:dyDescent="0.25">
      <c r="AN14" s="21">
        <v>44242</v>
      </c>
    </row>
    <row r="15" spans="1:40" x14ac:dyDescent="0.25">
      <c r="AN15" s="21">
        <v>44288</v>
      </c>
    </row>
    <row r="16" spans="1:40" x14ac:dyDescent="0.25">
      <c r="AN16" s="21">
        <v>44347</v>
      </c>
    </row>
    <row r="17" spans="4:40" x14ac:dyDescent="0.25">
      <c r="D17" s="24"/>
      <c r="AN17" s="21">
        <v>44382</v>
      </c>
    </row>
    <row r="18" spans="4:40" ht="15.75" thickBot="1" x14ac:dyDescent="0.3">
      <c r="E18" s="16"/>
      <c r="G18" s="12" t="s">
        <v>12</v>
      </c>
      <c r="H18" s="13"/>
      <c r="I18" s="14"/>
      <c r="J18" s="14"/>
      <c r="K18" s="12" t="s">
        <v>13</v>
      </c>
      <c r="L18" s="13"/>
      <c r="M18" s="14"/>
      <c r="N18" s="14"/>
      <c r="O18" s="12" t="s">
        <v>24</v>
      </c>
      <c r="P18" s="13"/>
      <c r="Q18" s="14"/>
      <c r="R18" s="14"/>
      <c r="S18" s="12" t="s">
        <v>23</v>
      </c>
      <c r="T18" s="13"/>
      <c r="U18" s="14"/>
      <c r="V18" s="12"/>
      <c r="W18" s="14"/>
      <c r="X18" s="12" t="s">
        <v>21</v>
      </c>
      <c r="Y18" s="13"/>
      <c r="Z18" s="14"/>
      <c r="AA18" s="14"/>
      <c r="AB18" s="12" t="s">
        <v>22</v>
      </c>
      <c r="AC18" s="13"/>
      <c r="AD18" s="13"/>
      <c r="AE18" s="14"/>
      <c r="AF18" s="14"/>
      <c r="AG18" s="12" t="s">
        <v>1</v>
      </c>
      <c r="AH18" s="13"/>
      <c r="AI18" s="14"/>
      <c r="AJ18" s="13"/>
      <c r="AK18" s="13"/>
      <c r="AL18" s="12"/>
      <c r="AN18" s="21">
        <v>44445</v>
      </c>
    </row>
    <row r="19" spans="4:40" ht="15.75" thickBot="1" x14ac:dyDescent="0.3">
      <c r="D19" s="25" t="s">
        <v>1</v>
      </c>
      <c r="E19" s="25" t="s">
        <v>3</v>
      </c>
      <c r="F19" s="3" t="s">
        <v>11</v>
      </c>
      <c r="G19" s="15" t="s">
        <v>14</v>
      </c>
      <c r="H19" s="15" t="s">
        <v>15</v>
      </c>
      <c r="I19" s="15" t="s">
        <v>16</v>
      </c>
      <c r="J19" s="15" t="s">
        <v>28</v>
      </c>
      <c r="K19" s="15" t="s">
        <v>14</v>
      </c>
      <c r="L19" s="15" t="s">
        <v>15</v>
      </c>
      <c r="M19" s="15" t="s">
        <v>16</v>
      </c>
      <c r="N19" s="15" t="s">
        <v>28</v>
      </c>
      <c r="O19" s="15" t="s">
        <v>14</v>
      </c>
      <c r="P19" s="15" t="s">
        <v>15</v>
      </c>
      <c r="Q19" s="15" t="s">
        <v>16</v>
      </c>
      <c r="R19" s="15" t="s">
        <v>28</v>
      </c>
      <c r="S19" s="15" t="s">
        <v>17</v>
      </c>
      <c r="T19" s="15" t="s">
        <v>18</v>
      </c>
      <c r="U19" s="15" t="s">
        <v>19</v>
      </c>
      <c r="V19" s="15" t="s">
        <v>20</v>
      </c>
      <c r="W19" s="15" t="s">
        <v>27</v>
      </c>
      <c r="X19" s="15" t="s">
        <v>14</v>
      </c>
      <c r="Y19" s="15" t="s">
        <v>15</v>
      </c>
      <c r="Z19" s="15" t="s">
        <v>16</v>
      </c>
      <c r="AA19" s="15" t="s">
        <v>28</v>
      </c>
      <c r="AB19" s="15" t="s">
        <v>17</v>
      </c>
      <c r="AC19" s="15" t="s">
        <v>18</v>
      </c>
      <c r="AD19" s="15" t="s">
        <v>19</v>
      </c>
      <c r="AE19" s="15" t="s">
        <v>20</v>
      </c>
      <c r="AF19" s="15" t="s">
        <v>28</v>
      </c>
      <c r="AG19" s="15" t="s">
        <v>17</v>
      </c>
      <c r="AH19" s="15" t="s">
        <v>18</v>
      </c>
      <c r="AI19" s="15" t="s">
        <v>19</v>
      </c>
      <c r="AJ19" s="15" t="s">
        <v>20</v>
      </c>
      <c r="AK19" s="15" t="s">
        <v>27</v>
      </c>
      <c r="AL19" s="15" t="s">
        <v>25</v>
      </c>
      <c r="AN19" s="21">
        <v>44525</v>
      </c>
    </row>
    <row r="20" spans="4:40" ht="3.95" customHeight="1" x14ac:dyDescent="0.25">
      <c r="D20" s="17"/>
      <c r="E20" s="17"/>
      <c r="F20" s="17"/>
      <c r="G20" s="17"/>
      <c r="H20" s="17"/>
      <c r="I20" s="17"/>
      <c r="J20" s="19"/>
      <c r="K20" s="19"/>
      <c r="L20" s="17"/>
      <c r="M20" s="1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7"/>
      <c r="Y20" s="17"/>
      <c r="Z20" s="18"/>
      <c r="AA20" s="19"/>
      <c r="AB20" s="19"/>
      <c r="AC20" s="17"/>
      <c r="AD20" s="17"/>
      <c r="AE20" s="19"/>
      <c r="AF20" s="19"/>
      <c r="AG20" s="19"/>
      <c r="AH20" s="19"/>
      <c r="AI20" s="19"/>
      <c r="AJ20" s="19"/>
      <c r="AK20" s="19"/>
      <c r="AL20" s="19"/>
      <c r="AN20" s="21">
        <v>44554</v>
      </c>
    </row>
    <row r="21" spans="4:40" x14ac:dyDescent="0.25">
      <c r="D21" s="6" cm="1">
        <f t="array" aca="1" ref="D21:E771" ca="1">_xll.BDH(E6,E$1, $E$4,$E$5,"sort=d","Period", "D")</f>
        <v>46078</v>
      </c>
      <c r="E21" s="28">
        <f ca="1"/>
        <v>297.62</v>
      </c>
      <c r="F21" s="29" cm="1">
        <f t="array" aca="1" ref="F21" ca="1">_xll.FDS($E$7,"P_BETA_LOCIDX("&amp;$AG21&amp;","&amp;$AL21&amp;",,"""&amp;$E$9&amp;""")")</f>
        <v>1.6180213999999999</v>
      </c>
      <c r="G21" s="30">
        <f ca="1">+O21-K21</f>
        <v>-2.8530988933533556E-2</v>
      </c>
      <c r="H21" s="30">
        <f t="shared" ref="H21:J36" ca="1" si="0">+P21-L21</f>
        <v>4.0711951415665457E-2</v>
      </c>
      <c r="I21" s="30">
        <f t="shared" ca="1" si="0"/>
        <v>4.1972684446178569E-2</v>
      </c>
      <c r="J21" s="30">
        <f t="shared" ca="1" si="0"/>
        <v>9.3533774979598666E-2</v>
      </c>
      <c r="K21" s="30">
        <f ca="1">+X21*$F21</f>
        <v>1.4876849608286608E-2</v>
      </c>
      <c r="L21" s="30">
        <f t="shared" ref="L21:N36" ca="1" si="1">+Y21*$F21</f>
        <v>6.4564130651796343E-4</v>
      </c>
      <c r="M21" s="30">
        <f t="shared" ca="1" si="1"/>
        <v>-7.8876978230591425E-3</v>
      </c>
      <c r="N21" s="30">
        <f ca="1">+AA21*$F21</f>
        <v>3.1343388827189601E-2</v>
      </c>
      <c r="O21" s="30">
        <f ca="1">+S21/T21-1</f>
        <v>-1.365413932524695E-2</v>
      </c>
      <c r="P21" s="30">
        <f ca="1">+S21/U21-1</f>
        <v>4.1357592722183423E-2</v>
      </c>
      <c r="Q21" s="30">
        <f ca="1">+S21/V21-1</f>
        <v>3.4084986623119429E-2</v>
      </c>
      <c r="R21" s="30">
        <f ca="1">+S21/W21-1</f>
        <v>0.12487716380678826</v>
      </c>
      <c r="S21" s="9" cm="1">
        <f t="array" aca="1" ref="S21" ca="1">_xll.BDH($E$6,"PX LAST",AG21)</f>
        <v>297.62</v>
      </c>
      <c r="T21" s="9" cm="1">
        <f t="array" aca="1" ref="T21" ca="1">_xll.BDH($E$6,"PX LAST",AH21)</f>
        <v>301.74</v>
      </c>
      <c r="U21" s="9" cm="1">
        <f t="array" aca="1" ref="U21" ca="1">_xll.BDH($E$6,"PX LAST",AI21)</f>
        <v>285.8</v>
      </c>
      <c r="V21" s="9" cm="1">
        <f t="array" aca="1" ref="V21" ca="1">_xll.BDH($E$6,"PX LAST",AJ21)</f>
        <v>287.81</v>
      </c>
      <c r="W21" s="9" cm="1">
        <f t="array" aca="1" ref="W21" ca="1">_xll.BDH($E$6,"PX LAST",AK21)</f>
        <v>264.58</v>
      </c>
      <c r="X21" s="24">
        <f ca="1">+AB21/AC21-1</f>
        <v>9.1944702389514799E-3</v>
      </c>
      <c r="Y21" s="24">
        <f ca="1">+AB21/AD21-1</f>
        <v>3.9903137654295762E-4</v>
      </c>
      <c r="Z21" s="24">
        <f ca="1">+AB21/AE21-1</f>
        <v>-4.8749032757287036E-3</v>
      </c>
      <c r="AA21" s="24">
        <f ca="1">+AB21/AF21-1</f>
        <v>1.9371430332868034E-2</v>
      </c>
      <c r="AB21" s="9" cm="1">
        <f t="array" aca="1" ref="AB21" ca="1">_xll.BDH($E$8,"PX LAST",AG21)</f>
        <v>6944.58</v>
      </c>
      <c r="AC21" s="9" cm="1">
        <f t="array" aca="1" ref="AC21" ca="1">_xll.BDH($E$8,"PX LAST",AH21)</f>
        <v>6881.31</v>
      </c>
      <c r="AD21" s="9" cm="1">
        <f t="array" aca="1" ref="AD21" ca="1">_xll.BDH($E$8,"PX LAST",AI21)</f>
        <v>6941.81</v>
      </c>
      <c r="AE21" s="9" cm="1">
        <f t="array" aca="1" ref="AE21" ca="1">_xll.BDH($E$8,"PX LAST",AJ21)</f>
        <v>6978.6</v>
      </c>
      <c r="AF21" s="9" cm="1">
        <f t="array" aca="1" ref="AF21" ca="1">_xll.BDH($E$8,"PX LAST",AK21)</f>
        <v>6812.61</v>
      </c>
      <c r="AG21" s="20">
        <f ca="1">+WORKDAY(D21, 0, $AN$2:$AN$100)</f>
        <v>46078</v>
      </c>
      <c r="AH21" s="22">
        <f ca="1">+WORKDAY($AG21, -5, $AN$2:$AN$100)</f>
        <v>46071</v>
      </c>
      <c r="AI21" s="22">
        <f ca="1">+WORKDAY($AG21, -10, $AN$2:$AN$100)</f>
        <v>46063</v>
      </c>
      <c r="AJ21" s="22">
        <f ca="1">+WORKDAY($AG21, -20, $AN$2:$AN$100)</f>
        <v>46049</v>
      </c>
      <c r="AK21" s="22">
        <f ca="1">+WORKDAY($AG21, -60, $AN$2:$AN$100)</f>
        <v>45987</v>
      </c>
      <c r="AL21" s="22">
        <f ca="1">+WORKDAY($AG21, -120, $AN$2:$AN$100)</f>
        <v>45903</v>
      </c>
      <c r="AN21" s="21">
        <v>44578</v>
      </c>
    </row>
    <row r="22" spans="4:40" x14ac:dyDescent="0.25">
      <c r="D22" s="6">
        <f ca="1"/>
        <v>46077</v>
      </c>
      <c r="E22" s="28">
        <f ca="1"/>
        <v>295.77</v>
      </c>
      <c r="F22" s="29" cm="1">
        <f t="array" aca="1" ref="F22" ca="1">_xll.FDS($E$7,"P_BETA_LOCIDX("&amp;$AG22&amp;","&amp;$AL22&amp;",,"""&amp;$E$9&amp;""")")</f>
        <v>1.6217550000000001</v>
      </c>
      <c r="G22" s="30">
        <f t="shared" ref="G22:J85" ca="1" si="2">+O22-K22</f>
        <v>-2.8217029748218665E-2</v>
      </c>
      <c r="H22" s="30">
        <f t="shared" ca="1" si="0"/>
        <v>-2.217289921664891E-3</v>
      </c>
      <c r="I22" s="30">
        <f t="shared" ca="1" si="0"/>
        <v>4.5349743308263121E-2</v>
      </c>
      <c r="J22" s="30">
        <f t="shared" ca="1" si="0"/>
        <v>0.10724056110914923</v>
      </c>
      <c r="K22" s="30">
        <f t="shared" ref="K22:N85" ca="1" si="3">+X22*$F22</f>
        <v>1.1102846576611489E-2</v>
      </c>
      <c r="L22" s="30">
        <f t="shared" ca="1" si="1"/>
        <v>-1.7405501685614198E-2</v>
      </c>
      <c r="M22" s="30">
        <f t="shared" ca="1" si="1"/>
        <v>-1.4037633402060089E-2</v>
      </c>
      <c r="N22" s="30">
        <f t="shared" ca="1" si="1"/>
        <v>2.9767857758340146E-2</v>
      </c>
      <c r="O22" s="30">
        <f t="shared" ref="O22:O85" ca="1" si="4">+S22/T22-1</f>
        <v>-1.7114183171607178E-2</v>
      </c>
      <c r="P22" s="30">
        <f t="shared" ref="P22:P85" ca="1" si="5">+S22/U22-1</f>
        <v>-1.9622791607279089E-2</v>
      </c>
      <c r="Q22" s="30">
        <f t="shared" ref="Q22:Q85" ca="1" si="6">+S22/V22-1</f>
        <v>3.1312109906203034E-2</v>
      </c>
      <c r="R22" s="30">
        <f t="shared" ref="R22:R85" ca="1" si="7">+S22/W22-1</f>
        <v>0.13700841886748938</v>
      </c>
      <c r="S22" s="9" cm="1">
        <f t="array" aca="1" ref="S22" ca="1">_xll.BDH($E$6,"PX LAST",AG22)</f>
        <v>295.77</v>
      </c>
      <c r="T22" s="9" cm="1">
        <f t="array" aca="1" ref="T22" ca="1">_xll.BDH($E$6,"PX LAST",AH22)</f>
        <v>300.92</v>
      </c>
      <c r="U22" s="9" cm="1">
        <f t="array" aca="1" ref="U22" ca="1">_xll.BDH($E$6,"PX LAST",AI22)</f>
        <v>301.69</v>
      </c>
      <c r="V22" s="9" cm="1">
        <f t="array" aca="1" ref="V22" ca="1">_xll.BDH($E$6,"PX LAST",AJ22)</f>
        <v>286.79000000000002</v>
      </c>
      <c r="W22" s="9" cm="1">
        <f t="array" aca="1" ref="W22" ca="1">_xll.BDH($E$6,"PX LAST",AK22)</f>
        <v>260.13</v>
      </c>
      <c r="X22" s="24">
        <f t="shared" ref="X22:X85" ca="1" si="8">+AB22/AC22-1</f>
        <v>6.8461922895945992E-3</v>
      </c>
      <c r="Y22" s="24">
        <f t="shared" ref="Y22:Y85" ca="1" si="9">+AB22/AD22-1</f>
        <v>-1.0732509957184777E-2</v>
      </c>
      <c r="Z22" s="24">
        <f t="shared" ref="Z22:Z85" ca="1" si="10">+AB22/AE22-1</f>
        <v>-8.6558286560300957E-3</v>
      </c>
      <c r="AA22" s="24">
        <f t="shared" ref="AA22:AA85" ca="1" si="11">+AB22/AF22-1</f>
        <v>1.8355335891266034E-2</v>
      </c>
      <c r="AB22" s="9" cm="1">
        <f t="array" aca="1" ref="AB22" ca="1">_xll.BDH($E$8,"PX LAST",AG22)</f>
        <v>6890.07</v>
      </c>
      <c r="AC22" s="9" cm="1">
        <f t="array" aca="1" ref="AC22" ca="1">_xll.BDH($E$8,"PX LAST",AH22)</f>
        <v>6843.22</v>
      </c>
      <c r="AD22" s="9" cm="1">
        <f t="array" aca="1" ref="AD22" ca="1">_xll.BDH($E$8,"PX LAST",AI22)</f>
        <v>6964.82</v>
      </c>
      <c r="AE22" s="9" cm="1">
        <f t="array" aca="1" ref="AE22" ca="1">_xll.BDH($E$8,"PX LAST",AJ22)</f>
        <v>6950.23</v>
      </c>
      <c r="AF22" s="9" cm="1">
        <f t="array" aca="1" ref="AF22" ca="1">_xll.BDH($E$8,"PX LAST",AK22)</f>
        <v>6765.88</v>
      </c>
      <c r="AG22" s="20">
        <f ca="1">+WORKDAY(D22, 0, $AN$2:$AN$59)</f>
        <v>46077</v>
      </c>
      <c r="AH22" s="22">
        <f t="shared" ref="AH22:AH85" ca="1" si="12">+WORKDAY($AG22, -5, $AN$2:$AN$100)</f>
        <v>46070</v>
      </c>
      <c r="AI22" s="22">
        <f t="shared" ref="AI22:AI85" ca="1" si="13">+WORKDAY($AG22, -10, $AN$2:$AN$100)</f>
        <v>46062</v>
      </c>
      <c r="AJ22" s="22">
        <f t="shared" ref="AJ22:AJ85" ca="1" si="14">+WORKDAY($AG22, -20, $AN$2:$AN$100)</f>
        <v>46048</v>
      </c>
      <c r="AK22" s="22">
        <f t="shared" ref="AK22:AK85" ca="1" si="15">+WORKDAY($AG22, -60, $AN$2:$AN$100)</f>
        <v>45986</v>
      </c>
      <c r="AL22" s="22">
        <f t="shared" ref="AL22:AL85" ca="1" si="16">+WORKDAY($AG22, -120, $AN$2:$AN$100)</f>
        <v>45902</v>
      </c>
      <c r="AN22" s="21">
        <v>44613</v>
      </c>
    </row>
    <row r="23" spans="4:40" x14ac:dyDescent="0.25">
      <c r="D23" s="6">
        <f ca="1"/>
        <v>46076</v>
      </c>
      <c r="E23" s="28">
        <f ca="1"/>
        <v>286.51</v>
      </c>
      <c r="F23" s="29" cm="1">
        <f t="array" aca="1" ref="F23" ca="1">_xll.FDS($E$7,"P_BETA_LOCIDX("&amp;$AG23&amp;","&amp;$AL23&amp;",,"""&amp;$E$9&amp;""")")</f>
        <v>1.6191827000000001</v>
      </c>
      <c r="G23" s="30">
        <f t="shared" ca="1" si="2"/>
        <v>-6.7420795919354917E-2</v>
      </c>
      <c r="H23" s="30">
        <f t="shared" ca="1" si="0"/>
        <v>-6.9139278818605127E-2</v>
      </c>
      <c r="I23" s="30">
        <f t="shared" ca="1" si="0"/>
        <v>1.8578859856178746E-2</v>
      </c>
      <c r="J23" s="30">
        <f t="shared" ca="1" si="0"/>
        <v>9.36152504421153E-2</v>
      </c>
      <c r="K23" s="30">
        <f t="shared" ca="1" si="3"/>
        <v>3.742312824287645E-4</v>
      </c>
      <c r="L23" s="30">
        <f t="shared" ca="1" si="1"/>
        <v>-2.2084117000851135E-2</v>
      </c>
      <c r="M23" s="30">
        <f t="shared" ca="1" si="1"/>
        <v>-1.8229710035991002E-2</v>
      </c>
      <c r="N23" s="30">
        <f t="shared" ca="1" si="1"/>
        <v>3.2028092189401586E-2</v>
      </c>
      <c r="O23" s="30">
        <f t="shared" ca="1" si="4"/>
        <v>-6.7046564636926154E-2</v>
      </c>
      <c r="P23" s="30">
        <f t="shared" ca="1" si="5"/>
        <v>-9.1223395819456266E-2</v>
      </c>
      <c r="Q23" s="30">
        <f t="shared" ca="1" si="6"/>
        <v>3.491498201877441E-4</v>
      </c>
      <c r="R23" s="30">
        <f t="shared" ca="1" si="7"/>
        <v>0.12564334263151689</v>
      </c>
      <c r="S23" s="9" cm="1">
        <f t="array" aca="1" ref="S23" ca="1">_xll.BDH($E$6,"PX LAST",AG23)</f>
        <v>286.51</v>
      </c>
      <c r="T23" s="9" cm="1">
        <f t="array" aca="1" ref="T23" ca="1">_xll.BDH($E$6,"PX LAST",AH23)</f>
        <v>307.10000000000002</v>
      </c>
      <c r="U23" s="9" cm="1">
        <f t="array" aca="1" ref="U23" ca="1">_xll.BDH($E$6,"PX LAST",AI23)</f>
        <v>315.27</v>
      </c>
      <c r="V23" s="9" cm="1">
        <f t="array" aca="1" ref="V23" ca="1">_xll.BDH($E$6,"PX LAST",AJ23)</f>
        <v>286.41000000000003</v>
      </c>
      <c r="W23" s="9" cm="1">
        <f t="array" aca="1" ref="W23" ca="1">_xll.BDH($E$6,"PX LAST",AK23)</f>
        <v>254.53</v>
      </c>
      <c r="X23" s="24">
        <f t="shared" ca="1" si="8"/>
        <v>2.3112356772880815E-4</v>
      </c>
      <c r="Y23" s="24">
        <f t="shared" ca="1" si="9"/>
        <v>-1.363905197409232E-2</v>
      </c>
      <c r="Z23" s="24">
        <f t="shared" ca="1" si="10"/>
        <v>-1.125858745649333E-2</v>
      </c>
      <c r="AA23" s="24">
        <f t="shared" ca="1" si="11"/>
        <v>1.9780406614646751E-2</v>
      </c>
      <c r="AB23" s="9" cm="1">
        <f t="array" aca="1" ref="AB23" ca="1">_xll.BDH($E$8,"PX LAST",AG23)</f>
        <v>6837.75</v>
      </c>
      <c r="AC23" s="9" cm="1">
        <f t="array" aca="1" ref="AC23" ca="1">_xll.BDH($E$8,"PX LAST",AH23)</f>
        <v>6836.17</v>
      </c>
      <c r="AD23" s="9" cm="1">
        <f t="array" aca="1" ref="AD23" ca="1">_xll.BDH($E$8,"PX LAST",AI23)</f>
        <v>6932.3</v>
      </c>
      <c r="AE23" s="9" cm="1">
        <f t="array" aca="1" ref="AE23" ca="1">_xll.BDH($E$8,"PX LAST",AJ23)</f>
        <v>6915.61</v>
      </c>
      <c r="AF23" s="9" cm="1">
        <f t="array" aca="1" ref="AF23" ca="1">_xll.BDH($E$8,"PX LAST",AK23)</f>
        <v>6705.12</v>
      </c>
      <c r="AG23" s="20">
        <f t="shared" ref="AG23:AG86" ca="1" si="17">+WORKDAY(D23, 0, $AN$2:$AN$59)</f>
        <v>46076</v>
      </c>
      <c r="AH23" s="22">
        <f t="shared" ca="1" si="12"/>
        <v>46066</v>
      </c>
      <c r="AI23" s="22">
        <f t="shared" ca="1" si="13"/>
        <v>46059</v>
      </c>
      <c r="AJ23" s="22">
        <f t="shared" ca="1" si="14"/>
        <v>46045</v>
      </c>
      <c r="AK23" s="22">
        <f t="shared" ca="1" si="15"/>
        <v>45985</v>
      </c>
      <c r="AL23" s="22">
        <f t="shared" ca="1" si="16"/>
        <v>45898</v>
      </c>
      <c r="AN23" s="21">
        <v>44666</v>
      </c>
    </row>
    <row r="24" spans="4:40" x14ac:dyDescent="0.25">
      <c r="D24" s="6">
        <f ca="1"/>
        <v>46073</v>
      </c>
      <c r="E24" s="28">
        <f ca="1"/>
        <v>296.99</v>
      </c>
      <c r="F24" s="29" cm="1">
        <f t="array" aca="1" ref="F24" ca="1">_xll.FDS($E$7,"P_BETA_LOCIDX("&amp;$AG24&amp;","&amp;$AL24&amp;",,"""&amp;$E$9&amp;""")")</f>
        <v>1.5787586</v>
      </c>
      <c r="G24" s="30">
        <f t="shared" ca="1" si="2"/>
        <v>-1.3405077267076574E-2</v>
      </c>
      <c r="H24" s="30">
        <f t="shared" ca="1" si="0"/>
        <v>-3.4150046489313121E-2</v>
      </c>
      <c r="I24" s="30">
        <f t="shared" ca="1" si="0"/>
        <v>2.4486208904190326E-2</v>
      </c>
      <c r="J24" s="30">
        <f t="shared" ca="1" si="0"/>
        <v>0.10716414831080744</v>
      </c>
      <c r="K24" s="30">
        <f t="shared" ca="1" si="3"/>
        <v>1.7733642415363741E-2</v>
      </c>
      <c r="L24" s="30">
        <f t="shared" ca="1" si="1"/>
        <v>2.5802522364968428E-2</v>
      </c>
      <c r="M24" s="30">
        <f t="shared" ca="1" si="1"/>
        <v>-8.7691683829108969E-4</v>
      </c>
      <c r="N24" s="30">
        <f t="shared" ca="1" si="1"/>
        <v>7.3288174913486173E-2</v>
      </c>
      <c r="O24" s="30">
        <f t="shared" ca="1" si="4"/>
        <v>4.3285651482871668E-3</v>
      </c>
      <c r="P24" s="30">
        <f t="shared" ca="1" si="5"/>
        <v>-8.3475241243446963E-3</v>
      </c>
      <c r="Q24" s="30">
        <f t="shared" ca="1" si="6"/>
        <v>2.3609292065899234E-2</v>
      </c>
      <c r="R24" s="30">
        <f t="shared" ca="1" si="7"/>
        <v>0.18045232322429361</v>
      </c>
      <c r="S24" s="9" cm="1">
        <f t="array" aca="1" ref="S24" ca="1">_xll.BDH($E$6,"PX LAST",AG24)</f>
        <v>296.99</v>
      </c>
      <c r="T24" s="9" cm="1">
        <f t="array" aca="1" ref="T24" ca="1">_xll.BDH($E$6,"PX LAST",AH24)</f>
        <v>295.70999999999998</v>
      </c>
      <c r="U24" s="9" cm="1">
        <f t="array" aca="1" ref="U24" ca="1">_xll.BDH($E$6,"PX LAST",AI24)</f>
        <v>299.49</v>
      </c>
      <c r="V24" s="9" cm="1">
        <f t="array" aca="1" ref="V24" ca="1">_xll.BDH($E$6,"PX LAST",AJ24)</f>
        <v>290.14</v>
      </c>
      <c r="W24" s="9" cm="1">
        <f t="array" aca="1" ref="W24" ca="1">_xll.BDH($E$6,"PX LAST",AK24)</f>
        <v>251.59</v>
      </c>
      <c r="X24" s="24">
        <f t="shared" ca="1" si="8"/>
        <v>1.123264976378513E-2</v>
      </c>
      <c r="Y24" s="24">
        <f t="shared" ca="1" si="9"/>
        <v>1.6343551423864566E-2</v>
      </c>
      <c r="Z24" s="24">
        <f t="shared" ca="1" si="10"/>
        <v>-5.5544706979970826E-4</v>
      </c>
      <c r="AA24" s="24">
        <f t="shared" ca="1" si="11"/>
        <v>4.6421393944258593E-2</v>
      </c>
      <c r="AB24" s="9" cm="1">
        <f t="array" aca="1" ref="AB24" ca="1">_xll.BDH($E$8,"PX LAST",AG24)</f>
        <v>6909.51</v>
      </c>
      <c r="AC24" s="9" cm="1">
        <f t="array" aca="1" ref="AC24" ca="1">_xll.BDH($E$8,"PX LAST",AH24)</f>
        <v>6832.76</v>
      </c>
      <c r="AD24" s="9" cm="1">
        <f t="array" aca="1" ref="AD24" ca="1">_xll.BDH($E$8,"PX LAST",AI24)</f>
        <v>6798.4</v>
      </c>
      <c r="AE24" s="9" cm="1">
        <f t="array" aca="1" ref="AE24" ca="1">_xll.BDH($E$8,"PX LAST",AJ24)</f>
        <v>6913.35</v>
      </c>
      <c r="AF24" s="9" cm="1">
        <f t="array" aca="1" ref="AF24" ca="1">_xll.BDH($E$8,"PX LAST",AK24)</f>
        <v>6602.99</v>
      </c>
      <c r="AG24" s="20">
        <f t="shared" ca="1" si="17"/>
        <v>46073</v>
      </c>
      <c r="AH24" s="22">
        <f t="shared" ca="1" si="12"/>
        <v>46065</v>
      </c>
      <c r="AI24" s="22">
        <f t="shared" ca="1" si="13"/>
        <v>46058</v>
      </c>
      <c r="AJ24" s="22">
        <f t="shared" ca="1" si="14"/>
        <v>46044</v>
      </c>
      <c r="AK24" s="22">
        <f t="shared" ca="1" si="15"/>
        <v>45982</v>
      </c>
      <c r="AL24" s="22">
        <f t="shared" ca="1" si="16"/>
        <v>45897</v>
      </c>
      <c r="AN24" s="21">
        <v>44711</v>
      </c>
    </row>
    <row r="25" spans="4:40" x14ac:dyDescent="0.25">
      <c r="D25" s="6">
        <f ca="1"/>
        <v>46072</v>
      </c>
      <c r="E25" s="28">
        <f ca="1"/>
        <v>300.06</v>
      </c>
      <c r="F25" s="29" cm="1">
        <f t="array" aca="1" ref="F25" ca="1">_xll.FDS($E$7,"P_BETA_LOCIDX("&amp;$AG25&amp;","&amp;$AL25&amp;",,"""&amp;$E$9&amp;""")")</f>
        <v>1.6013712</v>
      </c>
      <c r="G25" s="30">
        <f ca="1">+O25-K25</f>
        <v>8.8519757025382027E-3</v>
      </c>
      <c r="H25" s="30">
        <f t="shared" ca="1" si="0"/>
        <v>4.9960528086133178E-4</v>
      </c>
      <c r="I25" s="30">
        <f t="shared" ca="1" si="0"/>
        <v>5.4416965886176435E-2</v>
      </c>
      <c r="J25" s="30">
        <f t="shared" ca="1" si="0"/>
        <v>0.13578022356216493</v>
      </c>
      <c r="K25" s="30">
        <f t="shared" ca="1" si="3"/>
        <v>-1.835880873878298E-2</v>
      </c>
      <c r="L25" s="30">
        <f t="shared" ca="1" si="1"/>
        <v>-4.8464214868539747E-3</v>
      </c>
      <c r="M25" s="30">
        <f t="shared" ca="1" si="1"/>
        <v>-3.1977954825890692E-3</v>
      </c>
      <c r="N25" s="30">
        <f t="shared" ca="1" si="1"/>
        <v>7.9135963983385377E-2</v>
      </c>
      <c r="O25" s="30">
        <f t="shared" ca="1" si="4"/>
        <v>-9.5068330362447773E-3</v>
      </c>
      <c r="P25" s="30">
        <f t="shared" ca="1" si="5"/>
        <v>-4.346816205992643E-3</v>
      </c>
      <c r="Q25" s="30">
        <f t="shared" ca="1" si="6"/>
        <v>5.1219170403587366E-2</v>
      </c>
      <c r="R25" s="30">
        <f t="shared" ca="1" si="7"/>
        <v>0.21491618754555031</v>
      </c>
      <c r="S25" s="9" cm="1">
        <f t="array" aca="1" ref="S25" ca="1">_xll.BDH($E$6,"PX LAST",AG25)</f>
        <v>300.06</v>
      </c>
      <c r="T25" s="9" cm="1">
        <f t="array" aca="1" ref="T25" ca="1">_xll.BDH($E$6,"PX LAST",AH25)</f>
        <v>302.94</v>
      </c>
      <c r="U25" s="9" cm="1">
        <f t="array" aca="1" ref="U25" ca="1">_xll.BDH($E$6,"PX LAST",AI25)</f>
        <v>301.37</v>
      </c>
      <c r="V25" s="9" cm="1">
        <f t="array" aca="1" ref="V25" ca="1">_xll.BDH($E$6,"PX LAST",AJ25)</f>
        <v>285.44</v>
      </c>
      <c r="W25" s="9" cm="1">
        <f t="array" aca="1" ref="W25" ca="1">_xll.BDH($E$6,"PX LAST",AK25)</f>
        <v>246.98</v>
      </c>
      <c r="X25" s="24">
        <f t="shared" ca="1" si="8"/>
        <v>-1.1464430444848128E-2</v>
      </c>
      <c r="Y25" s="24">
        <f t="shared" ca="1" si="9"/>
        <v>-3.0264197875258247E-3</v>
      </c>
      <c r="Z25" s="24">
        <f t="shared" ca="1" si="10"/>
        <v>-1.9969108240419642E-3</v>
      </c>
      <c r="AA25" s="24">
        <f t="shared" ca="1" si="11"/>
        <v>4.9417626583633689E-2</v>
      </c>
      <c r="AB25" s="9" cm="1">
        <f t="array" aca="1" ref="AB25" ca="1">_xll.BDH($E$8,"PX LAST",AG25)</f>
        <v>6861.89</v>
      </c>
      <c r="AC25" s="9" cm="1">
        <f t="array" aca="1" ref="AC25" ca="1">_xll.BDH($E$8,"PX LAST",AH25)</f>
        <v>6941.47</v>
      </c>
      <c r="AD25" s="9" cm="1">
        <f t="array" aca="1" ref="AD25" ca="1">_xll.BDH($E$8,"PX LAST",AI25)</f>
        <v>6882.72</v>
      </c>
      <c r="AE25" s="9" cm="1">
        <f t="array" aca="1" ref="AE25" ca="1">_xll.BDH($E$8,"PX LAST",AJ25)</f>
        <v>6875.62</v>
      </c>
      <c r="AF25" s="9" cm="1">
        <f t="array" aca="1" ref="AF25" ca="1">_xll.BDH($E$8,"PX LAST",AK25)</f>
        <v>6538.76</v>
      </c>
      <c r="AG25" s="20">
        <f t="shared" ca="1" si="17"/>
        <v>46072</v>
      </c>
      <c r="AH25" s="22">
        <f t="shared" ca="1" si="12"/>
        <v>46064</v>
      </c>
      <c r="AI25" s="22">
        <f t="shared" ca="1" si="13"/>
        <v>46057</v>
      </c>
      <c r="AJ25" s="22">
        <f t="shared" ca="1" si="14"/>
        <v>46043</v>
      </c>
      <c r="AK25" s="22">
        <f t="shared" ca="1" si="15"/>
        <v>45981</v>
      </c>
      <c r="AL25" s="22">
        <f t="shared" ca="1" si="16"/>
        <v>45896</v>
      </c>
      <c r="AN25" s="21">
        <v>44732</v>
      </c>
    </row>
    <row r="26" spans="4:40" x14ac:dyDescent="0.25">
      <c r="D26" s="6">
        <f ca="1"/>
        <v>46071</v>
      </c>
      <c r="E26" s="28">
        <f ca="1"/>
        <v>301.74</v>
      </c>
      <c r="F26" s="29" cm="1">
        <f t="array" aca="1" ref="F26" ca="1">_xll.FDS($E$7,"P_BETA_LOCIDX("&amp;$AG26&amp;","&amp;$AL26&amp;",,"""&amp;$E$9&amp;""")")</f>
        <v>1.6001456000000001</v>
      </c>
      <c r="G26" s="30">
        <f t="shared" ca="1" si="2"/>
        <v>6.9719026949901911E-2</v>
      </c>
      <c r="H26" s="30">
        <f t="shared" ca="1" si="0"/>
        <v>2.0871628813179631E-3</v>
      </c>
      <c r="I26" s="30">
        <f t="shared" ca="1" si="0"/>
        <v>7.2745885271260399E-2</v>
      </c>
      <c r="J26" s="30">
        <f t="shared" ca="1" si="0"/>
        <v>0.13805983985685411</v>
      </c>
      <c r="K26" s="30">
        <f t="shared" ca="1" si="3"/>
        <v>-1.3945758930307759E-2</v>
      </c>
      <c r="L26" s="30">
        <f t="shared" ca="1" si="1"/>
        <v>-8.4427462448375644E-3</v>
      </c>
      <c r="M26" s="30">
        <f t="shared" ca="1" si="1"/>
        <v>1.9881577069411582E-2</v>
      </c>
      <c r="N26" s="30">
        <f t="shared" ca="1" si="1"/>
        <v>5.7613008455081105E-2</v>
      </c>
      <c r="O26" s="30">
        <f t="shared" ca="1" si="4"/>
        <v>5.5773268019594147E-2</v>
      </c>
      <c r="P26" s="30">
        <f t="shared" ca="1" si="5"/>
        <v>-6.3555833635196013E-3</v>
      </c>
      <c r="Q26" s="30">
        <f t="shared" ca="1" si="6"/>
        <v>9.2627462340671984E-2</v>
      </c>
      <c r="R26" s="30">
        <f t="shared" ca="1" si="7"/>
        <v>0.19567284831193521</v>
      </c>
      <c r="S26" s="9" cm="1">
        <f t="array" aca="1" ref="S26" ca="1">_xll.BDH($E$6,"PX LAST",AG26)</f>
        <v>301.74</v>
      </c>
      <c r="T26" s="9" cm="1">
        <f t="array" aca="1" ref="T26" ca="1">_xll.BDH($E$6,"PX LAST",AH26)</f>
        <v>285.8</v>
      </c>
      <c r="U26" s="9" cm="1">
        <f t="array" aca="1" ref="U26" ca="1">_xll.BDH($E$6,"PX LAST",AI26)</f>
        <v>303.67</v>
      </c>
      <c r="V26" s="9" cm="1">
        <f t="array" aca="1" ref="V26" ca="1">_xll.BDH($E$6,"PX LAST",AJ26)</f>
        <v>276.16000000000003</v>
      </c>
      <c r="W26" s="9" cm="1">
        <f t="array" aca="1" ref="W26" ca="1">_xll.BDH($E$6,"PX LAST",AK26)</f>
        <v>252.36</v>
      </c>
      <c r="X26" s="24">
        <f t="shared" ca="1" si="8"/>
        <v>-8.7153062385746383E-3</v>
      </c>
      <c r="Y26" s="24">
        <f t="shared" ca="1" si="9"/>
        <v>-5.2762362655233153E-3</v>
      </c>
      <c r="Z26" s="24">
        <f t="shared" ca="1" si="10"/>
        <v>1.2424855006576641E-2</v>
      </c>
      <c r="AA26" s="24">
        <f t="shared" ca="1" si="11"/>
        <v>3.6004853842726003E-2</v>
      </c>
      <c r="AB26" s="9" cm="1">
        <f t="array" aca="1" ref="AB26" ca="1">_xll.BDH($E$8,"PX LAST",AG26)</f>
        <v>6881.31</v>
      </c>
      <c r="AC26" s="9" cm="1">
        <f t="array" aca="1" ref="AC26" ca="1">_xll.BDH($E$8,"PX LAST",AH26)</f>
        <v>6941.81</v>
      </c>
      <c r="AD26" s="9" cm="1">
        <f t="array" aca="1" ref="AD26" ca="1">_xll.BDH($E$8,"PX LAST",AI26)</f>
        <v>6917.81</v>
      </c>
      <c r="AE26" s="9" cm="1">
        <f t="array" aca="1" ref="AE26" ca="1">_xll.BDH($E$8,"PX LAST",AJ26)</f>
        <v>6796.86</v>
      </c>
      <c r="AF26" s="9" cm="1">
        <f t="array" aca="1" ref="AF26" ca="1">_xll.BDH($E$8,"PX LAST",AK26)</f>
        <v>6642.16</v>
      </c>
      <c r="AG26" s="20">
        <f t="shared" ca="1" si="17"/>
        <v>46071</v>
      </c>
      <c r="AH26" s="22">
        <f t="shared" ca="1" si="12"/>
        <v>46063</v>
      </c>
      <c r="AI26" s="22">
        <f t="shared" ca="1" si="13"/>
        <v>46056</v>
      </c>
      <c r="AJ26" s="22">
        <f t="shared" ca="1" si="14"/>
        <v>46042</v>
      </c>
      <c r="AK26" s="22">
        <f t="shared" ca="1" si="15"/>
        <v>45980</v>
      </c>
      <c r="AL26" s="22">
        <f t="shared" ca="1" si="16"/>
        <v>45895</v>
      </c>
      <c r="AN26" s="21">
        <v>44746</v>
      </c>
    </row>
    <row r="27" spans="4:40" x14ac:dyDescent="0.25">
      <c r="D27" s="6">
        <f ca="1"/>
        <v>46070</v>
      </c>
      <c r="E27" s="28">
        <f ca="1"/>
        <v>300.92</v>
      </c>
      <c r="F27" s="29" cm="1">
        <f t="array" aca="1" ref="F27" ca="1">_xll.FDS($E$7,"P_BETA_LOCIDX("&amp;$AG27&amp;","&amp;$AL27&amp;",,"""&amp;$E$9&amp;""")")</f>
        <v>1.5950423</v>
      </c>
      <c r="G27" s="30">
        <f t="shared" ca="1" si="2"/>
        <v>2.5295831304518162E-2</v>
      </c>
      <c r="H27" s="30">
        <f t="shared" ca="1" si="0"/>
        <v>4.0935278121834597E-2</v>
      </c>
      <c r="I27" s="30">
        <f t="shared" ca="1" si="0"/>
        <v>9.0739645363058341E-2</v>
      </c>
      <c r="J27" s="30">
        <f t="shared" ca="1" si="0"/>
        <v>0.15396593957396315</v>
      </c>
      <c r="K27" s="30">
        <f t="shared" ca="1" si="3"/>
        <v>-2.7848120077762144E-2</v>
      </c>
      <c r="L27" s="30">
        <f t="shared" ca="1" si="1"/>
        <v>-3.0458448034527554E-2</v>
      </c>
      <c r="M27" s="30">
        <f t="shared" ca="1" si="1"/>
        <v>-2.2245521867691912E-2</v>
      </c>
      <c r="N27" s="30">
        <f t="shared" ca="1" si="1"/>
        <v>5.4451055044942902E-2</v>
      </c>
      <c r="O27" s="30">
        <f t="shared" ca="1" si="4"/>
        <v>-2.5522887732439825E-3</v>
      </c>
      <c r="P27" s="30">
        <f t="shared" ca="1" si="5"/>
        <v>1.0476830087307043E-2</v>
      </c>
      <c r="Q27" s="30">
        <f t="shared" ca="1" si="6"/>
        <v>6.8494123495366432E-2</v>
      </c>
      <c r="R27" s="30">
        <f t="shared" ca="1" si="7"/>
        <v>0.20841699461890606</v>
      </c>
      <c r="S27" s="9" cm="1">
        <f t="array" aca="1" ref="S27" ca="1">_xll.BDH($E$6,"PX LAST",AG27)</f>
        <v>300.92</v>
      </c>
      <c r="T27" s="9" cm="1">
        <f t="array" aca="1" ref="T27" ca="1">_xll.BDH($E$6,"PX LAST",AH27)</f>
        <v>301.69</v>
      </c>
      <c r="U27" s="9" cm="1">
        <f t="array" aca="1" ref="U27" ca="1">_xll.BDH($E$6,"PX LAST",AI27)</f>
        <v>297.8</v>
      </c>
      <c r="V27" s="9" cm="1">
        <f t="array" aca="1" ref="V27" ca="1">_xll.BDH($E$6,"PX LAST",AJ27)</f>
        <v>281.63</v>
      </c>
      <c r="W27" s="9" cm="1">
        <f t="array" aca="1" ref="W27" ca="1">_xll.BDH($E$6,"PX LAST",AK27)</f>
        <v>249.02</v>
      </c>
      <c r="X27" s="24">
        <f t="shared" ca="1" si="8"/>
        <v>-1.745917338854408E-2</v>
      </c>
      <c r="Y27" s="24">
        <f t="shared" ca="1" si="9"/>
        <v>-1.9095699239153441E-2</v>
      </c>
      <c r="Z27" s="24">
        <f t="shared" ca="1" si="10"/>
        <v>-1.3946665782902379E-2</v>
      </c>
      <c r="AA27" s="24">
        <f t="shared" ca="1" si="11"/>
        <v>3.4137687160361141E-2</v>
      </c>
      <c r="AB27" s="9" cm="1">
        <f t="array" aca="1" ref="AB27" ca="1">_xll.BDH($E$8,"PX LAST",AG27)</f>
        <v>6843.22</v>
      </c>
      <c r="AC27" s="9" cm="1">
        <f t="array" aca="1" ref="AC27" ca="1">_xll.BDH($E$8,"PX LAST",AH27)</f>
        <v>6964.82</v>
      </c>
      <c r="AD27" s="9" cm="1">
        <f t="array" aca="1" ref="AD27" ca="1">_xll.BDH($E$8,"PX LAST",AI27)</f>
        <v>6976.44</v>
      </c>
      <c r="AE27" s="9" cm="1">
        <f t="array" aca="1" ref="AE27" ca="1">_xll.BDH($E$8,"PX LAST",AJ27)</f>
        <v>6940.01</v>
      </c>
      <c r="AF27" s="9" cm="1">
        <f t="array" aca="1" ref="AF27" ca="1">_xll.BDH($E$8,"PX LAST",AK27)</f>
        <v>6617.32</v>
      </c>
      <c r="AG27" s="20">
        <f t="shared" ca="1" si="17"/>
        <v>46070</v>
      </c>
      <c r="AH27" s="22">
        <f t="shared" ca="1" si="12"/>
        <v>46062</v>
      </c>
      <c r="AI27" s="22">
        <f t="shared" ca="1" si="13"/>
        <v>46055</v>
      </c>
      <c r="AJ27" s="22">
        <f t="shared" ca="1" si="14"/>
        <v>46038</v>
      </c>
      <c r="AK27" s="22">
        <f t="shared" ca="1" si="15"/>
        <v>45979</v>
      </c>
      <c r="AL27" s="22">
        <f t="shared" ca="1" si="16"/>
        <v>45894</v>
      </c>
      <c r="AN27" s="21">
        <v>44809</v>
      </c>
    </row>
    <row r="28" spans="4:40" x14ac:dyDescent="0.25">
      <c r="D28" s="6">
        <f ca="1"/>
        <v>46066</v>
      </c>
      <c r="E28" s="28">
        <f ca="1"/>
        <v>307.10000000000002</v>
      </c>
      <c r="F28" s="29" cm="1">
        <f t="array" aca="1" ref="F28" ca="1">_xll.FDS($E$7,"P_BETA_LOCIDX("&amp;$AG28&amp;","&amp;$AL28&amp;",,"""&amp;$E$9&amp;""")")</f>
        <v>1.6565274000000001</v>
      </c>
      <c r="G28" s="30">
        <f t="shared" ca="1" si="2"/>
        <v>-2.9432789985592567E-3</v>
      </c>
      <c r="H28" s="30">
        <f t="shared" ca="1" si="0"/>
        <v>8.5606395468177804E-2</v>
      </c>
      <c r="I28" s="30">
        <f t="shared" ca="1" si="0"/>
        <v>0.10751459538273925</v>
      </c>
      <c r="J28" s="30">
        <f t="shared" ca="1" si="0"/>
        <v>0.19844996077420524</v>
      </c>
      <c r="K28" s="30">
        <f t="shared" ca="1" si="3"/>
        <v>-2.2971016684505879E-2</v>
      </c>
      <c r="L28" s="30">
        <f t="shared" ca="1" si="1"/>
        <v>-2.4555364130721433E-2</v>
      </c>
      <c r="M28" s="30">
        <f t="shared" ca="1" si="1"/>
        <v>-2.5833781040165892E-2</v>
      </c>
      <c r="N28" s="30">
        <f t="shared" ca="1" si="1"/>
        <v>4.0655913983703232E-2</v>
      </c>
      <c r="O28" s="30">
        <f t="shared" ca="1" si="4"/>
        <v>-2.5914295683065136E-2</v>
      </c>
      <c r="P28" s="30">
        <f t="shared" ca="1" si="5"/>
        <v>6.1051031337456374E-2</v>
      </c>
      <c r="Q28" s="30">
        <f t="shared" ca="1" si="6"/>
        <v>8.1680814342573349E-2</v>
      </c>
      <c r="R28" s="30">
        <f t="shared" ca="1" si="7"/>
        <v>0.23910587475790845</v>
      </c>
      <c r="S28" s="9" cm="1">
        <f t="array" aca="1" ref="S28" ca="1">_xll.BDH($E$6,"PX LAST",AG28)</f>
        <v>307.10000000000002</v>
      </c>
      <c r="T28" s="9" cm="1">
        <f t="array" aca="1" ref="T28" ca="1">_xll.BDH($E$6,"PX LAST",AH28)</f>
        <v>315.27</v>
      </c>
      <c r="U28" s="9" cm="1">
        <f t="array" aca="1" ref="U28" ca="1">_xll.BDH($E$6,"PX LAST",AI28)</f>
        <v>289.43</v>
      </c>
      <c r="V28" s="9" cm="1">
        <f t="array" aca="1" ref="V28" ca="1">_xll.BDH($E$6,"PX LAST",AJ28)</f>
        <v>283.91000000000003</v>
      </c>
      <c r="W28" s="9" cm="1">
        <f t="array" aca="1" ref="W28" ca="1">_xll.BDH($E$6,"PX LAST",AK28)</f>
        <v>247.84</v>
      </c>
      <c r="X28" s="24">
        <f t="shared" ca="1" si="8"/>
        <v>-1.3866970558112035E-2</v>
      </c>
      <c r="Y28" s="24">
        <f t="shared" ca="1" si="9"/>
        <v>-1.4823397506567915E-2</v>
      </c>
      <c r="Z28" s="24">
        <f t="shared" ca="1" si="10"/>
        <v>-1.5595142609875268E-2</v>
      </c>
      <c r="AA28" s="24">
        <f t="shared" ca="1" si="11"/>
        <v>2.4542856329272444E-2</v>
      </c>
      <c r="AB28" s="9" cm="1">
        <f t="array" aca="1" ref="AB28" ca="1">_xll.BDH($E$8,"PX LAST",AG28)</f>
        <v>6836.17</v>
      </c>
      <c r="AC28" s="9" cm="1">
        <f t="array" aca="1" ref="AC28" ca="1">_xll.BDH($E$8,"PX LAST",AH28)</f>
        <v>6932.3</v>
      </c>
      <c r="AD28" s="9" cm="1">
        <f t="array" aca="1" ref="AD28" ca="1">_xll.BDH($E$8,"PX LAST",AI28)</f>
        <v>6939.03</v>
      </c>
      <c r="AE28" s="9" cm="1">
        <f t="array" aca="1" ref="AE28" ca="1">_xll.BDH($E$8,"PX LAST",AJ28)</f>
        <v>6944.47</v>
      </c>
      <c r="AF28" s="9" cm="1">
        <f t="array" aca="1" ref="AF28" ca="1">_xll.BDH($E$8,"PX LAST",AK28)</f>
        <v>6672.41</v>
      </c>
      <c r="AG28" s="20">
        <f t="shared" ca="1" si="17"/>
        <v>46066</v>
      </c>
      <c r="AH28" s="22">
        <f t="shared" ca="1" si="12"/>
        <v>46059</v>
      </c>
      <c r="AI28" s="22">
        <f t="shared" ca="1" si="13"/>
        <v>46052</v>
      </c>
      <c r="AJ28" s="22">
        <f t="shared" ca="1" si="14"/>
        <v>46037</v>
      </c>
      <c r="AK28" s="22">
        <f t="shared" ca="1" si="15"/>
        <v>45978</v>
      </c>
      <c r="AL28" s="22">
        <f t="shared" ca="1" si="16"/>
        <v>45891</v>
      </c>
      <c r="AN28" s="21">
        <v>44889</v>
      </c>
    </row>
    <row r="29" spans="4:40" x14ac:dyDescent="0.25">
      <c r="D29" s="6">
        <f ca="1"/>
        <v>46065</v>
      </c>
      <c r="E29" s="28">
        <f ca="1"/>
        <v>295.70999999999998</v>
      </c>
      <c r="F29" s="29" cm="1">
        <f t="array" aca="1" ref="F29" ca="1">_xll.FDS($E$7,"P_BETA_LOCIDX("&amp;$AG29&amp;","&amp;$AL29&amp;",,"""&amp;$E$9&amp;""")")</f>
        <v>1.6488978999999999</v>
      </c>
      <c r="G29" s="30">
        <f t="shared" ca="1" si="2"/>
        <v>-2.0955201451886188E-2</v>
      </c>
      <c r="H29" s="30">
        <f t="shared" ca="1" si="0"/>
        <v>4.3938047345774341E-2</v>
      </c>
      <c r="I29" s="30">
        <f t="shared" ca="1" si="0"/>
        <v>9.123460999666623E-2</v>
      </c>
      <c r="J29" s="30">
        <f t="shared" ca="1" si="0"/>
        <v>0.12758774001520365</v>
      </c>
      <c r="K29" s="30">
        <f t="shared" ca="1" si="3"/>
        <v>8.3337449758768695E-3</v>
      </c>
      <c r="L29" s="30">
        <f t="shared" ca="1" si="1"/>
        <v>-3.2237339145014927E-2</v>
      </c>
      <c r="M29" s="30">
        <f t="shared" ca="1" si="1"/>
        <v>-2.2338893387231842E-2</v>
      </c>
      <c r="N29" s="30">
        <f t="shared" ca="1" si="1"/>
        <v>2.4155200588496441E-2</v>
      </c>
      <c r="O29" s="30">
        <f t="shared" ca="1" si="4"/>
        <v>-1.2621456476009318E-2</v>
      </c>
      <c r="P29" s="30">
        <f t="shared" ca="1" si="5"/>
        <v>1.1700708200759413E-2</v>
      </c>
      <c r="Q29" s="30">
        <f t="shared" ca="1" si="6"/>
        <v>6.8895716609434388E-2</v>
      </c>
      <c r="R29" s="30">
        <f t="shared" ca="1" si="7"/>
        <v>0.15174294060370008</v>
      </c>
      <c r="S29" s="9" cm="1">
        <f t="array" aca="1" ref="S29" ca="1">_xll.BDH($E$6,"PX LAST",AG29)</f>
        <v>295.70999999999998</v>
      </c>
      <c r="T29" s="9" cm="1">
        <f t="array" aca="1" ref="T29" ca="1">_xll.BDH($E$6,"PX LAST",AH29)</f>
        <v>299.49</v>
      </c>
      <c r="U29" s="9" cm="1">
        <f t="array" aca="1" ref="U29" ca="1">_xll.BDH($E$6,"PX LAST",AI29)</f>
        <v>292.29000000000002</v>
      </c>
      <c r="V29" s="9" cm="1">
        <f t="array" aca="1" ref="V29" ca="1">_xll.BDH($E$6,"PX LAST",AJ29)</f>
        <v>276.64999999999998</v>
      </c>
      <c r="W29" s="9" cm="1">
        <f t="array" aca="1" ref="W29" ca="1">_xll.BDH($E$6,"PX LAST",AK29)</f>
        <v>256.75</v>
      </c>
      <c r="X29" s="24">
        <f t="shared" ca="1" si="8"/>
        <v>5.0541303836197926E-3</v>
      </c>
      <c r="Y29" s="24">
        <f t="shared" ca="1" si="9"/>
        <v>-1.9550840076280607E-2</v>
      </c>
      <c r="Z29" s="24">
        <f t="shared" ca="1" si="10"/>
        <v>-1.3547772355845589E-2</v>
      </c>
      <c r="AA29" s="24">
        <f t="shared" ca="1" si="11"/>
        <v>1.4649300352979067E-2</v>
      </c>
      <c r="AB29" s="9" cm="1">
        <f t="array" aca="1" ref="AB29" ca="1">_xll.BDH($E$8,"PX LAST",AG29)</f>
        <v>6832.76</v>
      </c>
      <c r="AC29" s="9" cm="1">
        <f t="array" aca="1" ref="AC29" ca="1">_xll.BDH($E$8,"PX LAST",AH29)</f>
        <v>6798.4</v>
      </c>
      <c r="AD29" s="9" cm="1">
        <f t="array" aca="1" ref="AD29" ca="1">_xll.BDH($E$8,"PX LAST",AI29)</f>
        <v>6969.01</v>
      </c>
      <c r="AE29" s="9" cm="1">
        <f t="array" aca="1" ref="AE29" ca="1">_xll.BDH($E$8,"PX LAST",AJ29)</f>
        <v>6926.6</v>
      </c>
      <c r="AF29" s="9" cm="1">
        <f t="array" aca="1" ref="AF29" ca="1">_xll.BDH($E$8,"PX LAST",AK29)</f>
        <v>6734.11</v>
      </c>
      <c r="AG29" s="20">
        <f t="shared" ca="1" si="17"/>
        <v>46065</v>
      </c>
      <c r="AH29" s="22">
        <f t="shared" ca="1" si="12"/>
        <v>46058</v>
      </c>
      <c r="AI29" s="22">
        <f t="shared" ca="1" si="13"/>
        <v>46051</v>
      </c>
      <c r="AJ29" s="22">
        <f t="shared" ca="1" si="14"/>
        <v>46036</v>
      </c>
      <c r="AK29" s="22">
        <f t="shared" ca="1" si="15"/>
        <v>45975</v>
      </c>
      <c r="AL29" s="22">
        <f t="shared" ca="1" si="16"/>
        <v>45890</v>
      </c>
      <c r="AN29" s="21">
        <v>44921</v>
      </c>
    </row>
    <row r="30" spans="4:40" x14ac:dyDescent="0.25">
      <c r="D30" s="6">
        <f ca="1"/>
        <v>46064</v>
      </c>
      <c r="E30" s="28">
        <f ca="1"/>
        <v>302.94</v>
      </c>
      <c r="F30" s="29" cm="1">
        <f t="array" aca="1" ref="F30" ca="1">_xll.FDS($E$7,"P_BETA_LOCIDX("&amp;$AG30&amp;","&amp;$AL30&amp;",,"""&amp;$E$9&amp;""")")</f>
        <v>1.6530362000000001</v>
      </c>
      <c r="G30" s="30">
        <f t="shared" ca="1" si="2"/>
        <v>-8.9005582614423116E-3</v>
      </c>
      <c r="H30" s="30">
        <f t="shared" ca="1" si="0"/>
        <v>4.861955967593562E-2</v>
      </c>
      <c r="I30" s="30">
        <f t="shared" ca="1" si="0"/>
        <v>9.9841445854878488E-2</v>
      </c>
      <c r="J30" s="30">
        <f t="shared" ca="1" si="0"/>
        <v>0.12409425525321999</v>
      </c>
      <c r="K30" s="30">
        <f t="shared" ca="1" si="3"/>
        <v>1.41101013480136E-2</v>
      </c>
      <c r="L30" s="30">
        <f t="shared" ca="1" si="1"/>
        <v>-8.6607543206319026E-3</v>
      </c>
      <c r="M30" s="30">
        <f t="shared" ca="1" si="1"/>
        <v>-5.286400149057637E-3</v>
      </c>
      <c r="N30" s="30">
        <f t="shared" ca="1" si="1"/>
        <v>5.0046281935261012E-2</v>
      </c>
      <c r="O30" s="30">
        <f t="shared" ca="1" si="4"/>
        <v>5.2095430865712888E-3</v>
      </c>
      <c r="P30" s="30">
        <f t="shared" ca="1" si="5"/>
        <v>3.9958805355303717E-2</v>
      </c>
      <c r="Q30" s="30">
        <f t="shared" ca="1" si="6"/>
        <v>9.455504570582085E-2</v>
      </c>
      <c r="R30" s="30">
        <f t="shared" ca="1" si="7"/>
        <v>0.17414053718848099</v>
      </c>
      <c r="S30" s="9" cm="1">
        <f t="array" aca="1" ref="S30" ca="1">_xll.BDH($E$6,"PX LAST",AG30)</f>
        <v>302.94</v>
      </c>
      <c r="T30" s="9" cm="1">
        <f t="array" aca="1" ref="T30" ca="1">_xll.BDH($E$6,"PX LAST",AH30)</f>
        <v>301.37</v>
      </c>
      <c r="U30" s="9" cm="1">
        <f t="array" aca="1" ref="U30" ca="1">_xll.BDH($E$6,"PX LAST",AI30)</f>
        <v>291.3</v>
      </c>
      <c r="V30" s="9" cm="1">
        <f t="array" aca="1" ref="V30" ca="1">_xll.BDH($E$6,"PX LAST",AJ30)</f>
        <v>276.77</v>
      </c>
      <c r="W30" s="9" cm="1">
        <f t="array" aca="1" ref="W30" ca="1">_xll.BDH($E$6,"PX LAST",AK30)</f>
        <v>258.01</v>
      </c>
      <c r="X30" s="24">
        <f t="shared" ca="1" si="8"/>
        <v>8.5358695399493367E-3</v>
      </c>
      <c r="Y30" s="24">
        <f t="shared" ca="1" si="9"/>
        <v>-5.2393010634805837E-3</v>
      </c>
      <c r="Z30" s="24">
        <f t="shared" ca="1" si="10"/>
        <v>-3.1979941812875223E-3</v>
      </c>
      <c r="AA30" s="24">
        <f t="shared" ca="1" si="11"/>
        <v>3.0275369610938352E-2</v>
      </c>
      <c r="AB30" s="9" cm="1">
        <f t="array" aca="1" ref="AB30" ca="1">_xll.BDH($E$8,"PX LAST",AG30)</f>
        <v>6941.47</v>
      </c>
      <c r="AC30" s="9" cm="1">
        <f t="array" aca="1" ref="AC30" ca="1">_xll.BDH($E$8,"PX LAST",AH30)</f>
        <v>6882.72</v>
      </c>
      <c r="AD30" s="9" cm="1">
        <f t="array" aca="1" ref="AD30" ca="1">_xll.BDH($E$8,"PX LAST",AI30)</f>
        <v>6978.03</v>
      </c>
      <c r="AE30" s="9" cm="1">
        <f t="array" aca="1" ref="AE30" ca="1">_xll.BDH($E$8,"PX LAST",AJ30)</f>
        <v>6963.74</v>
      </c>
      <c r="AF30" s="9" cm="1">
        <f t="array" aca="1" ref="AF30" ca="1">_xll.BDH($E$8,"PX LAST",AK30)</f>
        <v>6737.49</v>
      </c>
      <c r="AG30" s="20">
        <f t="shared" ca="1" si="17"/>
        <v>46064</v>
      </c>
      <c r="AH30" s="22">
        <f t="shared" ca="1" si="12"/>
        <v>46057</v>
      </c>
      <c r="AI30" s="22">
        <f t="shared" ca="1" si="13"/>
        <v>46050</v>
      </c>
      <c r="AJ30" s="22">
        <f t="shared" ca="1" si="14"/>
        <v>46035</v>
      </c>
      <c r="AK30" s="22">
        <f t="shared" ca="1" si="15"/>
        <v>45974</v>
      </c>
      <c r="AL30" s="22">
        <f t="shared" ca="1" si="16"/>
        <v>45889</v>
      </c>
      <c r="AN30" s="21">
        <v>44928</v>
      </c>
    </row>
    <row r="31" spans="4:40" x14ac:dyDescent="0.25">
      <c r="D31" s="6">
        <f ca="1"/>
        <v>46063</v>
      </c>
      <c r="E31" s="28">
        <f ca="1"/>
        <v>285.8</v>
      </c>
      <c r="F31" s="29" cm="1">
        <f t="array" aca="1" ref="F31" ca="1">_xll.FDS($E$7,"P_BETA_LOCIDX("&amp;$AG31&amp;","&amp;$AL31&amp;",,"""&amp;$E$9&amp;""")")</f>
        <v>1.6413814</v>
      </c>
      <c r="G31" s="30">
        <f t="shared" ca="1" si="2"/>
        <v>-6.4541228860148209E-2</v>
      </c>
      <c r="H31" s="30">
        <f t="shared" ca="1" si="0"/>
        <v>1.6693113728985225E-3</v>
      </c>
      <c r="I31" s="30">
        <f t="shared" ca="1" si="0"/>
        <v>5.3008864227938247E-2</v>
      </c>
      <c r="J31" s="30">
        <f t="shared" ca="1" si="0"/>
        <v>4.8035037462025629E-2</v>
      </c>
      <c r="K31" s="30">
        <f t="shared" ca="1" si="3"/>
        <v>5.6944544010314214E-3</v>
      </c>
      <c r="L31" s="30">
        <f t="shared" ca="1" si="1"/>
        <v>-8.6530853904795129E-3</v>
      </c>
      <c r="M31" s="30">
        <f t="shared" ca="1" si="1"/>
        <v>-8.3418564057289087E-3</v>
      </c>
      <c r="N31" s="30">
        <f t="shared" ca="1" si="1"/>
        <v>2.177593015916103E-2</v>
      </c>
      <c r="O31" s="30">
        <f t="shared" ca="1" si="4"/>
        <v>-5.8846774459116791E-2</v>
      </c>
      <c r="P31" s="30">
        <f t="shared" ca="1" si="5"/>
        <v>-6.9837740175809904E-3</v>
      </c>
      <c r="Q31" s="30">
        <f t="shared" ca="1" si="6"/>
        <v>4.4667007822209337E-2</v>
      </c>
      <c r="R31" s="30">
        <f t="shared" ca="1" si="7"/>
        <v>6.9810967621186659E-2</v>
      </c>
      <c r="S31" s="9" cm="1">
        <f t="array" aca="1" ref="S31" ca="1">_xll.BDH($E$6,"PX LAST",AG31)</f>
        <v>285.8</v>
      </c>
      <c r="T31" s="9" cm="1">
        <f t="array" aca="1" ref="T31" ca="1">_xll.BDH($E$6,"PX LAST",AH31)</f>
        <v>303.67</v>
      </c>
      <c r="U31" s="9" cm="1">
        <f t="array" aca="1" ref="U31" ca="1">_xll.BDH($E$6,"PX LAST",AI31)</f>
        <v>287.81</v>
      </c>
      <c r="V31" s="9" cm="1">
        <f t="array" aca="1" ref="V31" ca="1">_xll.BDH($E$6,"PX LAST",AJ31)</f>
        <v>273.58</v>
      </c>
      <c r="W31" s="9" cm="1">
        <f t="array" aca="1" ref="W31" ca="1">_xll.BDH($E$6,"PX LAST",AK31)</f>
        <v>267.14999999999998</v>
      </c>
      <c r="X31" s="24">
        <f t="shared" ca="1" si="8"/>
        <v>3.4693060376043139E-3</v>
      </c>
      <c r="Y31" s="24">
        <f t="shared" ca="1" si="9"/>
        <v>-5.2718310262803714E-3</v>
      </c>
      <c r="Z31" s="24">
        <f t="shared" ca="1" si="10"/>
        <v>-5.0822169702476883E-3</v>
      </c>
      <c r="AA31" s="24">
        <f t="shared" ca="1" si="11"/>
        <v>1.326683131608597E-2</v>
      </c>
      <c r="AB31" s="9" cm="1">
        <f t="array" aca="1" ref="AB31" ca="1">_xll.BDH($E$8,"PX LAST",AG31)</f>
        <v>6941.81</v>
      </c>
      <c r="AC31" s="9" cm="1">
        <f t="array" aca="1" ref="AC31" ca="1">_xll.BDH($E$8,"PX LAST",AH31)</f>
        <v>6917.81</v>
      </c>
      <c r="AD31" s="9" cm="1">
        <f t="array" aca="1" ref="AD31" ca="1">_xll.BDH($E$8,"PX LAST",AI31)</f>
        <v>6978.6</v>
      </c>
      <c r="AE31" s="9" cm="1">
        <f t="array" aca="1" ref="AE31" ca="1">_xll.BDH($E$8,"PX LAST",AJ31)</f>
        <v>6977.27</v>
      </c>
      <c r="AF31" s="9" cm="1">
        <f t="array" aca="1" ref="AF31" ca="1">_xll.BDH($E$8,"PX LAST",AK31)</f>
        <v>6850.92</v>
      </c>
      <c r="AG31" s="20">
        <f t="shared" ca="1" si="17"/>
        <v>46063</v>
      </c>
      <c r="AH31" s="22">
        <f t="shared" ca="1" si="12"/>
        <v>46056</v>
      </c>
      <c r="AI31" s="22">
        <f t="shared" ca="1" si="13"/>
        <v>46049</v>
      </c>
      <c r="AJ31" s="22">
        <f t="shared" ca="1" si="14"/>
        <v>46034</v>
      </c>
      <c r="AK31" s="22">
        <f t="shared" ca="1" si="15"/>
        <v>45973</v>
      </c>
      <c r="AL31" s="22">
        <f t="shared" ca="1" si="16"/>
        <v>45888</v>
      </c>
      <c r="AN31" s="21">
        <v>44942</v>
      </c>
    </row>
    <row r="32" spans="4:40" x14ac:dyDescent="0.25">
      <c r="D32" s="6">
        <f ca="1"/>
        <v>46062</v>
      </c>
      <c r="E32" s="28">
        <f ca="1"/>
        <v>301.69</v>
      </c>
      <c r="F32" s="29" cm="1">
        <f t="array" aca="1" ref="F32" ca="1">_xll.FDS($E$7,"P_BETA_LOCIDX("&amp;$AG32&amp;","&amp;$AL32&amp;",,"""&amp;$E$9&amp;""")")</f>
        <v>1.6085518999999999</v>
      </c>
      <c r="G32" s="30">
        <f t="shared" ca="1" si="2"/>
        <v>1.5741671647081019E-2</v>
      </c>
      <c r="H32" s="30">
        <f t="shared" ca="1" si="0"/>
        <v>4.857770170335074E-2</v>
      </c>
      <c r="I32" s="30">
        <f t="shared" ca="1" si="0"/>
        <v>0.12061190841569783</v>
      </c>
      <c r="J32" s="30">
        <f t="shared" ca="1" si="0"/>
        <v>0.14156866649779318</v>
      </c>
      <c r="K32" s="30">
        <f t="shared" ca="1" si="3"/>
        <v>-2.6792136215604894E-3</v>
      </c>
      <c r="L32" s="30">
        <f t="shared" ca="1" si="1"/>
        <v>3.3766900118413767E-3</v>
      </c>
      <c r="M32" s="30">
        <f t="shared" ca="1" si="1"/>
        <v>-3.3712193222215116E-4</v>
      </c>
      <c r="N32" s="30">
        <f t="shared" ca="1" si="1"/>
        <v>2.777241877352456E-2</v>
      </c>
      <c r="O32" s="30">
        <f t="shared" ca="1" si="4"/>
        <v>1.3062458025520529E-2</v>
      </c>
      <c r="P32" s="30">
        <f t="shared" ca="1" si="5"/>
        <v>5.1954391715192116E-2</v>
      </c>
      <c r="Q32" s="30">
        <f t="shared" ca="1" si="6"/>
        <v>0.12027478648347567</v>
      </c>
      <c r="R32" s="30">
        <f t="shared" ca="1" si="7"/>
        <v>0.16934108527131775</v>
      </c>
      <c r="S32" s="9" cm="1">
        <f t="array" aca="1" ref="S32" ca="1">_xll.BDH($E$6,"PX LAST",AG32)</f>
        <v>301.69</v>
      </c>
      <c r="T32" s="9" cm="1">
        <f t="array" aca="1" ref="T32" ca="1">_xll.BDH($E$6,"PX LAST",AH32)</f>
        <v>297.8</v>
      </c>
      <c r="U32" s="9" cm="1">
        <f t="array" aca="1" ref="U32" ca="1">_xll.BDH($E$6,"PX LAST",AI32)</f>
        <v>286.79000000000002</v>
      </c>
      <c r="V32" s="9" cm="1">
        <f t="array" aca="1" ref="V32" ca="1">_xll.BDH($E$6,"PX LAST",AJ32)</f>
        <v>269.3</v>
      </c>
      <c r="W32" s="9" cm="1">
        <f t="array" aca="1" ref="W32" ca="1">_xll.BDH($E$6,"PX LAST",AK32)</f>
        <v>258</v>
      </c>
      <c r="X32" s="24">
        <f t="shared" ca="1" si="8"/>
        <v>-1.6656059537528689E-3</v>
      </c>
      <c r="Y32" s="24">
        <f t="shared" ca="1" si="9"/>
        <v>2.0992111052440254E-3</v>
      </c>
      <c r="Z32" s="24">
        <f t="shared" ca="1" si="10"/>
        <v>-2.0958101023793585E-4</v>
      </c>
      <c r="AA32" s="24">
        <f t="shared" ca="1" si="11"/>
        <v>1.7265478828208503E-2</v>
      </c>
      <c r="AB32" s="9" cm="1">
        <f t="array" aca="1" ref="AB32" ca="1">_xll.BDH($E$8,"PX LAST",AG32)</f>
        <v>6964.82</v>
      </c>
      <c r="AC32" s="9" cm="1">
        <f t="array" aca="1" ref="AC32" ca="1">_xll.BDH($E$8,"PX LAST",AH32)</f>
        <v>6976.44</v>
      </c>
      <c r="AD32" s="9" cm="1">
        <f t="array" aca="1" ref="AD32" ca="1">_xll.BDH($E$8,"PX LAST",AI32)</f>
        <v>6950.23</v>
      </c>
      <c r="AE32" s="9" cm="1">
        <f t="array" aca="1" ref="AE32" ca="1">_xll.BDH($E$8,"PX LAST",AJ32)</f>
        <v>6966.28</v>
      </c>
      <c r="AF32" s="9" cm="1">
        <f t="array" aca="1" ref="AF32" ca="1">_xll.BDH($E$8,"PX LAST",AK32)</f>
        <v>6846.61</v>
      </c>
      <c r="AG32" s="20">
        <f t="shared" ca="1" si="17"/>
        <v>46062</v>
      </c>
      <c r="AH32" s="22">
        <f t="shared" ca="1" si="12"/>
        <v>46055</v>
      </c>
      <c r="AI32" s="22">
        <f t="shared" ca="1" si="13"/>
        <v>46048</v>
      </c>
      <c r="AJ32" s="22">
        <f t="shared" ca="1" si="14"/>
        <v>46031</v>
      </c>
      <c r="AK32" s="22">
        <f t="shared" ca="1" si="15"/>
        <v>45972</v>
      </c>
      <c r="AL32" s="22">
        <f t="shared" ca="1" si="16"/>
        <v>45887</v>
      </c>
      <c r="AN32" s="21">
        <v>44977</v>
      </c>
    </row>
    <row r="33" spans="4:40" x14ac:dyDescent="0.25">
      <c r="D33" s="6">
        <f ca="1"/>
        <v>46059</v>
      </c>
      <c r="E33" s="28">
        <f ca="1"/>
        <v>315.27</v>
      </c>
      <c r="F33" s="29" cm="1">
        <f t="array" aca="1" ref="F33" ca="1">_xll.FDS($E$7,"P_BETA_LOCIDX("&amp;$AG33&amp;","&amp;$AL33&amp;",,"""&amp;$E$9&amp;""")")</f>
        <v>1.6538326000000001</v>
      </c>
      <c r="G33" s="30">
        <f t="shared" ca="1" si="2"/>
        <v>9.0882940413311089E-2</v>
      </c>
      <c r="H33" s="30">
        <f t="shared" ca="1" si="0"/>
        <v>9.6773310357249134E-2</v>
      </c>
      <c r="I33" s="30">
        <f t="shared" ca="1" si="0"/>
        <v>0.17585713766624209</v>
      </c>
      <c r="J33" s="30">
        <f t="shared" ca="1" si="0"/>
        <v>0.1856573752875092</v>
      </c>
      <c r="K33" s="30">
        <f t="shared" ca="1" si="3"/>
        <v>-1.6040128660632191E-3</v>
      </c>
      <c r="L33" s="30">
        <f t="shared" ca="1" si="1"/>
        <v>3.9913277489621451E-3</v>
      </c>
      <c r="M33" s="30">
        <f t="shared" ca="1" si="1"/>
        <v>2.5901392746616905E-3</v>
      </c>
      <c r="N33" s="30">
        <f t="shared" ca="1" si="1"/>
        <v>2.4174160842042981E-2</v>
      </c>
      <c r="O33" s="30">
        <f t="shared" ca="1" si="4"/>
        <v>8.9278927547247866E-2</v>
      </c>
      <c r="P33" s="30">
        <f t="shared" ca="1" si="5"/>
        <v>0.10076463810621128</v>
      </c>
      <c r="Q33" s="30">
        <f t="shared" ca="1" si="6"/>
        <v>0.17844727694090379</v>
      </c>
      <c r="R33" s="30">
        <f t="shared" ca="1" si="7"/>
        <v>0.20983153612955219</v>
      </c>
      <c r="S33" s="9" cm="1">
        <f t="array" aca="1" ref="S33" ca="1">_xll.BDH($E$6,"PX LAST",AG33)</f>
        <v>315.27</v>
      </c>
      <c r="T33" s="9" cm="1">
        <f t="array" aca="1" ref="T33" ca="1">_xll.BDH($E$6,"PX LAST",AH33)</f>
        <v>289.43</v>
      </c>
      <c r="U33" s="9" cm="1">
        <f t="array" aca="1" ref="U33" ca="1">_xll.BDH($E$6,"PX LAST",AI33)</f>
        <v>286.41000000000003</v>
      </c>
      <c r="V33" s="9" cm="1">
        <f t="array" aca="1" ref="V33" ca="1">_xll.BDH($E$6,"PX LAST",AJ33)</f>
        <v>267.52999999999997</v>
      </c>
      <c r="W33" s="9" cm="1">
        <f t="array" aca="1" ref="W33" ca="1">_xll.BDH($E$6,"PX LAST",AK33)</f>
        <v>260.58999999999997</v>
      </c>
      <c r="X33" s="24">
        <f t="shared" ca="1" si="8"/>
        <v>-9.6987619307009609E-4</v>
      </c>
      <c r="Y33" s="24">
        <f t="shared" ca="1" si="9"/>
        <v>2.4133807429858045E-3</v>
      </c>
      <c r="Z33" s="24">
        <f t="shared" ca="1" si="10"/>
        <v>1.5661435593068429E-3</v>
      </c>
      <c r="AA33" s="24">
        <f t="shared" ca="1" si="11"/>
        <v>1.4617054254489226E-2</v>
      </c>
      <c r="AB33" s="9" cm="1">
        <f t="array" aca="1" ref="AB33" ca="1">_xll.BDH($E$8,"PX LAST",AG33)</f>
        <v>6932.3</v>
      </c>
      <c r="AC33" s="9" cm="1">
        <f t="array" aca="1" ref="AC33" ca="1">_xll.BDH($E$8,"PX LAST",AH33)</f>
        <v>6939.03</v>
      </c>
      <c r="AD33" s="9" cm="1">
        <f t="array" aca="1" ref="AD33" ca="1">_xll.BDH($E$8,"PX LAST",AI33)</f>
        <v>6915.61</v>
      </c>
      <c r="AE33" s="9" cm="1">
        <f t="array" aca="1" ref="AE33" ca="1">_xll.BDH($E$8,"PX LAST",AJ33)</f>
        <v>6921.46</v>
      </c>
      <c r="AF33" s="9" cm="1">
        <f t="array" aca="1" ref="AF33" ca="1">_xll.BDH($E$8,"PX LAST",AK33)</f>
        <v>6832.43</v>
      </c>
      <c r="AG33" s="20">
        <f t="shared" ca="1" si="17"/>
        <v>46059</v>
      </c>
      <c r="AH33" s="22">
        <f t="shared" ca="1" si="12"/>
        <v>46052</v>
      </c>
      <c r="AI33" s="22">
        <f t="shared" ca="1" si="13"/>
        <v>46045</v>
      </c>
      <c r="AJ33" s="22">
        <f t="shared" ca="1" si="14"/>
        <v>46030</v>
      </c>
      <c r="AK33" s="22">
        <f t="shared" ca="1" si="15"/>
        <v>45971</v>
      </c>
      <c r="AL33" s="22">
        <f t="shared" ca="1" si="16"/>
        <v>45884</v>
      </c>
      <c r="AN33" s="21">
        <v>45023</v>
      </c>
    </row>
    <row r="34" spans="4:40" x14ac:dyDescent="0.25">
      <c r="D34" s="6">
        <f ca="1"/>
        <v>46058</v>
      </c>
      <c r="E34" s="28">
        <f ca="1"/>
        <v>299.49</v>
      </c>
      <c r="F34" s="29" cm="1">
        <f t="array" aca="1" ref="F34" ca="1">_xll.FDS($E$7,"P_BETA_LOCIDX("&amp;$AG34&amp;","&amp;$AL34&amp;",,"""&amp;$E$9&amp;""")")</f>
        <v>1.5974505999999999</v>
      </c>
      <c r="G34" s="30">
        <f t="shared" ca="1" si="2"/>
        <v>6.3740639962385381E-2</v>
      </c>
      <c r="H34" s="30">
        <f t="shared" ca="1" si="0"/>
        <v>5.878703278597678E-2</v>
      </c>
      <c r="I34" s="30">
        <f t="shared" ca="1" si="0"/>
        <v>0.16611840197956956</v>
      </c>
      <c r="J34" s="30">
        <f t="shared" ca="1" si="0"/>
        <v>0.15597005612676157</v>
      </c>
      <c r="K34" s="30">
        <f t="shared" ca="1" si="3"/>
        <v>-3.9107570066049646E-2</v>
      </c>
      <c r="L34" s="30">
        <f t="shared" ca="1" si="1"/>
        <v>-2.656121076901944E-2</v>
      </c>
      <c r="M34" s="30">
        <f t="shared" ca="1" si="1"/>
        <v>-2.8281693647819125E-2</v>
      </c>
      <c r="N34" s="30">
        <f t="shared" ca="1" si="1"/>
        <v>1.6523386303649863E-2</v>
      </c>
      <c r="O34" s="30">
        <f t="shared" ca="1" si="4"/>
        <v>2.4633069896335735E-2</v>
      </c>
      <c r="P34" s="30">
        <f t="shared" ca="1" si="5"/>
        <v>3.2225822016957339E-2</v>
      </c>
      <c r="Q34" s="30">
        <f t="shared" ca="1" si="6"/>
        <v>0.13783670833175043</v>
      </c>
      <c r="R34" s="30">
        <f t="shared" ca="1" si="7"/>
        <v>0.17249344243041143</v>
      </c>
      <c r="S34" s="9" cm="1">
        <f t="array" aca="1" ref="S34" ca="1">_xll.BDH($E$6,"PX LAST",AG34)</f>
        <v>299.49</v>
      </c>
      <c r="T34" s="9" cm="1">
        <f t="array" aca="1" ref="T34" ca="1">_xll.BDH($E$6,"PX LAST",AH34)</f>
        <v>292.29000000000002</v>
      </c>
      <c r="U34" s="9" cm="1">
        <f t="array" aca="1" ref="U34" ca="1">_xll.BDH($E$6,"PX LAST",AI34)</f>
        <v>290.14</v>
      </c>
      <c r="V34" s="9" cm="1">
        <f t="array" aca="1" ref="V34" ca="1">_xll.BDH($E$6,"PX LAST",AJ34)</f>
        <v>263.20999999999998</v>
      </c>
      <c r="W34" s="9" cm="1">
        <f t="array" aca="1" ref="W34" ca="1">_xll.BDH($E$6,"PX LAST",AK34)</f>
        <v>255.43</v>
      </c>
      <c r="X34" s="24">
        <f t="shared" ca="1" si="8"/>
        <v>-2.4481239085609063E-2</v>
      </c>
      <c r="Y34" s="24">
        <f t="shared" ca="1" si="9"/>
        <v>-1.6627250175385355E-2</v>
      </c>
      <c r="Z34" s="24">
        <f t="shared" ca="1" si="10"/>
        <v>-1.7704268068019835E-2</v>
      </c>
      <c r="AA34" s="24">
        <f t="shared" ca="1" si="11"/>
        <v>1.0343597669718152E-2</v>
      </c>
      <c r="AB34" s="9" cm="1">
        <f t="array" aca="1" ref="AB34" ca="1">_xll.BDH($E$8,"PX LAST",AG34)</f>
        <v>6798.4</v>
      </c>
      <c r="AC34" s="9" cm="1">
        <f t="array" aca="1" ref="AC34" ca="1">_xll.BDH($E$8,"PX LAST",AH34)</f>
        <v>6969.01</v>
      </c>
      <c r="AD34" s="9" cm="1">
        <f t="array" aca="1" ref="AD34" ca="1">_xll.BDH($E$8,"PX LAST",AI34)</f>
        <v>6913.35</v>
      </c>
      <c r="AE34" s="9" cm="1">
        <f t="array" aca="1" ref="AE34" ca="1">_xll.BDH($E$8,"PX LAST",AJ34)</f>
        <v>6920.93</v>
      </c>
      <c r="AF34" s="9" cm="1">
        <f t="array" aca="1" ref="AF34" ca="1">_xll.BDH($E$8,"PX LAST",AK34)</f>
        <v>6728.8</v>
      </c>
      <c r="AG34" s="20">
        <f t="shared" ca="1" si="17"/>
        <v>46058</v>
      </c>
      <c r="AH34" s="22">
        <f t="shared" ca="1" si="12"/>
        <v>46051</v>
      </c>
      <c r="AI34" s="22">
        <f t="shared" ca="1" si="13"/>
        <v>46044</v>
      </c>
      <c r="AJ34" s="22">
        <f t="shared" ca="1" si="14"/>
        <v>46029</v>
      </c>
      <c r="AK34" s="22">
        <f t="shared" ca="1" si="15"/>
        <v>45968</v>
      </c>
      <c r="AL34" s="22">
        <f t="shared" ca="1" si="16"/>
        <v>45883</v>
      </c>
      <c r="AN34" s="21">
        <v>45075</v>
      </c>
    </row>
    <row r="35" spans="4:40" x14ac:dyDescent="0.25">
      <c r="D35" s="6">
        <f ca="1"/>
        <v>46057</v>
      </c>
      <c r="E35" s="28">
        <f ca="1"/>
        <v>301.37</v>
      </c>
      <c r="F35" s="29" cm="1">
        <f t="array" aca="1" ref="F35" ca="1">_xll.FDS($E$7,"P_BETA_LOCIDX("&amp;$AG35&amp;","&amp;$AL35&amp;",,"""&amp;$E$9&amp;""")")</f>
        <v>1.6276455000000001</v>
      </c>
      <c r="G35" s="30">
        <f t="shared" ca="1" si="2"/>
        <v>5.6800503380019865E-2</v>
      </c>
      <c r="H35" s="30">
        <f t="shared" ca="1" si="0"/>
        <v>5.4127813909204348E-2</v>
      </c>
      <c r="I35" s="30">
        <f t="shared" ca="1" si="0"/>
        <v>0.12102708274227081</v>
      </c>
      <c r="J35" s="30">
        <f t="shared" ca="1" si="0"/>
        <v>0.13158170772401379</v>
      </c>
      <c r="K35" s="30">
        <f t="shared" ca="1" si="3"/>
        <v>-2.223133070580087E-2</v>
      </c>
      <c r="L35" s="30">
        <f t="shared" ca="1" si="1"/>
        <v>1.6807623239795681E-3</v>
      </c>
      <c r="M35" s="30">
        <f t="shared" ca="1" si="1"/>
        <v>-1.4554270024276892E-2</v>
      </c>
      <c r="N35" s="30">
        <f t="shared" ca="1" si="1"/>
        <v>3.9332893255083372E-2</v>
      </c>
      <c r="O35" s="30">
        <f t="shared" ca="1" si="4"/>
        <v>3.4569172674218995E-2</v>
      </c>
      <c r="P35" s="30">
        <f t="shared" ca="1" si="5"/>
        <v>5.5808576233183915E-2</v>
      </c>
      <c r="Q35" s="30">
        <f t="shared" ca="1" si="6"/>
        <v>0.10647281271799391</v>
      </c>
      <c r="R35" s="30">
        <f t="shared" ca="1" si="7"/>
        <v>0.17091460097909716</v>
      </c>
      <c r="S35" s="9" cm="1">
        <f t="array" aca="1" ref="S35" ca="1">_xll.BDH($E$6,"PX LAST",AG35)</f>
        <v>301.37</v>
      </c>
      <c r="T35" s="9" cm="1">
        <f t="array" aca="1" ref="T35" ca="1">_xll.BDH($E$6,"PX LAST",AH35)</f>
        <v>291.3</v>
      </c>
      <c r="U35" s="9" cm="1">
        <f t="array" aca="1" ref="U35" ca="1">_xll.BDH($E$6,"PX LAST",AI35)</f>
        <v>285.44</v>
      </c>
      <c r="V35" s="9" cm="1">
        <f t="array" aca="1" ref="V35" ca="1">_xll.BDH($E$6,"PX LAST",AJ35)</f>
        <v>272.37</v>
      </c>
      <c r="W35" s="9" cm="1">
        <f t="array" aca="1" ref="W35" ca="1">_xll.BDH($E$6,"PX LAST",AK35)</f>
        <v>257.38</v>
      </c>
      <c r="X35" s="24">
        <f t="shared" ca="1" si="8"/>
        <v>-1.3658582723204082E-2</v>
      </c>
      <c r="Y35" s="24">
        <f t="shared" ca="1" si="9"/>
        <v>1.0326341479023338E-3</v>
      </c>
      <c r="Z35" s="24">
        <f t="shared" ca="1" si="10"/>
        <v>-8.9419164211598234E-3</v>
      </c>
      <c r="AA35" s="24">
        <f t="shared" ca="1" si="11"/>
        <v>2.416551592781313E-2</v>
      </c>
      <c r="AB35" s="9" cm="1">
        <f t="array" aca="1" ref="AB35" ca="1">_xll.BDH($E$8,"PX LAST",AG35)</f>
        <v>6882.72</v>
      </c>
      <c r="AC35" s="9" cm="1">
        <f t="array" aca="1" ref="AC35" ca="1">_xll.BDH($E$8,"PX LAST",AH35)</f>
        <v>6978.03</v>
      </c>
      <c r="AD35" s="9" cm="1">
        <f t="array" aca="1" ref="AD35" ca="1">_xll.BDH($E$8,"PX LAST",AI35)</f>
        <v>6875.62</v>
      </c>
      <c r="AE35" s="9" cm="1">
        <f t="array" aca="1" ref="AE35" ca="1">_xll.BDH($E$8,"PX LAST",AJ35)</f>
        <v>6944.82</v>
      </c>
      <c r="AF35" s="9" cm="1">
        <f t="array" aca="1" ref="AF35" ca="1">_xll.BDH($E$8,"PX LAST",AK35)</f>
        <v>6720.32</v>
      </c>
      <c r="AG35" s="20">
        <f t="shared" ca="1" si="17"/>
        <v>46057</v>
      </c>
      <c r="AH35" s="22">
        <f t="shared" ca="1" si="12"/>
        <v>46050</v>
      </c>
      <c r="AI35" s="22">
        <f t="shared" ca="1" si="13"/>
        <v>46043</v>
      </c>
      <c r="AJ35" s="22">
        <f t="shared" ca="1" si="14"/>
        <v>46028</v>
      </c>
      <c r="AK35" s="22">
        <f t="shared" ca="1" si="15"/>
        <v>45967</v>
      </c>
      <c r="AL35" s="22">
        <f t="shared" ca="1" si="16"/>
        <v>45882</v>
      </c>
      <c r="AN35" s="21">
        <v>45096</v>
      </c>
    </row>
    <row r="36" spans="4:40" x14ac:dyDescent="0.25">
      <c r="D36" s="6">
        <f ca="1"/>
        <v>46056</v>
      </c>
      <c r="E36" s="28">
        <f ca="1"/>
        <v>303.67</v>
      </c>
      <c r="F36" s="29" cm="1">
        <f t="array" aca="1" ref="F36" ca="1">_xll.FDS($E$7,"P_BETA_LOCIDX("&amp;$AG36&amp;","&amp;$AL36&amp;",,"""&amp;$E$9&amp;""")")</f>
        <v>1.6573469999999999</v>
      </c>
      <c r="G36" s="30">
        <f t="shared" ca="1" si="2"/>
        <v>6.9542809845000525E-2</v>
      </c>
      <c r="H36" s="30">
        <f t="shared" ca="1" si="0"/>
        <v>7.0123704840314161E-2</v>
      </c>
      <c r="I36" s="30">
        <f t="shared" ca="1" si="0"/>
        <v>0.13415314302635875</v>
      </c>
      <c r="J36" s="30">
        <f t="shared" ca="1" si="0"/>
        <v>0.15384944442630916</v>
      </c>
      <c r="K36" s="30">
        <f t="shared" ca="1" si="3"/>
        <v>-1.4437010880405858E-2</v>
      </c>
      <c r="L36" s="30">
        <f t="shared" ca="1" si="1"/>
        <v>2.9492459701980216E-2</v>
      </c>
      <c r="M36" s="30">
        <f t="shared" ca="1" si="1"/>
        <v>3.7843522895372951E-3</v>
      </c>
      <c r="N36" s="30">
        <f t="shared" ca="1" si="1"/>
        <v>2.9633933725606458E-2</v>
      </c>
      <c r="O36" s="30">
        <f t="shared" ca="1" si="4"/>
        <v>5.5105798964594666E-2</v>
      </c>
      <c r="P36" s="30">
        <f t="shared" ca="1" si="5"/>
        <v>9.9616164542294383E-2</v>
      </c>
      <c r="Q36" s="30">
        <f t="shared" ca="1" si="6"/>
        <v>0.13793749531589605</v>
      </c>
      <c r="R36" s="30">
        <f t="shared" ca="1" si="7"/>
        <v>0.18348337815191562</v>
      </c>
      <c r="S36" s="9" cm="1">
        <f t="array" aca="1" ref="S36" ca="1">_xll.BDH($E$6,"PX LAST",AG36)</f>
        <v>303.67</v>
      </c>
      <c r="T36" s="9" cm="1">
        <f t="array" aca="1" ref="T36" ca="1">_xll.BDH($E$6,"PX LAST",AH36)</f>
        <v>287.81</v>
      </c>
      <c r="U36" s="9" cm="1">
        <f t="array" aca="1" ref="U36" ca="1">_xll.BDH($E$6,"PX LAST",AI36)</f>
        <v>276.16000000000003</v>
      </c>
      <c r="V36" s="9" cm="1">
        <f t="array" aca="1" ref="V36" ca="1">_xll.BDH($E$6,"PX LAST",AJ36)</f>
        <v>266.86</v>
      </c>
      <c r="W36" s="9" cm="1">
        <f t="array" aca="1" ref="W36" ca="1">_xll.BDH($E$6,"PX LAST",AK36)</f>
        <v>256.58999999999997</v>
      </c>
      <c r="X36" s="24">
        <f t="shared" ca="1" si="8"/>
        <v>-8.7109162296162834E-3</v>
      </c>
      <c r="Y36" s="24">
        <f t="shared" ca="1" si="9"/>
        <v>1.7794981800419718E-2</v>
      </c>
      <c r="Z36" s="24">
        <f t="shared" ca="1" si="10"/>
        <v>2.2833795756334041E-3</v>
      </c>
      <c r="AA36" s="24">
        <f t="shared" ca="1" si="11"/>
        <v>1.7880343540372934E-2</v>
      </c>
      <c r="AB36" s="9" cm="1">
        <f t="array" aca="1" ref="AB36" ca="1">_xll.BDH($E$8,"PX LAST",AG36)</f>
        <v>6917.81</v>
      </c>
      <c r="AC36" s="9" cm="1">
        <f t="array" aca="1" ref="AC36" ca="1">_xll.BDH($E$8,"PX LAST",AH36)</f>
        <v>6978.6</v>
      </c>
      <c r="AD36" s="9" cm="1">
        <f t="array" aca="1" ref="AD36" ca="1">_xll.BDH($E$8,"PX LAST",AI36)</f>
        <v>6796.86</v>
      </c>
      <c r="AE36" s="9" cm="1">
        <f t="array" aca="1" ref="AE36" ca="1">_xll.BDH($E$8,"PX LAST",AJ36)</f>
        <v>6902.05</v>
      </c>
      <c r="AF36" s="9" cm="1">
        <f t="array" aca="1" ref="AF36" ca="1">_xll.BDH($E$8,"PX LAST",AK36)</f>
        <v>6796.29</v>
      </c>
      <c r="AG36" s="20">
        <f t="shared" ca="1" si="17"/>
        <v>46056</v>
      </c>
      <c r="AH36" s="22">
        <f t="shared" ca="1" si="12"/>
        <v>46049</v>
      </c>
      <c r="AI36" s="22">
        <f t="shared" ca="1" si="13"/>
        <v>46042</v>
      </c>
      <c r="AJ36" s="22">
        <f t="shared" ca="1" si="14"/>
        <v>46027</v>
      </c>
      <c r="AK36" s="22">
        <f t="shared" ca="1" si="15"/>
        <v>45966</v>
      </c>
      <c r="AL36" s="22">
        <f t="shared" ca="1" si="16"/>
        <v>45881</v>
      </c>
      <c r="AN36" s="21">
        <v>45111</v>
      </c>
    </row>
    <row r="37" spans="4:40" x14ac:dyDescent="0.25">
      <c r="D37" s="6">
        <f ca="1"/>
        <v>46055</v>
      </c>
      <c r="E37" s="28">
        <f ca="1"/>
        <v>297.8</v>
      </c>
      <c r="F37" s="29" cm="1">
        <f t="array" aca="1" ref="F37" ca="1">_xll.FDS($E$7,"P_BETA_LOCIDX("&amp;$AG37&amp;","&amp;$AL37&amp;",,"""&amp;$E$9&amp;""")")</f>
        <v>1.7078709999999999</v>
      </c>
      <c r="G37" s="30">
        <f t="shared" ca="1" si="2"/>
        <v>3.1949910625793887E-2</v>
      </c>
      <c r="H37" s="30">
        <f t="shared" ca="1" si="2"/>
        <v>4.8450678886982526E-2</v>
      </c>
      <c r="I37" s="30">
        <f t="shared" ca="1" si="2"/>
        <v>0.15180710742805417</v>
      </c>
      <c r="J37" s="30">
        <f t="shared" ca="1" si="2"/>
        <v>0.12950770051655514</v>
      </c>
      <c r="K37" s="30">
        <f t="shared" ca="1" si="3"/>
        <v>6.4405492926131727E-3</v>
      </c>
      <c r="L37" s="30">
        <f t="shared" ca="1" si="3"/>
        <v>8.9650793774069641E-3</v>
      </c>
      <c r="M37" s="30">
        <f t="shared" ca="1" si="3"/>
        <v>2.9376455954462116E-2</v>
      </c>
      <c r="N37" s="30">
        <f t="shared" ca="1" si="3"/>
        <v>5.167586286596116E-2</v>
      </c>
      <c r="O37" s="30">
        <f t="shared" ca="1" si="4"/>
        <v>3.8390459918407061E-2</v>
      </c>
      <c r="P37" s="30">
        <f t="shared" ca="1" si="5"/>
        <v>5.7415758264389494E-2</v>
      </c>
      <c r="Q37" s="30">
        <f t="shared" ca="1" si="6"/>
        <v>0.18118356338251629</v>
      </c>
      <c r="R37" s="30">
        <f t="shared" ca="1" si="7"/>
        <v>0.18118356338251629</v>
      </c>
      <c r="S37" s="9" cm="1">
        <f t="array" aca="1" ref="S37" ca="1">_xll.BDH($E$6,"PX LAST",AG37)</f>
        <v>297.8</v>
      </c>
      <c r="T37" s="9" cm="1">
        <f t="array" aca="1" ref="T37" ca="1">_xll.BDH($E$6,"PX LAST",AH37)</f>
        <v>286.79000000000002</v>
      </c>
      <c r="U37" s="9" cm="1">
        <f t="array" aca="1" ref="U37" ca="1">_xll.BDH($E$6,"PX LAST",AI37)</f>
        <v>281.63</v>
      </c>
      <c r="V37" s="9" cm="1">
        <f t="array" aca="1" ref="V37" ca="1">_xll.BDH($E$6,"PX LAST",AJ37)</f>
        <v>252.12</v>
      </c>
      <c r="W37" s="9" cm="1">
        <f t="array" aca="1" ref="W37" ca="1">_xll.BDH($E$6,"PX LAST",AK37)</f>
        <v>252.12</v>
      </c>
      <c r="X37" s="24">
        <f t="shared" ca="1" si="8"/>
        <v>3.77109822264865E-3</v>
      </c>
      <c r="Y37" s="24">
        <f t="shared" ca="1" si="9"/>
        <v>5.2492719751122685E-3</v>
      </c>
      <c r="Z37" s="24">
        <f t="shared" ca="1" si="10"/>
        <v>1.7200629294871872E-2</v>
      </c>
      <c r="AA37" s="24">
        <f t="shared" ca="1" si="11"/>
        <v>3.0257474285798613E-2</v>
      </c>
      <c r="AB37" s="9" cm="1">
        <f t="array" aca="1" ref="AB37" ca="1">_xll.BDH($E$8,"PX LAST",AG37)</f>
        <v>6976.44</v>
      </c>
      <c r="AC37" s="9" cm="1">
        <f t="array" aca="1" ref="AC37" ca="1">_xll.BDH($E$8,"PX LAST",AH37)</f>
        <v>6950.23</v>
      </c>
      <c r="AD37" s="9" cm="1">
        <f t="array" aca="1" ref="AD37" ca="1">_xll.BDH($E$8,"PX LAST",AI37)</f>
        <v>6940.01</v>
      </c>
      <c r="AE37" s="9" cm="1">
        <f t="array" aca="1" ref="AE37" ca="1">_xll.BDH($E$8,"PX LAST",AJ37)</f>
        <v>6858.47</v>
      </c>
      <c r="AF37" s="9" cm="1">
        <f t="array" aca="1" ref="AF37" ca="1">_xll.BDH($E$8,"PX LAST",AK37)</f>
        <v>6771.55</v>
      </c>
      <c r="AG37" s="20">
        <f t="shared" ca="1" si="17"/>
        <v>46055</v>
      </c>
      <c r="AH37" s="22">
        <f t="shared" ca="1" si="12"/>
        <v>46048</v>
      </c>
      <c r="AI37" s="22">
        <f t="shared" ca="1" si="13"/>
        <v>46038</v>
      </c>
      <c r="AJ37" s="22">
        <f t="shared" ca="1" si="14"/>
        <v>46024</v>
      </c>
      <c r="AK37" s="22">
        <f t="shared" ca="1" si="15"/>
        <v>45965</v>
      </c>
      <c r="AL37" s="22">
        <f t="shared" ca="1" si="16"/>
        <v>45880</v>
      </c>
      <c r="AN37" s="21">
        <v>45173</v>
      </c>
    </row>
    <row r="38" spans="4:40" x14ac:dyDescent="0.25">
      <c r="D38" s="6">
        <f ca="1"/>
        <v>46052</v>
      </c>
      <c r="E38" s="28">
        <f ca="1"/>
        <v>289.43</v>
      </c>
      <c r="F38" s="29" cm="1">
        <f t="array" aca="1" ref="F38" ca="1">_xll.FDS($E$7,"P_BETA_LOCIDX("&amp;$AG38&amp;","&amp;$AL38&amp;",,"""&amp;$E$9&amp;""")")</f>
        <v>1.6715176</v>
      </c>
      <c r="G38" s="30">
        <f t="shared" ca="1" si="2"/>
        <v>4.8836609128152433E-3</v>
      </c>
      <c r="H38" s="30">
        <f t="shared" ca="1" si="2"/>
        <v>2.0752176371606378E-2</v>
      </c>
      <c r="I38" s="30">
        <f t="shared" ca="1" si="2"/>
        <v>0.16024742117090582</v>
      </c>
      <c r="J38" s="30">
        <f t="shared" ca="1" si="2"/>
        <v>8.6628001942692906E-2</v>
      </c>
      <c r="K38" s="30">
        <f t="shared" ca="1" si="3"/>
        <v>5.6606636568575595E-3</v>
      </c>
      <c r="L38" s="30">
        <f t="shared" ca="1" si="3"/>
        <v>-1.3093952085617255E-3</v>
      </c>
      <c r="M38" s="30">
        <f t="shared" ca="1" si="3"/>
        <v>2.2837928730990917E-2</v>
      </c>
      <c r="N38" s="30">
        <f t="shared" ca="1" si="3"/>
        <v>2.1238026765440985E-2</v>
      </c>
      <c r="O38" s="30">
        <f t="shared" ca="1" si="4"/>
        <v>1.0544324569672803E-2</v>
      </c>
      <c r="P38" s="30">
        <f t="shared" ca="1" si="5"/>
        <v>1.9442781163044653E-2</v>
      </c>
      <c r="Q38" s="30">
        <f t="shared" ca="1" si="6"/>
        <v>0.18308534990189673</v>
      </c>
      <c r="R38" s="30">
        <f t="shared" ca="1" si="7"/>
        <v>0.10786602870813389</v>
      </c>
      <c r="S38" s="9" cm="1">
        <f t="array" aca="1" ref="S38" ca="1">_xll.BDH($E$6,"PX LAST",AG38)</f>
        <v>289.43</v>
      </c>
      <c r="T38" s="9" cm="1">
        <f t="array" aca="1" ref="T38" ca="1">_xll.BDH($E$6,"PX LAST",AH38)</f>
        <v>286.41000000000003</v>
      </c>
      <c r="U38" s="9" cm="1">
        <f t="array" aca="1" ref="U38" ca="1">_xll.BDH($E$6,"PX LAST",AI38)</f>
        <v>283.91000000000003</v>
      </c>
      <c r="V38" s="9" cm="1">
        <f t="array" aca="1" ref="V38" ca="1">_xll.BDH($E$6,"PX LAST",AJ38)</f>
        <v>244.64</v>
      </c>
      <c r="W38" s="9" cm="1">
        <f t="array" aca="1" ref="W38" ca="1">_xll.BDH($E$6,"PX LAST",AK38)</f>
        <v>261.25</v>
      </c>
      <c r="X38" s="24">
        <f t="shared" ca="1" si="8"/>
        <v>3.3865414619969059E-3</v>
      </c>
      <c r="Y38" s="24">
        <f t="shared" ca="1" si="9"/>
        <v>-7.8335711724586421E-4</v>
      </c>
      <c r="Z38" s="24">
        <f t="shared" ca="1" si="10"/>
        <v>1.3662990285588927E-2</v>
      </c>
      <c r="AA38" s="24">
        <f t="shared" ca="1" si="11"/>
        <v>1.2705834964251039E-2</v>
      </c>
      <c r="AB38" s="9" cm="1">
        <f t="array" aca="1" ref="AB38" ca="1">_xll.BDH($E$8,"PX LAST",AG38)</f>
        <v>6939.03</v>
      </c>
      <c r="AC38" s="9" cm="1">
        <f t="array" aca="1" ref="AC38" ca="1">_xll.BDH($E$8,"PX LAST",AH38)</f>
        <v>6915.61</v>
      </c>
      <c r="AD38" s="9" cm="1">
        <f t="array" aca="1" ref="AD38" ca="1">_xll.BDH($E$8,"PX LAST",AI38)</f>
        <v>6944.47</v>
      </c>
      <c r="AE38" s="9" cm="1">
        <f t="array" aca="1" ref="AE38" ca="1">_xll.BDH($E$8,"PX LAST",AJ38)</f>
        <v>6845.5</v>
      </c>
      <c r="AF38" s="9" cm="1">
        <f t="array" aca="1" ref="AF38" ca="1">_xll.BDH($E$8,"PX LAST",AK38)</f>
        <v>6851.97</v>
      </c>
      <c r="AG38" s="20">
        <f t="shared" ca="1" si="17"/>
        <v>46052</v>
      </c>
      <c r="AH38" s="22">
        <f t="shared" ca="1" si="12"/>
        <v>46045</v>
      </c>
      <c r="AI38" s="22">
        <f t="shared" ca="1" si="13"/>
        <v>46037</v>
      </c>
      <c r="AJ38" s="22">
        <f t="shared" ca="1" si="14"/>
        <v>46022</v>
      </c>
      <c r="AK38" s="22">
        <f t="shared" ca="1" si="15"/>
        <v>45964</v>
      </c>
      <c r="AL38" s="22">
        <f t="shared" ca="1" si="16"/>
        <v>45877</v>
      </c>
      <c r="AN38" s="21">
        <v>45253</v>
      </c>
    </row>
    <row r="39" spans="4:40" x14ac:dyDescent="0.25">
      <c r="D39" s="6">
        <f ca="1"/>
        <v>46051</v>
      </c>
      <c r="E39" s="28">
        <f ca="1"/>
        <v>292.29000000000002</v>
      </c>
      <c r="F39" s="29" cm="1">
        <f t="array" aca="1" ref="F39" ca="1">_xll.FDS($E$7,"P_BETA_LOCIDX("&amp;$AG39&amp;","&amp;$AL39&amp;",,"""&amp;$E$9&amp;""")")</f>
        <v>1.6695749</v>
      </c>
      <c r="G39" s="30">
        <f t="shared" ca="1" si="2"/>
        <v>-6.0316812867933257E-3</v>
      </c>
      <c r="H39" s="30">
        <f t="shared" ca="1" si="2"/>
        <v>4.6311097867106875E-2</v>
      </c>
      <c r="I39" s="30">
        <f t="shared" ca="1" si="2"/>
        <v>0.15252535374526255</v>
      </c>
      <c r="J39" s="30">
        <f t="shared" ca="1" si="2"/>
        <v>9.4787881302436372E-2</v>
      </c>
      <c r="K39" s="30">
        <f t="shared" ca="1" si="3"/>
        <v>1.3441897044703447E-2</v>
      </c>
      <c r="L39" s="30">
        <f t="shared" ca="1" si="3"/>
        <v>1.0222428248924475E-2</v>
      </c>
      <c r="M39" s="30">
        <f t="shared" ca="1" si="3"/>
        <v>1.7617566307582048E-2</v>
      </c>
      <c r="N39" s="30">
        <f t="shared" ca="1" si="3"/>
        <v>3.1440300410660656E-2</v>
      </c>
      <c r="O39" s="30">
        <f t="shared" ca="1" si="4"/>
        <v>7.4102157579101213E-3</v>
      </c>
      <c r="P39" s="30">
        <f t="shared" ca="1" si="5"/>
        <v>5.6533526116031352E-2</v>
      </c>
      <c r="Q39" s="30">
        <f t="shared" ca="1" si="6"/>
        <v>0.17014292005284459</v>
      </c>
      <c r="R39" s="30">
        <f t="shared" ca="1" si="7"/>
        <v>0.12622818171309702</v>
      </c>
      <c r="S39" s="9" cm="1">
        <f t="array" aca="1" ref="S39" ca="1">_xll.BDH($E$6,"PX LAST",AG39)</f>
        <v>292.29000000000002</v>
      </c>
      <c r="T39" s="9" cm="1">
        <f t="array" aca="1" ref="T39" ca="1">_xll.BDH($E$6,"PX LAST",AH39)</f>
        <v>290.14</v>
      </c>
      <c r="U39" s="9" cm="1">
        <f t="array" aca="1" ref="U39" ca="1">_xll.BDH($E$6,"PX LAST",AI39)</f>
        <v>276.64999999999998</v>
      </c>
      <c r="V39" s="9" cm="1">
        <f t="array" aca="1" ref="V39" ca="1">_xll.BDH($E$6,"PX LAST",AJ39)</f>
        <v>249.79</v>
      </c>
      <c r="W39" s="9" cm="1">
        <f t="array" aca="1" ref="W39" ca="1">_xll.BDH($E$6,"PX LAST",AK39)</f>
        <v>259.52999999999997</v>
      </c>
      <c r="X39" s="24">
        <f t="shared" ca="1" si="8"/>
        <v>8.0510895586076714E-3</v>
      </c>
      <c r="Y39" s="24">
        <f t="shared" ca="1" si="9"/>
        <v>6.122773077700483E-3</v>
      </c>
      <c r="Z39" s="24">
        <f t="shared" ca="1" si="10"/>
        <v>1.0552126956138386E-2</v>
      </c>
      <c r="AA39" s="24">
        <f t="shared" ca="1" si="11"/>
        <v>1.8831320721616418E-2</v>
      </c>
      <c r="AB39" s="9" cm="1">
        <f t="array" aca="1" ref="AB39" ca="1">_xll.BDH($E$8,"PX LAST",AG39)</f>
        <v>6969.01</v>
      </c>
      <c r="AC39" s="9" cm="1">
        <f t="array" aca="1" ref="AC39" ca="1">_xll.BDH($E$8,"PX LAST",AH39)</f>
        <v>6913.35</v>
      </c>
      <c r="AD39" s="9" cm="1">
        <f t="array" aca="1" ref="AD39" ca="1">_xll.BDH($E$8,"PX LAST",AI39)</f>
        <v>6926.6</v>
      </c>
      <c r="AE39" s="9" cm="1">
        <f t="array" aca="1" ref="AE39" ca="1">_xll.BDH($E$8,"PX LAST",AJ39)</f>
        <v>6896.24</v>
      </c>
      <c r="AF39" s="9" cm="1">
        <f t="array" aca="1" ref="AF39" ca="1">_xll.BDH($E$8,"PX LAST",AK39)</f>
        <v>6840.2</v>
      </c>
      <c r="AG39" s="20">
        <f t="shared" ca="1" si="17"/>
        <v>46051</v>
      </c>
      <c r="AH39" s="22">
        <f t="shared" ca="1" si="12"/>
        <v>46044</v>
      </c>
      <c r="AI39" s="22">
        <f t="shared" ca="1" si="13"/>
        <v>46036</v>
      </c>
      <c r="AJ39" s="22">
        <f t="shared" ca="1" si="14"/>
        <v>46021</v>
      </c>
      <c r="AK39" s="22">
        <f t="shared" ca="1" si="15"/>
        <v>45961</v>
      </c>
      <c r="AL39" s="22">
        <f t="shared" ca="1" si="16"/>
        <v>45876</v>
      </c>
      <c r="AN39" s="21">
        <v>45285</v>
      </c>
    </row>
    <row r="40" spans="4:40" x14ac:dyDescent="0.25">
      <c r="D40" s="6">
        <f ca="1"/>
        <v>46050</v>
      </c>
      <c r="E40" s="28">
        <f ca="1"/>
        <v>291.3</v>
      </c>
      <c r="F40" s="29" cm="1">
        <f t="array" aca="1" ref="F40" ca="1">_xll.FDS($E$7,"P_BETA_LOCIDX("&amp;$AG40&amp;","&amp;$AL40&amp;",,"""&amp;$E$9&amp;""")")</f>
        <v>1.6530248000000001</v>
      </c>
      <c r="G40" s="30">
        <f t="shared" ca="1" si="2"/>
        <v>-4.0915285126990261E-3</v>
      </c>
      <c r="H40" s="30">
        <f t="shared" ca="1" si="2"/>
        <v>4.9106361278629766E-2</v>
      </c>
      <c r="I40" s="30">
        <f t="shared" ca="1" si="2"/>
        <v>0.1391990622729645</v>
      </c>
      <c r="J40" s="30">
        <f t="shared" ca="1" si="2"/>
        <v>0.11699214224071466</v>
      </c>
      <c r="K40" s="30">
        <f t="shared" ca="1" si="3"/>
        <v>2.4621237032878461E-2</v>
      </c>
      <c r="L40" s="30">
        <f t="shared" ca="1" si="3"/>
        <v>3.3921031503185766E-3</v>
      </c>
      <c r="M40" s="30">
        <f t="shared" ca="1" si="3"/>
        <v>1.7304034439755835E-2</v>
      </c>
      <c r="N40" s="30">
        <f t="shared" ca="1" si="3"/>
        <v>3.7723043869405469E-2</v>
      </c>
      <c r="O40" s="30">
        <f t="shared" ca="1" si="4"/>
        <v>2.0529708520179435E-2</v>
      </c>
      <c r="P40" s="30">
        <f t="shared" ca="1" si="5"/>
        <v>5.2498464428948344E-2</v>
      </c>
      <c r="Q40" s="30">
        <f t="shared" ca="1" si="6"/>
        <v>0.15650309671272034</v>
      </c>
      <c r="R40" s="30">
        <f t="shared" ca="1" si="7"/>
        <v>0.15471518611012014</v>
      </c>
      <c r="S40" s="9" cm="1">
        <f t="array" aca="1" ref="S40" ca="1">_xll.BDH($E$6,"PX LAST",AG40)</f>
        <v>291.3</v>
      </c>
      <c r="T40" s="9" cm="1">
        <f t="array" aca="1" ref="T40" ca="1">_xll.BDH($E$6,"PX LAST",AH40)</f>
        <v>285.44</v>
      </c>
      <c r="U40" s="9" cm="1">
        <f t="array" aca="1" ref="U40" ca="1">_xll.BDH($E$6,"PX LAST",AI40)</f>
        <v>276.77</v>
      </c>
      <c r="V40" s="9" cm="1">
        <f t="array" aca="1" ref="V40" ca="1">_xll.BDH($E$6,"PX LAST",AJ40)</f>
        <v>251.88</v>
      </c>
      <c r="W40" s="9" cm="1">
        <f t="array" aca="1" ref="W40" ca="1">_xll.BDH($E$6,"PX LAST",AK40)</f>
        <v>252.27</v>
      </c>
      <c r="X40" s="24">
        <f t="shared" ca="1" si="8"/>
        <v>1.489465677277102E-2</v>
      </c>
      <c r="Y40" s="24">
        <f t="shared" ca="1" si="9"/>
        <v>2.0520582330758597E-3</v>
      </c>
      <c r="Z40" s="24">
        <f t="shared" ca="1" si="10"/>
        <v>1.0468103345912194E-2</v>
      </c>
      <c r="AA40" s="24">
        <f t="shared" ca="1" si="11"/>
        <v>2.2820615800443811E-2</v>
      </c>
      <c r="AB40" s="9" cm="1">
        <f t="array" aca="1" ref="AB40" ca="1">_xll.BDH($E$8,"PX LAST",AG40)</f>
        <v>6978.03</v>
      </c>
      <c r="AC40" s="9" cm="1">
        <f t="array" aca="1" ref="AC40" ca="1">_xll.BDH($E$8,"PX LAST",AH40)</f>
        <v>6875.62</v>
      </c>
      <c r="AD40" s="9" cm="1">
        <f t="array" aca="1" ref="AD40" ca="1">_xll.BDH($E$8,"PX LAST",AI40)</f>
        <v>6963.74</v>
      </c>
      <c r="AE40" s="9" cm="1">
        <f t="array" aca="1" ref="AE40" ca="1">_xll.BDH($E$8,"PX LAST",AJ40)</f>
        <v>6905.74</v>
      </c>
      <c r="AF40" s="9" cm="1">
        <f t="array" aca="1" ref="AF40" ca="1">_xll.BDH($E$8,"PX LAST",AK40)</f>
        <v>6822.34</v>
      </c>
      <c r="AG40" s="20">
        <f t="shared" ca="1" si="17"/>
        <v>46050</v>
      </c>
      <c r="AH40" s="22">
        <f t="shared" ca="1" si="12"/>
        <v>46043</v>
      </c>
      <c r="AI40" s="22">
        <f t="shared" ca="1" si="13"/>
        <v>46035</v>
      </c>
      <c r="AJ40" s="22">
        <f t="shared" ca="1" si="14"/>
        <v>46020</v>
      </c>
      <c r="AK40" s="22">
        <f t="shared" ca="1" si="15"/>
        <v>45960</v>
      </c>
      <c r="AL40" s="22">
        <f t="shared" ca="1" si="16"/>
        <v>45875</v>
      </c>
      <c r="AN40" s="21">
        <v>45292</v>
      </c>
    </row>
    <row r="41" spans="4:40" x14ac:dyDescent="0.25">
      <c r="D41" s="6">
        <f ca="1"/>
        <v>46049</v>
      </c>
      <c r="E41" s="28">
        <f ca="1"/>
        <v>287.81</v>
      </c>
      <c r="F41" s="29" cm="1">
        <f t="array" aca="1" ref="F41" ca="1">_xll.FDS($E$7,"P_BETA_LOCIDX("&amp;$AG41&amp;","&amp;$AL41&amp;",,"""&amp;$E$9&amp;""")")</f>
        <v>1.6593161999999999</v>
      </c>
      <c r="G41" s="30">
        <f t="shared" ca="1" si="2"/>
        <v>-2.1824638077364844E-3</v>
      </c>
      <c r="H41" s="30">
        <f t="shared" ca="1" si="2"/>
        <v>5.169773897375235E-2</v>
      </c>
      <c r="I41" s="30">
        <f t="shared" ca="1" si="2"/>
        <v>0.1215928537354059</v>
      </c>
      <c r="J41" s="30">
        <f t="shared" ca="1" si="2"/>
        <v>0.23952741121761256</v>
      </c>
      <c r="K41" s="30">
        <f t="shared" ca="1" si="3"/>
        <v>4.4368153263124516E-2</v>
      </c>
      <c r="L41" s="30">
        <f t="shared" ca="1" si="3"/>
        <v>3.1629713999875429E-4</v>
      </c>
      <c r="M41" s="30">
        <f t="shared" ca="1" si="3"/>
        <v>1.1651230211516988E-2</v>
      </c>
      <c r="N41" s="30">
        <f t="shared" ca="1" si="3"/>
        <v>2.1193601529332241E-2</v>
      </c>
      <c r="O41" s="30">
        <f t="shared" ca="1" si="4"/>
        <v>4.2185689455388031E-2</v>
      </c>
      <c r="P41" s="30">
        <f t="shared" ca="1" si="5"/>
        <v>5.2014036113751105E-2</v>
      </c>
      <c r="Q41" s="30">
        <f t="shared" ca="1" si="6"/>
        <v>0.13324408394692289</v>
      </c>
      <c r="R41" s="30">
        <f t="shared" ca="1" si="7"/>
        <v>0.26072101274694481</v>
      </c>
      <c r="S41" s="9" cm="1">
        <f t="array" aca="1" ref="S41" ca="1">_xll.BDH($E$6,"PX LAST",AG41)</f>
        <v>287.81</v>
      </c>
      <c r="T41" s="9" cm="1">
        <f t="array" aca="1" ref="T41" ca="1">_xll.BDH($E$6,"PX LAST",AH41)</f>
        <v>276.16000000000003</v>
      </c>
      <c r="U41" s="9" cm="1">
        <f t="array" aca="1" ref="U41" ca="1">_xll.BDH($E$6,"PX LAST",AI41)</f>
        <v>273.58</v>
      </c>
      <c r="V41" s="9" cm="1">
        <f t="array" aca="1" ref="V41" ca="1">_xll.BDH($E$6,"PX LAST",AJ41)</f>
        <v>253.97</v>
      </c>
      <c r="W41" s="9" cm="1">
        <f t="array" aca="1" ref="W41" ca="1">_xll.BDH($E$6,"PX LAST",AK41)</f>
        <v>228.29</v>
      </c>
      <c r="X41" s="24">
        <f t="shared" ca="1" si="8"/>
        <v>2.6738817630494127E-2</v>
      </c>
      <c r="Y41" s="24">
        <f t="shared" ca="1" si="9"/>
        <v>1.9061896701710879E-4</v>
      </c>
      <c r="Z41" s="24">
        <f t="shared" ca="1" si="10"/>
        <v>7.0217058156347711E-3</v>
      </c>
      <c r="AA41" s="24">
        <f t="shared" ca="1" si="11"/>
        <v>1.2772491180000678E-2</v>
      </c>
      <c r="AB41" s="9" cm="1">
        <f t="array" aca="1" ref="AB41" ca="1">_xll.BDH($E$8,"PX LAST",AG41)</f>
        <v>6978.6</v>
      </c>
      <c r="AC41" s="9" cm="1">
        <f t="array" aca="1" ref="AC41" ca="1">_xll.BDH($E$8,"PX LAST",AH41)</f>
        <v>6796.86</v>
      </c>
      <c r="AD41" s="9" cm="1">
        <f t="array" aca="1" ref="AD41" ca="1">_xll.BDH($E$8,"PX LAST",AI41)</f>
        <v>6977.27</v>
      </c>
      <c r="AE41" s="9" cm="1">
        <f t="array" aca="1" ref="AE41" ca="1">_xll.BDH($E$8,"PX LAST",AJ41)</f>
        <v>6929.94</v>
      </c>
      <c r="AF41" s="9" cm="1">
        <f t="array" aca="1" ref="AF41" ca="1">_xll.BDH($E$8,"PX LAST",AK41)</f>
        <v>6890.59</v>
      </c>
      <c r="AG41" s="20">
        <f t="shared" ca="1" si="17"/>
        <v>46049</v>
      </c>
      <c r="AH41" s="22">
        <f t="shared" ca="1" si="12"/>
        <v>46042</v>
      </c>
      <c r="AI41" s="22">
        <f t="shared" ca="1" si="13"/>
        <v>46034</v>
      </c>
      <c r="AJ41" s="22">
        <f t="shared" ca="1" si="14"/>
        <v>46017</v>
      </c>
      <c r="AK41" s="22">
        <f t="shared" ca="1" si="15"/>
        <v>45959</v>
      </c>
      <c r="AL41" s="22">
        <f t="shared" ca="1" si="16"/>
        <v>45874</v>
      </c>
      <c r="AN41" s="21">
        <v>45306</v>
      </c>
    </row>
    <row r="42" spans="4:40" x14ac:dyDescent="0.25">
      <c r="D42" s="6">
        <f ca="1"/>
        <v>46048</v>
      </c>
      <c r="E42" s="28">
        <f ca="1"/>
        <v>286.79000000000002</v>
      </c>
      <c r="F42" s="29" cm="1">
        <f t="array" aca="1" ref="F42" ca="1">_xll.FDS($E$7,"P_BETA_LOCIDX("&amp;$AG42&amp;","&amp;$AL42&amp;",,"""&amp;$E$9&amp;""")")</f>
        <v>1.6651129</v>
      </c>
      <c r="G42" s="30">
        <f t="shared" ca="1" si="2"/>
        <v>1.5869832575818647E-2</v>
      </c>
      <c r="H42" s="30">
        <f t="shared" ca="1" si="2"/>
        <v>6.8782502936850842E-2</v>
      </c>
      <c r="I42" s="30">
        <f t="shared" ca="1" si="2"/>
        <v>0.12162443593362025</v>
      </c>
      <c r="J42" s="30">
        <f t="shared" ca="1" si="2"/>
        <v>0.28470535175377099</v>
      </c>
      <c r="K42" s="30">
        <f t="shared" ca="1" si="3"/>
        <v>2.4520791523354696E-3</v>
      </c>
      <c r="L42" s="30">
        <f t="shared" ca="1" si="3"/>
        <v>-3.8363462342886311E-3</v>
      </c>
      <c r="M42" s="30">
        <f t="shared" ca="1" si="3"/>
        <v>4.3669264535020234E-3</v>
      </c>
      <c r="N42" s="30">
        <f t="shared" ca="1" si="3"/>
        <v>1.4338902447433874E-2</v>
      </c>
      <c r="O42" s="30">
        <f t="shared" ca="1" si="4"/>
        <v>1.8321911728154117E-2</v>
      </c>
      <c r="P42" s="30">
        <f t="shared" ca="1" si="5"/>
        <v>6.4946156702562208E-2</v>
      </c>
      <c r="Q42" s="30">
        <f t="shared" ca="1" si="6"/>
        <v>0.12599136238712227</v>
      </c>
      <c r="R42" s="30">
        <f t="shared" ca="1" si="7"/>
        <v>0.29904425420120484</v>
      </c>
      <c r="S42" s="9" cm="1">
        <f t="array" aca="1" ref="S42" ca="1">_xll.BDH($E$6,"PX LAST",AG42)</f>
        <v>286.79000000000002</v>
      </c>
      <c r="T42" s="9" cm="1">
        <f t="array" aca="1" ref="T42" ca="1">_xll.BDH($E$6,"PX LAST",AH42)</f>
        <v>281.63</v>
      </c>
      <c r="U42" s="9" cm="1">
        <f t="array" aca="1" ref="U42" ca="1">_xll.BDH($E$6,"PX LAST",AI42)</f>
        <v>269.3</v>
      </c>
      <c r="V42" s="9" cm="1">
        <f t="array" aca="1" ref="V42" ca="1">_xll.BDH($E$6,"PX LAST",AJ42)</f>
        <v>254.7</v>
      </c>
      <c r="W42" s="9" cm="1">
        <f t="array" aca="1" ref="W42" ca="1">_xll.BDH($E$6,"PX LAST",AK42)</f>
        <v>220.77</v>
      </c>
      <c r="X42" s="24">
        <f t="shared" ca="1" si="8"/>
        <v>1.4726203564547902E-3</v>
      </c>
      <c r="Y42" s="24">
        <f t="shared" ca="1" si="9"/>
        <v>-2.303955626245302E-3</v>
      </c>
      <c r="Z42" s="24">
        <f t="shared" ca="1" si="10"/>
        <v>2.6226008179397464E-3</v>
      </c>
      <c r="AA42" s="24">
        <f t="shared" ca="1" si="11"/>
        <v>8.6113695037939308E-3</v>
      </c>
      <c r="AB42" s="9" cm="1">
        <f t="array" aca="1" ref="AB42" ca="1">_xll.BDH($E$8,"PX LAST",AG42)</f>
        <v>6950.23</v>
      </c>
      <c r="AC42" s="9" cm="1">
        <f t="array" aca="1" ref="AC42" ca="1">_xll.BDH($E$8,"PX LAST",AH42)</f>
        <v>6940.01</v>
      </c>
      <c r="AD42" s="9" cm="1">
        <f t="array" aca="1" ref="AD42" ca="1">_xll.BDH($E$8,"PX LAST",AI42)</f>
        <v>6966.28</v>
      </c>
      <c r="AE42" s="9" cm="1">
        <f t="array" aca="1" ref="AE42" ca="1">_xll.BDH($E$8,"PX LAST",AJ42)</f>
        <v>6932.05</v>
      </c>
      <c r="AF42" s="9" cm="1">
        <f t="array" aca="1" ref="AF42" ca="1">_xll.BDH($E$8,"PX LAST",AK42)</f>
        <v>6890.89</v>
      </c>
      <c r="AG42" s="20">
        <f t="shared" ca="1" si="17"/>
        <v>46048</v>
      </c>
      <c r="AH42" s="22">
        <f t="shared" ca="1" si="12"/>
        <v>46038</v>
      </c>
      <c r="AI42" s="22">
        <f t="shared" ca="1" si="13"/>
        <v>46031</v>
      </c>
      <c r="AJ42" s="22">
        <f t="shared" ca="1" si="14"/>
        <v>46015</v>
      </c>
      <c r="AK42" s="22">
        <f t="shared" ca="1" si="15"/>
        <v>45958</v>
      </c>
      <c r="AL42" s="22">
        <f t="shared" ca="1" si="16"/>
        <v>45873</v>
      </c>
      <c r="AN42" s="21">
        <v>45341</v>
      </c>
    </row>
    <row r="43" spans="4:40" x14ac:dyDescent="0.25">
      <c r="D43" s="6">
        <f ca="1"/>
        <v>46045</v>
      </c>
      <c r="E43" s="28">
        <f ca="1"/>
        <v>286.41000000000003</v>
      </c>
      <c r="F43" s="29" cm="1">
        <f t="array" aca="1" ref="F43" ca="1">_xll.FDS($E$7,"P_BETA_LOCIDX("&amp;$AG43&amp;","&amp;$AL43&amp;",,"""&amp;$E$9&amp;""")")</f>
        <v>1.648873</v>
      </c>
      <c r="G43" s="30">
        <f t="shared" ca="1" si="2"/>
        <v>1.5658034562187395E-2</v>
      </c>
      <c r="H43" s="30">
        <f t="shared" ca="1" si="2"/>
        <v>7.1965147862254636E-2</v>
      </c>
      <c r="I43" s="30">
        <f t="shared" ca="1" si="2"/>
        <v>0.13254894427406355</v>
      </c>
      <c r="J43" s="30">
        <f t="shared" ca="1" si="2"/>
        <v>0.27482143814345378</v>
      </c>
      <c r="K43" s="30">
        <f t="shared" ca="1" si="3"/>
        <v>-6.8524271513882313E-3</v>
      </c>
      <c r="L43" s="30">
        <f t="shared" ca="1" si="3"/>
        <v>-1.3936231734345203E-3</v>
      </c>
      <c r="M43" s="30">
        <f t="shared" ca="1" si="3"/>
        <v>1.3888180190712617E-3</v>
      </c>
      <c r="N43" s="30">
        <f t="shared" ca="1" si="3"/>
        <v>9.7011433697544221E-3</v>
      </c>
      <c r="O43" s="30">
        <f t="shared" ca="1" si="4"/>
        <v>8.8056074107991655E-3</v>
      </c>
      <c r="P43" s="30">
        <f t="shared" ca="1" si="5"/>
        <v>7.0571524688820109E-2</v>
      </c>
      <c r="Q43" s="30">
        <f t="shared" ca="1" si="6"/>
        <v>0.13393776229313481</v>
      </c>
      <c r="R43" s="30">
        <f t="shared" ca="1" si="7"/>
        <v>0.28452258151320819</v>
      </c>
      <c r="S43" s="9" cm="1">
        <f t="array" aca="1" ref="S43" ca="1">_xll.BDH($E$6,"PX LAST",AG43)</f>
        <v>286.41000000000003</v>
      </c>
      <c r="T43" s="9" cm="1">
        <f t="array" aca="1" ref="T43" ca="1">_xll.BDH($E$6,"PX LAST",AH43)</f>
        <v>283.91000000000003</v>
      </c>
      <c r="U43" s="9" cm="1">
        <f t="array" aca="1" ref="U43" ca="1">_xll.BDH($E$6,"PX LAST",AI43)</f>
        <v>267.52999999999997</v>
      </c>
      <c r="V43" s="9" cm="1">
        <f t="array" aca="1" ref="V43" ca="1">_xll.BDH($E$6,"PX LAST",AJ43)</f>
        <v>252.58</v>
      </c>
      <c r="W43" s="9" cm="1">
        <f t="array" aca="1" ref="W43" ca="1">_xll.BDH($E$6,"PX LAST",AK43)</f>
        <v>222.97</v>
      </c>
      <c r="X43" s="24">
        <f t="shared" ca="1" si="8"/>
        <v>-4.1558247065651699E-3</v>
      </c>
      <c r="Y43" s="24">
        <f t="shared" ca="1" si="9"/>
        <v>-8.451974005484475E-4</v>
      </c>
      <c r="Z43" s="24">
        <f t="shared" ca="1" si="10"/>
        <v>8.4228319529233708E-4</v>
      </c>
      <c r="AA43" s="24">
        <f t="shared" ca="1" si="11"/>
        <v>5.8834994385585926E-3</v>
      </c>
      <c r="AB43" s="9" cm="1">
        <f t="array" aca="1" ref="AB43" ca="1">_xll.BDH($E$8,"PX LAST",AG43)</f>
        <v>6915.61</v>
      </c>
      <c r="AC43" s="9" cm="1">
        <f t="array" aca="1" ref="AC43" ca="1">_xll.BDH($E$8,"PX LAST",AH43)</f>
        <v>6944.47</v>
      </c>
      <c r="AD43" s="9" cm="1">
        <f t="array" aca="1" ref="AD43" ca="1">_xll.BDH($E$8,"PX LAST",AI43)</f>
        <v>6921.46</v>
      </c>
      <c r="AE43" s="9" cm="1">
        <f t="array" aca="1" ref="AE43" ca="1">_xll.BDH($E$8,"PX LAST",AJ43)</f>
        <v>6909.79</v>
      </c>
      <c r="AF43" s="9" cm="1">
        <f t="array" aca="1" ref="AF43" ca="1">_xll.BDH($E$8,"PX LAST",AK43)</f>
        <v>6875.16</v>
      </c>
      <c r="AG43" s="20">
        <f t="shared" ca="1" si="17"/>
        <v>46045</v>
      </c>
      <c r="AH43" s="22">
        <f t="shared" ca="1" si="12"/>
        <v>46037</v>
      </c>
      <c r="AI43" s="22">
        <f t="shared" ca="1" si="13"/>
        <v>46030</v>
      </c>
      <c r="AJ43" s="22">
        <f t="shared" ca="1" si="14"/>
        <v>46014</v>
      </c>
      <c r="AK43" s="22">
        <f t="shared" ca="1" si="15"/>
        <v>45957</v>
      </c>
      <c r="AL43" s="22">
        <f t="shared" ca="1" si="16"/>
        <v>45870</v>
      </c>
      <c r="AN43" s="21">
        <v>45380</v>
      </c>
    </row>
    <row r="44" spans="4:40" x14ac:dyDescent="0.25">
      <c r="D44" s="6">
        <f ca="1"/>
        <v>46044</v>
      </c>
      <c r="E44" s="28">
        <f ca="1"/>
        <v>290.14</v>
      </c>
      <c r="F44" s="29" cm="1">
        <f t="array" aca="1" ref="F44" ca="1">_xll.FDS($E$7,"P_BETA_LOCIDX("&amp;$AG44&amp;","&amp;$AL44&amp;",,"""&amp;$E$9&amp;""")")</f>
        <v>1.6639497000000001</v>
      </c>
      <c r="G44" s="30">
        <f t="shared" ca="1" si="2"/>
        <v>5.1944968664553275E-2</v>
      </c>
      <c r="H44" s="30">
        <f t="shared" ca="1" si="2"/>
        <v>0.10413614706540514</v>
      </c>
      <c r="I44" s="30">
        <f t="shared" ca="1" si="2"/>
        <v>0.13156164746809992</v>
      </c>
      <c r="J44" s="30">
        <f t="shared" ca="1" si="2"/>
        <v>0.25661725129743873</v>
      </c>
      <c r="K44" s="30">
        <f t="shared" ca="1" si="3"/>
        <v>-3.1829950516848926E-3</v>
      </c>
      <c r="L44" s="30">
        <f t="shared" ca="1" si="3"/>
        <v>-1.8224051862971167E-3</v>
      </c>
      <c r="M44" s="30">
        <f t="shared" ca="1" si="3"/>
        <v>8.4328517657218677E-3</v>
      </c>
      <c r="N44" s="30">
        <f t="shared" ca="1" si="3"/>
        <v>2.9806442947484468E-2</v>
      </c>
      <c r="O44" s="30">
        <f t="shared" ca="1" si="4"/>
        <v>4.8761973612868381E-2</v>
      </c>
      <c r="P44" s="30">
        <f t="shared" ca="1" si="5"/>
        <v>0.10231374187910802</v>
      </c>
      <c r="Q44" s="30">
        <f t="shared" ca="1" si="6"/>
        <v>0.13999449923382179</v>
      </c>
      <c r="R44" s="30">
        <f t="shared" ca="1" si="7"/>
        <v>0.2864236942449232</v>
      </c>
      <c r="S44" s="9" cm="1">
        <f t="array" aca="1" ref="S44" ca="1">_xll.BDH($E$6,"PX LAST",AG44)</f>
        <v>290.14</v>
      </c>
      <c r="T44" s="9" cm="1">
        <f t="array" aca="1" ref="T44" ca="1">_xll.BDH($E$6,"PX LAST",AH44)</f>
        <v>276.64999999999998</v>
      </c>
      <c r="U44" s="9" cm="1">
        <f t="array" aca="1" ref="U44" ca="1">_xll.BDH($E$6,"PX LAST",AI44)</f>
        <v>263.20999999999998</v>
      </c>
      <c r="V44" s="9" cm="1">
        <f t="array" aca="1" ref="V44" ca="1">_xll.BDH($E$6,"PX LAST",AJ44)</f>
        <v>254.51</v>
      </c>
      <c r="W44" s="9" cm="1">
        <f t="array" aca="1" ref="W44" ca="1">_xll.BDH($E$6,"PX LAST",AK44)</f>
        <v>225.54</v>
      </c>
      <c r="X44" s="24">
        <f t="shared" ca="1" si="8"/>
        <v>-1.9129154274825089E-3</v>
      </c>
      <c r="Y44" s="24">
        <f t="shared" ca="1" si="9"/>
        <v>-1.0952285314256294E-3</v>
      </c>
      <c r="Z44" s="24">
        <f t="shared" ca="1" si="10"/>
        <v>5.0679727672788832E-3</v>
      </c>
      <c r="AA44" s="24">
        <f t="shared" ca="1" si="11"/>
        <v>1.7913067292529616E-2</v>
      </c>
      <c r="AB44" s="9" cm="1">
        <f t="array" aca="1" ref="AB44" ca="1">_xll.BDH($E$8,"PX LAST",AG44)</f>
        <v>6913.35</v>
      </c>
      <c r="AC44" s="9" cm="1">
        <f t="array" aca="1" ref="AC44" ca="1">_xll.BDH($E$8,"PX LAST",AH44)</f>
        <v>6926.6</v>
      </c>
      <c r="AD44" s="9" cm="1">
        <f t="array" aca="1" ref="AD44" ca="1">_xll.BDH($E$8,"PX LAST",AI44)</f>
        <v>6920.93</v>
      </c>
      <c r="AE44" s="9" cm="1">
        <f t="array" aca="1" ref="AE44" ca="1">_xll.BDH($E$8,"PX LAST",AJ44)</f>
        <v>6878.49</v>
      </c>
      <c r="AF44" s="9" cm="1">
        <f t="array" aca="1" ref="AF44" ca="1">_xll.BDH($E$8,"PX LAST",AK44)</f>
        <v>6791.69</v>
      </c>
      <c r="AG44" s="20">
        <f t="shared" ca="1" si="17"/>
        <v>46044</v>
      </c>
      <c r="AH44" s="22">
        <f t="shared" ca="1" si="12"/>
        <v>46036</v>
      </c>
      <c r="AI44" s="22">
        <f t="shared" ca="1" si="13"/>
        <v>46029</v>
      </c>
      <c r="AJ44" s="22">
        <f t="shared" ca="1" si="14"/>
        <v>46013</v>
      </c>
      <c r="AK44" s="22">
        <f t="shared" ca="1" si="15"/>
        <v>45954</v>
      </c>
      <c r="AL44" s="22">
        <f t="shared" ca="1" si="16"/>
        <v>45869</v>
      </c>
      <c r="AN44" s="21">
        <v>45439</v>
      </c>
    </row>
    <row r="45" spans="4:40" x14ac:dyDescent="0.25">
      <c r="D45" s="6">
        <f ca="1"/>
        <v>46043</v>
      </c>
      <c r="E45" s="28">
        <f ca="1"/>
        <v>285.44</v>
      </c>
      <c r="F45" s="29" cm="1">
        <f t="array" aca="1" ref="F45" ca="1">_xll.FDS($E$7,"P_BETA_LOCIDX("&amp;$AG45&amp;","&amp;$AL45&amp;",,"""&amp;$E$9&amp;""")")</f>
        <v>1.6642401</v>
      </c>
      <c r="G45" s="30">
        <f t="shared" ca="1" si="2"/>
        <v>5.2385143005957688E-2</v>
      </c>
      <c r="H45" s="30">
        <f t="shared" ca="1" si="2"/>
        <v>6.4569118193116823E-2</v>
      </c>
      <c r="I45" s="30">
        <f t="shared" ca="1" si="2"/>
        <v>0.12534363208834462</v>
      </c>
      <c r="J45" s="30">
        <f t="shared" ca="1" si="2"/>
        <v>0.26552333784393645</v>
      </c>
      <c r="K45" s="30">
        <f t="shared" ca="1" si="3"/>
        <v>-2.1059493549730399E-2</v>
      </c>
      <c r="L45" s="30">
        <f t="shared" ca="1" si="3"/>
        <v>-1.6582922944007195E-2</v>
      </c>
      <c r="M45" s="30">
        <f t="shared" ca="1" si="3"/>
        <v>1.0012956750603673E-2</v>
      </c>
      <c r="N45" s="30">
        <f t="shared" ca="1" si="3"/>
        <v>3.3880313087005426E-2</v>
      </c>
      <c r="O45" s="30">
        <f t="shared" ca="1" si="4"/>
        <v>3.1325649456227289E-2</v>
      </c>
      <c r="P45" s="30">
        <f t="shared" ca="1" si="5"/>
        <v>4.7986195249109631E-2</v>
      </c>
      <c r="Q45" s="30">
        <f t="shared" ca="1" si="6"/>
        <v>0.1353565888389483</v>
      </c>
      <c r="R45" s="30">
        <f t="shared" ca="1" si="7"/>
        <v>0.2994036509309419</v>
      </c>
      <c r="S45" s="9" cm="1">
        <f t="array" aca="1" ref="S45" ca="1">_xll.BDH($E$6,"PX LAST",AG45)</f>
        <v>285.44</v>
      </c>
      <c r="T45" s="9" cm="1">
        <f t="array" aca="1" ref="T45" ca="1">_xll.BDH($E$6,"PX LAST",AH45)</f>
        <v>276.77</v>
      </c>
      <c r="U45" s="9" cm="1">
        <f t="array" aca="1" ref="U45" ca="1">_xll.BDH($E$6,"PX LAST",AI45)</f>
        <v>272.37</v>
      </c>
      <c r="V45" s="9" cm="1">
        <f t="array" aca="1" ref="V45" ca="1">_xll.BDH($E$6,"PX LAST",AJ45)</f>
        <v>251.41</v>
      </c>
      <c r="W45" s="9" cm="1">
        <f t="array" aca="1" ref="W45" ca="1">_xll.BDH($E$6,"PX LAST",AK45)</f>
        <v>219.67</v>
      </c>
      <c r="X45" s="24">
        <f t="shared" ca="1" si="8"/>
        <v>-1.2654119768974681E-2</v>
      </c>
      <c r="Y45" s="24">
        <f t="shared" ca="1" si="9"/>
        <v>-9.9642611327579456E-3</v>
      </c>
      <c r="Z45" s="24">
        <f t="shared" ca="1" si="10"/>
        <v>6.0165337625284199E-3</v>
      </c>
      <c r="AA45" s="24">
        <f t="shared" ca="1" si="11"/>
        <v>2.0357827627759617E-2</v>
      </c>
      <c r="AB45" s="9" cm="1">
        <f t="array" aca="1" ref="AB45" ca="1">_xll.BDH($E$8,"PX LAST",AG45)</f>
        <v>6875.62</v>
      </c>
      <c r="AC45" s="9" cm="1">
        <f t="array" aca="1" ref="AC45" ca="1">_xll.BDH($E$8,"PX LAST",AH45)</f>
        <v>6963.74</v>
      </c>
      <c r="AD45" s="9" cm="1">
        <f t="array" aca="1" ref="AD45" ca="1">_xll.BDH($E$8,"PX LAST",AI45)</f>
        <v>6944.82</v>
      </c>
      <c r="AE45" s="9" cm="1">
        <f t="array" aca="1" ref="AE45" ca="1">_xll.BDH($E$8,"PX LAST",AJ45)</f>
        <v>6834.5</v>
      </c>
      <c r="AF45" s="9" cm="1">
        <f t="array" aca="1" ref="AF45" ca="1">_xll.BDH($E$8,"PX LAST",AK45)</f>
        <v>6738.44</v>
      </c>
      <c r="AG45" s="20">
        <f t="shared" ca="1" si="17"/>
        <v>46043</v>
      </c>
      <c r="AH45" s="22">
        <f t="shared" ca="1" si="12"/>
        <v>46035</v>
      </c>
      <c r="AI45" s="22">
        <f t="shared" ca="1" si="13"/>
        <v>46028</v>
      </c>
      <c r="AJ45" s="22">
        <f t="shared" ca="1" si="14"/>
        <v>46010</v>
      </c>
      <c r="AK45" s="22">
        <f t="shared" ca="1" si="15"/>
        <v>45953</v>
      </c>
      <c r="AL45" s="22">
        <f t="shared" ca="1" si="16"/>
        <v>45868</v>
      </c>
      <c r="AN45" s="21">
        <v>45462</v>
      </c>
    </row>
    <row r="46" spans="4:40" x14ac:dyDescent="0.25">
      <c r="D46" s="6">
        <f ca="1"/>
        <v>46042</v>
      </c>
      <c r="E46" s="28">
        <f ca="1"/>
        <v>276.16000000000003</v>
      </c>
      <c r="F46" s="29" cm="1">
        <f t="array" aca="1" ref="F46" ca="1">_xll.FDS($E$7,"P_BETA_LOCIDX("&amp;$AG46&amp;","&amp;$AL46&amp;",,"""&amp;$E$9&amp;""")")</f>
        <v>1.6445755</v>
      </c>
      <c r="G46" s="30">
        <f t="shared" ca="1" si="2"/>
        <v>5.1954003193032623E-2</v>
      </c>
      <c r="H46" s="30">
        <f t="shared" ca="1" si="2"/>
        <v>5.9913721721160287E-2</v>
      </c>
      <c r="I46" s="30">
        <f t="shared" ca="1" si="2"/>
        <v>0.12417016711682473</v>
      </c>
      <c r="J46" s="30">
        <f t="shared" ca="1" si="2"/>
        <v>0.26901984668826862</v>
      </c>
      <c r="K46" s="30">
        <f t="shared" ca="1" si="3"/>
        <v>-4.2523489266575849E-2</v>
      </c>
      <c r="L46" s="30">
        <f t="shared" ca="1" si="3"/>
        <v>-2.506398777826881E-2</v>
      </c>
      <c r="M46" s="30">
        <f t="shared" ca="1" si="3"/>
        <v>5.3647831878913428E-3</v>
      </c>
      <c r="N46" s="30">
        <f t="shared" ca="1" si="3"/>
        <v>2.3924579548914783E-2</v>
      </c>
      <c r="O46" s="30">
        <f t="shared" ca="1" si="4"/>
        <v>9.4305139264567739E-3</v>
      </c>
      <c r="P46" s="30">
        <f t="shared" ca="1" si="5"/>
        <v>3.4849733942891481E-2</v>
      </c>
      <c r="Q46" s="30">
        <f t="shared" ca="1" si="6"/>
        <v>0.12953495030471607</v>
      </c>
      <c r="R46" s="30">
        <f t="shared" ca="1" si="7"/>
        <v>0.29294442623718342</v>
      </c>
      <c r="S46" s="9" cm="1">
        <f t="array" aca="1" ref="S46" ca="1">_xll.BDH($E$6,"PX LAST",AG46)</f>
        <v>276.16000000000003</v>
      </c>
      <c r="T46" s="9" cm="1">
        <f t="array" aca="1" ref="T46" ca="1">_xll.BDH($E$6,"PX LAST",AH46)</f>
        <v>273.58</v>
      </c>
      <c r="U46" s="9" cm="1">
        <f t="array" aca="1" ref="U46" ca="1">_xll.BDH($E$6,"PX LAST",AI46)</f>
        <v>266.86</v>
      </c>
      <c r="V46" s="9" cm="1">
        <f t="array" aca="1" ref="V46" ca="1">_xll.BDH($E$6,"PX LAST",AJ46)</f>
        <v>244.49</v>
      </c>
      <c r="W46" s="9" cm="1">
        <f t="array" aca="1" ref="W46" ca="1">_xll.BDH($E$6,"PX LAST",AK46)</f>
        <v>213.59</v>
      </c>
      <c r="X46" s="24">
        <f t="shared" ca="1" si="8"/>
        <v>-2.5856817924489239E-2</v>
      </c>
      <c r="Y46" s="24">
        <f t="shared" ca="1" si="9"/>
        <v>-1.5240399591425757E-2</v>
      </c>
      <c r="Z46" s="24">
        <f t="shared" ca="1" si="10"/>
        <v>3.2621081780017658E-3</v>
      </c>
      <c r="AA46" s="24">
        <f t="shared" ca="1" si="11"/>
        <v>1.4547571424306627E-2</v>
      </c>
      <c r="AB46" s="9" cm="1">
        <f t="array" aca="1" ref="AB46" ca="1">_xll.BDH($E$8,"PX LAST",AG46)</f>
        <v>6796.86</v>
      </c>
      <c r="AC46" s="9" cm="1">
        <f t="array" aca="1" ref="AC46" ca="1">_xll.BDH($E$8,"PX LAST",AH46)</f>
        <v>6977.27</v>
      </c>
      <c r="AD46" s="9" cm="1">
        <f t="array" aca="1" ref="AD46" ca="1">_xll.BDH($E$8,"PX LAST",AI46)</f>
        <v>6902.05</v>
      </c>
      <c r="AE46" s="9" cm="1">
        <f t="array" aca="1" ref="AE46" ca="1">_xll.BDH($E$8,"PX LAST",AJ46)</f>
        <v>6774.76</v>
      </c>
      <c r="AF46" s="9" cm="1">
        <f t="array" aca="1" ref="AF46" ca="1">_xll.BDH($E$8,"PX LAST",AK46)</f>
        <v>6699.4</v>
      </c>
      <c r="AG46" s="20">
        <f t="shared" ca="1" si="17"/>
        <v>46042</v>
      </c>
      <c r="AH46" s="22">
        <f t="shared" ca="1" si="12"/>
        <v>46034</v>
      </c>
      <c r="AI46" s="22">
        <f t="shared" ca="1" si="13"/>
        <v>46027</v>
      </c>
      <c r="AJ46" s="22">
        <f t="shared" ca="1" si="14"/>
        <v>46009</v>
      </c>
      <c r="AK46" s="22">
        <f t="shared" ca="1" si="15"/>
        <v>45952</v>
      </c>
      <c r="AL46" s="22">
        <f t="shared" ca="1" si="16"/>
        <v>45867</v>
      </c>
      <c r="AN46" s="21">
        <v>45477</v>
      </c>
    </row>
    <row r="47" spans="4:40" x14ac:dyDescent="0.25">
      <c r="D47" s="6">
        <f ca="1"/>
        <v>46038</v>
      </c>
      <c r="E47" s="28">
        <f ca="1"/>
        <v>281.63</v>
      </c>
      <c r="F47" s="29" cm="1">
        <f t="array" aca="1" ref="F47" ca="1">_xll.FDS($E$7,"P_BETA_LOCIDX("&amp;$AG47&amp;","&amp;$AL47&amp;",,"""&amp;$E$9&amp;""")")</f>
        <v>1.6920696</v>
      </c>
      <c r="G47" s="30">
        <f t="shared" ca="1" si="2"/>
        <v>5.21662023444645E-2</v>
      </c>
      <c r="H47" s="30">
        <f t="shared" ca="1" si="2"/>
        <v>9.6930508561065123E-2</v>
      </c>
      <c r="I47" s="30">
        <f t="shared" ca="1" si="2"/>
        <v>6.9739490111518879E-2</v>
      </c>
      <c r="J47" s="30">
        <f t="shared" ca="1" si="2"/>
        <v>0.22605015965882208</v>
      </c>
      <c r="K47" s="30">
        <f t="shared" ca="1" si="3"/>
        <v>-6.3808328680441864E-3</v>
      </c>
      <c r="L47" s="30">
        <f t="shared" ca="1" si="3"/>
        <v>2.011692916700079E-2</v>
      </c>
      <c r="M47" s="30">
        <f t="shared" ca="1" si="3"/>
        <v>5.5025875917476028E-2</v>
      </c>
      <c r="N47" s="30">
        <f t="shared" ca="1" si="3"/>
        <v>5.1415140168810942E-2</v>
      </c>
      <c r="O47" s="30">
        <f t="shared" ca="1" si="4"/>
        <v>4.5785369476420312E-2</v>
      </c>
      <c r="P47" s="30">
        <f t="shared" ca="1" si="5"/>
        <v>0.11704743772806592</v>
      </c>
      <c r="Q47" s="30">
        <f t="shared" ca="1" si="6"/>
        <v>0.12476536602899491</v>
      </c>
      <c r="R47" s="30">
        <f t="shared" ca="1" si="7"/>
        <v>0.27746529982763302</v>
      </c>
      <c r="S47" s="9" cm="1">
        <f t="array" aca="1" ref="S47" ca="1">_xll.BDH($E$6,"PX LAST",AG47)</f>
        <v>281.63</v>
      </c>
      <c r="T47" s="9" cm="1">
        <f t="array" aca="1" ref="T47" ca="1">_xll.BDH($E$6,"PX LAST",AH47)</f>
        <v>269.3</v>
      </c>
      <c r="U47" s="9" cm="1">
        <f t="array" aca="1" ref="U47" ca="1">_xll.BDH($E$6,"PX LAST",AI47)</f>
        <v>252.12</v>
      </c>
      <c r="V47" s="9" cm="1">
        <f t="array" aca="1" ref="V47" ca="1">_xll.BDH($E$6,"PX LAST",AJ47)</f>
        <v>250.39</v>
      </c>
      <c r="W47" s="9" cm="1">
        <f t="array" aca="1" ref="W47" ca="1">_xll.BDH($E$6,"PX LAST",AK47)</f>
        <v>220.46</v>
      </c>
      <c r="X47" s="24">
        <f t="shared" ca="1" si="8"/>
        <v>-3.7710226979104089E-3</v>
      </c>
      <c r="Y47" s="24">
        <f t="shared" ca="1" si="9"/>
        <v>1.1888948992996973E-2</v>
      </c>
      <c r="Z47" s="24">
        <f t="shared" ca="1" si="10"/>
        <v>3.2519865564321959E-2</v>
      </c>
      <c r="AA47" s="24">
        <f t="shared" ca="1" si="11"/>
        <v>3.0385948762870596E-2</v>
      </c>
      <c r="AB47" s="9" cm="1">
        <f t="array" aca="1" ref="AB47" ca="1">_xll.BDH($E$8,"PX LAST",AG47)</f>
        <v>6940.01</v>
      </c>
      <c r="AC47" s="9" cm="1">
        <f t="array" aca="1" ref="AC47" ca="1">_xll.BDH($E$8,"PX LAST",AH47)</f>
        <v>6966.28</v>
      </c>
      <c r="AD47" s="9" cm="1">
        <f t="array" aca="1" ref="AD47" ca="1">_xll.BDH($E$8,"PX LAST",AI47)</f>
        <v>6858.47</v>
      </c>
      <c r="AE47" s="9" cm="1">
        <f t="array" aca="1" ref="AE47" ca="1">_xll.BDH($E$8,"PX LAST",AJ47)</f>
        <v>6721.43</v>
      </c>
      <c r="AF47" s="9" cm="1">
        <f t="array" aca="1" ref="AF47" ca="1">_xll.BDH($E$8,"PX LAST",AK47)</f>
        <v>6735.35</v>
      </c>
      <c r="AG47" s="20">
        <f t="shared" ca="1" si="17"/>
        <v>46038</v>
      </c>
      <c r="AH47" s="22">
        <f t="shared" ca="1" si="12"/>
        <v>46031</v>
      </c>
      <c r="AI47" s="22">
        <f t="shared" ca="1" si="13"/>
        <v>46024</v>
      </c>
      <c r="AJ47" s="22">
        <f t="shared" ca="1" si="14"/>
        <v>46008</v>
      </c>
      <c r="AK47" s="22">
        <f t="shared" ca="1" si="15"/>
        <v>45951</v>
      </c>
      <c r="AL47" s="22">
        <f t="shared" ca="1" si="16"/>
        <v>45866</v>
      </c>
      <c r="AN47" s="21">
        <v>45537</v>
      </c>
    </row>
    <row r="48" spans="4:40" x14ac:dyDescent="0.25">
      <c r="D48" s="6">
        <f ca="1"/>
        <v>46037</v>
      </c>
      <c r="E48" s="28">
        <f ca="1"/>
        <v>283.91000000000003</v>
      </c>
      <c r="F48" s="29" cm="1">
        <f t="array" aca="1" ref="F48" ca="1">_xll.FDS($E$7,"P_BETA_LOCIDX("&amp;$AG48&amp;","&amp;$AL48&amp;",,"""&amp;$E$9&amp;""")")</f>
        <v>1.6926664</v>
      </c>
      <c r="G48" s="30">
        <f t="shared" ca="1" si="2"/>
        <v>5.5599605156219069E-2</v>
      </c>
      <c r="H48" s="30">
        <f t="shared" ca="1" si="2"/>
        <v>0.13604956555347558</v>
      </c>
      <c r="I48" s="30">
        <f t="shared" ca="1" si="2"/>
        <v>6.2742275047763557E-2</v>
      </c>
      <c r="J48" s="30">
        <f t="shared" ca="1" si="2"/>
        <v>0.24467011520941856</v>
      </c>
      <c r="K48" s="30">
        <f t="shared" ca="1" si="3"/>
        <v>5.6271731490178606E-3</v>
      </c>
      <c r="L48" s="30">
        <f t="shared" ca="1" si="3"/>
        <v>2.4472017180337521E-2</v>
      </c>
      <c r="M48" s="30">
        <f t="shared" ca="1" si="3"/>
        <v>3.589560127759836E-2</v>
      </c>
      <c r="N48" s="30">
        <f t="shared" ca="1" si="3"/>
        <v>5.2611127650988236E-2</v>
      </c>
      <c r="O48" s="30">
        <f t="shared" ca="1" si="4"/>
        <v>6.1226778305236929E-2</v>
      </c>
      <c r="P48" s="30">
        <f t="shared" ca="1" si="5"/>
        <v>0.16052158273381312</v>
      </c>
      <c r="Q48" s="30">
        <f t="shared" ca="1" si="6"/>
        <v>9.8637876325361917E-2</v>
      </c>
      <c r="R48" s="30">
        <f t="shared" ca="1" si="7"/>
        <v>0.2972812428604068</v>
      </c>
      <c r="S48" s="9" cm="1">
        <f t="array" aca="1" ref="S48" ca="1">_xll.BDH($E$6,"PX LAST",AG48)</f>
        <v>283.91000000000003</v>
      </c>
      <c r="T48" s="9" cm="1">
        <f t="array" aca="1" ref="T48" ca="1">_xll.BDH($E$6,"PX LAST",AH48)</f>
        <v>267.52999999999997</v>
      </c>
      <c r="U48" s="9" cm="1">
        <f t="array" aca="1" ref="U48" ca="1">_xll.BDH($E$6,"PX LAST",AI48)</f>
        <v>244.64</v>
      </c>
      <c r="V48" s="9" cm="1">
        <f t="array" aca="1" ref="V48" ca="1">_xll.BDH($E$6,"PX LAST",AJ48)</f>
        <v>258.42</v>
      </c>
      <c r="W48" s="9" cm="1">
        <f t="array" aca="1" ref="W48" ca="1">_xll.BDH($E$6,"PX LAST",AK48)</f>
        <v>218.85</v>
      </c>
      <c r="X48" s="24">
        <f t="shared" ca="1" si="8"/>
        <v>3.3244431088239601E-3</v>
      </c>
      <c r="Y48" s="24">
        <f t="shared" ca="1" si="9"/>
        <v>1.445767292381861E-2</v>
      </c>
      <c r="Z48" s="24">
        <f t="shared" ca="1" si="10"/>
        <v>2.120654210280204E-2</v>
      </c>
      <c r="AA48" s="24">
        <f t="shared" ca="1" si="11"/>
        <v>3.108180539945038E-2</v>
      </c>
      <c r="AB48" s="9" cm="1">
        <f t="array" aca="1" ref="AB48" ca="1">_xll.BDH($E$8,"PX LAST",AG48)</f>
        <v>6944.47</v>
      </c>
      <c r="AC48" s="9" cm="1">
        <f t="array" aca="1" ref="AC48" ca="1">_xll.BDH($E$8,"PX LAST",AH48)</f>
        <v>6921.46</v>
      </c>
      <c r="AD48" s="9" cm="1">
        <f t="array" aca="1" ref="AD48" ca="1">_xll.BDH($E$8,"PX LAST",AI48)</f>
        <v>6845.5</v>
      </c>
      <c r="AE48" s="9" cm="1">
        <f t="array" aca="1" ref="AE48" ca="1">_xll.BDH($E$8,"PX LAST",AJ48)</f>
        <v>6800.26</v>
      </c>
      <c r="AF48" s="9" cm="1">
        <f t="array" aca="1" ref="AF48" ca="1">_xll.BDH($E$8,"PX LAST",AK48)</f>
        <v>6735.13</v>
      </c>
      <c r="AG48" s="20">
        <f t="shared" ca="1" si="17"/>
        <v>46037</v>
      </c>
      <c r="AH48" s="22">
        <f t="shared" ca="1" si="12"/>
        <v>46030</v>
      </c>
      <c r="AI48" s="22">
        <f t="shared" ca="1" si="13"/>
        <v>46022</v>
      </c>
      <c r="AJ48" s="22">
        <f t="shared" ca="1" si="14"/>
        <v>46007</v>
      </c>
      <c r="AK48" s="22">
        <f t="shared" ca="1" si="15"/>
        <v>45950</v>
      </c>
      <c r="AL48" s="22">
        <f t="shared" ca="1" si="16"/>
        <v>45863</v>
      </c>
      <c r="AN48" s="21">
        <v>45624</v>
      </c>
    </row>
    <row r="49" spans="4:40" x14ac:dyDescent="0.25">
      <c r="D49" s="6">
        <f ca="1"/>
        <v>46036</v>
      </c>
      <c r="E49" s="28">
        <f ca="1"/>
        <v>276.64999999999998</v>
      </c>
      <c r="F49" s="29" cm="1">
        <f t="array" aca="1" ref="F49" ca="1">_xll.FDS($E$7,"P_BETA_LOCIDX("&amp;$AG49&amp;","&amp;$AL49&amp;",,"""&amp;$E$9&amp;""")")</f>
        <v>1.6861168</v>
      </c>
      <c r="G49" s="30">
        <f t="shared" ca="1" si="2"/>
        <v>4.9680531712155862E-2</v>
      </c>
      <c r="H49" s="30">
        <f t="shared" ca="1" si="2"/>
        <v>0.10010736657869559</v>
      </c>
      <c r="I49" s="30">
        <f t="shared" ca="1" si="2"/>
        <v>4.1575366702142222E-2</v>
      </c>
      <c r="J49" s="30">
        <f t="shared" ca="1" si="2"/>
        <v>0.22764729159722014</v>
      </c>
      <c r="K49" s="30">
        <f t="shared" ca="1" si="3"/>
        <v>1.3813580336745038E-3</v>
      </c>
      <c r="L49" s="30">
        <f t="shared" ca="1" si="3"/>
        <v>7.4229588947020931E-3</v>
      </c>
      <c r="M49" s="30">
        <f t="shared" ca="1" si="3"/>
        <v>2.7231618307902567E-2</v>
      </c>
      <c r="N49" s="30">
        <f t="shared" ca="1" si="3"/>
        <v>6.6440087951848928E-2</v>
      </c>
      <c r="O49" s="30">
        <f t="shared" ca="1" si="4"/>
        <v>5.1061889745830369E-2</v>
      </c>
      <c r="P49" s="30">
        <f t="shared" ca="1" si="5"/>
        <v>0.10753032547339769</v>
      </c>
      <c r="Q49" s="30">
        <f t="shared" ca="1" si="6"/>
        <v>6.8806985010044786E-2</v>
      </c>
      <c r="R49" s="30">
        <f t="shared" ca="1" si="7"/>
        <v>0.29408737954906905</v>
      </c>
      <c r="S49" s="9" cm="1">
        <f t="array" aca="1" ref="S49" ca="1">_xll.BDH($E$6,"PX LAST",AG49)</f>
        <v>276.64999999999998</v>
      </c>
      <c r="T49" s="9" cm="1">
        <f t="array" aca="1" ref="T49" ca="1">_xll.BDH($E$6,"PX LAST",AH49)</f>
        <v>263.20999999999998</v>
      </c>
      <c r="U49" s="9" cm="1">
        <f t="array" aca="1" ref="U49" ca="1">_xll.BDH($E$6,"PX LAST",AI49)</f>
        <v>249.79</v>
      </c>
      <c r="V49" s="9" cm="1">
        <f t="array" aca="1" ref="V49" ca="1">_xll.BDH($E$6,"PX LAST",AJ49)</f>
        <v>258.83999999999997</v>
      </c>
      <c r="W49" s="9" cm="1">
        <f t="array" aca="1" ref="W49" ca="1">_xll.BDH($E$6,"PX LAST",AK49)</f>
        <v>213.78</v>
      </c>
      <c r="X49" s="24">
        <f t="shared" ca="1" si="8"/>
        <v>8.192540597866671E-4</v>
      </c>
      <c r="Y49" s="24">
        <f t="shared" ca="1" si="9"/>
        <v>4.4023989884343084E-3</v>
      </c>
      <c r="Z49" s="24">
        <f t="shared" ca="1" si="10"/>
        <v>1.615049343432351E-2</v>
      </c>
      <c r="AA49" s="24">
        <f t="shared" ca="1" si="11"/>
        <v>3.9404202574726099E-2</v>
      </c>
      <c r="AB49" s="9" cm="1">
        <f t="array" aca="1" ref="AB49" ca="1">_xll.BDH($E$8,"PX LAST",AG49)</f>
        <v>6926.6</v>
      </c>
      <c r="AC49" s="9" cm="1">
        <f t="array" aca="1" ref="AC49" ca="1">_xll.BDH($E$8,"PX LAST",AH49)</f>
        <v>6920.93</v>
      </c>
      <c r="AD49" s="9" cm="1">
        <f t="array" aca="1" ref="AD49" ca="1">_xll.BDH($E$8,"PX LAST",AI49)</f>
        <v>6896.24</v>
      </c>
      <c r="AE49" s="9" cm="1">
        <f t="array" aca="1" ref="AE49" ca="1">_xll.BDH($E$8,"PX LAST",AJ49)</f>
        <v>6816.51</v>
      </c>
      <c r="AF49" s="9" cm="1">
        <f t="array" aca="1" ref="AF49" ca="1">_xll.BDH($E$8,"PX LAST",AK49)</f>
        <v>6664.01</v>
      </c>
      <c r="AG49" s="20">
        <f t="shared" ca="1" si="17"/>
        <v>46036</v>
      </c>
      <c r="AH49" s="22">
        <f t="shared" ca="1" si="12"/>
        <v>46029</v>
      </c>
      <c r="AI49" s="22">
        <f t="shared" ca="1" si="13"/>
        <v>46021</v>
      </c>
      <c r="AJ49" s="22">
        <f t="shared" ca="1" si="14"/>
        <v>46006</v>
      </c>
      <c r="AK49" s="22">
        <f t="shared" ca="1" si="15"/>
        <v>45947</v>
      </c>
      <c r="AL49" s="22">
        <f t="shared" ca="1" si="16"/>
        <v>45862</v>
      </c>
      <c r="AN49" s="21">
        <v>45651</v>
      </c>
    </row>
    <row r="50" spans="4:40" x14ac:dyDescent="0.25">
      <c r="D50" s="6">
        <f ca="1"/>
        <v>46035</v>
      </c>
      <c r="E50" s="28">
        <f ca="1"/>
        <v>276.77</v>
      </c>
      <c r="F50" s="29" cm="1">
        <f t="array" aca="1" ref="F50" ca="1">_xll.FDS($E$7,"P_BETA_LOCIDX("&amp;$AG50&amp;","&amp;$AL50&amp;",,"""&amp;$E$9&amp;""")")</f>
        <v>1.703743</v>
      </c>
      <c r="G50" s="30">
        <f t="shared" ca="1" si="2"/>
        <v>1.15129330098016E-2</v>
      </c>
      <c r="H50" s="30">
        <f t="shared" ca="1" si="2"/>
        <v>8.4507482737583767E-2</v>
      </c>
      <c r="I50" s="30">
        <f t="shared" ca="1" si="2"/>
        <v>2.8885232159905981E-2</v>
      </c>
      <c r="J50" s="30">
        <f t="shared" ca="1" si="2"/>
        <v>0.1812480793218354</v>
      </c>
      <c r="K50" s="30">
        <f t="shared" ca="1" si="3"/>
        <v>4.641562712928377E-3</v>
      </c>
      <c r="L50" s="30">
        <f t="shared" ca="1" si="3"/>
        <v>1.4309414197464707E-2</v>
      </c>
      <c r="M50" s="30">
        <f t="shared" ca="1" si="3"/>
        <v>3.4020409377787421E-2</v>
      </c>
      <c r="N50" s="30">
        <f t="shared" ca="1" si="3"/>
        <v>8.6013825440069289E-2</v>
      </c>
      <c r="O50" s="30">
        <f t="shared" ca="1" si="4"/>
        <v>1.6154495722729978E-2</v>
      </c>
      <c r="P50" s="30">
        <f t="shared" ca="1" si="5"/>
        <v>9.881689693504847E-2</v>
      </c>
      <c r="Q50" s="30">
        <f t="shared" ca="1" si="6"/>
        <v>6.2905641537693402E-2</v>
      </c>
      <c r="R50" s="30">
        <f t="shared" ca="1" si="7"/>
        <v>0.2672619047619047</v>
      </c>
      <c r="S50" s="9" cm="1">
        <f t="array" aca="1" ref="S50" ca="1">_xll.BDH($E$6,"PX LAST",AG50)</f>
        <v>276.77</v>
      </c>
      <c r="T50" s="9" cm="1">
        <f t="array" aca="1" ref="T50" ca="1">_xll.BDH($E$6,"PX LAST",AH50)</f>
        <v>272.37</v>
      </c>
      <c r="U50" s="9" cm="1">
        <f t="array" aca="1" ref="U50" ca="1">_xll.BDH($E$6,"PX LAST",AI50)</f>
        <v>251.88</v>
      </c>
      <c r="V50" s="9" cm="1">
        <f t="array" aca="1" ref="V50" ca="1">_xll.BDH($E$6,"PX LAST",AJ50)</f>
        <v>260.39</v>
      </c>
      <c r="W50" s="9" cm="1">
        <f t="array" aca="1" ref="W50" ca="1">_xll.BDH($E$6,"PX LAST",AK50)</f>
        <v>218.4</v>
      </c>
      <c r="X50" s="24">
        <f t="shared" ca="1" si="8"/>
        <v>2.7243326680892466E-3</v>
      </c>
      <c r="Y50" s="24">
        <f t="shared" ca="1" si="9"/>
        <v>8.3988102650838226E-3</v>
      </c>
      <c r="Z50" s="24">
        <f t="shared" ca="1" si="10"/>
        <v>1.9968040589330327E-2</v>
      </c>
      <c r="AA50" s="24">
        <f t="shared" ca="1" si="11"/>
        <v>5.0485211349404979E-2</v>
      </c>
      <c r="AB50" s="9" cm="1">
        <f t="array" aca="1" ref="AB50" ca="1">_xll.BDH($E$8,"PX LAST",AG50)</f>
        <v>6963.74</v>
      </c>
      <c r="AC50" s="9" cm="1">
        <f t="array" aca="1" ref="AC50" ca="1">_xll.BDH($E$8,"PX LAST",AH50)</f>
        <v>6944.82</v>
      </c>
      <c r="AD50" s="9" cm="1">
        <f t="array" aca="1" ref="AD50" ca="1">_xll.BDH($E$8,"PX LAST",AI50)</f>
        <v>6905.74</v>
      </c>
      <c r="AE50" s="9" cm="1">
        <f t="array" aca="1" ref="AE50" ca="1">_xll.BDH($E$8,"PX LAST",AJ50)</f>
        <v>6827.41</v>
      </c>
      <c r="AF50" s="9" cm="1">
        <f t="array" aca="1" ref="AF50" ca="1">_xll.BDH($E$8,"PX LAST",AK50)</f>
        <v>6629.07</v>
      </c>
      <c r="AG50" s="20">
        <f t="shared" ca="1" si="17"/>
        <v>46035</v>
      </c>
      <c r="AH50" s="22">
        <f t="shared" ca="1" si="12"/>
        <v>46028</v>
      </c>
      <c r="AI50" s="22">
        <f t="shared" ca="1" si="13"/>
        <v>46020</v>
      </c>
      <c r="AJ50" s="22">
        <f t="shared" ca="1" si="14"/>
        <v>46003</v>
      </c>
      <c r="AK50" s="22">
        <f t="shared" ca="1" si="15"/>
        <v>45946</v>
      </c>
      <c r="AL50" s="22">
        <f t="shared" ca="1" si="16"/>
        <v>45861</v>
      </c>
      <c r="AN50" s="21">
        <v>45537</v>
      </c>
    </row>
    <row r="51" spans="4:40" x14ac:dyDescent="0.25">
      <c r="D51" s="6">
        <f ca="1"/>
        <v>46034</v>
      </c>
      <c r="E51" s="28">
        <f ca="1"/>
        <v>273.58</v>
      </c>
      <c r="F51" s="29" cm="1">
        <f t="array" aca="1" ref="F51" ca="1">_xll.FDS($E$7,"P_BETA_LOCIDX("&amp;$AG51&amp;","&amp;$AL51&amp;",,"""&amp;$E$9&amp;""")")</f>
        <v>1.7096764</v>
      </c>
      <c r="G51" s="30">
        <f t="shared" ca="1" si="2"/>
        <v>6.5493284017203758E-3</v>
      </c>
      <c r="H51" s="30">
        <f t="shared" ca="1" si="2"/>
        <v>6.5537121988106795E-2</v>
      </c>
      <c r="I51" s="30">
        <f t="shared" ca="1" si="2"/>
        <v>-3.2737208513624244E-2</v>
      </c>
      <c r="J51" s="30">
        <f t="shared" ca="1" si="2"/>
        <v>0.17223231812756143</v>
      </c>
      <c r="K51" s="30">
        <f t="shared" ca="1" si="3"/>
        <v>1.8632414834433255E-2</v>
      </c>
      <c r="L51" s="30">
        <f t="shared" ca="1" si="3"/>
        <v>1.1676722166714559E-2</v>
      </c>
      <c r="M51" s="30">
        <f t="shared" ca="1" si="3"/>
        <v>1.8895380238806186E-2</v>
      </c>
      <c r="N51" s="30">
        <f t="shared" ca="1" si="3"/>
        <v>7.8476285694327436E-2</v>
      </c>
      <c r="O51" s="30">
        <f t="shared" ca="1" si="4"/>
        <v>2.5181743236153631E-2</v>
      </c>
      <c r="P51" s="30">
        <f t="shared" ca="1" si="5"/>
        <v>7.7213844154821354E-2</v>
      </c>
      <c r="Q51" s="30">
        <f t="shared" ca="1" si="6"/>
        <v>-1.3841828274818058E-2</v>
      </c>
      <c r="R51" s="30">
        <f t="shared" ca="1" si="7"/>
        <v>0.25070860382188886</v>
      </c>
      <c r="S51" s="9" cm="1">
        <f t="array" aca="1" ref="S51" ca="1">_xll.BDH($E$6,"PX LAST",AG51)</f>
        <v>273.58</v>
      </c>
      <c r="T51" s="9" cm="1">
        <f t="array" aca="1" ref="T51" ca="1">_xll.BDH($E$6,"PX LAST",AH51)</f>
        <v>266.86</v>
      </c>
      <c r="U51" s="9" cm="1">
        <f t="array" aca="1" ref="U51" ca="1">_xll.BDH($E$6,"PX LAST",AI51)</f>
        <v>253.97</v>
      </c>
      <c r="V51" s="9" cm="1">
        <f t="array" aca="1" ref="V51" ca="1">_xll.BDH($E$6,"PX LAST",AJ51)</f>
        <v>277.42</v>
      </c>
      <c r="W51" s="9" cm="1">
        <f t="array" aca="1" ref="W51" ca="1">_xll.BDH($E$6,"PX LAST",AK51)</f>
        <v>218.74</v>
      </c>
      <c r="X51" s="24">
        <f t="shared" ca="1" si="8"/>
        <v>1.0898211400960589E-2</v>
      </c>
      <c r="Y51" s="24">
        <f t="shared" ca="1" si="9"/>
        <v>6.8297849620633233E-3</v>
      </c>
      <c r="Z51" s="24">
        <f t="shared" ca="1" si="10"/>
        <v>1.1052021446167348E-2</v>
      </c>
      <c r="AA51" s="24">
        <f t="shared" ca="1" si="11"/>
        <v>4.5901251075541216E-2</v>
      </c>
      <c r="AB51" s="9" cm="1">
        <f t="array" aca="1" ref="AB51" ca="1">_xll.BDH($E$8,"PX LAST",AG51)</f>
        <v>6977.27</v>
      </c>
      <c r="AC51" s="9" cm="1">
        <f t="array" aca="1" ref="AC51" ca="1">_xll.BDH($E$8,"PX LAST",AH51)</f>
        <v>6902.05</v>
      </c>
      <c r="AD51" s="9" cm="1">
        <f t="array" aca="1" ref="AD51" ca="1">_xll.BDH($E$8,"PX LAST",AI51)</f>
        <v>6929.94</v>
      </c>
      <c r="AE51" s="9" cm="1">
        <f t="array" aca="1" ref="AE51" ca="1">_xll.BDH($E$8,"PX LAST",AJ51)</f>
        <v>6901</v>
      </c>
      <c r="AF51" s="9" cm="1">
        <f t="array" aca="1" ref="AF51" ca="1">_xll.BDH($E$8,"PX LAST",AK51)</f>
        <v>6671.06</v>
      </c>
      <c r="AG51" s="20">
        <f t="shared" ca="1" si="17"/>
        <v>46034</v>
      </c>
      <c r="AH51" s="22">
        <f t="shared" ca="1" si="12"/>
        <v>46027</v>
      </c>
      <c r="AI51" s="22">
        <f t="shared" ca="1" si="13"/>
        <v>46017</v>
      </c>
      <c r="AJ51" s="22">
        <f t="shared" ca="1" si="14"/>
        <v>46002</v>
      </c>
      <c r="AK51" s="22">
        <f t="shared" ca="1" si="15"/>
        <v>45945</v>
      </c>
      <c r="AL51" s="22">
        <f t="shared" ca="1" si="16"/>
        <v>45860</v>
      </c>
      <c r="AN51" s="21">
        <v>45624</v>
      </c>
    </row>
    <row r="52" spans="4:40" x14ac:dyDescent="0.25">
      <c r="D52" s="6">
        <f ca="1"/>
        <v>46031</v>
      </c>
      <c r="E52" s="28">
        <f ca="1"/>
        <v>269.3</v>
      </c>
      <c r="F52" s="29" cm="1">
        <f t="array" aca="1" ref="F52" ca="1">_xll.FDS($E$7,"P_BETA_LOCIDX("&amp;$AG52&amp;","&amp;$AL52&amp;",,"""&amp;$E$9&amp;""")")</f>
        <v>1.7066911</v>
      </c>
      <c r="G52" s="30">
        <f t="shared" ca="1" si="2"/>
        <v>4.1314251587533664E-2</v>
      </c>
      <c r="H52" s="30">
        <f t="shared" ca="1" si="2"/>
        <v>4.8894813323394203E-2</v>
      </c>
      <c r="I52" s="30">
        <f t="shared" ca="1" si="2"/>
        <v>-4.7454499475950492E-2</v>
      </c>
      <c r="J52" s="30">
        <f t="shared" ca="1" si="2"/>
        <v>0.14664071483489755</v>
      </c>
      <c r="K52" s="30">
        <f t="shared" ca="1" si="3"/>
        <v>2.6827902942055386E-2</v>
      </c>
      <c r="L52" s="30">
        <f t="shared" ca="1" si="3"/>
        <v>8.4275266844582083E-3</v>
      </c>
      <c r="M52" s="30">
        <f t="shared" ca="1" si="3"/>
        <v>1.9726865711779736E-2</v>
      </c>
      <c r="N52" s="30">
        <f t="shared" ca="1" si="3"/>
        <v>8.2702844007428722E-2</v>
      </c>
      <c r="O52" s="30">
        <f t="shared" ca="1" si="4"/>
        <v>6.814215452958905E-2</v>
      </c>
      <c r="P52" s="30">
        <f t="shared" ca="1" si="5"/>
        <v>5.7322340007852413E-2</v>
      </c>
      <c r="Q52" s="30">
        <f t="shared" ca="1" si="6"/>
        <v>-2.7727633764170756E-2</v>
      </c>
      <c r="R52" s="30">
        <f t="shared" ca="1" si="7"/>
        <v>0.22934355884232627</v>
      </c>
      <c r="S52" s="9" cm="1">
        <f t="array" aca="1" ref="S52" ca="1">_xll.BDH($E$6,"PX LAST",AG52)</f>
        <v>269.3</v>
      </c>
      <c r="T52" s="9" cm="1">
        <f t="array" aca="1" ref="T52" ca="1">_xll.BDH($E$6,"PX LAST",AH52)</f>
        <v>252.12</v>
      </c>
      <c r="U52" s="9" cm="1">
        <f t="array" aca="1" ref="U52" ca="1">_xll.BDH($E$6,"PX LAST",AI52)</f>
        <v>254.7</v>
      </c>
      <c r="V52" s="9" cm="1">
        <f t="array" aca="1" ref="V52" ca="1">_xll.BDH($E$6,"PX LAST",AJ52)</f>
        <v>276.98</v>
      </c>
      <c r="W52" s="9" cm="1">
        <f t="array" aca="1" ref="W52" ca="1">_xll.BDH($E$6,"PX LAST",AK52)</f>
        <v>219.06</v>
      </c>
      <c r="X52" s="24">
        <f t="shared" ca="1" si="8"/>
        <v>1.5719249336951124E-2</v>
      </c>
      <c r="Y52" s="24">
        <f t="shared" ca="1" si="9"/>
        <v>4.9379332232166728E-3</v>
      </c>
      <c r="Z52" s="24">
        <f t="shared" ca="1" si="10"/>
        <v>1.1558544901171475E-2</v>
      </c>
      <c r="AA52" s="24">
        <f t="shared" ca="1" si="11"/>
        <v>4.8458003916132641E-2</v>
      </c>
      <c r="AB52" s="9" cm="1">
        <f t="array" aca="1" ref="AB52" ca="1">_xll.BDH($E$8,"PX LAST",AG52)</f>
        <v>6966.28</v>
      </c>
      <c r="AC52" s="9" cm="1">
        <f t="array" aca="1" ref="AC52" ca="1">_xll.BDH($E$8,"PX LAST",AH52)</f>
        <v>6858.47</v>
      </c>
      <c r="AD52" s="9" cm="1">
        <f t="array" aca="1" ref="AD52" ca="1">_xll.BDH($E$8,"PX LAST",AI52)</f>
        <v>6932.05</v>
      </c>
      <c r="AE52" s="9" cm="1">
        <f t="array" aca="1" ref="AE52" ca="1">_xll.BDH($E$8,"PX LAST",AJ52)</f>
        <v>6886.68</v>
      </c>
      <c r="AF52" s="9" cm="1">
        <f t="array" aca="1" ref="AF52" ca="1">_xll.BDH($E$8,"PX LAST",AK52)</f>
        <v>6644.31</v>
      </c>
      <c r="AG52" s="20">
        <f t="shared" ca="1" si="17"/>
        <v>46031</v>
      </c>
      <c r="AH52" s="22">
        <f t="shared" ca="1" si="12"/>
        <v>46024</v>
      </c>
      <c r="AI52" s="22">
        <f t="shared" ca="1" si="13"/>
        <v>46015</v>
      </c>
      <c r="AJ52" s="22">
        <f t="shared" ca="1" si="14"/>
        <v>46001</v>
      </c>
      <c r="AK52" s="22">
        <f t="shared" ca="1" si="15"/>
        <v>45944</v>
      </c>
      <c r="AL52" s="22">
        <f t="shared" ca="1" si="16"/>
        <v>45859</v>
      </c>
      <c r="AN52" s="21">
        <v>45651</v>
      </c>
    </row>
    <row r="53" spans="4:40" x14ac:dyDescent="0.25">
      <c r="D53" s="6">
        <f ca="1"/>
        <v>46030</v>
      </c>
      <c r="E53" s="28">
        <f ca="1"/>
        <v>267.52999999999997</v>
      </c>
      <c r="F53" s="29" cm="1">
        <f t="array" aca="1" ref="F53" ca="1">_xll.FDS($E$7,"P_BETA_LOCIDX("&amp;$AG53&amp;","&amp;$AL53&amp;",,"""&amp;$E$9&amp;""")")</f>
        <v>1.7118286</v>
      </c>
      <c r="G53" s="30">
        <f t="shared" ca="1" si="2"/>
        <v>7.4571022945788268E-2</v>
      </c>
      <c r="H53" s="30">
        <f t="shared" ca="1" si="2"/>
        <v>5.6298046674467563E-2</v>
      </c>
      <c r="I53" s="30">
        <f t="shared" ca="1" si="2"/>
        <v>-1.3711108979294642E-2</v>
      </c>
      <c r="J53" s="30">
        <f t="shared" ca="1" si="2"/>
        <v>0.18727653351721069</v>
      </c>
      <c r="K53" s="30">
        <f t="shared" ca="1" si="3"/>
        <v>1.8995033300124149E-2</v>
      </c>
      <c r="L53" s="30">
        <f t="shared" ca="1" si="3"/>
        <v>2.8911211139557515E-3</v>
      </c>
      <c r="M53" s="30">
        <f t="shared" ca="1" si="3"/>
        <v>2.0257630669350626E-2</v>
      </c>
      <c r="N53" s="30">
        <f t="shared" ca="1" si="3"/>
        <v>6.8614932072874571E-2</v>
      </c>
      <c r="O53" s="30">
        <f t="shared" ca="1" si="4"/>
        <v>9.356605624591241E-2</v>
      </c>
      <c r="P53" s="30">
        <f t="shared" ca="1" si="5"/>
        <v>5.9189167788423314E-2</v>
      </c>
      <c r="Q53" s="30">
        <f t="shared" ca="1" si="6"/>
        <v>6.5465216900559842E-3</v>
      </c>
      <c r="R53" s="30">
        <f t="shared" ca="1" si="7"/>
        <v>0.25589146559008524</v>
      </c>
      <c r="S53" s="9" cm="1">
        <f t="array" aca="1" ref="S53" ca="1">_xll.BDH($E$6,"PX LAST",AG53)</f>
        <v>267.52999999999997</v>
      </c>
      <c r="T53" s="9" cm="1">
        <f t="array" aca="1" ref="T53" ca="1">_xll.BDH($E$6,"PX LAST",AH53)</f>
        <v>244.64</v>
      </c>
      <c r="U53" s="9" cm="1">
        <f t="array" aca="1" ref="U53" ca="1">_xll.BDH($E$6,"PX LAST",AI53)</f>
        <v>252.58</v>
      </c>
      <c r="V53" s="9" cm="1">
        <f t="array" aca="1" ref="V53" ca="1">_xll.BDH($E$6,"PX LAST",AJ53)</f>
        <v>265.79000000000002</v>
      </c>
      <c r="W53" s="9" cm="1">
        <f t="array" aca="1" ref="W53" ca="1">_xll.BDH($E$6,"PX LAST",AK53)</f>
        <v>213.02</v>
      </c>
      <c r="X53" s="24">
        <f t="shared" ca="1" si="8"/>
        <v>1.1096340661748583E-2</v>
      </c>
      <c r="Y53" s="24">
        <f t="shared" ca="1" si="9"/>
        <v>1.6889080565400949E-3</v>
      </c>
      <c r="Z53" s="24">
        <f t="shared" ca="1" si="10"/>
        <v>1.1833912968477467E-2</v>
      </c>
      <c r="AA53" s="24">
        <f t="shared" ca="1" si="11"/>
        <v>4.0082828428543937E-2</v>
      </c>
      <c r="AB53" s="9" cm="1">
        <f t="array" aca="1" ref="AB53" ca="1">_xll.BDH($E$8,"PX LAST",AG53)</f>
        <v>6921.46</v>
      </c>
      <c r="AC53" s="9" cm="1">
        <f t="array" aca="1" ref="AC53" ca="1">_xll.BDH($E$8,"PX LAST",AH53)</f>
        <v>6845.5</v>
      </c>
      <c r="AD53" s="9" cm="1">
        <f t="array" aca="1" ref="AD53" ca="1">_xll.BDH($E$8,"PX LAST",AI53)</f>
        <v>6909.79</v>
      </c>
      <c r="AE53" s="9" cm="1">
        <f t="array" aca="1" ref="AE53" ca="1">_xll.BDH($E$8,"PX LAST",AJ53)</f>
        <v>6840.51</v>
      </c>
      <c r="AF53" s="9" cm="1">
        <f t="array" aca="1" ref="AF53" ca="1">_xll.BDH($E$8,"PX LAST",AK53)</f>
        <v>6654.72</v>
      </c>
      <c r="AG53" s="20">
        <f t="shared" ca="1" si="17"/>
        <v>46030</v>
      </c>
      <c r="AH53" s="22">
        <f t="shared" ca="1" si="12"/>
        <v>46022</v>
      </c>
      <c r="AI53" s="22">
        <f t="shared" ca="1" si="13"/>
        <v>46014</v>
      </c>
      <c r="AJ53" s="22">
        <f t="shared" ca="1" si="14"/>
        <v>46000</v>
      </c>
      <c r="AK53" s="22">
        <f t="shared" ca="1" si="15"/>
        <v>45943</v>
      </c>
      <c r="AL53" s="22">
        <f t="shared" ca="1" si="16"/>
        <v>45856</v>
      </c>
      <c r="AN53" s="21">
        <v>45658</v>
      </c>
    </row>
    <row r="54" spans="4:40" x14ac:dyDescent="0.25">
      <c r="D54" s="6">
        <f ca="1"/>
        <v>46029</v>
      </c>
      <c r="E54" s="28">
        <f ca="1"/>
        <v>263.20999999999998</v>
      </c>
      <c r="F54" s="29" cm="1">
        <f t="array" aca="1" ref="F54" ca="1">_xll.FDS($E$7,"P_BETA_LOCIDX("&amp;$AG54&amp;","&amp;$AL54&amp;",,"""&amp;$E$9&amp;""")")</f>
        <v>1.7302105000000001</v>
      </c>
      <c r="G54" s="30">
        <f t="shared" ca="1" si="2"/>
        <v>4.75306090156178E-2</v>
      </c>
      <c r="H54" s="30">
        <f t="shared" ca="1" si="2"/>
        <v>2.350800515456131E-2</v>
      </c>
      <c r="I54" s="30">
        <f t="shared" ca="1" si="2"/>
        <v>-4.268980401712201E-2</v>
      </c>
      <c r="J54" s="30">
        <f t="shared" ca="1" si="2"/>
        <v>0.16638840483486592</v>
      </c>
      <c r="K54" s="30">
        <f t="shared" ca="1" si="3"/>
        <v>6.1945200928332604E-3</v>
      </c>
      <c r="L54" s="30">
        <f t="shared" ca="1" si="3"/>
        <v>1.0675327523918861E-2</v>
      </c>
      <c r="M54" s="30">
        <f t="shared" ca="1" si="3"/>
        <v>1.8806992965759092E-2</v>
      </c>
      <c r="N54" s="30">
        <f t="shared" ca="1" si="3"/>
        <v>9.7282438700589419E-2</v>
      </c>
      <c r="O54" s="30">
        <f t="shared" ca="1" si="4"/>
        <v>5.3725129108451064E-2</v>
      </c>
      <c r="P54" s="30">
        <f t="shared" ca="1" si="5"/>
        <v>3.4183332678480172E-2</v>
      </c>
      <c r="Q54" s="30">
        <f t="shared" ca="1" si="6"/>
        <v>-2.3882811051362918E-2</v>
      </c>
      <c r="R54" s="30">
        <f t="shared" ca="1" si="7"/>
        <v>0.26367084353545533</v>
      </c>
      <c r="S54" s="9" cm="1">
        <f t="array" aca="1" ref="S54" ca="1">_xll.BDH($E$6,"PX LAST",AG54)</f>
        <v>263.20999999999998</v>
      </c>
      <c r="T54" s="9" cm="1">
        <f t="array" aca="1" ref="T54" ca="1">_xll.BDH($E$6,"PX LAST",AH54)</f>
        <v>249.79</v>
      </c>
      <c r="U54" s="9" cm="1">
        <f t="array" aca="1" ref="U54" ca="1">_xll.BDH($E$6,"PX LAST",AI54)</f>
        <v>254.51</v>
      </c>
      <c r="V54" s="9" cm="1">
        <f t="array" aca="1" ref="V54" ca="1">_xll.BDH($E$6,"PX LAST",AJ54)</f>
        <v>269.64999999999998</v>
      </c>
      <c r="W54" s="9" cm="1">
        <f t="array" aca="1" ref="W54" ca="1">_xll.BDH($E$6,"PX LAST",AK54)</f>
        <v>208.29</v>
      </c>
      <c r="X54" s="24">
        <f t="shared" ca="1" si="8"/>
        <v>3.580211825574553E-3</v>
      </c>
      <c r="Y54" s="24">
        <f t="shared" ca="1" si="9"/>
        <v>6.1699588136350236E-3</v>
      </c>
      <c r="Z54" s="24">
        <f t="shared" ca="1" si="10"/>
        <v>1.0869771606263567E-2</v>
      </c>
      <c r="AA54" s="24">
        <f t="shared" ca="1" si="11"/>
        <v>5.6225782181179351E-2</v>
      </c>
      <c r="AB54" s="9" cm="1">
        <f t="array" aca="1" ref="AB54" ca="1">_xll.BDH($E$8,"PX LAST",AG54)</f>
        <v>6920.93</v>
      </c>
      <c r="AC54" s="9" cm="1">
        <f t="array" aca="1" ref="AC54" ca="1">_xll.BDH($E$8,"PX LAST",AH54)</f>
        <v>6896.24</v>
      </c>
      <c r="AD54" s="9" cm="1">
        <f t="array" aca="1" ref="AD54" ca="1">_xll.BDH($E$8,"PX LAST",AI54)</f>
        <v>6878.49</v>
      </c>
      <c r="AE54" s="9" cm="1">
        <f t="array" aca="1" ref="AE54" ca="1">_xll.BDH($E$8,"PX LAST",AJ54)</f>
        <v>6846.51</v>
      </c>
      <c r="AF54" s="9" cm="1">
        <f t="array" aca="1" ref="AF54" ca="1">_xll.BDH($E$8,"PX LAST",AK54)</f>
        <v>6552.51</v>
      </c>
      <c r="AG54" s="20">
        <f t="shared" ca="1" si="17"/>
        <v>46029</v>
      </c>
      <c r="AH54" s="22">
        <f t="shared" ca="1" si="12"/>
        <v>46021</v>
      </c>
      <c r="AI54" s="22">
        <f t="shared" ca="1" si="13"/>
        <v>46013</v>
      </c>
      <c r="AJ54" s="22">
        <f t="shared" ca="1" si="14"/>
        <v>45999</v>
      </c>
      <c r="AK54" s="22">
        <f t="shared" ca="1" si="15"/>
        <v>45940</v>
      </c>
      <c r="AL54" s="22">
        <f t="shared" ca="1" si="16"/>
        <v>45855</v>
      </c>
      <c r="AN54" s="21">
        <v>45666</v>
      </c>
    </row>
    <row r="55" spans="4:40" x14ac:dyDescent="0.25">
      <c r="D55" s="6">
        <f ca="1"/>
        <v>46028</v>
      </c>
      <c r="E55" s="28">
        <f ca="1"/>
        <v>272.37</v>
      </c>
      <c r="F55" s="29" cm="1">
        <f t="array" aca="1" ref="F55" ca="1">_xll.FDS($E$7,"P_BETA_LOCIDX("&amp;$AG55&amp;","&amp;$AL55&amp;",,"""&amp;$E$9&amp;""")")</f>
        <v>1.7077998999999999</v>
      </c>
      <c r="G55" s="30">
        <f t="shared" ca="1" si="2"/>
        <v>7.1683718233792756E-2</v>
      </c>
      <c r="H55" s="30">
        <f t="shared" ca="1" si="2"/>
        <v>5.5803112822317272E-2</v>
      </c>
      <c r="I55" s="30">
        <f t="shared" ca="1" si="2"/>
        <v>-2.212044345617465E-2</v>
      </c>
      <c r="J55" s="30">
        <f t="shared" ca="1" si="2"/>
        <v>0.1732744464800911</v>
      </c>
      <c r="K55" s="30">
        <f t="shared" ca="1" si="3"/>
        <v>9.6645428429103699E-3</v>
      </c>
      <c r="L55" s="30">
        <f t="shared" ca="1" si="3"/>
        <v>2.7566681537493348E-2</v>
      </c>
      <c r="M55" s="30">
        <f t="shared" ca="1" si="3"/>
        <v>1.8498845563286133E-2</v>
      </c>
      <c r="N55" s="30">
        <f t="shared" ca="1" si="3"/>
        <v>5.317548147379942E-2</v>
      </c>
      <c r="O55" s="30">
        <f t="shared" ca="1" si="4"/>
        <v>8.1348261076703121E-2</v>
      </c>
      <c r="P55" s="30">
        <f t="shared" ca="1" si="5"/>
        <v>8.3369794359810623E-2</v>
      </c>
      <c r="Q55" s="30">
        <f t="shared" ca="1" si="6"/>
        <v>-3.6215978928885173E-3</v>
      </c>
      <c r="R55" s="30">
        <f t="shared" ca="1" si="7"/>
        <v>0.22644992795389052</v>
      </c>
      <c r="S55" s="9" cm="1">
        <f t="array" aca="1" ref="S55" ca="1">_xll.BDH($E$6,"PX LAST",AG55)</f>
        <v>272.37</v>
      </c>
      <c r="T55" s="9" cm="1">
        <f t="array" aca="1" ref="T55" ca="1">_xll.BDH($E$6,"PX LAST",AH55)</f>
        <v>251.88</v>
      </c>
      <c r="U55" s="9" cm="1">
        <f t="array" aca="1" ref="U55" ca="1">_xll.BDH($E$6,"PX LAST",AI55)</f>
        <v>251.41</v>
      </c>
      <c r="V55" s="9" cm="1">
        <f t="array" aca="1" ref="V55" ca="1">_xll.BDH($E$6,"PX LAST",AJ55)</f>
        <v>273.36</v>
      </c>
      <c r="W55" s="9" cm="1">
        <f t="array" aca="1" ref="W55" ca="1">_xll.BDH($E$6,"PX LAST",AK55)</f>
        <v>222.08</v>
      </c>
      <c r="X55" s="24">
        <f t="shared" ca="1" si="8"/>
        <v>5.6590604337840578E-3</v>
      </c>
      <c r="Y55" s="24">
        <f t="shared" ca="1" si="9"/>
        <v>1.6141634355109957E-2</v>
      </c>
      <c r="Z55" s="24">
        <f t="shared" ca="1" si="10"/>
        <v>1.083197484862608E-2</v>
      </c>
      <c r="AA55" s="24">
        <f t="shared" ca="1" si="11"/>
        <v>3.1136833696851385E-2</v>
      </c>
      <c r="AB55" s="9" cm="1">
        <f t="array" aca="1" ref="AB55" ca="1">_xll.BDH($E$8,"PX LAST",AG55)</f>
        <v>6944.82</v>
      </c>
      <c r="AC55" s="9" cm="1">
        <f t="array" aca="1" ref="AC55" ca="1">_xll.BDH($E$8,"PX LAST",AH55)</f>
        <v>6905.74</v>
      </c>
      <c r="AD55" s="9" cm="1">
        <f t="array" aca="1" ref="AD55" ca="1">_xll.BDH($E$8,"PX LAST",AI55)</f>
        <v>6834.5</v>
      </c>
      <c r="AE55" s="9" cm="1">
        <f t="array" aca="1" ref="AE55" ca="1">_xll.BDH($E$8,"PX LAST",AJ55)</f>
        <v>6870.4</v>
      </c>
      <c r="AF55" s="9" cm="1">
        <f t="array" aca="1" ref="AF55" ca="1">_xll.BDH($E$8,"PX LAST",AK55)</f>
        <v>6735.11</v>
      </c>
      <c r="AG55" s="20">
        <f t="shared" ca="1" si="17"/>
        <v>46028</v>
      </c>
      <c r="AH55" s="22">
        <f t="shared" ca="1" si="12"/>
        <v>46020</v>
      </c>
      <c r="AI55" s="22">
        <f t="shared" ca="1" si="13"/>
        <v>46010</v>
      </c>
      <c r="AJ55" s="22">
        <f t="shared" ca="1" si="14"/>
        <v>45996</v>
      </c>
      <c r="AK55" s="22">
        <f t="shared" ca="1" si="15"/>
        <v>45939</v>
      </c>
      <c r="AL55" s="22">
        <f t="shared" ca="1" si="16"/>
        <v>45854</v>
      </c>
      <c r="AN55" s="21">
        <v>45677</v>
      </c>
    </row>
    <row r="56" spans="4:40" x14ac:dyDescent="0.25">
      <c r="D56" s="6">
        <f ca="1"/>
        <v>46027</v>
      </c>
      <c r="E56" s="28">
        <f ca="1"/>
        <v>266.86</v>
      </c>
      <c r="F56" s="29" cm="1">
        <f t="array" aca="1" ref="F56" ca="1">_xll.FDS($E$7,"P_BETA_LOCIDX("&amp;$AG56&amp;","&amp;$AL56&amp;",,"""&amp;$E$9&amp;""")")</f>
        <v>1.6945777</v>
      </c>
      <c r="G56" s="30">
        <f t="shared" ca="1" si="2"/>
        <v>5.7573965640294912E-2</v>
      </c>
      <c r="H56" s="30">
        <f t="shared" ca="1" si="2"/>
        <v>5.9657405858620019E-2</v>
      </c>
      <c r="I56" s="30">
        <f t="shared" ca="1" si="2"/>
        <v>-2.7469051238943786E-2</v>
      </c>
      <c r="J56" s="30">
        <f t="shared" ca="1" si="2"/>
        <v>0.15279362811409011</v>
      </c>
      <c r="K56" s="30">
        <f t="shared" ca="1" si="3"/>
        <v>-6.8199395742240872E-3</v>
      </c>
      <c r="L56" s="30">
        <f t="shared" ca="1" si="3"/>
        <v>3.183917886877162E-2</v>
      </c>
      <c r="M56" s="30">
        <f t="shared" ca="1" si="3"/>
        <v>1.1103404353576995E-2</v>
      </c>
      <c r="N56" s="30">
        <f t="shared" ca="1" si="3"/>
        <v>3.7217520157927821E-2</v>
      </c>
      <c r="O56" s="30">
        <f t="shared" ca="1" si="4"/>
        <v>5.0754026066070823E-2</v>
      </c>
      <c r="P56" s="30">
        <f t="shared" ca="1" si="5"/>
        <v>9.1496584727391639E-2</v>
      </c>
      <c r="Q56" s="30">
        <f t="shared" ca="1" si="6"/>
        <v>-1.6365646885366791E-2</v>
      </c>
      <c r="R56" s="30">
        <f t="shared" ca="1" si="7"/>
        <v>0.19001114827201793</v>
      </c>
      <c r="S56" s="9" cm="1">
        <f t="array" aca="1" ref="S56" ca="1">_xll.BDH($E$6,"PX LAST",AG56)</f>
        <v>266.86</v>
      </c>
      <c r="T56" s="9" cm="1">
        <f t="array" aca="1" ref="T56" ca="1">_xll.BDH($E$6,"PX LAST",AH56)</f>
        <v>253.97</v>
      </c>
      <c r="U56" s="9" cm="1">
        <f t="array" aca="1" ref="U56" ca="1">_xll.BDH($E$6,"PX LAST",AI56)</f>
        <v>244.49</v>
      </c>
      <c r="V56" s="9" cm="1">
        <f t="array" aca="1" ref="V56" ca="1">_xll.BDH($E$6,"PX LAST",AJ56)</f>
        <v>271.3</v>
      </c>
      <c r="W56" s="9" cm="1">
        <f t="array" aca="1" ref="W56" ca="1">_xll.BDH($E$6,"PX LAST",AK56)</f>
        <v>224.25</v>
      </c>
      <c r="X56" s="24">
        <f t="shared" ca="1" si="8"/>
        <v>-4.0245658692570352E-3</v>
      </c>
      <c r="Y56" s="24">
        <f t="shared" ca="1" si="9"/>
        <v>1.8788857465061426E-2</v>
      </c>
      <c r="Z56" s="24">
        <f t="shared" ca="1" si="10"/>
        <v>6.5523135077116823E-3</v>
      </c>
      <c r="AA56" s="24">
        <f t="shared" ca="1" si="11"/>
        <v>2.1962710920796269E-2</v>
      </c>
      <c r="AB56" s="9" cm="1">
        <f t="array" aca="1" ref="AB56" ca="1">_xll.BDH($E$8,"PX LAST",AG56)</f>
        <v>6902.05</v>
      </c>
      <c r="AC56" s="9" cm="1">
        <f t="array" aca="1" ref="AC56" ca="1">_xll.BDH($E$8,"PX LAST",AH56)</f>
        <v>6929.94</v>
      </c>
      <c r="AD56" s="9" cm="1">
        <f t="array" aca="1" ref="AD56" ca="1">_xll.BDH($E$8,"PX LAST",AI56)</f>
        <v>6774.76</v>
      </c>
      <c r="AE56" s="9" cm="1">
        <f t="array" aca="1" ref="AE56" ca="1">_xll.BDH($E$8,"PX LAST",AJ56)</f>
        <v>6857.12</v>
      </c>
      <c r="AF56" s="9" cm="1">
        <f t="array" aca="1" ref="AF56" ca="1">_xll.BDH($E$8,"PX LAST",AK56)</f>
        <v>6753.72</v>
      </c>
      <c r="AG56" s="20">
        <f t="shared" ca="1" si="17"/>
        <v>46027</v>
      </c>
      <c r="AH56" s="22">
        <f t="shared" ca="1" si="12"/>
        <v>46017</v>
      </c>
      <c r="AI56" s="22">
        <f t="shared" ca="1" si="13"/>
        <v>46009</v>
      </c>
      <c r="AJ56" s="22">
        <f t="shared" ca="1" si="14"/>
        <v>45995</v>
      </c>
      <c r="AK56" s="22">
        <f t="shared" ca="1" si="15"/>
        <v>45938</v>
      </c>
      <c r="AL56" s="22">
        <f t="shared" ca="1" si="16"/>
        <v>45853</v>
      </c>
      <c r="AN56" s="21">
        <v>45705</v>
      </c>
    </row>
    <row r="57" spans="4:40" x14ac:dyDescent="0.25">
      <c r="D57" s="6">
        <f ca="1"/>
        <v>46024</v>
      </c>
      <c r="E57" s="28">
        <f ca="1"/>
        <v>252.12</v>
      </c>
      <c r="F57" s="29" cm="1">
        <f t="array" aca="1" ref="F57" ca="1">_xll.FDS($E$7,"P_BETA_LOCIDX("&amp;$AG57&amp;","&amp;$AL57&amp;",,"""&amp;$E$9&amp;""")")</f>
        <v>1.6481557</v>
      </c>
      <c r="G57" s="30">
        <f t="shared" ca="1" si="2"/>
        <v>7.3647262989659582E-3</v>
      </c>
      <c r="H57" s="30">
        <f t="shared" ca="1" si="2"/>
        <v>-2.6694231390212653E-2</v>
      </c>
      <c r="I57" s="30">
        <f t="shared" ca="1" si="2"/>
        <v>-7.0294772415651394E-2</v>
      </c>
      <c r="J57" s="30">
        <f t="shared" ca="1" si="2"/>
        <v>0.14292433432420953</v>
      </c>
      <c r="K57" s="30">
        <f t="shared" ca="1" si="3"/>
        <v>-1.7494290492134308E-2</v>
      </c>
      <c r="L57" s="30">
        <f t="shared" ca="1" si="3"/>
        <v>3.3603453004494521E-2</v>
      </c>
      <c r="M57" s="30">
        <f t="shared" ca="1" si="3"/>
        <v>2.1053944358310124E-3</v>
      </c>
      <c r="N57" s="30">
        <f t="shared" ca="1" si="3"/>
        <v>3.5316622774584874E-2</v>
      </c>
      <c r="O57" s="30">
        <f t="shared" ca="1" si="4"/>
        <v>-1.012956419316835E-2</v>
      </c>
      <c r="P57" s="30">
        <f t="shared" ca="1" si="5"/>
        <v>6.9092216142818685E-3</v>
      </c>
      <c r="Q57" s="30">
        <f t="shared" ca="1" si="6"/>
        <v>-6.8189377979820387E-2</v>
      </c>
      <c r="R57" s="30">
        <f t="shared" ca="1" si="7"/>
        <v>0.17824095709879439</v>
      </c>
      <c r="S57" s="9" cm="1">
        <f t="array" aca="1" ref="S57" ca="1">_xll.BDH($E$6,"PX LAST",AG57)</f>
        <v>252.12</v>
      </c>
      <c r="T57" s="9" cm="1">
        <f t="array" aca="1" ref="T57" ca="1">_xll.BDH($E$6,"PX LAST",AH57)</f>
        <v>254.7</v>
      </c>
      <c r="U57" s="9" cm="1">
        <f t="array" aca="1" ref="U57" ca="1">_xll.BDH($E$6,"PX LAST",AI57)</f>
        <v>250.39</v>
      </c>
      <c r="V57" s="9" cm="1">
        <f t="array" aca="1" ref="V57" ca="1">_xll.BDH($E$6,"PX LAST",AJ57)</f>
        <v>270.57</v>
      </c>
      <c r="W57" s="9" cm="1">
        <f t="array" aca="1" ref="W57" ca="1">_xll.BDH($E$6,"PX LAST",AK57)</f>
        <v>213.98</v>
      </c>
      <c r="X57" s="24">
        <f t="shared" ca="1" si="8"/>
        <v>-1.0614464696590442E-2</v>
      </c>
      <c r="Y57" s="24">
        <f t="shared" ca="1" si="9"/>
        <v>2.038851851466128E-2</v>
      </c>
      <c r="Z57" s="24">
        <f t="shared" ca="1" si="10"/>
        <v>1.277424478664857E-3</v>
      </c>
      <c r="AA57" s="24">
        <f t="shared" ca="1" si="11"/>
        <v>2.1427965073072208E-2</v>
      </c>
      <c r="AB57" s="9" cm="1">
        <f t="array" aca="1" ref="AB57" ca="1">_xll.BDH($E$8,"PX LAST",AG57)</f>
        <v>6858.47</v>
      </c>
      <c r="AC57" s="9" cm="1">
        <f t="array" aca="1" ref="AC57" ca="1">_xll.BDH($E$8,"PX LAST",AH57)</f>
        <v>6932.05</v>
      </c>
      <c r="AD57" s="9" cm="1">
        <f t="array" aca="1" ref="AD57" ca="1">_xll.BDH($E$8,"PX LAST",AI57)</f>
        <v>6721.43</v>
      </c>
      <c r="AE57" s="9" cm="1">
        <f t="array" aca="1" ref="AE57" ca="1">_xll.BDH($E$8,"PX LAST",AJ57)</f>
        <v>6849.72</v>
      </c>
      <c r="AF57" s="9" cm="1">
        <f t="array" aca="1" ref="AF57" ca="1">_xll.BDH($E$8,"PX LAST",AK57)</f>
        <v>6714.59</v>
      </c>
      <c r="AG57" s="20">
        <f t="shared" ca="1" si="17"/>
        <v>46024</v>
      </c>
      <c r="AH57" s="22">
        <f t="shared" ca="1" si="12"/>
        <v>46015</v>
      </c>
      <c r="AI57" s="22">
        <f t="shared" ca="1" si="13"/>
        <v>46008</v>
      </c>
      <c r="AJ57" s="22">
        <f t="shared" ca="1" si="14"/>
        <v>45994</v>
      </c>
      <c r="AK57" s="22">
        <f t="shared" ca="1" si="15"/>
        <v>45937</v>
      </c>
      <c r="AL57" s="22">
        <f t="shared" ca="1" si="16"/>
        <v>45852</v>
      </c>
      <c r="AN57" s="21">
        <v>45765</v>
      </c>
    </row>
    <row r="58" spans="4:40" x14ac:dyDescent="0.25">
      <c r="D58" s="6">
        <f ca="1"/>
        <v>46022</v>
      </c>
      <c r="E58" s="28">
        <f ca="1"/>
        <v>244.64</v>
      </c>
      <c r="F58" s="29" cm="1">
        <f t="array" aca="1" ref="F58" ca="1">_xll.FDS($E$7,"P_BETA_LOCIDX("&amp;$AG58&amp;","&amp;$AL58&amp;",,"""&amp;$E$9&amp;""")")</f>
        <v>1.6473678</v>
      </c>
      <c r="G58" s="30">
        <f t="shared" ca="1" si="2"/>
        <v>-1.6108161520522392E-2</v>
      </c>
      <c r="H58" s="30">
        <f t="shared" ca="1" si="2"/>
        <v>-6.4283468159147858E-2</v>
      </c>
      <c r="I58" s="30">
        <f t="shared" ca="1" si="2"/>
        <v>-8.5331166696041974E-2</v>
      </c>
      <c r="J58" s="30">
        <f t="shared" ca="1" si="2"/>
        <v>8.8816584611064994E-2</v>
      </c>
      <c r="K58" s="30">
        <f t="shared" ca="1" si="3"/>
        <v>-1.5327423244700621E-2</v>
      </c>
      <c r="L58" s="30">
        <f t="shared" ca="1" si="3"/>
        <v>1.0959422032686945E-2</v>
      </c>
      <c r="M58" s="30">
        <f t="shared" ca="1" si="3"/>
        <v>3.8908482940594609E-3</v>
      </c>
      <c r="N58" s="30">
        <f t="shared" ca="1" si="3"/>
        <v>2.5716445001691245E-2</v>
      </c>
      <c r="O58" s="30">
        <f t="shared" ca="1" si="4"/>
        <v>-3.1435584765223012E-2</v>
      </c>
      <c r="P58" s="30">
        <f t="shared" ca="1" si="5"/>
        <v>-5.3324046126460911E-2</v>
      </c>
      <c r="Q58" s="30">
        <f t="shared" ca="1" si="6"/>
        <v>-8.1440318401982514E-2</v>
      </c>
      <c r="R58" s="30">
        <f t="shared" ca="1" si="7"/>
        <v>0.11453302961275624</v>
      </c>
      <c r="S58" s="9" cm="1">
        <f t="array" aca="1" ref="S58" ca="1">_xll.BDH($E$6,"PX LAST",AG58)</f>
        <v>244.64</v>
      </c>
      <c r="T58" s="9" cm="1">
        <f t="array" aca="1" ref="T58" ca="1">_xll.BDH($E$6,"PX LAST",AH58)</f>
        <v>252.58</v>
      </c>
      <c r="U58" s="9" cm="1">
        <f t="array" aca="1" ref="U58" ca="1">_xll.BDH($E$6,"PX LAST",AI58)</f>
        <v>258.42</v>
      </c>
      <c r="V58" s="9" cm="1">
        <f t="array" aca="1" ref="V58" ca="1">_xll.BDH($E$6,"PX LAST",AJ58)</f>
        <v>266.33</v>
      </c>
      <c r="W58" s="9" cm="1">
        <f t="array" aca="1" ref="W58" ca="1">_xll.BDH($E$6,"PX LAST",AK58)</f>
        <v>219.5</v>
      </c>
      <c r="X58" s="24">
        <f t="shared" ca="1" si="8"/>
        <v>-9.3041901418132733E-3</v>
      </c>
      <c r="Y58" s="24">
        <f t="shared" ca="1" si="9"/>
        <v>6.6526868090337477E-3</v>
      </c>
      <c r="Z58" s="24">
        <f t="shared" ca="1" si="10"/>
        <v>2.3618576823338788E-3</v>
      </c>
      <c r="AA58" s="24">
        <f t="shared" ca="1" si="11"/>
        <v>1.5610627451678516E-2</v>
      </c>
      <c r="AB58" s="9" cm="1">
        <f t="array" aca="1" ref="AB58" ca="1">_xll.BDH($E$8,"PX LAST",AG58)</f>
        <v>6845.5</v>
      </c>
      <c r="AC58" s="9" cm="1">
        <f t="array" aca="1" ref="AC58" ca="1">_xll.BDH($E$8,"PX LAST",AH58)</f>
        <v>6909.79</v>
      </c>
      <c r="AD58" s="9" cm="1">
        <f t="array" aca="1" ref="AD58" ca="1">_xll.BDH($E$8,"PX LAST",AI58)</f>
        <v>6800.26</v>
      </c>
      <c r="AE58" s="9" cm="1">
        <f t="array" aca="1" ref="AE58" ca="1">_xll.BDH($E$8,"PX LAST",AJ58)</f>
        <v>6829.37</v>
      </c>
      <c r="AF58" s="9" cm="1">
        <f t="array" aca="1" ref="AF58" ca="1">_xll.BDH($E$8,"PX LAST",AK58)</f>
        <v>6740.28</v>
      </c>
      <c r="AG58" s="20">
        <f t="shared" ca="1" si="17"/>
        <v>46022</v>
      </c>
      <c r="AH58" s="22">
        <f t="shared" ca="1" si="12"/>
        <v>46014</v>
      </c>
      <c r="AI58" s="22">
        <f t="shared" ca="1" si="13"/>
        <v>46007</v>
      </c>
      <c r="AJ58" s="22">
        <f t="shared" ca="1" si="14"/>
        <v>45993</v>
      </c>
      <c r="AK58" s="22">
        <f t="shared" ca="1" si="15"/>
        <v>45936</v>
      </c>
      <c r="AL58" s="22">
        <f t="shared" ca="1" si="16"/>
        <v>45849</v>
      </c>
      <c r="AN58" s="21">
        <v>45803</v>
      </c>
    </row>
    <row r="59" spans="4:40" x14ac:dyDescent="0.25">
      <c r="D59" s="6">
        <f ca="1"/>
        <v>46021</v>
      </c>
      <c r="E59" s="28">
        <f ca="1"/>
        <v>249.79</v>
      </c>
      <c r="F59" s="29" cm="1">
        <f t="array" aca="1" ref="F59" ca="1">_xll.FDS($E$7,"P_BETA_LOCIDX("&amp;$AG59&amp;","&amp;$AL59&amp;",,"""&amp;$E$9&amp;""")")</f>
        <v>1.6374538000000001</v>
      </c>
      <c r="G59" s="30">
        <f t="shared" ca="1" si="2"/>
        <v>-2.2770903251808521E-2</v>
      </c>
      <c r="H59" s="30">
        <f t="shared" ca="1" si="2"/>
        <v>-5.4116328440429899E-2</v>
      </c>
      <c r="I59" s="30">
        <f t="shared" ca="1" si="2"/>
        <v>-8.1318320884506481E-2</v>
      </c>
      <c r="J59" s="30">
        <f t="shared" ca="1" si="2"/>
        <v>0.11313402245579426</v>
      </c>
      <c r="K59" s="30">
        <f t="shared" ca="1" si="3"/>
        <v>4.2254629940583419E-3</v>
      </c>
      <c r="L59" s="30">
        <f t="shared" ca="1" si="3"/>
        <v>1.9152644311238191E-2</v>
      </c>
      <c r="M59" s="30">
        <f t="shared" ca="1" si="3"/>
        <v>2.0096132069112607E-2</v>
      </c>
      <c r="N59" s="30">
        <f t="shared" ca="1" si="3"/>
        <v>4.3997584529891581E-2</v>
      </c>
      <c r="O59" s="30">
        <f t="shared" ca="1" si="4"/>
        <v>-1.8545440257750179E-2</v>
      </c>
      <c r="P59" s="30">
        <f t="shared" ca="1" si="5"/>
        <v>-3.4963684129191708E-2</v>
      </c>
      <c r="Q59" s="30">
        <f t="shared" ca="1" si="6"/>
        <v>-6.1222188815393874E-2</v>
      </c>
      <c r="R59" s="30">
        <f t="shared" ca="1" si="7"/>
        <v>0.15713160698568585</v>
      </c>
      <c r="S59" s="9" cm="1">
        <f t="array" aca="1" ref="S59" ca="1">_xll.BDH($E$6,"PX LAST",AG59)</f>
        <v>249.79</v>
      </c>
      <c r="T59" s="9" cm="1">
        <f t="array" aca="1" ref="T59" ca="1">_xll.BDH($E$6,"PX LAST",AH59)</f>
        <v>254.51</v>
      </c>
      <c r="U59" s="9" cm="1">
        <f t="array" aca="1" ref="U59" ca="1">_xll.BDH($E$6,"PX LAST",AI59)</f>
        <v>258.83999999999997</v>
      </c>
      <c r="V59" s="9" cm="1">
        <f t="array" aca="1" ref="V59" ca="1">_xll.BDH($E$6,"PX LAST",AJ59)</f>
        <v>266.08</v>
      </c>
      <c r="W59" s="9" cm="1">
        <f t="array" aca="1" ref="W59" ca="1">_xll.BDH($E$6,"PX LAST",AK59)</f>
        <v>215.87</v>
      </c>
      <c r="X59" s="24">
        <f t="shared" ca="1" si="8"/>
        <v>2.58050822200806E-3</v>
      </c>
      <c r="Y59" s="24">
        <f t="shared" ca="1" si="9"/>
        <v>1.1696601339981738E-2</v>
      </c>
      <c r="Z59" s="24">
        <f t="shared" ca="1" si="10"/>
        <v>1.2272793326512543E-2</v>
      </c>
      <c r="AA59" s="24">
        <f t="shared" ca="1" si="11"/>
        <v>2.6869512000821993E-2</v>
      </c>
      <c r="AB59" s="9" cm="1">
        <f t="array" aca="1" ref="AB59" ca="1">_xll.BDH($E$8,"PX LAST",AG59)</f>
        <v>6896.24</v>
      </c>
      <c r="AC59" s="9" cm="1">
        <f t="array" aca="1" ref="AC59" ca="1">_xll.BDH($E$8,"PX LAST",AH59)</f>
        <v>6878.49</v>
      </c>
      <c r="AD59" s="9" cm="1">
        <f t="array" aca="1" ref="AD59" ca="1">_xll.BDH($E$8,"PX LAST",AI59)</f>
        <v>6816.51</v>
      </c>
      <c r="AE59" s="9" cm="1">
        <f t="array" aca="1" ref="AE59" ca="1">_xll.BDH($E$8,"PX LAST",AJ59)</f>
        <v>6812.63</v>
      </c>
      <c r="AF59" s="9" cm="1">
        <f t="array" aca="1" ref="AF59" ca="1">_xll.BDH($E$8,"PX LAST",AK59)</f>
        <v>6715.79</v>
      </c>
      <c r="AG59" s="20">
        <f t="shared" ca="1" si="17"/>
        <v>46021</v>
      </c>
      <c r="AH59" s="22">
        <f t="shared" ca="1" si="12"/>
        <v>46013</v>
      </c>
      <c r="AI59" s="22">
        <f t="shared" ca="1" si="13"/>
        <v>46006</v>
      </c>
      <c r="AJ59" s="22">
        <f t="shared" ca="1" si="14"/>
        <v>45992</v>
      </c>
      <c r="AK59" s="22">
        <f t="shared" ca="1" si="15"/>
        <v>45933</v>
      </c>
      <c r="AL59" s="22">
        <f t="shared" ca="1" si="16"/>
        <v>45848</v>
      </c>
      <c r="AN59" s="21">
        <v>45827</v>
      </c>
    </row>
    <row r="60" spans="4:40" x14ac:dyDescent="0.25">
      <c r="D60" s="6">
        <f ca="1"/>
        <v>46020</v>
      </c>
      <c r="E60" s="28">
        <f ca="1"/>
        <v>251.88</v>
      </c>
      <c r="F60" s="29" cm="1">
        <f t="array" aca="1" ref="F60" ca="1">_xll.FDS($E$7,"P_BETA_LOCIDX("&amp;$AG60&amp;","&amp;$AL60&amp;",,"""&amp;$E$9&amp;""")")</f>
        <v>1.6378177</v>
      </c>
      <c r="G60" s="30">
        <f t="shared" ca="1" si="2"/>
        <v>-1.5202477737001618E-2</v>
      </c>
      <c r="H60" s="30">
        <f t="shared" ca="1" si="2"/>
        <v>-5.1472219197236338E-2</v>
      </c>
      <c r="I60" s="30">
        <f t="shared" ca="1" si="2"/>
        <v>-7.1622285783904102E-2</v>
      </c>
      <c r="J60" s="30">
        <f t="shared" ca="1" si="2"/>
        <v>0.13118013310196089</v>
      </c>
      <c r="K60" s="30">
        <f t="shared" ca="1" si="3"/>
        <v>1.7071934003657752E-2</v>
      </c>
      <c r="L60" s="30">
        <f t="shared" ca="1" si="3"/>
        <v>1.8790472586383455E-2</v>
      </c>
      <c r="M60" s="30">
        <f t="shared" ca="1" si="3"/>
        <v>1.35466715585572E-2</v>
      </c>
      <c r="N60" s="30">
        <f t="shared" ca="1" si="3"/>
        <v>4.6434528640056004E-2</v>
      </c>
      <c r="O60" s="30">
        <f t="shared" ca="1" si="4"/>
        <v>1.8694562666561332E-3</v>
      </c>
      <c r="P60" s="30">
        <f t="shared" ca="1" si="5"/>
        <v>-3.268174661085288E-2</v>
      </c>
      <c r="Q60" s="30">
        <f t="shared" ca="1" si="6"/>
        <v>-5.8075614225346905E-2</v>
      </c>
      <c r="R60" s="30">
        <f t="shared" ca="1" si="7"/>
        <v>0.1776146617420169</v>
      </c>
      <c r="S60" s="9" cm="1">
        <f t="array" aca="1" ref="S60" ca="1">_xll.BDH($E$6,"PX LAST",AG60)</f>
        <v>251.88</v>
      </c>
      <c r="T60" s="9" cm="1">
        <f t="array" aca="1" ref="T60" ca="1">_xll.BDH($E$6,"PX LAST",AH60)</f>
        <v>251.41</v>
      </c>
      <c r="U60" s="9" cm="1">
        <f t="array" aca="1" ref="U60" ca="1">_xll.BDH($E$6,"PX LAST",AI60)</f>
        <v>260.39</v>
      </c>
      <c r="V60" s="9" cm="1">
        <f t="array" aca="1" ref="V60" ca="1">_xll.BDH($E$6,"PX LAST",AJ60)</f>
        <v>267.41000000000003</v>
      </c>
      <c r="W60" s="9" cm="1">
        <f t="array" aca="1" ref="W60" ca="1">_xll.BDH($E$6,"PX LAST",AK60)</f>
        <v>213.89</v>
      </c>
      <c r="X60" s="24">
        <f t="shared" ca="1" si="8"/>
        <v>1.0423586216987246E-2</v>
      </c>
      <c r="Y60" s="24">
        <f t="shared" ca="1" si="9"/>
        <v>1.1472871850379596E-2</v>
      </c>
      <c r="Z60" s="24">
        <f t="shared" ca="1" si="10"/>
        <v>8.271171790704912E-3</v>
      </c>
      <c r="AA60" s="24">
        <f t="shared" ca="1" si="11"/>
        <v>2.8351463438242241E-2</v>
      </c>
      <c r="AB60" s="9" cm="1">
        <f t="array" aca="1" ref="AB60" ca="1">_xll.BDH($E$8,"PX LAST",AG60)</f>
        <v>6905.74</v>
      </c>
      <c r="AC60" s="9" cm="1">
        <f t="array" aca="1" ref="AC60" ca="1">_xll.BDH($E$8,"PX LAST",AH60)</f>
        <v>6834.5</v>
      </c>
      <c r="AD60" s="9" cm="1">
        <f t="array" aca="1" ref="AD60" ca="1">_xll.BDH($E$8,"PX LAST",AI60)</f>
        <v>6827.41</v>
      </c>
      <c r="AE60" s="9" cm="1">
        <f t="array" aca="1" ref="AE60" ca="1">_xll.BDH($E$8,"PX LAST",AJ60)</f>
        <v>6849.09</v>
      </c>
      <c r="AF60" s="9" cm="1">
        <f t="array" aca="1" ref="AF60" ca="1">_xll.BDH($E$8,"PX LAST",AK60)</f>
        <v>6715.35</v>
      </c>
      <c r="AG60" s="20">
        <f t="shared" ca="1" si="17"/>
        <v>46020</v>
      </c>
      <c r="AH60" s="22">
        <f t="shared" ca="1" si="12"/>
        <v>46010</v>
      </c>
      <c r="AI60" s="22">
        <f t="shared" ca="1" si="13"/>
        <v>46003</v>
      </c>
      <c r="AJ60" s="22">
        <f t="shared" ca="1" si="14"/>
        <v>45989</v>
      </c>
      <c r="AK60" s="22">
        <f t="shared" ca="1" si="15"/>
        <v>45932</v>
      </c>
      <c r="AL60" s="22">
        <f t="shared" ca="1" si="16"/>
        <v>45847</v>
      </c>
      <c r="AN60" s="27">
        <v>374560</v>
      </c>
    </row>
    <row r="61" spans="4:40" x14ac:dyDescent="0.25">
      <c r="D61" s="6">
        <f ca="1"/>
        <v>46017</v>
      </c>
      <c r="E61" s="28">
        <f ca="1"/>
        <v>253.97</v>
      </c>
      <c r="F61" s="29" cm="1">
        <f t="array" aca="1" ref="F61" ca="1">_xll.FDS($E$7,"P_BETA_LOCIDX("&amp;$AG61&amp;","&amp;$AL61&amp;",,"""&amp;$E$9&amp;""")")</f>
        <v>1.6271598</v>
      </c>
      <c r="G61" s="30">
        <f t="shared" ca="1" si="2"/>
        <v>1.5035067201085925E-3</v>
      </c>
      <c r="H61" s="30">
        <f t="shared" ca="1" si="2"/>
        <v>-9.1352522603534242E-2</v>
      </c>
      <c r="I61" s="30">
        <f t="shared" ca="1" si="2"/>
        <v>-6.8125010299121713E-2</v>
      </c>
      <c r="J61" s="30">
        <f t="shared" ca="1" si="2"/>
        <v>0.1410508185093661</v>
      </c>
      <c r="K61" s="30">
        <f t="shared" ca="1" si="3"/>
        <v>3.7271085287744456E-2</v>
      </c>
      <c r="L61" s="30">
        <f t="shared" ca="1" si="3"/>
        <v>6.8236494148671591E-3</v>
      </c>
      <c r="M61" s="30">
        <f t="shared" ca="1" si="3"/>
        <v>2.8023717684411649E-2</v>
      </c>
      <c r="N61" s="30">
        <f t="shared" ca="1" si="3"/>
        <v>5.303446993860992E-2</v>
      </c>
      <c r="O61" s="30">
        <f t="shared" ca="1" si="4"/>
        <v>3.8774592007853048E-2</v>
      </c>
      <c r="P61" s="30">
        <f t="shared" ca="1" si="5"/>
        <v>-8.4528873188667086E-2</v>
      </c>
      <c r="Q61" s="30">
        <f t="shared" ca="1" si="6"/>
        <v>-4.0101292614710071E-2</v>
      </c>
      <c r="R61" s="30">
        <f t="shared" ca="1" si="7"/>
        <v>0.19408528844797601</v>
      </c>
      <c r="S61" s="9" cm="1">
        <f t="array" aca="1" ref="S61" ca="1">_xll.BDH($E$6,"PX LAST",AG61)</f>
        <v>253.97</v>
      </c>
      <c r="T61" s="9" cm="1">
        <f t="array" aca="1" ref="T61" ca="1">_xll.BDH($E$6,"PX LAST",AH61)</f>
        <v>244.49</v>
      </c>
      <c r="U61" s="9" cm="1">
        <f t="array" aca="1" ref="U61" ca="1">_xll.BDH($E$6,"PX LAST",AI61)</f>
        <v>277.42</v>
      </c>
      <c r="V61" s="9" cm="1">
        <f t="array" aca="1" ref="V61" ca="1">_xll.BDH($E$6,"PX LAST",AJ61)</f>
        <v>264.58</v>
      </c>
      <c r="W61" s="9" cm="1">
        <f t="array" aca="1" ref="W61" ca="1">_xll.BDH($E$6,"PX LAST",AK61)</f>
        <v>212.69</v>
      </c>
      <c r="X61" s="24">
        <f t="shared" ca="1" si="8"/>
        <v>2.2905608464358851E-2</v>
      </c>
      <c r="Y61" s="24">
        <f t="shared" ca="1" si="9"/>
        <v>4.1935951311402597E-3</v>
      </c>
      <c r="Z61" s="24">
        <f t="shared" ca="1" si="10"/>
        <v>1.7222474205921046E-2</v>
      </c>
      <c r="AA61" s="24">
        <f t="shared" ca="1" si="11"/>
        <v>3.2593276910239499E-2</v>
      </c>
      <c r="AB61" s="9" cm="1">
        <f t="array" aca="1" ref="AB61" ca="1">_xll.BDH($E$8,"PX LAST",AG61)</f>
        <v>6929.94</v>
      </c>
      <c r="AC61" s="9" cm="1">
        <f t="array" aca="1" ref="AC61" ca="1">_xll.BDH($E$8,"PX LAST",AH61)</f>
        <v>6774.76</v>
      </c>
      <c r="AD61" s="9" cm="1">
        <f t="array" aca="1" ref="AD61" ca="1">_xll.BDH($E$8,"PX LAST",AI61)</f>
        <v>6901</v>
      </c>
      <c r="AE61" s="9" cm="1">
        <f t="array" aca="1" ref="AE61" ca="1">_xll.BDH($E$8,"PX LAST",AJ61)</f>
        <v>6812.61</v>
      </c>
      <c r="AF61" s="9" cm="1">
        <f t="array" aca="1" ref="AF61" ca="1">_xll.BDH($E$8,"PX LAST",AK61)</f>
        <v>6711.2</v>
      </c>
      <c r="AG61" s="20">
        <f t="shared" ca="1" si="17"/>
        <v>46017</v>
      </c>
      <c r="AH61" s="22">
        <f t="shared" ca="1" si="12"/>
        <v>46009</v>
      </c>
      <c r="AI61" s="22">
        <f t="shared" ca="1" si="13"/>
        <v>46002</v>
      </c>
      <c r="AJ61" s="22">
        <f t="shared" ca="1" si="14"/>
        <v>45987</v>
      </c>
      <c r="AK61" s="22">
        <f t="shared" ca="1" si="15"/>
        <v>45931</v>
      </c>
      <c r="AL61" s="22">
        <f t="shared" ca="1" si="16"/>
        <v>45846</v>
      </c>
      <c r="AN61" s="27">
        <v>45901</v>
      </c>
    </row>
    <row r="62" spans="4:40" x14ac:dyDescent="0.25">
      <c r="D62" s="6">
        <f ca="1"/>
        <v>46015</v>
      </c>
      <c r="E62" s="28">
        <f ca="1"/>
        <v>254.7</v>
      </c>
      <c r="F62" s="29" cm="1">
        <f t="array" aca="1" ref="F62" ca="1">_xll.FDS($E$7,"P_BETA_LOCIDX("&amp;$AG62&amp;","&amp;$AL62&amp;",,"""&amp;$E$9&amp;""")")</f>
        <v>1.6401527</v>
      </c>
      <c r="G62" s="30">
        <f t="shared" ca="1" si="2"/>
        <v>-3.4182011229880474E-2</v>
      </c>
      <c r="H62" s="30">
        <f t="shared" ca="1" si="2"/>
        <v>-9.124447835964139E-2</v>
      </c>
      <c r="I62" s="30">
        <f t="shared" ca="1" si="2"/>
        <v>-6.1156325504551912E-2</v>
      </c>
      <c r="J62" s="30">
        <f t="shared" ca="1" si="2"/>
        <v>0.14452186837058043</v>
      </c>
      <c r="K62" s="30">
        <f t="shared" ca="1" si="3"/>
        <v>5.1395158719796233E-2</v>
      </c>
      <c r="L62" s="30">
        <f t="shared" ca="1" si="3"/>
        <v>1.0805457491708644E-2</v>
      </c>
      <c r="M62" s="30">
        <f t="shared" ca="1" si="3"/>
        <v>4.028214720908424E-2</v>
      </c>
      <c r="N62" s="30">
        <f t="shared" ca="1" si="3"/>
        <v>5.9733450778355589E-2</v>
      </c>
      <c r="O62" s="30">
        <f t="shared" ca="1" si="4"/>
        <v>1.7213147489915759E-2</v>
      </c>
      <c r="P62" s="30">
        <f t="shared" ca="1" si="5"/>
        <v>-8.0439020867932753E-2</v>
      </c>
      <c r="Q62" s="30">
        <f t="shared" ca="1" si="6"/>
        <v>-2.0874178295467671E-2</v>
      </c>
      <c r="R62" s="30">
        <f t="shared" ca="1" si="7"/>
        <v>0.20425531914893602</v>
      </c>
      <c r="S62" s="9" cm="1">
        <f t="array" aca="1" ref="S62" ca="1">_xll.BDH($E$6,"PX LAST",AG62)</f>
        <v>254.7</v>
      </c>
      <c r="T62" s="9" cm="1">
        <f t="array" aca="1" ref="T62" ca="1">_xll.BDH($E$6,"PX LAST",AH62)</f>
        <v>250.39</v>
      </c>
      <c r="U62" s="9" cm="1">
        <f t="array" aca="1" ref="U62" ca="1">_xll.BDH($E$6,"PX LAST",AI62)</f>
        <v>276.98</v>
      </c>
      <c r="V62" s="9" cm="1">
        <f t="array" aca="1" ref="V62" ca="1">_xll.BDH($E$6,"PX LAST",AJ62)</f>
        <v>260.13</v>
      </c>
      <c r="W62" s="9" cm="1">
        <f t="array" aca="1" ref="W62" ca="1">_xll.BDH($E$6,"PX LAST",AK62)</f>
        <v>211.5</v>
      </c>
      <c r="X62" s="24">
        <f t="shared" ca="1" si="8"/>
        <v>3.1335593765017267E-2</v>
      </c>
      <c r="Y62" s="24">
        <f t="shared" ca="1" si="9"/>
        <v>6.5880801779667486E-3</v>
      </c>
      <c r="Z62" s="24">
        <f t="shared" ca="1" si="10"/>
        <v>2.4559998108154346E-2</v>
      </c>
      <c r="AA62" s="24">
        <f t="shared" ca="1" si="11"/>
        <v>3.6419444834834946E-2</v>
      </c>
      <c r="AB62" s="9" cm="1">
        <f t="array" aca="1" ref="AB62" ca="1">_xll.BDH($E$8,"PX LAST",AG62)</f>
        <v>6932.05</v>
      </c>
      <c r="AC62" s="9" cm="1">
        <f t="array" aca="1" ref="AC62" ca="1">_xll.BDH($E$8,"PX LAST",AH62)</f>
        <v>6721.43</v>
      </c>
      <c r="AD62" s="9" cm="1">
        <f t="array" aca="1" ref="AD62" ca="1">_xll.BDH($E$8,"PX LAST",AI62)</f>
        <v>6886.68</v>
      </c>
      <c r="AE62" s="9" cm="1">
        <f t="array" aca="1" ref="AE62" ca="1">_xll.BDH($E$8,"PX LAST",AJ62)</f>
        <v>6765.88</v>
      </c>
      <c r="AF62" s="9" cm="1">
        <f t="array" aca="1" ref="AF62" ca="1">_xll.BDH($E$8,"PX LAST",AK62)</f>
        <v>6688.46</v>
      </c>
      <c r="AG62" s="20">
        <f t="shared" ca="1" si="17"/>
        <v>46015</v>
      </c>
      <c r="AH62" s="22">
        <f t="shared" ca="1" si="12"/>
        <v>46008</v>
      </c>
      <c r="AI62" s="22">
        <f t="shared" ca="1" si="13"/>
        <v>46001</v>
      </c>
      <c r="AJ62" s="22">
        <f t="shared" ca="1" si="14"/>
        <v>45986</v>
      </c>
      <c r="AK62" s="22">
        <f t="shared" ca="1" si="15"/>
        <v>45930</v>
      </c>
      <c r="AL62" s="22">
        <f t="shared" ca="1" si="16"/>
        <v>45845</v>
      </c>
      <c r="AN62" s="27">
        <v>45988</v>
      </c>
    </row>
    <row r="63" spans="4:40" x14ac:dyDescent="0.25">
      <c r="D63" s="6">
        <f ca="1"/>
        <v>46014</v>
      </c>
      <c r="E63" s="28">
        <f ca="1"/>
        <v>252.58</v>
      </c>
      <c r="F63" s="29" cm="1">
        <f t="array" aca="1" ref="F63" ca="1">_xll.FDS($E$7,"P_BETA_LOCIDX("&amp;$AG63&amp;","&amp;$AL63&amp;",,"""&amp;$E$9&amp;""")")</f>
        <v>1.6260578999999999</v>
      </c>
      <c r="G63" s="30">
        <f t="shared" ca="1" si="2"/>
        <v>-4.8789357153608041E-2</v>
      </c>
      <c r="H63" s="30">
        <f t="shared" ca="1" si="2"/>
        <v>-6.6169443194666833E-2</v>
      </c>
      <c r="I63" s="30">
        <f t="shared" ca="1" si="2"/>
        <v>-5.7295678198795288E-2</v>
      </c>
      <c r="J63" s="30">
        <f t="shared" ca="1" si="2"/>
        <v>0.13434222217148661</v>
      </c>
      <c r="K63" s="30">
        <f t="shared" ca="1" si="3"/>
        <v>2.6190487097110852E-2</v>
      </c>
      <c r="L63" s="30">
        <f t="shared" ca="1" si="3"/>
        <v>1.6468551513264155E-2</v>
      </c>
      <c r="M63" s="30">
        <f t="shared" ca="1" si="3"/>
        <v>4.9634498770044291E-2</v>
      </c>
      <c r="N63" s="30">
        <f t="shared" ca="1" si="3"/>
        <v>6.0680487896643473E-2</v>
      </c>
      <c r="O63" s="30">
        <f t="shared" ca="1" si="4"/>
        <v>-2.2598870056497189E-2</v>
      </c>
      <c r="P63" s="30">
        <f t="shared" ca="1" si="5"/>
        <v>-4.9700891681402681E-2</v>
      </c>
      <c r="Q63" s="30">
        <f t="shared" ca="1" si="6"/>
        <v>-7.6611794287509971E-3</v>
      </c>
      <c r="R63" s="30">
        <f t="shared" ca="1" si="7"/>
        <v>0.1950227100681301</v>
      </c>
      <c r="S63" s="9" cm="1">
        <f t="array" aca="1" ref="S63" ca="1">_xll.BDH($E$6,"PX LAST",AG63)</f>
        <v>252.58</v>
      </c>
      <c r="T63" s="9" cm="1">
        <f t="array" aca="1" ref="T63" ca="1">_xll.BDH($E$6,"PX LAST",AH63)</f>
        <v>258.42</v>
      </c>
      <c r="U63" s="9" cm="1">
        <f t="array" aca="1" ref="U63" ca="1">_xll.BDH($E$6,"PX LAST",AI63)</f>
        <v>265.79000000000002</v>
      </c>
      <c r="V63" s="9" cm="1">
        <f t="array" aca="1" ref="V63" ca="1">_xll.BDH($E$6,"PX LAST",AJ63)</f>
        <v>254.53</v>
      </c>
      <c r="W63" s="9" cm="1">
        <f t="array" aca="1" ref="W63" ca="1">_xll.BDH($E$6,"PX LAST",AK63)</f>
        <v>211.36</v>
      </c>
      <c r="X63" s="24">
        <f t="shared" ca="1" si="8"/>
        <v>1.6106737095346269E-2</v>
      </c>
      <c r="Y63" s="24">
        <f t="shared" ca="1" si="9"/>
        <v>1.0127899820334907E-2</v>
      </c>
      <c r="Z63" s="24">
        <f t="shared" ca="1" si="10"/>
        <v>3.0524435058582045E-2</v>
      </c>
      <c r="AA63" s="24">
        <f t="shared" ca="1" si="11"/>
        <v>3.7317544410099712E-2</v>
      </c>
      <c r="AB63" s="9" cm="1">
        <f t="array" aca="1" ref="AB63" ca="1">_xll.BDH($E$8,"PX LAST",AG63)</f>
        <v>6909.79</v>
      </c>
      <c r="AC63" s="9" cm="1">
        <f t="array" aca="1" ref="AC63" ca="1">_xll.BDH($E$8,"PX LAST",AH63)</f>
        <v>6800.26</v>
      </c>
      <c r="AD63" s="9" cm="1">
        <f t="array" aca="1" ref="AD63" ca="1">_xll.BDH($E$8,"PX LAST",AI63)</f>
        <v>6840.51</v>
      </c>
      <c r="AE63" s="9" cm="1">
        <f t="array" aca="1" ref="AE63" ca="1">_xll.BDH($E$8,"PX LAST",AJ63)</f>
        <v>6705.12</v>
      </c>
      <c r="AF63" s="9" cm="1">
        <f t="array" aca="1" ref="AF63" ca="1">_xll.BDH($E$8,"PX LAST",AK63)</f>
        <v>6661.21</v>
      </c>
      <c r="AG63" s="20">
        <f t="shared" ca="1" si="17"/>
        <v>46014</v>
      </c>
      <c r="AH63" s="22">
        <f t="shared" ca="1" si="12"/>
        <v>46007</v>
      </c>
      <c r="AI63" s="22">
        <f t="shared" ca="1" si="13"/>
        <v>46000</v>
      </c>
      <c r="AJ63" s="22">
        <f t="shared" ca="1" si="14"/>
        <v>45985</v>
      </c>
      <c r="AK63" s="22">
        <f t="shared" ca="1" si="15"/>
        <v>45929</v>
      </c>
      <c r="AL63" s="22">
        <f t="shared" ca="1" si="16"/>
        <v>45842</v>
      </c>
      <c r="AN63" s="27">
        <v>46016</v>
      </c>
    </row>
    <row r="64" spans="4:40" x14ac:dyDescent="0.25">
      <c r="D64" s="6">
        <f ca="1"/>
        <v>46013</v>
      </c>
      <c r="E64" s="28">
        <f ca="1"/>
        <v>254.51</v>
      </c>
      <c r="F64" s="29" cm="1">
        <f t="array" aca="1" ref="F64" ca="1">_xll.FDS($E$7,"P_BETA_LOCIDX("&amp;$AG64&amp;","&amp;$AL64&amp;",,"""&amp;$E$9&amp;""")")</f>
        <v>1.6363297999999999</v>
      </c>
      <c r="G64" s="30">
        <f t="shared" ca="1" si="2"/>
        <v>-3.1607021546933685E-2</v>
      </c>
      <c r="H64" s="30">
        <f t="shared" ca="1" si="2"/>
        <v>-6.379014201041143E-2</v>
      </c>
      <c r="I64" s="30">
        <f t="shared" ca="1" si="2"/>
        <v>-5.6667258108125465E-2</v>
      </c>
      <c r="J64" s="30">
        <f t="shared" ca="1" si="2"/>
        <v>0.1326946679834588</v>
      </c>
      <c r="K64" s="30">
        <f t="shared" ca="1" si="3"/>
        <v>1.4878540632082887E-2</v>
      </c>
      <c r="L64" s="30">
        <f t="shared" ca="1" si="3"/>
        <v>7.6432849735118408E-3</v>
      </c>
      <c r="M64" s="30">
        <f t="shared" ca="1" si="3"/>
        <v>6.8273442773652562E-2</v>
      </c>
      <c r="N64" s="30">
        <f t="shared" ca="1" si="3"/>
        <v>5.7828299553261145E-2</v>
      </c>
      <c r="O64" s="30">
        <f t="shared" ca="1" si="4"/>
        <v>-1.6728480914850796E-2</v>
      </c>
      <c r="P64" s="30">
        <f t="shared" ca="1" si="5"/>
        <v>-5.6146857036899589E-2</v>
      </c>
      <c r="Q64" s="30">
        <f t="shared" ca="1" si="6"/>
        <v>1.1606184665527097E-2</v>
      </c>
      <c r="R64" s="30">
        <f t="shared" ca="1" si="7"/>
        <v>0.19052296753671993</v>
      </c>
      <c r="S64" s="9" cm="1">
        <f t="array" aca="1" ref="S64" ca="1">_xll.BDH($E$6,"PX LAST",AG64)</f>
        <v>254.51</v>
      </c>
      <c r="T64" s="9" cm="1">
        <f t="array" aca="1" ref="T64" ca="1">_xll.BDH($E$6,"PX LAST",AH64)</f>
        <v>258.83999999999997</v>
      </c>
      <c r="U64" s="9" cm="1">
        <f t="array" aca="1" ref="U64" ca="1">_xll.BDH($E$6,"PX LAST",AI64)</f>
        <v>269.64999999999998</v>
      </c>
      <c r="V64" s="9" cm="1">
        <f t="array" aca="1" ref="V64" ca="1">_xll.BDH($E$6,"PX LAST",AJ64)</f>
        <v>251.59</v>
      </c>
      <c r="W64" s="9" cm="1">
        <f t="array" aca="1" ref="W64" ca="1">_xll.BDH($E$6,"PX LAST",AK64)</f>
        <v>213.78</v>
      </c>
      <c r="X64" s="24">
        <f t="shared" ca="1" si="8"/>
        <v>9.0926295127564671E-3</v>
      </c>
      <c r="Y64" s="24">
        <f t="shared" ca="1" si="9"/>
        <v>4.6709929584560772E-3</v>
      </c>
      <c r="Z64" s="24">
        <f t="shared" ca="1" si="10"/>
        <v>4.1723522222508302E-2</v>
      </c>
      <c r="AA64" s="24">
        <f t="shared" ca="1" si="11"/>
        <v>3.5340247151436799E-2</v>
      </c>
      <c r="AB64" s="9" cm="1">
        <f t="array" aca="1" ref="AB64" ca="1">_xll.BDH($E$8,"PX LAST",AG64)</f>
        <v>6878.49</v>
      </c>
      <c r="AC64" s="9" cm="1">
        <f t="array" aca="1" ref="AC64" ca="1">_xll.BDH($E$8,"PX LAST",AH64)</f>
        <v>6816.51</v>
      </c>
      <c r="AD64" s="9" cm="1">
        <f t="array" aca="1" ref="AD64" ca="1">_xll.BDH($E$8,"PX LAST",AI64)</f>
        <v>6846.51</v>
      </c>
      <c r="AE64" s="9" cm="1">
        <f t="array" aca="1" ref="AE64" ca="1">_xll.BDH($E$8,"PX LAST",AJ64)</f>
        <v>6602.99</v>
      </c>
      <c r="AF64" s="9" cm="1">
        <f t="array" aca="1" ref="AF64" ca="1">_xll.BDH($E$8,"PX LAST",AK64)</f>
        <v>6643.7</v>
      </c>
      <c r="AG64" s="20">
        <f t="shared" ca="1" si="17"/>
        <v>46013</v>
      </c>
      <c r="AH64" s="22">
        <f t="shared" ca="1" si="12"/>
        <v>46006</v>
      </c>
      <c r="AI64" s="22">
        <f t="shared" ca="1" si="13"/>
        <v>45999</v>
      </c>
      <c r="AJ64" s="22">
        <f t="shared" ca="1" si="14"/>
        <v>45982</v>
      </c>
      <c r="AK64" s="22">
        <f t="shared" ca="1" si="15"/>
        <v>45926</v>
      </c>
      <c r="AL64" s="22">
        <f t="shared" ca="1" si="16"/>
        <v>45841</v>
      </c>
      <c r="AN64" s="27">
        <v>46023</v>
      </c>
    </row>
    <row r="65" spans="4:40" x14ac:dyDescent="0.25">
      <c r="D65" s="6">
        <f ca="1"/>
        <v>46010</v>
      </c>
      <c r="E65" s="28">
        <f ca="1"/>
        <v>251.41</v>
      </c>
      <c r="F65" s="29" cm="1">
        <f t="array" aca="1" ref="F65" ca="1">_xll.FDS($E$7,"P_BETA_LOCIDX("&amp;$AG65&amp;","&amp;$AL65&amp;",,"""&amp;$E$9&amp;""")")</f>
        <v>1.6447299</v>
      </c>
      <c r="G65" s="30">
        <f t="shared" ca="1" si="2"/>
        <v>-3.619471953502755E-2</v>
      </c>
      <c r="H65" s="30">
        <f t="shared" ca="1" si="2"/>
        <v>-7.1702813373100013E-2</v>
      </c>
      <c r="I65" s="30">
        <f t="shared" ca="1" si="2"/>
        <v>-5.6452417182762907E-2</v>
      </c>
      <c r="J65" s="30">
        <f t="shared" ca="1" si="2"/>
        <v>0.14852492852069904</v>
      </c>
      <c r="K65" s="30">
        <f t="shared" ca="1" si="3"/>
        <v>1.7079880937280079E-3</v>
      </c>
      <c r="L65" s="30">
        <f t="shared" ca="1" si="3"/>
        <v>-8.5942308177107234E-3</v>
      </c>
      <c r="M65" s="30">
        <f t="shared" ca="1" si="3"/>
        <v>7.4389092217178779E-2</v>
      </c>
      <c r="N65" s="30">
        <f t="shared" ca="1" si="3"/>
        <v>5.7220599271732994E-2</v>
      </c>
      <c r="O65" s="30">
        <f t="shared" ca="1" si="4"/>
        <v>-3.4486731441299545E-2</v>
      </c>
      <c r="P65" s="30">
        <f t="shared" ca="1" si="5"/>
        <v>-8.029704419081074E-2</v>
      </c>
      <c r="Q65" s="30">
        <f t="shared" ca="1" si="6"/>
        <v>1.7936675034415872E-2</v>
      </c>
      <c r="R65" s="30">
        <f t="shared" ca="1" si="7"/>
        <v>0.20574552779243205</v>
      </c>
      <c r="S65" s="9" cm="1">
        <f t="array" aca="1" ref="S65" ca="1">_xll.BDH($E$6,"PX LAST",AG65)</f>
        <v>251.41</v>
      </c>
      <c r="T65" s="9" cm="1">
        <f t="array" aca="1" ref="T65" ca="1">_xll.BDH($E$6,"PX LAST",AH65)</f>
        <v>260.39</v>
      </c>
      <c r="U65" s="9" cm="1">
        <f t="array" aca="1" ref="U65" ca="1">_xll.BDH($E$6,"PX LAST",AI65)</f>
        <v>273.36</v>
      </c>
      <c r="V65" s="9" cm="1">
        <f t="array" aca="1" ref="V65" ca="1">_xll.BDH($E$6,"PX LAST",AJ65)</f>
        <v>246.98</v>
      </c>
      <c r="W65" s="9" cm="1">
        <f t="array" aca="1" ref="W65" ca="1">_xll.BDH($E$6,"PX LAST",AK65)</f>
        <v>208.51</v>
      </c>
      <c r="X65" s="24">
        <f t="shared" ca="1" si="8"/>
        <v>1.0384611441234259E-3</v>
      </c>
      <c r="Y65" s="24">
        <f t="shared" ca="1" si="9"/>
        <v>-5.2253143921751066E-3</v>
      </c>
      <c r="Z65" s="24">
        <f t="shared" ca="1" si="10"/>
        <v>4.5228758969590555E-2</v>
      </c>
      <c r="AA65" s="24">
        <f t="shared" ca="1" si="11"/>
        <v>3.4790271199990341E-2</v>
      </c>
      <c r="AB65" s="9" cm="1">
        <f t="array" aca="1" ref="AB65" ca="1">_xll.BDH($E$8,"PX LAST",AG65)</f>
        <v>6834.5</v>
      </c>
      <c r="AC65" s="9" cm="1">
        <f t="array" aca="1" ref="AC65" ca="1">_xll.BDH($E$8,"PX LAST",AH65)</f>
        <v>6827.41</v>
      </c>
      <c r="AD65" s="9" cm="1">
        <f t="array" aca="1" ref="AD65" ca="1">_xll.BDH($E$8,"PX LAST",AI65)</f>
        <v>6870.4</v>
      </c>
      <c r="AE65" s="9" cm="1">
        <f t="array" aca="1" ref="AE65" ca="1">_xll.BDH($E$8,"PX LAST",AJ65)</f>
        <v>6538.76</v>
      </c>
      <c r="AF65" s="9" cm="1">
        <f t="array" aca="1" ref="AF65" ca="1">_xll.BDH($E$8,"PX LAST",AK65)</f>
        <v>6604.72</v>
      </c>
      <c r="AG65" s="20">
        <f t="shared" ca="1" si="17"/>
        <v>46010</v>
      </c>
      <c r="AH65" s="22">
        <f t="shared" ca="1" si="12"/>
        <v>46003</v>
      </c>
      <c r="AI65" s="22">
        <f t="shared" ca="1" si="13"/>
        <v>45996</v>
      </c>
      <c r="AJ65" s="22">
        <f t="shared" ca="1" si="14"/>
        <v>45981</v>
      </c>
      <c r="AK65" s="22">
        <f t="shared" ca="1" si="15"/>
        <v>45925</v>
      </c>
      <c r="AL65" s="22">
        <f t="shared" ca="1" si="16"/>
        <v>45840</v>
      </c>
      <c r="AN65" s="27">
        <v>46041</v>
      </c>
    </row>
    <row r="66" spans="4:40" x14ac:dyDescent="0.25">
      <c r="D66" s="6">
        <f ca="1"/>
        <v>46009</v>
      </c>
      <c r="E66" s="28">
        <f ca="1"/>
        <v>244.49</v>
      </c>
      <c r="F66" s="29" cm="1">
        <f t="array" aca="1" ref="F66" ca="1">_xll.FDS($E$7,"P_BETA_LOCIDX("&amp;$AG66&amp;","&amp;$AL66&amp;",,"""&amp;$E$9&amp;""")")</f>
        <v>1.6195409000000001</v>
      </c>
      <c r="G66" s="30">
        <f t="shared" ca="1" si="2"/>
        <v>-8.9074623415649479E-2</v>
      </c>
      <c r="H66" s="30">
        <f t="shared" ca="1" si="2"/>
        <v>-7.9368393251419575E-2</v>
      </c>
      <c r="I66" s="30">
        <f t="shared" ca="1" si="2"/>
        <v>-6.3517127027236997E-2</v>
      </c>
      <c r="J66" s="30">
        <f t="shared" ca="1" si="2"/>
        <v>0.14375626740868813</v>
      </c>
      <c r="K66" s="30">
        <f t="shared" ca="1" si="3"/>
        <v>-2.9626263326474386E-2</v>
      </c>
      <c r="L66" s="30">
        <f t="shared" ca="1" si="3"/>
        <v>-1.9452100666752136E-2</v>
      </c>
      <c r="M66" s="30">
        <f t="shared" ca="1" si="3"/>
        <v>3.233151916545219E-2</v>
      </c>
      <c r="N66" s="30">
        <f t="shared" ca="1" si="3"/>
        <v>3.3374209240325012E-2</v>
      </c>
      <c r="O66" s="30">
        <f t="shared" ca="1" si="4"/>
        <v>-0.11870088674212387</v>
      </c>
      <c r="P66" s="30">
        <f t="shared" ca="1" si="5"/>
        <v>-9.8820493918171715E-2</v>
      </c>
      <c r="Q66" s="30">
        <f t="shared" ca="1" si="6"/>
        <v>-3.1185607861784814E-2</v>
      </c>
      <c r="R66" s="30">
        <f t="shared" ca="1" si="7"/>
        <v>0.17713047664901316</v>
      </c>
      <c r="S66" s="9" cm="1">
        <f t="array" aca="1" ref="S66" ca="1">_xll.BDH($E$6,"PX LAST",AG66)</f>
        <v>244.49</v>
      </c>
      <c r="T66" s="9" cm="1">
        <f t="array" aca="1" ref="T66" ca="1">_xll.BDH($E$6,"PX LAST",AH66)</f>
        <v>277.42</v>
      </c>
      <c r="U66" s="9" cm="1">
        <f t="array" aca="1" ref="U66" ca="1">_xll.BDH($E$6,"PX LAST",AI66)</f>
        <v>271.3</v>
      </c>
      <c r="V66" s="9" cm="1">
        <f t="array" aca="1" ref="V66" ca="1">_xll.BDH($E$6,"PX LAST",AJ66)</f>
        <v>252.36</v>
      </c>
      <c r="W66" s="9" cm="1">
        <f t="array" aca="1" ref="W66" ca="1">_xll.BDH($E$6,"PX LAST",AK66)</f>
        <v>207.7</v>
      </c>
      <c r="X66" s="24">
        <f t="shared" ca="1" si="8"/>
        <v>-1.8293001014345722E-2</v>
      </c>
      <c r="Y66" s="24">
        <f t="shared" ca="1" si="9"/>
        <v>-1.2010873369577846E-2</v>
      </c>
      <c r="Z66" s="24">
        <f t="shared" ca="1" si="10"/>
        <v>1.9963385404747847E-2</v>
      </c>
      <c r="AA66" s="24">
        <f t="shared" ca="1" si="11"/>
        <v>2.0607203708362665E-2</v>
      </c>
      <c r="AB66" s="9" cm="1">
        <f t="array" aca="1" ref="AB66" ca="1">_xll.BDH($E$8,"PX LAST",AG66)</f>
        <v>6774.76</v>
      </c>
      <c r="AC66" s="9" cm="1">
        <f t="array" aca="1" ref="AC66" ca="1">_xll.BDH($E$8,"PX LAST",AH66)</f>
        <v>6901</v>
      </c>
      <c r="AD66" s="9" cm="1">
        <f t="array" aca="1" ref="AD66" ca="1">_xll.BDH($E$8,"PX LAST",AI66)</f>
        <v>6857.12</v>
      </c>
      <c r="AE66" s="9" cm="1">
        <f t="array" aca="1" ref="AE66" ca="1">_xll.BDH($E$8,"PX LAST",AJ66)</f>
        <v>6642.16</v>
      </c>
      <c r="AF66" s="9" cm="1">
        <f t="array" aca="1" ref="AF66" ca="1">_xll.BDH($E$8,"PX LAST",AK66)</f>
        <v>6637.97</v>
      </c>
      <c r="AG66" s="20">
        <f t="shared" ca="1" si="17"/>
        <v>46009</v>
      </c>
      <c r="AH66" s="22">
        <f t="shared" ca="1" si="12"/>
        <v>46002</v>
      </c>
      <c r="AI66" s="22">
        <f t="shared" ca="1" si="13"/>
        <v>45995</v>
      </c>
      <c r="AJ66" s="22">
        <f t="shared" ca="1" si="14"/>
        <v>45980</v>
      </c>
      <c r="AK66" s="22">
        <f t="shared" ca="1" si="15"/>
        <v>45924</v>
      </c>
      <c r="AL66" s="22">
        <f t="shared" ca="1" si="16"/>
        <v>45839</v>
      </c>
      <c r="AN66" s="27">
        <v>46069</v>
      </c>
    </row>
    <row r="67" spans="4:40" x14ac:dyDescent="0.25">
      <c r="D67" s="6">
        <f ca="1"/>
        <v>46008</v>
      </c>
      <c r="E67" s="28">
        <f ca="1"/>
        <v>250.39</v>
      </c>
      <c r="F67" s="29" cm="1">
        <f t="array" aca="1" ref="F67" ca="1">_xll.FDS($E$7,"P_BETA_LOCIDX("&amp;$AG67&amp;","&amp;$AL67&amp;",,"""&amp;$E$9&amp;""")")</f>
        <v>1.6589537000000001</v>
      </c>
      <c r="G67" s="30">
        <f t="shared" ca="1" si="2"/>
        <v>-5.6192126249300645E-2</v>
      </c>
      <c r="H67" s="30">
        <f t="shared" ca="1" si="2"/>
        <v>-4.3512357202687257E-2</v>
      </c>
      <c r="I67" s="30">
        <f t="shared" ca="1" si="2"/>
        <v>-2.0598678326318492E-2</v>
      </c>
      <c r="J67" s="30">
        <f t="shared" ca="1" si="2"/>
        <v>0.17540590543606871</v>
      </c>
      <c r="K67" s="30">
        <f t="shared" ca="1" si="3"/>
        <v>-3.9807584921181138E-2</v>
      </c>
      <c r="L67" s="30">
        <f t="shared" ca="1" si="3"/>
        <v>-3.1070929931880487E-2</v>
      </c>
      <c r="M67" s="30">
        <f t="shared" ca="1" si="3"/>
        <v>2.6100244465584382E-2</v>
      </c>
      <c r="N67" s="30">
        <f t="shared" ca="1" si="3"/>
        <v>1.6076369129717556E-2</v>
      </c>
      <c r="O67" s="30">
        <f t="shared" ca="1" si="4"/>
        <v>-9.5999711170481783E-2</v>
      </c>
      <c r="P67" s="30">
        <f t="shared" ca="1" si="5"/>
        <v>-7.4583287134567744E-2</v>
      </c>
      <c r="Q67" s="30">
        <f t="shared" ca="1" si="6"/>
        <v>5.5015661392658899E-3</v>
      </c>
      <c r="R67" s="30">
        <f t="shared" ca="1" si="7"/>
        <v>0.19148227456578626</v>
      </c>
      <c r="S67" s="9" cm="1">
        <f t="array" aca="1" ref="S67" ca="1">_xll.BDH($E$6,"PX LAST",AG67)</f>
        <v>250.39</v>
      </c>
      <c r="T67" s="9" cm="1">
        <f t="array" aca="1" ref="T67" ca="1">_xll.BDH($E$6,"PX LAST",AH67)</f>
        <v>276.98</v>
      </c>
      <c r="U67" s="9" cm="1">
        <f t="array" aca="1" ref="U67" ca="1">_xll.BDH($E$6,"PX LAST",AI67)</f>
        <v>270.57</v>
      </c>
      <c r="V67" s="9" cm="1">
        <f t="array" aca="1" ref="V67" ca="1">_xll.BDH($E$6,"PX LAST",AJ67)</f>
        <v>249.02</v>
      </c>
      <c r="W67" s="9" cm="1">
        <f t="array" aca="1" ref="W67" ca="1">_xll.BDH($E$6,"PX LAST",AK67)</f>
        <v>210.15</v>
      </c>
      <c r="X67" s="24">
        <f t="shared" ca="1" si="8"/>
        <v>-2.3995597297972293E-2</v>
      </c>
      <c r="Y67" s="24">
        <f t="shared" ca="1" si="9"/>
        <v>-1.8729232727761169E-2</v>
      </c>
      <c r="Z67" s="24">
        <f t="shared" ca="1" si="10"/>
        <v>1.5732955335392651E-2</v>
      </c>
      <c r="AA67" s="24">
        <f t="shared" ca="1" si="11"/>
        <v>9.6906677562595966E-3</v>
      </c>
      <c r="AB67" s="9" cm="1">
        <f t="array" aca="1" ref="AB67" ca="1">_xll.BDH($E$8,"PX LAST",AG67)</f>
        <v>6721.43</v>
      </c>
      <c r="AC67" s="9" cm="1">
        <f t="array" aca="1" ref="AC67" ca="1">_xll.BDH($E$8,"PX LAST",AH67)</f>
        <v>6886.68</v>
      </c>
      <c r="AD67" s="9" cm="1">
        <f t="array" aca="1" ref="AD67" ca="1">_xll.BDH($E$8,"PX LAST",AI67)</f>
        <v>6849.72</v>
      </c>
      <c r="AE67" s="9" cm="1">
        <f t="array" aca="1" ref="AE67" ca="1">_xll.BDH($E$8,"PX LAST",AJ67)</f>
        <v>6617.32</v>
      </c>
      <c r="AF67" s="9" cm="1">
        <f t="array" aca="1" ref="AF67" ca="1">_xll.BDH($E$8,"PX LAST",AK67)</f>
        <v>6656.92</v>
      </c>
      <c r="AG67" s="20">
        <f t="shared" ca="1" si="17"/>
        <v>46008</v>
      </c>
      <c r="AH67" s="22">
        <f t="shared" ca="1" si="12"/>
        <v>46001</v>
      </c>
      <c r="AI67" s="22">
        <f t="shared" ca="1" si="13"/>
        <v>45994</v>
      </c>
      <c r="AJ67" s="22">
        <f t="shared" ca="1" si="14"/>
        <v>45979</v>
      </c>
      <c r="AK67" s="22">
        <f t="shared" ca="1" si="15"/>
        <v>45923</v>
      </c>
      <c r="AL67" s="22">
        <f t="shared" ca="1" si="16"/>
        <v>45838</v>
      </c>
      <c r="AN67" s="27">
        <v>46115</v>
      </c>
    </row>
    <row r="68" spans="4:40" x14ac:dyDescent="0.25">
      <c r="D68" s="6">
        <f ca="1"/>
        <v>46007</v>
      </c>
      <c r="E68" s="28">
        <f ca="1"/>
        <v>258.42</v>
      </c>
      <c r="F68" s="29" cm="1">
        <f t="array" aca="1" ref="F68" ca="1">_xll.FDS($E$7,"P_BETA_LOCIDX("&amp;$AG68&amp;","&amp;$AL68&amp;",,"""&amp;$E$9&amp;""")")</f>
        <v>1.6179888</v>
      </c>
      <c r="G68" s="30">
        <f t="shared" ca="1" si="2"/>
        <v>-1.8208307989148138E-2</v>
      </c>
      <c r="H68" s="30">
        <f t="shared" ca="1" si="2"/>
        <v>-2.2803363910505411E-2</v>
      </c>
      <c r="I68" s="30">
        <f t="shared" ca="1" si="2"/>
        <v>1.1686559749313076E-2</v>
      </c>
      <c r="J68" s="30">
        <f t="shared" ca="1" si="2"/>
        <v>0.1981240790814916</v>
      </c>
      <c r="K68" s="30">
        <f t="shared" ca="1" si="3"/>
        <v>-9.5203499739054311E-3</v>
      </c>
      <c r="L68" s="30">
        <f t="shared" ca="1" si="3"/>
        <v>-6.8966323347541296E-3</v>
      </c>
      <c r="M68" s="30">
        <f t="shared" ca="1" si="3"/>
        <v>3.1002271754883147E-2</v>
      </c>
      <c r="N68" s="30">
        <f t="shared" ca="1" si="3"/>
        <v>2.574520815507015E-2</v>
      </c>
      <c r="O68" s="30">
        <f t="shared" ca="1" si="4"/>
        <v>-2.7728657963053571E-2</v>
      </c>
      <c r="P68" s="30">
        <f t="shared" ca="1" si="5"/>
        <v>-2.9699996245259541E-2</v>
      </c>
      <c r="Q68" s="30">
        <f t="shared" ca="1" si="6"/>
        <v>4.2688831504196223E-2</v>
      </c>
      <c r="R68" s="30">
        <f t="shared" ca="1" si="7"/>
        <v>0.22386928723656174</v>
      </c>
      <c r="S68" s="9" cm="1">
        <f t="array" aca="1" ref="S68" ca="1">_xll.BDH($E$6,"PX LAST",AG68)</f>
        <v>258.42</v>
      </c>
      <c r="T68" s="9" cm="1">
        <f t="array" aca="1" ref="T68" ca="1">_xll.BDH($E$6,"PX LAST",AH68)</f>
        <v>265.79000000000002</v>
      </c>
      <c r="U68" s="9" cm="1">
        <f t="array" aca="1" ref="U68" ca="1">_xll.BDH($E$6,"PX LAST",AI68)</f>
        <v>266.33</v>
      </c>
      <c r="V68" s="9" cm="1">
        <f t="array" aca="1" ref="V68" ca="1">_xll.BDH($E$6,"PX LAST",AJ68)</f>
        <v>247.84</v>
      </c>
      <c r="W68" s="9" cm="1">
        <f t="array" aca="1" ref="W68" ca="1">_xll.BDH($E$6,"PX LAST",AK68)</f>
        <v>211.15</v>
      </c>
      <c r="X68" s="24">
        <f t="shared" ca="1" si="8"/>
        <v>-5.8840641998915144E-3</v>
      </c>
      <c r="Y68" s="24">
        <f t="shared" ca="1" si="9"/>
        <v>-4.2624722338956422E-3</v>
      </c>
      <c r="Z68" s="24">
        <f t="shared" ca="1" si="10"/>
        <v>1.916099280469874E-2</v>
      </c>
      <c r="AA68" s="24">
        <f t="shared" ca="1" si="11"/>
        <v>1.5911858076564034E-2</v>
      </c>
      <c r="AB68" s="9" cm="1">
        <f t="array" aca="1" ref="AB68" ca="1">_xll.BDH($E$8,"PX LAST",AG68)</f>
        <v>6800.26</v>
      </c>
      <c r="AC68" s="9" cm="1">
        <f t="array" aca="1" ref="AC68" ca="1">_xll.BDH($E$8,"PX LAST",AH68)</f>
        <v>6840.51</v>
      </c>
      <c r="AD68" s="9" cm="1">
        <f t="array" aca="1" ref="AD68" ca="1">_xll.BDH($E$8,"PX LAST",AI68)</f>
        <v>6829.37</v>
      </c>
      <c r="AE68" s="9" cm="1">
        <f t="array" aca="1" ref="AE68" ca="1">_xll.BDH($E$8,"PX LAST",AJ68)</f>
        <v>6672.41</v>
      </c>
      <c r="AF68" s="9" cm="1">
        <f t="array" aca="1" ref="AF68" ca="1">_xll.BDH($E$8,"PX LAST",AK68)</f>
        <v>6693.75</v>
      </c>
      <c r="AG68" s="20">
        <f t="shared" ca="1" si="17"/>
        <v>46007</v>
      </c>
      <c r="AH68" s="22">
        <f t="shared" ca="1" si="12"/>
        <v>46000</v>
      </c>
      <c r="AI68" s="22">
        <f t="shared" ca="1" si="13"/>
        <v>45993</v>
      </c>
      <c r="AJ68" s="22">
        <f t="shared" ca="1" si="14"/>
        <v>45978</v>
      </c>
      <c r="AK68" s="22">
        <f t="shared" ca="1" si="15"/>
        <v>45922</v>
      </c>
      <c r="AL68" s="22">
        <f t="shared" ca="1" si="16"/>
        <v>45835</v>
      </c>
      <c r="AN68" s="27">
        <v>46147</v>
      </c>
    </row>
    <row r="69" spans="4:40" x14ac:dyDescent="0.25">
      <c r="D69" s="6">
        <f ca="1"/>
        <v>46006</v>
      </c>
      <c r="E69" s="28">
        <f ca="1"/>
        <v>258.83999999999997</v>
      </c>
      <c r="F69" s="29" cm="1">
        <f t="array" aca="1" ref="F69" ca="1">_xll.FDS($E$7,"P_BETA_LOCIDX("&amp;$AG69&amp;","&amp;$AL69&amp;",,"""&amp;$E$9&amp;""")")</f>
        <v>1.6276169</v>
      </c>
      <c r="G69" s="30">
        <f t="shared" ca="1" si="2"/>
        <v>-3.2957121451500329E-2</v>
      </c>
      <c r="H69" s="30">
        <f t="shared" ca="1" si="2"/>
        <v>-2.8136839026365032E-2</v>
      </c>
      <c r="I69" s="30">
        <f t="shared" ca="1" si="2"/>
        <v>-1.1775651809191118E-2</v>
      </c>
      <c r="J69" s="30">
        <f t="shared" ca="1" si="2"/>
        <v>0.2026741656195393</v>
      </c>
      <c r="K69" s="30">
        <f t="shared" ca="1" si="3"/>
        <v>-7.1318828132873463E-3</v>
      </c>
      <c r="L69" s="30">
        <f t="shared" ca="1" si="3"/>
        <v>9.2697733063433344E-4</v>
      </c>
      <c r="M69" s="30">
        <f t="shared" ca="1" si="3"/>
        <v>1.9915866025354629E-2</v>
      </c>
      <c r="N69" s="30">
        <f t="shared" ca="1" si="3"/>
        <v>3.7159143763992562E-2</v>
      </c>
      <c r="O69" s="30">
        <f t="shared" ca="1" si="4"/>
        <v>-4.0089004264787675E-2</v>
      </c>
      <c r="P69" s="30">
        <f t="shared" ca="1" si="5"/>
        <v>-2.7209861695730697E-2</v>
      </c>
      <c r="Q69" s="30">
        <f t="shared" ca="1" si="6"/>
        <v>8.1402142161635105E-3</v>
      </c>
      <c r="R69" s="30">
        <f t="shared" ca="1" si="7"/>
        <v>0.23983330938353187</v>
      </c>
      <c r="S69" s="9" cm="1">
        <f t="array" aca="1" ref="S69" ca="1">_xll.BDH($E$6,"PX LAST",AG69)</f>
        <v>258.83999999999997</v>
      </c>
      <c r="T69" s="9" cm="1">
        <f t="array" aca="1" ref="T69" ca="1">_xll.BDH($E$6,"PX LAST",AH69)</f>
        <v>269.64999999999998</v>
      </c>
      <c r="U69" s="9" cm="1">
        <f t="array" aca="1" ref="U69" ca="1">_xll.BDH($E$6,"PX LAST",AI69)</f>
        <v>266.08</v>
      </c>
      <c r="V69" s="9" cm="1">
        <f t="array" aca="1" ref="V69" ca="1">_xll.BDH($E$6,"PX LAST",AJ69)</f>
        <v>256.75</v>
      </c>
      <c r="W69" s="9" cm="1">
        <f t="array" aca="1" ref="W69" ca="1">_xll.BDH($E$6,"PX LAST",AK69)</f>
        <v>208.77</v>
      </c>
      <c r="X69" s="24">
        <f t="shared" ca="1" si="8"/>
        <v>-4.3817945201277686E-3</v>
      </c>
      <c r="Y69" s="24">
        <f t="shared" ca="1" si="9"/>
        <v>5.695304163002568E-4</v>
      </c>
      <c r="Z69" s="24">
        <f t="shared" ca="1" si="10"/>
        <v>1.2236212357683574E-2</v>
      </c>
      <c r="AA69" s="24">
        <f t="shared" ca="1" si="11"/>
        <v>2.2830399318164218E-2</v>
      </c>
      <c r="AB69" s="9" cm="1">
        <f t="array" aca="1" ref="AB69" ca="1">_xll.BDH($E$8,"PX LAST",AG69)</f>
        <v>6816.51</v>
      </c>
      <c r="AC69" s="9" cm="1">
        <f t="array" aca="1" ref="AC69" ca="1">_xll.BDH($E$8,"PX LAST",AH69)</f>
        <v>6846.51</v>
      </c>
      <c r="AD69" s="9" cm="1">
        <f t="array" aca="1" ref="AD69" ca="1">_xll.BDH($E$8,"PX LAST",AI69)</f>
        <v>6812.63</v>
      </c>
      <c r="AE69" s="9" cm="1">
        <f t="array" aca="1" ref="AE69" ca="1">_xll.BDH($E$8,"PX LAST",AJ69)</f>
        <v>6734.11</v>
      </c>
      <c r="AF69" s="9" cm="1">
        <f t="array" aca="1" ref="AF69" ca="1">_xll.BDH($E$8,"PX LAST",AK69)</f>
        <v>6664.36</v>
      </c>
      <c r="AG69" s="20">
        <f t="shared" ca="1" si="17"/>
        <v>46006</v>
      </c>
      <c r="AH69" s="22">
        <f t="shared" ca="1" si="12"/>
        <v>45999</v>
      </c>
      <c r="AI69" s="22">
        <f t="shared" ca="1" si="13"/>
        <v>45992</v>
      </c>
      <c r="AJ69" s="22">
        <f t="shared" ca="1" si="14"/>
        <v>45975</v>
      </c>
      <c r="AK69" s="22">
        <f t="shared" ca="1" si="15"/>
        <v>45919</v>
      </c>
      <c r="AL69" s="22">
        <f t="shared" ca="1" si="16"/>
        <v>45834</v>
      </c>
      <c r="AN69" s="27">
        <v>46192</v>
      </c>
    </row>
    <row r="70" spans="4:40" x14ac:dyDescent="0.25">
      <c r="D70" s="6">
        <f ca="1"/>
        <v>46003</v>
      </c>
      <c r="E70" s="28">
        <f ca="1"/>
        <v>260.39</v>
      </c>
      <c r="F70" s="29" cm="1">
        <f t="array" aca="1" ref="F70" ca="1">_xll.FDS($E$7,"P_BETA_LOCIDX("&amp;$AG70&amp;","&amp;$AL70&amp;",,"""&amp;$E$9&amp;""")")</f>
        <v>1.6283209000000001</v>
      </c>
      <c r="G70" s="30">
        <f t="shared" ca="1" si="2"/>
        <v>-3.7257734688808115E-2</v>
      </c>
      <c r="H70" s="30">
        <f t="shared" ca="1" si="2"/>
        <v>-2.1097562095900285E-2</v>
      </c>
      <c r="I70" s="30">
        <f t="shared" ca="1" si="2"/>
        <v>-1.2507474548167086E-2</v>
      </c>
      <c r="J70" s="30">
        <f t="shared" ca="1" si="2"/>
        <v>0.16357897057279636</v>
      </c>
      <c r="K70" s="30">
        <f t="shared" ca="1" si="3"/>
        <v>-1.018885588772111E-2</v>
      </c>
      <c r="L70" s="30">
        <f t="shared" ca="1" si="3"/>
        <v>-5.154260947366724E-3</v>
      </c>
      <c r="M70" s="30">
        <f t="shared" ca="1" si="3"/>
        <v>2.1731923212947424E-2</v>
      </c>
      <c r="N70" s="30">
        <f t="shared" ca="1" si="3"/>
        <v>4.7988124160127446E-2</v>
      </c>
      <c r="O70" s="30">
        <f t="shared" ca="1" si="4"/>
        <v>-4.7446590576529224E-2</v>
      </c>
      <c r="P70" s="30">
        <f t="shared" ca="1" si="5"/>
        <v>-2.6251823043267009E-2</v>
      </c>
      <c r="Q70" s="30">
        <f t="shared" ca="1" si="6"/>
        <v>9.2244486647803381E-3</v>
      </c>
      <c r="R70" s="30">
        <f t="shared" ca="1" si="7"/>
        <v>0.21156709473292379</v>
      </c>
      <c r="S70" s="9" cm="1">
        <f t="array" aca="1" ref="S70" ca="1">_xll.BDH($E$6,"PX LAST",AG70)</f>
        <v>260.39</v>
      </c>
      <c r="T70" s="9" cm="1">
        <f t="array" aca="1" ref="T70" ca="1">_xll.BDH($E$6,"PX LAST",AH70)</f>
        <v>273.36</v>
      </c>
      <c r="U70" s="9" cm="1">
        <f t="array" aca="1" ref="U70" ca="1">_xll.BDH($E$6,"PX LAST",AI70)</f>
        <v>267.41000000000003</v>
      </c>
      <c r="V70" s="9" cm="1">
        <f t="array" aca="1" ref="V70" ca="1">_xll.BDH($E$6,"PX LAST",AJ70)</f>
        <v>258.01</v>
      </c>
      <c r="W70" s="9" cm="1">
        <f t="array" aca="1" ref="W70" ca="1">_xll.BDH($E$6,"PX LAST",AK70)</f>
        <v>214.92</v>
      </c>
      <c r="X70" s="24">
        <f t="shared" ca="1" si="8"/>
        <v>-6.2572775966464045E-3</v>
      </c>
      <c r="Y70" s="24">
        <f t="shared" ca="1" si="9"/>
        <v>-3.1653840145187129E-3</v>
      </c>
      <c r="Z70" s="24">
        <f t="shared" ca="1" si="10"/>
        <v>1.334621646933809E-2</v>
      </c>
      <c r="AA70" s="24">
        <f t="shared" ca="1" si="11"/>
        <v>2.9470925638875878E-2</v>
      </c>
      <c r="AB70" s="9" cm="1">
        <f t="array" aca="1" ref="AB70" ca="1">_xll.BDH($E$8,"PX LAST",AG70)</f>
        <v>6827.41</v>
      </c>
      <c r="AC70" s="9" cm="1">
        <f t="array" aca="1" ref="AC70" ca="1">_xll.BDH($E$8,"PX LAST",AH70)</f>
        <v>6870.4</v>
      </c>
      <c r="AD70" s="9" cm="1">
        <f t="array" aca="1" ref="AD70" ca="1">_xll.BDH($E$8,"PX LAST",AI70)</f>
        <v>6849.09</v>
      </c>
      <c r="AE70" s="9" cm="1">
        <f t="array" aca="1" ref="AE70" ca="1">_xll.BDH($E$8,"PX LAST",AJ70)</f>
        <v>6737.49</v>
      </c>
      <c r="AF70" s="9" cm="1">
        <f t="array" aca="1" ref="AF70" ca="1">_xll.BDH($E$8,"PX LAST",AK70)</f>
        <v>6631.96</v>
      </c>
      <c r="AG70" s="20">
        <f t="shared" ca="1" si="17"/>
        <v>46003</v>
      </c>
      <c r="AH70" s="22">
        <f t="shared" ca="1" si="12"/>
        <v>45996</v>
      </c>
      <c r="AI70" s="22">
        <f t="shared" ca="1" si="13"/>
        <v>45989</v>
      </c>
      <c r="AJ70" s="22">
        <f t="shared" ca="1" si="14"/>
        <v>45974</v>
      </c>
      <c r="AK70" s="22">
        <f t="shared" ca="1" si="15"/>
        <v>45918</v>
      </c>
      <c r="AL70" s="22">
        <f t="shared" ca="1" si="16"/>
        <v>45833</v>
      </c>
      <c r="AN70" s="27">
        <v>46206</v>
      </c>
    </row>
    <row r="71" spans="4:40" x14ac:dyDescent="0.25">
      <c r="D71" s="6">
        <f ca="1"/>
        <v>46002</v>
      </c>
      <c r="E71" s="28">
        <f ca="1"/>
        <v>277.42</v>
      </c>
      <c r="F71" s="29" cm="1">
        <f t="array" aca="1" ref="F71" ca="1">_xll.FDS($E$7,"P_BETA_LOCIDX("&amp;$AG71&amp;","&amp;$AL71&amp;",,"""&amp;$E$9&amp;""")")</f>
        <v>1.5349922</v>
      </c>
      <c r="G71" s="30">
        <f t="shared" ca="1" si="2"/>
        <v>1.2735350152786122E-2</v>
      </c>
      <c r="H71" s="30">
        <f t="shared" ca="1" si="2"/>
        <v>2.8614035923793125E-2</v>
      </c>
      <c r="I71" s="30">
        <f t="shared" ca="1" si="2"/>
        <v>2.7222079859920832E-2</v>
      </c>
      <c r="J71" s="30">
        <f t="shared" ca="1" si="2"/>
        <v>0.22468093631987318</v>
      </c>
      <c r="K71" s="30">
        <f t="shared" ca="1" si="3"/>
        <v>9.822703662178885E-3</v>
      </c>
      <c r="L71" s="30">
        <f t="shared" ca="1" si="3"/>
        <v>1.9915709332840214E-2</v>
      </c>
      <c r="M71" s="30">
        <f t="shared" ca="1" si="3"/>
        <v>1.1220742524507587E-2</v>
      </c>
      <c r="N71" s="30">
        <f t="shared" ca="1" si="3"/>
        <v>6.9919838331300666E-2</v>
      </c>
      <c r="O71" s="30">
        <f t="shared" ca="1" si="4"/>
        <v>2.2558053814965007E-2</v>
      </c>
      <c r="P71" s="30">
        <f t="shared" ca="1" si="5"/>
        <v>4.8529745256633339E-2</v>
      </c>
      <c r="Q71" s="30">
        <f t="shared" ca="1" si="6"/>
        <v>3.8442822384428421E-2</v>
      </c>
      <c r="R71" s="30">
        <f t="shared" ca="1" si="7"/>
        <v>0.29460077465117385</v>
      </c>
      <c r="S71" s="9" cm="1">
        <f t="array" aca="1" ref="S71" ca="1">_xll.BDH($E$6,"PX LAST",AG71)</f>
        <v>277.42</v>
      </c>
      <c r="T71" s="9" cm="1">
        <f t="array" aca="1" ref="T71" ca="1">_xll.BDH($E$6,"PX LAST",AH71)</f>
        <v>271.3</v>
      </c>
      <c r="U71" s="9" cm="1">
        <f t="array" aca="1" ref="U71" ca="1">_xll.BDH($E$6,"PX LAST",AI71)</f>
        <v>264.58</v>
      </c>
      <c r="V71" s="9" cm="1">
        <f t="array" aca="1" ref="V71" ca="1">_xll.BDH($E$6,"PX LAST",AJ71)</f>
        <v>267.14999999999998</v>
      </c>
      <c r="W71" s="9" cm="1">
        <f t="array" aca="1" ref="W71" ca="1">_xll.BDH($E$6,"PX LAST",AK71)</f>
        <v>214.29</v>
      </c>
      <c r="X71" s="24">
        <f t="shared" ca="1" si="8"/>
        <v>6.3991879972933319E-3</v>
      </c>
      <c r="Y71" s="24">
        <f t="shared" ca="1" si="9"/>
        <v>1.2974469403062905E-2</v>
      </c>
      <c r="Z71" s="24">
        <f t="shared" ca="1" si="10"/>
        <v>7.3099671285024037E-3</v>
      </c>
      <c r="AA71" s="24">
        <f t="shared" ca="1" si="11"/>
        <v>4.5550614740127449E-2</v>
      </c>
      <c r="AB71" s="9" cm="1">
        <f t="array" aca="1" ref="AB71" ca="1">_xll.BDH($E$8,"PX LAST",AG71)</f>
        <v>6901</v>
      </c>
      <c r="AC71" s="9" cm="1">
        <f t="array" aca="1" ref="AC71" ca="1">_xll.BDH($E$8,"PX LAST",AH71)</f>
        <v>6857.12</v>
      </c>
      <c r="AD71" s="9" cm="1">
        <f t="array" aca="1" ref="AD71" ca="1">_xll.BDH($E$8,"PX LAST",AI71)</f>
        <v>6812.61</v>
      </c>
      <c r="AE71" s="9" cm="1">
        <f t="array" aca="1" ref="AE71" ca="1">_xll.BDH($E$8,"PX LAST",AJ71)</f>
        <v>6850.92</v>
      </c>
      <c r="AF71" s="9" cm="1">
        <f t="array" aca="1" ref="AF71" ca="1">_xll.BDH($E$8,"PX LAST",AK71)</f>
        <v>6600.35</v>
      </c>
      <c r="AG71" s="20">
        <f t="shared" ca="1" si="17"/>
        <v>46002</v>
      </c>
      <c r="AH71" s="22">
        <f t="shared" ca="1" si="12"/>
        <v>45995</v>
      </c>
      <c r="AI71" s="22">
        <f t="shared" ca="1" si="13"/>
        <v>45987</v>
      </c>
      <c r="AJ71" s="22">
        <f t="shared" ca="1" si="14"/>
        <v>45973</v>
      </c>
      <c r="AK71" s="22">
        <f t="shared" ca="1" si="15"/>
        <v>45917</v>
      </c>
      <c r="AL71" s="22">
        <f t="shared" ca="1" si="16"/>
        <v>45832</v>
      </c>
      <c r="AN71" s="27">
        <v>46272</v>
      </c>
    </row>
    <row r="72" spans="4:40" x14ac:dyDescent="0.25">
      <c r="D72" s="6">
        <f ca="1"/>
        <v>46001</v>
      </c>
      <c r="E72" s="28">
        <f ca="1"/>
        <v>276.98</v>
      </c>
      <c r="F72" s="29" cm="1">
        <f t="array" aca="1" ref="F72" ca="1">_xll.FDS($E$7,"P_BETA_LOCIDX("&amp;$AG72&amp;","&amp;$AL72&amp;",,"""&amp;$E$9&amp;""")")</f>
        <v>1.5345739</v>
      </c>
      <c r="G72" s="30">
        <f t="shared" ca="1" si="2"/>
        <v>1.541041021987816E-2</v>
      </c>
      <c r="H72" s="30">
        <f t="shared" ca="1" si="2"/>
        <v>3.7376573504354096E-2</v>
      </c>
      <c r="I72" s="30">
        <f t="shared" ca="1" si="2"/>
        <v>6.4584749539414898E-2</v>
      </c>
      <c r="J72" s="30">
        <f t="shared" ca="1" si="2"/>
        <v>0.21729687469166817</v>
      </c>
      <c r="K72" s="30">
        <f t="shared" ca="1" si="3"/>
        <v>8.2803167638970075E-3</v>
      </c>
      <c r="L72" s="30">
        <f t="shared" ca="1" si="3"/>
        <v>2.7398731151010641E-2</v>
      </c>
      <c r="M72" s="30">
        <f t="shared" ca="1" si="3"/>
        <v>8.9811419334533925E-3</v>
      </c>
      <c r="N72" s="30">
        <f t="shared" ca="1" si="3"/>
        <v>6.5017940123146739E-2</v>
      </c>
      <c r="O72" s="30">
        <f t="shared" ca="1" si="4"/>
        <v>2.3690726983775168E-2</v>
      </c>
      <c r="P72" s="30">
        <f t="shared" ca="1" si="5"/>
        <v>6.477530465536474E-2</v>
      </c>
      <c r="Q72" s="30">
        <f t="shared" ca="1" si="6"/>
        <v>7.3565891472868294E-2</v>
      </c>
      <c r="R72" s="30">
        <f t="shared" ca="1" si="7"/>
        <v>0.28231481481481491</v>
      </c>
      <c r="S72" s="9" cm="1">
        <f t="array" aca="1" ref="S72" ca="1">_xll.BDH($E$6,"PX LAST",AG72)</f>
        <v>276.98</v>
      </c>
      <c r="T72" s="9" cm="1">
        <f t="array" aca="1" ref="T72" ca="1">_xll.BDH($E$6,"PX LAST",AH72)</f>
        <v>270.57</v>
      </c>
      <c r="U72" s="9" cm="1">
        <f t="array" aca="1" ref="U72" ca="1">_xll.BDH($E$6,"PX LAST",AI72)</f>
        <v>260.13</v>
      </c>
      <c r="V72" s="9" cm="1">
        <f t="array" aca="1" ref="V72" ca="1">_xll.BDH($E$6,"PX LAST",AJ72)</f>
        <v>258</v>
      </c>
      <c r="W72" s="9" cm="1">
        <f t="array" aca="1" ref="W72" ca="1">_xll.BDH($E$6,"PX LAST",AK72)</f>
        <v>216</v>
      </c>
      <c r="X72" s="24">
        <f t="shared" ca="1" si="8"/>
        <v>5.3958409978802635E-3</v>
      </c>
      <c r="Y72" s="24">
        <f t="shared" ca="1" si="9"/>
        <v>1.7854292420202533E-2</v>
      </c>
      <c r="Z72" s="24">
        <f t="shared" ca="1" si="10"/>
        <v>5.8525313987507488E-3</v>
      </c>
      <c r="AA72" s="24">
        <f t="shared" ca="1" si="11"/>
        <v>4.2368725366140225E-2</v>
      </c>
      <c r="AB72" s="9" cm="1">
        <f t="array" aca="1" ref="AB72" ca="1">_xll.BDH($E$8,"PX LAST",AG72)</f>
        <v>6886.68</v>
      </c>
      <c r="AC72" s="9" cm="1">
        <f t="array" aca="1" ref="AC72" ca="1">_xll.BDH($E$8,"PX LAST",AH72)</f>
        <v>6849.72</v>
      </c>
      <c r="AD72" s="9" cm="1">
        <f t="array" aca="1" ref="AD72" ca="1">_xll.BDH($E$8,"PX LAST",AI72)</f>
        <v>6765.88</v>
      </c>
      <c r="AE72" s="9" cm="1">
        <f t="array" aca="1" ref="AE72" ca="1">_xll.BDH($E$8,"PX LAST",AJ72)</f>
        <v>6846.61</v>
      </c>
      <c r="AF72" s="9" cm="1">
        <f t="array" aca="1" ref="AF72" ca="1">_xll.BDH($E$8,"PX LAST",AK72)</f>
        <v>6606.76</v>
      </c>
      <c r="AG72" s="20">
        <f t="shared" ca="1" si="17"/>
        <v>46001</v>
      </c>
      <c r="AH72" s="22">
        <f t="shared" ca="1" si="12"/>
        <v>45994</v>
      </c>
      <c r="AI72" s="22">
        <f t="shared" ca="1" si="13"/>
        <v>45986</v>
      </c>
      <c r="AJ72" s="22">
        <f t="shared" ca="1" si="14"/>
        <v>45972</v>
      </c>
      <c r="AK72" s="22">
        <f t="shared" ca="1" si="15"/>
        <v>45916</v>
      </c>
      <c r="AL72" s="22">
        <f t="shared" ca="1" si="16"/>
        <v>45831</v>
      </c>
      <c r="AN72" s="27">
        <v>46352</v>
      </c>
    </row>
    <row r="73" spans="4:40" x14ac:dyDescent="0.25">
      <c r="D73" s="6">
        <f ca="1"/>
        <v>46000</v>
      </c>
      <c r="E73" s="28">
        <f ca="1"/>
        <v>265.79000000000002</v>
      </c>
      <c r="F73" s="29" cm="1">
        <f t="array" aca="1" ref="F73" ca="1">_xll.FDS($E$7,"P_BETA_LOCIDX("&amp;$AG73&amp;","&amp;$AL73&amp;",,"""&amp;$E$9&amp;""")")</f>
        <v>1.4989946000000001</v>
      </c>
      <c r="G73" s="30">
        <f t="shared" ca="1" si="2"/>
        <v>-4.4727047847738233E-3</v>
      </c>
      <c r="H73" s="30">
        <f t="shared" ca="1" si="2"/>
        <v>1.3970652721870865E-2</v>
      </c>
      <c r="I73" s="30">
        <f t="shared" ca="1" si="2"/>
        <v>1.8182014084387434E-2</v>
      </c>
      <c r="J73" s="30">
        <f t="shared" ca="1" si="2"/>
        <v>0.18680846501233475</v>
      </c>
      <c r="K73" s="30">
        <f t="shared" ca="1" si="3"/>
        <v>2.445144990533749E-3</v>
      </c>
      <c r="L73" s="30">
        <f t="shared" ca="1" si="3"/>
        <v>3.0267747466712073E-2</v>
      </c>
      <c r="M73" s="30">
        <f t="shared" ca="1" si="3"/>
        <v>1.7727040552190411E-3</v>
      </c>
      <c r="N73" s="30">
        <f t="shared" ca="1" si="3"/>
        <v>5.1036169860988662E-2</v>
      </c>
      <c r="O73" s="30">
        <f t="shared" ca="1" si="4"/>
        <v>-2.0275597942400747E-3</v>
      </c>
      <c r="P73" s="30">
        <f t="shared" ca="1" si="5"/>
        <v>4.4238400188582938E-2</v>
      </c>
      <c r="Q73" s="30">
        <f t="shared" ca="1" si="6"/>
        <v>1.9954718139606475E-2</v>
      </c>
      <c r="R73" s="30">
        <f t="shared" ca="1" si="7"/>
        <v>0.23784463487332341</v>
      </c>
      <c r="S73" s="9" cm="1">
        <f t="array" aca="1" ref="S73" ca="1">_xll.BDH($E$6,"PX LAST",AG73)</f>
        <v>265.79000000000002</v>
      </c>
      <c r="T73" s="9" cm="1">
        <f t="array" aca="1" ref="T73" ca="1">_xll.BDH($E$6,"PX LAST",AH73)</f>
        <v>266.33</v>
      </c>
      <c r="U73" s="9" cm="1">
        <f t="array" aca="1" ref="U73" ca="1">_xll.BDH($E$6,"PX LAST",AI73)</f>
        <v>254.53</v>
      </c>
      <c r="V73" s="9" cm="1">
        <f t="array" aca="1" ref="V73" ca="1">_xll.BDH($E$6,"PX LAST",AJ73)</f>
        <v>260.58999999999997</v>
      </c>
      <c r="W73" s="9" cm="1">
        <f t="array" aca="1" ref="W73" ca="1">_xll.BDH($E$6,"PX LAST",AK73)</f>
        <v>214.72</v>
      </c>
      <c r="X73" s="24">
        <f t="shared" ca="1" si="8"/>
        <v>1.6311899926348961E-3</v>
      </c>
      <c r="Y73" s="24">
        <f t="shared" ca="1" si="9"/>
        <v>2.0192032357362777E-2</v>
      </c>
      <c r="Z73" s="24">
        <f t="shared" ca="1" si="10"/>
        <v>1.1825953577278003E-3</v>
      </c>
      <c r="AA73" s="24">
        <f t="shared" ca="1" si="11"/>
        <v>3.4046933765464304E-2</v>
      </c>
      <c r="AB73" s="9" cm="1">
        <f t="array" aca="1" ref="AB73" ca="1">_xll.BDH($E$8,"PX LAST",AG73)</f>
        <v>6840.51</v>
      </c>
      <c r="AC73" s="9" cm="1">
        <f t="array" aca="1" ref="AC73" ca="1">_xll.BDH($E$8,"PX LAST",AH73)</f>
        <v>6829.37</v>
      </c>
      <c r="AD73" s="9" cm="1">
        <f t="array" aca="1" ref="AD73" ca="1">_xll.BDH($E$8,"PX LAST",AI73)</f>
        <v>6705.12</v>
      </c>
      <c r="AE73" s="9" cm="1">
        <f t="array" aca="1" ref="AE73" ca="1">_xll.BDH($E$8,"PX LAST",AJ73)</f>
        <v>6832.43</v>
      </c>
      <c r="AF73" s="9" cm="1">
        <f t="array" aca="1" ref="AF73" ca="1">_xll.BDH($E$8,"PX LAST",AK73)</f>
        <v>6615.28</v>
      </c>
      <c r="AG73" s="20">
        <f t="shared" ca="1" si="17"/>
        <v>46000</v>
      </c>
      <c r="AH73" s="22">
        <f t="shared" ca="1" si="12"/>
        <v>45993</v>
      </c>
      <c r="AI73" s="22">
        <f t="shared" ca="1" si="13"/>
        <v>45985</v>
      </c>
      <c r="AJ73" s="22">
        <f t="shared" ca="1" si="14"/>
        <v>45971</v>
      </c>
      <c r="AK73" s="22">
        <f t="shared" ca="1" si="15"/>
        <v>45915</v>
      </c>
      <c r="AL73" s="22">
        <f t="shared" ca="1" si="16"/>
        <v>45828</v>
      </c>
      <c r="AN73" s="27">
        <v>46381</v>
      </c>
    </row>
    <row r="74" spans="4:40" x14ac:dyDescent="0.25">
      <c r="D74" s="6">
        <f ca="1"/>
        <v>45999</v>
      </c>
      <c r="E74" s="28">
        <f ca="1"/>
        <v>269.64999999999998</v>
      </c>
      <c r="F74" s="29" cm="1">
        <f t="array" aca="1" ref="F74" ca="1">_xll.FDS($E$7,"P_BETA_LOCIDX("&amp;$AG74&amp;","&amp;$AL74&amp;",,"""&amp;$E$9&amp;""")")</f>
        <v>1.4859551</v>
      </c>
      <c r="G74" s="30">
        <f t="shared" ca="1" si="2"/>
        <v>6.0271901927923966E-3</v>
      </c>
      <c r="H74" s="30">
        <f t="shared" ca="1" si="2"/>
        <v>1.6981044070205495E-2</v>
      </c>
      <c r="I74" s="30">
        <f t="shared" ca="1" si="2"/>
        <v>2.9676332075099489E-2</v>
      </c>
      <c r="J74" s="30">
        <f t="shared" ca="1" si="2"/>
        <v>0.19711129247269593</v>
      </c>
      <c r="K74" s="30">
        <f t="shared" ca="1" si="3"/>
        <v>7.3898272455719238E-3</v>
      </c>
      <c r="L74" s="30">
        <f t="shared" ca="1" si="3"/>
        <v>5.4802413141925257E-2</v>
      </c>
      <c r="M74" s="30">
        <f t="shared" ca="1" si="3"/>
        <v>2.5994497506390345E-2</v>
      </c>
      <c r="N74" s="30">
        <f t="shared" ca="1" si="3"/>
        <v>5.9178308719998803E-2</v>
      </c>
      <c r="O74" s="30">
        <f t="shared" ca="1" si="4"/>
        <v>1.341701743836432E-2</v>
      </c>
      <c r="P74" s="30">
        <f t="shared" ca="1" si="5"/>
        <v>7.1783457212130752E-2</v>
      </c>
      <c r="Q74" s="30">
        <f t="shared" ca="1" si="6"/>
        <v>5.5670829581489834E-2</v>
      </c>
      <c r="R74" s="30">
        <f t="shared" ca="1" si="7"/>
        <v>0.25628960119269473</v>
      </c>
      <c r="S74" s="9" cm="1">
        <f t="array" aca="1" ref="S74" ca="1">_xll.BDH($E$6,"PX LAST",AG74)</f>
        <v>269.64999999999998</v>
      </c>
      <c r="T74" s="9" cm="1">
        <f t="array" aca="1" ref="T74" ca="1">_xll.BDH($E$6,"PX LAST",AH74)</f>
        <v>266.08</v>
      </c>
      <c r="U74" s="9" cm="1">
        <f t="array" aca="1" ref="U74" ca="1">_xll.BDH($E$6,"PX LAST",AI74)</f>
        <v>251.59</v>
      </c>
      <c r="V74" s="9" cm="1">
        <f t="array" aca="1" ref="V74" ca="1">_xll.BDH($E$6,"PX LAST",AJ74)</f>
        <v>255.43</v>
      </c>
      <c r="W74" s="9" cm="1">
        <f t="array" aca="1" ref="W74" ca="1">_xll.BDH($E$6,"PX LAST",AK74)</f>
        <v>214.64</v>
      </c>
      <c r="X74" s="24">
        <f t="shared" ca="1" si="8"/>
        <v>4.9731161093440335E-3</v>
      </c>
      <c r="Y74" s="24">
        <f t="shared" ca="1" si="9"/>
        <v>3.6880261820781302E-2</v>
      </c>
      <c r="Z74" s="24">
        <f t="shared" ca="1" si="10"/>
        <v>1.7493460944001837E-2</v>
      </c>
      <c r="AA74" s="24">
        <f t="shared" ca="1" si="11"/>
        <v>3.9825098833739192E-2</v>
      </c>
      <c r="AB74" s="9" cm="1">
        <f t="array" aca="1" ref="AB74" ca="1">_xll.BDH($E$8,"PX LAST",AG74)</f>
        <v>6846.51</v>
      </c>
      <c r="AC74" s="9" cm="1">
        <f t="array" aca="1" ref="AC74" ca="1">_xll.BDH($E$8,"PX LAST",AH74)</f>
        <v>6812.63</v>
      </c>
      <c r="AD74" s="9" cm="1">
        <f t="array" aca="1" ref="AD74" ca="1">_xll.BDH($E$8,"PX LAST",AI74)</f>
        <v>6602.99</v>
      </c>
      <c r="AE74" s="9" cm="1">
        <f t="array" aca="1" ref="AE74" ca="1">_xll.BDH($E$8,"PX LAST",AJ74)</f>
        <v>6728.8</v>
      </c>
      <c r="AF74" s="9" cm="1">
        <f t="array" aca="1" ref="AF74" ca="1">_xll.BDH($E$8,"PX LAST",AK74)</f>
        <v>6584.29</v>
      </c>
      <c r="AG74" s="20">
        <f t="shared" ca="1" si="17"/>
        <v>45999</v>
      </c>
      <c r="AH74" s="22">
        <f t="shared" ca="1" si="12"/>
        <v>45992</v>
      </c>
      <c r="AI74" s="22">
        <f t="shared" ca="1" si="13"/>
        <v>45982</v>
      </c>
      <c r="AJ74" s="22">
        <f t="shared" ca="1" si="14"/>
        <v>45968</v>
      </c>
      <c r="AK74" s="22">
        <f t="shared" ca="1" si="15"/>
        <v>45912</v>
      </c>
      <c r="AL74" s="22">
        <f t="shared" ca="1" si="16"/>
        <v>45826</v>
      </c>
    </row>
    <row r="75" spans="4:40" x14ac:dyDescent="0.25">
      <c r="D75" s="6">
        <f ca="1"/>
        <v>45996</v>
      </c>
      <c r="E75" s="28">
        <f ca="1"/>
        <v>273.36</v>
      </c>
      <c r="F75" s="29" cm="1">
        <f t="array" aca="1" ref="F75" ca="1">_xll.FDS($E$7,"P_BETA_LOCIDX("&amp;$AG75&amp;","&amp;$AL75&amp;",,"""&amp;$E$9&amp;""")")</f>
        <v>1.5042348000000001</v>
      </c>
      <c r="G75" s="30">
        <f t="shared" ca="1" si="2"/>
        <v>1.7570257440075475E-2</v>
      </c>
      <c r="H75" s="30">
        <f t="shared" ca="1" si="2"/>
        <v>3.0516837926990087E-2</v>
      </c>
      <c r="I75" s="30">
        <f t="shared" ca="1" si="2"/>
        <v>2.8494208727155655E-2</v>
      </c>
      <c r="J75" s="30">
        <f t="shared" ca="1" si="2"/>
        <v>0.17512142585734186</v>
      </c>
      <c r="K75" s="30">
        <f t="shared" ca="1" si="3"/>
        <v>4.6802193558558086E-3</v>
      </c>
      <c r="L75" s="30">
        <f t="shared" ca="1" si="3"/>
        <v>7.6293430110907862E-2</v>
      </c>
      <c r="M75" s="30">
        <f t="shared" ca="1" si="3"/>
        <v>3.3592977534403191E-2</v>
      </c>
      <c r="N75" s="30">
        <f t="shared" ca="1" si="3"/>
        <v>6.4606465299120786E-2</v>
      </c>
      <c r="O75" s="30">
        <f t="shared" ca="1" si="4"/>
        <v>2.2250476795931284E-2</v>
      </c>
      <c r="P75" s="30">
        <f t="shared" ca="1" si="5"/>
        <v>0.10681026803789795</v>
      </c>
      <c r="Q75" s="30">
        <f t="shared" ca="1" si="6"/>
        <v>6.2087186261558847E-2</v>
      </c>
      <c r="R75" s="30">
        <f t="shared" ca="1" si="7"/>
        <v>0.23972789115646265</v>
      </c>
      <c r="S75" s="9" cm="1">
        <f t="array" aca="1" ref="S75" ca="1">_xll.BDH($E$6,"PX LAST",AG75)</f>
        <v>273.36</v>
      </c>
      <c r="T75" s="9" cm="1">
        <f t="array" aca="1" ref="T75" ca="1">_xll.BDH($E$6,"PX LAST",AH75)</f>
        <v>267.41000000000003</v>
      </c>
      <c r="U75" s="9" cm="1">
        <f t="array" aca="1" ref="U75" ca="1">_xll.BDH($E$6,"PX LAST",AI75)</f>
        <v>246.98</v>
      </c>
      <c r="V75" s="9" cm="1">
        <f t="array" aca="1" ref="V75" ca="1">_xll.BDH($E$6,"PX LAST",AJ75)</f>
        <v>257.38</v>
      </c>
      <c r="W75" s="9" cm="1">
        <f t="array" aca="1" ref="W75" ca="1">_xll.BDH($E$6,"PX LAST",AK75)</f>
        <v>220.5</v>
      </c>
      <c r="X75" s="24">
        <f t="shared" ca="1" si="8"/>
        <v>3.1113622393630358E-3</v>
      </c>
      <c r="Y75" s="24">
        <f t="shared" ca="1" si="9"/>
        <v>5.0719096587120482E-2</v>
      </c>
      <c r="Z75" s="24">
        <f t="shared" ca="1" si="10"/>
        <v>2.233226989190995E-2</v>
      </c>
      <c r="AA75" s="24">
        <f t="shared" ca="1" si="11"/>
        <v>4.2949721213151548E-2</v>
      </c>
      <c r="AB75" s="9" cm="1">
        <f t="array" aca="1" ref="AB75" ca="1">_xll.BDH($E$8,"PX LAST",AG75)</f>
        <v>6870.4</v>
      </c>
      <c r="AC75" s="9" cm="1">
        <f t="array" aca="1" ref="AC75" ca="1">_xll.BDH($E$8,"PX LAST",AH75)</f>
        <v>6849.09</v>
      </c>
      <c r="AD75" s="9" cm="1">
        <f t="array" aca="1" ref="AD75" ca="1">_xll.BDH($E$8,"PX LAST",AI75)</f>
        <v>6538.76</v>
      </c>
      <c r="AE75" s="9" cm="1">
        <f t="array" aca="1" ref="AE75" ca="1">_xll.BDH($E$8,"PX LAST",AJ75)</f>
        <v>6720.32</v>
      </c>
      <c r="AF75" s="9" cm="1">
        <f t="array" aca="1" ref="AF75" ca="1">_xll.BDH($E$8,"PX LAST",AK75)</f>
        <v>6587.47</v>
      </c>
      <c r="AG75" s="20">
        <f t="shared" ca="1" si="17"/>
        <v>45996</v>
      </c>
      <c r="AH75" s="22">
        <f t="shared" ca="1" si="12"/>
        <v>45989</v>
      </c>
      <c r="AI75" s="22">
        <f t="shared" ca="1" si="13"/>
        <v>45981</v>
      </c>
      <c r="AJ75" s="22">
        <f t="shared" ca="1" si="14"/>
        <v>45967</v>
      </c>
      <c r="AK75" s="22">
        <f t="shared" ca="1" si="15"/>
        <v>45911</v>
      </c>
      <c r="AL75" s="22">
        <f t="shared" ca="1" si="16"/>
        <v>45825</v>
      </c>
    </row>
    <row r="76" spans="4:40" x14ac:dyDescent="0.25">
      <c r="D76" s="6">
        <f ca="1"/>
        <v>45995</v>
      </c>
      <c r="E76" s="28">
        <f ca="1"/>
        <v>271.3</v>
      </c>
      <c r="F76" s="29" cm="1">
        <f t="array" aca="1" ref="F76" ca="1">_xll.FDS($E$7,"P_BETA_LOCIDX("&amp;$AG76&amp;","&amp;$AL76&amp;",,"""&amp;$E$9&amp;""")")</f>
        <v>1.5037024000000001</v>
      </c>
      <c r="G76" s="30">
        <f t="shared" ca="1" si="2"/>
        <v>1.5574346921930994E-2</v>
      </c>
      <c r="H76" s="30">
        <f t="shared" ca="1" si="2"/>
        <v>2.6387243668296922E-2</v>
      </c>
      <c r="I76" s="30">
        <f t="shared" ca="1" si="2"/>
        <v>4.3869967015854383E-2</v>
      </c>
      <c r="J76" s="30">
        <f t="shared" ca="1" si="2"/>
        <v>0.18820063239314383</v>
      </c>
      <c r="K76" s="30">
        <f t="shared" ca="1" si="3"/>
        <v>9.8243982591107986E-3</v>
      </c>
      <c r="L76" s="30">
        <f t="shared" ca="1" si="3"/>
        <v>4.8664270042275359E-2</v>
      </c>
      <c r="M76" s="30">
        <f t="shared" ca="1" si="3"/>
        <v>1.3458845486581659E-2</v>
      </c>
      <c r="N76" s="30">
        <f t="shared" ca="1" si="3"/>
        <v>7.4834749357321748E-2</v>
      </c>
      <c r="O76" s="30">
        <f t="shared" ca="1" si="4"/>
        <v>2.5398745181041793E-2</v>
      </c>
      <c r="P76" s="30">
        <f t="shared" ca="1" si="5"/>
        <v>7.5051513710572282E-2</v>
      </c>
      <c r="Q76" s="30">
        <f t="shared" ca="1" si="6"/>
        <v>5.7328812502436044E-2</v>
      </c>
      <c r="R76" s="30">
        <f t="shared" ca="1" si="7"/>
        <v>0.26303538175046559</v>
      </c>
      <c r="S76" s="9" cm="1">
        <f t="array" aca="1" ref="S76" ca="1">_xll.BDH($E$6,"PX LAST",AG76)</f>
        <v>271.3</v>
      </c>
      <c r="T76" s="9" cm="1">
        <f t="array" aca="1" ref="T76" ca="1">_xll.BDH($E$6,"PX LAST",AH76)</f>
        <v>264.58</v>
      </c>
      <c r="U76" s="9" cm="1">
        <f t="array" aca="1" ref="U76" ca="1">_xll.BDH($E$6,"PX LAST",AI76)</f>
        <v>252.36</v>
      </c>
      <c r="V76" s="9" cm="1">
        <f t="array" aca="1" ref="V76" ca="1">_xll.BDH($E$6,"PX LAST",AJ76)</f>
        <v>256.58999999999997</v>
      </c>
      <c r="W76" s="9" cm="1">
        <f t="array" aca="1" ref="W76" ca="1">_xll.BDH($E$6,"PX LAST",AK76)</f>
        <v>214.8</v>
      </c>
      <c r="X76" s="24">
        <f t="shared" ca="1" si="8"/>
        <v>6.5334724870498295E-3</v>
      </c>
      <c r="Y76" s="24">
        <f t="shared" ca="1" si="9"/>
        <v>3.2362966263986381E-2</v>
      </c>
      <c r="Z76" s="24">
        <f t="shared" ca="1" si="10"/>
        <v>8.9504715072488139E-3</v>
      </c>
      <c r="AA76" s="24">
        <f t="shared" ca="1" si="11"/>
        <v>4.9766994690785715E-2</v>
      </c>
      <c r="AB76" s="9" cm="1">
        <f t="array" aca="1" ref="AB76" ca="1">_xll.BDH($E$8,"PX LAST",AG76)</f>
        <v>6857.12</v>
      </c>
      <c r="AC76" s="9" cm="1">
        <f t="array" aca="1" ref="AC76" ca="1">_xll.BDH($E$8,"PX LAST",AH76)</f>
        <v>6812.61</v>
      </c>
      <c r="AD76" s="9" cm="1">
        <f t="array" aca="1" ref="AD76" ca="1">_xll.BDH($E$8,"PX LAST",AI76)</f>
        <v>6642.16</v>
      </c>
      <c r="AE76" s="9" cm="1">
        <f t="array" aca="1" ref="AE76" ca="1">_xll.BDH($E$8,"PX LAST",AJ76)</f>
        <v>6796.29</v>
      </c>
      <c r="AF76" s="9" cm="1">
        <f t="array" aca="1" ref="AF76" ca="1">_xll.BDH($E$8,"PX LAST",AK76)</f>
        <v>6532.04</v>
      </c>
      <c r="AG76" s="20">
        <f t="shared" ca="1" si="17"/>
        <v>45995</v>
      </c>
      <c r="AH76" s="22">
        <f t="shared" ca="1" si="12"/>
        <v>45987</v>
      </c>
      <c r="AI76" s="22">
        <f t="shared" ca="1" si="13"/>
        <v>45980</v>
      </c>
      <c r="AJ76" s="22">
        <f t="shared" ca="1" si="14"/>
        <v>45966</v>
      </c>
      <c r="AK76" s="22">
        <f t="shared" ca="1" si="15"/>
        <v>45910</v>
      </c>
      <c r="AL76" s="22">
        <f t="shared" ca="1" si="16"/>
        <v>45824</v>
      </c>
    </row>
    <row r="77" spans="4:40" x14ac:dyDescent="0.25">
      <c r="D77" s="6">
        <f ca="1"/>
        <v>45994</v>
      </c>
      <c r="E77" s="28">
        <f ca="1"/>
        <v>270.57</v>
      </c>
      <c r="F77" s="29" cm="1">
        <f t="array" aca="1" ref="F77" ca="1">_xll.FDS($E$7,"P_BETA_LOCIDX("&amp;$AG77&amp;","&amp;$AL77&amp;",,"""&amp;$E$9&amp;""")")</f>
        <v>1.5143135000000001</v>
      </c>
      <c r="G77" s="30">
        <f t="shared" ca="1" si="2"/>
        <v>2.1369029691357407E-2</v>
      </c>
      <c r="H77" s="30">
        <f t="shared" ca="1" si="2"/>
        <v>3.3356607385790063E-2</v>
      </c>
      <c r="I77" s="30">
        <f t="shared" ca="1" si="2"/>
        <v>5.569837622846105E-2</v>
      </c>
      <c r="J77" s="30">
        <f t="shared" ca="1" si="2"/>
        <v>0.19404738906179764</v>
      </c>
      <c r="K77" s="30">
        <f t="shared" ca="1" si="3"/>
        <v>1.8764749572856614E-2</v>
      </c>
      <c r="L77" s="30">
        <f t="shared" ca="1" si="3"/>
        <v>5.3182626410692033E-2</v>
      </c>
      <c r="M77" s="30">
        <f t="shared" ca="1" si="3"/>
        <v>1.7481062134223426E-2</v>
      </c>
      <c r="N77" s="30">
        <f t="shared" ca="1" si="3"/>
        <v>7.8384890847908881E-2</v>
      </c>
      <c r="O77" s="30">
        <f t="shared" ca="1" si="4"/>
        <v>4.013377926421402E-2</v>
      </c>
      <c r="P77" s="30">
        <f t="shared" ca="1" si="5"/>
        <v>8.6539233796482096E-2</v>
      </c>
      <c r="Q77" s="30">
        <f t="shared" ca="1" si="6"/>
        <v>7.3179438362684479E-2</v>
      </c>
      <c r="R77" s="30">
        <f t="shared" ca="1" si="7"/>
        <v>0.27243227990970653</v>
      </c>
      <c r="S77" s="9" cm="1">
        <f t="array" aca="1" ref="S77" ca="1">_xll.BDH($E$6,"PX LAST",AG77)</f>
        <v>270.57</v>
      </c>
      <c r="T77" s="9" cm="1">
        <f t="array" aca="1" ref="T77" ca="1">_xll.BDH($E$6,"PX LAST",AH77)</f>
        <v>260.13</v>
      </c>
      <c r="U77" s="9" cm="1">
        <f t="array" aca="1" ref="U77" ca="1">_xll.BDH($E$6,"PX LAST",AI77)</f>
        <v>249.02</v>
      </c>
      <c r="V77" s="9" cm="1">
        <f t="array" aca="1" ref="V77" ca="1">_xll.BDH($E$6,"PX LAST",AJ77)</f>
        <v>252.12</v>
      </c>
      <c r="W77" s="9" cm="1">
        <f t="array" aca="1" ref="W77" ca="1">_xll.BDH($E$6,"PX LAST",AK77)</f>
        <v>212.64</v>
      </c>
      <c r="X77" s="24">
        <f t="shared" ca="1" si="8"/>
        <v>1.23915883817034E-2</v>
      </c>
      <c r="Y77" s="24">
        <f t="shared" ca="1" si="9"/>
        <v>3.5119957928587464E-2</v>
      </c>
      <c r="Z77" s="24">
        <f t="shared" ca="1" si="10"/>
        <v>1.1543885816393651E-2</v>
      </c>
      <c r="AA77" s="24">
        <f t="shared" ca="1" si="11"/>
        <v>5.1762657367783405E-2</v>
      </c>
      <c r="AB77" s="9" cm="1">
        <f t="array" aca="1" ref="AB77" ca="1">_xll.BDH($E$8,"PX LAST",AG77)</f>
        <v>6849.72</v>
      </c>
      <c r="AC77" s="9" cm="1">
        <f t="array" aca="1" ref="AC77" ca="1">_xll.BDH($E$8,"PX LAST",AH77)</f>
        <v>6765.88</v>
      </c>
      <c r="AD77" s="9" cm="1">
        <f t="array" aca="1" ref="AD77" ca="1">_xll.BDH($E$8,"PX LAST",AI77)</f>
        <v>6617.32</v>
      </c>
      <c r="AE77" s="9" cm="1">
        <f t="array" aca="1" ref="AE77" ca="1">_xll.BDH($E$8,"PX LAST",AJ77)</f>
        <v>6771.55</v>
      </c>
      <c r="AF77" s="9" cm="1">
        <f t="array" aca="1" ref="AF77" ca="1">_xll.BDH($E$8,"PX LAST",AK77)</f>
        <v>6512.61</v>
      </c>
      <c r="AG77" s="20">
        <f t="shared" ca="1" si="17"/>
        <v>45994</v>
      </c>
      <c r="AH77" s="22">
        <f t="shared" ca="1" si="12"/>
        <v>45986</v>
      </c>
      <c r="AI77" s="22">
        <f t="shared" ca="1" si="13"/>
        <v>45979</v>
      </c>
      <c r="AJ77" s="22">
        <f t="shared" ca="1" si="14"/>
        <v>45965</v>
      </c>
      <c r="AK77" s="22">
        <f t="shared" ca="1" si="15"/>
        <v>45909</v>
      </c>
      <c r="AL77" s="22">
        <f t="shared" ca="1" si="16"/>
        <v>45821</v>
      </c>
    </row>
    <row r="78" spans="4:40" x14ac:dyDescent="0.25">
      <c r="D78" s="6">
        <f ca="1"/>
        <v>45993</v>
      </c>
      <c r="E78" s="28">
        <f ca="1"/>
        <v>266.33</v>
      </c>
      <c r="F78" s="29" cm="1">
        <f t="array" aca="1" ref="F78" ca="1">_xll.FDS($E$7,"P_BETA_LOCIDX("&amp;$AG78&amp;","&amp;$AL78&amp;",,"""&amp;$E$9&amp;""")")</f>
        <v>1.5051642999999999</v>
      </c>
      <c r="G78" s="30">
        <f t="shared" ca="1" si="2"/>
        <v>1.8468336796218805E-2</v>
      </c>
      <c r="H78" s="30">
        <f t="shared" ca="1" si="2"/>
        <v>3.9197498526916459E-2</v>
      </c>
      <c r="I78" s="30">
        <f t="shared" ca="1" si="2"/>
        <v>2.4409491855228824E-2</v>
      </c>
      <c r="J78" s="30">
        <f t="shared" ca="1" si="2"/>
        <v>0.14514354177086422</v>
      </c>
      <c r="K78" s="30">
        <f t="shared" ca="1" si="3"/>
        <v>2.7891620772633446E-2</v>
      </c>
      <c r="L78" s="30">
        <f t="shared" ca="1" si="3"/>
        <v>3.5407085075407456E-2</v>
      </c>
      <c r="M78" s="30">
        <f t="shared" ca="1" si="3"/>
        <v>-4.9645157786738937E-3</v>
      </c>
      <c r="N78" s="30">
        <f t="shared" ca="1" si="3"/>
        <v>7.7451023047350825E-2</v>
      </c>
      <c r="O78" s="30">
        <f t="shared" ca="1" si="4"/>
        <v>4.635995756885225E-2</v>
      </c>
      <c r="P78" s="30">
        <f t="shared" ca="1" si="5"/>
        <v>7.4604583602323915E-2</v>
      </c>
      <c r="Q78" s="30">
        <f t="shared" ca="1" si="6"/>
        <v>1.9444976076554932E-2</v>
      </c>
      <c r="R78" s="30">
        <f t="shared" ca="1" si="7"/>
        <v>0.22259456481821505</v>
      </c>
      <c r="S78" s="9" cm="1">
        <f t="array" aca="1" ref="S78" ca="1">_xll.BDH($E$6,"PX LAST",AG78)</f>
        <v>266.33</v>
      </c>
      <c r="T78" s="9" cm="1">
        <f t="array" aca="1" ref="T78" ca="1">_xll.BDH($E$6,"PX LAST",AH78)</f>
        <v>254.53</v>
      </c>
      <c r="U78" s="9" cm="1">
        <f t="array" aca="1" ref="U78" ca="1">_xll.BDH($E$6,"PX LAST",AI78)</f>
        <v>247.84</v>
      </c>
      <c r="V78" s="9" cm="1">
        <f t="array" aca="1" ref="V78" ca="1">_xll.BDH($E$6,"PX LAST",AJ78)</f>
        <v>261.25</v>
      </c>
      <c r="W78" s="9" cm="1">
        <f t="array" aca="1" ref="W78" ca="1">_xll.BDH($E$6,"PX LAST",AK78)</f>
        <v>217.84</v>
      </c>
      <c r="X78" s="24">
        <f t="shared" ca="1" si="8"/>
        <v>1.8530615410313311E-2</v>
      </c>
      <c r="Y78" s="24">
        <f t="shared" ca="1" si="9"/>
        <v>2.3523734302898003E-2</v>
      </c>
      <c r="Z78" s="24">
        <f t="shared" ca="1" si="10"/>
        <v>-3.2983215046183956E-3</v>
      </c>
      <c r="AA78" s="24">
        <f t="shared" ca="1" si="11"/>
        <v>5.1456856269678219E-2</v>
      </c>
      <c r="AB78" s="9" cm="1">
        <f t="array" aca="1" ref="AB78" ca="1">_xll.BDH($E$8,"PX LAST",AG78)</f>
        <v>6829.37</v>
      </c>
      <c r="AC78" s="9" cm="1">
        <f t="array" aca="1" ref="AC78" ca="1">_xll.BDH($E$8,"PX LAST",AH78)</f>
        <v>6705.12</v>
      </c>
      <c r="AD78" s="9" cm="1">
        <f t="array" aca="1" ref="AD78" ca="1">_xll.BDH($E$8,"PX LAST",AI78)</f>
        <v>6672.41</v>
      </c>
      <c r="AE78" s="9" cm="1">
        <f t="array" aca="1" ref="AE78" ca="1">_xll.BDH($E$8,"PX LAST",AJ78)</f>
        <v>6851.97</v>
      </c>
      <c r="AF78" s="9" cm="1">
        <f t="array" aca="1" ref="AF78" ca="1">_xll.BDH($E$8,"PX LAST",AK78)</f>
        <v>6495.15</v>
      </c>
      <c r="AG78" s="20">
        <f t="shared" ca="1" si="17"/>
        <v>45993</v>
      </c>
      <c r="AH78" s="22">
        <f t="shared" ca="1" si="12"/>
        <v>45985</v>
      </c>
      <c r="AI78" s="22">
        <f t="shared" ca="1" si="13"/>
        <v>45978</v>
      </c>
      <c r="AJ78" s="22">
        <f t="shared" ca="1" si="14"/>
        <v>45964</v>
      </c>
      <c r="AK78" s="22">
        <f t="shared" ca="1" si="15"/>
        <v>45908</v>
      </c>
      <c r="AL78" s="22">
        <f t="shared" ca="1" si="16"/>
        <v>45820</v>
      </c>
    </row>
    <row r="79" spans="4:40" x14ac:dyDescent="0.25">
      <c r="D79" s="6">
        <f ca="1"/>
        <v>45992</v>
      </c>
      <c r="E79" s="28">
        <f ca="1"/>
        <v>266.08</v>
      </c>
      <c r="F79" s="29" cm="1">
        <f t="array" aca="1" ref="F79" ca="1">_xll.FDS($E$7,"P_BETA_LOCIDX("&amp;$AG79&amp;","&amp;$AL79&amp;",,"""&amp;$E$9&amp;""")")</f>
        <v>1.5108231000000001</v>
      </c>
      <c r="G79" s="30">
        <f t="shared" ca="1" si="2"/>
        <v>9.6261992173553509E-3</v>
      </c>
      <c r="H79" s="30">
        <f t="shared" ca="1" si="2"/>
        <v>1.8722591440653805E-2</v>
      </c>
      <c r="I79" s="30">
        <f t="shared" ca="1" si="2"/>
        <v>3.13274293686224E-2</v>
      </c>
      <c r="J79" s="30">
        <f t="shared" ca="1" si="2"/>
        <v>0.13679371801786719</v>
      </c>
      <c r="K79" s="30">
        <f t="shared" ca="1" si="3"/>
        <v>4.7967504824935565E-2</v>
      </c>
      <c r="L79" s="30">
        <f t="shared" ca="1" si="3"/>
        <v>1.7616259581741397E-2</v>
      </c>
      <c r="M79" s="30">
        <f t="shared" ca="1" si="3"/>
        <v>-6.0894992642027404E-3</v>
      </c>
      <c r="N79" s="30">
        <f t="shared" ca="1" si="3"/>
        <v>7.7185659662578093E-2</v>
      </c>
      <c r="O79" s="30">
        <f t="shared" ca="1" si="4"/>
        <v>5.7593704042290916E-2</v>
      </c>
      <c r="P79" s="30">
        <f t="shared" ca="1" si="5"/>
        <v>3.6338851022395202E-2</v>
      </c>
      <c r="Q79" s="30">
        <f t="shared" ca="1" si="6"/>
        <v>2.5237930104419659E-2</v>
      </c>
      <c r="R79" s="30">
        <f t="shared" ca="1" si="7"/>
        <v>0.21397937768044528</v>
      </c>
      <c r="S79" s="9" cm="1">
        <f t="array" aca="1" ref="S79" ca="1">_xll.BDH($E$6,"PX LAST",AG79)</f>
        <v>266.08</v>
      </c>
      <c r="T79" s="9" cm="1">
        <f t="array" aca="1" ref="T79" ca="1">_xll.BDH($E$6,"PX LAST",AH79)</f>
        <v>251.59</v>
      </c>
      <c r="U79" s="9" cm="1">
        <f t="array" aca="1" ref="U79" ca="1">_xll.BDH($E$6,"PX LAST",AI79)</f>
        <v>256.75</v>
      </c>
      <c r="V79" s="9" cm="1">
        <f t="array" aca="1" ref="V79" ca="1">_xll.BDH($E$6,"PX LAST",AJ79)</f>
        <v>259.52999999999997</v>
      </c>
      <c r="W79" s="9" cm="1">
        <f t="array" aca="1" ref="W79" ca="1">_xll.BDH($E$6,"PX LAST",AK79)</f>
        <v>219.18</v>
      </c>
      <c r="X79" s="24">
        <f t="shared" ca="1" si="8"/>
        <v>3.1749252989933474E-2</v>
      </c>
      <c r="Y79" s="24">
        <f t="shared" ca="1" si="9"/>
        <v>1.1660041193268356E-2</v>
      </c>
      <c r="Z79" s="24">
        <f t="shared" ca="1" si="10"/>
        <v>-4.0305839010554845E-3</v>
      </c>
      <c r="AA79" s="24">
        <f t="shared" ca="1" si="11"/>
        <v>5.1088482604335406E-2</v>
      </c>
      <c r="AB79" s="9" cm="1">
        <f t="array" aca="1" ref="AB79" ca="1">_xll.BDH($E$8,"PX LAST",AG79)</f>
        <v>6812.63</v>
      </c>
      <c r="AC79" s="9" cm="1">
        <f t="array" aca="1" ref="AC79" ca="1">_xll.BDH($E$8,"PX LAST",AH79)</f>
        <v>6602.99</v>
      </c>
      <c r="AD79" s="9" cm="1">
        <f t="array" aca="1" ref="AD79" ca="1">_xll.BDH($E$8,"PX LAST",AI79)</f>
        <v>6734.11</v>
      </c>
      <c r="AE79" s="9" cm="1">
        <f t="array" aca="1" ref="AE79" ca="1">_xll.BDH($E$8,"PX LAST",AJ79)</f>
        <v>6840.2</v>
      </c>
      <c r="AF79" s="9" cm="1">
        <f t="array" aca="1" ref="AF79" ca="1">_xll.BDH($E$8,"PX LAST",AK79)</f>
        <v>6481.5</v>
      </c>
      <c r="AG79" s="20">
        <f t="shared" ca="1" si="17"/>
        <v>45992</v>
      </c>
      <c r="AH79" s="22">
        <f t="shared" ca="1" si="12"/>
        <v>45982</v>
      </c>
      <c r="AI79" s="22">
        <f t="shared" ca="1" si="13"/>
        <v>45975</v>
      </c>
      <c r="AJ79" s="22">
        <f t="shared" ca="1" si="14"/>
        <v>45961</v>
      </c>
      <c r="AK79" s="22">
        <f t="shared" ca="1" si="15"/>
        <v>45905</v>
      </c>
      <c r="AL79" s="22">
        <f t="shared" ca="1" si="16"/>
        <v>45819</v>
      </c>
    </row>
    <row r="80" spans="4:40" x14ac:dyDescent="0.25">
      <c r="D80" s="6">
        <f ca="1"/>
        <v>45989</v>
      </c>
      <c r="E80" s="28">
        <f ca="1"/>
        <v>267.41000000000003</v>
      </c>
      <c r="F80" s="29" cm="1">
        <f t="array" aca="1" ref="F80" ca="1">_xll.FDS($E$7,"P_BETA_LOCIDX("&amp;$AG80&amp;","&amp;$AL80&amp;",,"""&amp;$E$9&amp;""")")</f>
        <v>1.5162755999999999</v>
      </c>
      <c r="G80" s="30">
        <f t="shared" ca="1" si="2"/>
        <v>1.0756704102716563E-2</v>
      </c>
      <c r="H80" s="30">
        <f t="shared" ca="1" si="2"/>
        <v>1.1317058838822787E-2</v>
      </c>
      <c r="I80" s="30">
        <f t="shared" ca="1" si="2"/>
        <v>5.4069834418784116E-2</v>
      </c>
      <c r="J80" s="30">
        <f t="shared" ca="1" si="2"/>
        <v>0.14365074513588472</v>
      </c>
      <c r="K80" s="30">
        <f t="shared" ca="1" si="3"/>
        <v>7.1962544419431174E-2</v>
      </c>
      <c r="L80" s="30">
        <f t="shared" ca="1" si="3"/>
        <v>2.5115637568293429E-2</v>
      </c>
      <c r="M80" s="30">
        <f t="shared" ca="1" si="3"/>
        <v>5.945228807124764E-3</v>
      </c>
      <c r="N80" s="30">
        <f t="shared" ca="1" si="3"/>
        <v>8.0922227342019912E-2</v>
      </c>
      <c r="O80" s="30">
        <f t="shared" ca="1" si="4"/>
        <v>8.2719248522147737E-2</v>
      </c>
      <c r="P80" s="30">
        <f t="shared" ca="1" si="5"/>
        <v>3.6432696407116216E-2</v>
      </c>
      <c r="Q80" s="30">
        <f t="shared" ca="1" si="6"/>
        <v>6.0015063225908882E-2</v>
      </c>
      <c r="R80" s="30">
        <f t="shared" ca="1" si="7"/>
        <v>0.22457297247790464</v>
      </c>
      <c r="S80" s="9" cm="1">
        <f t="array" aca="1" ref="S80" ca="1">_xll.BDH($E$6,"PX LAST",AG80)</f>
        <v>267.41000000000003</v>
      </c>
      <c r="T80" s="9" cm="1">
        <f t="array" aca="1" ref="T80" ca="1">_xll.BDH($E$6,"PX LAST",AH80)</f>
        <v>246.98</v>
      </c>
      <c r="U80" s="9" cm="1">
        <f t="array" aca="1" ref="U80" ca="1">_xll.BDH($E$6,"PX LAST",AI80)</f>
        <v>258.01</v>
      </c>
      <c r="V80" s="9" cm="1">
        <f t="array" aca="1" ref="V80" ca="1">_xll.BDH($E$6,"PX LAST",AJ80)</f>
        <v>252.27</v>
      </c>
      <c r="W80" s="9" cm="1">
        <f t="array" aca="1" ref="W80" ca="1">_xll.BDH($E$6,"PX LAST",AK80)</f>
        <v>218.37</v>
      </c>
      <c r="X80" s="24">
        <f t="shared" ca="1" si="8"/>
        <v>4.7460068881561623E-2</v>
      </c>
      <c r="Y80" s="24">
        <f t="shared" ca="1" si="9"/>
        <v>1.6564032005984552E-2</v>
      </c>
      <c r="Z80" s="24">
        <f t="shared" ca="1" si="10"/>
        <v>3.9209420814558804E-3</v>
      </c>
      <c r="AA80" s="24">
        <f t="shared" ca="1" si="11"/>
        <v>5.3369075741916516E-2</v>
      </c>
      <c r="AB80" s="9" cm="1">
        <f t="array" aca="1" ref="AB80" ca="1">_xll.BDH($E$8,"PX LAST",AG80)</f>
        <v>6849.09</v>
      </c>
      <c r="AC80" s="9" cm="1">
        <f t="array" aca="1" ref="AC80" ca="1">_xll.BDH($E$8,"PX LAST",AH80)</f>
        <v>6538.76</v>
      </c>
      <c r="AD80" s="9" cm="1">
        <f t="array" aca="1" ref="AD80" ca="1">_xll.BDH($E$8,"PX LAST",AI80)</f>
        <v>6737.49</v>
      </c>
      <c r="AE80" s="9" cm="1">
        <f t="array" aca="1" ref="AE80" ca="1">_xll.BDH($E$8,"PX LAST",AJ80)</f>
        <v>6822.34</v>
      </c>
      <c r="AF80" s="9" cm="1">
        <f t="array" aca="1" ref="AF80" ca="1">_xll.BDH($E$8,"PX LAST",AK80)</f>
        <v>6502.08</v>
      </c>
      <c r="AG80" s="20">
        <f t="shared" ca="1" si="17"/>
        <v>45989</v>
      </c>
      <c r="AH80" s="22">
        <f t="shared" ca="1" si="12"/>
        <v>45981</v>
      </c>
      <c r="AI80" s="22">
        <f t="shared" ca="1" si="13"/>
        <v>45974</v>
      </c>
      <c r="AJ80" s="22">
        <f t="shared" ca="1" si="14"/>
        <v>45960</v>
      </c>
      <c r="AK80" s="22">
        <f t="shared" ca="1" si="15"/>
        <v>45904</v>
      </c>
      <c r="AL80" s="22">
        <f t="shared" ca="1" si="16"/>
        <v>45818</v>
      </c>
    </row>
    <row r="81" spans="4:38" x14ac:dyDescent="0.25">
      <c r="D81" s="6">
        <f ca="1"/>
        <v>45987</v>
      </c>
      <c r="E81" s="28">
        <f ca="1"/>
        <v>264.58</v>
      </c>
      <c r="F81" s="29" cm="1">
        <f t="array" aca="1" ref="F81" ca="1">_xll.FDS($E$7,"P_BETA_LOCIDX("&amp;$AG81&amp;","&amp;$AL81&amp;",,"""&amp;$E$9&amp;""")")</f>
        <v>1.5154392999999999</v>
      </c>
      <c r="G81" s="30">
        <f t="shared" ca="1" si="2"/>
        <v>9.5339378546102777E-3</v>
      </c>
      <c r="H81" s="30">
        <f t="shared" ca="1" si="2"/>
        <v>-1.1458033042246289E-3</v>
      </c>
      <c r="I81" s="30">
        <f t="shared" ca="1" si="2"/>
        <v>0.17611452407880349</v>
      </c>
      <c r="J81" s="30">
        <f t="shared" ca="1" si="2"/>
        <v>0.12865463743661987</v>
      </c>
      <c r="K81" s="30">
        <f t="shared" ca="1" si="3"/>
        <v>3.8888950083256033E-2</v>
      </c>
      <c r="L81" s="30">
        <f t="shared" ca="1" si="3"/>
        <v>-8.4742603304375393E-3</v>
      </c>
      <c r="M81" s="30">
        <f t="shared" ca="1" si="3"/>
        <v>-1.7150049068947699E-2</v>
      </c>
      <c r="N81" s="30">
        <f t="shared" ca="1" si="3"/>
        <v>8.5627798654985932E-2</v>
      </c>
      <c r="O81" s="30">
        <f t="shared" ca="1" si="4"/>
        <v>4.842288793786631E-2</v>
      </c>
      <c r="P81" s="30">
        <f t="shared" ca="1" si="5"/>
        <v>-9.6200636346621682E-3</v>
      </c>
      <c r="Q81" s="30">
        <f t="shared" ca="1" si="6"/>
        <v>0.15896447500985578</v>
      </c>
      <c r="R81" s="30">
        <f t="shared" ca="1" si="7"/>
        <v>0.2142824360916058</v>
      </c>
      <c r="S81" s="9" cm="1">
        <f t="array" aca="1" ref="S81" ca="1">_xll.BDH($E$6,"PX LAST",AG81)</f>
        <v>264.58</v>
      </c>
      <c r="T81" s="9" cm="1">
        <f t="array" aca="1" ref="T81" ca="1">_xll.BDH($E$6,"PX LAST",AH81)</f>
        <v>252.36</v>
      </c>
      <c r="U81" s="9" cm="1">
        <f t="array" aca="1" ref="U81" ca="1">_xll.BDH($E$6,"PX LAST",AI81)</f>
        <v>267.14999999999998</v>
      </c>
      <c r="V81" s="9" cm="1">
        <f t="array" aca="1" ref="V81" ca="1">_xll.BDH($E$6,"PX LAST",AJ81)</f>
        <v>228.29</v>
      </c>
      <c r="W81" s="9" cm="1">
        <f t="array" aca="1" ref="W81" ca="1">_xll.BDH($E$6,"PX LAST",AK81)</f>
        <v>217.89</v>
      </c>
      <c r="X81" s="24">
        <f t="shared" ca="1" si="8"/>
        <v>2.5661832897732051E-2</v>
      </c>
      <c r="Y81" s="24">
        <f t="shared" ca="1" si="9"/>
        <v>-5.5919496943477309E-3</v>
      </c>
      <c r="Z81" s="24">
        <f t="shared" ca="1" si="10"/>
        <v>-1.1316882879405132E-2</v>
      </c>
      <c r="AA81" s="24">
        <f t="shared" ca="1" si="11"/>
        <v>5.6503614928678392E-2</v>
      </c>
      <c r="AB81" s="9" cm="1">
        <f t="array" aca="1" ref="AB81" ca="1">_xll.BDH($E$8,"PX LAST",AG81)</f>
        <v>6812.61</v>
      </c>
      <c r="AC81" s="9" cm="1">
        <f t="array" aca="1" ref="AC81" ca="1">_xll.BDH($E$8,"PX LAST",AH81)</f>
        <v>6642.16</v>
      </c>
      <c r="AD81" s="9" cm="1">
        <f t="array" aca="1" ref="AD81" ca="1">_xll.BDH($E$8,"PX LAST",AI81)</f>
        <v>6850.92</v>
      </c>
      <c r="AE81" s="9" cm="1">
        <f t="array" aca="1" ref="AE81" ca="1">_xll.BDH($E$8,"PX LAST",AJ81)</f>
        <v>6890.59</v>
      </c>
      <c r="AF81" s="9" cm="1">
        <f t="array" aca="1" ref="AF81" ca="1">_xll.BDH($E$8,"PX LAST",AK81)</f>
        <v>6448.26</v>
      </c>
      <c r="AG81" s="20">
        <f t="shared" ca="1" si="17"/>
        <v>45987</v>
      </c>
      <c r="AH81" s="22">
        <f t="shared" ca="1" si="12"/>
        <v>45980</v>
      </c>
      <c r="AI81" s="22">
        <f t="shared" ca="1" si="13"/>
        <v>45973</v>
      </c>
      <c r="AJ81" s="22">
        <f t="shared" ca="1" si="14"/>
        <v>45959</v>
      </c>
      <c r="AK81" s="22">
        <f t="shared" ca="1" si="15"/>
        <v>45903</v>
      </c>
      <c r="AL81" s="22">
        <f t="shared" ca="1" si="16"/>
        <v>45817</v>
      </c>
    </row>
    <row r="82" spans="4:38" x14ac:dyDescent="0.25">
      <c r="D82" s="6">
        <f ca="1"/>
        <v>45986</v>
      </c>
      <c r="E82" s="28">
        <f ca="1"/>
        <v>260.13</v>
      </c>
      <c r="F82" s="29" cm="1">
        <f t="array" aca="1" ref="F82" ca="1">_xll.FDS($E$7,"P_BETA_LOCIDX("&amp;$AG82&amp;","&amp;$AL82&amp;",,"""&amp;$E$9&amp;""")")</f>
        <v>1.5137365</v>
      </c>
      <c r="G82" s="30">
        <f t="shared" ca="1" si="2"/>
        <v>1.0631239218425473E-2</v>
      </c>
      <c r="H82" s="30">
        <f t="shared" ca="1" si="2"/>
        <v>2.6104639524829294E-2</v>
      </c>
      <c r="I82" s="30">
        <f t="shared" ca="1" si="2"/>
        <v>0.20574630634675292</v>
      </c>
      <c r="J82" s="30">
        <f t="shared" ca="1" si="2"/>
        <v>0.1051460511594897</v>
      </c>
      <c r="K82" s="30">
        <f t="shared" ca="1" si="3"/>
        <v>3.3983651151825764E-2</v>
      </c>
      <c r="L82" s="30">
        <f t="shared" ca="1" si="3"/>
        <v>-1.7848825571341004E-2</v>
      </c>
      <c r="M82" s="30">
        <f t="shared" ca="1" si="3"/>
        <v>-2.7461213263453608E-2</v>
      </c>
      <c r="N82" s="30">
        <f t="shared" ca="1" si="3"/>
        <v>8.26621680185924E-2</v>
      </c>
      <c r="O82" s="30">
        <f t="shared" ca="1" si="4"/>
        <v>4.4614890370251237E-2</v>
      </c>
      <c r="P82" s="30">
        <f t="shared" ca="1" si="5"/>
        <v>8.2558139534882891E-3</v>
      </c>
      <c r="Q82" s="30">
        <f t="shared" ca="1" si="6"/>
        <v>0.17828509308329932</v>
      </c>
      <c r="R82" s="30">
        <f t="shared" ca="1" si="7"/>
        <v>0.1878082191780821</v>
      </c>
      <c r="S82" s="9" cm="1">
        <f t="array" aca="1" ref="S82" ca="1">_xll.BDH($E$6,"PX LAST",AG82)</f>
        <v>260.13</v>
      </c>
      <c r="T82" s="9" cm="1">
        <f t="array" aca="1" ref="T82" ca="1">_xll.BDH($E$6,"PX LAST",AH82)</f>
        <v>249.02</v>
      </c>
      <c r="U82" s="9" cm="1">
        <f t="array" aca="1" ref="U82" ca="1">_xll.BDH($E$6,"PX LAST",AI82)</f>
        <v>258</v>
      </c>
      <c r="V82" s="9" cm="1">
        <f t="array" aca="1" ref="V82" ca="1">_xll.BDH($E$6,"PX LAST",AJ82)</f>
        <v>220.77</v>
      </c>
      <c r="W82" s="9" cm="1">
        <f t="array" aca="1" ref="W82" ca="1">_xll.BDH($E$6,"PX LAST",AK82)</f>
        <v>219</v>
      </c>
      <c r="X82" s="24">
        <f t="shared" ca="1" si="8"/>
        <v>2.2450176204263927E-2</v>
      </c>
      <c r="Y82" s="24">
        <f t="shared" ca="1" si="9"/>
        <v>-1.179123683107397E-2</v>
      </c>
      <c r="Z82" s="24">
        <f t="shared" ca="1" si="10"/>
        <v>-1.8141343135647192E-2</v>
      </c>
      <c r="AA82" s="24">
        <f t="shared" ca="1" si="11"/>
        <v>5.4608029877453834E-2</v>
      </c>
      <c r="AB82" s="9" cm="1">
        <f t="array" aca="1" ref="AB82" ca="1">_xll.BDH($E$8,"PX LAST",AG82)</f>
        <v>6765.88</v>
      </c>
      <c r="AC82" s="9" cm="1">
        <f t="array" aca="1" ref="AC82" ca="1">_xll.BDH($E$8,"PX LAST",AH82)</f>
        <v>6617.32</v>
      </c>
      <c r="AD82" s="9" cm="1">
        <f t="array" aca="1" ref="AD82" ca="1">_xll.BDH($E$8,"PX LAST",AI82)</f>
        <v>6846.61</v>
      </c>
      <c r="AE82" s="9" cm="1">
        <f t="array" aca="1" ref="AE82" ca="1">_xll.BDH($E$8,"PX LAST",AJ82)</f>
        <v>6890.89</v>
      </c>
      <c r="AF82" s="9" cm="1">
        <f t="array" aca="1" ref="AF82" ca="1">_xll.BDH($E$8,"PX LAST",AK82)</f>
        <v>6415.54</v>
      </c>
      <c r="AG82" s="20">
        <f t="shared" ca="1" si="17"/>
        <v>45986</v>
      </c>
      <c r="AH82" s="22">
        <f t="shared" ca="1" si="12"/>
        <v>45979</v>
      </c>
      <c r="AI82" s="22">
        <f t="shared" ca="1" si="13"/>
        <v>45972</v>
      </c>
      <c r="AJ82" s="22">
        <f t="shared" ca="1" si="14"/>
        <v>45958</v>
      </c>
      <c r="AK82" s="22">
        <f t="shared" ca="1" si="15"/>
        <v>45902</v>
      </c>
      <c r="AL82" s="22">
        <f t="shared" ca="1" si="16"/>
        <v>45814</v>
      </c>
    </row>
    <row r="83" spans="4:38" x14ac:dyDescent="0.25">
      <c r="D83" s="6">
        <f ca="1"/>
        <v>45985</v>
      </c>
      <c r="E83" s="28">
        <f ca="1"/>
        <v>254.53</v>
      </c>
      <c r="F83" s="29" cm="1">
        <f t="array" aca="1" ref="F83" ca="1">_xll.FDS($E$7,"P_BETA_LOCIDX("&amp;$AG83&amp;","&amp;$AL83&amp;",,"""&amp;$E$9&amp;""")")</f>
        <v>1.5039008</v>
      </c>
      <c r="G83" s="30">
        <f t="shared" ca="1" si="2"/>
        <v>1.9620683599326422E-2</v>
      </c>
      <c r="H83" s="30">
        <f t="shared" ca="1" si="2"/>
        <v>4.7675552297180776E-3</v>
      </c>
      <c r="I83" s="30">
        <f t="shared" ca="1" si="2"/>
        <v>0.1787389550009793</v>
      </c>
      <c r="J83" s="30">
        <f t="shared" ca="1" si="2"/>
        <v>0.10079498034090795</v>
      </c>
      <c r="K83" s="30">
        <f t="shared" ca="1" si="3"/>
        <v>7.3725378338563036E-3</v>
      </c>
      <c r="L83" s="30">
        <f t="shared" ca="1" si="3"/>
        <v>-2.802247675395144E-2</v>
      </c>
      <c r="M83" s="30">
        <f t="shared" ca="1" si="3"/>
        <v>-3.7195249569755444E-2</v>
      </c>
      <c r="N83" s="30">
        <f t="shared" ca="1" si="3"/>
        <v>5.7001598989514173E-2</v>
      </c>
      <c r="O83" s="30">
        <f t="shared" ca="1" si="4"/>
        <v>2.6993221433182724E-2</v>
      </c>
      <c r="P83" s="30">
        <f t="shared" ca="1" si="5"/>
        <v>-2.3254921524233363E-2</v>
      </c>
      <c r="Q83" s="30">
        <f t="shared" ca="1" si="6"/>
        <v>0.14154370543122385</v>
      </c>
      <c r="R83" s="30">
        <f t="shared" ca="1" si="7"/>
        <v>0.15779657933042213</v>
      </c>
      <c r="S83" s="9" cm="1">
        <f t="array" aca="1" ref="S83" ca="1">_xll.BDH($E$6,"PX LAST",AG83)</f>
        <v>254.53</v>
      </c>
      <c r="T83" s="9" cm="1">
        <f t="array" aca="1" ref="T83" ca="1">_xll.BDH($E$6,"PX LAST",AH83)</f>
        <v>247.84</v>
      </c>
      <c r="U83" s="9" cm="1">
        <f t="array" aca="1" ref="U83" ca="1">_xll.BDH($E$6,"PX LAST",AI83)</f>
        <v>260.58999999999997</v>
      </c>
      <c r="V83" s="9" cm="1">
        <f t="array" aca="1" ref="V83" ca="1">_xll.BDH($E$6,"PX LAST",AJ83)</f>
        <v>222.97</v>
      </c>
      <c r="W83" s="9" cm="1">
        <f t="array" aca="1" ref="W83" ca="1">_xll.BDH($E$6,"PX LAST",AK83)</f>
        <v>219.84</v>
      </c>
      <c r="X83" s="24">
        <f t="shared" ca="1" si="8"/>
        <v>4.9022766886328561E-3</v>
      </c>
      <c r="Y83" s="24">
        <f t="shared" ca="1" si="9"/>
        <v>-1.863319492479254E-2</v>
      </c>
      <c r="Z83" s="24">
        <f t="shared" ca="1" si="10"/>
        <v>-2.4732515316007175E-2</v>
      </c>
      <c r="AA83" s="24">
        <f t="shared" ca="1" si="11"/>
        <v>3.7902499280214608E-2</v>
      </c>
      <c r="AB83" s="9" cm="1">
        <f t="array" aca="1" ref="AB83" ca="1">_xll.BDH($E$8,"PX LAST",AG83)</f>
        <v>6705.12</v>
      </c>
      <c r="AC83" s="9" cm="1">
        <f t="array" aca="1" ref="AC83" ca="1">_xll.BDH($E$8,"PX LAST",AH83)</f>
        <v>6672.41</v>
      </c>
      <c r="AD83" s="9" cm="1">
        <f t="array" aca="1" ref="AD83" ca="1">_xll.BDH($E$8,"PX LAST",AI83)</f>
        <v>6832.43</v>
      </c>
      <c r="AE83" s="9" cm="1">
        <f t="array" aca="1" ref="AE83" ca="1">_xll.BDH($E$8,"PX LAST",AJ83)</f>
        <v>6875.16</v>
      </c>
      <c r="AF83" s="9" cm="1">
        <f t="array" aca="1" ref="AF83" ca="1">_xll.BDH($E$8,"PX LAST",AK83)</f>
        <v>6460.26</v>
      </c>
      <c r="AG83" s="20">
        <f t="shared" ca="1" si="17"/>
        <v>45985</v>
      </c>
      <c r="AH83" s="22">
        <f t="shared" ca="1" si="12"/>
        <v>45978</v>
      </c>
      <c r="AI83" s="22">
        <f t="shared" ca="1" si="13"/>
        <v>45971</v>
      </c>
      <c r="AJ83" s="22">
        <f t="shared" ca="1" si="14"/>
        <v>45957</v>
      </c>
      <c r="AK83" s="22">
        <f t="shared" ca="1" si="15"/>
        <v>45898</v>
      </c>
      <c r="AL83" s="22">
        <f t="shared" ca="1" si="16"/>
        <v>45813</v>
      </c>
    </row>
    <row r="84" spans="4:38" x14ac:dyDescent="0.25">
      <c r="D84" s="6">
        <f ca="1"/>
        <v>45982</v>
      </c>
      <c r="E84" s="28">
        <f ca="1"/>
        <v>251.59</v>
      </c>
      <c r="F84" s="29" cm="1">
        <f t="array" aca="1" ref="F84" ca="1">_xll.FDS($E$7,"P_BETA_LOCIDX("&amp;$AG84&amp;","&amp;$AL84&amp;",,"""&amp;$E$9&amp;""")")</f>
        <v>1.541355</v>
      </c>
      <c r="G84" s="30">
        <f t="shared" ca="1" si="2"/>
        <v>9.9143852248716087E-3</v>
      </c>
      <c r="H84" s="30">
        <f t="shared" ca="1" si="2"/>
        <v>1.3785614024583719E-2</v>
      </c>
      <c r="I84" s="30">
        <f t="shared" ca="1" si="2"/>
        <v>0.15832551223514241</v>
      </c>
      <c r="J84" s="30">
        <f t="shared" ca="1" si="2"/>
        <v>9.1674721277833965E-2</v>
      </c>
      <c r="K84" s="30">
        <f t="shared" ca="1" si="3"/>
        <v>-3.0011756208318491E-2</v>
      </c>
      <c r="L84" s="30">
        <f t="shared" ca="1" si="3"/>
        <v>-2.8819086991737124E-2</v>
      </c>
      <c r="M84" s="30">
        <f t="shared" ca="1" si="3"/>
        <v>-4.2824935840711162E-2</v>
      </c>
      <c r="N84" s="30">
        <f t="shared" ca="1" si="3"/>
        <v>2.3974252160151109E-2</v>
      </c>
      <c r="O84" s="30">
        <f t="shared" ca="1" si="4"/>
        <v>-2.0097370983446883E-2</v>
      </c>
      <c r="P84" s="30">
        <f t="shared" ca="1" si="5"/>
        <v>-1.5033472967153405E-2</v>
      </c>
      <c r="Q84" s="30">
        <f t="shared" ca="1" si="6"/>
        <v>0.11550057639443123</v>
      </c>
      <c r="R84" s="30">
        <f t="shared" ca="1" si="7"/>
        <v>0.11564897343798508</v>
      </c>
      <c r="S84" s="9" cm="1">
        <f t="array" aca="1" ref="S84" ca="1">_xll.BDH($E$6,"PX LAST",AG84)</f>
        <v>251.59</v>
      </c>
      <c r="T84" s="9" cm="1">
        <f t="array" aca="1" ref="T84" ca="1">_xll.BDH($E$6,"PX LAST",AH84)</f>
        <v>256.75</v>
      </c>
      <c r="U84" s="9" cm="1">
        <f t="array" aca="1" ref="U84" ca="1">_xll.BDH($E$6,"PX LAST",AI84)</f>
        <v>255.43</v>
      </c>
      <c r="V84" s="9" cm="1">
        <f t="array" aca="1" ref="V84" ca="1">_xll.BDH($E$6,"PX LAST",AJ84)</f>
        <v>225.54</v>
      </c>
      <c r="W84" s="9" cm="1">
        <f t="array" aca="1" ref="W84" ca="1">_xll.BDH($E$6,"PX LAST",AK84)</f>
        <v>225.51</v>
      </c>
      <c r="X84" s="24">
        <f t="shared" ca="1" si="8"/>
        <v>-1.9471021411886613E-2</v>
      </c>
      <c r="Y84" s="24">
        <f t="shared" ca="1" si="9"/>
        <v>-1.8697241707288148E-2</v>
      </c>
      <c r="Z84" s="24">
        <f t="shared" ca="1" si="10"/>
        <v>-2.7783953625680757E-2</v>
      </c>
      <c r="AA84" s="24">
        <f t="shared" ca="1" si="11"/>
        <v>1.5554010698477061E-2</v>
      </c>
      <c r="AB84" s="9" cm="1">
        <f t="array" aca="1" ref="AB84" ca="1">_xll.BDH($E$8,"PX LAST",AG84)</f>
        <v>6602.99</v>
      </c>
      <c r="AC84" s="9" cm="1">
        <f t="array" aca="1" ref="AC84" ca="1">_xll.BDH($E$8,"PX LAST",AH84)</f>
        <v>6734.11</v>
      </c>
      <c r="AD84" s="9" cm="1">
        <f t="array" aca="1" ref="AD84" ca="1">_xll.BDH($E$8,"PX LAST",AI84)</f>
        <v>6728.8</v>
      </c>
      <c r="AE84" s="9" cm="1">
        <f t="array" aca="1" ref="AE84" ca="1">_xll.BDH($E$8,"PX LAST",AJ84)</f>
        <v>6791.69</v>
      </c>
      <c r="AF84" s="9" cm="1">
        <f t="array" aca="1" ref="AF84" ca="1">_xll.BDH($E$8,"PX LAST",AK84)</f>
        <v>6501.86</v>
      </c>
      <c r="AG84" s="20">
        <f t="shared" ca="1" si="17"/>
        <v>45982</v>
      </c>
      <c r="AH84" s="22">
        <f t="shared" ca="1" si="12"/>
        <v>45975</v>
      </c>
      <c r="AI84" s="22">
        <f t="shared" ca="1" si="13"/>
        <v>45968</v>
      </c>
      <c r="AJ84" s="22">
        <f t="shared" ca="1" si="14"/>
        <v>45954</v>
      </c>
      <c r="AK84" s="22">
        <f t="shared" ca="1" si="15"/>
        <v>45897</v>
      </c>
      <c r="AL84" s="22">
        <f t="shared" ca="1" si="16"/>
        <v>45812</v>
      </c>
    </row>
    <row r="85" spans="4:38" x14ac:dyDescent="0.25">
      <c r="D85" s="6">
        <f ca="1"/>
        <v>45981</v>
      </c>
      <c r="E85" s="28">
        <f ca="1"/>
        <v>246.98</v>
      </c>
      <c r="F85" s="29" cm="1">
        <f t="array" aca="1" ref="F85" ca="1">_xll.FDS($E$7,"P_BETA_LOCIDX("&amp;$AG85&amp;","&amp;$AL85&amp;",,"""&amp;$E$9&amp;""")")</f>
        <v>1.5706822</v>
      </c>
      <c r="G85" s="30">
        <f t="shared" ca="1" si="2"/>
        <v>3.5787931251045554E-3</v>
      </c>
      <c r="H85" s="30">
        <f t="shared" ca="1" si="2"/>
        <v>2.0272665634250703E-3</v>
      </c>
      <c r="I85" s="30">
        <f t="shared" ca="1" si="2"/>
        <v>0.17086682866578987</v>
      </c>
      <c r="J85" s="30">
        <f t="shared" ca="1" si="2"/>
        <v>7.3207264246802614E-2</v>
      </c>
      <c r="K85" s="30">
        <f t="shared" ca="1" si="3"/>
        <v>-4.6329074121965179E-2</v>
      </c>
      <c r="L85" s="30">
        <f t="shared" ca="1" si="3"/>
        <v>-4.2434446608494672E-2</v>
      </c>
      <c r="M85" s="30">
        <f t="shared" ca="1" si="3"/>
        <v>-4.6543980757563969E-2</v>
      </c>
      <c r="N85" s="30">
        <f t="shared" ca="1" si="3"/>
        <v>1.3900442958620104E-2</v>
      </c>
      <c r="O85" s="30">
        <f t="shared" ca="1" si="4"/>
        <v>-4.2750280996860623E-2</v>
      </c>
      <c r="P85" s="30">
        <f t="shared" ca="1" si="5"/>
        <v>-4.0407180045069602E-2</v>
      </c>
      <c r="Q85" s="30">
        <f t="shared" ca="1" si="6"/>
        <v>0.1243228479082259</v>
      </c>
      <c r="R85" s="30">
        <f t="shared" ca="1" si="7"/>
        <v>8.7107707205422713E-2</v>
      </c>
      <c r="S85" s="9" cm="1">
        <f t="array" aca="1" ref="S85" ca="1">_xll.BDH($E$6,"PX LAST",AG85)</f>
        <v>246.98</v>
      </c>
      <c r="T85" s="9" cm="1">
        <f t="array" aca="1" ref="T85" ca="1">_xll.BDH($E$6,"PX LAST",AH85)</f>
        <v>258.01</v>
      </c>
      <c r="U85" s="9" cm="1">
        <f t="array" aca="1" ref="U85" ca="1">_xll.BDH($E$6,"PX LAST",AI85)</f>
        <v>257.38</v>
      </c>
      <c r="V85" s="9" cm="1">
        <f t="array" aca="1" ref="V85" ca="1">_xll.BDH($E$6,"PX LAST",AJ85)</f>
        <v>219.67</v>
      </c>
      <c r="W85" s="9" cm="1">
        <f t="array" aca="1" ref="W85" ca="1">_xll.BDH($E$6,"PX LAST",AK85)</f>
        <v>227.19</v>
      </c>
      <c r="X85" s="24">
        <f t="shared" ca="1" si="8"/>
        <v>-2.9496147675172724E-2</v>
      </c>
      <c r="Y85" s="24">
        <f t="shared" ca="1" si="9"/>
        <v>-2.7016570639493254E-2</v>
      </c>
      <c r="Z85" s="24">
        <f t="shared" ca="1" si="10"/>
        <v>-2.9632971429588983E-2</v>
      </c>
      <c r="AA85" s="24">
        <f t="shared" ca="1" si="11"/>
        <v>8.8499398278150121E-3</v>
      </c>
      <c r="AB85" s="9" cm="1">
        <f t="array" aca="1" ref="AB85" ca="1">_xll.BDH($E$8,"PX LAST",AG85)</f>
        <v>6538.76</v>
      </c>
      <c r="AC85" s="9" cm="1">
        <f t="array" aca="1" ref="AC85" ca="1">_xll.BDH($E$8,"PX LAST",AH85)</f>
        <v>6737.49</v>
      </c>
      <c r="AD85" s="9" cm="1">
        <f t="array" aca="1" ref="AD85" ca="1">_xll.BDH($E$8,"PX LAST",AI85)</f>
        <v>6720.32</v>
      </c>
      <c r="AE85" s="9" cm="1">
        <f t="array" aca="1" ref="AE85" ca="1">_xll.BDH($E$8,"PX LAST",AJ85)</f>
        <v>6738.44</v>
      </c>
      <c r="AF85" s="9" cm="1">
        <f t="array" aca="1" ref="AF85" ca="1">_xll.BDH($E$8,"PX LAST",AK85)</f>
        <v>6481.4</v>
      </c>
      <c r="AG85" s="20">
        <f t="shared" ca="1" si="17"/>
        <v>45981</v>
      </c>
      <c r="AH85" s="22">
        <f t="shared" ca="1" si="12"/>
        <v>45974</v>
      </c>
      <c r="AI85" s="22">
        <f t="shared" ca="1" si="13"/>
        <v>45967</v>
      </c>
      <c r="AJ85" s="22">
        <f t="shared" ca="1" si="14"/>
        <v>45953</v>
      </c>
      <c r="AK85" s="22">
        <f t="shared" ca="1" si="15"/>
        <v>45896</v>
      </c>
      <c r="AL85" s="22">
        <f t="shared" ca="1" si="16"/>
        <v>45811</v>
      </c>
    </row>
    <row r="86" spans="4:38" x14ac:dyDescent="0.25">
      <c r="D86" s="6">
        <f ca="1"/>
        <v>45980</v>
      </c>
      <c r="E86" s="28">
        <f ca="1"/>
        <v>252.36</v>
      </c>
      <c r="F86" s="29" cm="1">
        <f t="array" aca="1" ref="F86" ca="1">_xll.FDS($E$7,"P_BETA_LOCIDX("&amp;$AG86&amp;","&amp;$AL86&amp;",,"""&amp;$E$9&amp;""")")</f>
        <v>1.5598198999999999</v>
      </c>
      <c r="G86" s="30">
        <f t="shared" ref="G86:J149" ca="1" si="18">+O86-K86</f>
        <v>-7.831605111484681E-3</v>
      </c>
      <c r="H86" s="30">
        <f t="shared" ca="1" si="18"/>
        <v>1.8889009297159337E-2</v>
      </c>
      <c r="I86" s="30">
        <f t="shared" ca="1" si="18"/>
        <v>0.19484316579748798</v>
      </c>
      <c r="J86" s="30">
        <f t="shared" ca="1" si="18"/>
        <v>7.1710705148863019E-2</v>
      </c>
      <c r="K86" s="30">
        <f t="shared" ref="K86:N149" ca="1" si="19">+X86*$F86</f>
        <v>-4.7530550980598267E-2</v>
      </c>
      <c r="L86" s="30">
        <f t="shared" ca="1" si="19"/>
        <v>-3.5374453001122658E-2</v>
      </c>
      <c r="M86" s="30">
        <f t="shared" ca="1" si="19"/>
        <v>-1.3327177221243686E-2</v>
      </c>
      <c r="N86" s="30">
        <f t="shared" ca="1" si="19"/>
        <v>4.251067327844061E-2</v>
      </c>
      <c r="O86" s="30">
        <f t="shared" ref="O86:O149" ca="1" si="20">+S86/T86-1</f>
        <v>-5.5362156092082948E-2</v>
      </c>
      <c r="P86" s="30">
        <f t="shared" ref="P86:P149" ca="1" si="21">+S86/U86-1</f>
        <v>-1.6485443703963321E-2</v>
      </c>
      <c r="Q86" s="30">
        <f t="shared" ref="Q86:Q149" ca="1" si="22">+S86/V86-1</f>
        <v>0.18151598857624429</v>
      </c>
      <c r="R86" s="30">
        <f t="shared" ref="R86:R149" ca="1" si="23">+S86/W86-1</f>
        <v>0.11422137842730362</v>
      </c>
      <c r="S86" s="9" cm="1">
        <f t="array" aca="1" ref="S86" ca="1">_xll.BDH($E$6,"PX LAST",AG86)</f>
        <v>252.36</v>
      </c>
      <c r="T86" s="9" cm="1">
        <f t="array" aca="1" ref="T86" ca="1">_xll.BDH($E$6,"PX LAST",AH86)</f>
        <v>267.14999999999998</v>
      </c>
      <c r="U86" s="9" cm="1">
        <f t="array" aca="1" ref="U86" ca="1">_xll.BDH($E$6,"PX LAST",AI86)</f>
        <v>256.58999999999997</v>
      </c>
      <c r="V86" s="9" cm="1">
        <f t="array" aca="1" ref="V86" ca="1">_xll.BDH($E$6,"PX LAST",AJ86)</f>
        <v>213.59</v>
      </c>
      <c r="W86" s="9" cm="1">
        <f t="array" aca="1" ref="W86" ca="1">_xll.BDH($E$6,"PX LAST",AK86)</f>
        <v>226.49</v>
      </c>
      <c r="X86" s="24">
        <f t="shared" ref="X86:X149" ca="1" si="24">+AB86/AC86-1</f>
        <v>-3.0471819843174375E-2</v>
      </c>
      <c r="Y86" s="24">
        <f t="shared" ref="Y86:Y149" ca="1" si="25">+AB86/AD86-1</f>
        <v>-2.267854962045468E-2</v>
      </c>
      <c r="Z86" s="24">
        <f t="shared" ref="Z86:Z149" ca="1" si="26">+AB86/AE86-1</f>
        <v>-8.5440487207809612E-3</v>
      </c>
      <c r="AA86" s="24">
        <f t="shared" ref="AA86:AA149" ca="1" si="27">+AB86/AF86-1</f>
        <v>2.7253577979381216E-2</v>
      </c>
      <c r="AB86" s="9" cm="1">
        <f t="array" aca="1" ref="AB86" ca="1">_xll.BDH($E$8,"PX LAST",AG86)</f>
        <v>6642.16</v>
      </c>
      <c r="AC86" s="9" cm="1">
        <f t="array" aca="1" ref="AC86" ca="1">_xll.BDH($E$8,"PX LAST",AH86)</f>
        <v>6850.92</v>
      </c>
      <c r="AD86" s="9" cm="1">
        <f t="array" aca="1" ref="AD86" ca="1">_xll.BDH($E$8,"PX LAST",AI86)</f>
        <v>6796.29</v>
      </c>
      <c r="AE86" s="9" cm="1">
        <f t="array" aca="1" ref="AE86" ca="1">_xll.BDH($E$8,"PX LAST",AJ86)</f>
        <v>6699.4</v>
      </c>
      <c r="AF86" s="9" cm="1">
        <f t="array" aca="1" ref="AF86" ca="1">_xll.BDH($E$8,"PX LAST",AK86)</f>
        <v>6465.94</v>
      </c>
      <c r="AG86" s="20">
        <f t="shared" ca="1" si="17"/>
        <v>45980</v>
      </c>
      <c r="AH86" s="22">
        <f t="shared" ref="AH86:AH149" ca="1" si="28">+WORKDAY($AG86, -5, $AN$2:$AN$100)</f>
        <v>45973</v>
      </c>
      <c r="AI86" s="22">
        <f t="shared" ref="AI86:AI149" ca="1" si="29">+WORKDAY($AG86, -10, $AN$2:$AN$100)</f>
        <v>45966</v>
      </c>
      <c r="AJ86" s="22">
        <f t="shared" ref="AJ86:AJ149" ca="1" si="30">+WORKDAY($AG86, -20, $AN$2:$AN$100)</f>
        <v>45952</v>
      </c>
      <c r="AK86" s="22">
        <f t="shared" ref="AK86:AK149" ca="1" si="31">+WORKDAY($AG86, -60, $AN$2:$AN$100)</f>
        <v>45895</v>
      </c>
      <c r="AL86" s="22">
        <f t="shared" ref="AL86:AL149" ca="1" si="32">+WORKDAY($AG86, -120, $AN$2:$AN$100)</f>
        <v>45810</v>
      </c>
    </row>
    <row r="87" spans="4:38" x14ac:dyDescent="0.25">
      <c r="D87" s="6">
        <f ca="1"/>
        <v>45979</v>
      </c>
      <c r="E87" s="28">
        <f ca="1"/>
        <v>249.02</v>
      </c>
      <c r="F87" s="29" cm="1">
        <f t="array" aca="1" ref="F87" ca="1">_xll.FDS($E$7,"P_BETA_LOCIDX("&amp;$AG87&amp;","&amp;$AL87&amp;",,"""&amp;$E$9&amp;""")")</f>
        <v>1.560907</v>
      </c>
      <c r="G87" s="30">
        <f t="shared" ca="1" si="18"/>
        <v>1.7467897022482692E-2</v>
      </c>
      <c r="H87" s="30">
        <f t="shared" ca="1" si="18"/>
        <v>2.3255756996832147E-2</v>
      </c>
      <c r="I87" s="30">
        <f t="shared" ca="1" si="18"/>
        <v>0.1569005810776162</v>
      </c>
      <c r="J87" s="30">
        <f t="shared" ca="1" si="18"/>
        <v>6.6171678113203292E-2</v>
      </c>
      <c r="K87" s="30">
        <f t="shared" ca="1" si="19"/>
        <v>-5.2274098572870298E-2</v>
      </c>
      <c r="L87" s="30">
        <f t="shared" ca="1" si="19"/>
        <v>-3.5551489187852239E-2</v>
      </c>
      <c r="M87" s="30">
        <f t="shared" ca="1" si="19"/>
        <v>-2.7353270907970829E-2</v>
      </c>
      <c r="N87" s="30">
        <f t="shared" ca="1" si="19"/>
        <v>4.3147637638756779E-2</v>
      </c>
      <c r="O87" s="30">
        <f t="shared" ca="1" si="20"/>
        <v>-3.4806201550387605E-2</v>
      </c>
      <c r="P87" s="30">
        <f t="shared" ca="1" si="21"/>
        <v>-1.2295732191020092E-2</v>
      </c>
      <c r="Q87" s="30">
        <f t="shared" ca="1" si="22"/>
        <v>0.12954731016964538</v>
      </c>
      <c r="R87" s="30">
        <f t="shared" ca="1" si="23"/>
        <v>0.10931931575196008</v>
      </c>
      <c r="S87" s="9" cm="1">
        <f t="array" aca="1" ref="S87" ca="1">_xll.BDH($E$6,"PX LAST",AG87)</f>
        <v>249.02</v>
      </c>
      <c r="T87" s="9" cm="1">
        <f t="array" aca="1" ref="T87" ca="1">_xll.BDH($E$6,"PX LAST",AH87)</f>
        <v>258</v>
      </c>
      <c r="U87" s="9" cm="1">
        <f t="array" aca="1" ref="U87" ca="1">_xll.BDH($E$6,"PX LAST",AI87)</f>
        <v>252.12</v>
      </c>
      <c r="V87" s="9" cm="1">
        <f t="array" aca="1" ref="V87" ca="1">_xll.BDH($E$6,"PX LAST",AJ87)</f>
        <v>220.46</v>
      </c>
      <c r="W87" s="9" cm="1">
        <f t="array" aca="1" ref="W87" ca="1">_xll.BDH($E$6,"PX LAST",AK87)</f>
        <v>224.48</v>
      </c>
      <c r="X87" s="24">
        <f t="shared" ca="1" si="24"/>
        <v>-3.3489566369341861E-2</v>
      </c>
      <c r="Y87" s="24">
        <f t="shared" ca="1" si="25"/>
        <v>-2.2776173844983871E-2</v>
      </c>
      <c r="Z87" s="24">
        <f t="shared" ca="1" si="26"/>
        <v>-1.7523959408197176E-2</v>
      </c>
      <c r="AA87" s="24">
        <f t="shared" ca="1" si="27"/>
        <v>2.7642670344073528E-2</v>
      </c>
      <c r="AB87" s="9" cm="1">
        <f t="array" aca="1" ref="AB87" ca="1">_xll.BDH($E$8,"PX LAST",AG87)</f>
        <v>6617.32</v>
      </c>
      <c r="AC87" s="9" cm="1">
        <f t="array" aca="1" ref="AC87" ca="1">_xll.BDH($E$8,"PX LAST",AH87)</f>
        <v>6846.61</v>
      </c>
      <c r="AD87" s="9" cm="1">
        <f t="array" aca="1" ref="AD87" ca="1">_xll.BDH($E$8,"PX LAST",AI87)</f>
        <v>6771.55</v>
      </c>
      <c r="AE87" s="9" cm="1">
        <f t="array" aca="1" ref="AE87" ca="1">_xll.BDH($E$8,"PX LAST",AJ87)</f>
        <v>6735.35</v>
      </c>
      <c r="AF87" s="9" cm="1">
        <f t="array" aca="1" ref="AF87" ca="1">_xll.BDH($E$8,"PX LAST",AK87)</f>
        <v>6439.32</v>
      </c>
      <c r="AG87" s="20">
        <f t="shared" ref="AG87:AG150" ca="1" si="33">+WORKDAY(D87, 0, $AN$2:$AN$59)</f>
        <v>45979</v>
      </c>
      <c r="AH87" s="22">
        <f t="shared" ca="1" si="28"/>
        <v>45972</v>
      </c>
      <c r="AI87" s="22">
        <f t="shared" ca="1" si="29"/>
        <v>45965</v>
      </c>
      <c r="AJ87" s="22">
        <f t="shared" ca="1" si="30"/>
        <v>45951</v>
      </c>
      <c r="AK87" s="22">
        <f t="shared" ca="1" si="31"/>
        <v>45894</v>
      </c>
      <c r="AL87" s="22">
        <f t="shared" ca="1" si="32"/>
        <v>45807</v>
      </c>
    </row>
    <row r="88" spans="4:38" x14ac:dyDescent="0.25">
      <c r="D88" s="6">
        <f ca="1"/>
        <v>45978</v>
      </c>
      <c r="E88" s="28">
        <f ca="1"/>
        <v>247.84</v>
      </c>
      <c r="F88" s="29" cm="1">
        <f t="array" aca="1" ref="F88" ca="1">_xll.FDS($E$7,"P_BETA_LOCIDX("&amp;$AG88&amp;","&amp;$AL88&amp;",,"""&amp;$E$9&amp;""")")</f>
        <v>1.5790489999999999</v>
      </c>
      <c r="G88" s="30">
        <f t="shared" ca="1" si="18"/>
        <v>-1.1945068770752139E-2</v>
      </c>
      <c r="H88" s="30">
        <f t="shared" ca="1" si="18"/>
        <v>-9.9502136168668626E-3</v>
      </c>
      <c r="I88" s="30">
        <f t="shared" ca="1" si="18"/>
        <v>0.14716984203194683</v>
      </c>
      <c r="J88" s="30">
        <f t="shared" ca="1" si="18"/>
        <v>6.5213854680186825E-2</v>
      </c>
      <c r="K88" s="30">
        <f t="shared" ca="1" si="19"/>
        <v>-3.6982365129243959E-2</v>
      </c>
      <c r="L88" s="30">
        <f t="shared" ca="1" si="19"/>
        <v>-4.137992992380303E-2</v>
      </c>
      <c r="M88" s="30">
        <f t="shared" ca="1" si="19"/>
        <v>-1.4704683247391047E-2</v>
      </c>
      <c r="N88" s="30">
        <f t="shared" ca="1" si="19"/>
        <v>5.0177684473728709E-2</v>
      </c>
      <c r="O88" s="30">
        <f t="shared" ca="1" si="20"/>
        <v>-4.8927433899996098E-2</v>
      </c>
      <c r="P88" s="30">
        <f t="shared" ca="1" si="21"/>
        <v>-5.1330143540669892E-2</v>
      </c>
      <c r="Q88" s="30">
        <f t="shared" ca="1" si="22"/>
        <v>0.13246515878455578</v>
      </c>
      <c r="R88" s="30">
        <f t="shared" ca="1" si="23"/>
        <v>0.11539153915391553</v>
      </c>
      <c r="S88" s="9" cm="1">
        <f t="array" aca="1" ref="S88" ca="1">_xll.BDH($E$6,"PX LAST",AG88)</f>
        <v>247.84</v>
      </c>
      <c r="T88" s="9" cm="1">
        <f t="array" aca="1" ref="T88" ca="1">_xll.BDH($E$6,"PX LAST",AH88)</f>
        <v>260.58999999999997</v>
      </c>
      <c r="U88" s="9" cm="1">
        <f t="array" aca="1" ref="U88" ca="1">_xll.BDH($E$6,"PX LAST",AI88)</f>
        <v>261.25</v>
      </c>
      <c r="V88" s="9" cm="1">
        <f t="array" aca="1" ref="V88" ca="1">_xll.BDH($E$6,"PX LAST",AJ88)</f>
        <v>218.85</v>
      </c>
      <c r="W88" s="9" cm="1">
        <f t="array" aca="1" ref="W88" ca="1">_xll.BDH($E$6,"PX LAST",AK88)</f>
        <v>222.2</v>
      </c>
      <c r="X88" s="24">
        <f t="shared" ca="1" si="24"/>
        <v>-2.3420657072227624E-2</v>
      </c>
      <c r="Y88" s="24">
        <f t="shared" ca="1" si="25"/>
        <v>-2.6205602184481314E-2</v>
      </c>
      <c r="Z88" s="24">
        <f t="shared" ca="1" si="26"/>
        <v>-9.3123666506809144E-3</v>
      </c>
      <c r="AA88" s="24">
        <f t="shared" ca="1" si="27"/>
        <v>3.1777154777165695E-2</v>
      </c>
      <c r="AB88" s="9" cm="1">
        <f t="array" aca="1" ref="AB88" ca="1">_xll.BDH($E$8,"PX LAST",AG88)</f>
        <v>6672.41</v>
      </c>
      <c r="AC88" s="9" cm="1">
        <f t="array" aca="1" ref="AC88" ca="1">_xll.BDH($E$8,"PX LAST",AH88)</f>
        <v>6832.43</v>
      </c>
      <c r="AD88" s="9" cm="1">
        <f t="array" aca="1" ref="AD88" ca="1">_xll.BDH($E$8,"PX LAST",AI88)</f>
        <v>6851.97</v>
      </c>
      <c r="AE88" s="9" cm="1">
        <f t="array" aca="1" ref="AE88" ca="1">_xll.BDH($E$8,"PX LAST",AJ88)</f>
        <v>6735.13</v>
      </c>
      <c r="AF88" s="9" cm="1">
        <f t="array" aca="1" ref="AF88" ca="1">_xll.BDH($E$8,"PX LAST",AK88)</f>
        <v>6466.91</v>
      </c>
      <c r="AG88" s="20">
        <f t="shared" ca="1" si="33"/>
        <v>45978</v>
      </c>
      <c r="AH88" s="22">
        <f t="shared" ca="1" si="28"/>
        <v>45971</v>
      </c>
      <c r="AI88" s="22">
        <f t="shared" ca="1" si="29"/>
        <v>45964</v>
      </c>
      <c r="AJ88" s="22">
        <f t="shared" ca="1" si="30"/>
        <v>45950</v>
      </c>
      <c r="AK88" s="22">
        <f t="shared" ca="1" si="31"/>
        <v>45891</v>
      </c>
      <c r="AL88" s="22">
        <f t="shared" ca="1" si="32"/>
        <v>45806</v>
      </c>
    </row>
    <row r="89" spans="4:38" x14ac:dyDescent="0.25">
      <c r="D89" s="6">
        <f ca="1"/>
        <v>45975</v>
      </c>
      <c r="E89" s="28">
        <f ca="1"/>
        <v>256.75</v>
      </c>
      <c r="F89" s="29" cm="1">
        <f t="array" aca="1" ref="F89" ca="1">_xll.FDS($E$7,"P_BETA_LOCIDX("&amp;$AG89&amp;","&amp;$AL89&amp;",,"""&amp;$E$9&amp;""")")</f>
        <v>1.4983556</v>
      </c>
      <c r="G89" s="30">
        <f t="shared" ca="1" si="18"/>
        <v>3.9853362522072411E-3</v>
      </c>
      <c r="H89" s="30">
        <f t="shared" ca="1" si="18"/>
        <v>1.2527495242996785E-2</v>
      </c>
      <c r="I89" s="30">
        <f t="shared" ca="1" si="18"/>
        <v>0.18523953900753184</v>
      </c>
      <c r="J89" s="30">
        <f t="shared" ca="1" si="18"/>
        <v>0.13110539445508324</v>
      </c>
      <c r="K89" s="30">
        <f t="shared" ca="1" si="19"/>
        <v>1.182420080251787E-3</v>
      </c>
      <c r="L89" s="30">
        <f t="shared" ca="1" si="19"/>
        <v>-2.3239166340750291E-2</v>
      </c>
      <c r="M89" s="30">
        <f t="shared" ca="1" si="19"/>
        <v>1.5761490087799829E-2</v>
      </c>
      <c r="N89" s="30">
        <f t="shared" ca="1" si="19"/>
        <v>8.5603922197366622E-2</v>
      </c>
      <c r="O89" s="30">
        <f t="shared" ca="1" si="20"/>
        <v>5.1677563324590281E-3</v>
      </c>
      <c r="P89" s="30">
        <f t="shared" ca="1" si="21"/>
        <v>-1.0711671097753506E-2</v>
      </c>
      <c r="Q89" s="30">
        <f t="shared" ca="1" si="22"/>
        <v>0.20100102909533168</v>
      </c>
      <c r="R89" s="30">
        <f t="shared" ca="1" si="23"/>
        <v>0.21670931665244986</v>
      </c>
      <c r="S89" s="9" cm="1">
        <f t="array" aca="1" ref="S89" ca="1">_xll.BDH($E$6,"PX LAST",AG89)</f>
        <v>256.75</v>
      </c>
      <c r="T89" s="9" cm="1">
        <f t="array" aca="1" ref="T89" ca="1">_xll.BDH($E$6,"PX LAST",AH89)</f>
        <v>255.43</v>
      </c>
      <c r="U89" s="9" cm="1">
        <f t="array" aca="1" ref="U89" ca="1">_xll.BDH($E$6,"PX LAST",AI89)</f>
        <v>259.52999999999997</v>
      </c>
      <c r="V89" s="9" cm="1">
        <f t="array" aca="1" ref="V89" ca="1">_xll.BDH($E$6,"PX LAST",AJ89)</f>
        <v>213.78</v>
      </c>
      <c r="W89" s="9" cm="1">
        <f t="array" aca="1" ref="W89" ca="1">_xll.BDH($E$6,"PX LAST",AK89)</f>
        <v>211.02</v>
      </c>
      <c r="X89" s="24">
        <f t="shared" ca="1" si="24"/>
        <v>7.8914516704298165E-4</v>
      </c>
      <c r="Y89" s="24">
        <f t="shared" ca="1" si="25"/>
        <v>-1.550978041577733E-2</v>
      </c>
      <c r="Z89" s="24">
        <f t="shared" ca="1" si="26"/>
        <v>1.0519191897971236E-2</v>
      </c>
      <c r="AA89" s="24">
        <f t="shared" ca="1" si="27"/>
        <v>5.7131913277039592E-2</v>
      </c>
      <c r="AB89" s="9" cm="1">
        <f t="array" aca="1" ref="AB89" ca="1">_xll.BDH($E$8,"PX LAST",AG89)</f>
        <v>6734.11</v>
      </c>
      <c r="AC89" s="9" cm="1">
        <f t="array" aca="1" ref="AC89" ca="1">_xll.BDH($E$8,"PX LAST",AH89)</f>
        <v>6728.8</v>
      </c>
      <c r="AD89" s="9" cm="1">
        <f t="array" aca="1" ref="AD89" ca="1">_xll.BDH($E$8,"PX LAST",AI89)</f>
        <v>6840.2</v>
      </c>
      <c r="AE89" s="9" cm="1">
        <f t="array" aca="1" ref="AE89" ca="1">_xll.BDH($E$8,"PX LAST",AJ89)</f>
        <v>6664.01</v>
      </c>
      <c r="AF89" s="9" cm="1">
        <f t="array" aca="1" ref="AF89" ca="1">_xll.BDH($E$8,"PX LAST",AK89)</f>
        <v>6370.17</v>
      </c>
      <c r="AG89" s="20">
        <f t="shared" ca="1" si="33"/>
        <v>45975</v>
      </c>
      <c r="AH89" s="22">
        <f t="shared" ca="1" si="28"/>
        <v>45968</v>
      </c>
      <c r="AI89" s="22">
        <f t="shared" ca="1" si="29"/>
        <v>45961</v>
      </c>
      <c r="AJ89" s="22">
        <f t="shared" ca="1" si="30"/>
        <v>45947</v>
      </c>
      <c r="AK89" s="22">
        <f t="shared" ca="1" si="31"/>
        <v>45890</v>
      </c>
      <c r="AL89" s="22">
        <f t="shared" ca="1" si="32"/>
        <v>45805</v>
      </c>
    </row>
    <row r="90" spans="4:38" x14ac:dyDescent="0.25">
      <c r="D90" s="6">
        <f ca="1"/>
        <v>45974</v>
      </c>
      <c r="E90" s="28">
        <f ca="1"/>
        <v>258.01</v>
      </c>
      <c r="F90" s="29" cm="1">
        <f t="array" aca="1" ref="F90" ca="1">_xll.FDS($E$7,"P_BETA_LOCIDX("&amp;$AG90&amp;","&amp;$AL90&amp;",,"""&amp;$E$9&amp;""")")</f>
        <v>1.4726212000000001</v>
      </c>
      <c r="G90" s="30">
        <f t="shared" ca="1" si="18"/>
        <v>-1.3147130201233092E-3</v>
      </c>
      <c r="H90" s="30">
        <f t="shared" ca="1" si="18"/>
        <v>4.106850932091493E-2</v>
      </c>
      <c r="I90" s="30">
        <f t="shared" ca="1" si="18"/>
        <v>0.15727940255743039</v>
      </c>
      <c r="J90" s="30">
        <f t="shared" ca="1" si="18"/>
        <v>0.15281418442837849</v>
      </c>
      <c r="K90" s="30">
        <f t="shared" ca="1" si="19"/>
        <v>3.7624556574687939E-3</v>
      </c>
      <c r="L90" s="30">
        <f t="shared" ca="1" si="19"/>
        <v>-1.8315110185068532E-2</v>
      </c>
      <c r="M90" s="30">
        <f t="shared" ca="1" si="19"/>
        <v>2.4085066307038504E-2</v>
      </c>
      <c r="N90" s="30">
        <f t="shared" ca="1" si="19"/>
        <v>7.8678345761111185E-2</v>
      </c>
      <c r="O90" s="30">
        <f t="shared" ca="1" si="20"/>
        <v>2.4477426373454847E-3</v>
      </c>
      <c r="P90" s="30">
        <f t="shared" ca="1" si="21"/>
        <v>2.2753399135846397E-2</v>
      </c>
      <c r="Q90" s="30">
        <f t="shared" ca="1" si="22"/>
        <v>0.18136446886446889</v>
      </c>
      <c r="R90" s="30">
        <f t="shared" ca="1" si="23"/>
        <v>0.23149253018948968</v>
      </c>
      <c r="S90" s="9" cm="1">
        <f t="array" aca="1" ref="S90" ca="1">_xll.BDH($E$6,"PX LAST",AG90)</f>
        <v>258.01</v>
      </c>
      <c r="T90" s="9" cm="1">
        <f t="array" aca="1" ref="T90" ca="1">_xll.BDH($E$6,"PX LAST",AH90)</f>
        <v>257.38</v>
      </c>
      <c r="U90" s="9" cm="1">
        <f t="array" aca="1" ref="U90" ca="1">_xll.BDH($E$6,"PX LAST",AI90)</f>
        <v>252.27</v>
      </c>
      <c r="V90" s="9" cm="1">
        <f t="array" aca="1" ref="V90" ca="1">_xll.BDH($E$6,"PX LAST",AJ90)</f>
        <v>218.4</v>
      </c>
      <c r="W90" s="9" cm="1">
        <f t="array" aca="1" ref="W90" ca="1">_xll.BDH($E$6,"PX LAST",AK90)</f>
        <v>209.51</v>
      </c>
      <c r="X90" s="24">
        <f t="shared" ca="1" si="24"/>
        <v>2.554937860101969E-3</v>
      </c>
      <c r="Y90" s="24">
        <f t="shared" ca="1" si="25"/>
        <v>-1.2437081705104158E-2</v>
      </c>
      <c r="Z90" s="24">
        <f t="shared" ca="1" si="26"/>
        <v>1.6355235349754915E-2</v>
      </c>
      <c r="AA90" s="24">
        <f t="shared" ca="1" si="27"/>
        <v>5.3427416202558531E-2</v>
      </c>
      <c r="AB90" s="9" cm="1">
        <f t="array" aca="1" ref="AB90" ca="1">_xll.BDH($E$8,"PX LAST",AG90)</f>
        <v>6737.49</v>
      </c>
      <c r="AC90" s="9" cm="1">
        <f t="array" aca="1" ref="AC90" ca="1">_xll.BDH($E$8,"PX LAST",AH90)</f>
        <v>6720.32</v>
      </c>
      <c r="AD90" s="9" cm="1">
        <f t="array" aca="1" ref="AD90" ca="1">_xll.BDH($E$8,"PX LAST",AI90)</f>
        <v>6822.34</v>
      </c>
      <c r="AE90" s="9" cm="1">
        <f t="array" aca="1" ref="AE90" ca="1">_xll.BDH($E$8,"PX LAST",AJ90)</f>
        <v>6629.07</v>
      </c>
      <c r="AF90" s="9" cm="1">
        <f t="array" aca="1" ref="AF90" ca="1">_xll.BDH($E$8,"PX LAST",AK90)</f>
        <v>6395.78</v>
      </c>
      <c r="AG90" s="20">
        <f t="shared" ca="1" si="33"/>
        <v>45974</v>
      </c>
      <c r="AH90" s="22">
        <f t="shared" ca="1" si="28"/>
        <v>45967</v>
      </c>
      <c r="AI90" s="22">
        <f t="shared" ca="1" si="29"/>
        <v>45960</v>
      </c>
      <c r="AJ90" s="22">
        <f t="shared" ca="1" si="30"/>
        <v>45946</v>
      </c>
      <c r="AK90" s="22">
        <f t="shared" ca="1" si="31"/>
        <v>45889</v>
      </c>
      <c r="AL90" s="22">
        <f t="shared" ca="1" si="32"/>
        <v>45804</v>
      </c>
    </row>
    <row r="91" spans="4:38" x14ac:dyDescent="0.25">
      <c r="D91" s="6">
        <f ca="1"/>
        <v>45973</v>
      </c>
      <c r="E91" s="28">
        <f ca="1"/>
        <v>267.14999999999998</v>
      </c>
      <c r="F91" s="29" cm="1">
        <f t="array" aca="1" ref="F91" ca="1">_xll.FDS($E$7,"P_BETA_LOCIDX("&amp;$AG91&amp;","&amp;$AL91&amp;",,"""&amp;$E$9&amp;""")")</f>
        <v>1.4310662000000001</v>
      </c>
      <c r="G91" s="30">
        <f t="shared" ca="1" si="18"/>
        <v>2.9651940914299971E-2</v>
      </c>
      <c r="H91" s="30">
        <f t="shared" ca="1" si="18"/>
        <v>0.17846091544180762</v>
      </c>
      <c r="I91" s="30">
        <f t="shared" ca="1" si="18"/>
        <v>0.18272966569797028</v>
      </c>
      <c r="J91" s="30">
        <f t="shared" ca="1" si="18"/>
        <v>0.16244685202757275</v>
      </c>
      <c r="K91" s="30">
        <f t="shared" ca="1" si="19"/>
        <v>1.1503209325382109E-2</v>
      </c>
      <c r="L91" s="30">
        <f t="shared" ca="1" si="19"/>
        <v>-8.238829498489959E-3</v>
      </c>
      <c r="M91" s="30">
        <f t="shared" ca="1" si="19"/>
        <v>3.8583308609426444E-2</v>
      </c>
      <c r="N91" s="30">
        <f t="shared" ca="1" si="19"/>
        <v>9.8110879298808407E-2</v>
      </c>
      <c r="O91" s="30">
        <f t="shared" ca="1" si="20"/>
        <v>4.1155150239682081E-2</v>
      </c>
      <c r="P91" s="30">
        <f t="shared" ca="1" si="21"/>
        <v>0.17022208594331767</v>
      </c>
      <c r="Q91" s="30">
        <f t="shared" ca="1" si="22"/>
        <v>0.22131297430739671</v>
      </c>
      <c r="R91" s="30">
        <f t="shared" ca="1" si="23"/>
        <v>0.26055773132638116</v>
      </c>
      <c r="S91" s="9" cm="1">
        <f t="array" aca="1" ref="S91" ca="1">_xll.BDH($E$6,"PX LAST",AG91)</f>
        <v>267.14999999999998</v>
      </c>
      <c r="T91" s="9" cm="1">
        <f t="array" aca="1" ref="T91" ca="1">_xll.BDH($E$6,"PX LAST",AH91)</f>
        <v>256.58999999999997</v>
      </c>
      <c r="U91" s="9" cm="1">
        <f t="array" aca="1" ref="U91" ca="1">_xll.BDH($E$6,"PX LAST",AI91)</f>
        <v>228.29</v>
      </c>
      <c r="V91" s="9" cm="1">
        <f t="array" aca="1" ref="V91" ca="1">_xll.BDH($E$6,"PX LAST",AJ91)</f>
        <v>218.74</v>
      </c>
      <c r="W91" s="9" cm="1">
        <f t="array" aca="1" ref="W91" ca="1">_xll.BDH($E$6,"PX LAST",AK91)</f>
        <v>211.93</v>
      </c>
      <c r="X91" s="24">
        <f t="shared" ca="1" si="24"/>
        <v>8.0382090817197049E-3</v>
      </c>
      <c r="Y91" s="24">
        <f t="shared" ca="1" si="25"/>
        <v>-5.7571267482174893E-3</v>
      </c>
      <c r="Z91" s="24">
        <f t="shared" ca="1" si="26"/>
        <v>2.6961232547751068E-2</v>
      </c>
      <c r="AA91" s="24">
        <f t="shared" ca="1" si="27"/>
        <v>6.8557890123327914E-2</v>
      </c>
      <c r="AB91" s="9" cm="1">
        <f t="array" aca="1" ref="AB91" ca="1">_xll.BDH($E$8,"PX LAST",AG91)</f>
        <v>6850.92</v>
      </c>
      <c r="AC91" s="9" cm="1">
        <f t="array" aca="1" ref="AC91" ca="1">_xll.BDH($E$8,"PX LAST",AH91)</f>
        <v>6796.29</v>
      </c>
      <c r="AD91" s="9" cm="1">
        <f t="array" aca="1" ref="AD91" ca="1">_xll.BDH($E$8,"PX LAST",AI91)</f>
        <v>6890.59</v>
      </c>
      <c r="AE91" s="9" cm="1">
        <f t="array" aca="1" ref="AE91" ca="1">_xll.BDH($E$8,"PX LAST",AJ91)</f>
        <v>6671.06</v>
      </c>
      <c r="AF91" s="9" cm="1">
        <f t="array" aca="1" ref="AF91" ca="1">_xll.BDH($E$8,"PX LAST",AK91)</f>
        <v>6411.37</v>
      </c>
      <c r="AG91" s="20">
        <f t="shared" ca="1" si="33"/>
        <v>45973</v>
      </c>
      <c r="AH91" s="22">
        <f t="shared" ca="1" si="28"/>
        <v>45966</v>
      </c>
      <c r="AI91" s="22">
        <f t="shared" ca="1" si="29"/>
        <v>45959</v>
      </c>
      <c r="AJ91" s="22">
        <f t="shared" ca="1" si="30"/>
        <v>45945</v>
      </c>
      <c r="AK91" s="22">
        <f t="shared" ca="1" si="31"/>
        <v>45888</v>
      </c>
      <c r="AL91" s="22">
        <f t="shared" ca="1" si="32"/>
        <v>45800</v>
      </c>
    </row>
    <row r="92" spans="4:38" x14ac:dyDescent="0.25">
      <c r="D92" s="6">
        <f ca="1"/>
        <v>45972</v>
      </c>
      <c r="E92" s="28">
        <f ca="1"/>
        <v>258</v>
      </c>
      <c r="F92" s="29" cm="1">
        <f t="array" aca="1" ref="F92" ca="1">_xll.FDS($E$7,"P_BETA_LOCIDX("&amp;$AG92&amp;","&amp;$AL92&amp;",,"""&amp;$E$9&amp;""")")</f>
        <v>1.4364243000000001</v>
      </c>
      <c r="G92" s="30">
        <f t="shared" ca="1" si="18"/>
        <v>7.4000224087754779E-3</v>
      </c>
      <c r="H92" s="30">
        <f t="shared" ca="1" si="18"/>
        <v>0.17786732653829301</v>
      </c>
      <c r="I92" s="30">
        <f t="shared" ca="1" si="18"/>
        <v>0.13402455736650606</v>
      </c>
      <c r="J92" s="30">
        <f t="shared" ca="1" si="18"/>
        <v>0.1408644412109559</v>
      </c>
      <c r="K92" s="30">
        <f t="shared" ca="1" si="19"/>
        <v>1.5922205101933748E-2</v>
      </c>
      <c r="L92" s="30">
        <f t="shared" ca="1" si="19"/>
        <v>-9.2302834617880598E-3</v>
      </c>
      <c r="M92" s="30">
        <f t="shared" ca="1" si="19"/>
        <v>4.3734960573784148E-2</v>
      </c>
      <c r="N92" s="30">
        <f t="shared" ca="1" si="19"/>
        <v>8.8526581375530239E-2</v>
      </c>
      <c r="O92" s="30">
        <f t="shared" ca="1" si="20"/>
        <v>2.3322227510709226E-2</v>
      </c>
      <c r="P92" s="30">
        <f t="shared" ca="1" si="21"/>
        <v>0.16863704307650496</v>
      </c>
      <c r="Q92" s="30">
        <f t="shared" ca="1" si="22"/>
        <v>0.17775951794029021</v>
      </c>
      <c r="R92" s="30">
        <f t="shared" ca="1" si="23"/>
        <v>0.22939102258648614</v>
      </c>
      <c r="S92" s="9" cm="1">
        <f t="array" aca="1" ref="S92" ca="1">_xll.BDH($E$6,"PX LAST",AG92)</f>
        <v>258</v>
      </c>
      <c r="T92" s="9" cm="1">
        <f t="array" aca="1" ref="T92" ca="1">_xll.BDH($E$6,"PX LAST",AH92)</f>
        <v>252.12</v>
      </c>
      <c r="U92" s="9" cm="1">
        <f t="array" aca="1" ref="U92" ca="1">_xll.BDH($E$6,"PX LAST",AI92)</f>
        <v>220.77</v>
      </c>
      <c r="V92" s="9" cm="1">
        <f t="array" aca="1" ref="V92" ca="1">_xll.BDH($E$6,"PX LAST",AJ92)</f>
        <v>219.06</v>
      </c>
      <c r="W92" s="9" cm="1">
        <f t="array" aca="1" ref="W92" ca="1">_xll.BDH($E$6,"PX LAST",AK92)</f>
        <v>209.86</v>
      </c>
      <c r="X92" s="24">
        <f t="shared" ca="1" si="24"/>
        <v>1.1084611351906082E-2</v>
      </c>
      <c r="Y92" s="24">
        <f t="shared" ca="1" si="25"/>
        <v>-6.425875322345953E-3</v>
      </c>
      <c r="Z92" s="24">
        <f t="shared" ca="1" si="26"/>
        <v>3.0447104364486277E-2</v>
      </c>
      <c r="AA92" s="24">
        <f t="shared" ca="1" si="27"/>
        <v>6.1629827186528541E-2</v>
      </c>
      <c r="AB92" s="9" cm="1">
        <f t="array" aca="1" ref="AB92" ca="1">_xll.BDH($E$8,"PX LAST",AG92)</f>
        <v>6846.61</v>
      </c>
      <c r="AC92" s="9" cm="1">
        <f t="array" aca="1" ref="AC92" ca="1">_xll.BDH($E$8,"PX LAST",AH92)</f>
        <v>6771.55</v>
      </c>
      <c r="AD92" s="9" cm="1">
        <f t="array" aca="1" ref="AD92" ca="1">_xll.BDH($E$8,"PX LAST",AI92)</f>
        <v>6890.89</v>
      </c>
      <c r="AE92" s="9" cm="1">
        <f t="array" aca="1" ref="AE92" ca="1">_xll.BDH($E$8,"PX LAST",AJ92)</f>
        <v>6644.31</v>
      </c>
      <c r="AF92" s="9" cm="1">
        <f t="array" aca="1" ref="AF92" ca="1">_xll.BDH($E$8,"PX LAST",AK92)</f>
        <v>6449.15</v>
      </c>
      <c r="AG92" s="20">
        <f t="shared" ca="1" si="33"/>
        <v>45972</v>
      </c>
      <c r="AH92" s="22">
        <f t="shared" ca="1" si="28"/>
        <v>45965</v>
      </c>
      <c r="AI92" s="22">
        <f t="shared" ca="1" si="29"/>
        <v>45958</v>
      </c>
      <c r="AJ92" s="22">
        <f t="shared" ca="1" si="30"/>
        <v>45944</v>
      </c>
      <c r="AK92" s="22">
        <f t="shared" ca="1" si="31"/>
        <v>45887</v>
      </c>
      <c r="AL92" s="22">
        <f t="shared" ca="1" si="32"/>
        <v>45799</v>
      </c>
    </row>
    <row r="93" spans="4:38" x14ac:dyDescent="0.25">
      <c r="D93" s="6">
        <f ca="1"/>
        <v>45971</v>
      </c>
      <c r="E93" s="28">
        <f ca="1"/>
        <v>260.58999999999997</v>
      </c>
      <c r="F93" s="29" cm="1">
        <f t="array" aca="1" ref="F93" ca="1">_xll.FDS($E$7,"P_BETA_LOCIDX("&amp;$AG93&amp;","&amp;$AL93&amp;",,"""&amp;$E$9&amp;""")")</f>
        <v>1.4770502000000001</v>
      </c>
      <c r="G93" s="30">
        <f t="shared" ca="1" si="18"/>
        <v>1.6858393875045317E-3</v>
      </c>
      <c r="H93" s="30">
        <f t="shared" ca="1" si="18"/>
        <v>0.17790230580992378</v>
      </c>
      <c r="I93" s="30">
        <f t="shared" ca="1" si="18"/>
        <v>0.18386869332013162</v>
      </c>
      <c r="J93" s="30">
        <f t="shared" ca="1" si="18"/>
        <v>0.17602547145272168</v>
      </c>
      <c r="K93" s="30">
        <f t="shared" ca="1" si="19"/>
        <v>-4.2121551769783525E-3</v>
      </c>
      <c r="L93" s="30">
        <f t="shared" ca="1" si="19"/>
        <v>-9.1800561799288347E-3</v>
      </c>
      <c r="M93" s="30">
        <f t="shared" ca="1" si="19"/>
        <v>3.9443671716014969E-2</v>
      </c>
      <c r="N93" s="30">
        <f t="shared" ca="1" si="19"/>
        <v>8.7624998918726285E-2</v>
      </c>
      <c r="O93" s="30">
        <f t="shared" ca="1" si="20"/>
        <v>-2.5263157894738208E-3</v>
      </c>
      <c r="P93" s="30">
        <f t="shared" ca="1" si="21"/>
        <v>0.16872224962999494</v>
      </c>
      <c r="Q93" s="30">
        <f t="shared" ca="1" si="22"/>
        <v>0.2233123650361466</v>
      </c>
      <c r="R93" s="30">
        <f t="shared" ca="1" si="23"/>
        <v>0.26365047037144795</v>
      </c>
      <c r="S93" s="9" cm="1">
        <f t="array" aca="1" ref="S93" ca="1">_xll.BDH($E$6,"PX LAST",AG93)</f>
        <v>260.58999999999997</v>
      </c>
      <c r="T93" s="9" cm="1">
        <f t="array" aca="1" ref="T93" ca="1">_xll.BDH($E$6,"PX LAST",AH93)</f>
        <v>261.25</v>
      </c>
      <c r="U93" s="9" cm="1">
        <f t="array" aca="1" ref="U93" ca="1">_xll.BDH($E$6,"PX LAST",AI93)</f>
        <v>222.97</v>
      </c>
      <c r="V93" s="9" cm="1">
        <f t="array" aca="1" ref="V93" ca="1">_xll.BDH($E$6,"PX LAST",AJ93)</f>
        <v>213.02</v>
      </c>
      <c r="W93" s="9" cm="1">
        <f t="array" aca="1" ref="W93" ca="1">_xll.BDH($E$6,"PX LAST",AK93)</f>
        <v>206.22</v>
      </c>
      <c r="X93" s="24">
        <f t="shared" ca="1" si="24"/>
        <v>-2.8517346106302632E-3</v>
      </c>
      <c r="Y93" s="24">
        <f t="shared" ca="1" si="25"/>
        <v>-6.21512808429181E-3</v>
      </c>
      <c r="Z93" s="24">
        <f t="shared" ca="1" si="26"/>
        <v>2.6704354202731206E-2</v>
      </c>
      <c r="AA93" s="24">
        <f t="shared" ca="1" si="27"/>
        <v>5.932432013395772E-2</v>
      </c>
      <c r="AB93" s="9" cm="1">
        <f t="array" aca="1" ref="AB93" ca="1">_xll.BDH($E$8,"PX LAST",AG93)</f>
        <v>6832.43</v>
      </c>
      <c r="AC93" s="9" cm="1">
        <f t="array" aca="1" ref="AC93" ca="1">_xll.BDH($E$8,"PX LAST",AH93)</f>
        <v>6851.97</v>
      </c>
      <c r="AD93" s="9" cm="1">
        <f t="array" aca="1" ref="AD93" ca="1">_xll.BDH($E$8,"PX LAST",AI93)</f>
        <v>6875.16</v>
      </c>
      <c r="AE93" s="9" cm="1">
        <f t="array" aca="1" ref="AE93" ca="1">_xll.BDH($E$8,"PX LAST",AJ93)</f>
        <v>6654.72</v>
      </c>
      <c r="AF93" s="9" cm="1">
        <f t="array" aca="1" ref="AF93" ca="1">_xll.BDH($E$8,"PX LAST",AK93)</f>
        <v>6449.8</v>
      </c>
      <c r="AG93" s="20">
        <f t="shared" ca="1" si="33"/>
        <v>45971</v>
      </c>
      <c r="AH93" s="22">
        <f t="shared" ca="1" si="28"/>
        <v>45964</v>
      </c>
      <c r="AI93" s="22">
        <f t="shared" ca="1" si="29"/>
        <v>45957</v>
      </c>
      <c r="AJ93" s="22">
        <f t="shared" ca="1" si="30"/>
        <v>45943</v>
      </c>
      <c r="AK93" s="22">
        <f t="shared" ca="1" si="31"/>
        <v>45884</v>
      </c>
      <c r="AL93" s="22">
        <f t="shared" ca="1" si="32"/>
        <v>45798</v>
      </c>
    </row>
    <row r="94" spans="4:38" x14ac:dyDescent="0.25">
      <c r="D94" s="6">
        <f ca="1"/>
        <v>45968</v>
      </c>
      <c r="E94" s="28">
        <f ca="1"/>
        <v>255.43</v>
      </c>
      <c r="F94" s="29" cm="1">
        <f t="array" aca="1" ref="F94" ca="1">_xll.FDS($E$7,"P_BETA_LOCIDX("&amp;$AG94&amp;","&amp;$AL94&amp;",,"""&amp;$E$9&amp;""")")</f>
        <v>1.4820888999999999</v>
      </c>
      <c r="G94" s="30">
        <f t="shared" ca="1" si="18"/>
        <v>8.339620459112896E-3</v>
      </c>
      <c r="H94" s="30">
        <f t="shared" ca="1" si="18"/>
        <v>0.14625029534269049</v>
      </c>
      <c r="I94" s="30">
        <f t="shared" ca="1" si="18"/>
        <v>0.1864446671279526</v>
      </c>
      <c r="J94" s="30">
        <f t="shared" ca="1" si="18"/>
        <v>0.15202833263300156</v>
      </c>
      <c r="K94" s="30">
        <f t="shared" ca="1" si="19"/>
        <v>-2.4137408768749414E-2</v>
      </c>
      <c r="L94" s="30">
        <f t="shared" ca="1" si="19"/>
        <v>-1.3723914212957232E-2</v>
      </c>
      <c r="M94" s="30">
        <f t="shared" ca="1" si="19"/>
        <v>3.9874407239515977E-2</v>
      </c>
      <c r="N94" s="30">
        <f t="shared" ca="1" si="19"/>
        <v>5.9631455802082151E-2</v>
      </c>
      <c r="O94" s="30">
        <f t="shared" ca="1" si="20"/>
        <v>-1.5797788309636518E-2</v>
      </c>
      <c r="P94" s="30">
        <f t="shared" ca="1" si="21"/>
        <v>0.13252638112973325</v>
      </c>
      <c r="Q94" s="30">
        <f t="shared" ca="1" si="22"/>
        <v>0.22631907436746856</v>
      </c>
      <c r="R94" s="30">
        <f t="shared" ca="1" si="23"/>
        <v>0.21165978843508371</v>
      </c>
      <c r="S94" s="9" cm="1">
        <f t="array" aca="1" ref="S94" ca="1">_xll.BDH($E$6,"PX LAST",AG94)</f>
        <v>255.43</v>
      </c>
      <c r="T94" s="9" cm="1">
        <f t="array" aca="1" ref="T94" ca="1">_xll.BDH($E$6,"PX LAST",AH94)</f>
        <v>259.52999999999997</v>
      </c>
      <c r="U94" s="9" cm="1">
        <f t="array" aca="1" ref="U94" ca="1">_xll.BDH($E$6,"PX LAST",AI94)</f>
        <v>225.54</v>
      </c>
      <c r="V94" s="9" cm="1">
        <f t="array" aca="1" ref="V94" ca="1">_xll.BDH($E$6,"PX LAST",AJ94)</f>
        <v>208.29</v>
      </c>
      <c r="W94" s="9" cm="1">
        <f t="array" aca="1" ref="W94" ca="1">_xll.BDH($E$6,"PX LAST",AK94)</f>
        <v>210.81</v>
      </c>
      <c r="X94" s="24">
        <f t="shared" ca="1" si="24"/>
        <v>-1.6286073506622589E-2</v>
      </c>
      <c r="Y94" s="24">
        <f t="shared" ca="1" si="25"/>
        <v>-9.2598454876473557E-3</v>
      </c>
      <c r="Z94" s="24">
        <f t="shared" ca="1" si="26"/>
        <v>2.690419396536603E-2</v>
      </c>
      <c r="AA94" s="24">
        <f t="shared" ca="1" si="27"/>
        <v>4.0234736122834569E-2</v>
      </c>
      <c r="AB94" s="9" cm="1">
        <f t="array" aca="1" ref="AB94" ca="1">_xll.BDH($E$8,"PX LAST",AG94)</f>
        <v>6728.8</v>
      </c>
      <c r="AC94" s="9" cm="1">
        <f t="array" aca="1" ref="AC94" ca="1">_xll.BDH($E$8,"PX LAST",AH94)</f>
        <v>6840.2</v>
      </c>
      <c r="AD94" s="9" cm="1">
        <f t="array" aca="1" ref="AD94" ca="1">_xll.BDH($E$8,"PX LAST",AI94)</f>
        <v>6791.69</v>
      </c>
      <c r="AE94" s="9" cm="1">
        <f t="array" aca="1" ref="AE94" ca="1">_xll.BDH($E$8,"PX LAST",AJ94)</f>
        <v>6552.51</v>
      </c>
      <c r="AF94" s="9" cm="1">
        <f t="array" aca="1" ref="AF94" ca="1">_xll.BDH($E$8,"PX LAST",AK94)</f>
        <v>6468.54</v>
      </c>
      <c r="AG94" s="20">
        <f t="shared" ca="1" si="33"/>
        <v>45968</v>
      </c>
      <c r="AH94" s="22">
        <f t="shared" ca="1" si="28"/>
        <v>45961</v>
      </c>
      <c r="AI94" s="22">
        <f t="shared" ca="1" si="29"/>
        <v>45954</v>
      </c>
      <c r="AJ94" s="22">
        <f t="shared" ca="1" si="30"/>
        <v>45940</v>
      </c>
      <c r="AK94" s="22">
        <f t="shared" ca="1" si="31"/>
        <v>45883</v>
      </c>
      <c r="AL94" s="22">
        <f t="shared" ca="1" si="32"/>
        <v>45797</v>
      </c>
    </row>
    <row r="95" spans="4:38" x14ac:dyDescent="0.25">
      <c r="D95" s="6">
        <f ca="1"/>
        <v>45967</v>
      </c>
      <c r="E95" s="28">
        <f ca="1"/>
        <v>257.38</v>
      </c>
      <c r="F95" s="29" cm="1">
        <f t="array" aca="1" ref="F95" ca="1">_xll.FDS($E$7,"P_BETA_LOCIDX("&amp;$AG95&amp;","&amp;$AL95&amp;",,"""&amp;$E$9&amp;""")")</f>
        <v>1.4830190999999999</v>
      </c>
      <c r="G95" s="30">
        <f t="shared" ca="1" si="18"/>
        <v>4.243286588017986E-2</v>
      </c>
      <c r="H95" s="30">
        <f t="shared" ca="1" si="18"/>
        <v>0.17565450284792508</v>
      </c>
      <c r="I95" s="30">
        <f t="shared" ca="1" si="18"/>
        <v>0.16220837264905</v>
      </c>
      <c r="J95" s="30">
        <f t="shared" ca="1" si="18"/>
        <v>0.13659058838881666</v>
      </c>
      <c r="K95" s="30">
        <f t="shared" ca="1" si="19"/>
        <v>-2.2176791039731303E-2</v>
      </c>
      <c r="L95" s="30">
        <f t="shared" ca="1" si="19"/>
        <v>-3.9879120526411698E-3</v>
      </c>
      <c r="M95" s="30">
        <f t="shared" ca="1" si="19"/>
        <v>-3.2566435424217495E-3</v>
      </c>
      <c r="N95" s="30">
        <f t="shared" ca="1" si="19"/>
        <v>5.8191697378521583E-2</v>
      </c>
      <c r="O95" s="30">
        <f t="shared" ca="1" si="20"/>
        <v>2.0256074840448557E-2</v>
      </c>
      <c r="P95" s="30">
        <f t="shared" ca="1" si="21"/>
        <v>0.1716665907952839</v>
      </c>
      <c r="Q95" s="30">
        <f t="shared" ca="1" si="22"/>
        <v>0.15895172910662825</v>
      </c>
      <c r="R95" s="30">
        <f t="shared" ca="1" si="23"/>
        <v>0.19478228576733825</v>
      </c>
      <c r="S95" s="9" cm="1">
        <f t="array" aca="1" ref="S95" ca="1">_xll.BDH($E$6,"PX LAST",AG95)</f>
        <v>257.38</v>
      </c>
      <c r="T95" s="9" cm="1">
        <f t="array" aca="1" ref="T95" ca="1">_xll.BDH($E$6,"PX LAST",AH95)</f>
        <v>252.27</v>
      </c>
      <c r="U95" s="9" cm="1">
        <f t="array" aca="1" ref="U95" ca="1">_xll.BDH($E$6,"PX LAST",AI95)</f>
        <v>219.67</v>
      </c>
      <c r="V95" s="9" cm="1">
        <f t="array" aca="1" ref="V95" ca="1">_xll.BDH($E$6,"PX LAST",AJ95)</f>
        <v>222.08</v>
      </c>
      <c r="W95" s="9" cm="1">
        <f t="array" aca="1" ref="W95" ca="1">_xll.BDH($E$6,"PX LAST",AK95)</f>
        <v>215.42</v>
      </c>
      <c r="X95" s="24">
        <f t="shared" ca="1" si="24"/>
        <v>-1.4953813500939606E-2</v>
      </c>
      <c r="Y95" s="24">
        <f t="shared" ca="1" si="25"/>
        <v>-2.6890496910263462E-3</v>
      </c>
      <c r="Z95" s="24">
        <f t="shared" ca="1" si="26"/>
        <v>-2.1959552256756165E-3</v>
      </c>
      <c r="AA95" s="24">
        <f t="shared" ca="1" si="27"/>
        <v>3.9238670208982196E-2</v>
      </c>
      <c r="AB95" s="9" cm="1">
        <f t="array" aca="1" ref="AB95" ca="1">_xll.BDH($E$8,"PX LAST",AG95)</f>
        <v>6720.32</v>
      </c>
      <c r="AC95" s="9" cm="1">
        <f t="array" aca="1" ref="AC95" ca="1">_xll.BDH($E$8,"PX LAST",AH95)</f>
        <v>6822.34</v>
      </c>
      <c r="AD95" s="9" cm="1">
        <f t="array" aca="1" ref="AD95" ca="1">_xll.BDH($E$8,"PX LAST",AI95)</f>
        <v>6738.44</v>
      </c>
      <c r="AE95" s="9" cm="1">
        <f t="array" aca="1" ref="AE95" ca="1">_xll.BDH($E$8,"PX LAST",AJ95)</f>
        <v>6735.11</v>
      </c>
      <c r="AF95" s="9" cm="1">
        <f t="array" aca="1" ref="AF95" ca="1">_xll.BDH($E$8,"PX LAST",AK95)</f>
        <v>6466.58</v>
      </c>
      <c r="AG95" s="20">
        <f t="shared" ca="1" si="33"/>
        <v>45967</v>
      </c>
      <c r="AH95" s="22">
        <f t="shared" ca="1" si="28"/>
        <v>45960</v>
      </c>
      <c r="AI95" s="22">
        <f t="shared" ca="1" si="29"/>
        <v>45953</v>
      </c>
      <c r="AJ95" s="22">
        <f t="shared" ca="1" si="30"/>
        <v>45939</v>
      </c>
      <c r="AK95" s="22">
        <f t="shared" ca="1" si="31"/>
        <v>45882</v>
      </c>
      <c r="AL95" s="22">
        <f t="shared" ca="1" si="32"/>
        <v>45796</v>
      </c>
    </row>
    <row r="96" spans="4:38" x14ac:dyDescent="0.25">
      <c r="D96" s="6">
        <f ca="1"/>
        <v>45966</v>
      </c>
      <c r="E96" s="28">
        <f ca="1"/>
        <v>256.58999999999997</v>
      </c>
      <c r="F96" s="29" cm="1">
        <f t="array" aca="1" ref="F96" ca="1">_xll.FDS($E$7,"P_BETA_LOCIDX("&amp;$AG96&amp;","&amp;$AL96&amp;",,"""&amp;$E$9&amp;""")")</f>
        <v>1.5237887999999999</v>
      </c>
      <c r="G96" s="30">
        <f t="shared" ca="1" si="18"/>
        <v>0.14481868507955989</v>
      </c>
      <c r="H96" s="30">
        <f t="shared" ca="1" si="18"/>
        <v>0.17928250750050434</v>
      </c>
      <c r="I96" s="30">
        <f t="shared" ca="1" si="18"/>
        <v>0.13460931206678578</v>
      </c>
      <c r="J96" s="30">
        <f t="shared" ca="1" si="18"/>
        <v>0.13164633793578151</v>
      </c>
      <c r="K96" s="30">
        <f t="shared" ca="1" si="19"/>
        <v>-2.0853553010700163E-2</v>
      </c>
      <c r="L96" s="30">
        <f t="shared" ca="1" si="19"/>
        <v>2.2037779029763786E-2</v>
      </c>
      <c r="M96" s="30">
        <f t="shared" ca="1" si="19"/>
        <v>9.604734755956643E-3</v>
      </c>
      <c r="N96" s="30">
        <f t="shared" ca="1" si="19"/>
        <v>8.2865897592215632E-2</v>
      </c>
      <c r="O96" s="30">
        <f t="shared" ca="1" si="20"/>
        <v>0.12396513206885973</v>
      </c>
      <c r="P96" s="30">
        <f t="shared" ca="1" si="21"/>
        <v>0.20132028653026812</v>
      </c>
      <c r="Q96" s="30">
        <f t="shared" ca="1" si="22"/>
        <v>0.14421404682274241</v>
      </c>
      <c r="R96" s="30">
        <f t="shared" ca="1" si="23"/>
        <v>0.21451223552799714</v>
      </c>
      <c r="S96" s="9" cm="1">
        <f t="array" aca="1" ref="S96" ca="1">_xll.BDH($E$6,"PX LAST",AG96)</f>
        <v>256.58999999999997</v>
      </c>
      <c r="T96" s="9" cm="1">
        <f t="array" aca="1" ref="T96" ca="1">_xll.BDH($E$6,"PX LAST",AH96)</f>
        <v>228.29</v>
      </c>
      <c r="U96" s="9" cm="1">
        <f t="array" aca="1" ref="U96" ca="1">_xll.BDH($E$6,"PX LAST",AI96)</f>
        <v>213.59</v>
      </c>
      <c r="V96" s="9" cm="1">
        <f t="array" aca="1" ref="V96" ca="1">_xll.BDH($E$6,"PX LAST",AJ96)</f>
        <v>224.25</v>
      </c>
      <c r="W96" s="9" cm="1">
        <f t="array" aca="1" ref="W96" ca="1">_xll.BDH($E$6,"PX LAST",AK96)</f>
        <v>211.27</v>
      </c>
      <c r="X96" s="24">
        <f t="shared" ca="1" si="24"/>
        <v>-1.3685330283763841E-2</v>
      </c>
      <c r="Y96" s="24">
        <f t="shared" ca="1" si="25"/>
        <v>1.4462489178135307E-2</v>
      </c>
      <c r="Z96" s="24">
        <f t="shared" ca="1" si="26"/>
        <v>6.3031929070200832E-3</v>
      </c>
      <c r="AA96" s="24">
        <f t="shared" ca="1" si="27"/>
        <v>5.4381484883085918E-2</v>
      </c>
      <c r="AB96" s="9" cm="1">
        <f t="array" aca="1" ref="AB96" ca="1">_xll.BDH($E$8,"PX LAST",AG96)</f>
        <v>6796.29</v>
      </c>
      <c r="AC96" s="9" cm="1">
        <f t="array" aca="1" ref="AC96" ca="1">_xll.BDH($E$8,"PX LAST",AH96)</f>
        <v>6890.59</v>
      </c>
      <c r="AD96" s="9" cm="1">
        <f t="array" aca="1" ref="AD96" ca="1">_xll.BDH($E$8,"PX LAST",AI96)</f>
        <v>6699.4</v>
      </c>
      <c r="AE96" s="9" cm="1">
        <f t="array" aca="1" ref="AE96" ca="1">_xll.BDH($E$8,"PX LAST",AJ96)</f>
        <v>6753.72</v>
      </c>
      <c r="AF96" s="9" cm="1">
        <f t="array" aca="1" ref="AF96" ca="1">_xll.BDH($E$8,"PX LAST",AK96)</f>
        <v>6445.76</v>
      </c>
      <c r="AG96" s="20">
        <f t="shared" ca="1" si="33"/>
        <v>45966</v>
      </c>
      <c r="AH96" s="22">
        <f t="shared" ca="1" si="28"/>
        <v>45959</v>
      </c>
      <c r="AI96" s="22">
        <f t="shared" ca="1" si="29"/>
        <v>45952</v>
      </c>
      <c r="AJ96" s="22">
        <f t="shared" ca="1" si="30"/>
        <v>45938</v>
      </c>
      <c r="AK96" s="22">
        <f t="shared" ca="1" si="31"/>
        <v>45881</v>
      </c>
      <c r="AL96" s="22">
        <f t="shared" ca="1" si="32"/>
        <v>45793</v>
      </c>
    </row>
    <row r="97" spans="4:38" x14ac:dyDescent="0.25">
      <c r="D97" s="6">
        <f ca="1"/>
        <v>45965</v>
      </c>
      <c r="E97" s="28">
        <f ca="1"/>
        <v>252.12</v>
      </c>
      <c r="F97" s="29" cm="1">
        <f t="array" aca="1" ref="F97" ca="1">_xll.FDS($E$7,"P_BETA_LOCIDX("&amp;$AG97&amp;","&amp;$AL97&amp;",,"""&amp;$E$9&amp;""")")</f>
        <v>1.5063362</v>
      </c>
      <c r="G97" s="30">
        <f t="shared" ca="1" si="18"/>
        <v>0.16809049958365485</v>
      </c>
      <c r="H97" s="30">
        <f t="shared" ca="1" si="18"/>
        <v>0.13551282136472839</v>
      </c>
      <c r="I97" s="30">
        <f t="shared" ca="1" si="18"/>
        <v>0.16546267727053976</v>
      </c>
      <c r="J97" s="30">
        <f t="shared" ca="1" si="18"/>
        <v>0.14452544914449877</v>
      </c>
      <c r="K97" s="30">
        <f t="shared" ca="1" si="19"/>
        <v>-2.6087510047033149E-2</v>
      </c>
      <c r="L97" s="30">
        <f t="shared" ca="1" si="19"/>
        <v>8.095996561425926E-3</v>
      </c>
      <c r="M97" s="30">
        <f t="shared" ca="1" si="19"/>
        <v>1.2778279828254632E-2</v>
      </c>
      <c r="N97" s="30">
        <f t="shared" ca="1" si="19"/>
        <v>9.4089141865081063E-2</v>
      </c>
      <c r="O97" s="30">
        <f t="shared" ca="1" si="20"/>
        <v>0.14200298953662172</v>
      </c>
      <c r="P97" s="30">
        <f t="shared" ca="1" si="21"/>
        <v>0.14360881792615432</v>
      </c>
      <c r="Q97" s="30">
        <f t="shared" ca="1" si="22"/>
        <v>0.17824095709879439</v>
      </c>
      <c r="R97" s="30">
        <f t="shared" ca="1" si="23"/>
        <v>0.23861459100957982</v>
      </c>
      <c r="S97" s="9" cm="1">
        <f t="array" aca="1" ref="S97" ca="1">_xll.BDH($E$6,"PX LAST",AG97)</f>
        <v>252.12</v>
      </c>
      <c r="T97" s="9" cm="1">
        <f t="array" aca="1" ref="T97" ca="1">_xll.BDH($E$6,"PX LAST",AH97)</f>
        <v>220.77</v>
      </c>
      <c r="U97" s="9" cm="1">
        <f t="array" aca="1" ref="U97" ca="1">_xll.BDH($E$6,"PX LAST",AI97)</f>
        <v>220.46</v>
      </c>
      <c r="V97" s="9" cm="1">
        <f t="array" aca="1" ref="V97" ca="1">_xll.BDH($E$6,"PX LAST",AJ97)</f>
        <v>213.98</v>
      </c>
      <c r="W97" s="9" cm="1">
        <f t="array" aca="1" ref="W97" ca="1">_xll.BDH($E$6,"PX LAST",AK97)</f>
        <v>203.55</v>
      </c>
      <c r="X97" s="24">
        <f t="shared" ca="1" si="24"/>
        <v>-1.7318517637054165E-2</v>
      </c>
      <c r="Y97" s="24">
        <f t="shared" ca="1" si="25"/>
        <v>5.3746278961004368E-3</v>
      </c>
      <c r="Z97" s="24">
        <f t="shared" ca="1" si="26"/>
        <v>8.4830198120808831E-3</v>
      </c>
      <c r="AA97" s="24">
        <f t="shared" ca="1" si="27"/>
        <v>6.2462245722489484E-2</v>
      </c>
      <c r="AB97" s="9" cm="1">
        <f t="array" aca="1" ref="AB97" ca="1">_xll.BDH($E$8,"PX LAST",AG97)</f>
        <v>6771.55</v>
      </c>
      <c r="AC97" s="9" cm="1">
        <f t="array" aca="1" ref="AC97" ca="1">_xll.BDH($E$8,"PX LAST",AH97)</f>
        <v>6890.89</v>
      </c>
      <c r="AD97" s="9" cm="1">
        <f t="array" aca="1" ref="AD97" ca="1">_xll.BDH($E$8,"PX LAST",AI97)</f>
        <v>6735.35</v>
      </c>
      <c r="AE97" s="9" cm="1">
        <f t="array" aca="1" ref="AE97" ca="1">_xll.BDH($E$8,"PX LAST",AJ97)</f>
        <v>6714.59</v>
      </c>
      <c r="AF97" s="9" cm="1">
        <f t="array" aca="1" ref="AF97" ca="1">_xll.BDH($E$8,"PX LAST",AK97)</f>
        <v>6373.45</v>
      </c>
      <c r="AG97" s="20">
        <f t="shared" ca="1" si="33"/>
        <v>45965</v>
      </c>
      <c r="AH97" s="22">
        <f t="shared" ca="1" si="28"/>
        <v>45958</v>
      </c>
      <c r="AI97" s="22">
        <f t="shared" ca="1" si="29"/>
        <v>45951</v>
      </c>
      <c r="AJ97" s="22">
        <f t="shared" ca="1" si="30"/>
        <v>45937</v>
      </c>
      <c r="AK97" s="22">
        <f t="shared" ca="1" si="31"/>
        <v>45880</v>
      </c>
      <c r="AL97" s="22">
        <f t="shared" ca="1" si="32"/>
        <v>45792</v>
      </c>
    </row>
    <row r="98" spans="4:38" x14ac:dyDescent="0.25">
      <c r="D98" s="6">
        <f ca="1"/>
        <v>45964</v>
      </c>
      <c r="E98" s="28">
        <f ca="1"/>
        <v>261.25</v>
      </c>
      <c r="F98" s="29" cm="1">
        <f t="array" aca="1" ref="F98" ca="1">_xll.FDS($E$7,"P_BETA_LOCIDX("&amp;$AG98&amp;","&amp;$AL98&amp;",,"""&amp;$E$9&amp;""")")</f>
        <v>1.4588349</v>
      </c>
      <c r="G98" s="30">
        <f t="shared" ca="1" si="18"/>
        <v>0.17660295731887304</v>
      </c>
      <c r="H98" s="30">
        <f t="shared" ca="1" si="18"/>
        <v>0.1684323609580064</v>
      </c>
      <c r="I98" s="30">
        <f t="shared" ca="1" si="18"/>
        <v>0.16603134650008081</v>
      </c>
      <c r="J98" s="30">
        <f t="shared" ca="1" si="18"/>
        <v>0.17327967337322808</v>
      </c>
      <c r="K98" s="30">
        <f t="shared" ca="1" si="19"/>
        <v>-4.9206682216849573E-3</v>
      </c>
      <c r="L98" s="30">
        <f t="shared" ca="1" si="19"/>
        <v>2.530764361133343E-2</v>
      </c>
      <c r="M98" s="30">
        <f t="shared" ca="1" si="19"/>
        <v>2.4173664889440921E-2</v>
      </c>
      <c r="N98" s="30">
        <f t="shared" ca="1" si="19"/>
        <v>0.10560225339395418</v>
      </c>
      <c r="O98" s="30">
        <f t="shared" ca="1" si="20"/>
        <v>0.17168228909718808</v>
      </c>
      <c r="P98" s="30">
        <f t="shared" ca="1" si="21"/>
        <v>0.19374000456933982</v>
      </c>
      <c r="Q98" s="30">
        <f t="shared" ca="1" si="22"/>
        <v>0.19020501138952173</v>
      </c>
      <c r="R98" s="30">
        <f t="shared" ca="1" si="23"/>
        <v>0.27888192676718226</v>
      </c>
      <c r="S98" s="9" cm="1">
        <f t="array" aca="1" ref="S98" ca="1">_xll.BDH($E$6,"PX LAST",AG98)</f>
        <v>261.25</v>
      </c>
      <c r="T98" s="9" cm="1">
        <f t="array" aca="1" ref="T98" ca="1">_xll.BDH($E$6,"PX LAST",AH98)</f>
        <v>222.97</v>
      </c>
      <c r="U98" s="9" cm="1">
        <f t="array" aca="1" ref="U98" ca="1">_xll.BDH($E$6,"PX LAST",AI98)</f>
        <v>218.85</v>
      </c>
      <c r="V98" s="9" cm="1">
        <f t="array" aca="1" ref="V98" ca="1">_xll.BDH($E$6,"PX LAST",AJ98)</f>
        <v>219.5</v>
      </c>
      <c r="W98" s="9" cm="1">
        <f t="array" aca="1" ref="W98" ca="1">_xll.BDH($E$6,"PX LAST",AK98)</f>
        <v>204.28</v>
      </c>
      <c r="X98" s="24">
        <f t="shared" ca="1" si="24"/>
        <v>-3.3730124098929615E-3</v>
      </c>
      <c r="Y98" s="24">
        <f t="shared" ca="1" si="25"/>
        <v>1.7347846292499192E-2</v>
      </c>
      <c r="Z98" s="24">
        <f t="shared" ca="1" si="26"/>
        <v>1.6570528227314085E-2</v>
      </c>
      <c r="AA98" s="24">
        <f t="shared" ca="1" si="27"/>
        <v>7.2388077221044123E-2</v>
      </c>
      <c r="AB98" s="9" cm="1">
        <f t="array" aca="1" ref="AB98" ca="1">_xll.BDH($E$8,"PX LAST",AG98)</f>
        <v>6851.97</v>
      </c>
      <c r="AC98" s="9" cm="1">
        <f t="array" aca="1" ref="AC98" ca="1">_xll.BDH($E$8,"PX LAST",AH98)</f>
        <v>6875.16</v>
      </c>
      <c r="AD98" s="9" cm="1">
        <f t="array" aca="1" ref="AD98" ca="1">_xll.BDH($E$8,"PX LAST",AI98)</f>
        <v>6735.13</v>
      </c>
      <c r="AE98" s="9" cm="1">
        <f t="array" aca="1" ref="AE98" ca="1">_xll.BDH($E$8,"PX LAST",AJ98)</f>
        <v>6740.28</v>
      </c>
      <c r="AF98" s="9" cm="1">
        <f t="array" aca="1" ref="AF98" ca="1">_xll.BDH($E$8,"PX LAST",AK98)</f>
        <v>6389.45</v>
      </c>
      <c r="AG98" s="20">
        <f t="shared" ca="1" si="33"/>
        <v>45964</v>
      </c>
      <c r="AH98" s="22">
        <f t="shared" ca="1" si="28"/>
        <v>45957</v>
      </c>
      <c r="AI98" s="22">
        <f t="shared" ca="1" si="29"/>
        <v>45950</v>
      </c>
      <c r="AJ98" s="22">
        <f t="shared" ca="1" si="30"/>
        <v>45936</v>
      </c>
      <c r="AK98" s="22">
        <f t="shared" ca="1" si="31"/>
        <v>45877</v>
      </c>
      <c r="AL98" s="22">
        <f t="shared" ca="1" si="32"/>
        <v>45791</v>
      </c>
    </row>
    <row r="99" spans="4:38" x14ac:dyDescent="0.25">
      <c r="D99" s="6">
        <f ca="1"/>
        <v>45961</v>
      </c>
      <c r="E99" s="28">
        <f ca="1"/>
        <v>259.52999999999997</v>
      </c>
      <c r="F99" s="29" cm="1">
        <f t="array" aca="1" ref="F99" ca="1">_xll.FDS($E$7,"P_BETA_LOCIDX("&amp;$AG99&amp;","&amp;$AL99&amp;",,"""&amp;$E$9&amp;""")")</f>
        <v>1.4590947999999999</v>
      </c>
      <c r="G99" s="30">
        <f t="shared" ca="1" si="18"/>
        <v>0.14028331402902652</v>
      </c>
      <c r="H99" s="30">
        <f t="shared" ca="1" si="18"/>
        <v>0.17542799204237489</v>
      </c>
      <c r="I99" s="30">
        <f t="shared" ca="1" si="18"/>
        <v>0.17522162593048218</v>
      </c>
      <c r="J99" s="30">
        <f t="shared" ca="1" si="18"/>
        <v>0.15150126632141536</v>
      </c>
      <c r="K99" s="30">
        <f t="shared" ca="1" si="19"/>
        <v>1.0421660698294498E-2</v>
      </c>
      <c r="L99" s="30">
        <f t="shared" ca="1" si="19"/>
        <v>3.8577059880162266E-2</v>
      </c>
      <c r="M99" s="30">
        <f t="shared" ca="1" si="19"/>
        <v>2.7029729051682765E-2</v>
      </c>
      <c r="N99" s="30">
        <f t="shared" ca="1" si="19"/>
        <v>0.1151165960504731</v>
      </c>
      <c r="O99" s="30">
        <f t="shared" ca="1" si="20"/>
        <v>0.15070497472732103</v>
      </c>
      <c r="P99" s="30">
        <f t="shared" ca="1" si="21"/>
        <v>0.21400505192253716</v>
      </c>
      <c r="Q99" s="30">
        <f t="shared" ca="1" si="22"/>
        <v>0.20225135498216495</v>
      </c>
      <c r="R99" s="30">
        <f t="shared" ca="1" si="23"/>
        <v>0.26661786237188845</v>
      </c>
      <c r="S99" s="9" cm="1">
        <f t="array" aca="1" ref="S99" ca="1">_xll.BDH($E$6,"PX LAST",AG99)</f>
        <v>259.52999999999997</v>
      </c>
      <c r="T99" s="9" cm="1">
        <f t="array" aca="1" ref="T99" ca="1">_xll.BDH($E$6,"PX LAST",AH99)</f>
        <v>225.54</v>
      </c>
      <c r="U99" s="9" cm="1">
        <f t="array" aca="1" ref="U99" ca="1">_xll.BDH($E$6,"PX LAST",AI99)</f>
        <v>213.78</v>
      </c>
      <c r="V99" s="9" cm="1">
        <f t="array" aca="1" ref="V99" ca="1">_xll.BDH($E$6,"PX LAST",AJ99)</f>
        <v>215.87</v>
      </c>
      <c r="W99" s="9" cm="1">
        <f t="array" aca="1" ref="W99" ca="1">_xll.BDH($E$6,"PX LAST",AK99)</f>
        <v>204.9</v>
      </c>
      <c r="X99" s="24">
        <f t="shared" ca="1" si="24"/>
        <v>7.1425521482870735E-3</v>
      </c>
      <c r="Y99" s="24">
        <f t="shared" ca="1" si="25"/>
        <v>2.6439035955828416E-2</v>
      </c>
      <c r="Z99" s="24">
        <f t="shared" ca="1" si="26"/>
        <v>1.8524998548197669E-2</v>
      </c>
      <c r="AA99" s="24">
        <f t="shared" ca="1" si="27"/>
        <v>7.8895899053627705E-2</v>
      </c>
      <c r="AB99" s="9" cm="1">
        <f t="array" aca="1" ref="AB99" ca="1">_xll.BDH($E$8,"PX LAST",AG99)</f>
        <v>6840.2</v>
      </c>
      <c r="AC99" s="9" cm="1">
        <f t="array" aca="1" ref="AC99" ca="1">_xll.BDH($E$8,"PX LAST",AH99)</f>
        <v>6791.69</v>
      </c>
      <c r="AD99" s="9" cm="1">
        <f t="array" aca="1" ref="AD99" ca="1">_xll.BDH($E$8,"PX LAST",AI99)</f>
        <v>6664.01</v>
      </c>
      <c r="AE99" s="9" cm="1">
        <f t="array" aca="1" ref="AE99" ca="1">_xll.BDH($E$8,"PX LAST",AJ99)</f>
        <v>6715.79</v>
      </c>
      <c r="AF99" s="9" cm="1">
        <f t="array" aca="1" ref="AF99" ca="1">_xll.BDH($E$8,"PX LAST",AK99)</f>
        <v>6340</v>
      </c>
      <c r="AG99" s="20">
        <f t="shared" ca="1" si="33"/>
        <v>45961</v>
      </c>
      <c r="AH99" s="22">
        <f t="shared" ca="1" si="28"/>
        <v>45954</v>
      </c>
      <c r="AI99" s="22">
        <f t="shared" ca="1" si="29"/>
        <v>45947</v>
      </c>
      <c r="AJ99" s="22">
        <f t="shared" ca="1" si="30"/>
        <v>45933</v>
      </c>
      <c r="AK99" s="22">
        <f t="shared" ca="1" si="31"/>
        <v>45876</v>
      </c>
      <c r="AL99" s="22">
        <f t="shared" ca="1" si="32"/>
        <v>45790</v>
      </c>
    </row>
    <row r="100" spans="4:38" x14ac:dyDescent="0.25">
      <c r="D100" s="6">
        <f ca="1"/>
        <v>45960</v>
      </c>
      <c r="E100" s="28">
        <f ca="1"/>
        <v>252.27</v>
      </c>
      <c r="F100" s="29" cm="1">
        <f t="array" aca="1" ref="F100" ca="1">_xll.FDS($E$7,"P_BETA_LOCIDX("&amp;$AG100&amp;","&amp;$AL100&amp;",,"""&amp;$E$9&amp;""")")</f>
        <v>1.5138400999999999</v>
      </c>
      <c r="G100" s="30">
        <f t="shared" ca="1" si="18"/>
        <v>0.1295556728245198</v>
      </c>
      <c r="H100" s="30">
        <f t="shared" ca="1" si="18"/>
        <v>0.11094653183569909</v>
      </c>
      <c r="I100" s="30">
        <f t="shared" ca="1" si="18"/>
        <v>0.15531929311651704</v>
      </c>
      <c r="J100" s="30">
        <f t="shared" ca="1" si="18"/>
        <v>0.10919582579540089</v>
      </c>
      <c r="K100" s="30">
        <f t="shared" ca="1" si="19"/>
        <v>1.8848751994527027E-2</v>
      </c>
      <c r="L100" s="30">
        <f t="shared" ca="1" si="19"/>
        <v>4.4135885746718603E-2</v>
      </c>
      <c r="M100" s="30">
        <f t="shared" ca="1" si="19"/>
        <v>2.4118735776839529E-2</v>
      </c>
      <c r="N100" s="30">
        <f t="shared" ca="1" si="19"/>
        <v>0.11387214666654043</v>
      </c>
      <c r="O100" s="30">
        <f t="shared" ca="1" si="20"/>
        <v>0.14840442481904681</v>
      </c>
      <c r="P100" s="30">
        <f t="shared" ca="1" si="21"/>
        <v>0.1550824175824177</v>
      </c>
      <c r="Q100" s="30">
        <f t="shared" ca="1" si="22"/>
        <v>0.17943802889335658</v>
      </c>
      <c r="R100" s="30">
        <f t="shared" ca="1" si="23"/>
        <v>0.22306797246194132</v>
      </c>
      <c r="S100" s="9" cm="1">
        <f t="array" aca="1" ref="S100" ca="1">_xll.BDH($E$6,"PX LAST",AG100)</f>
        <v>252.27</v>
      </c>
      <c r="T100" s="9" cm="1">
        <f t="array" aca="1" ref="T100" ca="1">_xll.BDH($E$6,"PX LAST",AH100)</f>
        <v>219.67</v>
      </c>
      <c r="U100" s="9" cm="1">
        <f t="array" aca="1" ref="U100" ca="1">_xll.BDH($E$6,"PX LAST",AI100)</f>
        <v>218.4</v>
      </c>
      <c r="V100" s="9" cm="1">
        <f t="array" aca="1" ref="V100" ca="1">_xll.BDH($E$6,"PX LAST",AJ100)</f>
        <v>213.89</v>
      </c>
      <c r="W100" s="9" cm="1">
        <f t="array" aca="1" ref="W100" ca="1">_xll.BDH($E$6,"PX LAST",AK100)</f>
        <v>206.26</v>
      </c>
      <c r="X100" s="24">
        <f t="shared" ca="1" si="24"/>
        <v>1.2450953039575996E-2</v>
      </c>
      <c r="Y100" s="24">
        <f t="shared" ca="1" si="25"/>
        <v>2.9154919166640259E-2</v>
      </c>
      <c r="Z100" s="24">
        <f t="shared" ca="1" si="26"/>
        <v>1.5932155434936313E-2</v>
      </c>
      <c r="AA100" s="24">
        <f t="shared" ca="1" si="27"/>
        <v>7.5220722893085235E-2</v>
      </c>
      <c r="AB100" s="9" cm="1">
        <f t="array" aca="1" ref="AB100" ca="1">_xll.BDH($E$8,"PX LAST",AG100)</f>
        <v>6822.34</v>
      </c>
      <c r="AC100" s="9" cm="1">
        <f t="array" aca="1" ref="AC100" ca="1">_xll.BDH($E$8,"PX LAST",AH100)</f>
        <v>6738.44</v>
      </c>
      <c r="AD100" s="9" cm="1">
        <f t="array" aca="1" ref="AD100" ca="1">_xll.BDH($E$8,"PX LAST",AI100)</f>
        <v>6629.07</v>
      </c>
      <c r="AE100" s="9" cm="1">
        <f t="array" aca="1" ref="AE100" ca="1">_xll.BDH($E$8,"PX LAST",AJ100)</f>
        <v>6715.35</v>
      </c>
      <c r="AF100" s="9" cm="1">
        <f t="array" aca="1" ref="AF100" ca="1">_xll.BDH($E$8,"PX LAST",AK100)</f>
        <v>6345.06</v>
      </c>
      <c r="AG100" s="20">
        <f t="shared" ca="1" si="33"/>
        <v>45960</v>
      </c>
      <c r="AH100" s="22">
        <f t="shared" ca="1" si="28"/>
        <v>45953</v>
      </c>
      <c r="AI100" s="22">
        <f t="shared" ca="1" si="29"/>
        <v>45946</v>
      </c>
      <c r="AJ100" s="22">
        <f t="shared" ca="1" si="30"/>
        <v>45932</v>
      </c>
      <c r="AK100" s="22">
        <f t="shared" ca="1" si="31"/>
        <v>45875</v>
      </c>
      <c r="AL100" s="22">
        <f t="shared" ca="1" si="32"/>
        <v>45789</v>
      </c>
    </row>
    <row r="101" spans="4:38" x14ac:dyDescent="0.25">
      <c r="D101" s="6">
        <f ca="1"/>
        <v>45959</v>
      </c>
      <c r="E101" s="28">
        <f ca="1"/>
        <v>228.29</v>
      </c>
      <c r="F101" s="29" cm="1">
        <f t="array" aca="1" ref="F101" ca="1">_xll.FDS($E$7,"P_BETA_LOCIDX("&amp;$AG101&amp;","&amp;$AL101&amp;",,"""&amp;$E$9&amp;""")")</f>
        <v>1.7441336999999999</v>
      </c>
      <c r="G101" s="30">
        <f t="shared" ca="1" si="18"/>
        <v>1.9048702469745084E-2</v>
      </c>
      <c r="H101" s="30">
        <f t="shared" ca="1" si="18"/>
        <v>-1.3736488252502316E-2</v>
      </c>
      <c r="I101" s="30">
        <f t="shared" ca="1" si="18"/>
        <v>2.6725588503292749E-2</v>
      </c>
      <c r="J101" s="30">
        <f t="shared" ca="1" si="18"/>
        <v>-5.9510937684885551E-2</v>
      </c>
      <c r="K101" s="30">
        <f t="shared" ca="1" si="19"/>
        <v>4.9774744320834861E-2</v>
      </c>
      <c r="L101" s="30">
        <f t="shared" ca="1" si="19"/>
        <v>5.7395626955985796E-2</v>
      </c>
      <c r="M101" s="30">
        <f t="shared" ca="1" si="19"/>
        <v>4.6620596084605018E-2</v>
      </c>
      <c r="N101" s="30">
        <f t="shared" ca="1" si="19"/>
        <v>0.16374814383754108</v>
      </c>
      <c r="O101" s="30">
        <f t="shared" ca="1" si="20"/>
        <v>6.8823446790579945E-2</v>
      </c>
      <c r="P101" s="30">
        <f t="shared" ca="1" si="21"/>
        <v>4.365913870348348E-2</v>
      </c>
      <c r="Q101" s="30">
        <f t="shared" ca="1" si="22"/>
        <v>7.3346184587897767E-2</v>
      </c>
      <c r="R101" s="30">
        <f t="shared" ca="1" si="23"/>
        <v>0.10423720615265553</v>
      </c>
      <c r="S101" s="9" cm="1">
        <f t="array" aca="1" ref="S101" ca="1">_xll.BDH($E$6,"PX LAST",AG101)</f>
        <v>228.29</v>
      </c>
      <c r="T101" s="9" cm="1">
        <f t="array" aca="1" ref="T101" ca="1">_xll.BDH($E$6,"PX LAST",AH101)</f>
        <v>213.59</v>
      </c>
      <c r="U101" s="9" cm="1">
        <f t="array" aca="1" ref="U101" ca="1">_xll.BDH($E$6,"PX LAST",AI101)</f>
        <v>218.74</v>
      </c>
      <c r="V101" s="9" cm="1">
        <f t="array" aca="1" ref="V101" ca="1">_xll.BDH($E$6,"PX LAST",AJ101)</f>
        <v>212.69</v>
      </c>
      <c r="W101" s="9" cm="1">
        <f t="array" aca="1" ref="W101" ca="1">_xll.BDH($E$6,"PX LAST",AK101)</f>
        <v>206.74</v>
      </c>
      <c r="X101" s="24">
        <f t="shared" ca="1" si="24"/>
        <v>2.8538376571036306E-2</v>
      </c>
      <c r="Y101" s="24">
        <f t="shared" ca="1" si="25"/>
        <v>3.2907813750738146E-2</v>
      </c>
      <c r="Z101" s="24">
        <f t="shared" ca="1" si="26"/>
        <v>2.6729943974252102E-2</v>
      </c>
      <c r="AA101" s="24">
        <f t="shared" ca="1" si="27"/>
        <v>9.3885086812748986E-2</v>
      </c>
      <c r="AB101" s="9" cm="1">
        <f t="array" aca="1" ref="AB101" ca="1">_xll.BDH($E$8,"PX LAST",AG101)</f>
        <v>6890.59</v>
      </c>
      <c r="AC101" s="9" cm="1">
        <f t="array" aca="1" ref="AC101" ca="1">_xll.BDH($E$8,"PX LAST",AH101)</f>
        <v>6699.4</v>
      </c>
      <c r="AD101" s="9" cm="1">
        <f t="array" aca="1" ref="AD101" ca="1">_xll.BDH($E$8,"PX LAST",AI101)</f>
        <v>6671.06</v>
      </c>
      <c r="AE101" s="9" cm="1">
        <f t="array" aca="1" ref="AE101" ca="1">_xll.BDH($E$8,"PX LAST",AJ101)</f>
        <v>6711.2</v>
      </c>
      <c r="AF101" s="9" cm="1">
        <f t="array" aca="1" ref="AF101" ca="1">_xll.BDH($E$8,"PX LAST",AK101)</f>
        <v>6299.19</v>
      </c>
      <c r="AG101" s="20">
        <f t="shared" ca="1" si="33"/>
        <v>45959</v>
      </c>
      <c r="AH101" s="22">
        <f t="shared" ca="1" si="28"/>
        <v>45952</v>
      </c>
      <c r="AI101" s="22">
        <f t="shared" ca="1" si="29"/>
        <v>45945</v>
      </c>
      <c r="AJ101" s="22">
        <f t="shared" ca="1" si="30"/>
        <v>45931</v>
      </c>
      <c r="AK101" s="22">
        <f t="shared" ca="1" si="31"/>
        <v>45874</v>
      </c>
      <c r="AL101" s="22">
        <f t="shared" ca="1" si="32"/>
        <v>45786</v>
      </c>
    </row>
    <row r="102" spans="4:38" x14ac:dyDescent="0.25">
      <c r="D102" s="6">
        <f ca="1"/>
        <v>45958</v>
      </c>
      <c r="E102" s="28">
        <f ca="1"/>
        <v>220.77</v>
      </c>
      <c r="F102" s="29" cm="1">
        <f t="array" aca="1" ref="F102" ca="1">_xll.FDS($E$7,"P_BETA_LOCIDX("&amp;$AG102&amp;","&amp;$AL102&amp;",,"""&amp;$E$9&amp;""")")</f>
        <v>1.7635198999999999</v>
      </c>
      <c r="G102" s="30">
        <f t="shared" ca="1" si="18"/>
        <v>-3.9318961541600687E-2</v>
      </c>
      <c r="H102" s="30">
        <f t="shared" ca="1" si="18"/>
        <v>-5.7640705813405552E-2</v>
      </c>
      <c r="I102" s="30">
        <f t="shared" ca="1" si="18"/>
        <v>-9.5441334228801092E-3</v>
      </c>
      <c r="J102" s="30">
        <f t="shared" ca="1" si="18"/>
        <v>-0.10031842940102445</v>
      </c>
      <c r="K102" s="30">
        <f t="shared" ca="1" si="19"/>
        <v>4.0725112317251559E-2</v>
      </c>
      <c r="L102" s="30">
        <f t="shared" ca="1" si="19"/>
        <v>6.5446786339288826E-2</v>
      </c>
      <c r="M102" s="30">
        <f t="shared" ca="1" si="19"/>
        <v>5.3373920656922626E-2</v>
      </c>
      <c r="N102" s="30">
        <f t="shared" ca="1" si="19"/>
        <v>0.15628054735194999</v>
      </c>
      <c r="O102" s="30">
        <f t="shared" ca="1" si="20"/>
        <v>1.4061507756508718E-3</v>
      </c>
      <c r="P102" s="30">
        <f t="shared" ca="1" si="21"/>
        <v>7.8060805258832744E-3</v>
      </c>
      <c r="Q102" s="30">
        <f t="shared" ca="1" si="22"/>
        <v>4.3829787234042517E-2</v>
      </c>
      <c r="R102" s="30">
        <f t="shared" ca="1" si="23"/>
        <v>5.5962117950925538E-2</v>
      </c>
      <c r="S102" s="9" cm="1">
        <f t="array" aca="1" ref="S102" ca="1">_xll.BDH($E$6,"PX LAST",AG102)</f>
        <v>220.77</v>
      </c>
      <c r="T102" s="9" cm="1">
        <f t="array" aca="1" ref="T102" ca="1">_xll.BDH($E$6,"PX LAST",AH102)</f>
        <v>220.46</v>
      </c>
      <c r="U102" s="9" cm="1">
        <f t="array" aca="1" ref="U102" ca="1">_xll.BDH($E$6,"PX LAST",AI102)</f>
        <v>219.06</v>
      </c>
      <c r="V102" s="9" cm="1">
        <f t="array" aca="1" ref="V102" ca="1">_xll.BDH($E$6,"PX LAST",AJ102)</f>
        <v>211.5</v>
      </c>
      <c r="W102" s="9" cm="1">
        <f t="array" aca="1" ref="W102" ca="1">_xll.BDH($E$6,"PX LAST",AK102)</f>
        <v>209.07</v>
      </c>
      <c r="X102" s="24">
        <f t="shared" ca="1" si="24"/>
        <v>2.3093083507167433E-2</v>
      </c>
      <c r="Y102" s="24">
        <f t="shared" ca="1" si="25"/>
        <v>3.7111453258502403E-2</v>
      </c>
      <c r="Z102" s="24">
        <f t="shared" ca="1" si="26"/>
        <v>3.026556187822016E-2</v>
      </c>
      <c r="AA102" s="24">
        <f t="shared" ca="1" si="27"/>
        <v>8.8618533509006614E-2</v>
      </c>
      <c r="AB102" s="9" cm="1">
        <f t="array" aca="1" ref="AB102" ca="1">_xll.BDH($E$8,"PX LAST",AG102)</f>
        <v>6890.89</v>
      </c>
      <c r="AC102" s="9" cm="1">
        <f t="array" aca="1" ref="AC102" ca="1">_xll.BDH($E$8,"PX LAST",AH102)</f>
        <v>6735.35</v>
      </c>
      <c r="AD102" s="9" cm="1">
        <f t="array" aca="1" ref="AD102" ca="1">_xll.BDH($E$8,"PX LAST",AI102)</f>
        <v>6644.31</v>
      </c>
      <c r="AE102" s="9" cm="1">
        <f t="array" aca="1" ref="AE102" ca="1">_xll.BDH($E$8,"PX LAST",AJ102)</f>
        <v>6688.46</v>
      </c>
      <c r="AF102" s="9" cm="1">
        <f t="array" aca="1" ref="AF102" ca="1">_xll.BDH($E$8,"PX LAST",AK102)</f>
        <v>6329.94</v>
      </c>
      <c r="AG102" s="20">
        <f t="shared" ca="1" si="33"/>
        <v>45958</v>
      </c>
      <c r="AH102" s="22">
        <f t="shared" ca="1" si="28"/>
        <v>45951</v>
      </c>
      <c r="AI102" s="22">
        <f t="shared" ca="1" si="29"/>
        <v>45944</v>
      </c>
      <c r="AJ102" s="22">
        <f t="shared" ca="1" si="30"/>
        <v>45930</v>
      </c>
      <c r="AK102" s="22">
        <f t="shared" ca="1" si="31"/>
        <v>45873</v>
      </c>
      <c r="AL102" s="22">
        <f t="shared" ca="1" si="32"/>
        <v>45785</v>
      </c>
    </row>
    <row r="103" spans="4:38" x14ac:dyDescent="0.25">
      <c r="D103" s="6">
        <f ca="1"/>
        <v>45957</v>
      </c>
      <c r="E103" s="28">
        <f ca="1"/>
        <v>222.97</v>
      </c>
      <c r="F103" s="29" cm="1">
        <f t="array" aca="1" ref="F103" ca="1">_xll.FDS($E$7,"P_BETA_LOCIDX("&amp;$AG103&amp;","&amp;$AL103&amp;",,"""&amp;$E$9&amp;""")")</f>
        <v>1.7616779</v>
      </c>
      <c r="G103" s="30">
        <f t="shared" ca="1" si="18"/>
        <v>-1.7801342556313951E-2</v>
      </c>
      <c r="H103" s="30">
        <f t="shared" ca="1" si="18"/>
        <v>-1.1646986599719134E-2</v>
      </c>
      <c r="I103" s="30">
        <f t="shared" ca="1" si="18"/>
        <v>-1.6529838695269472E-3</v>
      </c>
      <c r="J103" s="30">
        <f t="shared" ca="1" si="18"/>
        <v>-8.42081644130174E-2</v>
      </c>
      <c r="K103" s="30">
        <f t="shared" ca="1" si="19"/>
        <v>3.6627022245598898E-2</v>
      </c>
      <c r="L103" s="30">
        <f t="shared" ca="1" si="19"/>
        <v>5.8356215780077714E-2</v>
      </c>
      <c r="M103" s="30">
        <f t="shared" ca="1" si="19"/>
        <v>5.6582961159458822E-2</v>
      </c>
      <c r="N103" s="30">
        <f t="shared" ca="1" si="19"/>
        <v>0.17993768429114412</v>
      </c>
      <c r="O103" s="30">
        <f t="shared" ca="1" si="20"/>
        <v>1.8825679689284947E-2</v>
      </c>
      <c r="P103" s="30">
        <f t="shared" ca="1" si="21"/>
        <v>4.670922918035858E-2</v>
      </c>
      <c r="Q103" s="30">
        <f t="shared" ca="1" si="22"/>
        <v>5.4929977289931875E-2</v>
      </c>
      <c r="R103" s="30">
        <f t="shared" ca="1" si="23"/>
        <v>9.5729519878126723E-2</v>
      </c>
      <c r="S103" s="9" cm="1">
        <f t="array" aca="1" ref="S103" ca="1">_xll.BDH($E$6,"PX LAST",AG103)</f>
        <v>222.97</v>
      </c>
      <c r="T103" s="9" cm="1">
        <f t="array" aca="1" ref="T103" ca="1">_xll.BDH($E$6,"PX LAST",AH103)</f>
        <v>218.85</v>
      </c>
      <c r="U103" s="9" cm="1">
        <f t="array" aca="1" ref="U103" ca="1">_xll.BDH($E$6,"PX LAST",AI103)</f>
        <v>213.02</v>
      </c>
      <c r="V103" s="9" cm="1">
        <f t="array" aca="1" ref="V103" ca="1">_xll.BDH($E$6,"PX LAST",AJ103)</f>
        <v>211.36</v>
      </c>
      <c r="W103" s="9" cm="1">
        <f t="array" aca="1" ref="W103" ca="1">_xll.BDH($E$6,"PX LAST",AK103)</f>
        <v>203.49</v>
      </c>
      <c r="X103" s="24">
        <f t="shared" ca="1" si="24"/>
        <v>2.0790986959420277E-2</v>
      </c>
      <c r="Y103" s="24">
        <f t="shared" ca="1" si="25"/>
        <v>3.3125360646278024E-2</v>
      </c>
      <c r="Z103" s="24">
        <f t="shared" ca="1" si="26"/>
        <v>3.2118789228983813E-2</v>
      </c>
      <c r="AA103" s="24">
        <f t="shared" ca="1" si="27"/>
        <v>0.10213994527100789</v>
      </c>
      <c r="AB103" s="9" cm="1">
        <f t="array" aca="1" ref="AB103" ca="1">_xll.BDH($E$8,"PX LAST",AG103)</f>
        <v>6875.16</v>
      </c>
      <c r="AC103" s="9" cm="1">
        <f t="array" aca="1" ref="AC103" ca="1">_xll.BDH($E$8,"PX LAST",AH103)</f>
        <v>6735.13</v>
      </c>
      <c r="AD103" s="9" cm="1">
        <f t="array" aca="1" ref="AD103" ca="1">_xll.BDH($E$8,"PX LAST",AI103)</f>
        <v>6654.72</v>
      </c>
      <c r="AE103" s="9" cm="1">
        <f t="array" aca="1" ref="AE103" ca="1">_xll.BDH($E$8,"PX LAST",AJ103)</f>
        <v>6661.21</v>
      </c>
      <c r="AF103" s="9" cm="1">
        <f t="array" aca="1" ref="AF103" ca="1">_xll.BDH($E$8,"PX LAST",AK103)</f>
        <v>6238.01</v>
      </c>
      <c r="AG103" s="20">
        <f t="shared" ca="1" si="33"/>
        <v>45957</v>
      </c>
      <c r="AH103" s="22">
        <f t="shared" ca="1" si="28"/>
        <v>45950</v>
      </c>
      <c r="AI103" s="22">
        <f t="shared" ca="1" si="29"/>
        <v>45943</v>
      </c>
      <c r="AJ103" s="22">
        <f t="shared" ca="1" si="30"/>
        <v>45929</v>
      </c>
      <c r="AK103" s="22">
        <f t="shared" ca="1" si="31"/>
        <v>45870</v>
      </c>
      <c r="AL103" s="22">
        <f t="shared" ca="1" si="32"/>
        <v>45784</v>
      </c>
    </row>
    <row r="104" spans="4:38" x14ac:dyDescent="0.25">
      <c r="D104" s="6">
        <f ca="1"/>
        <v>45954</v>
      </c>
      <c r="E104" s="28">
        <f ca="1"/>
        <v>225.54</v>
      </c>
      <c r="F104" s="29" cm="1">
        <f t="array" aca="1" ref="F104" ca="1">_xll.FDS($E$7,"P_BETA_LOCIDX("&amp;$AG104&amp;","&amp;$AL104&amp;",,"""&amp;$E$9&amp;""")")</f>
        <v>1.8350827000000001</v>
      </c>
      <c r="G104" s="30">
        <f t="shared" ca="1" si="18"/>
        <v>1.985030824560894E-2</v>
      </c>
      <c r="H104" s="30">
        <f t="shared" ca="1" si="18"/>
        <v>1.5832958856971988E-2</v>
      </c>
      <c r="I104" s="30">
        <f t="shared" ca="1" si="18"/>
        <v>1.4132918931616244E-2</v>
      </c>
      <c r="J104" s="30">
        <f t="shared" ca="1" si="18"/>
        <v>-4.1152868527636111E-2</v>
      </c>
      <c r="K104" s="30">
        <f t="shared" ca="1" si="19"/>
        <v>3.5159514937102253E-2</v>
      </c>
      <c r="L104" s="30">
        <f t="shared" ca="1" si="19"/>
        <v>6.6984267126032462E-2</v>
      </c>
      <c r="M104" s="30">
        <f t="shared" ca="1" si="19"/>
        <v>4.0876904251094949E-2</v>
      </c>
      <c r="N104" s="30">
        <f t="shared" ca="1" si="19"/>
        <v>0.13092867061499591</v>
      </c>
      <c r="O104" s="30">
        <f t="shared" ca="1" si="20"/>
        <v>5.5009823182711193E-2</v>
      </c>
      <c r="P104" s="30">
        <f t="shared" ca="1" si="21"/>
        <v>8.281722598300445E-2</v>
      </c>
      <c r="Q104" s="30">
        <f t="shared" ca="1" si="22"/>
        <v>5.5009823182711193E-2</v>
      </c>
      <c r="R104" s="30">
        <f t="shared" ca="1" si="23"/>
        <v>8.9775802087359802E-2</v>
      </c>
      <c r="S104" s="9" cm="1">
        <f t="array" aca="1" ref="S104" ca="1">_xll.BDH($E$6,"PX LAST",AG104)</f>
        <v>225.54</v>
      </c>
      <c r="T104" s="9" cm="1">
        <f t="array" aca="1" ref="T104" ca="1">_xll.BDH($E$6,"PX LAST",AH104)</f>
        <v>213.78</v>
      </c>
      <c r="U104" s="9" cm="1">
        <f t="array" aca="1" ref="U104" ca="1">_xll.BDH($E$6,"PX LAST",AI104)</f>
        <v>208.29</v>
      </c>
      <c r="V104" s="9" cm="1">
        <f t="array" aca="1" ref="V104" ca="1">_xll.BDH($E$6,"PX LAST",AJ104)</f>
        <v>213.78</v>
      </c>
      <c r="W104" s="9" cm="1">
        <f t="array" aca="1" ref="W104" ca="1">_xll.BDH($E$6,"PX LAST",AK104)</f>
        <v>206.96</v>
      </c>
      <c r="X104" s="24">
        <f t="shared" ca="1" si="24"/>
        <v>1.9159635114593065E-2</v>
      </c>
      <c r="Y104" s="24">
        <f t="shared" ca="1" si="25"/>
        <v>3.6502042728664197E-2</v>
      </c>
      <c r="Z104" s="24">
        <f t="shared" ca="1" si="26"/>
        <v>2.2275238195583746E-2</v>
      </c>
      <c r="AA104" s="24">
        <f t="shared" ca="1" si="27"/>
        <v>7.1347558676781109E-2</v>
      </c>
      <c r="AB104" s="9" cm="1">
        <f t="array" aca="1" ref="AB104" ca="1">_xll.BDH($E$8,"PX LAST",AG104)</f>
        <v>6791.69</v>
      </c>
      <c r="AC104" s="9" cm="1">
        <f t="array" aca="1" ref="AC104" ca="1">_xll.BDH($E$8,"PX LAST",AH104)</f>
        <v>6664.01</v>
      </c>
      <c r="AD104" s="9" cm="1">
        <f t="array" aca="1" ref="AD104" ca="1">_xll.BDH($E$8,"PX LAST",AI104)</f>
        <v>6552.51</v>
      </c>
      <c r="AE104" s="9" cm="1">
        <f t="array" aca="1" ref="AE104" ca="1">_xll.BDH($E$8,"PX LAST",AJ104)</f>
        <v>6643.7</v>
      </c>
      <c r="AF104" s="9" cm="1">
        <f t="array" aca="1" ref="AF104" ca="1">_xll.BDH($E$8,"PX LAST",AK104)</f>
        <v>6339.39</v>
      </c>
      <c r="AG104" s="20">
        <f t="shared" ca="1" si="33"/>
        <v>45954</v>
      </c>
      <c r="AH104" s="22">
        <f t="shared" ca="1" si="28"/>
        <v>45947</v>
      </c>
      <c r="AI104" s="22">
        <f t="shared" ca="1" si="29"/>
        <v>45940</v>
      </c>
      <c r="AJ104" s="22">
        <f t="shared" ca="1" si="30"/>
        <v>45926</v>
      </c>
      <c r="AK104" s="22">
        <f t="shared" ca="1" si="31"/>
        <v>45869</v>
      </c>
      <c r="AL104" s="22">
        <f t="shared" ca="1" si="32"/>
        <v>45783</v>
      </c>
    </row>
    <row r="105" spans="4:38" x14ac:dyDescent="0.25">
      <c r="D105" s="6">
        <f ca="1"/>
        <v>45953</v>
      </c>
      <c r="E105" s="28">
        <f ca="1"/>
        <v>219.67</v>
      </c>
      <c r="F105" s="29" cm="1">
        <f t="array" aca="1" ref="F105" ca="1">_xll.FDS($E$7,"P_BETA_LOCIDX("&amp;$AG105&amp;","&amp;$AL105&amp;",,"""&amp;$E$9&amp;""")")</f>
        <v>1.8104343000000001</v>
      </c>
      <c r="G105" s="30">
        <f t="shared" ca="1" si="18"/>
        <v>-2.4054510803093242E-2</v>
      </c>
      <c r="H105" s="30">
        <f t="shared" ca="1" si="18"/>
        <v>-1.1747067406138928E-2</v>
      </c>
      <c r="I105" s="30">
        <f t="shared" ca="1" si="18"/>
        <v>1.6868330039286596E-2</v>
      </c>
      <c r="J105" s="30">
        <f t="shared" ca="1" si="18"/>
        <v>-7.4422915742130655E-2</v>
      </c>
      <c r="K105" s="30">
        <f t="shared" ca="1" si="19"/>
        <v>2.9869529118111537E-2</v>
      </c>
      <c r="L105" s="30">
        <f t="shared" ca="1" si="19"/>
        <v>8.9512216118201038E-4</v>
      </c>
      <c r="M105" s="30">
        <f t="shared" ca="1" si="19"/>
        <v>3.6654282785038315E-2</v>
      </c>
      <c r="N105" s="30">
        <f t="shared" ca="1" si="19"/>
        <v>0.10685229958383756</v>
      </c>
      <c r="O105" s="30">
        <f t="shared" ca="1" si="20"/>
        <v>5.8150183150182944E-3</v>
      </c>
      <c r="P105" s="30">
        <f t="shared" ca="1" si="21"/>
        <v>-1.0851945244956918E-2</v>
      </c>
      <c r="Q105" s="30">
        <f t="shared" ca="1" si="22"/>
        <v>5.3522612824324911E-2</v>
      </c>
      <c r="R105" s="30">
        <f t="shared" ca="1" si="23"/>
        <v>3.2429383841706905E-2</v>
      </c>
      <c r="S105" s="9" cm="1">
        <f t="array" aca="1" ref="S105" ca="1">_xll.BDH($E$6,"PX LAST",AG105)</f>
        <v>219.67</v>
      </c>
      <c r="T105" s="9" cm="1">
        <f t="array" aca="1" ref="T105" ca="1">_xll.BDH($E$6,"PX LAST",AH105)</f>
        <v>218.4</v>
      </c>
      <c r="U105" s="9" cm="1">
        <f t="array" aca="1" ref="U105" ca="1">_xll.BDH($E$6,"PX LAST",AI105)</f>
        <v>222.08</v>
      </c>
      <c r="V105" s="9" cm="1">
        <f t="array" aca="1" ref="V105" ca="1">_xll.BDH($E$6,"PX LAST",AJ105)</f>
        <v>208.51</v>
      </c>
      <c r="W105" s="9" cm="1">
        <f t="array" aca="1" ref="W105" ca="1">_xll.BDH($E$6,"PX LAST",AK105)</f>
        <v>212.77</v>
      </c>
      <c r="X105" s="24">
        <f t="shared" ca="1" si="24"/>
        <v>1.6498543536272781E-2</v>
      </c>
      <c r="Y105" s="24">
        <f t="shared" ca="1" si="25"/>
        <v>4.9442399604449072E-4</v>
      </c>
      <c r="Z105" s="24">
        <f t="shared" ca="1" si="26"/>
        <v>2.024612701219719E-2</v>
      </c>
      <c r="AA105" s="24">
        <f t="shared" ca="1" si="27"/>
        <v>5.9020258058432473E-2</v>
      </c>
      <c r="AB105" s="9" cm="1">
        <f t="array" aca="1" ref="AB105" ca="1">_xll.BDH($E$8,"PX LAST",AG105)</f>
        <v>6738.44</v>
      </c>
      <c r="AC105" s="9" cm="1">
        <f t="array" aca="1" ref="AC105" ca="1">_xll.BDH($E$8,"PX LAST",AH105)</f>
        <v>6629.07</v>
      </c>
      <c r="AD105" s="9" cm="1">
        <f t="array" aca="1" ref="AD105" ca="1">_xll.BDH($E$8,"PX LAST",AI105)</f>
        <v>6735.11</v>
      </c>
      <c r="AE105" s="9" cm="1">
        <f t="array" aca="1" ref="AE105" ca="1">_xll.BDH($E$8,"PX LAST",AJ105)</f>
        <v>6604.72</v>
      </c>
      <c r="AF105" s="9" cm="1">
        <f t="array" aca="1" ref="AF105" ca="1">_xll.BDH($E$8,"PX LAST",AK105)</f>
        <v>6362.9</v>
      </c>
      <c r="AG105" s="20">
        <f t="shared" ca="1" si="33"/>
        <v>45953</v>
      </c>
      <c r="AH105" s="22">
        <f t="shared" ca="1" si="28"/>
        <v>45946</v>
      </c>
      <c r="AI105" s="22">
        <f t="shared" ca="1" si="29"/>
        <v>45939</v>
      </c>
      <c r="AJ105" s="22">
        <f t="shared" ca="1" si="30"/>
        <v>45925</v>
      </c>
      <c r="AK105" s="22">
        <f t="shared" ca="1" si="31"/>
        <v>45868</v>
      </c>
      <c r="AL105" s="22">
        <f t="shared" ca="1" si="32"/>
        <v>45782</v>
      </c>
    </row>
    <row r="106" spans="4:38" x14ac:dyDescent="0.25">
      <c r="D106" s="6">
        <f ca="1"/>
        <v>45952</v>
      </c>
      <c r="E106" s="28">
        <f ca="1"/>
        <v>213.59</v>
      </c>
      <c r="F106" s="29" cm="1">
        <f t="array" aca="1" ref="F106" ca="1">_xll.FDS($E$7,"P_BETA_LOCIDX("&amp;$AG106&amp;","&amp;$AL106&amp;",,"""&amp;$E$9&amp;""")")</f>
        <v>1.8954408</v>
      </c>
      <c r="G106" s="30">
        <f t="shared" ca="1" si="18"/>
        <v>-3.1596145869763614E-2</v>
      </c>
      <c r="H106" s="30">
        <f t="shared" ca="1" si="18"/>
        <v>-3.2291249229165299E-2</v>
      </c>
      <c r="I106" s="30">
        <f t="shared" ca="1" si="18"/>
        <v>1.0817164276805805E-2</v>
      </c>
      <c r="J106" s="30">
        <f t="shared" ca="1" si="18"/>
        <v>-0.10977277823894817</v>
      </c>
      <c r="K106" s="30">
        <f t="shared" ca="1" si="19"/>
        <v>8.0522124328064586E-3</v>
      </c>
      <c r="L106" s="30">
        <f t="shared" ca="1" si="19"/>
        <v>-1.5244982654892679E-2</v>
      </c>
      <c r="M106" s="30">
        <f t="shared" ca="1" si="19"/>
        <v>1.7541044678418091E-2</v>
      </c>
      <c r="N106" s="30">
        <f t="shared" ca="1" si="19"/>
        <v>9.7746320030890468E-2</v>
      </c>
      <c r="O106" s="30">
        <f t="shared" ca="1" si="20"/>
        <v>-2.3543933436957154E-2</v>
      </c>
      <c r="P106" s="30">
        <f t="shared" ca="1" si="21"/>
        <v>-4.7536231884057978E-2</v>
      </c>
      <c r="Q106" s="30">
        <f t="shared" ca="1" si="22"/>
        <v>2.8358208955223896E-2</v>
      </c>
      <c r="R106" s="30">
        <f t="shared" ca="1" si="23"/>
        <v>-1.20264582080577E-2</v>
      </c>
      <c r="S106" s="9" cm="1">
        <f t="array" aca="1" ref="S106" ca="1">_xll.BDH($E$6,"PX LAST",AG106)</f>
        <v>213.59</v>
      </c>
      <c r="T106" s="9" cm="1">
        <f t="array" aca="1" ref="T106" ca="1">_xll.BDH($E$6,"PX LAST",AH106)</f>
        <v>218.74</v>
      </c>
      <c r="U106" s="9" cm="1">
        <f t="array" aca="1" ref="U106" ca="1">_xll.BDH($E$6,"PX LAST",AI106)</f>
        <v>224.25</v>
      </c>
      <c r="V106" s="9" cm="1">
        <f t="array" aca="1" ref="V106" ca="1">_xll.BDH($E$6,"PX LAST",AJ106)</f>
        <v>207.7</v>
      </c>
      <c r="W106" s="9" cm="1">
        <f t="array" aca="1" ref="W106" ca="1">_xll.BDH($E$6,"PX LAST",AK106)</f>
        <v>216.19</v>
      </c>
      <c r="X106" s="24">
        <f t="shared" ca="1" si="24"/>
        <v>4.2482004359125636E-3</v>
      </c>
      <c r="Y106" s="24">
        <f t="shared" ca="1" si="25"/>
        <v>-8.0429748346098062E-3</v>
      </c>
      <c r="Z106" s="24">
        <f t="shared" ca="1" si="26"/>
        <v>9.2543352862395345E-3</v>
      </c>
      <c r="AA106" s="24">
        <f t="shared" ca="1" si="27"/>
        <v>5.1569175904037978E-2</v>
      </c>
      <c r="AB106" s="9" cm="1">
        <f t="array" aca="1" ref="AB106" ca="1">_xll.BDH($E$8,"PX LAST",AG106)</f>
        <v>6699.4</v>
      </c>
      <c r="AC106" s="9" cm="1">
        <f t="array" aca="1" ref="AC106" ca="1">_xll.BDH($E$8,"PX LAST",AH106)</f>
        <v>6671.06</v>
      </c>
      <c r="AD106" s="9" cm="1">
        <f t="array" aca="1" ref="AD106" ca="1">_xll.BDH($E$8,"PX LAST",AI106)</f>
        <v>6753.72</v>
      </c>
      <c r="AE106" s="9" cm="1">
        <f t="array" aca="1" ref="AE106" ca="1">_xll.BDH($E$8,"PX LAST",AJ106)</f>
        <v>6637.97</v>
      </c>
      <c r="AF106" s="9" cm="1">
        <f t="array" aca="1" ref="AF106" ca="1">_xll.BDH($E$8,"PX LAST",AK106)</f>
        <v>6370.86</v>
      </c>
      <c r="AG106" s="20">
        <f t="shared" ca="1" si="33"/>
        <v>45952</v>
      </c>
      <c r="AH106" s="22">
        <f t="shared" ca="1" si="28"/>
        <v>45945</v>
      </c>
      <c r="AI106" s="22">
        <f t="shared" ca="1" si="29"/>
        <v>45938</v>
      </c>
      <c r="AJ106" s="22">
        <f t="shared" ca="1" si="30"/>
        <v>45924</v>
      </c>
      <c r="AK106" s="22">
        <f t="shared" ca="1" si="31"/>
        <v>45867</v>
      </c>
      <c r="AL106" s="22">
        <f t="shared" ca="1" si="32"/>
        <v>45779</v>
      </c>
    </row>
    <row r="107" spans="4:38" x14ac:dyDescent="0.25">
      <c r="D107" s="6">
        <f ca="1"/>
        <v>45951</v>
      </c>
      <c r="E107" s="28">
        <f ca="1"/>
        <v>220.46</v>
      </c>
      <c r="F107" s="29" cm="1">
        <f t="array" aca="1" ref="F107" ca="1">_xll.FDS($E$7,"P_BETA_LOCIDX("&amp;$AG107&amp;","&amp;$AL107&amp;",,"""&amp;$E$9&amp;""")")</f>
        <v>1.8112568</v>
      </c>
      <c r="G107" s="30">
        <f t="shared" ca="1" si="18"/>
        <v>-1.842680606207802E-2</v>
      </c>
      <c r="H107" s="30">
        <f t="shared" ca="1" si="18"/>
        <v>2.4683205948822919E-2</v>
      </c>
      <c r="I107" s="30">
        <f t="shared" ca="1" si="18"/>
        <v>2.7720465790890693E-2</v>
      </c>
      <c r="J107" s="30">
        <f t="shared" ca="1" si="18"/>
        <v>-8.7647619881948274E-2</v>
      </c>
      <c r="K107" s="30">
        <f t="shared" ca="1" si="19"/>
        <v>2.4817749182684194E-2</v>
      </c>
      <c r="L107" s="30">
        <f t="shared" ca="1" si="19"/>
        <v>5.5999980889376057E-3</v>
      </c>
      <c r="M107" s="30">
        <f t="shared" ca="1" si="19"/>
        <v>2.1339729307848353E-2</v>
      </c>
      <c r="N107" s="30">
        <f t="shared" ca="1" si="19"/>
        <v>9.7958788022730198E-2</v>
      </c>
      <c r="O107" s="30">
        <f t="shared" ca="1" si="20"/>
        <v>6.390943120606174E-3</v>
      </c>
      <c r="P107" s="30">
        <f t="shared" ca="1" si="21"/>
        <v>3.0283204037760525E-2</v>
      </c>
      <c r="Q107" s="30">
        <f t="shared" ca="1" si="22"/>
        <v>4.9060195098739046E-2</v>
      </c>
      <c r="R107" s="30">
        <f t="shared" ca="1" si="23"/>
        <v>1.0311168140781923E-2</v>
      </c>
      <c r="S107" s="9" cm="1">
        <f t="array" aca="1" ref="S107" ca="1">_xll.BDH($E$6,"PX LAST",AG107)</f>
        <v>220.46</v>
      </c>
      <c r="T107" s="9" cm="1">
        <f t="array" aca="1" ref="T107" ca="1">_xll.BDH($E$6,"PX LAST",AH107)</f>
        <v>219.06</v>
      </c>
      <c r="U107" s="9" cm="1">
        <f t="array" aca="1" ref="U107" ca="1">_xll.BDH($E$6,"PX LAST",AI107)</f>
        <v>213.98</v>
      </c>
      <c r="V107" s="9" cm="1">
        <f t="array" aca="1" ref="V107" ca="1">_xll.BDH($E$6,"PX LAST",AJ107)</f>
        <v>210.15</v>
      </c>
      <c r="W107" s="9" cm="1">
        <f t="array" aca="1" ref="W107" ca="1">_xll.BDH($E$6,"PX LAST",AK107)</f>
        <v>218.21</v>
      </c>
      <c r="X107" s="24">
        <f t="shared" ca="1" si="24"/>
        <v>1.3701949487606724E-2</v>
      </c>
      <c r="Y107" s="24">
        <f t="shared" ca="1" si="25"/>
        <v>3.0917747770153881E-3</v>
      </c>
      <c r="Z107" s="24">
        <f t="shared" ca="1" si="26"/>
        <v>1.1781724881777311E-2</v>
      </c>
      <c r="AA107" s="24">
        <f t="shared" ca="1" si="27"/>
        <v>5.4083323812907258E-2</v>
      </c>
      <c r="AB107" s="9" cm="1">
        <f t="array" aca="1" ref="AB107" ca="1">_xll.BDH($E$8,"PX LAST",AG107)</f>
        <v>6735.35</v>
      </c>
      <c r="AC107" s="9" cm="1">
        <f t="array" aca="1" ref="AC107" ca="1">_xll.BDH($E$8,"PX LAST",AH107)</f>
        <v>6644.31</v>
      </c>
      <c r="AD107" s="9" cm="1">
        <f t="array" aca="1" ref="AD107" ca="1">_xll.BDH($E$8,"PX LAST",AI107)</f>
        <v>6714.59</v>
      </c>
      <c r="AE107" s="9" cm="1">
        <f t="array" aca="1" ref="AE107" ca="1">_xll.BDH($E$8,"PX LAST",AJ107)</f>
        <v>6656.92</v>
      </c>
      <c r="AF107" s="9" cm="1">
        <f t="array" aca="1" ref="AF107" ca="1">_xll.BDH($E$8,"PX LAST",AK107)</f>
        <v>6389.77</v>
      </c>
      <c r="AG107" s="20">
        <f t="shared" ca="1" si="33"/>
        <v>45951</v>
      </c>
      <c r="AH107" s="22">
        <f t="shared" ca="1" si="28"/>
        <v>45944</v>
      </c>
      <c r="AI107" s="22">
        <f t="shared" ca="1" si="29"/>
        <v>45937</v>
      </c>
      <c r="AJ107" s="22">
        <f t="shared" ca="1" si="30"/>
        <v>45923</v>
      </c>
      <c r="AK107" s="22">
        <f t="shared" ca="1" si="31"/>
        <v>45866</v>
      </c>
      <c r="AL107" s="22">
        <f t="shared" ca="1" si="32"/>
        <v>45778</v>
      </c>
    </row>
    <row r="108" spans="4:38" x14ac:dyDescent="0.25">
      <c r="D108" s="6">
        <f ca="1"/>
        <v>45950</v>
      </c>
      <c r="E108" s="28">
        <f ca="1"/>
        <v>218.85</v>
      </c>
      <c r="F108" s="29" cm="1">
        <f t="array" aca="1" ref="F108" ca="1">_xll.FDS($E$7,"P_BETA_LOCIDX("&amp;$AG108&amp;","&amp;$AL108&amp;",,"""&amp;$E$9&amp;""")")</f>
        <v>1.8130599000000001</v>
      </c>
      <c r="G108" s="30">
        <f t="shared" ca="1" si="18"/>
        <v>5.4608420349179579E-3</v>
      </c>
      <c r="H108" s="30">
        <f t="shared" ca="1" si="18"/>
        <v>-1.5759832520714232E-3</v>
      </c>
      <c r="I108" s="30">
        <f t="shared" ca="1" si="18"/>
        <v>2.5258836839312765E-2</v>
      </c>
      <c r="J108" s="30">
        <f t="shared" ca="1" si="18"/>
        <v>-7.7719114979224652E-2</v>
      </c>
      <c r="K108" s="30">
        <f t="shared" ca="1" si="19"/>
        <v>2.1907480188347282E-2</v>
      </c>
      <c r="L108" s="30">
        <f t="shared" ca="1" si="19"/>
        <v>-1.385292374352253E-3</v>
      </c>
      <c r="M108" s="30">
        <f t="shared" ca="1" si="19"/>
        <v>1.120812977210092E-2</v>
      </c>
      <c r="N108" s="30">
        <f t="shared" ca="1" si="19"/>
        <v>9.8331902369048735E-2</v>
      </c>
      <c r="O108" s="30">
        <f t="shared" ca="1" si="20"/>
        <v>2.736832222326524E-2</v>
      </c>
      <c r="P108" s="30">
        <f t="shared" ca="1" si="21"/>
        <v>-2.9612756264236761E-3</v>
      </c>
      <c r="Q108" s="30">
        <f t="shared" ca="1" si="22"/>
        <v>3.6466966611413687E-2</v>
      </c>
      <c r="R108" s="30">
        <f t="shared" ca="1" si="23"/>
        <v>2.0612787389824083E-2</v>
      </c>
      <c r="S108" s="9" cm="1">
        <f t="array" aca="1" ref="S108" ca="1">_xll.BDH($E$6,"PX LAST",AG108)</f>
        <v>218.85</v>
      </c>
      <c r="T108" s="9" cm="1">
        <f t="array" aca="1" ref="T108" ca="1">_xll.BDH($E$6,"PX LAST",AH108)</f>
        <v>213.02</v>
      </c>
      <c r="U108" s="9" cm="1">
        <f t="array" aca="1" ref="U108" ca="1">_xll.BDH($E$6,"PX LAST",AI108)</f>
        <v>219.5</v>
      </c>
      <c r="V108" s="9" cm="1">
        <f t="array" aca="1" ref="V108" ca="1">_xll.BDH($E$6,"PX LAST",AJ108)</f>
        <v>211.15</v>
      </c>
      <c r="W108" s="9" cm="1">
        <f t="array" aca="1" ref="W108" ca="1">_xll.BDH($E$6,"PX LAST",AK108)</f>
        <v>214.43</v>
      </c>
      <c r="X108" s="24">
        <f t="shared" ca="1" si="24"/>
        <v>1.2083153010194136E-2</v>
      </c>
      <c r="Y108" s="24">
        <f t="shared" ca="1" si="25"/>
        <v>-7.6406321399102861E-4</v>
      </c>
      <c r="Z108" s="24">
        <f t="shared" ca="1" si="26"/>
        <v>6.1818860877684845E-3</v>
      </c>
      <c r="AA108" s="24">
        <f t="shared" ca="1" si="27"/>
        <v>5.4235330211124699E-2</v>
      </c>
      <c r="AB108" s="9" cm="1">
        <f t="array" aca="1" ref="AB108" ca="1">_xll.BDH($E$8,"PX LAST",AG108)</f>
        <v>6735.13</v>
      </c>
      <c r="AC108" s="9" cm="1">
        <f t="array" aca="1" ref="AC108" ca="1">_xll.BDH($E$8,"PX LAST",AH108)</f>
        <v>6654.72</v>
      </c>
      <c r="AD108" s="9" cm="1">
        <f t="array" aca="1" ref="AD108" ca="1">_xll.BDH($E$8,"PX LAST",AI108)</f>
        <v>6740.28</v>
      </c>
      <c r="AE108" s="9" cm="1">
        <f t="array" aca="1" ref="AE108" ca="1">_xll.BDH($E$8,"PX LAST",AJ108)</f>
        <v>6693.75</v>
      </c>
      <c r="AF108" s="9" cm="1">
        <f t="array" aca="1" ref="AF108" ca="1">_xll.BDH($E$8,"PX LAST",AK108)</f>
        <v>6388.64</v>
      </c>
      <c r="AG108" s="20">
        <f t="shared" ca="1" si="33"/>
        <v>45950</v>
      </c>
      <c r="AH108" s="22">
        <f t="shared" ca="1" si="28"/>
        <v>45943</v>
      </c>
      <c r="AI108" s="22">
        <f t="shared" ca="1" si="29"/>
        <v>45936</v>
      </c>
      <c r="AJ108" s="22">
        <f t="shared" ca="1" si="30"/>
        <v>45922</v>
      </c>
      <c r="AK108" s="22">
        <f t="shared" ca="1" si="31"/>
        <v>45863</v>
      </c>
      <c r="AL108" s="22">
        <f t="shared" ca="1" si="32"/>
        <v>45777</v>
      </c>
    </row>
    <row r="109" spans="4:38" x14ac:dyDescent="0.25">
      <c r="D109" s="6">
        <f ca="1"/>
        <v>45947</v>
      </c>
      <c r="E109" s="28">
        <f ca="1"/>
        <v>213.78</v>
      </c>
      <c r="F109" s="29" cm="1">
        <f t="array" aca="1" ref="F109" ca="1">_xll.FDS($E$7,"P_BETA_LOCIDX("&amp;$AG109&amp;","&amp;$AL109&amp;",,"""&amp;$E$9&amp;""")")</f>
        <v>1.7970550999999999</v>
      </c>
      <c r="G109" s="30">
        <f t="shared" ca="1" si="18"/>
        <v>-4.2218900749976702E-3</v>
      </c>
      <c r="H109" s="30">
        <f t="shared" ca="1" si="18"/>
        <v>4.1738788323872691E-3</v>
      </c>
      <c r="I109" s="30">
        <f t="shared" ca="1" si="18"/>
        <v>2.4092078866637508E-2</v>
      </c>
      <c r="J109" s="30">
        <f t="shared" ca="1" si="18"/>
        <v>-7.5321736166810371E-2</v>
      </c>
      <c r="K109" s="30">
        <f t="shared" ca="1" si="19"/>
        <v>3.0579372431327845E-2</v>
      </c>
      <c r="L109" s="30">
        <f t="shared" ca="1" si="19"/>
        <v>-1.3855631739229414E-2</v>
      </c>
      <c r="M109" s="30">
        <f t="shared" ca="1" si="19"/>
        <v>-9.4378047554251007E-5</v>
      </c>
      <c r="N109" s="30">
        <f t="shared" ca="1" si="19"/>
        <v>8.4908513026314525E-2</v>
      </c>
      <c r="O109" s="30">
        <f t="shared" ca="1" si="20"/>
        <v>2.6357482356330175E-2</v>
      </c>
      <c r="P109" s="30">
        <f t="shared" ca="1" si="21"/>
        <v>-9.6817529068421448E-3</v>
      </c>
      <c r="Q109" s="30">
        <f t="shared" ca="1" si="22"/>
        <v>2.3997700819083256E-2</v>
      </c>
      <c r="R109" s="30">
        <f t="shared" ca="1" si="23"/>
        <v>9.5867768595041536E-3</v>
      </c>
      <c r="S109" s="9" cm="1">
        <f t="array" aca="1" ref="S109" ca="1">_xll.BDH($E$6,"PX LAST",AG109)</f>
        <v>213.78</v>
      </c>
      <c r="T109" s="9" cm="1">
        <f t="array" aca="1" ref="T109" ca="1">_xll.BDH($E$6,"PX LAST",AH109)</f>
        <v>208.29</v>
      </c>
      <c r="U109" s="9" cm="1">
        <f t="array" aca="1" ref="U109" ca="1">_xll.BDH($E$6,"PX LAST",AI109)</f>
        <v>215.87</v>
      </c>
      <c r="V109" s="9" cm="1">
        <f t="array" aca="1" ref="V109" ca="1">_xll.BDH($E$6,"PX LAST",AJ109)</f>
        <v>208.77</v>
      </c>
      <c r="W109" s="9" cm="1">
        <f t="array" aca="1" ref="W109" ca="1">_xll.BDH($E$6,"PX LAST",AK109)</f>
        <v>211.75</v>
      </c>
      <c r="X109" s="24">
        <f t="shared" ca="1" si="24"/>
        <v>1.7016379982632612E-2</v>
      </c>
      <c r="Y109" s="24">
        <f t="shared" ca="1" si="25"/>
        <v>-7.7101874835275863E-3</v>
      </c>
      <c r="Z109" s="24">
        <f t="shared" ca="1" si="26"/>
        <v>-5.2518171287152526E-5</v>
      </c>
      <c r="AA109" s="24">
        <f t="shared" ca="1" si="27"/>
        <v>4.7248697619964197E-2</v>
      </c>
      <c r="AB109" s="9" cm="1">
        <f t="array" aca="1" ref="AB109" ca="1">_xll.BDH($E$8,"PX LAST",AG109)</f>
        <v>6664.01</v>
      </c>
      <c r="AC109" s="9" cm="1">
        <f t="array" aca="1" ref="AC109" ca="1">_xll.BDH($E$8,"PX LAST",AH109)</f>
        <v>6552.51</v>
      </c>
      <c r="AD109" s="9" cm="1">
        <f t="array" aca="1" ref="AD109" ca="1">_xll.BDH($E$8,"PX LAST",AI109)</f>
        <v>6715.79</v>
      </c>
      <c r="AE109" s="9" cm="1">
        <f t="array" aca="1" ref="AE109" ca="1">_xll.BDH($E$8,"PX LAST",AJ109)</f>
        <v>6664.36</v>
      </c>
      <c r="AF109" s="9" cm="1">
        <f t="array" aca="1" ref="AF109" ca="1">_xll.BDH($E$8,"PX LAST",AK109)</f>
        <v>6363.35</v>
      </c>
      <c r="AG109" s="20">
        <f t="shared" ca="1" si="33"/>
        <v>45947</v>
      </c>
      <c r="AH109" s="22">
        <f t="shared" ca="1" si="28"/>
        <v>45940</v>
      </c>
      <c r="AI109" s="22">
        <f t="shared" ca="1" si="29"/>
        <v>45933</v>
      </c>
      <c r="AJ109" s="22">
        <f t="shared" ca="1" si="30"/>
        <v>45919</v>
      </c>
      <c r="AK109" s="22">
        <f t="shared" ca="1" si="31"/>
        <v>45862</v>
      </c>
      <c r="AL109" s="22">
        <f t="shared" ca="1" si="32"/>
        <v>45776</v>
      </c>
    </row>
    <row r="110" spans="4:38" x14ac:dyDescent="0.25">
      <c r="D110" s="6">
        <f ca="1"/>
        <v>45946</v>
      </c>
      <c r="E110" s="28">
        <f ca="1"/>
        <v>218.4</v>
      </c>
      <c r="F110" s="29" cm="1">
        <f t="array" aca="1" ref="F110" ca="1">_xll.FDS($E$7,"P_BETA_LOCIDX("&amp;$AG110&amp;","&amp;$AL110&amp;",,"""&amp;$E$9&amp;""")")</f>
        <v>1.8152463000000001</v>
      </c>
      <c r="G110" s="30">
        <f t="shared" ca="1" si="18"/>
        <v>1.2009286997366073E-2</v>
      </c>
      <c r="H110" s="30">
        <f t="shared" ca="1" si="18"/>
        <v>4.4408209046828781E-2</v>
      </c>
      <c r="I110" s="30">
        <f t="shared" ca="1" si="18"/>
        <v>1.6983098827936905E-2</v>
      </c>
      <c r="J110" s="30">
        <f t="shared" ca="1" si="18"/>
        <v>-4.9453242625564095E-2</v>
      </c>
      <c r="K110" s="30">
        <f t="shared" ca="1" si="19"/>
        <v>-2.857989218468597E-2</v>
      </c>
      <c r="L110" s="30">
        <f t="shared" ca="1" si="19"/>
        <v>-2.3322604296723434E-2</v>
      </c>
      <c r="M110" s="30">
        <f t="shared" ca="1" si="19"/>
        <v>-7.9102735948354344E-4</v>
      </c>
      <c r="N110" s="30">
        <f t="shared" ca="1" si="19"/>
        <v>7.7121226815287477E-2</v>
      </c>
      <c r="O110" s="30">
        <f t="shared" ca="1" si="20"/>
        <v>-1.6570605187319898E-2</v>
      </c>
      <c r="P110" s="30">
        <f t="shared" ca="1" si="21"/>
        <v>2.1085604750105347E-2</v>
      </c>
      <c r="Q110" s="30">
        <f t="shared" ca="1" si="22"/>
        <v>1.6192071468453362E-2</v>
      </c>
      <c r="R110" s="30">
        <f t="shared" ca="1" si="23"/>
        <v>2.7667984189723382E-2</v>
      </c>
      <c r="S110" s="9" cm="1">
        <f t="array" aca="1" ref="S110" ca="1">_xll.BDH($E$6,"PX LAST",AG110)</f>
        <v>218.4</v>
      </c>
      <c r="T110" s="9" cm="1">
        <f t="array" aca="1" ref="T110" ca="1">_xll.BDH($E$6,"PX LAST",AH110)</f>
        <v>222.08</v>
      </c>
      <c r="U110" s="9" cm="1">
        <f t="array" aca="1" ref="U110" ca="1">_xll.BDH($E$6,"PX LAST",AI110)</f>
        <v>213.89</v>
      </c>
      <c r="V110" s="9" cm="1">
        <f t="array" aca="1" ref="V110" ca="1">_xll.BDH($E$6,"PX LAST",AJ110)</f>
        <v>214.92</v>
      </c>
      <c r="W110" s="9" cm="1">
        <f t="array" aca="1" ref="W110" ca="1">_xll.BDH($E$6,"PX LAST",AK110)</f>
        <v>212.52</v>
      </c>
      <c r="X110" s="24">
        <f t="shared" ca="1" si="24"/>
        <v>-1.574436052269379E-2</v>
      </c>
      <c r="Y110" s="24">
        <f t="shared" ca="1" si="25"/>
        <v>-1.2848176193348215E-2</v>
      </c>
      <c r="Z110" s="24">
        <f t="shared" ca="1" si="26"/>
        <v>-4.3576861139094092E-4</v>
      </c>
      <c r="AA110" s="24">
        <f t="shared" ca="1" si="27"/>
        <v>4.2485268701711432E-2</v>
      </c>
      <c r="AB110" s="9" cm="1">
        <f t="array" aca="1" ref="AB110" ca="1">_xll.BDH($E$8,"PX LAST",AG110)</f>
        <v>6629.07</v>
      </c>
      <c r="AC110" s="9" cm="1">
        <f t="array" aca="1" ref="AC110" ca="1">_xll.BDH($E$8,"PX LAST",AH110)</f>
        <v>6735.11</v>
      </c>
      <c r="AD110" s="9" cm="1">
        <f t="array" aca="1" ref="AD110" ca="1">_xll.BDH($E$8,"PX LAST",AI110)</f>
        <v>6715.35</v>
      </c>
      <c r="AE110" s="9" cm="1">
        <f t="array" aca="1" ref="AE110" ca="1">_xll.BDH($E$8,"PX LAST",AJ110)</f>
        <v>6631.96</v>
      </c>
      <c r="AF110" s="9" cm="1">
        <f t="array" aca="1" ref="AF110" ca="1">_xll.BDH($E$8,"PX LAST",AK110)</f>
        <v>6358.91</v>
      </c>
      <c r="AG110" s="20">
        <f t="shared" ca="1" si="33"/>
        <v>45946</v>
      </c>
      <c r="AH110" s="22">
        <f t="shared" ca="1" si="28"/>
        <v>45939</v>
      </c>
      <c r="AI110" s="22">
        <f t="shared" ca="1" si="29"/>
        <v>45932</v>
      </c>
      <c r="AJ110" s="22">
        <f t="shared" ca="1" si="30"/>
        <v>45918</v>
      </c>
      <c r="AK110" s="22">
        <f t="shared" ca="1" si="31"/>
        <v>45861</v>
      </c>
      <c r="AL110" s="22">
        <f t="shared" ca="1" si="32"/>
        <v>45775</v>
      </c>
    </row>
    <row r="111" spans="4:38" x14ac:dyDescent="0.25">
      <c r="D111" s="6">
        <f ca="1"/>
        <v>45945</v>
      </c>
      <c r="E111" s="28">
        <f ca="1"/>
        <v>218.74</v>
      </c>
      <c r="F111" s="29" cm="1">
        <f t="array" aca="1" ref="F111" ca="1">_xll.FDS($E$7,"P_BETA_LOCIDX("&amp;$AG111&amp;","&amp;$AL111&amp;",,"""&amp;$E$9&amp;""")")</f>
        <v>1.8197353000000001</v>
      </c>
      <c r="G111" s="30">
        <f t="shared" ca="1" si="18"/>
        <v>-2.2987222235813613E-3</v>
      </c>
      <c r="H111" s="30">
        <f t="shared" ca="1" si="18"/>
        <v>3.9329076565019716E-2</v>
      </c>
      <c r="I111" s="30">
        <f t="shared" ca="1" si="18"/>
        <v>1.2713028823914709E-3</v>
      </c>
      <c r="J111" s="30">
        <f t="shared" ca="1" si="18"/>
        <v>-5.1898715334233306E-2</v>
      </c>
      <c r="K111" s="30">
        <f t="shared" ca="1" si="19"/>
        <v>-2.2272069303731868E-2</v>
      </c>
      <c r="L111" s="30">
        <f t="shared" ca="1" si="19"/>
        <v>-1.0883921644713081E-2</v>
      </c>
      <c r="M111" s="30">
        <f t="shared" ca="1" si="19"/>
        <v>1.9494948459248537E-2</v>
      </c>
      <c r="N111" s="30">
        <f t="shared" ca="1" si="19"/>
        <v>0.10424163845556501</v>
      </c>
      <c r="O111" s="30">
        <f t="shared" ca="1" si="20"/>
        <v>-2.4570791527313229E-2</v>
      </c>
      <c r="P111" s="30">
        <f t="shared" ca="1" si="21"/>
        <v>2.8445154920306637E-2</v>
      </c>
      <c r="Q111" s="30">
        <f t="shared" ca="1" si="22"/>
        <v>2.0766251341640007E-2</v>
      </c>
      <c r="R111" s="30">
        <f t="shared" ca="1" si="23"/>
        <v>5.2342923121331708E-2</v>
      </c>
      <c r="S111" s="9" cm="1">
        <f t="array" aca="1" ref="S111" ca="1">_xll.BDH($E$6,"PX LAST",AG111)</f>
        <v>218.74</v>
      </c>
      <c r="T111" s="9" cm="1">
        <f t="array" aca="1" ref="T111" ca="1">_xll.BDH($E$6,"PX LAST",AH111)</f>
        <v>224.25</v>
      </c>
      <c r="U111" s="9" cm="1">
        <f t="array" aca="1" ref="U111" ca="1">_xll.BDH($E$6,"PX LAST",AI111)</f>
        <v>212.69</v>
      </c>
      <c r="V111" s="9" cm="1">
        <f t="array" aca="1" ref="V111" ca="1">_xll.BDH($E$6,"PX LAST",AJ111)</f>
        <v>214.29</v>
      </c>
      <c r="W111" s="9" cm="1">
        <f t="array" aca="1" ref="W111" ca="1">_xll.BDH($E$6,"PX LAST",AK111)</f>
        <v>207.86</v>
      </c>
      <c r="X111" s="24">
        <f t="shared" ca="1" si="24"/>
        <v>-1.2239180777408598E-2</v>
      </c>
      <c r="Y111" s="24">
        <f t="shared" ca="1" si="25"/>
        <v>-5.9810466086540615E-3</v>
      </c>
      <c r="Z111" s="24">
        <f t="shared" ca="1" si="26"/>
        <v>1.0713068246380963E-2</v>
      </c>
      <c r="AA111" s="24">
        <f t="shared" ca="1" si="27"/>
        <v>5.7283956878544373E-2</v>
      </c>
      <c r="AB111" s="9" cm="1">
        <f t="array" aca="1" ref="AB111" ca="1">_xll.BDH($E$8,"PX LAST",AG111)</f>
        <v>6671.06</v>
      </c>
      <c r="AC111" s="9" cm="1">
        <f t="array" aca="1" ref="AC111" ca="1">_xll.BDH($E$8,"PX LAST",AH111)</f>
        <v>6753.72</v>
      </c>
      <c r="AD111" s="9" cm="1">
        <f t="array" aca="1" ref="AD111" ca="1">_xll.BDH($E$8,"PX LAST",AI111)</f>
        <v>6711.2</v>
      </c>
      <c r="AE111" s="9" cm="1">
        <f t="array" aca="1" ref="AE111" ca="1">_xll.BDH($E$8,"PX LAST",AJ111)</f>
        <v>6600.35</v>
      </c>
      <c r="AF111" s="9" cm="1">
        <f t="array" aca="1" ref="AF111" ca="1">_xll.BDH($E$8,"PX LAST",AK111)</f>
        <v>6309.62</v>
      </c>
      <c r="AG111" s="20">
        <f t="shared" ca="1" si="33"/>
        <v>45945</v>
      </c>
      <c r="AH111" s="22">
        <f t="shared" ca="1" si="28"/>
        <v>45938</v>
      </c>
      <c r="AI111" s="22">
        <f t="shared" ca="1" si="29"/>
        <v>45931</v>
      </c>
      <c r="AJ111" s="22">
        <f t="shared" ca="1" si="30"/>
        <v>45917</v>
      </c>
      <c r="AK111" s="22">
        <f t="shared" ca="1" si="31"/>
        <v>45860</v>
      </c>
      <c r="AL111" s="22">
        <f t="shared" ca="1" si="32"/>
        <v>45772</v>
      </c>
    </row>
    <row r="112" spans="4:38" x14ac:dyDescent="0.25">
      <c r="D112" s="6">
        <f ca="1"/>
        <v>45944</v>
      </c>
      <c r="E112" s="28">
        <f ca="1"/>
        <v>219.06</v>
      </c>
      <c r="F112" s="29" cm="1">
        <f t="array" aca="1" ref="F112" ca="1">_xll.FDS($E$7,"P_BETA_LOCIDX("&amp;$AG112&amp;","&amp;$AL112&amp;",,"""&amp;$E$9&amp;""")")</f>
        <v>1.8430108000000001</v>
      </c>
      <c r="G112" s="30">
        <f t="shared" ca="1" si="18"/>
        <v>4.3030887662993927E-2</v>
      </c>
      <c r="H112" s="30">
        <f t="shared" ca="1" si="18"/>
        <v>4.7910250626467824E-2</v>
      </c>
      <c r="I112" s="30">
        <f t="shared" ca="1" si="18"/>
        <v>3.6917810131844673E-3</v>
      </c>
      <c r="J112" s="30">
        <f t="shared" ca="1" si="18"/>
        <v>-2.1742735050336859E-2</v>
      </c>
      <c r="K112" s="30">
        <f t="shared" ca="1" si="19"/>
        <v>-1.9290351164255731E-2</v>
      </c>
      <c r="L112" s="30">
        <f t="shared" ca="1" si="19"/>
        <v>-1.2165569775404072E-2</v>
      </c>
      <c r="M112" s="30">
        <f t="shared" ca="1" si="19"/>
        <v>1.0474885653482193E-2</v>
      </c>
      <c r="N112" s="30">
        <f t="shared" ca="1" si="19"/>
        <v>9.8998697676351166E-2</v>
      </c>
      <c r="O112" s="30">
        <f t="shared" ca="1" si="20"/>
        <v>2.3740536498738196E-2</v>
      </c>
      <c r="P112" s="30">
        <f t="shared" ca="1" si="21"/>
        <v>3.5744680851063748E-2</v>
      </c>
      <c r="Q112" s="30">
        <f t="shared" ca="1" si="22"/>
        <v>1.4166666666666661E-2</v>
      </c>
      <c r="R112" s="30">
        <f t="shared" ca="1" si="23"/>
        <v>7.7255962626014307E-2</v>
      </c>
      <c r="S112" s="9" cm="1">
        <f t="array" aca="1" ref="S112" ca="1">_xll.BDH($E$6,"PX LAST",AG112)</f>
        <v>219.06</v>
      </c>
      <c r="T112" s="9" cm="1">
        <f t="array" aca="1" ref="T112" ca="1">_xll.BDH($E$6,"PX LAST",AH112)</f>
        <v>213.98</v>
      </c>
      <c r="U112" s="9" cm="1">
        <f t="array" aca="1" ref="U112" ca="1">_xll.BDH($E$6,"PX LAST",AI112)</f>
        <v>211.5</v>
      </c>
      <c r="V112" s="9" cm="1">
        <f t="array" aca="1" ref="V112" ca="1">_xll.BDH($E$6,"PX LAST",AJ112)</f>
        <v>216</v>
      </c>
      <c r="W112" s="9" cm="1">
        <f t="array" aca="1" ref="W112" ca="1">_xll.BDH($E$6,"PX LAST",AK112)</f>
        <v>203.35</v>
      </c>
      <c r="X112" s="24">
        <f t="shared" ca="1" si="24"/>
        <v>-1.0466759697911554E-2</v>
      </c>
      <c r="Y112" s="24">
        <f t="shared" ca="1" si="25"/>
        <v>-6.6009215873309435E-3</v>
      </c>
      <c r="Z112" s="24">
        <f t="shared" ca="1" si="26"/>
        <v>5.683572583232932E-3</v>
      </c>
      <c r="AA112" s="24">
        <f t="shared" ca="1" si="27"/>
        <v>5.3715744734838866E-2</v>
      </c>
      <c r="AB112" s="9" cm="1">
        <f t="array" aca="1" ref="AB112" ca="1">_xll.BDH($E$8,"PX LAST",AG112)</f>
        <v>6644.31</v>
      </c>
      <c r="AC112" s="9" cm="1">
        <f t="array" aca="1" ref="AC112" ca="1">_xll.BDH($E$8,"PX LAST",AH112)</f>
        <v>6714.59</v>
      </c>
      <c r="AD112" s="9" cm="1">
        <f t="array" aca="1" ref="AD112" ca="1">_xll.BDH($E$8,"PX LAST",AI112)</f>
        <v>6688.46</v>
      </c>
      <c r="AE112" s="9" cm="1">
        <f t="array" aca="1" ref="AE112" ca="1">_xll.BDH($E$8,"PX LAST",AJ112)</f>
        <v>6606.76</v>
      </c>
      <c r="AF112" s="9" cm="1">
        <f t="array" aca="1" ref="AF112" ca="1">_xll.BDH($E$8,"PX LAST",AK112)</f>
        <v>6305.6</v>
      </c>
      <c r="AG112" s="20">
        <f t="shared" ca="1" si="33"/>
        <v>45944</v>
      </c>
      <c r="AH112" s="22">
        <f t="shared" ca="1" si="28"/>
        <v>45937</v>
      </c>
      <c r="AI112" s="22">
        <f t="shared" ca="1" si="29"/>
        <v>45930</v>
      </c>
      <c r="AJ112" s="22">
        <f t="shared" ca="1" si="30"/>
        <v>45916</v>
      </c>
      <c r="AK112" s="22">
        <f t="shared" ca="1" si="31"/>
        <v>45859</v>
      </c>
      <c r="AL112" s="22">
        <f t="shared" ca="1" si="32"/>
        <v>45771</v>
      </c>
    </row>
    <row r="113" spans="4:38" x14ac:dyDescent="0.25">
      <c r="D113" s="6">
        <f ca="1"/>
        <v>45943</v>
      </c>
      <c r="E113" s="28">
        <f ca="1"/>
        <v>213.02</v>
      </c>
      <c r="F113" s="29" cm="1">
        <f t="array" aca="1" ref="F113" ca="1">_xll.FDS($E$7,"P_BETA_LOCIDX("&amp;$AG113&amp;","&amp;$AL113&amp;",,"""&amp;$E$9&amp;""")")</f>
        <v>1.8575366</v>
      </c>
      <c r="G113" s="30">
        <f t="shared" ca="1" si="18"/>
        <v>-5.9423775833272567E-3</v>
      </c>
      <c r="H113" s="30">
        <f t="shared" ca="1" si="18"/>
        <v>9.6636917575263614E-3</v>
      </c>
      <c r="I113" s="30">
        <f t="shared" ca="1" si="18"/>
        <v>-1.8991836780854129E-2</v>
      </c>
      <c r="J113" s="30">
        <f t="shared" ca="1" si="18"/>
        <v>-7.085775966067169E-2</v>
      </c>
      <c r="K113" s="30">
        <f t="shared" ca="1" si="19"/>
        <v>-2.3579262507788874E-2</v>
      </c>
      <c r="L113" s="30">
        <f t="shared" ca="1" si="19"/>
        <v>-1.809793195830756E-3</v>
      </c>
      <c r="M113" s="30">
        <f t="shared" ca="1" si="19"/>
        <v>1.1074549150451793E-2</v>
      </c>
      <c r="N113" s="30">
        <f t="shared" ca="1" si="19"/>
        <v>0.10558841492855912</v>
      </c>
      <c r="O113" s="30">
        <f t="shared" ca="1" si="20"/>
        <v>-2.952164009111613E-2</v>
      </c>
      <c r="P113" s="30">
        <f t="shared" ca="1" si="21"/>
        <v>7.8538985616956047E-3</v>
      </c>
      <c r="Q113" s="30">
        <f t="shared" ca="1" si="22"/>
        <v>-7.9172876304023365E-3</v>
      </c>
      <c r="R113" s="30">
        <f t="shared" ca="1" si="23"/>
        <v>3.4730655267887434E-2</v>
      </c>
      <c r="S113" s="9" cm="1">
        <f t="array" aca="1" ref="S113" ca="1">_xll.BDH($E$6,"PX LAST",AG113)</f>
        <v>213.02</v>
      </c>
      <c r="T113" s="9" cm="1">
        <f t="array" aca="1" ref="T113" ca="1">_xll.BDH($E$6,"PX LAST",AH113)</f>
        <v>219.5</v>
      </c>
      <c r="U113" s="9" cm="1">
        <f t="array" aca="1" ref="U113" ca="1">_xll.BDH($E$6,"PX LAST",AI113)</f>
        <v>211.36</v>
      </c>
      <c r="V113" s="9" cm="1">
        <f t="array" aca="1" ref="V113" ca="1">_xll.BDH($E$6,"PX LAST",AJ113)</f>
        <v>214.72</v>
      </c>
      <c r="W113" s="9" cm="1">
        <f t="array" aca="1" ref="W113" ca="1">_xll.BDH($E$6,"PX LAST",AK113)</f>
        <v>205.87</v>
      </c>
      <c r="X113" s="24">
        <f t="shared" ca="1" si="24"/>
        <v>-1.2693834677491078E-2</v>
      </c>
      <c r="Y113" s="24">
        <f t="shared" ca="1" si="25"/>
        <v>-9.7429746247301718E-4</v>
      </c>
      <c r="Z113" s="24">
        <f t="shared" ca="1" si="26"/>
        <v>5.9619547471914114E-3</v>
      </c>
      <c r="AA113" s="24">
        <f t="shared" ca="1" si="27"/>
        <v>5.6843248702910687E-2</v>
      </c>
      <c r="AB113" s="9" cm="1">
        <f t="array" aca="1" ref="AB113" ca="1">_xll.BDH($E$8,"PX LAST",AG113)</f>
        <v>6654.72</v>
      </c>
      <c r="AC113" s="9" cm="1">
        <f t="array" aca="1" ref="AC113" ca="1">_xll.BDH($E$8,"PX LAST",AH113)</f>
        <v>6740.28</v>
      </c>
      <c r="AD113" s="9" cm="1">
        <f t="array" aca="1" ref="AD113" ca="1">_xll.BDH($E$8,"PX LAST",AI113)</f>
        <v>6661.21</v>
      </c>
      <c r="AE113" s="9" cm="1">
        <f t="array" aca="1" ref="AE113" ca="1">_xll.BDH($E$8,"PX LAST",AJ113)</f>
        <v>6615.28</v>
      </c>
      <c r="AF113" s="9" cm="1">
        <f t="array" aca="1" ref="AF113" ca="1">_xll.BDH($E$8,"PX LAST",AK113)</f>
        <v>6296.79</v>
      </c>
      <c r="AG113" s="20">
        <f t="shared" ca="1" si="33"/>
        <v>45943</v>
      </c>
      <c r="AH113" s="22">
        <f t="shared" ca="1" si="28"/>
        <v>45936</v>
      </c>
      <c r="AI113" s="22">
        <f t="shared" ca="1" si="29"/>
        <v>45929</v>
      </c>
      <c r="AJ113" s="22">
        <f t="shared" ca="1" si="30"/>
        <v>45915</v>
      </c>
      <c r="AK113" s="22">
        <f t="shared" ca="1" si="31"/>
        <v>45856</v>
      </c>
      <c r="AL113" s="22">
        <f t="shared" ca="1" si="32"/>
        <v>45770</v>
      </c>
    </row>
    <row r="114" spans="4:38" x14ac:dyDescent="0.25">
      <c r="D114" s="6">
        <f ca="1"/>
        <v>45940</v>
      </c>
      <c r="E114" s="28">
        <f ca="1"/>
        <v>208.29</v>
      </c>
      <c r="F114" s="29" cm="1">
        <f t="array" aca="1" ref="F114" ca="1">_xll.FDS($E$7,"P_BETA_LOCIDX("&amp;$AG114&amp;","&amp;$AL114&amp;",,"""&amp;$E$9&amp;""")")</f>
        <v>1.8020757000000001</v>
      </c>
      <c r="G114" s="30">
        <f t="shared" ca="1" si="18"/>
        <v>8.6998716973234053E-3</v>
      </c>
      <c r="H114" s="30">
        <f t="shared" ca="1" si="18"/>
        <v>-9.4570202325984162E-4</v>
      </c>
      <c r="I114" s="30">
        <f t="shared" ca="1" si="18"/>
        <v>-2.0886449080075302E-2</v>
      </c>
      <c r="J114" s="30">
        <f t="shared" ca="1" si="18"/>
        <v>-5.8648245795680662E-2</v>
      </c>
      <c r="K114" s="30">
        <f t="shared" ca="1" si="19"/>
        <v>-4.381359755084642E-2</v>
      </c>
      <c r="L114" s="30">
        <f t="shared" ca="1" si="19"/>
        <v>-2.4734904207444609E-2</v>
      </c>
      <c r="M114" s="30">
        <f t="shared" ca="1" si="19"/>
        <v>-8.6979713448222043E-3</v>
      </c>
      <c r="N114" s="30">
        <f t="shared" ca="1" si="19"/>
        <v>7.3014662470463884E-2</v>
      </c>
      <c r="O114" s="30">
        <f t="shared" ca="1" si="20"/>
        <v>-3.5113725853523015E-2</v>
      </c>
      <c r="P114" s="30">
        <f t="shared" ca="1" si="21"/>
        <v>-2.568060623070445E-2</v>
      </c>
      <c r="Q114" s="30">
        <f t="shared" ca="1" si="22"/>
        <v>-2.9584420424897506E-2</v>
      </c>
      <c r="R114" s="30">
        <f t="shared" ca="1" si="23"/>
        <v>1.4366416674783222E-2</v>
      </c>
      <c r="S114" s="9" cm="1">
        <f t="array" aca="1" ref="S114" ca="1">_xll.BDH($E$6,"PX LAST",AG114)</f>
        <v>208.29</v>
      </c>
      <c r="T114" s="9" cm="1">
        <f t="array" aca="1" ref="T114" ca="1">_xll.BDH($E$6,"PX LAST",AH114)</f>
        <v>215.87</v>
      </c>
      <c r="U114" s="9" cm="1">
        <f t="array" aca="1" ref="U114" ca="1">_xll.BDH($E$6,"PX LAST",AI114)</f>
        <v>213.78</v>
      </c>
      <c r="V114" s="9" cm="1">
        <f t="array" aca="1" ref="V114" ca="1">_xll.BDH($E$6,"PX LAST",AJ114)</f>
        <v>214.64</v>
      </c>
      <c r="W114" s="9" cm="1">
        <f t="array" aca="1" ref="W114" ca="1">_xll.BDH($E$6,"PX LAST",AK114)</f>
        <v>205.34</v>
      </c>
      <c r="X114" s="24">
        <f t="shared" ca="1" si="24"/>
        <v>-2.4312850759180882E-2</v>
      </c>
      <c r="Y114" s="24">
        <f t="shared" ca="1" si="25"/>
        <v>-1.3725785330463425E-2</v>
      </c>
      <c r="Z114" s="24">
        <f t="shared" ca="1" si="26"/>
        <v>-4.826640381878633E-3</v>
      </c>
      <c r="AA114" s="24">
        <f t="shared" ca="1" si="27"/>
        <v>4.0516978543389648E-2</v>
      </c>
      <c r="AB114" s="9" cm="1">
        <f t="array" aca="1" ref="AB114" ca="1">_xll.BDH($E$8,"PX LAST",AG114)</f>
        <v>6552.51</v>
      </c>
      <c r="AC114" s="9" cm="1">
        <f t="array" aca="1" ref="AC114" ca="1">_xll.BDH($E$8,"PX LAST",AH114)</f>
        <v>6715.79</v>
      </c>
      <c r="AD114" s="9" cm="1">
        <f t="array" aca="1" ref="AD114" ca="1">_xll.BDH($E$8,"PX LAST",AI114)</f>
        <v>6643.7</v>
      </c>
      <c r="AE114" s="9" cm="1">
        <f t="array" aca="1" ref="AE114" ca="1">_xll.BDH($E$8,"PX LAST",AJ114)</f>
        <v>6584.29</v>
      </c>
      <c r="AF114" s="9" cm="1">
        <f t="array" aca="1" ref="AF114" ca="1">_xll.BDH($E$8,"PX LAST",AK114)</f>
        <v>6297.36</v>
      </c>
      <c r="AG114" s="20">
        <f t="shared" ca="1" si="33"/>
        <v>45940</v>
      </c>
      <c r="AH114" s="22">
        <f t="shared" ca="1" si="28"/>
        <v>45933</v>
      </c>
      <c r="AI114" s="22">
        <f t="shared" ca="1" si="29"/>
        <v>45926</v>
      </c>
      <c r="AJ114" s="22">
        <f t="shared" ca="1" si="30"/>
        <v>45912</v>
      </c>
      <c r="AK114" s="22">
        <f t="shared" ca="1" si="31"/>
        <v>45855</v>
      </c>
      <c r="AL114" s="22">
        <f t="shared" ca="1" si="32"/>
        <v>45769</v>
      </c>
    </row>
    <row r="115" spans="4:38" x14ac:dyDescent="0.25">
      <c r="D115" s="6">
        <f ca="1"/>
        <v>45939</v>
      </c>
      <c r="E115" s="28">
        <f ca="1"/>
        <v>222.08</v>
      </c>
      <c r="F115" s="29" cm="1">
        <f t="array" aca="1" ref="F115" ca="1">_xll.FDS($E$7,"P_BETA_LOCIDX("&amp;$AG115&amp;","&amp;$AL115&amp;",,"""&amp;$E$9&amp;""")")</f>
        <v>1.7145252</v>
      </c>
      <c r="G115" s="30">
        <f t="shared" ca="1" si="18"/>
        <v>3.3245698681781434E-2</v>
      </c>
      <c r="H115" s="30">
        <f t="shared" ca="1" si="18"/>
        <v>3.1232754199497351E-2</v>
      </c>
      <c r="I115" s="30">
        <f t="shared" ca="1" si="18"/>
        <v>-3.1260828155298022E-2</v>
      </c>
      <c r="J115" s="30">
        <f t="shared" ca="1" si="18"/>
        <v>-1.4008880918456978E-2</v>
      </c>
      <c r="K115" s="30">
        <f t="shared" ca="1" si="19"/>
        <v>5.0450114963476967E-3</v>
      </c>
      <c r="L115" s="30">
        <f t="shared" ca="1" si="19"/>
        <v>3.3848057272374596E-2</v>
      </c>
      <c r="M115" s="30">
        <f t="shared" ca="1" si="19"/>
        <v>3.8426361035116603E-2</v>
      </c>
      <c r="N115" s="30">
        <f t="shared" ca="1" si="19"/>
        <v>0.12903624447722606</v>
      </c>
      <c r="O115" s="30">
        <f t="shared" ca="1" si="20"/>
        <v>3.8290710178129128E-2</v>
      </c>
      <c r="P115" s="30">
        <f t="shared" ca="1" si="21"/>
        <v>6.5080811471871947E-2</v>
      </c>
      <c r="Q115" s="30">
        <f t="shared" ca="1" si="22"/>
        <v>7.1655328798185813E-3</v>
      </c>
      <c r="R115" s="30">
        <f t="shared" ca="1" si="23"/>
        <v>0.11502736355876908</v>
      </c>
      <c r="S115" s="9" cm="1">
        <f t="array" aca="1" ref="S115" ca="1">_xll.BDH($E$6,"PX LAST",AG115)</f>
        <v>222.08</v>
      </c>
      <c r="T115" s="9" cm="1">
        <f t="array" aca="1" ref="T115" ca="1">_xll.BDH($E$6,"PX LAST",AH115)</f>
        <v>213.89</v>
      </c>
      <c r="U115" s="9" cm="1">
        <f t="array" aca="1" ref="U115" ca="1">_xll.BDH($E$6,"PX LAST",AI115)</f>
        <v>208.51</v>
      </c>
      <c r="V115" s="9" cm="1">
        <f t="array" aca="1" ref="V115" ca="1">_xll.BDH($E$6,"PX LAST",AJ115)</f>
        <v>220.5</v>
      </c>
      <c r="W115" s="9" cm="1">
        <f t="array" aca="1" ref="W115" ca="1">_xll.BDH($E$6,"PX LAST",AK115)</f>
        <v>199.17</v>
      </c>
      <c r="X115" s="24">
        <f t="shared" ca="1" si="24"/>
        <v>2.9425123039006351E-3</v>
      </c>
      <c r="Y115" s="24">
        <f t="shared" ca="1" si="25"/>
        <v>1.9741942126236811E-2</v>
      </c>
      <c r="Z115" s="24">
        <f t="shared" ca="1" si="26"/>
        <v>2.2412246279679415E-2</v>
      </c>
      <c r="AA115" s="24">
        <f t="shared" ca="1" si="27"/>
        <v>7.5260628701885546E-2</v>
      </c>
      <c r="AB115" s="9" cm="1">
        <f t="array" aca="1" ref="AB115" ca="1">_xll.BDH($E$8,"PX LAST",AG115)</f>
        <v>6735.11</v>
      </c>
      <c r="AC115" s="9" cm="1">
        <f t="array" aca="1" ref="AC115" ca="1">_xll.BDH($E$8,"PX LAST",AH115)</f>
        <v>6715.35</v>
      </c>
      <c r="AD115" s="9" cm="1">
        <f t="array" aca="1" ref="AD115" ca="1">_xll.BDH($E$8,"PX LAST",AI115)</f>
        <v>6604.72</v>
      </c>
      <c r="AE115" s="9" cm="1">
        <f t="array" aca="1" ref="AE115" ca="1">_xll.BDH($E$8,"PX LAST",AJ115)</f>
        <v>6587.47</v>
      </c>
      <c r="AF115" s="9" cm="1">
        <f t="array" aca="1" ref="AF115" ca="1">_xll.BDH($E$8,"PX LAST",AK115)</f>
        <v>6263.7</v>
      </c>
      <c r="AG115" s="20">
        <f t="shared" ca="1" si="33"/>
        <v>45939</v>
      </c>
      <c r="AH115" s="22">
        <f t="shared" ca="1" si="28"/>
        <v>45932</v>
      </c>
      <c r="AI115" s="22">
        <f t="shared" ca="1" si="29"/>
        <v>45925</v>
      </c>
      <c r="AJ115" s="22">
        <f t="shared" ca="1" si="30"/>
        <v>45911</v>
      </c>
      <c r="AK115" s="22">
        <f t="shared" ca="1" si="31"/>
        <v>45854</v>
      </c>
      <c r="AL115" s="22">
        <f t="shared" ca="1" si="32"/>
        <v>45768</v>
      </c>
    </row>
    <row r="116" spans="4:38" x14ac:dyDescent="0.25">
      <c r="D116" s="6">
        <f ca="1"/>
        <v>45938</v>
      </c>
      <c r="E116" s="28">
        <f ca="1"/>
        <v>224.25</v>
      </c>
      <c r="F116" s="29" cm="1">
        <f t="array" aca="1" ref="F116" ca="1">_xll.FDS($E$7,"P_BETA_LOCIDX("&amp;$AG116&amp;","&amp;$AL116&amp;",,"""&amp;$E$9&amp;""")")</f>
        <v>1.7087996000000001</v>
      </c>
      <c r="G116" s="30">
        <f t="shared" ca="1" si="18"/>
        <v>4.3524999977435655E-2</v>
      </c>
      <c r="H116" s="30">
        <f t="shared" ca="1" si="18"/>
        <v>4.9884938477795474E-2</v>
      </c>
      <c r="I116" s="30">
        <f t="shared" ca="1" si="18"/>
        <v>-1.3997683292137797E-2</v>
      </c>
      <c r="J116" s="30">
        <f t="shared" ca="1" si="18"/>
        <v>-7.7909419263680613E-3</v>
      </c>
      <c r="K116" s="30">
        <f t="shared" ca="1" si="19"/>
        <v>1.0826403473596303E-2</v>
      </c>
      <c r="L116" s="30">
        <f t="shared" ca="1" si="19"/>
        <v>2.9797295513538203E-2</v>
      </c>
      <c r="M116" s="30">
        <f t="shared" ca="1" si="19"/>
        <v>5.7992096699958973E-2</v>
      </c>
      <c r="N116" s="30">
        <f t="shared" ca="1" si="19"/>
        <v>0.13956645419042388</v>
      </c>
      <c r="O116" s="30">
        <f t="shared" ca="1" si="20"/>
        <v>5.4351403451031954E-2</v>
      </c>
      <c r="P116" s="30">
        <f t="shared" ca="1" si="21"/>
        <v>7.9682233991333673E-2</v>
      </c>
      <c r="Q116" s="30">
        <f t="shared" ca="1" si="22"/>
        <v>4.3994413407821176E-2</v>
      </c>
      <c r="R116" s="30">
        <f t="shared" ca="1" si="23"/>
        <v>0.13177551226405582</v>
      </c>
      <c r="S116" s="9" cm="1">
        <f t="array" aca="1" ref="S116" ca="1">_xll.BDH($E$6,"PX LAST",AG116)</f>
        <v>224.25</v>
      </c>
      <c r="T116" s="9" cm="1">
        <f t="array" aca="1" ref="T116" ca="1">_xll.BDH($E$6,"PX LAST",AH116)</f>
        <v>212.69</v>
      </c>
      <c r="U116" s="9" cm="1">
        <f t="array" aca="1" ref="U116" ca="1">_xll.BDH($E$6,"PX LAST",AI116)</f>
        <v>207.7</v>
      </c>
      <c r="V116" s="9" cm="1">
        <f t="array" aca="1" ref="V116" ca="1">_xll.BDH($E$6,"PX LAST",AJ116)</f>
        <v>214.8</v>
      </c>
      <c r="W116" s="9" cm="1">
        <f t="array" aca="1" ref="W116" ca="1">_xll.BDH($E$6,"PX LAST",AK116)</f>
        <v>198.14</v>
      </c>
      <c r="X116" s="24">
        <f t="shared" ca="1" si="24"/>
        <v>6.3356776731433584E-3</v>
      </c>
      <c r="Y116" s="24">
        <f t="shared" ca="1" si="25"/>
        <v>1.7437559976920758E-2</v>
      </c>
      <c r="Z116" s="24">
        <f t="shared" ca="1" si="26"/>
        <v>3.3937330451130121E-2</v>
      </c>
      <c r="AA116" s="24">
        <f t="shared" ca="1" si="27"/>
        <v>8.1675144464233185E-2</v>
      </c>
      <c r="AB116" s="9" cm="1">
        <f t="array" aca="1" ref="AB116" ca="1">_xll.BDH($E$8,"PX LAST",AG116)</f>
        <v>6753.72</v>
      </c>
      <c r="AC116" s="9" cm="1">
        <f t="array" aca="1" ref="AC116" ca="1">_xll.BDH($E$8,"PX LAST",AH116)</f>
        <v>6711.2</v>
      </c>
      <c r="AD116" s="9" cm="1">
        <f t="array" aca="1" ref="AD116" ca="1">_xll.BDH($E$8,"PX LAST",AI116)</f>
        <v>6637.97</v>
      </c>
      <c r="AE116" s="9" cm="1">
        <f t="array" aca="1" ref="AE116" ca="1">_xll.BDH($E$8,"PX LAST",AJ116)</f>
        <v>6532.04</v>
      </c>
      <c r="AF116" s="9" cm="1">
        <f t="array" aca="1" ref="AF116" ca="1">_xll.BDH($E$8,"PX LAST",AK116)</f>
        <v>6243.76</v>
      </c>
      <c r="AG116" s="20">
        <f t="shared" ca="1" si="33"/>
        <v>45938</v>
      </c>
      <c r="AH116" s="22">
        <f t="shared" ca="1" si="28"/>
        <v>45931</v>
      </c>
      <c r="AI116" s="22">
        <f t="shared" ca="1" si="29"/>
        <v>45924</v>
      </c>
      <c r="AJ116" s="22">
        <f t="shared" ca="1" si="30"/>
        <v>45910</v>
      </c>
      <c r="AK116" s="22">
        <f t="shared" ca="1" si="31"/>
        <v>45853</v>
      </c>
      <c r="AL116" s="22">
        <f t="shared" ca="1" si="32"/>
        <v>45764</v>
      </c>
    </row>
    <row r="117" spans="4:38" x14ac:dyDescent="0.25">
      <c r="D117" s="6">
        <f ca="1"/>
        <v>45937</v>
      </c>
      <c r="E117" s="28">
        <f ca="1"/>
        <v>213.98</v>
      </c>
      <c r="F117" s="29" cm="1">
        <f t="array" aca="1" ref="F117" ca="1">_xll.FDS($E$7,"P_BETA_LOCIDX("&amp;$AG117&amp;","&amp;$AL117&amp;",,"""&amp;$E$9&amp;""")")</f>
        <v>1.609245</v>
      </c>
      <c r="G117" s="30">
        <f t="shared" ca="1" si="18"/>
        <v>5.4388843676583479E-3</v>
      </c>
      <c r="H117" s="30">
        <f t="shared" ca="1" si="18"/>
        <v>4.2839214833781548E-3</v>
      </c>
      <c r="I117" s="30">
        <f t="shared" ca="1" si="18"/>
        <v>-4.360687822814243E-2</v>
      </c>
      <c r="J117" s="30">
        <f t="shared" ca="1" si="18"/>
        <v>-3.3905498823157645E-2</v>
      </c>
      <c r="K117" s="30">
        <f t="shared" ca="1" si="19"/>
        <v>6.2868839538547158E-3</v>
      </c>
      <c r="L117" s="30">
        <f t="shared" ca="1" si="19"/>
        <v>1.3941155842341386E-2</v>
      </c>
      <c r="M117" s="30">
        <f t="shared" ca="1" si="19"/>
        <v>4.9908608852672086E-2</v>
      </c>
      <c r="N117" s="30">
        <f t="shared" ca="1" si="19"/>
        <v>0.11450341822523814</v>
      </c>
      <c r="O117" s="30">
        <f t="shared" ca="1" si="20"/>
        <v>1.1725768321513064E-2</v>
      </c>
      <c r="P117" s="30">
        <f t="shared" ca="1" si="21"/>
        <v>1.8225077325719541E-2</v>
      </c>
      <c r="Q117" s="30">
        <f t="shared" ca="1" si="22"/>
        <v>6.3017306245296556E-3</v>
      </c>
      <c r="R117" s="30">
        <f t="shared" ca="1" si="23"/>
        <v>8.0597919402080498E-2</v>
      </c>
      <c r="S117" s="9" cm="1">
        <f t="array" aca="1" ref="S117" ca="1">_xll.BDH($E$6,"PX LAST",AG117)</f>
        <v>213.98</v>
      </c>
      <c r="T117" s="9" cm="1">
        <f t="array" aca="1" ref="T117" ca="1">_xll.BDH($E$6,"PX LAST",AH117)</f>
        <v>211.5</v>
      </c>
      <c r="U117" s="9" cm="1">
        <f t="array" aca="1" ref="U117" ca="1">_xll.BDH($E$6,"PX LAST",AI117)</f>
        <v>210.15</v>
      </c>
      <c r="V117" s="9" cm="1">
        <f t="array" aca="1" ref="V117" ca="1">_xll.BDH($E$6,"PX LAST",AJ117)</f>
        <v>212.64</v>
      </c>
      <c r="W117" s="9" cm="1">
        <f t="array" aca="1" ref="W117" ca="1">_xll.BDH($E$6,"PX LAST",AK117)</f>
        <v>198.02</v>
      </c>
      <c r="X117" s="24">
        <f t="shared" ca="1" si="24"/>
        <v>3.9067289032153063E-3</v>
      </c>
      <c r="Y117" s="24">
        <f t="shared" ca="1" si="25"/>
        <v>8.6631655480311487E-3</v>
      </c>
      <c r="Z117" s="24">
        <f t="shared" ca="1" si="26"/>
        <v>3.1013679615392364E-2</v>
      </c>
      <c r="AA117" s="24">
        <f t="shared" ca="1" si="27"/>
        <v>7.1153502558801263E-2</v>
      </c>
      <c r="AB117" s="9" cm="1">
        <f t="array" aca="1" ref="AB117" ca="1">_xll.BDH($E$8,"PX LAST",AG117)</f>
        <v>6714.59</v>
      </c>
      <c r="AC117" s="9" cm="1">
        <f t="array" aca="1" ref="AC117" ca="1">_xll.BDH($E$8,"PX LAST",AH117)</f>
        <v>6688.46</v>
      </c>
      <c r="AD117" s="9" cm="1">
        <f t="array" aca="1" ref="AD117" ca="1">_xll.BDH($E$8,"PX LAST",AI117)</f>
        <v>6656.92</v>
      </c>
      <c r="AE117" s="9" cm="1">
        <f t="array" aca="1" ref="AE117" ca="1">_xll.BDH($E$8,"PX LAST",AJ117)</f>
        <v>6512.61</v>
      </c>
      <c r="AF117" s="9" cm="1">
        <f t="array" aca="1" ref="AF117" ca="1">_xll.BDH($E$8,"PX LAST",AK117)</f>
        <v>6268.56</v>
      </c>
      <c r="AG117" s="20">
        <f t="shared" ca="1" si="33"/>
        <v>45937</v>
      </c>
      <c r="AH117" s="22">
        <f t="shared" ca="1" si="28"/>
        <v>45930</v>
      </c>
      <c r="AI117" s="22">
        <f t="shared" ca="1" si="29"/>
        <v>45923</v>
      </c>
      <c r="AJ117" s="22">
        <f t="shared" ca="1" si="30"/>
        <v>45909</v>
      </c>
      <c r="AK117" s="22">
        <f t="shared" ca="1" si="31"/>
        <v>45852</v>
      </c>
      <c r="AL117" s="22">
        <f t="shared" ca="1" si="32"/>
        <v>45763</v>
      </c>
    </row>
    <row r="118" spans="4:38" x14ac:dyDescent="0.25">
      <c r="D118" s="6">
        <f ca="1"/>
        <v>45936</v>
      </c>
      <c r="E118" s="28">
        <f ca="1"/>
        <v>219.5</v>
      </c>
      <c r="F118" s="29" cm="1">
        <f t="array" aca="1" ref="F118" ca="1">_xll.FDS($E$7,"P_BETA_LOCIDX("&amp;$AG118&amp;","&amp;$AL118&amp;",,"""&amp;$E$9&amp;""")")</f>
        <v>1.5932298</v>
      </c>
      <c r="G118" s="30">
        <f t="shared" ca="1" si="18"/>
        <v>1.9600509037714067E-2</v>
      </c>
      <c r="H118" s="30">
        <f t="shared" ca="1" si="18"/>
        <v>2.8470391526922566E-2</v>
      </c>
      <c r="I118" s="30">
        <f t="shared" ca="1" si="18"/>
        <v>-5.2508966345342613E-2</v>
      </c>
      <c r="J118" s="30">
        <f t="shared" ca="1" si="18"/>
        <v>-1.951095136573891E-2</v>
      </c>
      <c r="K118" s="30">
        <f t="shared" ca="1" si="19"/>
        <v>1.8911981499757567E-2</v>
      </c>
      <c r="L118" s="30">
        <f t="shared" ca="1" si="19"/>
        <v>1.1074955382857165E-2</v>
      </c>
      <c r="M118" s="30">
        <f t="shared" ca="1" si="19"/>
        <v>6.0129238104431805E-2</v>
      </c>
      <c r="N118" s="30">
        <f t="shared" ca="1" si="19"/>
        <v>0.12230435972586765</v>
      </c>
      <c r="O118" s="30">
        <f t="shared" ca="1" si="20"/>
        <v>3.8512490537471633E-2</v>
      </c>
      <c r="P118" s="30">
        <f t="shared" ca="1" si="21"/>
        <v>3.9545346909779733E-2</v>
      </c>
      <c r="Q118" s="30">
        <f t="shared" ca="1" si="22"/>
        <v>7.6202717590891922E-3</v>
      </c>
      <c r="R118" s="30">
        <f t="shared" ca="1" si="23"/>
        <v>0.10279340836012874</v>
      </c>
      <c r="S118" s="9" cm="1">
        <f t="array" aca="1" ref="S118" ca="1">_xll.BDH($E$6,"PX LAST",AG118)</f>
        <v>219.5</v>
      </c>
      <c r="T118" s="9" cm="1">
        <f t="array" aca="1" ref="T118" ca="1">_xll.BDH($E$6,"PX LAST",AH118)</f>
        <v>211.36</v>
      </c>
      <c r="U118" s="9" cm="1">
        <f t="array" aca="1" ref="U118" ca="1">_xll.BDH($E$6,"PX LAST",AI118)</f>
        <v>211.15</v>
      </c>
      <c r="V118" s="9" cm="1">
        <f t="array" aca="1" ref="V118" ca="1">_xll.BDH($E$6,"PX LAST",AJ118)</f>
        <v>217.84</v>
      </c>
      <c r="W118" s="9" cm="1">
        <f t="array" aca="1" ref="W118" ca="1">_xll.BDH($E$6,"PX LAST",AK118)</f>
        <v>199.04</v>
      </c>
      <c r="X118" s="24">
        <f t="shared" ca="1" si="24"/>
        <v>1.1870215771609072E-2</v>
      </c>
      <c r="Y118" s="24">
        <f t="shared" ca="1" si="25"/>
        <v>6.9512605042016951E-3</v>
      </c>
      <c r="Z118" s="24">
        <f t="shared" ca="1" si="26"/>
        <v>3.7740467887577678E-2</v>
      </c>
      <c r="AA118" s="24">
        <f t="shared" ca="1" si="27"/>
        <v>7.6765046527417224E-2</v>
      </c>
      <c r="AB118" s="9" cm="1">
        <f t="array" aca="1" ref="AB118" ca="1">_xll.BDH($E$8,"PX LAST",AG118)</f>
        <v>6740.28</v>
      </c>
      <c r="AC118" s="9" cm="1">
        <f t="array" aca="1" ref="AC118" ca="1">_xll.BDH($E$8,"PX LAST",AH118)</f>
        <v>6661.21</v>
      </c>
      <c r="AD118" s="9" cm="1">
        <f t="array" aca="1" ref="AD118" ca="1">_xll.BDH($E$8,"PX LAST",AI118)</f>
        <v>6693.75</v>
      </c>
      <c r="AE118" s="9" cm="1">
        <f t="array" aca="1" ref="AE118" ca="1">_xll.BDH($E$8,"PX LAST",AJ118)</f>
        <v>6495.15</v>
      </c>
      <c r="AF118" s="9" cm="1">
        <f t="array" aca="1" ref="AF118" ca="1">_xll.BDH($E$8,"PX LAST",AK118)</f>
        <v>6259.75</v>
      </c>
      <c r="AG118" s="20">
        <f t="shared" ca="1" si="33"/>
        <v>45936</v>
      </c>
      <c r="AH118" s="22">
        <f t="shared" ca="1" si="28"/>
        <v>45929</v>
      </c>
      <c r="AI118" s="22">
        <f t="shared" ca="1" si="29"/>
        <v>45922</v>
      </c>
      <c r="AJ118" s="22">
        <f t="shared" ca="1" si="30"/>
        <v>45908</v>
      </c>
      <c r="AK118" s="22">
        <f t="shared" ca="1" si="31"/>
        <v>45849</v>
      </c>
      <c r="AL118" s="22">
        <f t="shared" ca="1" si="32"/>
        <v>45762</v>
      </c>
    </row>
    <row r="119" spans="4:38" x14ac:dyDescent="0.25">
      <c r="D119" s="6">
        <f ca="1"/>
        <v>45933</v>
      </c>
      <c r="E119" s="28">
        <f ca="1"/>
        <v>215.87</v>
      </c>
      <c r="F119" s="29" cm="1">
        <f t="array" aca="1" ref="F119" ca="1">_xll.FDS($E$7,"P_BETA_LOCIDX("&amp;$AG119&amp;","&amp;$AL119&amp;",,"""&amp;$E$9&amp;""")")</f>
        <v>1.5895022999999999</v>
      </c>
      <c r="G119" s="30">
        <f t="shared" ca="1" si="18"/>
        <v>-7.4710951105034368E-3</v>
      </c>
      <c r="H119" s="30">
        <f t="shared" ca="1" si="18"/>
        <v>2.1742258039240788E-2</v>
      </c>
      <c r="I119" s="30">
        <f t="shared" ca="1" si="18"/>
        <v>-7.2558272037717975E-2</v>
      </c>
      <c r="J119" s="30">
        <f t="shared" ca="1" si="18"/>
        <v>-3.7583664234498368E-2</v>
      </c>
      <c r="K119" s="30">
        <f t="shared" ca="1" si="19"/>
        <v>1.7247500761172277E-2</v>
      </c>
      <c r="L119" s="30">
        <f t="shared" ca="1" si="19"/>
        <v>1.2266459688402124E-2</v>
      </c>
      <c r="M119" s="30">
        <f t="shared" ca="1" si="19"/>
        <v>5.7456529177968015E-2</v>
      </c>
      <c r="N119" s="30">
        <f t="shared" ca="1" si="19"/>
        <v>0.11017633043742008</v>
      </c>
      <c r="O119" s="30">
        <f t="shared" ca="1" si="20"/>
        <v>9.7764056506688402E-3</v>
      </c>
      <c r="P119" s="30">
        <f t="shared" ca="1" si="21"/>
        <v>3.4008717727642912E-2</v>
      </c>
      <c r="Q119" s="30">
        <f t="shared" ca="1" si="22"/>
        <v>-1.5101742859749967E-2</v>
      </c>
      <c r="R119" s="30">
        <f t="shared" ca="1" si="23"/>
        <v>7.2592666202921707E-2</v>
      </c>
      <c r="S119" s="9" cm="1">
        <f t="array" aca="1" ref="S119" ca="1">_xll.BDH($E$6,"PX LAST",AG119)</f>
        <v>215.87</v>
      </c>
      <c r="T119" s="9" cm="1">
        <f t="array" aca="1" ref="T119" ca="1">_xll.BDH($E$6,"PX LAST",AH119)</f>
        <v>213.78</v>
      </c>
      <c r="U119" s="9" cm="1">
        <f t="array" aca="1" ref="U119" ca="1">_xll.BDH($E$6,"PX LAST",AI119)</f>
        <v>208.77</v>
      </c>
      <c r="V119" s="9" cm="1">
        <f t="array" aca="1" ref="V119" ca="1">_xll.BDH($E$6,"PX LAST",AJ119)</f>
        <v>219.18</v>
      </c>
      <c r="W119" s="9" cm="1">
        <f t="array" aca="1" ref="W119" ca="1">_xll.BDH($E$6,"PX LAST",AK119)</f>
        <v>201.26</v>
      </c>
      <c r="X119" s="24">
        <f t="shared" ca="1" si="24"/>
        <v>1.08508812860304E-2</v>
      </c>
      <c r="Y119" s="24">
        <f t="shared" ca="1" si="25"/>
        <v>7.717170140868701E-3</v>
      </c>
      <c r="Z119" s="24">
        <f t="shared" ca="1" si="26"/>
        <v>3.6147496721437911E-2</v>
      </c>
      <c r="AA119" s="24">
        <f t="shared" ca="1" si="27"/>
        <v>6.9314986481881835E-2</v>
      </c>
      <c r="AB119" s="9" cm="1">
        <f t="array" aca="1" ref="AB119" ca="1">_xll.BDH($E$8,"PX LAST",AG119)</f>
        <v>6715.79</v>
      </c>
      <c r="AC119" s="9" cm="1">
        <f t="array" aca="1" ref="AC119" ca="1">_xll.BDH($E$8,"PX LAST",AH119)</f>
        <v>6643.7</v>
      </c>
      <c r="AD119" s="9" cm="1">
        <f t="array" aca="1" ref="AD119" ca="1">_xll.BDH($E$8,"PX LAST",AI119)</f>
        <v>6664.36</v>
      </c>
      <c r="AE119" s="9" cm="1">
        <f t="array" aca="1" ref="AE119" ca="1">_xll.BDH($E$8,"PX LAST",AJ119)</f>
        <v>6481.5</v>
      </c>
      <c r="AF119" s="9" cm="1">
        <f t="array" aca="1" ref="AF119" ca="1">_xll.BDH($E$8,"PX LAST",AK119)</f>
        <v>6280.46</v>
      </c>
      <c r="AG119" s="20">
        <f t="shared" ca="1" si="33"/>
        <v>45933</v>
      </c>
      <c r="AH119" s="22">
        <f t="shared" ca="1" si="28"/>
        <v>45926</v>
      </c>
      <c r="AI119" s="22">
        <f t="shared" ca="1" si="29"/>
        <v>45919</v>
      </c>
      <c r="AJ119" s="22">
        <f t="shared" ca="1" si="30"/>
        <v>45905</v>
      </c>
      <c r="AK119" s="22">
        <f t="shared" ca="1" si="31"/>
        <v>45848</v>
      </c>
      <c r="AL119" s="22">
        <f t="shared" ca="1" si="32"/>
        <v>45761</v>
      </c>
    </row>
    <row r="120" spans="4:38" x14ac:dyDescent="0.25">
      <c r="D120" s="6">
        <f ca="1"/>
        <v>45932</v>
      </c>
      <c r="E120" s="28">
        <f ca="1"/>
        <v>213.89</v>
      </c>
      <c r="F120" s="29" cm="1">
        <f t="array" aca="1" ref="F120" ca="1">_xll.FDS($E$7,"P_BETA_LOCIDX("&amp;$AG120&amp;","&amp;$AL120&amp;",,"""&amp;$E$9&amp;""")")</f>
        <v>1.5531174999999999</v>
      </c>
      <c r="G120" s="30">
        <f t="shared" ca="1" si="18"/>
        <v>-2.1281936609630903E-4</v>
      </c>
      <c r="H120" s="30">
        <f t="shared" ca="1" si="18"/>
        <v>-2.4321318299264337E-2</v>
      </c>
      <c r="I120" s="30">
        <f t="shared" ca="1" si="18"/>
        <v>-7.145831681878298E-2</v>
      </c>
      <c r="J120" s="30">
        <f t="shared" ca="1" si="18"/>
        <v>-3.3487723279188725E-2</v>
      </c>
      <c r="K120" s="30">
        <f t="shared" ca="1" si="19"/>
        <v>2.601493916850374E-2</v>
      </c>
      <c r="L120" s="30">
        <f t="shared" ca="1" si="19"/>
        <v>1.9528837376130113E-2</v>
      </c>
      <c r="M120" s="30">
        <f t="shared" ca="1" si="19"/>
        <v>5.0942678223737742E-2</v>
      </c>
      <c r="N120" s="30">
        <f t="shared" ca="1" si="19"/>
        <v>0.11210597844812456</v>
      </c>
      <c r="O120" s="30">
        <f t="shared" ca="1" si="20"/>
        <v>2.5802119802407431E-2</v>
      </c>
      <c r="P120" s="30">
        <f t="shared" ca="1" si="21"/>
        <v>-4.7924809231342236E-3</v>
      </c>
      <c r="Q120" s="30">
        <f t="shared" ca="1" si="22"/>
        <v>-2.0515638595045238E-2</v>
      </c>
      <c r="R120" s="30">
        <f t="shared" ca="1" si="23"/>
        <v>7.8618255168935836E-2</v>
      </c>
      <c r="S120" s="9" cm="1">
        <f t="array" aca="1" ref="S120" ca="1">_xll.BDH($E$6,"PX LAST",AG120)</f>
        <v>213.89</v>
      </c>
      <c r="T120" s="9" cm="1">
        <f t="array" aca="1" ref="T120" ca="1">_xll.BDH($E$6,"PX LAST",AH120)</f>
        <v>208.51</v>
      </c>
      <c r="U120" s="9" cm="1">
        <f t="array" aca="1" ref="U120" ca="1">_xll.BDH($E$6,"PX LAST",AI120)</f>
        <v>214.92</v>
      </c>
      <c r="V120" s="9" cm="1">
        <f t="array" aca="1" ref="V120" ca="1">_xll.BDH($E$6,"PX LAST",AJ120)</f>
        <v>218.37</v>
      </c>
      <c r="W120" s="9" cm="1">
        <f t="array" aca="1" ref="W120" ca="1">_xll.BDH($E$6,"PX LAST",AK120)</f>
        <v>198.3</v>
      </c>
      <c r="X120" s="24">
        <f t="shared" ca="1" si="24"/>
        <v>1.6750142322460304E-2</v>
      </c>
      <c r="Y120" s="24">
        <f t="shared" ca="1" si="25"/>
        <v>1.2573960035947129E-2</v>
      </c>
      <c r="Z120" s="24">
        <f t="shared" ca="1" si="26"/>
        <v>3.2800273143363423E-2</v>
      </c>
      <c r="AA120" s="24">
        <f t="shared" ca="1" si="27"/>
        <v>7.2181260238278533E-2</v>
      </c>
      <c r="AB120" s="9" cm="1">
        <f t="array" aca="1" ref="AB120" ca="1">_xll.BDH($E$8,"PX LAST",AG120)</f>
        <v>6715.35</v>
      </c>
      <c r="AC120" s="9" cm="1">
        <f t="array" aca="1" ref="AC120" ca="1">_xll.BDH($E$8,"PX LAST",AH120)</f>
        <v>6604.72</v>
      </c>
      <c r="AD120" s="9" cm="1">
        <f t="array" aca="1" ref="AD120" ca="1">_xll.BDH($E$8,"PX LAST",AI120)</f>
        <v>6631.96</v>
      </c>
      <c r="AE120" s="9" cm="1">
        <f t="array" aca="1" ref="AE120" ca="1">_xll.BDH($E$8,"PX LAST",AJ120)</f>
        <v>6502.08</v>
      </c>
      <c r="AF120" s="9" cm="1">
        <f t="array" aca="1" ref="AF120" ca="1">_xll.BDH($E$8,"PX LAST",AK120)</f>
        <v>6263.26</v>
      </c>
      <c r="AG120" s="20">
        <f t="shared" ca="1" si="33"/>
        <v>45932</v>
      </c>
      <c r="AH120" s="22">
        <f t="shared" ca="1" si="28"/>
        <v>45925</v>
      </c>
      <c r="AI120" s="22">
        <f t="shared" ca="1" si="29"/>
        <v>45918</v>
      </c>
      <c r="AJ120" s="22">
        <f t="shared" ca="1" si="30"/>
        <v>45904</v>
      </c>
      <c r="AK120" s="22">
        <f t="shared" ca="1" si="31"/>
        <v>45847</v>
      </c>
      <c r="AL120" s="22">
        <f t="shared" ca="1" si="32"/>
        <v>45758</v>
      </c>
    </row>
    <row r="121" spans="4:38" x14ac:dyDescent="0.25">
      <c r="D121" s="6">
        <f ca="1"/>
        <v>45931</v>
      </c>
      <c r="E121" s="28">
        <f ca="1"/>
        <v>212.69</v>
      </c>
      <c r="F121" s="29" cm="1">
        <f t="array" aca="1" ref="F121" ca="1">_xll.FDS($E$7,"P_BETA_LOCIDX("&amp;$AG121&amp;","&amp;$AL121&amp;",,"""&amp;$E$9&amp;""")")</f>
        <v>1.5211452999999999</v>
      </c>
      <c r="G121" s="30">
        <f t="shared" ca="1" si="18"/>
        <v>7.2437806477876378E-3</v>
      </c>
      <c r="H121" s="30">
        <f t="shared" ca="1" si="18"/>
        <v>-3.3013489315836003E-2</v>
      </c>
      <c r="I121" s="30">
        <f t="shared" ca="1" si="18"/>
        <v>-8.5892830344466126E-2</v>
      </c>
      <c r="J121" s="30">
        <f t="shared" ca="1" si="18"/>
        <v>-3.096534695735223E-2</v>
      </c>
      <c r="K121" s="30">
        <f t="shared" ca="1" si="19"/>
        <v>1.6781255461986163E-2</v>
      </c>
      <c r="L121" s="30">
        <f t="shared" ca="1" si="19"/>
        <v>2.5546971979516137E-2</v>
      </c>
      <c r="M121" s="30">
        <f t="shared" ca="1" si="19"/>
        <v>6.2027577235099073E-2</v>
      </c>
      <c r="N121" s="30">
        <f t="shared" ca="1" si="19"/>
        <v>0.1186711871946439</v>
      </c>
      <c r="O121" s="30">
        <f t="shared" ca="1" si="20"/>
        <v>2.4025036109773801E-2</v>
      </c>
      <c r="P121" s="30">
        <f t="shared" ca="1" si="21"/>
        <v>-7.4665173363198667E-3</v>
      </c>
      <c r="Q121" s="30">
        <f t="shared" ca="1" si="22"/>
        <v>-2.3865253109367046E-2</v>
      </c>
      <c r="R121" s="30">
        <f t="shared" ca="1" si="23"/>
        <v>8.7705840237291666E-2</v>
      </c>
      <c r="S121" s="9" cm="1">
        <f t="array" aca="1" ref="S121" ca="1">_xll.BDH($E$6,"PX LAST",AG121)</f>
        <v>212.69</v>
      </c>
      <c r="T121" s="9" cm="1">
        <f t="array" aca="1" ref="T121" ca="1">_xll.BDH($E$6,"PX LAST",AH121)</f>
        <v>207.7</v>
      </c>
      <c r="U121" s="9" cm="1">
        <f t="array" aca="1" ref="U121" ca="1">_xll.BDH($E$6,"PX LAST",AI121)</f>
        <v>214.29</v>
      </c>
      <c r="V121" s="9" cm="1">
        <f t="array" aca="1" ref="V121" ca="1">_xll.BDH($E$6,"PX LAST",AJ121)</f>
        <v>217.89</v>
      </c>
      <c r="W121" s="9" cm="1">
        <f t="array" aca="1" ref="W121" ca="1">_xll.BDH($E$6,"PX LAST",AK121)</f>
        <v>195.54</v>
      </c>
      <c r="X121" s="24">
        <f t="shared" ca="1" si="24"/>
        <v>1.1031987188854453E-2</v>
      </c>
      <c r="Y121" s="24">
        <f t="shared" ca="1" si="25"/>
        <v>1.6794563924640293E-2</v>
      </c>
      <c r="Z121" s="24">
        <f t="shared" ca="1" si="26"/>
        <v>4.0776891750642807E-2</v>
      </c>
      <c r="AA121" s="24">
        <f t="shared" ca="1" si="27"/>
        <v>7.8014366671378399E-2</v>
      </c>
      <c r="AB121" s="9" cm="1">
        <f t="array" aca="1" ref="AB121" ca="1">_xll.BDH($E$8,"PX LAST",AG121)</f>
        <v>6711.2</v>
      </c>
      <c r="AC121" s="9" cm="1">
        <f t="array" aca="1" ref="AC121" ca="1">_xll.BDH($E$8,"PX LAST",AH121)</f>
        <v>6637.97</v>
      </c>
      <c r="AD121" s="9" cm="1">
        <f t="array" aca="1" ref="AD121" ca="1">_xll.BDH($E$8,"PX LAST",AI121)</f>
        <v>6600.35</v>
      </c>
      <c r="AE121" s="9" cm="1">
        <f t="array" aca="1" ref="AE121" ca="1">_xll.BDH($E$8,"PX LAST",AJ121)</f>
        <v>6448.26</v>
      </c>
      <c r="AF121" s="9" cm="1">
        <f t="array" aca="1" ref="AF121" ca="1">_xll.BDH($E$8,"PX LAST",AK121)</f>
        <v>6225.52</v>
      </c>
      <c r="AG121" s="20">
        <f t="shared" ca="1" si="33"/>
        <v>45931</v>
      </c>
      <c r="AH121" s="22">
        <f t="shared" ca="1" si="28"/>
        <v>45924</v>
      </c>
      <c r="AI121" s="22">
        <f t="shared" ca="1" si="29"/>
        <v>45917</v>
      </c>
      <c r="AJ121" s="22">
        <f t="shared" ca="1" si="30"/>
        <v>45903</v>
      </c>
      <c r="AK121" s="22">
        <f t="shared" ca="1" si="31"/>
        <v>45846</v>
      </c>
      <c r="AL121" s="22">
        <f t="shared" ca="1" si="32"/>
        <v>45757</v>
      </c>
    </row>
    <row r="122" spans="4:38" x14ac:dyDescent="0.25">
      <c r="D122" s="6">
        <f ca="1"/>
        <v>45930</v>
      </c>
      <c r="E122" s="28">
        <f ca="1"/>
        <v>211.5</v>
      </c>
      <c r="F122" s="29" cm="1">
        <f t="array" aca="1" ref="F122" ca="1">_xll.FDS($E$7,"P_BETA_LOCIDX("&amp;$AG122&amp;","&amp;$AL122&amp;",,"""&amp;$E$9&amp;""")")</f>
        <v>1.5901586999999999</v>
      </c>
      <c r="G122" s="30">
        <f t="shared" ca="1" si="18"/>
        <v>-1.1100727296065888E-3</v>
      </c>
      <c r="H122" s="30">
        <f t="shared" ca="1" si="18"/>
        <v>-4.0497429772435187E-2</v>
      </c>
      <c r="I122" s="30">
        <f t="shared" ca="1" si="18"/>
        <v>-0.10189265227503895</v>
      </c>
      <c r="J122" s="30">
        <f t="shared" ca="1" si="18"/>
        <v>-5.5039389129067778E-3</v>
      </c>
      <c r="K122" s="30">
        <f t="shared" ca="1" si="19"/>
        <v>7.5340555989856523E-3</v>
      </c>
      <c r="L122" s="30">
        <f t="shared" ca="1" si="19"/>
        <v>1.9664096439101816E-2</v>
      </c>
      <c r="M122" s="30">
        <f t="shared" ca="1" si="19"/>
        <v>6.7646076932573171E-2</v>
      </c>
      <c r="N122" s="30">
        <f t="shared" ca="1" si="19"/>
        <v>0.11702380437433212</v>
      </c>
      <c r="O122" s="30">
        <f t="shared" ca="1" si="20"/>
        <v>6.4239828693790635E-3</v>
      </c>
      <c r="P122" s="30">
        <f t="shared" ca="1" si="21"/>
        <v>-2.083333333333337E-2</v>
      </c>
      <c r="Q122" s="30">
        <f t="shared" ca="1" si="22"/>
        <v>-3.4246575342465779E-2</v>
      </c>
      <c r="R122" s="30">
        <f t="shared" ca="1" si="23"/>
        <v>0.11151986546142534</v>
      </c>
      <c r="S122" s="9" cm="1">
        <f t="array" aca="1" ref="S122" ca="1">_xll.BDH($E$6,"PX LAST",AG122)</f>
        <v>211.5</v>
      </c>
      <c r="T122" s="9" cm="1">
        <f t="array" aca="1" ref="T122" ca="1">_xll.BDH($E$6,"PX LAST",AH122)</f>
        <v>210.15</v>
      </c>
      <c r="U122" s="9" cm="1">
        <f t="array" aca="1" ref="U122" ca="1">_xll.BDH($E$6,"PX LAST",AI122)</f>
        <v>216</v>
      </c>
      <c r="V122" s="9" cm="1">
        <f t="array" aca="1" ref="V122" ca="1">_xll.BDH($E$6,"PX LAST",AJ122)</f>
        <v>219</v>
      </c>
      <c r="W122" s="9" cm="1">
        <f t="array" aca="1" ref="W122" ca="1">_xll.BDH($E$6,"PX LAST",AK122)</f>
        <v>190.28</v>
      </c>
      <c r="X122" s="24">
        <f t="shared" ca="1" si="24"/>
        <v>4.7379268490532755E-3</v>
      </c>
      <c r="Y122" s="24">
        <f t="shared" ca="1" si="25"/>
        <v>1.2366121972040789E-2</v>
      </c>
      <c r="Z122" s="24">
        <f t="shared" ca="1" si="26"/>
        <v>4.254045645417226E-2</v>
      </c>
      <c r="AA122" s="24">
        <f t="shared" ca="1" si="27"/>
        <v>7.3592531597212352E-2</v>
      </c>
      <c r="AB122" s="9" cm="1">
        <f t="array" aca="1" ref="AB122" ca="1">_xll.BDH($E$8,"PX LAST",AG122)</f>
        <v>6688.46</v>
      </c>
      <c r="AC122" s="9" cm="1">
        <f t="array" aca="1" ref="AC122" ca="1">_xll.BDH($E$8,"PX LAST",AH122)</f>
        <v>6656.92</v>
      </c>
      <c r="AD122" s="9" cm="1">
        <f t="array" aca="1" ref="AD122" ca="1">_xll.BDH($E$8,"PX LAST",AI122)</f>
        <v>6606.76</v>
      </c>
      <c r="AE122" s="9" cm="1">
        <f t="array" aca="1" ref="AE122" ca="1">_xll.BDH($E$8,"PX LAST",AJ122)</f>
        <v>6415.54</v>
      </c>
      <c r="AF122" s="9" cm="1">
        <f t="array" aca="1" ref="AF122" ca="1">_xll.BDH($E$8,"PX LAST",AK122)</f>
        <v>6229.98</v>
      </c>
      <c r="AG122" s="20">
        <f t="shared" ca="1" si="33"/>
        <v>45930</v>
      </c>
      <c r="AH122" s="22">
        <f t="shared" ca="1" si="28"/>
        <v>45923</v>
      </c>
      <c r="AI122" s="22">
        <f t="shared" ca="1" si="29"/>
        <v>45916</v>
      </c>
      <c r="AJ122" s="22">
        <f t="shared" ca="1" si="30"/>
        <v>45902</v>
      </c>
      <c r="AK122" s="22">
        <f t="shared" ca="1" si="31"/>
        <v>45845</v>
      </c>
      <c r="AL122" s="22">
        <f t="shared" ca="1" si="32"/>
        <v>45756</v>
      </c>
    </row>
    <row r="123" spans="4:38" x14ac:dyDescent="0.25">
      <c r="D123" s="6">
        <f ca="1"/>
        <v>45929</v>
      </c>
      <c r="E123" s="28">
        <f ca="1"/>
        <v>211.36</v>
      </c>
      <c r="F123" s="29" cm="1">
        <f t="array" aca="1" ref="F123" ca="1">_xll.FDS($E$7,"P_BETA_LOCIDX("&amp;$AG123&amp;","&amp;$AL123&amp;",,"""&amp;$E$9&amp;""")")</f>
        <v>1.5967108000000001</v>
      </c>
      <c r="G123" s="30">
        <f t="shared" ca="1" si="18"/>
        <v>8.756565874931517E-3</v>
      </c>
      <c r="H123" s="30">
        <f t="shared" ca="1" si="18"/>
        <v>-2.6734276006580227E-2</v>
      </c>
      <c r="I123" s="30">
        <f t="shared" ca="1" si="18"/>
        <v>-8.8240090350805461E-2</v>
      </c>
      <c r="J123" s="30" t="e">
        <f t="shared" ca="1" si="18"/>
        <v>#VALUE!</v>
      </c>
      <c r="K123" s="30">
        <f t="shared" ca="1" si="19"/>
        <v>-7.7620122400747288E-3</v>
      </c>
      <c r="L123" s="30">
        <f t="shared" ca="1" si="19"/>
        <v>1.1085989866490831E-2</v>
      </c>
      <c r="M123" s="30">
        <f t="shared" ca="1" si="19"/>
        <v>4.9666582344983085E-2</v>
      </c>
      <c r="N123" s="30" t="e">
        <f t="shared" ca="1" si="19"/>
        <v>#VALUE!</v>
      </c>
      <c r="O123" s="30">
        <f t="shared" ca="1" si="20"/>
        <v>9.9455363485678738E-4</v>
      </c>
      <c r="P123" s="30">
        <f t="shared" ca="1" si="21"/>
        <v>-1.5648286140089396E-2</v>
      </c>
      <c r="Q123" s="30">
        <f t="shared" ca="1" si="22"/>
        <v>-3.8573508005822377E-2</v>
      </c>
      <c r="R123" s="30" t="e">
        <f t="shared" ca="1" si="23"/>
        <v>#VALUE!</v>
      </c>
      <c r="S123" s="9" cm="1">
        <f t="array" aca="1" ref="S123" ca="1">_xll.BDH($E$6,"PX LAST",AG123)</f>
        <v>211.36</v>
      </c>
      <c r="T123" s="9" cm="1">
        <f t="array" aca="1" ref="T123" ca="1">_xll.BDH($E$6,"PX LAST",AH123)</f>
        <v>211.15</v>
      </c>
      <c r="U123" s="9" cm="1">
        <f t="array" aca="1" ref="U123" ca="1">_xll.BDH($E$6,"PX LAST",AI123)</f>
        <v>214.72</v>
      </c>
      <c r="V123" s="9" cm="1">
        <f t="array" aca="1" ref="V123" ca="1">_xll.BDH($E$6,"PX LAST",AJ123)</f>
        <v>219.84</v>
      </c>
      <c r="W123" s="9" t="str" cm="1">
        <f t="array" aca="1" ref="W123" ca="1">_xll.BDH($E$6,"PX LAST",AK123)</f>
        <v>#N/A N/A</v>
      </c>
      <c r="X123" s="24">
        <f t="shared" ca="1" si="24"/>
        <v>-4.8612511671335401E-3</v>
      </c>
      <c r="Y123" s="24">
        <f t="shared" ca="1" si="25"/>
        <v>6.9430167732884573E-3</v>
      </c>
      <c r="Z123" s="24">
        <f t="shared" ca="1" si="26"/>
        <v>3.110555921897884E-2</v>
      </c>
      <c r="AA123" s="24" t="e">
        <f t="shared" ca="1" si="27"/>
        <v>#VALUE!</v>
      </c>
      <c r="AB123" s="9" cm="1">
        <f t="array" aca="1" ref="AB123" ca="1">_xll.BDH($E$8,"PX LAST",AG123)</f>
        <v>6661.21</v>
      </c>
      <c r="AC123" s="9" cm="1">
        <f t="array" aca="1" ref="AC123" ca="1">_xll.BDH($E$8,"PX LAST",AH123)</f>
        <v>6693.75</v>
      </c>
      <c r="AD123" s="9" cm="1">
        <f t="array" aca="1" ref="AD123" ca="1">_xll.BDH($E$8,"PX LAST",AI123)</f>
        <v>6615.28</v>
      </c>
      <c r="AE123" s="9" cm="1">
        <f t="array" aca="1" ref="AE123" ca="1">_xll.BDH($E$8,"PX LAST",AJ123)</f>
        <v>6460.26</v>
      </c>
      <c r="AF123" s="9" t="str" cm="1">
        <f t="array" aca="1" ref="AF123" ca="1">_xll.BDH($E$8,"PX LAST",AK123)</f>
        <v>#N/A N/A</v>
      </c>
      <c r="AG123" s="20">
        <f t="shared" ca="1" si="33"/>
        <v>45929</v>
      </c>
      <c r="AH123" s="22">
        <f t="shared" ca="1" si="28"/>
        <v>45922</v>
      </c>
      <c r="AI123" s="22">
        <f t="shared" ca="1" si="29"/>
        <v>45915</v>
      </c>
      <c r="AJ123" s="22">
        <f t="shared" ca="1" si="30"/>
        <v>45898</v>
      </c>
      <c r="AK123" s="22">
        <f t="shared" ca="1" si="31"/>
        <v>45842</v>
      </c>
      <c r="AL123" s="22">
        <f t="shared" ca="1" si="32"/>
        <v>45755</v>
      </c>
    </row>
    <row r="124" spans="4:38" x14ac:dyDescent="0.25">
      <c r="D124" s="6">
        <f ca="1"/>
        <v>45926</v>
      </c>
      <c r="E124" s="28">
        <f ca="1"/>
        <v>213.78</v>
      </c>
      <c r="F124" s="29" cm="1">
        <f t="array" aca="1" ref="F124" ca="1">_xll.FDS($E$7,"P_BETA_LOCIDX("&amp;$AG124&amp;","&amp;$AL124&amp;",,"""&amp;$E$9&amp;""")")</f>
        <v>1.5941681999999999</v>
      </c>
      <c r="G124" s="30">
        <f t="shared" ca="1" si="18"/>
        <v>2.8939738015753211E-2</v>
      </c>
      <c r="H124" s="30">
        <f t="shared" ca="1" si="18"/>
        <v>-1.83908767927068E-2</v>
      </c>
      <c r="I124" s="30">
        <f t="shared" ca="1" si="18"/>
        <v>-8.6792682734489535E-2</v>
      </c>
      <c r="J124" s="30">
        <f t="shared" ca="1" si="18"/>
        <v>7.8147107669640226E-3</v>
      </c>
      <c r="K124" s="30">
        <f t="shared" ca="1" si="19"/>
        <v>-4.9420371966699544E-3</v>
      </c>
      <c r="L124" s="30">
        <f t="shared" ca="1" si="19"/>
        <v>1.4384167884767939E-2</v>
      </c>
      <c r="M124" s="30">
        <f t="shared" ca="1" si="19"/>
        <v>3.4777251046316078E-2</v>
      </c>
      <c r="N124" s="30">
        <f t="shared" ca="1" si="19"/>
        <v>9.2499252895602263E-2</v>
      </c>
      <c r="O124" s="30">
        <f t="shared" ca="1" si="20"/>
        <v>2.3997700819083256E-2</v>
      </c>
      <c r="P124" s="30">
        <f t="shared" ca="1" si="21"/>
        <v>-4.0067089079388607E-3</v>
      </c>
      <c r="Q124" s="30">
        <f t="shared" ca="1" si="22"/>
        <v>-5.2015431688173464E-2</v>
      </c>
      <c r="R124" s="30">
        <f t="shared" ca="1" si="23"/>
        <v>0.10031396366256629</v>
      </c>
      <c r="S124" s="9" cm="1">
        <f t="array" aca="1" ref="S124" ca="1">_xll.BDH($E$6,"PX LAST",AG124)</f>
        <v>213.78</v>
      </c>
      <c r="T124" s="9" cm="1">
        <f t="array" aca="1" ref="T124" ca="1">_xll.BDH($E$6,"PX LAST",AH124)</f>
        <v>208.77</v>
      </c>
      <c r="U124" s="9" cm="1">
        <f t="array" aca="1" ref="U124" ca="1">_xll.BDH($E$6,"PX LAST",AI124)</f>
        <v>214.64</v>
      </c>
      <c r="V124" s="9" cm="1">
        <f t="array" aca="1" ref="V124" ca="1">_xll.BDH($E$6,"PX LAST",AJ124)</f>
        <v>225.51</v>
      </c>
      <c r="W124" s="9" cm="1">
        <f t="array" aca="1" ref="W124" ca="1">_xll.BDH($E$6,"PX LAST",AK124)</f>
        <v>194.29</v>
      </c>
      <c r="X124" s="24">
        <f t="shared" ca="1" si="24"/>
        <v>-3.1000726251282362E-3</v>
      </c>
      <c r="Y124" s="24">
        <f t="shared" ca="1" si="25"/>
        <v>9.0229926081626388E-3</v>
      </c>
      <c r="Z124" s="24">
        <f t="shared" ca="1" si="26"/>
        <v>2.1815295930702971E-2</v>
      </c>
      <c r="AA124" s="24">
        <f t="shared" ca="1" si="27"/>
        <v>5.8023521542834855E-2</v>
      </c>
      <c r="AB124" s="9" cm="1">
        <f t="array" aca="1" ref="AB124" ca="1">_xll.BDH($E$8,"PX LAST",AG124)</f>
        <v>6643.7</v>
      </c>
      <c r="AC124" s="9" cm="1">
        <f t="array" aca="1" ref="AC124" ca="1">_xll.BDH($E$8,"PX LAST",AH124)</f>
        <v>6664.36</v>
      </c>
      <c r="AD124" s="9" cm="1">
        <f t="array" aca="1" ref="AD124" ca="1">_xll.BDH($E$8,"PX LAST",AI124)</f>
        <v>6584.29</v>
      </c>
      <c r="AE124" s="9" cm="1">
        <f t="array" aca="1" ref="AE124" ca="1">_xll.BDH($E$8,"PX LAST",AJ124)</f>
        <v>6501.86</v>
      </c>
      <c r="AF124" s="9" cm="1">
        <f t="array" aca="1" ref="AF124" ca="1">_xll.BDH($E$8,"PX LAST",AK124)</f>
        <v>6279.35</v>
      </c>
      <c r="AG124" s="20">
        <f t="shared" ca="1" si="33"/>
        <v>45926</v>
      </c>
      <c r="AH124" s="22">
        <f t="shared" ca="1" si="28"/>
        <v>45919</v>
      </c>
      <c r="AI124" s="22">
        <f t="shared" ca="1" si="29"/>
        <v>45912</v>
      </c>
      <c r="AJ124" s="22">
        <f t="shared" ca="1" si="30"/>
        <v>45897</v>
      </c>
      <c r="AK124" s="22">
        <f t="shared" ca="1" si="31"/>
        <v>45841</v>
      </c>
      <c r="AL124" s="22">
        <f t="shared" ca="1" si="32"/>
        <v>45754</v>
      </c>
    </row>
    <row r="125" spans="4:38" x14ac:dyDescent="0.25">
      <c r="D125" s="6">
        <f ca="1"/>
        <v>45925</v>
      </c>
      <c r="E125" s="28">
        <f ca="1"/>
        <v>208.51</v>
      </c>
      <c r="F125" s="29" cm="1">
        <f t="array" aca="1" ref="F125" ca="1">_xll.FDS($E$7,"P_BETA_LOCIDX("&amp;$AG125&amp;","&amp;$AL125&amp;",,"""&amp;$E$9&amp;""")")</f>
        <v>1.4730232999999999</v>
      </c>
      <c r="G125" s="30">
        <f t="shared" ca="1" si="18"/>
        <v>-2.3774780267655938E-2</v>
      </c>
      <c r="H125" s="30">
        <f t="shared" ca="1" si="18"/>
        <v>-5.8233687464012696E-2</v>
      </c>
      <c r="I125" s="30">
        <f t="shared" ca="1" si="18"/>
        <v>-0.11024877998027459</v>
      </c>
      <c r="J125" s="30">
        <f t="shared" ca="1" si="18"/>
        <v>-1.1229147043684426E-2</v>
      </c>
      <c r="K125" s="30">
        <f t="shared" ca="1" si="19"/>
        <v>-6.0502709141791551E-3</v>
      </c>
      <c r="L125" s="30">
        <f t="shared" ca="1" si="19"/>
        <v>3.8572702304525662E-3</v>
      </c>
      <c r="M125" s="30">
        <f t="shared" ca="1" si="19"/>
        <v>2.8026851198197904E-2</v>
      </c>
      <c r="N125" s="30">
        <f t="shared" ca="1" si="19"/>
        <v>8.9245898155255229E-2</v>
      </c>
      <c r="O125" s="30">
        <f t="shared" ca="1" si="20"/>
        <v>-2.9825051181835094E-2</v>
      </c>
      <c r="P125" s="30">
        <f t="shared" ca="1" si="21"/>
        <v>-5.4376417233560126E-2</v>
      </c>
      <c r="Q125" s="30">
        <f t="shared" ca="1" si="22"/>
        <v>-8.2221928782076681E-2</v>
      </c>
      <c r="R125" s="30">
        <f t="shared" ca="1" si="23"/>
        <v>7.8016751111570803E-2</v>
      </c>
      <c r="S125" s="9" cm="1">
        <f t="array" aca="1" ref="S125" ca="1">_xll.BDH($E$6,"PX LAST",AG125)</f>
        <v>208.51</v>
      </c>
      <c r="T125" s="9" cm="1">
        <f t="array" aca="1" ref="T125" ca="1">_xll.BDH($E$6,"PX LAST",AH125)</f>
        <v>214.92</v>
      </c>
      <c r="U125" s="9" cm="1">
        <f t="array" aca="1" ref="U125" ca="1">_xll.BDH($E$6,"PX LAST",AI125)</f>
        <v>220.5</v>
      </c>
      <c r="V125" s="9" cm="1">
        <f t="array" aca="1" ref="V125" ca="1">_xll.BDH($E$6,"PX LAST",AJ125)</f>
        <v>227.19</v>
      </c>
      <c r="W125" s="9" cm="1">
        <f t="array" aca="1" ref="W125" ca="1">_xll.BDH($E$6,"PX LAST",AK125)</f>
        <v>193.42</v>
      </c>
      <c r="X125" s="24">
        <f t="shared" ca="1" si="24"/>
        <v>-4.107383036085821E-3</v>
      </c>
      <c r="Y125" s="24">
        <f t="shared" ca="1" si="25"/>
        <v>2.6186077507752703E-3</v>
      </c>
      <c r="Z125" s="24">
        <f t="shared" ca="1" si="26"/>
        <v>1.9026753479186587E-2</v>
      </c>
      <c r="AA125" s="24">
        <f t="shared" ca="1" si="27"/>
        <v>6.0586888310086628E-2</v>
      </c>
      <c r="AB125" s="9" cm="1">
        <f t="array" aca="1" ref="AB125" ca="1">_xll.BDH($E$8,"PX LAST",AG125)</f>
        <v>6604.72</v>
      </c>
      <c r="AC125" s="9" cm="1">
        <f t="array" aca="1" ref="AC125" ca="1">_xll.BDH($E$8,"PX LAST",AH125)</f>
        <v>6631.96</v>
      </c>
      <c r="AD125" s="9" cm="1">
        <f t="array" aca="1" ref="AD125" ca="1">_xll.BDH($E$8,"PX LAST",AI125)</f>
        <v>6587.47</v>
      </c>
      <c r="AE125" s="9" cm="1">
        <f t="array" aca="1" ref="AE125" ca="1">_xll.BDH($E$8,"PX LAST",AJ125)</f>
        <v>6481.4</v>
      </c>
      <c r="AF125" s="9" cm="1">
        <f t="array" aca="1" ref="AF125" ca="1">_xll.BDH($E$8,"PX LAST",AK125)</f>
        <v>6227.42</v>
      </c>
      <c r="AG125" s="20">
        <f t="shared" ca="1" si="33"/>
        <v>45925</v>
      </c>
      <c r="AH125" s="22">
        <f t="shared" ca="1" si="28"/>
        <v>45918</v>
      </c>
      <c r="AI125" s="22">
        <f t="shared" ca="1" si="29"/>
        <v>45911</v>
      </c>
      <c r="AJ125" s="22">
        <f t="shared" ca="1" si="30"/>
        <v>45896</v>
      </c>
      <c r="AK125" s="22">
        <f t="shared" ca="1" si="31"/>
        <v>45840</v>
      </c>
      <c r="AL125" s="22">
        <f t="shared" ca="1" si="32"/>
        <v>45751</v>
      </c>
    </row>
    <row r="126" spans="4:38" x14ac:dyDescent="0.25">
      <c r="D126" s="6">
        <f ca="1"/>
        <v>45924</v>
      </c>
      <c r="E126" s="28">
        <f ca="1"/>
        <v>207.7</v>
      </c>
      <c r="F126" s="29" cm="1">
        <f t="array" aca="1" ref="F126" ca="1">_xll.FDS($E$7,"P_BETA_LOCIDX("&amp;$AG126&amp;","&amp;$AL126&amp;",,"""&amp;$E$9&amp;""")")</f>
        <v>1.5675021</v>
      </c>
      <c r="G126" s="30">
        <f t="shared" ca="1" si="18"/>
        <v>-3.9687006460958081E-2</v>
      </c>
      <c r="H126" s="30">
        <f t="shared" ca="1" si="18"/>
        <v>-5.8474163039555181E-2</v>
      </c>
      <c r="I126" s="30">
        <f t="shared" ca="1" si="18"/>
        <v>-0.12466600233559286</v>
      </c>
      <c r="J126" s="30">
        <f t="shared" ca="1" si="18"/>
        <v>-1.3603590232362892E-2</v>
      </c>
      <c r="K126" s="30">
        <f t="shared" ca="1" si="19"/>
        <v>8.9342881819903294E-3</v>
      </c>
      <c r="L126" s="30">
        <f t="shared" ca="1" si="19"/>
        <v>2.542015931516025E-2</v>
      </c>
      <c r="M126" s="30">
        <f t="shared" ca="1" si="19"/>
        <v>4.1704282171347105E-2</v>
      </c>
      <c r="N126" s="30">
        <f t="shared" ca="1" si="19"/>
        <v>0.11126768493693949</v>
      </c>
      <c r="O126" s="30">
        <f t="shared" ca="1" si="20"/>
        <v>-3.075271827896775E-2</v>
      </c>
      <c r="P126" s="30">
        <f t="shared" ca="1" si="21"/>
        <v>-3.3054003724394931E-2</v>
      </c>
      <c r="Q126" s="30">
        <f t="shared" ca="1" si="22"/>
        <v>-8.2961720164245745E-2</v>
      </c>
      <c r="R126" s="30">
        <f t="shared" ca="1" si="23"/>
        <v>9.7664094704576598E-2</v>
      </c>
      <c r="S126" s="9" cm="1">
        <f t="array" aca="1" ref="S126" ca="1">_xll.BDH($E$6,"PX LAST",AG126)</f>
        <v>207.7</v>
      </c>
      <c r="T126" s="9" cm="1">
        <f t="array" aca="1" ref="T126" ca="1">_xll.BDH($E$6,"PX LAST",AH126)</f>
        <v>214.29</v>
      </c>
      <c r="U126" s="9" cm="1">
        <f t="array" aca="1" ref="U126" ca="1">_xll.BDH($E$6,"PX LAST",AI126)</f>
        <v>214.8</v>
      </c>
      <c r="V126" s="9" cm="1">
        <f t="array" aca="1" ref="V126" ca="1">_xll.BDH($E$6,"PX LAST",AJ126)</f>
        <v>226.49</v>
      </c>
      <c r="W126" s="9" cm="1">
        <f t="array" aca="1" ref="W126" ca="1">_xll.BDH($E$6,"PX LAST",AK126)</f>
        <v>189.22</v>
      </c>
      <c r="X126" s="24">
        <f t="shared" ca="1" si="24"/>
        <v>5.6996977433014795E-3</v>
      </c>
      <c r="Y126" s="24">
        <f t="shared" ca="1" si="25"/>
        <v>1.6216985811476903E-2</v>
      </c>
      <c r="Z126" s="24">
        <f t="shared" ca="1" si="26"/>
        <v>2.6605567017324638E-2</v>
      </c>
      <c r="AA126" s="24">
        <f t="shared" ca="1" si="27"/>
        <v>7.0984073920500323E-2</v>
      </c>
      <c r="AB126" s="9" cm="1">
        <f t="array" aca="1" ref="AB126" ca="1">_xll.BDH($E$8,"PX LAST",AG126)</f>
        <v>6637.97</v>
      </c>
      <c r="AC126" s="9" cm="1">
        <f t="array" aca="1" ref="AC126" ca="1">_xll.BDH($E$8,"PX LAST",AH126)</f>
        <v>6600.35</v>
      </c>
      <c r="AD126" s="9" cm="1">
        <f t="array" aca="1" ref="AD126" ca="1">_xll.BDH($E$8,"PX LAST",AI126)</f>
        <v>6532.04</v>
      </c>
      <c r="AE126" s="9" cm="1">
        <f t="array" aca="1" ref="AE126" ca="1">_xll.BDH($E$8,"PX LAST",AJ126)</f>
        <v>6465.94</v>
      </c>
      <c r="AF126" s="9" cm="1">
        <f t="array" aca="1" ref="AF126" ca="1">_xll.BDH($E$8,"PX LAST",AK126)</f>
        <v>6198.01</v>
      </c>
      <c r="AG126" s="20">
        <f t="shared" ca="1" si="33"/>
        <v>45924</v>
      </c>
      <c r="AH126" s="22">
        <f t="shared" ca="1" si="28"/>
        <v>45917</v>
      </c>
      <c r="AI126" s="22">
        <f t="shared" ca="1" si="29"/>
        <v>45910</v>
      </c>
      <c r="AJ126" s="22">
        <f t="shared" ca="1" si="30"/>
        <v>45895</v>
      </c>
      <c r="AK126" s="22">
        <f t="shared" ca="1" si="31"/>
        <v>45839</v>
      </c>
      <c r="AL126" s="22">
        <f t="shared" ca="1" si="32"/>
        <v>45750</v>
      </c>
    </row>
    <row r="127" spans="4:38" x14ac:dyDescent="0.25">
      <c r="D127" s="6">
        <f ca="1"/>
        <v>45923</v>
      </c>
      <c r="E127" s="28">
        <f ca="1"/>
        <v>210.15</v>
      </c>
      <c r="F127" s="29" cm="1">
        <f t="array" aca="1" ref="F127" ca="1">_xll.FDS($E$7,"P_BETA_LOCIDX("&amp;$AG127&amp;","&amp;$AL127&amp;",,"""&amp;$E$9&amp;""")")</f>
        <v>1.5721053</v>
      </c>
      <c r="G127" s="30">
        <f t="shared" ca="1" si="18"/>
        <v>-3.9019108486055568E-2</v>
      </c>
      <c r="H127" s="30">
        <f t="shared" ca="1" si="18"/>
        <v>-4.6545507547429199E-2</v>
      </c>
      <c r="I127" s="30">
        <f t="shared" ca="1" si="18"/>
        <v>-0.11696161425276599</v>
      </c>
      <c r="J127" s="30">
        <f t="shared" ca="1" si="18"/>
        <v>2.0206707060628687E-2</v>
      </c>
      <c r="K127" s="30">
        <f t="shared" ca="1" si="19"/>
        <v>1.1935775152722219E-2</v>
      </c>
      <c r="L127" s="30">
        <f t="shared" ca="1" si="19"/>
        <v>3.4835575267519625E-2</v>
      </c>
      <c r="M127" s="30">
        <f t="shared" ca="1" si="19"/>
        <v>5.3125192299808076E-2</v>
      </c>
      <c r="N127" s="30">
        <f t="shared" ca="1" si="19"/>
        <v>0.11451251540157445</v>
      </c>
      <c r="O127" s="30">
        <f t="shared" ca="1" si="20"/>
        <v>-2.7083333333333348E-2</v>
      </c>
      <c r="P127" s="30">
        <f t="shared" ca="1" si="21"/>
        <v>-1.1709932279909574E-2</v>
      </c>
      <c r="Q127" s="30">
        <f t="shared" ca="1" si="22"/>
        <v>-6.3836421952957911E-2</v>
      </c>
      <c r="R127" s="30">
        <f t="shared" ca="1" si="23"/>
        <v>0.13471922246220314</v>
      </c>
      <c r="S127" s="9" cm="1">
        <f t="array" aca="1" ref="S127" ca="1">_xll.BDH($E$6,"PX LAST",AG127)</f>
        <v>210.15</v>
      </c>
      <c r="T127" s="9" cm="1">
        <f t="array" aca="1" ref="T127" ca="1">_xll.BDH($E$6,"PX LAST",AH127)</f>
        <v>216</v>
      </c>
      <c r="U127" s="9" cm="1">
        <f t="array" aca="1" ref="U127" ca="1">_xll.BDH($E$6,"PX LAST",AI127)</f>
        <v>212.64</v>
      </c>
      <c r="V127" s="9" cm="1">
        <f t="array" aca="1" ref="V127" ca="1">_xll.BDH($E$6,"PX LAST",AJ127)</f>
        <v>224.48</v>
      </c>
      <c r="W127" s="9" cm="1">
        <f t="array" aca="1" ref="W127" ca="1">_xll.BDH($E$6,"PX LAST",AK127)</f>
        <v>185.2</v>
      </c>
      <c r="X127" s="24">
        <f t="shared" ca="1" si="24"/>
        <v>7.592223722369118E-3</v>
      </c>
      <c r="Y127" s="24">
        <f t="shared" ca="1" si="25"/>
        <v>2.215855087284524E-2</v>
      </c>
      <c r="Z127" s="24">
        <f t="shared" ca="1" si="26"/>
        <v>3.379238801612594E-2</v>
      </c>
      <c r="AA127" s="24">
        <f t="shared" ca="1" si="27"/>
        <v>7.2840232395103843E-2</v>
      </c>
      <c r="AB127" s="9" cm="1">
        <f t="array" aca="1" ref="AB127" ca="1">_xll.BDH($E$8,"PX LAST",AG127)</f>
        <v>6656.92</v>
      </c>
      <c r="AC127" s="9" cm="1">
        <f t="array" aca="1" ref="AC127" ca="1">_xll.BDH($E$8,"PX LAST",AH127)</f>
        <v>6606.76</v>
      </c>
      <c r="AD127" s="9" cm="1">
        <f t="array" aca="1" ref="AD127" ca="1">_xll.BDH($E$8,"PX LAST",AI127)</f>
        <v>6512.61</v>
      </c>
      <c r="AE127" s="9" cm="1">
        <f t="array" aca="1" ref="AE127" ca="1">_xll.BDH($E$8,"PX LAST",AJ127)</f>
        <v>6439.32</v>
      </c>
      <c r="AF127" s="9" cm="1">
        <f t="array" aca="1" ref="AF127" ca="1">_xll.BDH($E$8,"PX LAST",AK127)</f>
        <v>6204.95</v>
      </c>
      <c r="AG127" s="20">
        <f t="shared" ca="1" si="33"/>
        <v>45923</v>
      </c>
      <c r="AH127" s="22">
        <f t="shared" ca="1" si="28"/>
        <v>45916</v>
      </c>
      <c r="AI127" s="22">
        <f t="shared" ca="1" si="29"/>
        <v>45909</v>
      </c>
      <c r="AJ127" s="22">
        <f t="shared" ca="1" si="30"/>
        <v>45894</v>
      </c>
      <c r="AK127" s="22">
        <f t="shared" ca="1" si="31"/>
        <v>45838</v>
      </c>
      <c r="AL127" s="22">
        <f t="shared" ca="1" si="32"/>
        <v>45749</v>
      </c>
    </row>
    <row r="128" spans="4:38" x14ac:dyDescent="0.25">
      <c r="D128" s="6">
        <f ca="1"/>
        <v>45922</v>
      </c>
      <c r="E128" s="28">
        <f ca="1"/>
        <v>211.15</v>
      </c>
      <c r="F128" s="29" cm="1">
        <f t="array" aca="1" ref="F128" ca="1">_xll.FDS($E$7,"P_BETA_LOCIDX("&amp;$AG128&amp;","&amp;$AL128&amp;",,"""&amp;$E$9&amp;""")")</f>
        <v>1.573175</v>
      </c>
      <c r="G128" s="30">
        <f t="shared" ca="1" si="18"/>
        <v>-3.5287198536246719E-2</v>
      </c>
      <c r="H128" s="30">
        <f t="shared" ca="1" si="18"/>
        <v>-7.8813052036915049E-2</v>
      </c>
      <c r="I128" s="30">
        <f t="shared" ca="1" si="18"/>
        <v>-0.10491228062180642</v>
      </c>
      <c r="J128" s="30">
        <f t="shared" ca="1" si="18"/>
        <v>5.8278274574511957E-3</v>
      </c>
      <c r="K128" s="30">
        <f t="shared" ca="1" si="19"/>
        <v>1.8660894512401705E-2</v>
      </c>
      <c r="L128" s="30">
        <f t="shared" ca="1" si="19"/>
        <v>4.8102438742754244E-2</v>
      </c>
      <c r="M128" s="30">
        <f t="shared" ca="1" si="19"/>
        <v>5.518230762450678E-2</v>
      </c>
      <c r="N128" s="30">
        <f t="shared" ca="1" si="19"/>
        <v>0.13269260821600942</v>
      </c>
      <c r="O128" s="30">
        <f t="shared" ca="1" si="20"/>
        <v>-1.6626304023845018E-2</v>
      </c>
      <c r="P128" s="30">
        <f t="shared" ca="1" si="21"/>
        <v>-3.0710613294160805E-2</v>
      </c>
      <c r="Q128" s="30">
        <f t="shared" ca="1" si="22"/>
        <v>-4.9729972997299643E-2</v>
      </c>
      <c r="R128" s="30">
        <f t="shared" ca="1" si="23"/>
        <v>0.13852043567346062</v>
      </c>
      <c r="S128" s="9" cm="1">
        <f t="array" aca="1" ref="S128" ca="1">_xll.BDH($E$6,"PX LAST",AG128)</f>
        <v>211.15</v>
      </c>
      <c r="T128" s="9" cm="1">
        <f t="array" aca="1" ref="T128" ca="1">_xll.BDH($E$6,"PX LAST",AH128)</f>
        <v>214.72</v>
      </c>
      <c r="U128" s="9" cm="1">
        <f t="array" aca="1" ref="U128" ca="1">_xll.BDH($E$6,"PX LAST",AI128)</f>
        <v>217.84</v>
      </c>
      <c r="V128" s="9" cm="1">
        <f t="array" aca="1" ref="V128" ca="1">_xll.BDH($E$6,"PX LAST",AJ128)</f>
        <v>222.2</v>
      </c>
      <c r="W128" s="9" cm="1">
        <f t="array" aca="1" ref="W128" ca="1">_xll.BDH($E$6,"PX LAST",AK128)</f>
        <v>185.46</v>
      </c>
      <c r="X128" s="24">
        <f t="shared" ca="1" si="24"/>
        <v>1.1861931770083878E-2</v>
      </c>
      <c r="Y128" s="24">
        <f t="shared" ca="1" si="25"/>
        <v>3.0576661047089004E-2</v>
      </c>
      <c r="Z128" s="24">
        <f t="shared" ca="1" si="26"/>
        <v>3.5077030606580184E-2</v>
      </c>
      <c r="AA128" s="24">
        <f t="shared" ca="1" si="27"/>
        <v>8.4347010482628715E-2</v>
      </c>
      <c r="AB128" s="9" cm="1">
        <f t="array" aca="1" ref="AB128" ca="1">_xll.BDH($E$8,"PX LAST",AG128)</f>
        <v>6693.75</v>
      </c>
      <c r="AC128" s="9" cm="1">
        <f t="array" aca="1" ref="AC128" ca="1">_xll.BDH($E$8,"PX LAST",AH128)</f>
        <v>6615.28</v>
      </c>
      <c r="AD128" s="9" cm="1">
        <f t="array" aca="1" ref="AD128" ca="1">_xll.BDH($E$8,"PX LAST",AI128)</f>
        <v>6495.15</v>
      </c>
      <c r="AE128" s="9" cm="1">
        <f t="array" aca="1" ref="AE128" ca="1">_xll.BDH($E$8,"PX LAST",AJ128)</f>
        <v>6466.91</v>
      </c>
      <c r="AF128" s="9" cm="1">
        <f t="array" aca="1" ref="AF128" ca="1">_xll.BDH($E$8,"PX LAST",AK128)</f>
        <v>6173.07</v>
      </c>
      <c r="AG128" s="20">
        <f t="shared" ca="1" si="33"/>
        <v>45922</v>
      </c>
      <c r="AH128" s="22">
        <f t="shared" ca="1" si="28"/>
        <v>45915</v>
      </c>
      <c r="AI128" s="22">
        <f t="shared" ca="1" si="29"/>
        <v>45908</v>
      </c>
      <c r="AJ128" s="22">
        <f t="shared" ca="1" si="30"/>
        <v>45891</v>
      </c>
      <c r="AK128" s="22">
        <f t="shared" ca="1" si="31"/>
        <v>45835</v>
      </c>
      <c r="AL128" s="22">
        <f t="shared" ca="1" si="32"/>
        <v>45748</v>
      </c>
    </row>
    <row r="129" spans="4:38" x14ac:dyDescent="0.25">
      <c r="D129" s="6">
        <f ca="1"/>
        <v>45919</v>
      </c>
      <c r="E129" s="28">
        <f ca="1"/>
        <v>208.77</v>
      </c>
      <c r="F129" s="29" cm="1">
        <f t="array" aca="1" ref="F129" ca="1">_xll.FDS($E$7,"P_BETA_LOCIDX("&amp;$AG129&amp;","&amp;$AL129&amp;",,"""&amp;$E$9&amp;""")")</f>
        <v>1.5700152999999999</v>
      </c>
      <c r="G129" s="30">
        <f t="shared" ca="1" si="18"/>
        <v>-4.6440704081912754E-2</v>
      </c>
      <c r="H129" s="30">
        <f t="shared" ca="1" si="18"/>
        <v>-9.1789431087518455E-2</v>
      </c>
      <c r="I129" s="30">
        <f t="shared" ca="1" si="18"/>
        <v>-8.3169635361593303E-2</v>
      </c>
      <c r="J129" s="30">
        <f t="shared" ca="1" si="18"/>
        <v>-1.1981057812186252E-2</v>
      </c>
      <c r="K129" s="30">
        <f t="shared" ca="1" si="19"/>
        <v>1.909258630330685E-2</v>
      </c>
      <c r="L129" s="30">
        <f t="shared" ca="1" si="19"/>
        <v>4.4294221670600917E-2</v>
      </c>
      <c r="M129" s="30">
        <f t="shared" ca="1" si="19"/>
        <v>7.2507138915758801E-2</v>
      </c>
      <c r="N129" s="30">
        <f t="shared" ca="1" si="19"/>
        <v>0.13379728564668389</v>
      </c>
      <c r="O129" s="30">
        <f t="shared" ca="1" si="20"/>
        <v>-2.7348117778605907E-2</v>
      </c>
      <c r="P129" s="30">
        <f t="shared" ca="1" si="21"/>
        <v>-4.7495209416917539E-2</v>
      </c>
      <c r="Q129" s="30">
        <f t="shared" ca="1" si="22"/>
        <v>-1.0662496445834502E-2</v>
      </c>
      <c r="R129" s="30">
        <f t="shared" ca="1" si="23"/>
        <v>0.12181622783449764</v>
      </c>
      <c r="S129" s="9" cm="1">
        <f t="array" aca="1" ref="S129" ca="1">_xll.BDH($E$6,"PX LAST",AG129)</f>
        <v>208.77</v>
      </c>
      <c r="T129" s="9" cm="1">
        <f t="array" aca="1" ref="T129" ca="1">_xll.BDH($E$6,"PX LAST",AH129)</f>
        <v>214.64</v>
      </c>
      <c r="U129" s="9" cm="1">
        <f t="array" aca="1" ref="U129" ca="1">_xll.BDH($E$6,"PX LAST",AI129)</f>
        <v>219.18</v>
      </c>
      <c r="V129" s="9" cm="1">
        <f t="array" aca="1" ref="V129" ca="1">_xll.BDH($E$6,"PX LAST",AJ129)</f>
        <v>211.02</v>
      </c>
      <c r="W129" s="9" cm="1">
        <f t="array" aca="1" ref="W129" ca="1">_xll.BDH($E$6,"PX LAST",AK129)</f>
        <v>186.1</v>
      </c>
      <c r="X129" s="24">
        <f t="shared" ca="1" si="24"/>
        <v>1.216076448637593E-2</v>
      </c>
      <c r="Y129" s="24">
        <f t="shared" ca="1" si="25"/>
        <v>2.8212605106842537E-2</v>
      </c>
      <c r="Z129" s="24">
        <f t="shared" ca="1" si="26"/>
        <v>4.6182440970963023E-2</v>
      </c>
      <c r="AA129" s="24">
        <f t="shared" ca="1" si="27"/>
        <v>8.5220370557334002E-2</v>
      </c>
      <c r="AB129" s="9" cm="1">
        <f t="array" aca="1" ref="AB129" ca="1">_xll.BDH($E$8,"PX LAST",AG129)</f>
        <v>6664.36</v>
      </c>
      <c r="AC129" s="9" cm="1">
        <f t="array" aca="1" ref="AC129" ca="1">_xll.BDH($E$8,"PX LAST",AH129)</f>
        <v>6584.29</v>
      </c>
      <c r="AD129" s="9" cm="1">
        <f t="array" aca="1" ref="AD129" ca="1">_xll.BDH($E$8,"PX LAST",AI129)</f>
        <v>6481.5</v>
      </c>
      <c r="AE129" s="9" cm="1">
        <f t="array" aca="1" ref="AE129" ca="1">_xll.BDH($E$8,"PX LAST",AJ129)</f>
        <v>6370.17</v>
      </c>
      <c r="AF129" s="9" cm="1">
        <f t="array" aca="1" ref="AF129" ca="1">_xll.BDH($E$8,"PX LAST",AK129)</f>
        <v>6141.02</v>
      </c>
      <c r="AG129" s="20">
        <f t="shared" ca="1" si="33"/>
        <v>45919</v>
      </c>
      <c r="AH129" s="22">
        <f t="shared" ca="1" si="28"/>
        <v>45912</v>
      </c>
      <c r="AI129" s="22">
        <f t="shared" ca="1" si="29"/>
        <v>45905</v>
      </c>
      <c r="AJ129" s="22">
        <f t="shared" ca="1" si="30"/>
        <v>45890</v>
      </c>
      <c r="AK129" s="22">
        <f t="shared" ca="1" si="31"/>
        <v>45834</v>
      </c>
      <c r="AL129" s="22">
        <f t="shared" ca="1" si="32"/>
        <v>45747</v>
      </c>
    </row>
    <row r="130" spans="4:38" x14ac:dyDescent="0.25">
      <c r="D130" s="6">
        <f ca="1"/>
        <v>45918</v>
      </c>
      <c r="E130" s="28">
        <f ca="1"/>
        <v>214.92</v>
      </c>
      <c r="F130" s="29" cm="1">
        <f t="array" aca="1" ref="F130" ca="1">_xll.FDS($E$7,"P_BETA_LOCIDX("&amp;$AG130&amp;","&amp;$AL130&amp;",,"""&amp;$E$9&amp;""")")</f>
        <v>1.5843269</v>
      </c>
      <c r="G130" s="30">
        <f t="shared" ca="1" si="18"/>
        <v>-3.6006240063329212E-2</v>
      </c>
      <c r="H130" s="30">
        <f t="shared" ca="1" si="18"/>
        <v>-4.7446035267856027E-2</v>
      </c>
      <c r="I130" s="30">
        <f t="shared" ca="1" si="18"/>
        <v>-3.2683034031231011E-2</v>
      </c>
      <c r="J130" s="30">
        <f t="shared" ca="1" si="18"/>
        <v>3.96558701959486E-2</v>
      </c>
      <c r="K130" s="30">
        <f t="shared" ca="1" si="19"/>
        <v>1.0700117614349542E-2</v>
      </c>
      <c r="L130" s="30">
        <f t="shared" ca="1" si="19"/>
        <v>3.1647161796225246E-2</v>
      </c>
      <c r="M130" s="30">
        <f t="shared" ca="1" si="19"/>
        <v>5.8505190491543062E-2</v>
      </c>
      <c r="N130" s="30">
        <f t="shared" ca="1" si="19"/>
        <v>0.14038036765613507</v>
      </c>
      <c r="O130" s="30">
        <f t="shared" ca="1" si="20"/>
        <v>-2.5306122448979673E-2</v>
      </c>
      <c r="P130" s="30">
        <f t="shared" ca="1" si="21"/>
        <v>-1.5798873471630781E-2</v>
      </c>
      <c r="Q130" s="30">
        <f t="shared" ca="1" si="22"/>
        <v>2.5822156460312051E-2</v>
      </c>
      <c r="R130" s="30">
        <f t="shared" ca="1" si="23"/>
        <v>0.18003623785208367</v>
      </c>
      <c r="S130" s="9" cm="1">
        <f t="array" aca="1" ref="S130" ca="1">_xll.BDH($E$6,"PX LAST",AG130)</f>
        <v>214.92</v>
      </c>
      <c r="T130" s="9" cm="1">
        <f t="array" aca="1" ref="T130" ca="1">_xll.BDH($E$6,"PX LAST",AH130)</f>
        <v>220.5</v>
      </c>
      <c r="U130" s="9" cm="1">
        <f t="array" aca="1" ref="U130" ca="1">_xll.BDH($E$6,"PX LAST",AI130)</f>
        <v>218.37</v>
      </c>
      <c r="V130" s="9" cm="1">
        <f t="array" aca="1" ref="V130" ca="1">_xll.BDH($E$6,"PX LAST",AJ130)</f>
        <v>209.51</v>
      </c>
      <c r="W130" s="9" cm="1">
        <f t="array" aca="1" ref="W130" ca="1">_xll.BDH($E$6,"PX LAST",AK130)</f>
        <v>182.13</v>
      </c>
      <c r="X130" s="24">
        <f t="shared" ca="1" si="24"/>
        <v>6.7537309467822215E-3</v>
      </c>
      <c r="Y130" s="24">
        <f t="shared" ca="1" si="25"/>
        <v>1.9975146414685785E-2</v>
      </c>
      <c r="Z130" s="24">
        <f t="shared" ca="1" si="26"/>
        <v>3.6927474053203957E-2</v>
      </c>
      <c r="AA130" s="24">
        <f t="shared" ca="1" si="27"/>
        <v>8.8605683370101884E-2</v>
      </c>
      <c r="AB130" s="9" cm="1">
        <f t="array" aca="1" ref="AB130" ca="1">_xll.BDH($E$8,"PX LAST",AG130)</f>
        <v>6631.96</v>
      </c>
      <c r="AC130" s="9" cm="1">
        <f t="array" aca="1" ref="AC130" ca="1">_xll.BDH($E$8,"PX LAST",AH130)</f>
        <v>6587.47</v>
      </c>
      <c r="AD130" s="9" cm="1">
        <f t="array" aca="1" ref="AD130" ca="1">_xll.BDH($E$8,"PX LAST",AI130)</f>
        <v>6502.08</v>
      </c>
      <c r="AE130" s="9" cm="1">
        <f t="array" aca="1" ref="AE130" ca="1">_xll.BDH($E$8,"PX LAST",AJ130)</f>
        <v>6395.78</v>
      </c>
      <c r="AF130" s="9" cm="1">
        <f t="array" aca="1" ref="AF130" ca="1">_xll.BDH($E$8,"PX LAST",AK130)</f>
        <v>6092.16</v>
      </c>
      <c r="AG130" s="20">
        <f t="shared" ca="1" si="33"/>
        <v>45918</v>
      </c>
      <c r="AH130" s="22">
        <f t="shared" ca="1" si="28"/>
        <v>45911</v>
      </c>
      <c r="AI130" s="22">
        <f t="shared" ca="1" si="29"/>
        <v>45904</v>
      </c>
      <c r="AJ130" s="22">
        <f t="shared" ca="1" si="30"/>
        <v>45889</v>
      </c>
      <c r="AK130" s="22">
        <f t="shared" ca="1" si="31"/>
        <v>45833</v>
      </c>
      <c r="AL130" s="22">
        <f t="shared" ca="1" si="32"/>
        <v>45744</v>
      </c>
    </row>
    <row r="131" spans="4:38" x14ac:dyDescent="0.25">
      <c r="D131" s="6">
        <f ca="1"/>
        <v>45917</v>
      </c>
      <c r="E131" s="28">
        <f ca="1"/>
        <v>214.29</v>
      </c>
      <c r="F131" s="29" cm="1">
        <f t="array" aca="1" ref="F131" ca="1">_xll.FDS($E$7,"P_BETA_LOCIDX("&amp;$AG131&amp;","&amp;$AL131&amp;",,"""&amp;$E$9&amp;""")")</f>
        <v>1.5866107</v>
      </c>
      <c r="G131" s="30">
        <f t="shared" ca="1" si="18"/>
        <v>-1.8966572531177887E-2</v>
      </c>
      <c r="H131" s="30">
        <f t="shared" ca="1" si="18"/>
        <v>-5.3944227898499016E-2</v>
      </c>
      <c r="I131" s="30">
        <f t="shared" ca="1" si="18"/>
        <v>-3.5630802996352032E-2</v>
      </c>
      <c r="J131" s="30">
        <f t="shared" ca="1" si="18"/>
        <v>2.6042202906425255E-2</v>
      </c>
      <c r="K131" s="30">
        <f t="shared" ca="1" si="19"/>
        <v>1.6592270855200146E-2</v>
      </c>
      <c r="L131" s="30">
        <f t="shared" ca="1" si="19"/>
        <v>3.7422129592014138E-2</v>
      </c>
      <c r="M131" s="30">
        <f t="shared" ca="1" si="19"/>
        <v>4.676655536741782E-2</v>
      </c>
      <c r="N131" s="30">
        <f t="shared" ca="1" si="19"/>
        <v>0.13234473692816037</v>
      </c>
      <c r="O131" s="30">
        <f t="shared" ca="1" si="20"/>
        <v>-2.3743016759777413E-3</v>
      </c>
      <c r="P131" s="30">
        <f t="shared" ca="1" si="21"/>
        <v>-1.6522098306484878E-2</v>
      </c>
      <c r="Q131" s="30">
        <f t="shared" ca="1" si="22"/>
        <v>1.1135752371065788E-2</v>
      </c>
      <c r="R131" s="30">
        <f t="shared" ca="1" si="23"/>
        <v>0.15838693983458563</v>
      </c>
      <c r="S131" s="9" cm="1">
        <f t="array" aca="1" ref="S131" ca="1">_xll.BDH($E$6,"PX LAST",AG131)</f>
        <v>214.29</v>
      </c>
      <c r="T131" s="9" cm="1">
        <f t="array" aca="1" ref="T131" ca="1">_xll.BDH($E$6,"PX LAST",AH131)</f>
        <v>214.8</v>
      </c>
      <c r="U131" s="9" cm="1">
        <f t="array" aca="1" ref="U131" ca="1">_xll.BDH($E$6,"PX LAST",AI131)</f>
        <v>217.89</v>
      </c>
      <c r="V131" s="9" cm="1">
        <f t="array" aca="1" ref="V131" ca="1">_xll.BDH($E$6,"PX LAST",AJ131)</f>
        <v>211.93</v>
      </c>
      <c r="W131" s="9" cm="1">
        <f t="array" aca="1" ref="W131" ca="1">_xll.BDH($E$6,"PX LAST",AK131)</f>
        <v>184.99</v>
      </c>
      <c r="X131" s="24">
        <f t="shared" ca="1" si="24"/>
        <v>1.0457682439176885E-2</v>
      </c>
      <c r="Y131" s="24">
        <f t="shared" ca="1" si="25"/>
        <v>2.3586207752168908E-2</v>
      </c>
      <c r="Z131" s="24">
        <f t="shared" ca="1" si="26"/>
        <v>2.9475759471064844E-2</v>
      </c>
      <c r="AA131" s="24">
        <f t="shared" ca="1" si="27"/>
        <v>8.3413490737305862E-2</v>
      </c>
      <c r="AB131" s="9" cm="1">
        <f t="array" aca="1" ref="AB131" ca="1">_xll.BDH($E$8,"PX LAST",AG131)</f>
        <v>6600.35</v>
      </c>
      <c r="AC131" s="9" cm="1">
        <f t="array" aca="1" ref="AC131" ca="1">_xll.BDH($E$8,"PX LAST",AH131)</f>
        <v>6532.04</v>
      </c>
      <c r="AD131" s="9" cm="1">
        <f t="array" aca="1" ref="AD131" ca="1">_xll.BDH($E$8,"PX LAST",AI131)</f>
        <v>6448.26</v>
      </c>
      <c r="AE131" s="9" cm="1">
        <f t="array" aca="1" ref="AE131" ca="1">_xll.BDH($E$8,"PX LAST",AJ131)</f>
        <v>6411.37</v>
      </c>
      <c r="AF131" s="9" cm="1">
        <f t="array" aca="1" ref="AF131" ca="1">_xll.BDH($E$8,"PX LAST",AK131)</f>
        <v>6092.18</v>
      </c>
      <c r="AG131" s="20">
        <f t="shared" ca="1" si="33"/>
        <v>45917</v>
      </c>
      <c r="AH131" s="22">
        <f t="shared" ca="1" si="28"/>
        <v>45910</v>
      </c>
      <c r="AI131" s="22">
        <f t="shared" ca="1" si="29"/>
        <v>45903</v>
      </c>
      <c r="AJ131" s="22">
        <f t="shared" ca="1" si="30"/>
        <v>45888</v>
      </c>
      <c r="AK131" s="22">
        <f t="shared" ca="1" si="31"/>
        <v>45832</v>
      </c>
      <c r="AL131" s="22">
        <f t="shared" ca="1" si="32"/>
        <v>45743</v>
      </c>
    </row>
    <row r="132" spans="4:38" x14ac:dyDescent="0.25">
      <c r="D132" s="6">
        <f ca="1"/>
        <v>45916</v>
      </c>
      <c r="E132" s="28">
        <f ca="1"/>
        <v>216</v>
      </c>
      <c r="F132" s="29" cm="1">
        <f t="array" aca="1" ref="F132" ca="1">_xll.FDS($E$7,"P_BETA_LOCIDX("&amp;$AG132&amp;","&amp;$AL132&amp;",,"""&amp;$E$9&amp;""")")</f>
        <v>1.5824800999999999</v>
      </c>
      <c r="G132" s="30">
        <f t="shared" ca="1" si="18"/>
        <v>-7.0758793669906707E-3</v>
      </c>
      <c r="H132" s="30">
        <f t="shared" ca="1" si="18"/>
        <v>-6.0865640976603887E-2</v>
      </c>
      <c r="I132" s="30">
        <f t="shared" ca="1" si="18"/>
        <v>-9.4164402369669789E-3</v>
      </c>
      <c r="J132" s="30">
        <f t="shared" ca="1" si="18"/>
        <v>4.0552596906716976E-2</v>
      </c>
      <c r="K132" s="30">
        <f t="shared" ca="1" si="19"/>
        <v>2.2877233768796527E-2</v>
      </c>
      <c r="L132" s="30">
        <f t="shared" ca="1" si="19"/>
        <v>4.7167010839617531E-2</v>
      </c>
      <c r="M132" s="30">
        <f t="shared" ca="1" si="19"/>
        <v>3.8674040541932138E-2</v>
      </c>
      <c r="N132" s="30">
        <f t="shared" ca="1" si="19"/>
        <v>0.15275164042823686</v>
      </c>
      <c r="O132" s="30">
        <f t="shared" ca="1" si="20"/>
        <v>1.5801354401805856E-2</v>
      </c>
      <c r="P132" s="30">
        <f t="shared" ca="1" si="21"/>
        <v>-1.3698630136986356E-2</v>
      </c>
      <c r="Q132" s="30">
        <f t="shared" ca="1" si="22"/>
        <v>2.9257600304965159E-2</v>
      </c>
      <c r="R132" s="30">
        <f t="shared" ca="1" si="23"/>
        <v>0.19330423733495383</v>
      </c>
      <c r="S132" s="9" cm="1">
        <f t="array" aca="1" ref="S132" ca="1">_xll.BDH($E$6,"PX LAST",AG132)</f>
        <v>216</v>
      </c>
      <c r="T132" s="9" cm="1">
        <f t="array" aca="1" ref="T132" ca="1">_xll.BDH($E$6,"PX LAST",AH132)</f>
        <v>212.64</v>
      </c>
      <c r="U132" s="9" cm="1">
        <f t="array" aca="1" ref="U132" ca="1">_xll.BDH($E$6,"PX LAST",AI132)</f>
        <v>219</v>
      </c>
      <c r="V132" s="9" cm="1">
        <f t="array" aca="1" ref="V132" ca="1">_xll.BDH($E$6,"PX LAST",AJ132)</f>
        <v>209.86</v>
      </c>
      <c r="W132" s="9" cm="1">
        <f t="array" aca="1" ref="W132" ca="1">_xll.BDH($E$6,"PX LAST",AK132)</f>
        <v>181.01</v>
      </c>
      <c r="X132" s="24">
        <f t="shared" ca="1" si="24"/>
        <v>1.4456569639514916E-2</v>
      </c>
      <c r="Y132" s="24">
        <f t="shared" ca="1" si="25"/>
        <v>2.9805752906224559E-2</v>
      </c>
      <c r="Z132" s="24">
        <f t="shared" ca="1" si="26"/>
        <v>2.4438879542265424E-2</v>
      </c>
      <c r="AA132" s="24">
        <f t="shared" ca="1" si="27"/>
        <v>9.6526737004930974E-2</v>
      </c>
      <c r="AB132" s="9" cm="1">
        <f t="array" aca="1" ref="AB132" ca="1">_xll.BDH($E$8,"PX LAST",AG132)</f>
        <v>6606.76</v>
      </c>
      <c r="AC132" s="9" cm="1">
        <f t="array" aca="1" ref="AC132" ca="1">_xll.BDH($E$8,"PX LAST",AH132)</f>
        <v>6512.61</v>
      </c>
      <c r="AD132" s="9" cm="1">
        <f t="array" aca="1" ref="AD132" ca="1">_xll.BDH($E$8,"PX LAST",AI132)</f>
        <v>6415.54</v>
      </c>
      <c r="AE132" s="9" cm="1">
        <f t="array" aca="1" ref="AE132" ca="1">_xll.BDH($E$8,"PX LAST",AJ132)</f>
        <v>6449.15</v>
      </c>
      <c r="AF132" s="9" cm="1">
        <f t="array" aca="1" ref="AF132" ca="1">_xll.BDH($E$8,"PX LAST",AK132)</f>
        <v>6025.17</v>
      </c>
      <c r="AG132" s="20">
        <f t="shared" ca="1" si="33"/>
        <v>45916</v>
      </c>
      <c r="AH132" s="22">
        <f t="shared" ca="1" si="28"/>
        <v>45909</v>
      </c>
      <c r="AI132" s="22">
        <f t="shared" ca="1" si="29"/>
        <v>45902</v>
      </c>
      <c r="AJ132" s="22">
        <f t="shared" ca="1" si="30"/>
        <v>45887</v>
      </c>
      <c r="AK132" s="22">
        <f t="shared" ca="1" si="31"/>
        <v>45831</v>
      </c>
      <c r="AL132" s="22">
        <f t="shared" ca="1" si="32"/>
        <v>45742</v>
      </c>
    </row>
    <row r="133" spans="4:38" x14ac:dyDescent="0.25">
      <c r="D133" s="6">
        <f ca="1"/>
        <v>45915</v>
      </c>
      <c r="E133" s="28">
        <f ca="1"/>
        <v>214.72</v>
      </c>
      <c r="F133" s="29" cm="1">
        <f t="array" aca="1" ref="F133" ca="1">_xll.FDS($E$7,"P_BETA_LOCIDX("&amp;$AG133&amp;","&amp;$AL133&amp;",,"""&amp;$E$9&amp;""")")</f>
        <v>1.5830679000000001</v>
      </c>
      <c r="G133" s="30">
        <f t="shared" ca="1" si="18"/>
        <v>-4.3601815687951337E-2</v>
      </c>
      <c r="H133" s="30">
        <f t="shared" ca="1" si="18"/>
        <v>-6.1276864775476406E-2</v>
      </c>
      <c r="I133" s="30">
        <f t="shared" ca="1" si="18"/>
        <v>6.0196164073576114E-4</v>
      </c>
      <c r="J133" s="30">
        <f t="shared" ca="1" si="18"/>
        <v>3.3599982647106341E-2</v>
      </c>
      <c r="K133" s="30">
        <f t="shared" ca="1" si="19"/>
        <v>2.927937720098843E-2</v>
      </c>
      <c r="L133" s="30">
        <f t="shared" ca="1" si="19"/>
        <v>3.7987199564413834E-2</v>
      </c>
      <c r="M133" s="30">
        <f t="shared" ca="1" si="19"/>
        <v>4.0616154933796243E-2</v>
      </c>
      <c r="N133" s="30">
        <f t="shared" ca="1" si="19"/>
        <v>0.17174412872597106</v>
      </c>
      <c r="O133" s="30">
        <f t="shared" ca="1" si="20"/>
        <v>-1.4322438486962907E-2</v>
      </c>
      <c r="P133" s="30">
        <f t="shared" ca="1" si="21"/>
        <v>-2.3289665211062571E-2</v>
      </c>
      <c r="Q133" s="30">
        <f t="shared" ca="1" si="22"/>
        <v>4.1218116574532004E-2</v>
      </c>
      <c r="R133" s="30">
        <f t="shared" ca="1" si="23"/>
        <v>0.2053441113730774</v>
      </c>
      <c r="S133" s="9" cm="1">
        <f t="array" aca="1" ref="S133" ca="1">_xll.BDH($E$6,"PX LAST",AG133)</f>
        <v>214.72</v>
      </c>
      <c r="T133" s="9" cm="1">
        <f t="array" aca="1" ref="T133" ca="1">_xll.BDH($E$6,"PX LAST",AH133)</f>
        <v>217.84</v>
      </c>
      <c r="U133" s="9" cm="1">
        <f t="array" aca="1" ref="U133" ca="1">_xll.BDH($E$6,"PX LAST",AI133)</f>
        <v>219.84</v>
      </c>
      <c r="V133" s="9" cm="1">
        <f t="array" aca="1" ref="V133" ca="1">_xll.BDH($E$6,"PX LAST",AJ133)</f>
        <v>206.22</v>
      </c>
      <c r="W133" s="9" cm="1">
        <f t="array" aca="1" ref="W133" ca="1">_xll.BDH($E$6,"PX LAST",AK133)</f>
        <v>178.14</v>
      </c>
      <c r="X133" s="24">
        <f t="shared" ca="1" si="24"/>
        <v>1.8495338829742192E-2</v>
      </c>
      <c r="Y133" s="24">
        <f t="shared" ca="1" si="25"/>
        <v>2.3995938243971615E-2</v>
      </c>
      <c r="Z133" s="24">
        <f t="shared" ca="1" si="26"/>
        <v>2.5656609507271444E-2</v>
      </c>
      <c r="AA133" s="24">
        <f t="shared" ca="1" si="27"/>
        <v>0.10848816322153398</v>
      </c>
      <c r="AB133" s="9" cm="1">
        <f t="array" aca="1" ref="AB133" ca="1">_xll.BDH($E$8,"PX LAST",AG133)</f>
        <v>6615.28</v>
      </c>
      <c r="AC133" s="9" cm="1">
        <f t="array" aca="1" ref="AC133" ca="1">_xll.BDH($E$8,"PX LAST",AH133)</f>
        <v>6495.15</v>
      </c>
      <c r="AD133" s="9" cm="1">
        <f t="array" aca="1" ref="AD133" ca="1">_xll.BDH($E$8,"PX LAST",AI133)</f>
        <v>6460.26</v>
      </c>
      <c r="AE133" s="9" cm="1">
        <f t="array" aca="1" ref="AE133" ca="1">_xll.BDH($E$8,"PX LAST",AJ133)</f>
        <v>6449.8</v>
      </c>
      <c r="AF133" s="9" cm="1">
        <f t="array" aca="1" ref="AF133" ca="1">_xll.BDH($E$8,"PX LAST",AK133)</f>
        <v>5967.84</v>
      </c>
      <c r="AG133" s="20">
        <f t="shared" ca="1" si="33"/>
        <v>45915</v>
      </c>
      <c r="AH133" s="22">
        <f t="shared" ca="1" si="28"/>
        <v>45908</v>
      </c>
      <c r="AI133" s="22">
        <f t="shared" ca="1" si="29"/>
        <v>45898</v>
      </c>
      <c r="AJ133" s="22">
        <f t="shared" ca="1" si="30"/>
        <v>45884</v>
      </c>
      <c r="AK133" s="22">
        <f t="shared" ca="1" si="31"/>
        <v>45828</v>
      </c>
      <c r="AL133" s="22">
        <f t="shared" ca="1" si="32"/>
        <v>45741</v>
      </c>
    </row>
    <row r="134" spans="4:38" x14ac:dyDescent="0.25">
      <c r="D134" s="6">
        <f ca="1"/>
        <v>45912</v>
      </c>
      <c r="E134" s="28">
        <f ca="1"/>
        <v>214.64</v>
      </c>
      <c r="F134" s="29" cm="1">
        <f t="array" aca="1" ref="F134" ca="1">_xll.FDS($E$7,"P_BETA_LOCIDX("&amp;$AG134&amp;","&amp;$AL134&amp;",,"""&amp;$E$9&amp;""")")</f>
        <v>1.5897161</v>
      </c>
      <c r="G134" s="30">
        <f t="shared" ca="1" si="18"/>
        <v>-4.5924849774401907E-2</v>
      </c>
      <c r="H134" s="30">
        <f t="shared" ca="1" si="18"/>
        <v>-6.8356132217065685E-2</v>
      </c>
      <c r="I134" s="30">
        <f t="shared" ca="1" si="18"/>
        <v>-1.0278839362957669E-2</v>
      </c>
      <c r="J134" s="30">
        <f t="shared" ca="1" si="18"/>
        <v>5.4325082705514699E-2</v>
      </c>
      <c r="K134" s="30">
        <f t="shared" ca="1" si="19"/>
        <v>2.52112810181284E-2</v>
      </c>
      <c r="L134" s="30">
        <f t="shared" ca="1" si="19"/>
        <v>2.0154278640727583E-2</v>
      </c>
      <c r="M134" s="30">
        <f t="shared" ca="1" si="19"/>
        <v>2.8446857957900994E-2</v>
      </c>
      <c r="N134" s="30">
        <f t="shared" ca="1" si="19"/>
        <v>0.16038912216149162</v>
      </c>
      <c r="O134" s="30">
        <f t="shared" ca="1" si="20"/>
        <v>-2.0713568756273504E-2</v>
      </c>
      <c r="P134" s="30">
        <f t="shared" ca="1" si="21"/>
        <v>-4.8201853576338105E-2</v>
      </c>
      <c r="Q134" s="30">
        <f t="shared" ca="1" si="22"/>
        <v>1.8168018594943325E-2</v>
      </c>
      <c r="R134" s="30">
        <f t="shared" ca="1" si="23"/>
        <v>0.21471420486700632</v>
      </c>
      <c r="S134" s="9" cm="1">
        <f t="array" aca="1" ref="S134" ca="1">_xll.BDH($E$6,"PX LAST",AG134)</f>
        <v>214.64</v>
      </c>
      <c r="T134" s="9" cm="1">
        <f t="array" aca="1" ref="T134" ca="1">_xll.BDH($E$6,"PX LAST",AH134)</f>
        <v>219.18</v>
      </c>
      <c r="U134" s="9" cm="1">
        <f t="array" aca="1" ref="U134" ca="1">_xll.BDH($E$6,"PX LAST",AI134)</f>
        <v>225.51</v>
      </c>
      <c r="V134" s="9" cm="1">
        <f t="array" aca="1" ref="V134" ca="1">_xll.BDH($E$6,"PX LAST",AJ134)</f>
        <v>210.81</v>
      </c>
      <c r="W134" s="9" cm="1">
        <f t="array" aca="1" ref="W134" ca="1">_xll.BDH($E$6,"PX LAST",AK134)</f>
        <v>176.7</v>
      </c>
      <c r="X134" s="24">
        <f t="shared" ca="1" si="24"/>
        <v>1.5858983260047754E-2</v>
      </c>
      <c r="Y134" s="24">
        <f t="shared" ca="1" si="25"/>
        <v>1.2677910628650979E-2</v>
      </c>
      <c r="Z134" s="24">
        <f t="shared" ca="1" si="26"/>
        <v>1.7894300723192647E-2</v>
      </c>
      <c r="AA134" s="24">
        <f t="shared" ca="1" si="27"/>
        <v>0.10089167629458595</v>
      </c>
      <c r="AB134" s="9" cm="1">
        <f t="array" aca="1" ref="AB134" ca="1">_xll.BDH($E$8,"PX LAST",AG134)</f>
        <v>6584.29</v>
      </c>
      <c r="AC134" s="9" cm="1">
        <f t="array" aca="1" ref="AC134" ca="1">_xll.BDH($E$8,"PX LAST",AH134)</f>
        <v>6481.5</v>
      </c>
      <c r="AD134" s="9" cm="1">
        <f t="array" aca="1" ref="AD134" ca="1">_xll.BDH($E$8,"PX LAST",AI134)</f>
        <v>6501.86</v>
      </c>
      <c r="AE134" s="9" cm="1">
        <f t="array" aca="1" ref="AE134" ca="1">_xll.BDH($E$8,"PX LAST",AJ134)</f>
        <v>6468.54</v>
      </c>
      <c r="AF134" s="9" cm="1">
        <f t="array" aca="1" ref="AF134" ca="1">_xll.BDH($E$8,"PX LAST",AK134)</f>
        <v>5980.87</v>
      </c>
      <c r="AG134" s="20">
        <f t="shared" ca="1" si="33"/>
        <v>45912</v>
      </c>
      <c r="AH134" s="22">
        <f t="shared" ca="1" si="28"/>
        <v>45905</v>
      </c>
      <c r="AI134" s="22">
        <f t="shared" ca="1" si="29"/>
        <v>45897</v>
      </c>
      <c r="AJ134" s="22">
        <f t="shared" ca="1" si="30"/>
        <v>45883</v>
      </c>
      <c r="AK134" s="22">
        <f t="shared" ca="1" si="31"/>
        <v>45826</v>
      </c>
      <c r="AL134" s="22">
        <f t="shared" ca="1" si="32"/>
        <v>45740</v>
      </c>
    </row>
    <row r="135" spans="4:38" x14ac:dyDescent="0.25">
      <c r="D135" s="6">
        <f ca="1"/>
        <v>45911</v>
      </c>
      <c r="E135" s="28">
        <f ca="1"/>
        <v>220.5</v>
      </c>
      <c r="F135" s="29" cm="1">
        <f t="array" aca="1" ref="F135" ca="1">_xll.FDS($E$7,"P_BETA_LOCIDX("&amp;$AG135&amp;","&amp;$AL135&amp;",,"""&amp;$E$9&amp;""")")</f>
        <v>1.5881149000000001</v>
      </c>
      <c r="G135" s="30">
        <f t="shared" ca="1" si="18"/>
        <v>-1.1102182172572191E-2</v>
      </c>
      <c r="H135" s="30">
        <f t="shared" ca="1" si="18"/>
        <v>-5.5436681799172854E-2</v>
      </c>
      <c r="I135" s="30">
        <f t="shared" ca="1" si="18"/>
        <v>-6.1073016242429237E-3</v>
      </c>
      <c r="J135" s="30">
        <f t="shared" ca="1" si="18"/>
        <v>0.12540815422111817</v>
      </c>
      <c r="K135" s="30">
        <f t="shared" ca="1" si="19"/>
        <v>2.0856269272448432E-2</v>
      </c>
      <c r="L135" s="30">
        <f t="shared" ca="1" si="19"/>
        <v>2.5989963193600391E-2</v>
      </c>
      <c r="M135" s="30">
        <f t="shared" ca="1" si="19"/>
        <v>2.9689141750507998E-2</v>
      </c>
      <c r="N135" s="30">
        <f t="shared" ca="1" si="19"/>
        <v>0.16053107713130499</v>
      </c>
      <c r="O135" s="30">
        <f t="shared" ca="1" si="20"/>
        <v>9.7540870998762408E-3</v>
      </c>
      <c r="P135" s="30">
        <f t="shared" ca="1" si="21"/>
        <v>-2.9446718605572464E-2</v>
      </c>
      <c r="Q135" s="30">
        <f t="shared" ca="1" si="22"/>
        <v>2.3581840126265075E-2</v>
      </c>
      <c r="R135" s="30">
        <f t="shared" ca="1" si="23"/>
        <v>0.28593923135242316</v>
      </c>
      <c r="S135" s="9" cm="1">
        <f t="array" aca="1" ref="S135" ca="1">_xll.BDH($E$6,"PX LAST",AG135)</f>
        <v>220.5</v>
      </c>
      <c r="T135" s="9" cm="1">
        <f t="array" aca="1" ref="T135" ca="1">_xll.BDH($E$6,"PX LAST",AH135)</f>
        <v>218.37</v>
      </c>
      <c r="U135" s="9" cm="1">
        <f t="array" aca="1" ref="U135" ca="1">_xll.BDH($E$6,"PX LAST",AI135)</f>
        <v>227.19</v>
      </c>
      <c r="V135" s="9" cm="1">
        <f t="array" aca="1" ref="V135" ca="1">_xll.BDH($E$6,"PX LAST",AJ135)</f>
        <v>215.42</v>
      </c>
      <c r="W135" s="9" cm="1">
        <f t="array" aca="1" ref="W135" ca="1">_xll.BDH($E$6,"PX LAST",AK135)</f>
        <v>171.47</v>
      </c>
      <c r="X135" s="24">
        <f t="shared" ca="1" si="24"/>
        <v>1.3132720606329196E-2</v>
      </c>
      <c r="Y135" s="24">
        <f t="shared" ca="1" si="25"/>
        <v>1.6365291449378372E-2</v>
      </c>
      <c r="Z135" s="24">
        <f t="shared" ca="1" si="26"/>
        <v>1.8694580442830677E-2</v>
      </c>
      <c r="AA135" s="24">
        <f t="shared" ca="1" si="27"/>
        <v>0.1010827850877194</v>
      </c>
      <c r="AB135" s="9" cm="1">
        <f t="array" aca="1" ref="AB135" ca="1">_xll.BDH($E$8,"PX LAST",AG135)</f>
        <v>6587.47</v>
      </c>
      <c r="AC135" s="9" cm="1">
        <f t="array" aca="1" ref="AC135" ca="1">_xll.BDH($E$8,"PX LAST",AH135)</f>
        <v>6502.08</v>
      </c>
      <c r="AD135" s="9" cm="1">
        <f t="array" aca="1" ref="AD135" ca="1">_xll.BDH($E$8,"PX LAST",AI135)</f>
        <v>6481.4</v>
      </c>
      <c r="AE135" s="9" cm="1">
        <f t="array" aca="1" ref="AE135" ca="1">_xll.BDH($E$8,"PX LAST",AJ135)</f>
        <v>6466.58</v>
      </c>
      <c r="AF135" s="9" cm="1">
        <f t="array" aca="1" ref="AF135" ca="1">_xll.BDH($E$8,"PX LAST",AK135)</f>
        <v>5982.72</v>
      </c>
      <c r="AG135" s="20">
        <f t="shared" ca="1" si="33"/>
        <v>45911</v>
      </c>
      <c r="AH135" s="22">
        <f t="shared" ca="1" si="28"/>
        <v>45904</v>
      </c>
      <c r="AI135" s="22">
        <f t="shared" ca="1" si="29"/>
        <v>45896</v>
      </c>
      <c r="AJ135" s="22">
        <f t="shared" ca="1" si="30"/>
        <v>45882</v>
      </c>
      <c r="AK135" s="22">
        <f t="shared" ca="1" si="31"/>
        <v>45825</v>
      </c>
      <c r="AL135" s="22">
        <f t="shared" ca="1" si="32"/>
        <v>45737</v>
      </c>
    </row>
    <row r="136" spans="4:38" x14ac:dyDescent="0.25">
      <c r="D136" s="6">
        <f ca="1"/>
        <v>45910</v>
      </c>
      <c r="E136" s="28">
        <f ca="1"/>
        <v>214.8</v>
      </c>
      <c r="F136" s="29" cm="1">
        <f t="array" aca="1" ref="F136" ca="1">_xll.FDS($E$7,"P_BETA_LOCIDX("&amp;$AG136&amp;","&amp;$AL136&amp;",,"""&amp;$E$9&amp;""")")</f>
        <v>1.5850957999999999</v>
      </c>
      <c r="G136" s="30">
        <f t="shared" ca="1" si="18"/>
        <v>-3.4776066275158779E-2</v>
      </c>
      <c r="H136" s="30">
        <f t="shared" ca="1" si="18"/>
        <v>-6.7817872323537698E-2</v>
      </c>
      <c r="I136" s="30">
        <f t="shared" ca="1" si="18"/>
        <v>-4.5088912645612905E-3</v>
      </c>
      <c r="J136" s="30">
        <f t="shared" ca="1" si="18"/>
        <v>8.8814776394542383E-2</v>
      </c>
      <c r="K136" s="30">
        <f t="shared" ca="1" si="19"/>
        <v>2.0594598562092611E-2</v>
      </c>
      <c r="L136" s="30">
        <f t="shared" ca="1" si="19"/>
        <v>1.620411454173714E-2</v>
      </c>
      <c r="M136" s="30">
        <f t="shared" ca="1" si="19"/>
        <v>2.1217368568485176E-2</v>
      </c>
      <c r="N136" s="30">
        <f t="shared" ca="1" si="19"/>
        <v>0.13108526903935136</v>
      </c>
      <c r="O136" s="30">
        <f t="shared" ca="1" si="20"/>
        <v>-1.4181467713066165E-2</v>
      </c>
      <c r="P136" s="30">
        <f t="shared" ca="1" si="21"/>
        <v>-5.1613757781800551E-2</v>
      </c>
      <c r="Q136" s="30">
        <f t="shared" ca="1" si="22"/>
        <v>1.6708477303923885E-2</v>
      </c>
      <c r="R136" s="30">
        <f t="shared" ca="1" si="23"/>
        <v>0.21990004543389374</v>
      </c>
      <c r="S136" s="9" cm="1">
        <f t="array" aca="1" ref="S136" ca="1">_xll.BDH($E$6,"PX LAST",AG136)</f>
        <v>214.8</v>
      </c>
      <c r="T136" s="9" cm="1">
        <f t="array" aca="1" ref="T136" ca="1">_xll.BDH($E$6,"PX LAST",AH136)</f>
        <v>217.89</v>
      </c>
      <c r="U136" s="9" cm="1">
        <f t="array" aca="1" ref="U136" ca="1">_xll.BDH($E$6,"PX LAST",AI136)</f>
        <v>226.49</v>
      </c>
      <c r="V136" s="9" cm="1">
        <f t="array" aca="1" ref="V136" ca="1">_xll.BDH($E$6,"PX LAST",AJ136)</f>
        <v>211.27</v>
      </c>
      <c r="W136" s="9" cm="1">
        <f t="array" aca="1" ref="W136" ca="1">_xll.BDH($E$6,"PX LAST",AK136)</f>
        <v>176.08</v>
      </c>
      <c r="X136" s="24">
        <f t="shared" ca="1" si="24"/>
        <v>1.2992652281390571E-2</v>
      </c>
      <c r="Y136" s="24">
        <f t="shared" ca="1" si="25"/>
        <v>1.0222798231966257E-2</v>
      </c>
      <c r="Z136" s="24">
        <f t="shared" ca="1" si="26"/>
        <v>1.3385543364940578E-2</v>
      </c>
      <c r="AA136" s="24">
        <f t="shared" ca="1" si="27"/>
        <v>8.2698641330922307E-2</v>
      </c>
      <c r="AB136" s="9" cm="1">
        <f t="array" aca="1" ref="AB136" ca="1">_xll.BDH($E$8,"PX LAST",AG136)</f>
        <v>6532.04</v>
      </c>
      <c r="AC136" s="9" cm="1">
        <f t="array" aca="1" ref="AC136" ca="1">_xll.BDH($E$8,"PX LAST",AH136)</f>
        <v>6448.26</v>
      </c>
      <c r="AD136" s="9" cm="1">
        <f t="array" aca="1" ref="AD136" ca="1">_xll.BDH($E$8,"PX LAST",AI136)</f>
        <v>6465.94</v>
      </c>
      <c r="AE136" s="9" cm="1">
        <f t="array" aca="1" ref="AE136" ca="1">_xll.BDH($E$8,"PX LAST",AJ136)</f>
        <v>6445.76</v>
      </c>
      <c r="AF136" s="9" cm="1">
        <f t="array" aca="1" ref="AF136" ca="1">_xll.BDH($E$8,"PX LAST",AK136)</f>
        <v>6033.11</v>
      </c>
      <c r="AG136" s="20">
        <f t="shared" ca="1" si="33"/>
        <v>45910</v>
      </c>
      <c r="AH136" s="22">
        <f t="shared" ca="1" si="28"/>
        <v>45903</v>
      </c>
      <c r="AI136" s="22">
        <f t="shared" ca="1" si="29"/>
        <v>45895</v>
      </c>
      <c r="AJ136" s="22">
        <f t="shared" ca="1" si="30"/>
        <v>45881</v>
      </c>
      <c r="AK136" s="22">
        <f t="shared" ca="1" si="31"/>
        <v>45824</v>
      </c>
      <c r="AL136" s="22">
        <f t="shared" ca="1" si="32"/>
        <v>45736</v>
      </c>
    </row>
    <row r="137" spans="4:38" x14ac:dyDescent="0.25">
      <c r="D137" s="6">
        <f ca="1"/>
        <v>45909</v>
      </c>
      <c r="E137" s="28">
        <f ca="1"/>
        <v>212.64</v>
      </c>
      <c r="F137" s="29" cm="1">
        <f t="array" aca="1" ref="F137" ca="1">_xll.FDS($E$7,"P_BETA_LOCIDX("&amp;$AG137&amp;","&amp;$AL137&amp;",,"""&amp;$E$9&amp;""")")</f>
        <v>1.5888001</v>
      </c>
      <c r="G137" s="30">
        <f t="shared" ca="1" si="18"/>
        <v>-5.3080354582118766E-2</v>
      </c>
      <c r="H137" s="30">
        <f t="shared" ca="1" si="18"/>
        <v>-7.0827265064496617E-2</v>
      </c>
      <c r="I137" s="30">
        <f t="shared" ca="1" si="18"/>
        <v>9.9669492904218629E-3</v>
      </c>
      <c r="J137" s="30">
        <f t="shared" ca="1" si="18"/>
        <v>8.4833639039940678E-2</v>
      </c>
      <c r="K137" s="30">
        <f t="shared" ca="1" si="19"/>
        <v>2.4039258691707723E-2</v>
      </c>
      <c r="L137" s="30">
        <f t="shared" ca="1" si="19"/>
        <v>1.8083145321089639E-2</v>
      </c>
      <c r="M137" s="30">
        <f t="shared" ca="1" si="19"/>
        <v>3.4690383060351875E-2</v>
      </c>
      <c r="N137" s="30">
        <f t="shared" ca="1" si="19"/>
        <v>0.14238399817365655</v>
      </c>
      <c r="O137" s="30">
        <f t="shared" ca="1" si="20"/>
        <v>-2.9041095890411039E-2</v>
      </c>
      <c r="P137" s="30">
        <f t="shared" ca="1" si="21"/>
        <v>-5.2744119743406981E-2</v>
      </c>
      <c r="Q137" s="30">
        <f t="shared" ca="1" si="22"/>
        <v>4.4657332350773737E-2</v>
      </c>
      <c r="R137" s="30">
        <f t="shared" ca="1" si="23"/>
        <v>0.22721763721359722</v>
      </c>
      <c r="S137" s="9" cm="1">
        <f t="array" aca="1" ref="S137" ca="1">_xll.BDH($E$6,"PX LAST",AG137)</f>
        <v>212.64</v>
      </c>
      <c r="T137" s="9" cm="1">
        <f t="array" aca="1" ref="T137" ca="1">_xll.BDH($E$6,"PX LAST",AH137)</f>
        <v>219</v>
      </c>
      <c r="U137" s="9" cm="1">
        <f t="array" aca="1" ref="U137" ca="1">_xll.BDH($E$6,"PX LAST",AI137)</f>
        <v>224.48</v>
      </c>
      <c r="V137" s="9" cm="1">
        <f t="array" aca="1" ref="V137" ca="1">_xll.BDH($E$6,"PX LAST",AJ137)</f>
        <v>203.55</v>
      </c>
      <c r="W137" s="9" cm="1">
        <f t="array" aca="1" ref="W137" ca="1">_xll.BDH($E$6,"PX LAST",AK137)</f>
        <v>173.27</v>
      </c>
      <c r="X137" s="24">
        <f t="shared" ca="1" si="24"/>
        <v>1.5130448878815983E-2</v>
      </c>
      <c r="Y137" s="24">
        <f t="shared" ca="1" si="25"/>
        <v>1.1381636570320985E-2</v>
      </c>
      <c r="Z137" s="24">
        <f t="shared" ca="1" si="26"/>
        <v>2.1834328346499898E-2</v>
      </c>
      <c r="AA137" s="24">
        <f t="shared" ca="1" si="27"/>
        <v>8.9617314458663833E-2</v>
      </c>
      <c r="AB137" s="9" cm="1">
        <f t="array" aca="1" ref="AB137" ca="1">_xll.BDH($E$8,"PX LAST",AG137)</f>
        <v>6512.61</v>
      </c>
      <c r="AC137" s="9" cm="1">
        <f t="array" aca="1" ref="AC137" ca="1">_xll.BDH($E$8,"PX LAST",AH137)</f>
        <v>6415.54</v>
      </c>
      <c r="AD137" s="9" cm="1">
        <f t="array" aca="1" ref="AD137" ca="1">_xll.BDH($E$8,"PX LAST",AI137)</f>
        <v>6439.32</v>
      </c>
      <c r="AE137" s="9" cm="1">
        <f t="array" aca="1" ref="AE137" ca="1">_xll.BDH($E$8,"PX LAST",AJ137)</f>
        <v>6373.45</v>
      </c>
      <c r="AF137" s="9" cm="1">
        <f t="array" aca="1" ref="AF137" ca="1">_xll.BDH($E$8,"PX LAST",AK137)</f>
        <v>5976.97</v>
      </c>
      <c r="AG137" s="20">
        <f t="shared" ca="1" si="33"/>
        <v>45909</v>
      </c>
      <c r="AH137" s="22">
        <f t="shared" ca="1" si="28"/>
        <v>45902</v>
      </c>
      <c r="AI137" s="22">
        <f t="shared" ca="1" si="29"/>
        <v>45894</v>
      </c>
      <c r="AJ137" s="22">
        <f t="shared" ca="1" si="30"/>
        <v>45880</v>
      </c>
      <c r="AK137" s="22">
        <f t="shared" ca="1" si="31"/>
        <v>45821</v>
      </c>
      <c r="AL137" s="22">
        <f t="shared" ca="1" si="32"/>
        <v>45735</v>
      </c>
    </row>
    <row r="138" spans="4:38" x14ac:dyDescent="0.25">
      <c r="D138" s="6">
        <f ca="1"/>
        <v>45908</v>
      </c>
      <c r="E138" s="28">
        <f ca="1"/>
        <v>217.84</v>
      </c>
      <c r="F138" s="29" cm="1">
        <f t="array" aca="1" ref="F138" ca="1">_xll.FDS($E$7,"P_BETA_LOCIDX("&amp;$AG138&amp;","&amp;$AL138&amp;",,"""&amp;$E$9&amp;""")")</f>
        <v>1.5886229999999999</v>
      </c>
      <c r="G138" s="30">
        <f t="shared" ca="1" si="18"/>
        <v>-1.7677219861532156E-2</v>
      </c>
      <c r="H138" s="30">
        <f t="shared" ca="1" si="18"/>
        <v>-2.6559234173098811E-2</v>
      </c>
      <c r="I138" s="30">
        <f t="shared" ca="1" si="18"/>
        <v>4.0099055776496292E-2</v>
      </c>
      <c r="J138" s="30">
        <f t="shared" ca="1" si="18"/>
        <v>0.11411001983699917</v>
      </c>
      <c r="K138" s="30">
        <f t="shared" ca="1" si="19"/>
        <v>8.5796943884608561E-3</v>
      </c>
      <c r="L138" s="30">
        <f t="shared" ca="1" si="19"/>
        <v>6.9372719768792225E-3</v>
      </c>
      <c r="M138" s="30">
        <f t="shared" ca="1" si="19"/>
        <v>2.6280423369773449E-2</v>
      </c>
      <c r="N138" s="30">
        <f t="shared" ca="1" si="19"/>
        <v>0.11822578374958229</v>
      </c>
      <c r="O138" s="30">
        <f t="shared" ca="1" si="20"/>
        <v>-9.0975254730712996E-3</v>
      </c>
      <c r="P138" s="30">
        <f t="shared" ca="1" si="21"/>
        <v>-1.9621962196219589E-2</v>
      </c>
      <c r="Q138" s="30">
        <f t="shared" ca="1" si="22"/>
        <v>6.6379479146269738E-2</v>
      </c>
      <c r="R138" s="30">
        <f t="shared" ca="1" si="23"/>
        <v>0.23233580358658146</v>
      </c>
      <c r="S138" s="9" cm="1">
        <f t="array" aca="1" ref="S138" ca="1">_xll.BDH($E$6,"PX LAST",AG138)</f>
        <v>217.84</v>
      </c>
      <c r="T138" s="9" cm="1">
        <f t="array" aca="1" ref="T138" ca="1">_xll.BDH($E$6,"PX LAST",AH138)</f>
        <v>219.84</v>
      </c>
      <c r="U138" s="9" cm="1">
        <f t="array" aca="1" ref="U138" ca="1">_xll.BDH($E$6,"PX LAST",AI138)</f>
        <v>222.2</v>
      </c>
      <c r="V138" s="9" cm="1">
        <f t="array" aca="1" ref="V138" ca="1">_xll.BDH($E$6,"PX LAST",AJ138)</f>
        <v>204.28</v>
      </c>
      <c r="W138" s="9" cm="1">
        <f t="array" aca="1" ref="W138" ca="1">_xll.BDH($E$6,"PX LAST",AK138)</f>
        <v>176.77</v>
      </c>
      <c r="X138" s="24">
        <f t="shared" ca="1" si="24"/>
        <v>5.4007114264749134E-3</v>
      </c>
      <c r="Y138" s="24">
        <f t="shared" ca="1" si="25"/>
        <v>4.3668459898158485E-3</v>
      </c>
      <c r="Z138" s="24">
        <f t="shared" ca="1" si="26"/>
        <v>1.6542894928358365E-2</v>
      </c>
      <c r="AA138" s="24">
        <f t="shared" ca="1" si="27"/>
        <v>7.4420289615334978E-2</v>
      </c>
      <c r="AB138" s="9" cm="1">
        <f t="array" aca="1" ref="AB138" ca="1">_xll.BDH($E$8,"PX LAST",AG138)</f>
        <v>6495.15</v>
      </c>
      <c r="AC138" s="9" cm="1">
        <f t="array" aca="1" ref="AC138" ca="1">_xll.BDH($E$8,"PX LAST",AH138)</f>
        <v>6460.26</v>
      </c>
      <c r="AD138" s="9" cm="1">
        <f t="array" aca="1" ref="AD138" ca="1">_xll.BDH($E$8,"PX LAST",AI138)</f>
        <v>6466.91</v>
      </c>
      <c r="AE138" s="9" cm="1">
        <f t="array" aca="1" ref="AE138" ca="1">_xll.BDH($E$8,"PX LAST",AJ138)</f>
        <v>6389.45</v>
      </c>
      <c r="AF138" s="9" cm="1">
        <f t="array" aca="1" ref="AF138" ca="1">_xll.BDH($E$8,"PX LAST",AK138)</f>
        <v>6045.26</v>
      </c>
      <c r="AG138" s="20">
        <f t="shared" ca="1" si="33"/>
        <v>45908</v>
      </c>
      <c r="AH138" s="22">
        <f t="shared" ca="1" si="28"/>
        <v>45898</v>
      </c>
      <c r="AI138" s="22">
        <f t="shared" ca="1" si="29"/>
        <v>45891</v>
      </c>
      <c r="AJ138" s="22">
        <f t="shared" ca="1" si="30"/>
        <v>45877</v>
      </c>
      <c r="AK138" s="22">
        <f t="shared" ca="1" si="31"/>
        <v>45820</v>
      </c>
      <c r="AL138" s="22">
        <f t="shared" ca="1" si="32"/>
        <v>45734</v>
      </c>
    </row>
    <row r="139" spans="4:38" x14ac:dyDescent="0.25">
      <c r="D139" s="6">
        <f ca="1"/>
        <v>45905</v>
      </c>
      <c r="E139" s="28">
        <f ca="1"/>
        <v>219.18</v>
      </c>
      <c r="F139" s="29" cm="1">
        <f t="array" aca="1" ref="F139" ca="1">_xll.FDS($E$7,"P_BETA_LOCIDX("&amp;$AG139&amp;","&amp;$AL139&amp;",,"""&amp;$E$9&amp;""")")</f>
        <v>1.5876296999999999</v>
      </c>
      <c r="G139" s="30">
        <f t="shared" ca="1" si="18"/>
        <v>-2.3098186558694299E-2</v>
      </c>
      <c r="H139" s="30">
        <f t="shared" ca="1" si="18"/>
        <v>1.0922680322338597E-2</v>
      </c>
      <c r="I139" s="30">
        <f t="shared" ca="1" si="18"/>
        <v>3.4258841688955766E-2</v>
      </c>
      <c r="J139" s="30">
        <f t="shared" ca="1" si="18"/>
        <v>0.11249227175088621</v>
      </c>
      <c r="K139" s="30">
        <f t="shared" ca="1" si="19"/>
        <v>-4.9715221016754328E-3</v>
      </c>
      <c r="L139" s="30">
        <f t="shared" ca="1" si="19"/>
        <v>2.7746640121221154E-2</v>
      </c>
      <c r="M139" s="30">
        <f t="shared" ca="1" si="19"/>
        <v>3.5433691253943245E-2</v>
      </c>
      <c r="N139" s="30">
        <f t="shared" ca="1" si="19"/>
        <v>0.12107368952781712</v>
      </c>
      <c r="O139" s="30">
        <f t="shared" ca="1" si="20"/>
        <v>-2.806970866036973E-2</v>
      </c>
      <c r="P139" s="30">
        <f t="shared" ca="1" si="21"/>
        <v>3.8669320443559752E-2</v>
      </c>
      <c r="Q139" s="30">
        <f t="shared" ca="1" si="22"/>
        <v>6.969253294289901E-2</v>
      </c>
      <c r="R139" s="30">
        <f t="shared" ca="1" si="23"/>
        <v>0.23356596127870333</v>
      </c>
      <c r="S139" s="9" cm="1">
        <f t="array" aca="1" ref="S139" ca="1">_xll.BDH($E$6,"PX LAST",AG139)</f>
        <v>219.18</v>
      </c>
      <c r="T139" s="9" cm="1">
        <f t="array" aca="1" ref="T139" ca="1">_xll.BDH($E$6,"PX LAST",AH139)</f>
        <v>225.51</v>
      </c>
      <c r="U139" s="9" cm="1">
        <f t="array" aca="1" ref="U139" ca="1">_xll.BDH($E$6,"PX LAST",AI139)</f>
        <v>211.02</v>
      </c>
      <c r="V139" s="9" cm="1">
        <f t="array" aca="1" ref="V139" ca="1">_xll.BDH($E$6,"PX LAST",AJ139)</f>
        <v>204.9</v>
      </c>
      <c r="W139" s="9" cm="1">
        <f t="array" aca="1" ref="W139" ca="1">_xll.BDH($E$6,"PX LAST",AK139)</f>
        <v>177.68</v>
      </c>
      <c r="X139" s="24">
        <f t="shared" ca="1" si="24"/>
        <v>-3.13141162682673E-3</v>
      </c>
      <c r="Y139" s="24">
        <f t="shared" ca="1" si="25"/>
        <v>1.7476770635634464E-2</v>
      </c>
      <c r="Z139" s="24">
        <f t="shared" ca="1" si="26"/>
        <v>2.231861198738172E-2</v>
      </c>
      <c r="AA139" s="24">
        <f t="shared" ca="1" si="27"/>
        <v>7.6260660485135245E-2</v>
      </c>
      <c r="AB139" s="9" cm="1">
        <f t="array" aca="1" ref="AB139" ca="1">_xll.BDH($E$8,"PX LAST",AG139)</f>
        <v>6481.5</v>
      </c>
      <c r="AC139" s="9" cm="1">
        <f t="array" aca="1" ref="AC139" ca="1">_xll.BDH($E$8,"PX LAST",AH139)</f>
        <v>6501.86</v>
      </c>
      <c r="AD139" s="9" cm="1">
        <f t="array" aca="1" ref="AD139" ca="1">_xll.BDH($E$8,"PX LAST",AI139)</f>
        <v>6370.17</v>
      </c>
      <c r="AE139" s="9" cm="1">
        <f t="array" aca="1" ref="AE139" ca="1">_xll.BDH($E$8,"PX LAST",AJ139)</f>
        <v>6340</v>
      </c>
      <c r="AF139" s="9" cm="1">
        <f t="array" aca="1" ref="AF139" ca="1">_xll.BDH($E$8,"PX LAST",AK139)</f>
        <v>6022.24</v>
      </c>
      <c r="AG139" s="20">
        <f t="shared" ca="1" si="33"/>
        <v>45905</v>
      </c>
      <c r="AH139" s="22">
        <f t="shared" ca="1" si="28"/>
        <v>45897</v>
      </c>
      <c r="AI139" s="22">
        <f t="shared" ca="1" si="29"/>
        <v>45890</v>
      </c>
      <c r="AJ139" s="22">
        <f t="shared" ca="1" si="30"/>
        <v>45876</v>
      </c>
      <c r="AK139" s="22">
        <f t="shared" ca="1" si="31"/>
        <v>45819</v>
      </c>
      <c r="AL139" s="22">
        <f t="shared" ca="1" si="32"/>
        <v>45733</v>
      </c>
    </row>
    <row r="140" spans="4:38" x14ac:dyDescent="0.25">
      <c r="D140" s="6">
        <f ca="1"/>
        <v>45904</v>
      </c>
      <c r="E140" s="28">
        <f ca="1"/>
        <v>218.37</v>
      </c>
      <c r="F140" s="29" cm="1">
        <f t="array" aca="1" ref="F140" ca="1">_xll.FDS($E$7,"P_BETA_LOCIDX("&amp;$AG140&amp;","&amp;$AL140&amp;",,"""&amp;$E$9&amp;""")")</f>
        <v>1.5835977999999999</v>
      </c>
      <c r="G140" s="30">
        <f t="shared" ca="1" si="18"/>
        <v>-4.387486716221721E-2</v>
      </c>
      <c r="H140" s="30">
        <f t="shared" ca="1" si="18"/>
        <v>1.5969226466320593E-2</v>
      </c>
      <c r="I140" s="30">
        <f t="shared" ca="1" si="18"/>
        <v>1.9523309551991774E-2</v>
      </c>
      <c r="J140" s="30">
        <f t="shared" ca="1" si="18"/>
        <v>9.6280709365277134E-2</v>
      </c>
      <c r="K140" s="30">
        <f t="shared" ca="1" si="19"/>
        <v>5.0527359064401591E-3</v>
      </c>
      <c r="L140" s="30">
        <f t="shared" ca="1" si="19"/>
        <v>2.6319924409532573E-2</v>
      </c>
      <c r="M140" s="30">
        <f t="shared" ca="1" si="19"/>
        <v>3.9188995305954544E-2</v>
      </c>
      <c r="N140" s="30">
        <f t="shared" ca="1" si="19"/>
        <v>0.12148641086671039</v>
      </c>
      <c r="O140" s="30">
        <f t="shared" ca="1" si="20"/>
        <v>-3.8822131255777048E-2</v>
      </c>
      <c r="P140" s="30">
        <f t="shared" ca="1" si="21"/>
        <v>4.2289150875853165E-2</v>
      </c>
      <c r="Q140" s="30">
        <f t="shared" ca="1" si="22"/>
        <v>5.8712304857946318E-2</v>
      </c>
      <c r="R140" s="30">
        <f t="shared" ca="1" si="23"/>
        <v>0.21776712023198752</v>
      </c>
      <c r="S140" s="9" cm="1">
        <f t="array" aca="1" ref="S140" ca="1">_xll.BDH($E$6,"PX LAST",AG140)</f>
        <v>218.37</v>
      </c>
      <c r="T140" s="9" cm="1">
        <f t="array" aca="1" ref="T140" ca="1">_xll.BDH($E$6,"PX LAST",AH140)</f>
        <v>227.19</v>
      </c>
      <c r="U140" s="9" cm="1">
        <f t="array" aca="1" ref="U140" ca="1">_xll.BDH($E$6,"PX LAST",AI140)</f>
        <v>209.51</v>
      </c>
      <c r="V140" s="9" cm="1">
        <f t="array" aca="1" ref="V140" ca="1">_xll.BDH($E$6,"PX LAST",AJ140)</f>
        <v>206.26</v>
      </c>
      <c r="W140" s="9" cm="1">
        <f t="array" aca="1" ref="W140" ca="1">_xll.BDH($E$6,"PX LAST",AK140)</f>
        <v>179.32</v>
      </c>
      <c r="X140" s="24">
        <f t="shared" ca="1" si="24"/>
        <v>3.1906686826921327E-3</v>
      </c>
      <c r="Y140" s="24">
        <f t="shared" ca="1" si="25"/>
        <v>1.662033403275287E-2</v>
      </c>
      <c r="Z140" s="24">
        <f t="shared" ca="1" si="26"/>
        <v>2.4746810904861416E-2</v>
      </c>
      <c r="AA140" s="24">
        <f t="shared" ca="1" si="27"/>
        <v>7.6715445592757447E-2</v>
      </c>
      <c r="AB140" s="9" cm="1">
        <f t="array" aca="1" ref="AB140" ca="1">_xll.BDH($E$8,"PX LAST",AG140)</f>
        <v>6502.08</v>
      </c>
      <c r="AC140" s="9" cm="1">
        <f t="array" aca="1" ref="AC140" ca="1">_xll.BDH($E$8,"PX LAST",AH140)</f>
        <v>6481.4</v>
      </c>
      <c r="AD140" s="9" cm="1">
        <f t="array" aca="1" ref="AD140" ca="1">_xll.BDH($E$8,"PX LAST",AI140)</f>
        <v>6395.78</v>
      </c>
      <c r="AE140" s="9" cm="1">
        <f t="array" aca="1" ref="AE140" ca="1">_xll.BDH($E$8,"PX LAST",AJ140)</f>
        <v>6345.06</v>
      </c>
      <c r="AF140" s="9" cm="1">
        <f t="array" aca="1" ref="AF140" ca="1">_xll.BDH($E$8,"PX LAST",AK140)</f>
        <v>6038.81</v>
      </c>
      <c r="AG140" s="20">
        <f t="shared" ca="1" si="33"/>
        <v>45904</v>
      </c>
      <c r="AH140" s="22">
        <f t="shared" ca="1" si="28"/>
        <v>45896</v>
      </c>
      <c r="AI140" s="22">
        <f t="shared" ca="1" si="29"/>
        <v>45889</v>
      </c>
      <c r="AJ140" s="22">
        <f t="shared" ca="1" si="30"/>
        <v>45875</v>
      </c>
      <c r="AK140" s="22">
        <f t="shared" ca="1" si="31"/>
        <v>45818</v>
      </c>
      <c r="AL140" s="22">
        <f t="shared" ca="1" si="32"/>
        <v>45730</v>
      </c>
    </row>
    <row r="141" spans="4:38" x14ac:dyDescent="0.25">
      <c r="D141" s="6">
        <f ca="1"/>
        <v>45903</v>
      </c>
      <c r="E141" s="28">
        <f ca="1"/>
        <v>217.89</v>
      </c>
      <c r="F141" s="29" cm="1">
        <f t="array" aca="1" ref="F141" ca="1">_xll.FDS($E$7,"P_BETA_LOCIDX("&amp;$AG141&amp;","&amp;$AL141&amp;",,"""&amp;$E$9&amp;""")")</f>
        <v>1.5932584000000001</v>
      </c>
      <c r="G141" s="30">
        <f t="shared" ca="1" si="18"/>
        <v>-3.3614280476376185E-2</v>
      </c>
      <c r="H141" s="30">
        <f t="shared" ca="1" si="18"/>
        <v>1.8955138658269623E-2</v>
      </c>
      <c r="I141" s="30">
        <f t="shared" ca="1" si="18"/>
        <v>1.6228099345763781E-2</v>
      </c>
      <c r="J141" s="30">
        <f t="shared" ca="1" si="18"/>
        <v>0.11707837665319726</v>
      </c>
      <c r="K141" s="30">
        <f t="shared" ca="1" si="19"/>
        <v>-4.356490860106782E-3</v>
      </c>
      <c r="L141" s="30">
        <f t="shared" ca="1" si="19"/>
        <v>9.1673546178118927E-3</v>
      </c>
      <c r="M141" s="30">
        <f t="shared" ca="1" si="19"/>
        <v>3.770437622741981E-2</v>
      </c>
      <c r="N141" s="30">
        <f t="shared" ca="1" si="19"/>
        <v>0.11735593301764286</v>
      </c>
      <c r="O141" s="30">
        <f t="shared" ca="1" si="20"/>
        <v>-3.7970771336482967E-2</v>
      </c>
      <c r="P141" s="30">
        <f t="shared" ca="1" si="21"/>
        <v>2.8122493276081517E-2</v>
      </c>
      <c r="Q141" s="30">
        <f t="shared" ca="1" si="22"/>
        <v>5.3932475573183591E-2</v>
      </c>
      <c r="R141" s="30">
        <f t="shared" ca="1" si="23"/>
        <v>0.23443430967084011</v>
      </c>
      <c r="S141" s="9" cm="1">
        <f t="array" aca="1" ref="S141" ca="1">_xll.BDH($E$6,"PX LAST",AG141)</f>
        <v>217.89</v>
      </c>
      <c r="T141" s="9" cm="1">
        <f t="array" aca="1" ref="T141" ca="1">_xll.BDH($E$6,"PX LAST",AH141)</f>
        <v>226.49</v>
      </c>
      <c r="U141" s="9" cm="1">
        <f t="array" aca="1" ref="U141" ca="1">_xll.BDH($E$6,"PX LAST",AI141)</f>
        <v>211.93</v>
      </c>
      <c r="V141" s="9" cm="1">
        <f t="array" aca="1" ref="V141" ca="1">_xll.BDH($E$6,"PX LAST",AJ141)</f>
        <v>206.74</v>
      </c>
      <c r="W141" s="9" cm="1">
        <f t="array" aca="1" ref="W141" ca="1">_xll.BDH($E$6,"PX LAST",AK141)</f>
        <v>176.51</v>
      </c>
      <c r="X141" s="24">
        <f t="shared" ca="1" si="24"/>
        <v>-2.7343278780810332E-3</v>
      </c>
      <c r="Y141" s="24">
        <f t="shared" ca="1" si="25"/>
        <v>5.7538404428383316E-3</v>
      </c>
      <c r="Z141" s="24">
        <f t="shared" ca="1" si="26"/>
        <v>2.3664947397998848E-2</v>
      </c>
      <c r="AA141" s="24">
        <f t="shared" ca="1" si="27"/>
        <v>7.3657815340965938E-2</v>
      </c>
      <c r="AB141" s="9" cm="1">
        <f t="array" aca="1" ref="AB141" ca="1">_xll.BDH($E$8,"PX LAST",AG141)</f>
        <v>6448.26</v>
      </c>
      <c r="AC141" s="9" cm="1">
        <f t="array" aca="1" ref="AC141" ca="1">_xll.BDH($E$8,"PX LAST",AH141)</f>
        <v>6465.94</v>
      </c>
      <c r="AD141" s="9" cm="1">
        <f t="array" aca="1" ref="AD141" ca="1">_xll.BDH($E$8,"PX LAST",AI141)</f>
        <v>6411.37</v>
      </c>
      <c r="AE141" s="9" cm="1">
        <f t="array" aca="1" ref="AE141" ca="1">_xll.BDH($E$8,"PX LAST",AJ141)</f>
        <v>6299.19</v>
      </c>
      <c r="AF141" s="9" cm="1">
        <f t="array" aca="1" ref="AF141" ca="1">_xll.BDH($E$8,"PX LAST",AK141)</f>
        <v>6005.88</v>
      </c>
      <c r="AG141" s="20">
        <f t="shared" ca="1" si="33"/>
        <v>45903</v>
      </c>
      <c r="AH141" s="22">
        <f t="shared" ca="1" si="28"/>
        <v>45895</v>
      </c>
      <c r="AI141" s="22">
        <f t="shared" ca="1" si="29"/>
        <v>45888</v>
      </c>
      <c r="AJ141" s="22">
        <f t="shared" ca="1" si="30"/>
        <v>45874</v>
      </c>
      <c r="AK141" s="22">
        <f t="shared" ca="1" si="31"/>
        <v>45817</v>
      </c>
      <c r="AL141" s="22">
        <f t="shared" ca="1" si="32"/>
        <v>45729</v>
      </c>
    </row>
    <row r="142" spans="4:38" x14ac:dyDescent="0.25">
      <c r="D142" s="6">
        <f ca="1"/>
        <v>45902</v>
      </c>
      <c r="E142" s="28">
        <f ca="1"/>
        <v>219</v>
      </c>
      <c r="F142" s="29" cm="1">
        <f t="array" aca="1" ref="F142" ca="1">_xll.FDS($E$7,"P_BETA_LOCIDX("&amp;$AG142&amp;","&amp;$AL142&amp;",,"""&amp;$E$9&amp;""")")</f>
        <v>1.5990503</v>
      </c>
      <c r="G142" s="30">
        <f t="shared" ca="1" si="18"/>
        <v>-1.8506783088516516E-2</v>
      </c>
      <c r="H142" s="30">
        <f t="shared" ca="1" si="18"/>
        <v>5.1886358562906847E-2</v>
      </c>
      <c r="I142" s="30">
        <f t="shared" ca="1" si="18"/>
        <v>2.5872040821975098E-2</v>
      </c>
      <c r="J142" s="30">
        <f t="shared" ca="1" si="18"/>
        <v>0.15247915524365599</v>
      </c>
      <c r="K142" s="30">
        <f t="shared" ca="1" si="19"/>
        <v>-5.9051912521819001E-3</v>
      </c>
      <c r="L142" s="30">
        <f t="shared" ca="1" si="19"/>
        <v>-8.3335138092615561E-3</v>
      </c>
      <c r="M142" s="30">
        <f t="shared" ca="1" si="19"/>
        <v>2.1624013131246331E-2</v>
      </c>
      <c r="N142" s="30">
        <f t="shared" ca="1" si="19"/>
        <v>0.11064231205361016</v>
      </c>
      <c r="O142" s="30">
        <f t="shared" ca="1" si="20"/>
        <v>-2.4411974340698417E-2</v>
      </c>
      <c r="P142" s="30">
        <f t="shared" ca="1" si="21"/>
        <v>4.3552844753645292E-2</v>
      </c>
      <c r="Q142" s="30">
        <f t="shared" ca="1" si="22"/>
        <v>4.7496053953221429E-2</v>
      </c>
      <c r="R142" s="30">
        <f t="shared" ca="1" si="23"/>
        <v>0.26312146729726615</v>
      </c>
      <c r="S142" s="9" cm="1">
        <f t="array" aca="1" ref="S142" ca="1">_xll.BDH($E$6,"PX LAST",AG142)</f>
        <v>219</v>
      </c>
      <c r="T142" s="9" cm="1">
        <f t="array" aca="1" ref="T142" ca="1">_xll.BDH($E$6,"PX LAST",AH142)</f>
        <v>224.48</v>
      </c>
      <c r="U142" s="9" cm="1">
        <f t="array" aca="1" ref="U142" ca="1">_xll.BDH($E$6,"PX LAST",AI142)</f>
        <v>209.86</v>
      </c>
      <c r="V142" s="9" cm="1">
        <f t="array" aca="1" ref="V142" ca="1">_xll.BDH($E$6,"PX LAST",AJ142)</f>
        <v>209.07</v>
      </c>
      <c r="W142" s="9" cm="1">
        <f t="array" aca="1" ref="W142" ca="1">_xll.BDH($E$6,"PX LAST",AK142)</f>
        <v>173.38</v>
      </c>
      <c r="X142" s="24">
        <f t="shared" ca="1" si="24"/>
        <v>-3.6929365212475807E-3</v>
      </c>
      <c r="Y142" s="24">
        <f t="shared" ca="1" si="25"/>
        <v>-5.2115395052060309E-3</v>
      </c>
      <c r="Z142" s="24">
        <f t="shared" ca="1" si="26"/>
        <v>1.3523034973475401E-2</v>
      </c>
      <c r="AA142" s="24">
        <f t="shared" ca="1" si="27"/>
        <v>6.9192515115759745E-2</v>
      </c>
      <c r="AB142" s="9" cm="1">
        <f t="array" aca="1" ref="AB142" ca="1">_xll.BDH($E$8,"PX LAST",AG142)</f>
        <v>6415.54</v>
      </c>
      <c r="AC142" s="9" cm="1">
        <f t="array" aca="1" ref="AC142" ca="1">_xll.BDH($E$8,"PX LAST",AH142)</f>
        <v>6439.32</v>
      </c>
      <c r="AD142" s="9" cm="1">
        <f t="array" aca="1" ref="AD142" ca="1">_xll.BDH($E$8,"PX LAST",AI142)</f>
        <v>6449.15</v>
      </c>
      <c r="AE142" s="9" cm="1">
        <f t="array" aca="1" ref="AE142" ca="1">_xll.BDH($E$8,"PX LAST",AJ142)</f>
        <v>6329.94</v>
      </c>
      <c r="AF142" s="9" cm="1">
        <f t="array" aca="1" ref="AF142" ca="1">_xll.BDH($E$8,"PX LAST",AK142)</f>
        <v>6000.36</v>
      </c>
      <c r="AG142" s="20">
        <f t="shared" ca="1" si="33"/>
        <v>45902</v>
      </c>
      <c r="AH142" s="22">
        <f t="shared" ca="1" si="28"/>
        <v>45894</v>
      </c>
      <c r="AI142" s="22">
        <f t="shared" ca="1" si="29"/>
        <v>45887</v>
      </c>
      <c r="AJ142" s="22">
        <f t="shared" ca="1" si="30"/>
        <v>45873</v>
      </c>
      <c r="AK142" s="22">
        <f t="shared" ca="1" si="31"/>
        <v>45814</v>
      </c>
      <c r="AL142" s="22">
        <f t="shared" ca="1" si="32"/>
        <v>45728</v>
      </c>
    </row>
    <row r="143" spans="4:38" x14ac:dyDescent="0.25">
      <c r="D143" s="6">
        <f ca="1"/>
        <v>45898</v>
      </c>
      <c r="E143" s="28">
        <f ca="1"/>
        <v>219.84</v>
      </c>
      <c r="F143" s="29" cm="1">
        <f t="array" aca="1" ref="F143" ca="1">_xll.FDS($E$7,"P_BETA_LOCIDX("&amp;$AG143&amp;","&amp;$AL143&amp;",,"""&amp;$E$9&amp;""")")</f>
        <v>1.5940771</v>
      </c>
      <c r="G143" s="30">
        <f t="shared" ca="1" si="18"/>
        <v>-8.9818537802868435E-3</v>
      </c>
      <c r="H143" s="30">
        <f t="shared" ca="1" si="18"/>
        <v>6.3460766678501881E-2</v>
      </c>
      <c r="I143" s="30">
        <f t="shared" ca="1" si="18"/>
        <v>2.355359271509392E-2</v>
      </c>
      <c r="J143" s="30">
        <f t="shared" ca="1" si="18"/>
        <v>0.1528212622167506</v>
      </c>
      <c r="K143" s="30">
        <f t="shared" ca="1" si="19"/>
        <v>-1.6392083259237668E-3</v>
      </c>
      <c r="L143" s="30">
        <f t="shared" ca="1" si="19"/>
        <v>2.5852036444542364E-3</v>
      </c>
      <c r="M143" s="30">
        <f t="shared" ca="1" si="19"/>
        <v>5.6794335930048366E-2</v>
      </c>
      <c r="N143" s="30">
        <f t="shared" ca="1" si="19"/>
        <v>0.13982294311046764</v>
      </c>
      <c r="O143" s="30">
        <f t="shared" ca="1" si="20"/>
        <v>-1.062106210621061E-2</v>
      </c>
      <c r="P143" s="30">
        <f t="shared" ca="1" si="21"/>
        <v>6.6045970322956116E-2</v>
      </c>
      <c r="Q143" s="30">
        <f t="shared" ca="1" si="22"/>
        <v>8.0347928645142286E-2</v>
      </c>
      <c r="R143" s="30">
        <f t="shared" ca="1" si="23"/>
        <v>0.29264420532721824</v>
      </c>
      <c r="S143" s="9" cm="1">
        <f t="array" aca="1" ref="S143" ca="1">_xll.BDH($E$6,"PX LAST",AG143)</f>
        <v>219.84</v>
      </c>
      <c r="T143" s="9" cm="1">
        <f t="array" aca="1" ref="T143" ca="1">_xll.BDH($E$6,"PX LAST",AH143)</f>
        <v>222.2</v>
      </c>
      <c r="U143" s="9" cm="1">
        <f t="array" aca="1" ref="U143" ca="1">_xll.BDH($E$6,"PX LAST",AI143)</f>
        <v>206.22</v>
      </c>
      <c r="V143" s="9" cm="1">
        <f t="array" aca="1" ref="V143" ca="1">_xll.BDH($E$6,"PX LAST",AJ143)</f>
        <v>203.49</v>
      </c>
      <c r="W143" s="9" cm="1">
        <f t="array" aca="1" ref="W143" ca="1">_xll.BDH($E$6,"PX LAST",AK143)</f>
        <v>170.07</v>
      </c>
      <c r="X143" s="24">
        <f t="shared" ca="1" si="24"/>
        <v>-1.0283118212561781E-3</v>
      </c>
      <c r="Y143" s="24">
        <f t="shared" ca="1" si="25"/>
        <v>1.6217557133555438E-3</v>
      </c>
      <c r="Z143" s="24">
        <f t="shared" ca="1" si="26"/>
        <v>3.5628349425538053E-2</v>
      </c>
      <c r="AA143" s="24">
        <f t="shared" ca="1" si="27"/>
        <v>8.7714040375128421E-2</v>
      </c>
      <c r="AB143" s="9" cm="1">
        <f t="array" aca="1" ref="AB143" ca="1">_xll.BDH($E$8,"PX LAST",AG143)</f>
        <v>6460.26</v>
      </c>
      <c r="AC143" s="9" cm="1">
        <f t="array" aca="1" ref="AC143" ca="1">_xll.BDH($E$8,"PX LAST",AH143)</f>
        <v>6466.91</v>
      </c>
      <c r="AD143" s="9" cm="1">
        <f t="array" aca="1" ref="AD143" ca="1">_xll.BDH($E$8,"PX LAST",AI143)</f>
        <v>6449.8</v>
      </c>
      <c r="AE143" s="9" cm="1">
        <f t="array" aca="1" ref="AE143" ca="1">_xll.BDH($E$8,"PX LAST",AJ143)</f>
        <v>6238.01</v>
      </c>
      <c r="AF143" s="9" cm="1">
        <f t="array" aca="1" ref="AF143" ca="1">_xll.BDH($E$8,"PX LAST",AK143)</f>
        <v>5939.3</v>
      </c>
      <c r="AG143" s="20">
        <f t="shared" ca="1" si="33"/>
        <v>45898</v>
      </c>
      <c r="AH143" s="22">
        <f t="shared" ca="1" si="28"/>
        <v>45891</v>
      </c>
      <c r="AI143" s="22">
        <f t="shared" ca="1" si="29"/>
        <v>45884</v>
      </c>
      <c r="AJ143" s="22">
        <f t="shared" ca="1" si="30"/>
        <v>45870</v>
      </c>
      <c r="AK143" s="22">
        <f t="shared" ca="1" si="31"/>
        <v>45813</v>
      </c>
      <c r="AL143" s="22">
        <f t="shared" ca="1" si="32"/>
        <v>45727</v>
      </c>
    </row>
    <row r="144" spans="4:38" x14ac:dyDescent="0.25">
      <c r="D144" s="6">
        <f ca="1"/>
        <v>45897</v>
      </c>
      <c r="E144" s="28">
        <f ca="1"/>
        <v>225.51</v>
      </c>
      <c r="F144" s="29" cm="1">
        <f t="array" aca="1" ref="F144" ca="1">_xll.FDS($E$7,"P_BETA_LOCIDX("&amp;$AG144&amp;","&amp;$AL144&amp;",,"""&amp;$E$9&amp;""")")</f>
        <v>1.5997703999999999</v>
      </c>
      <c r="G144" s="30">
        <f t="shared" ca="1" si="18"/>
        <v>3.5594555329494973E-2</v>
      </c>
      <c r="H144" s="30">
        <f t="shared" ca="1" si="18"/>
        <v>6.1490483959360201E-2</v>
      </c>
      <c r="I144" s="30">
        <f t="shared" ca="1" si="18"/>
        <v>4.8630892777019534E-2</v>
      </c>
      <c r="J144" s="30">
        <f t="shared" ca="1" si="18"/>
        <v>0.17749003828608115</v>
      </c>
      <c r="K144" s="30">
        <f t="shared" ca="1" si="19"/>
        <v>3.3071921781679267E-2</v>
      </c>
      <c r="L144" s="30">
        <f t="shared" ca="1" si="19"/>
        <v>8.2405534677067842E-3</v>
      </c>
      <c r="M144" s="30">
        <f t="shared" ca="1" si="19"/>
        <v>4.0999953763374571E-2</v>
      </c>
      <c r="N144" s="30">
        <f t="shared" ca="1" si="19"/>
        <v>0.14228522946132902</v>
      </c>
      <c r="O144" s="30">
        <f t="shared" ca="1" si="20"/>
        <v>6.866647711117424E-2</v>
      </c>
      <c r="P144" s="30">
        <f t="shared" ca="1" si="21"/>
        <v>6.9731037427066989E-2</v>
      </c>
      <c r="Q144" s="30">
        <f t="shared" ca="1" si="22"/>
        <v>8.9630846540394105E-2</v>
      </c>
      <c r="R144" s="30">
        <f t="shared" ca="1" si="23"/>
        <v>0.31977526774741016</v>
      </c>
      <c r="S144" s="9" cm="1">
        <f t="array" aca="1" ref="S144" ca="1">_xll.BDH($E$6,"PX LAST",AG144)</f>
        <v>225.51</v>
      </c>
      <c r="T144" s="9" cm="1">
        <f t="array" aca="1" ref="T144" ca="1">_xll.BDH($E$6,"PX LAST",AH144)</f>
        <v>211.02</v>
      </c>
      <c r="U144" s="9" cm="1">
        <f t="array" aca="1" ref="U144" ca="1">_xll.BDH($E$6,"PX LAST",AI144)</f>
        <v>210.81</v>
      </c>
      <c r="V144" s="9" cm="1">
        <f t="array" aca="1" ref="V144" ca="1">_xll.BDH($E$6,"PX LAST",AJ144)</f>
        <v>206.96</v>
      </c>
      <c r="W144" s="9" cm="1">
        <f t="array" aca="1" ref="W144" ca="1">_xll.BDH($E$6,"PX LAST",AK144)</f>
        <v>170.87</v>
      </c>
      <c r="X144" s="24">
        <f t="shared" ca="1" si="24"/>
        <v>2.0672917677236224E-2</v>
      </c>
      <c r="Y144" s="24">
        <f t="shared" ca="1" si="25"/>
        <v>5.1510850980283074E-3</v>
      </c>
      <c r="Z144" s="24">
        <f t="shared" ca="1" si="26"/>
        <v>2.5628648813213806E-2</v>
      </c>
      <c r="AA144" s="24">
        <f t="shared" ca="1" si="27"/>
        <v>8.894103145134391E-2</v>
      </c>
      <c r="AB144" s="9" cm="1">
        <f t="array" aca="1" ref="AB144" ca="1">_xll.BDH($E$8,"PX LAST",AG144)</f>
        <v>6501.86</v>
      </c>
      <c r="AC144" s="9" cm="1">
        <f t="array" aca="1" ref="AC144" ca="1">_xll.BDH($E$8,"PX LAST",AH144)</f>
        <v>6370.17</v>
      </c>
      <c r="AD144" s="9" cm="1">
        <f t="array" aca="1" ref="AD144" ca="1">_xll.BDH($E$8,"PX LAST",AI144)</f>
        <v>6468.54</v>
      </c>
      <c r="AE144" s="9" cm="1">
        <f t="array" aca="1" ref="AE144" ca="1">_xll.BDH($E$8,"PX LAST",AJ144)</f>
        <v>6339.39</v>
      </c>
      <c r="AF144" s="9" cm="1">
        <f t="array" aca="1" ref="AF144" ca="1">_xll.BDH($E$8,"PX LAST",AK144)</f>
        <v>5970.81</v>
      </c>
      <c r="AG144" s="20">
        <f t="shared" ca="1" si="33"/>
        <v>45897</v>
      </c>
      <c r="AH144" s="22">
        <f t="shared" ca="1" si="28"/>
        <v>45890</v>
      </c>
      <c r="AI144" s="22">
        <f t="shared" ca="1" si="29"/>
        <v>45883</v>
      </c>
      <c r="AJ144" s="22">
        <f t="shared" ca="1" si="30"/>
        <v>45869</v>
      </c>
      <c r="AK144" s="22">
        <f t="shared" ca="1" si="31"/>
        <v>45812</v>
      </c>
      <c r="AL144" s="22">
        <f t="shared" ca="1" si="32"/>
        <v>45726</v>
      </c>
    </row>
    <row r="145" spans="4:38" x14ac:dyDescent="0.25">
      <c r="D145" s="6">
        <f ca="1"/>
        <v>45896</v>
      </c>
      <c r="E145" s="28">
        <f ca="1"/>
        <v>227.19</v>
      </c>
      <c r="F145" s="29" cm="1">
        <f t="array" aca="1" ref="F145" ca="1">_xll.FDS($E$7,"P_BETA_LOCIDX("&amp;$AG145&amp;","&amp;$AL145&amp;",,"""&amp;$E$9&amp;""")")</f>
        <v>1.5965819999999999</v>
      </c>
      <c r="G145" s="30">
        <f t="shared" ca="1" si="18"/>
        <v>6.3014013444950279E-2</v>
      </c>
      <c r="H145" s="30">
        <f t="shared" ca="1" si="18"/>
        <v>5.0978432466717752E-2</v>
      </c>
      <c r="I145" s="30">
        <f t="shared" ca="1" si="18"/>
        <v>3.8038633989402243E-2</v>
      </c>
      <c r="J145" s="30">
        <f t="shared" ca="1" si="18"/>
        <v>0.17521362593667961</v>
      </c>
      <c r="K145" s="30">
        <f t="shared" ca="1" si="19"/>
        <v>2.1373366632373103E-2</v>
      </c>
      <c r="L145" s="30">
        <f t="shared" ca="1" si="19"/>
        <v>3.6590199518135979E-3</v>
      </c>
      <c r="M145" s="30">
        <f t="shared" ca="1" si="19"/>
        <v>2.9734078329063687E-2</v>
      </c>
      <c r="N145" s="30">
        <f t="shared" ca="1" si="19"/>
        <v>0.13665841471466572</v>
      </c>
      <c r="O145" s="30">
        <f t="shared" ca="1" si="20"/>
        <v>8.4387380077323382E-2</v>
      </c>
      <c r="P145" s="30">
        <f t="shared" ca="1" si="21"/>
        <v>5.4637452418531351E-2</v>
      </c>
      <c r="Q145" s="30">
        <f t="shared" ca="1" si="22"/>
        <v>6.7772712318465933E-2</v>
      </c>
      <c r="R145" s="30">
        <f t="shared" ca="1" si="23"/>
        <v>0.31187204065134533</v>
      </c>
      <c r="S145" s="9" cm="1">
        <f t="array" aca="1" ref="S145" ca="1">_xll.BDH($E$6,"PX LAST",AG145)</f>
        <v>227.19</v>
      </c>
      <c r="T145" s="9" cm="1">
        <f t="array" aca="1" ref="T145" ca="1">_xll.BDH($E$6,"PX LAST",AH145)</f>
        <v>209.51</v>
      </c>
      <c r="U145" s="9" cm="1">
        <f t="array" aca="1" ref="U145" ca="1">_xll.BDH($E$6,"PX LAST",AI145)</f>
        <v>215.42</v>
      </c>
      <c r="V145" s="9" cm="1">
        <f t="array" aca="1" ref="V145" ca="1">_xll.BDH($E$6,"PX LAST",AJ145)</f>
        <v>212.77</v>
      </c>
      <c r="W145" s="9" cm="1">
        <f t="array" aca="1" ref="W145" ca="1">_xll.BDH($E$6,"PX LAST",AK145)</f>
        <v>173.18</v>
      </c>
      <c r="X145" s="24">
        <f t="shared" ca="1" si="24"/>
        <v>1.3386952021489096E-2</v>
      </c>
      <c r="Y145" s="24">
        <f t="shared" ca="1" si="25"/>
        <v>2.2917832919409076E-3</v>
      </c>
      <c r="Z145" s="24">
        <f t="shared" ca="1" si="26"/>
        <v>1.8623583586100612E-2</v>
      </c>
      <c r="AA145" s="24">
        <f t="shared" ca="1" si="27"/>
        <v>8.5594360148533388E-2</v>
      </c>
      <c r="AB145" s="9" cm="1">
        <f t="array" aca="1" ref="AB145" ca="1">_xll.BDH($E$8,"PX LAST",AG145)</f>
        <v>6481.4</v>
      </c>
      <c r="AC145" s="9" cm="1">
        <f t="array" aca="1" ref="AC145" ca="1">_xll.BDH($E$8,"PX LAST",AH145)</f>
        <v>6395.78</v>
      </c>
      <c r="AD145" s="9" cm="1">
        <f t="array" aca="1" ref="AD145" ca="1">_xll.BDH($E$8,"PX LAST",AI145)</f>
        <v>6466.58</v>
      </c>
      <c r="AE145" s="9" cm="1">
        <f t="array" aca="1" ref="AE145" ca="1">_xll.BDH($E$8,"PX LAST",AJ145)</f>
        <v>6362.9</v>
      </c>
      <c r="AF145" s="9" cm="1">
        <f t="array" aca="1" ref="AF145" ca="1">_xll.BDH($E$8,"PX LAST",AK145)</f>
        <v>5970.37</v>
      </c>
      <c r="AG145" s="20">
        <f t="shared" ca="1" si="33"/>
        <v>45896</v>
      </c>
      <c r="AH145" s="22">
        <f t="shared" ca="1" si="28"/>
        <v>45889</v>
      </c>
      <c r="AI145" s="22">
        <f t="shared" ca="1" si="29"/>
        <v>45882</v>
      </c>
      <c r="AJ145" s="22">
        <f t="shared" ca="1" si="30"/>
        <v>45868</v>
      </c>
      <c r="AK145" s="22">
        <f t="shared" ca="1" si="31"/>
        <v>45811</v>
      </c>
      <c r="AL145" s="22">
        <f t="shared" ca="1" si="32"/>
        <v>45723</v>
      </c>
    </row>
    <row r="146" spans="4:38" x14ac:dyDescent="0.25">
      <c r="D146" s="6">
        <f ca="1"/>
        <v>45895</v>
      </c>
      <c r="E146" s="28">
        <f ca="1"/>
        <v>226.49</v>
      </c>
      <c r="F146" s="29" cm="1">
        <f t="array" aca="1" ref="F146" ca="1">_xll.FDS($E$7,"P_BETA_LOCIDX("&amp;$AG146&amp;","&amp;$AL146&amp;",,"""&amp;$E$9&amp;""")")</f>
        <v>1.5909537</v>
      </c>
      <c r="G146" s="30">
        <f t="shared" ca="1" si="18"/>
        <v>5.516062070693456E-2</v>
      </c>
      <c r="H146" s="30">
        <f t="shared" ca="1" si="18"/>
        <v>6.7059654157255288E-2</v>
      </c>
      <c r="I146" s="30">
        <f t="shared" ca="1" si="18"/>
        <v>2.3899562743858641E-2</v>
      </c>
      <c r="J146" s="30">
        <f t="shared" ca="1" si="18"/>
        <v>0.22679960413259598</v>
      </c>
      <c r="K146" s="30">
        <f t="shared" ca="1" si="19"/>
        <v>1.354130917557389E-2</v>
      </c>
      <c r="L146" s="30">
        <f t="shared" ca="1" si="19"/>
        <v>4.9808627168867409E-3</v>
      </c>
      <c r="M146" s="30">
        <f t="shared" ca="1" si="19"/>
        <v>2.3743714003446978E-2</v>
      </c>
      <c r="N146" s="30">
        <f t="shared" ca="1" si="19"/>
        <v>0.14205087332419114</v>
      </c>
      <c r="O146" s="30">
        <f t="shared" ca="1" si="20"/>
        <v>6.870192988250845E-2</v>
      </c>
      <c r="P146" s="30">
        <f t="shared" ca="1" si="21"/>
        <v>7.2040516874142035E-2</v>
      </c>
      <c r="Q146" s="30">
        <f t="shared" ca="1" si="22"/>
        <v>4.7643276747305618E-2</v>
      </c>
      <c r="R146" s="30">
        <f t="shared" ca="1" si="23"/>
        <v>0.36885047745678712</v>
      </c>
      <c r="S146" s="9" cm="1">
        <f t="array" aca="1" ref="S146" ca="1">_xll.BDH($E$6,"PX LAST",AG146)</f>
        <v>226.49</v>
      </c>
      <c r="T146" s="9" cm="1">
        <f t="array" aca="1" ref="T146" ca="1">_xll.BDH($E$6,"PX LAST",AH146)</f>
        <v>211.93</v>
      </c>
      <c r="U146" s="9" cm="1">
        <f t="array" aca="1" ref="U146" ca="1">_xll.BDH($E$6,"PX LAST",AI146)</f>
        <v>211.27</v>
      </c>
      <c r="V146" s="9" cm="1">
        <f t="array" aca="1" ref="V146" ca="1">_xll.BDH($E$6,"PX LAST",AJ146)</f>
        <v>216.19</v>
      </c>
      <c r="W146" s="9" cm="1">
        <f t="array" aca="1" ref="W146" ca="1">_xll.BDH($E$6,"PX LAST",AK146)</f>
        <v>165.46</v>
      </c>
      <c r="X146" s="24">
        <f t="shared" ca="1" si="24"/>
        <v>8.5114413924012311E-3</v>
      </c>
      <c r="Y146" s="24">
        <f t="shared" ca="1" si="25"/>
        <v>3.1307402075162472E-3</v>
      </c>
      <c r="Z146" s="24">
        <f t="shared" ca="1" si="26"/>
        <v>1.4924201756120858E-2</v>
      </c>
      <c r="AA146" s="24">
        <f t="shared" ca="1" si="27"/>
        <v>8.9286616778471384E-2</v>
      </c>
      <c r="AB146" s="9" cm="1">
        <f t="array" aca="1" ref="AB146" ca="1">_xll.BDH($E$8,"PX LAST",AG146)</f>
        <v>6465.94</v>
      </c>
      <c r="AC146" s="9" cm="1">
        <f t="array" aca="1" ref="AC146" ca="1">_xll.BDH($E$8,"PX LAST",AH146)</f>
        <v>6411.37</v>
      </c>
      <c r="AD146" s="9" cm="1">
        <f t="array" aca="1" ref="AD146" ca="1">_xll.BDH($E$8,"PX LAST",AI146)</f>
        <v>6445.76</v>
      </c>
      <c r="AE146" s="9" cm="1">
        <f t="array" aca="1" ref="AE146" ca="1">_xll.BDH($E$8,"PX LAST",AJ146)</f>
        <v>6370.86</v>
      </c>
      <c r="AF146" s="9" cm="1">
        <f t="array" aca="1" ref="AF146" ca="1">_xll.BDH($E$8,"PX LAST",AK146)</f>
        <v>5935.94</v>
      </c>
      <c r="AG146" s="20">
        <f t="shared" ca="1" si="33"/>
        <v>45895</v>
      </c>
      <c r="AH146" s="22">
        <f t="shared" ca="1" si="28"/>
        <v>45888</v>
      </c>
      <c r="AI146" s="22">
        <f t="shared" ca="1" si="29"/>
        <v>45881</v>
      </c>
      <c r="AJ146" s="22">
        <f t="shared" ca="1" si="30"/>
        <v>45867</v>
      </c>
      <c r="AK146" s="22">
        <f t="shared" ca="1" si="31"/>
        <v>45810</v>
      </c>
      <c r="AL146" s="22">
        <f t="shared" ca="1" si="32"/>
        <v>45722</v>
      </c>
    </row>
    <row r="147" spans="4:38" x14ac:dyDescent="0.25">
      <c r="D147" s="6">
        <f ca="1"/>
        <v>45894</v>
      </c>
      <c r="E147" s="28">
        <f ca="1"/>
        <v>224.48</v>
      </c>
      <c r="F147" s="29" cm="1">
        <f t="array" aca="1" ref="F147" ca="1">_xll.FDS($E$7,"P_BETA_LOCIDX("&amp;$AG147&amp;","&amp;$AL147&amp;",,"""&amp;$E$9&amp;""")")</f>
        <v>1.6006805</v>
      </c>
      <c r="G147" s="30">
        <f t="shared" ca="1" si="18"/>
        <v>7.210529952052161E-2</v>
      </c>
      <c r="H147" s="30">
        <f t="shared" ca="1" si="18"/>
        <v>8.6281726774383879E-2</v>
      </c>
      <c r="I147" s="30">
        <f t="shared" ca="1" si="18"/>
        <v>1.6321179213478476E-2</v>
      </c>
      <c r="J147" s="30">
        <f t="shared" ca="1" si="18"/>
        <v>0.19420204225043783</v>
      </c>
      <c r="K147" s="30">
        <f t="shared" ca="1" si="19"/>
        <v>-2.4398082406207663E-3</v>
      </c>
      <c r="L147" s="30">
        <f t="shared" ca="1" si="19"/>
        <v>1.6543131982678056E-2</v>
      </c>
      <c r="M147" s="30">
        <f t="shared" ca="1" si="19"/>
        <v>1.2412609338833537E-2</v>
      </c>
      <c r="N147" s="30">
        <f t="shared" ca="1" si="19"/>
        <v>0.14286389377910533</v>
      </c>
      <c r="O147" s="30">
        <f t="shared" ca="1" si="20"/>
        <v>6.9665491279900849E-2</v>
      </c>
      <c r="P147" s="30">
        <f t="shared" ca="1" si="21"/>
        <v>0.10282485875706193</v>
      </c>
      <c r="Q147" s="30">
        <f t="shared" ca="1" si="22"/>
        <v>2.8733788552312012E-2</v>
      </c>
      <c r="R147" s="30">
        <f t="shared" ca="1" si="23"/>
        <v>0.33706593602954316</v>
      </c>
      <c r="S147" s="9" cm="1">
        <f t="array" aca="1" ref="S147" ca="1">_xll.BDH($E$6,"PX LAST",AG147)</f>
        <v>224.48</v>
      </c>
      <c r="T147" s="9" cm="1">
        <f t="array" aca="1" ref="T147" ca="1">_xll.BDH($E$6,"PX LAST",AH147)</f>
        <v>209.86</v>
      </c>
      <c r="U147" s="9" cm="1">
        <f t="array" aca="1" ref="U147" ca="1">_xll.BDH($E$6,"PX LAST",AI147)</f>
        <v>203.55</v>
      </c>
      <c r="V147" s="9" cm="1">
        <f t="array" aca="1" ref="V147" ca="1">_xll.BDH($E$6,"PX LAST",AJ147)</f>
        <v>218.21</v>
      </c>
      <c r="W147" s="9" cm="1">
        <f t="array" aca="1" ref="W147" ca="1">_xll.BDH($E$6,"PX LAST",AK147)</f>
        <v>167.89</v>
      </c>
      <c r="X147" s="24">
        <f t="shared" ca="1" si="24"/>
        <v>-1.5242318755184225E-3</v>
      </c>
      <c r="Y147" s="24">
        <f t="shared" ca="1" si="25"/>
        <v>1.033506185817723E-2</v>
      </c>
      <c r="Z147" s="24">
        <f t="shared" ca="1" si="26"/>
        <v>7.7545827158096436E-3</v>
      </c>
      <c r="AA147" s="24">
        <f t="shared" ca="1" si="27"/>
        <v>8.9251973631905512E-2</v>
      </c>
      <c r="AB147" s="9" cm="1">
        <f t="array" aca="1" ref="AB147" ca="1">_xll.BDH($E$8,"PX LAST",AG147)</f>
        <v>6439.32</v>
      </c>
      <c r="AC147" s="9" cm="1">
        <f t="array" aca="1" ref="AC147" ca="1">_xll.BDH($E$8,"PX LAST",AH147)</f>
        <v>6449.15</v>
      </c>
      <c r="AD147" s="9" cm="1">
        <f t="array" aca="1" ref="AD147" ca="1">_xll.BDH($E$8,"PX LAST",AI147)</f>
        <v>6373.45</v>
      </c>
      <c r="AE147" s="9" cm="1">
        <f t="array" aca="1" ref="AE147" ca="1">_xll.BDH($E$8,"PX LAST",AJ147)</f>
        <v>6389.77</v>
      </c>
      <c r="AF147" s="9" cm="1">
        <f t="array" aca="1" ref="AF147" ca="1">_xll.BDH($E$8,"PX LAST",AK147)</f>
        <v>5911.69</v>
      </c>
      <c r="AG147" s="20">
        <f t="shared" ca="1" si="33"/>
        <v>45894</v>
      </c>
      <c r="AH147" s="22">
        <f t="shared" ca="1" si="28"/>
        <v>45887</v>
      </c>
      <c r="AI147" s="22">
        <f t="shared" ca="1" si="29"/>
        <v>45880</v>
      </c>
      <c r="AJ147" s="22">
        <f t="shared" ca="1" si="30"/>
        <v>45866</v>
      </c>
      <c r="AK147" s="22">
        <f t="shared" ca="1" si="31"/>
        <v>45807</v>
      </c>
      <c r="AL147" s="22">
        <f t="shared" ca="1" si="32"/>
        <v>45721</v>
      </c>
    </row>
    <row r="148" spans="4:38" x14ac:dyDescent="0.25">
      <c r="D148" s="6">
        <f ca="1"/>
        <v>45891</v>
      </c>
      <c r="E148" s="28">
        <f ca="1"/>
        <v>222.2</v>
      </c>
      <c r="F148" s="29" cm="1">
        <f t="array" aca="1" ref="F148" ca="1">_xll.FDS($E$7,"P_BETA_LOCIDX("&amp;$AG148&amp;","&amp;$AL148&amp;",,"""&amp;$E$9&amp;""")")</f>
        <v>1.6118866999999999</v>
      </c>
      <c r="G148" s="30">
        <f t="shared" ca="1" si="18"/>
        <v>7.3214053479789098E-2</v>
      </c>
      <c r="H148" s="30">
        <f t="shared" ca="1" si="18"/>
        <v>6.8181655040569542E-2</v>
      </c>
      <c r="I148" s="30">
        <f t="shared" ca="1" si="18"/>
        <v>1.648767817168138E-2</v>
      </c>
      <c r="J148" s="30">
        <f t="shared" ca="1" si="18"/>
        <v>0.148095593991313</v>
      </c>
      <c r="K148" s="30">
        <f t="shared" ca="1" si="19"/>
        <v>4.2760056803310912E-3</v>
      </c>
      <c r="L148" s="30">
        <f t="shared" ca="1" si="19"/>
        <v>1.9541078462465514E-2</v>
      </c>
      <c r="M148" s="30">
        <f t="shared" ca="1" si="19"/>
        <v>1.9747923190068368E-2</v>
      </c>
      <c r="N148" s="30">
        <f t="shared" ca="1" si="19"/>
        <v>0.15124362593734608</v>
      </c>
      <c r="O148" s="30">
        <f t="shared" ca="1" si="20"/>
        <v>7.7490059160120195E-2</v>
      </c>
      <c r="P148" s="30">
        <f t="shared" ca="1" si="21"/>
        <v>8.7722733503035055E-2</v>
      </c>
      <c r="Q148" s="30">
        <f t="shared" ca="1" si="22"/>
        <v>3.6235601361749747E-2</v>
      </c>
      <c r="R148" s="30">
        <f t="shared" ca="1" si="23"/>
        <v>0.29933921992865908</v>
      </c>
      <c r="S148" s="9" cm="1">
        <f t="array" aca="1" ref="S148" ca="1">_xll.BDH($E$6,"PX LAST",AG148)</f>
        <v>222.2</v>
      </c>
      <c r="T148" s="9" cm="1">
        <f t="array" aca="1" ref="T148" ca="1">_xll.BDH($E$6,"PX LAST",AH148)</f>
        <v>206.22</v>
      </c>
      <c r="U148" s="9" cm="1">
        <f t="array" aca="1" ref="U148" ca="1">_xll.BDH($E$6,"PX LAST",AI148)</f>
        <v>204.28</v>
      </c>
      <c r="V148" s="9" cm="1">
        <f t="array" aca="1" ref="V148" ca="1">_xll.BDH($E$6,"PX LAST",AJ148)</f>
        <v>214.43</v>
      </c>
      <c r="W148" s="9" cm="1">
        <f t="array" aca="1" ref="W148" ca="1">_xll.BDH($E$6,"PX LAST",AK148)</f>
        <v>171.01</v>
      </c>
      <c r="X148" s="24">
        <f t="shared" ca="1" si="24"/>
        <v>2.65279543551733E-3</v>
      </c>
      <c r="Y148" s="24">
        <f t="shared" ca="1" si="25"/>
        <v>1.2123109187801795E-2</v>
      </c>
      <c r="Z148" s="24">
        <f t="shared" ca="1" si="26"/>
        <v>1.2251433794985944E-2</v>
      </c>
      <c r="AA148" s="24">
        <f t="shared" ca="1" si="27"/>
        <v>9.3830184179412912E-2</v>
      </c>
      <c r="AB148" s="9" cm="1">
        <f t="array" aca="1" ref="AB148" ca="1">_xll.BDH($E$8,"PX LAST",AG148)</f>
        <v>6466.91</v>
      </c>
      <c r="AC148" s="9" cm="1">
        <f t="array" aca="1" ref="AC148" ca="1">_xll.BDH($E$8,"PX LAST",AH148)</f>
        <v>6449.8</v>
      </c>
      <c r="AD148" s="9" cm="1">
        <f t="array" aca="1" ref="AD148" ca="1">_xll.BDH($E$8,"PX LAST",AI148)</f>
        <v>6389.45</v>
      </c>
      <c r="AE148" s="9" cm="1">
        <f t="array" aca="1" ref="AE148" ca="1">_xll.BDH($E$8,"PX LAST",AJ148)</f>
        <v>6388.64</v>
      </c>
      <c r="AF148" s="9" cm="1">
        <f t="array" aca="1" ref="AF148" ca="1">_xll.BDH($E$8,"PX LAST",AK148)</f>
        <v>5912.17</v>
      </c>
      <c r="AG148" s="20">
        <f t="shared" ca="1" si="33"/>
        <v>45891</v>
      </c>
      <c r="AH148" s="22">
        <f t="shared" ca="1" si="28"/>
        <v>45884</v>
      </c>
      <c r="AI148" s="22">
        <f t="shared" ca="1" si="29"/>
        <v>45877</v>
      </c>
      <c r="AJ148" s="22">
        <f t="shared" ca="1" si="30"/>
        <v>45863</v>
      </c>
      <c r="AK148" s="22">
        <f t="shared" ca="1" si="31"/>
        <v>45806</v>
      </c>
      <c r="AL148" s="22">
        <f t="shared" ca="1" si="32"/>
        <v>45720</v>
      </c>
    </row>
    <row r="149" spans="4:38" x14ac:dyDescent="0.25">
      <c r="D149" s="6">
        <f ca="1"/>
        <v>45890</v>
      </c>
      <c r="E149" s="28">
        <f ca="1"/>
        <v>211.02</v>
      </c>
      <c r="F149" s="29" cm="1">
        <f t="array" aca="1" ref="F149" ca="1">_xll.FDS($E$7,"P_BETA_LOCIDX("&amp;$AG149&amp;","&amp;$AL149&amp;",,"""&amp;$E$9&amp;""")")</f>
        <v>1.6191639</v>
      </c>
      <c r="G149" s="30">
        <f t="shared" ca="1" si="18"/>
        <v>2.5619512073266428E-2</v>
      </c>
      <c r="H149" s="30">
        <f t="shared" ca="1" si="18"/>
        <v>2.2163153504572743E-2</v>
      </c>
      <c r="I149" s="30">
        <f t="shared" ca="1" si="18"/>
        <v>-5.1828208029853304E-3</v>
      </c>
      <c r="J149" s="30">
        <f t="shared" ref="J149:J212" ca="1" si="34">+R149-N149</f>
        <v>8.9811352318311E-2</v>
      </c>
      <c r="K149" s="30">
        <f t="shared" ca="1" si="19"/>
        <v>-2.4623354395736954E-2</v>
      </c>
      <c r="L149" s="30">
        <f t="shared" ca="1" si="19"/>
        <v>7.7050748995268975E-3</v>
      </c>
      <c r="M149" s="30">
        <f t="shared" ca="1" si="19"/>
        <v>1.7353591737055505E-3</v>
      </c>
      <c r="N149" s="30">
        <f t="shared" ref="N149:N212" ca="1" si="35">+AA149*$F149</f>
        <v>0.13243017678681507</v>
      </c>
      <c r="O149" s="30">
        <f t="shared" ca="1" si="20"/>
        <v>9.9615767752947448E-4</v>
      </c>
      <c r="P149" s="30">
        <f t="shared" ca="1" si="21"/>
        <v>2.9868228404099639E-2</v>
      </c>
      <c r="Q149" s="30">
        <f t="shared" ca="1" si="22"/>
        <v>-3.4474616292797799E-3</v>
      </c>
      <c r="R149" s="30">
        <f t="shared" ca="1" si="23"/>
        <v>0.22224152910512607</v>
      </c>
      <c r="S149" s="9" cm="1">
        <f t="array" aca="1" ref="S149" ca="1">_xll.BDH($E$6,"PX LAST",AG149)</f>
        <v>211.02</v>
      </c>
      <c r="T149" s="9" cm="1">
        <f t="array" aca="1" ref="T149" ca="1">_xll.BDH($E$6,"PX LAST",AH149)</f>
        <v>210.81</v>
      </c>
      <c r="U149" s="9" cm="1">
        <f t="array" aca="1" ref="U149" ca="1">_xll.BDH($E$6,"PX LAST",AI149)</f>
        <v>204.9</v>
      </c>
      <c r="V149" s="9" cm="1">
        <f t="array" aca="1" ref="V149" ca="1">_xll.BDH($E$6,"PX LAST",AJ149)</f>
        <v>211.75</v>
      </c>
      <c r="W149" s="9" cm="1">
        <f t="array" aca="1" ref="W149" ca="1">_xll.BDH($E$6,"PX LAST",AK149)</f>
        <v>172.65</v>
      </c>
      <c r="X149" s="24">
        <f t="shared" ca="1" si="24"/>
        <v>-1.5207450212876505E-2</v>
      </c>
      <c r="Y149" s="24">
        <f t="shared" ca="1" si="25"/>
        <v>4.758675078864405E-3</v>
      </c>
      <c r="Z149" s="24">
        <f t="shared" ca="1" si="26"/>
        <v>1.0717625150273857E-3</v>
      </c>
      <c r="AA149" s="24">
        <f t="shared" ca="1" si="27"/>
        <v>8.1789235040884423E-2</v>
      </c>
      <c r="AB149" s="9" cm="1">
        <f t="array" aca="1" ref="AB149" ca="1">_xll.BDH($E$8,"PX LAST",AG149)</f>
        <v>6370.17</v>
      </c>
      <c r="AC149" s="9" cm="1">
        <f t="array" aca="1" ref="AC149" ca="1">_xll.BDH($E$8,"PX LAST",AH149)</f>
        <v>6468.54</v>
      </c>
      <c r="AD149" s="9" cm="1">
        <f t="array" aca="1" ref="AD149" ca="1">_xll.BDH($E$8,"PX LAST",AI149)</f>
        <v>6340</v>
      </c>
      <c r="AE149" s="9" cm="1">
        <f t="array" aca="1" ref="AE149" ca="1">_xll.BDH($E$8,"PX LAST",AJ149)</f>
        <v>6363.35</v>
      </c>
      <c r="AF149" s="9" cm="1">
        <f t="array" aca="1" ref="AF149" ca="1">_xll.BDH($E$8,"PX LAST",AK149)</f>
        <v>5888.55</v>
      </c>
      <c r="AG149" s="20">
        <f t="shared" ca="1" si="33"/>
        <v>45890</v>
      </c>
      <c r="AH149" s="22">
        <f t="shared" ca="1" si="28"/>
        <v>45883</v>
      </c>
      <c r="AI149" s="22">
        <f t="shared" ca="1" si="29"/>
        <v>45876</v>
      </c>
      <c r="AJ149" s="22">
        <f t="shared" ca="1" si="30"/>
        <v>45862</v>
      </c>
      <c r="AK149" s="22">
        <f t="shared" ca="1" si="31"/>
        <v>45805</v>
      </c>
      <c r="AL149" s="22">
        <f t="shared" ca="1" si="32"/>
        <v>45719</v>
      </c>
    </row>
    <row r="150" spans="4:38" x14ac:dyDescent="0.25">
      <c r="D150" s="6">
        <f ca="1"/>
        <v>45889</v>
      </c>
      <c r="E150" s="28">
        <f ca="1"/>
        <v>209.51</v>
      </c>
      <c r="F150" s="29" cm="1">
        <f t="array" aca="1" ref="F150" ca="1">_xll.FDS($E$7,"P_BETA_LOCIDX("&amp;$AG150&amp;","&amp;$AL150&amp;",,"""&amp;$E$9&amp;""")")</f>
        <v>1.6090498</v>
      </c>
      <c r="G150" s="30">
        <f t="shared" ref="G150:J213" ca="1" si="36">+O150-K150</f>
        <v>-9.8179353814097856E-3</v>
      </c>
      <c r="H150" s="30">
        <f t="shared" ca="1" si="36"/>
        <v>2.894678752643088E-3</v>
      </c>
      <c r="I150" s="30">
        <f t="shared" ca="1" si="36"/>
        <v>-2.3492906714041223E-2</v>
      </c>
      <c r="J150" s="30">
        <f t="shared" ca="1" si="34"/>
        <v>0.11128001680694274</v>
      </c>
      <c r="K150" s="30">
        <f t="shared" ref="K150:N213" ca="1" si="37">+X150*$F150</f>
        <v>-1.761684319068197E-2</v>
      </c>
      <c r="L150" s="30">
        <f t="shared" ca="1" si="37"/>
        <v>1.2862133038300371E-2</v>
      </c>
      <c r="M150" s="30">
        <f t="shared" ca="1" si="37"/>
        <v>9.3295338550160867E-3</v>
      </c>
      <c r="N150" s="30">
        <f t="shared" ca="1" si="35"/>
        <v>0.12886441316819622</v>
      </c>
      <c r="O150" s="30">
        <f t="shared" ref="O150:O213" ca="1" si="38">+S150/T150-1</f>
        <v>-2.7434778572091756E-2</v>
      </c>
      <c r="P150" s="30">
        <f t="shared" ref="P150:P213" ca="1" si="39">+S150/U150-1</f>
        <v>1.5756811790943459E-2</v>
      </c>
      <c r="Q150" s="30">
        <f t="shared" ref="Q150:Q213" ca="1" si="40">+S150/V150-1</f>
        <v>-1.4163372859025136E-2</v>
      </c>
      <c r="R150" s="30">
        <f t="shared" ref="R150:R213" ca="1" si="41">+S150/W150-1</f>
        <v>0.24014442997513896</v>
      </c>
      <c r="S150" s="9" cm="1">
        <f t="array" aca="1" ref="S150" ca="1">_xll.BDH($E$6,"PX LAST",AG150)</f>
        <v>209.51</v>
      </c>
      <c r="T150" s="9" cm="1">
        <f t="array" aca="1" ref="T150" ca="1">_xll.BDH($E$6,"PX LAST",AH150)</f>
        <v>215.42</v>
      </c>
      <c r="U150" s="9" cm="1">
        <f t="array" aca="1" ref="U150" ca="1">_xll.BDH($E$6,"PX LAST",AI150)</f>
        <v>206.26</v>
      </c>
      <c r="V150" s="9" cm="1">
        <f t="array" aca="1" ref="V150" ca="1">_xll.BDH($E$6,"PX LAST",AJ150)</f>
        <v>212.52</v>
      </c>
      <c r="W150" s="9" cm="1">
        <f t="array" aca="1" ref="W150" ca="1">_xll.BDH($E$6,"PX LAST",AK150)</f>
        <v>168.94</v>
      </c>
      <c r="X150" s="24">
        <f t="shared" ref="X150:X213" ca="1" si="42">+AB150/AC150-1</f>
        <v>-1.0948600342066461E-2</v>
      </c>
      <c r="Y150" s="24">
        <f t="shared" ref="Y150:Y213" ca="1" si="43">+AB150/AD150-1</f>
        <v>7.9936202336934326E-3</v>
      </c>
      <c r="Z150" s="24">
        <f t="shared" ref="Z150:Z213" ca="1" si="44">+AB150/AE150-1</f>
        <v>5.7981635217356775E-3</v>
      </c>
      <c r="AA150" s="24">
        <f t="shared" ref="AA150:AA213" ca="1" si="45">+AB150/AF150-1</f>
        <v>8.0087274594109026E-2</v>
      </c>
      <c r="AB150" s="9" cm="1">
        <f t="array" aca="1" ref="AB150" ca="1">_xll.BDH($E$8,"PX LAST",AG150)</f>
        <v>6395.78</v>
      </c>
      <c r="AC150" s="9" cm="1">
        <f t="array" aca="1" ref="AC150" ca="1">_xll.BDH($E$8,"PX LAST",AH150)</f>
        <v>6466.58</v>
      </c>
      <c r="AD150" s="9" cm="1">
        <f t="array" aca="1" ref="AD150" ca="1">_xll.BDH($E$8,"PX LAST",AI150)</f>
        <v>6345.06</v>
      </c>
      <c r="AE150" s="9" cm="1">
        <f t="array" aca="1" ref="AE150" ca="1">_xll.BDH($E$8,"PX LAST",AJ150)</f>
        <v>6358.91</v>
      </c>
      <c r="AF150" s="9" cm="1">
        <f t="array" aca="1" ref="AF150" ca="1">_xll.BDH($E$8,"PX LAST",AK150)</f>
        <v>5921.54</v>
      </c>
      <c r="AG150" s="20">
        <f t="shared" ca="1" si="33"/>
        <v>45889</v>
      </c>
      <c r="AH150" s="22">
        <f t="shared" ref="AH150:AH213" ca="1" si="46">+WORKDAY($AG150, -5, $AN$2:$AN$100)</f>
        <v>45882</v>
      </c>
      <c r="AI150" s="22">
        <f t="shared" ref="AI150:AI213" ca="1" si="47">+WORKDAY($AG150, -10, $AN$2:$AN$100)</f>
        <v>45875</v>
      </c>
      <c r="AJ150" s="22">
        <f t="shared" ref="AJ150:AJ213" ca="1" si="48">+WORKDAY($AG150, -20, $AN$2:$AN$100)</f>
        <v>45861</v>
      </c>
      <c r="AK150" s="22">
        <f t="shared" ref="AK150:AK213" ca="1" si="49">+WORKDAY($AG150, -60, $AN$2:$AN$100)</f>
        <v>45804</v>
      </c>
      <c r="AL150" s="22">
        <f t="shared" ref="AL150:AL213" ca="1" si="50">+WORKDAY($AG150, -120, $AN$2:$AN$100)</f>
        <v>45716</v>
      </c>
    </row>
    <row r="151" spans="4:38" x14ac:dyDescent="0.25">
      <c r="D151" s="6">
        <f ca="1"/>
        <v>45888</v>
      </c>
      <c r="E151" s="28">
        <f ca="1"/>
        <v>211.93</v>
      </c>
      <c r="F151" s="29" cm="1">
        <f t="array" aca="1" ref="F151" ca="1">_xll.FDS($E$7,"P_BETA_LOCIDX("&amp;$AG151&amp;","&amp;$AL151&amp;",,"""&amp;$E$9&amp;""")")</f>
        <v>1.5976446</v>
      </c>
      <c r="G151" s="30">
        <f t="shared" ca="1" si="36"/>
        <v>1.1647862132984282E-2</v>
      </c>
      <c r="H151" s="30">
        <f t="shared" ca="1" si="36"/>
        <v>-3.3478803970630536E-3</v>
      </c>
      <c r="I151" s="30">
        <f t="shared" ca="1" si="36"/>
        <v>-6.1834003489179938E-3</v>
      </c>
      <c r="J151" s="30">
        <f t="shared" ca="1" si="34"/>
        <v>0.11937282226262391</v>
      </c>
      <c r="K151" s="30">
        <f t="shared" ca="1" si="37"/>
        <v>-8.5238975379164743E-3</v>
      </c>
      <c r="L151" s="30">
        <f t="shared" ca="1" si="37"/>
        <v>2.8451875753549495E-2</v>
      </c>
      <c r="M151" s="30">
        <f t="shared" ca="1" si="37"/>
        <v>2.5763887215077979E-2</v>
      </c>
      <c r="N151" s="30">
        <f t="shared" ca="1" si="35"/>
        <v>0.16754726517968843</v>
      </c>
      <c r="O151" s="30">
        <f t="shared" ca="1" si="38"/>
        <v>3.1239645950678074E-3</v>
      </c>
      <c r="P151" s="30">
        <f t="shared" ca="1" si="39"/>
        <v>2.5103995356486442E-2</v>
      </c>
      <c r="Q151" s="30">
        <f t="shared" ca="1" si="40"/>
        <v>1.9580486866159985E-2</v>
      </c>
      <c r="R151" s="30">
        <f t="shared" ca="1" si="41"/>
        <v>0.28692008744231234</v>
      </c>
      <c r="S151" s="9" cm="1">
        <f t="array" aca="1" ref="S151" ca="1">_xll.BDH($E$6,"PX LAST",AG151)</f>
        <v>211.93</v>
      </c>
      <c r="T151" s="9" cm="1">
        <f t="array" aca="1" ref="T151" ca="1">_xll.BDH($E$6,"PX LAST",AH151)</f>
        <v>211.27</v>
      </c>
      <c r="U151" s="9" cm="1">
        <f t="array" aca="1" ref="U151" ca="1">_xll.BDH($E$6,"PX LAST",AI151)</f>
        <v>206.74</v>
      </c>
      <c r="V151" s="9" cm="1">
        <f t="array" aca="1" ref="V151" ca="1">_xll.BDH($E$6,"PX LAST",AJ151)</f>
        <v>207.86</v>
      </c>
      <c r="W151" s="9" cm="1">
        <f t="array" aca="1" ref="W151" ca="1">_xll.BDH($E$6,"PX LAST",AK151)</f>
        <v>164.68</v>
      </c>
      <c r="X151" s="24">
        <f t="shared" ca="1" si="42"/>
        <v>-5.3352901752470316E-3</v>
      </c>
      <c r="Y151" s="24">
        <f t="shared" ca="1" si="43"/>
        <v>1.7808638888492156E-2</v>
      </c>
      <c r="Z151" s="24">
        <f t="shared" ca="1" si="44"/>
        <v>1.6126169246325484E-2</v>
      </c>
      <c r="AA151" s="24">
        <f t="shared" ca="1" si="45"/>
        <v>0.10487142458321985</v>
      </c>
      <c r="AB151" s="9" cm="1">
        <f t="array" aca="1" ref="AB151" ca="1">_xll.BDH($E$8,"PX LAST",AG151)</f>
        <v>6411.37</v>
      </c>
      <c r="AC151" s="9" cm="1">
        <f t="array" aca="1" ref="AC151" ca="1">_xll.BDH($E$8,"PX LAST",AH151)</f>
        <v>6445.76</v>
      </c>
      <c r="AD151" s="9" cm="1">
        <f t="array" aca="1" ref="AD151" ca="1">_xll.BDH($E$8,"PX LAST",AI151)</f>
        <v>6299.19</v>
      </c>
      <c r="AE151" s="9" cm="1">
        <f t="array" aca="1" ref="AE151" ca="1">_xll.BDH($E$8,"PX LAST",AJ151)</f>
        <v>6309.62</v>
      </c>
      <c r="AF151" s="9" cm="1">
        <f t="array" aca="1" ref="AF151" ca="1">_xll.BDH($E$8,"PX LAST",AK151)</f>
        <v>5802.82</v>
      </c>
      <c r="AG151" s="20">
        <f t="shared" ref="AG151:AG214" ca="1" si="51">+WORKDAY(D151, 0, $AN$2:$AN$59)</f>
        <v>45888</v>
      </c>
      <c r="AH151" s="22">
        <f t="shared" ca="1" si="46"/>
        <v>45881</v>
      </c>
      <c r="AI151" s="22">
        <f t="shared" ca="1" si="47"/>
        <v>45874</v>
      </c>
      <c r="AJ151" s="22">
        <f t="shared" ca="1" si="48"/>
        <v>45860</v>
      </c>
      <c r="AK151" s="22">
        <f t="shared" ca="1" si="49"/>
        <v>45800</v>
      </c>
      <c r="AL151" s="22">
        <f t="shared" ca="1" si="50"/>
        <v>45715</v>
      </c>
    </row>
    <row r="152" spans="4:38" x14ac:dyDescent="0.25">
      <c r="D152" s="6">
        <f ca="1"/>
        <v>45887</v>
      </c>
      <c r="E152" s="28">
        <f ca="1"/>
        <v>209.86</v>
      </c>
      <c r="F152" s="29" cm="1">
        <f t="array" aca="1" ref="F152" ca="1">_xll.FDS($E$7,"P_BETA_LOCIDX("&amp;$AG152&amp;","&amp;$AL152&amp;",,"""&amp;$E$9&amp;""")")</f>
        <v>1.6012696</v>
      </c>
      <c r="G152" s="30">
        <f t="shared" ca="1" si="36"/>
        <v>1.1980838589214726E-2</v>
      </c>
      <c r="H152" s="30">
        <f t="shared" ca="1" si="36"/>
        <v>-2.6377626415362319E-2</v>
      </c>
      <c r="I152" s="30">
        <f t="shared" ca="1" si="36"/>
        <v>-4.439898976086834E-3</v>
      </c>
      <c r="J152" s="30">
        <f t="shared" ca="1" si="34"/>
        <v>9.9022124967151542E-2</v>
      </c>
      <c r="K152" s="30">
        <f t="shared" ca="1" si="37"/>
        <v>1.901891577089343E-2</v>
      </c>
      <c r="L152" s="30">
        <f t="shared" ca="1" si="37"/>
        <v>3.0156265148800963E-2</v>
      </c>
      <c r="M152" s="30">
        <f t="shared" ca="1" si="37"/>
        <v>3.6453668339253856E-2</v>
      </c>
      <c r="N152" s="30">
        <f t="shared" ca="1" si="35"/>
        <v>0.16641444039705502</v>
      </c>
      <c r="O152" s="30">
        <f t="shared" ca="1" si="38"/>
        <v>3.0999754360108156E-2</v>
      </c>
      <c r="P152" s="30">
        <f t="shared" ca="1" si="39"/>
        <v>3.778638733438644E-3</v>
      </c>
      <c r="Q152" s="30">
        <f t="shared" ca="1" si="40"/>
        <v>3.2013769363167022E-2</v>
      </c>
      <c r="R152" s="30">
        <f t="shared" ca="1" si="41"/>
        <v>0.26543656536420657</v>
      </c>
      <c r="S152" s="9" cm="1">
        <f t="array" aca="1" ref="S152" ca="1">_xll.BDH($E$6,"PX LAST",AG152)</f>
        <v>209.86</v>
      </c>
      <c r="T152" s="9" cm="1">
        <f t="array" aca="1" ref="T152" ca="1">_xll.BDH($E$6,"PX LAST",AH152)</f>
        <v>203.55</v>
      </c>
      <c r="U152" s="9" cm="1">
        <f t="array" aca="1" ref="U152" ca="1">_xll.BDH($E$6,"PX LAST",AI152)</f>
        <v>209.07</v>
      </c>
      <c r="V152" s="9" cm="1">
        <f t="array" aca="1" ref="V152" ca="1">_xll.BDH($E$6,"PX LAST",AJ152)</f>
        <v>203.35</v>
      </c>
      <c r="W152" s="9" cm="1">
        <f t="array" aca="1" ref="W152" ca="1">_xll.BDH($E$6,"PX LAST",AK152)</f>
        <v>165.84</v>
      </c>
      <c r="X152" s="24">
        <f t="shared" ca="1" si="42"/>
        <v>1.1877397641779641E-2</v>
      </c>
      <c r="Y152" s="24">
        <f t="shared" ca="1" si="43"/>
        <v>1.8832721953130793E-2</v>
      </c>
      <c r="Z152" s="24">
        <f t="shared" ca="1" si="44"/>
        <v>2.2765478304998643E-2</v>
      </c>
      <c r="AA152" s="24">
        <f t="shared" ca="1" si="45"/>
        <v>0.10392655952317775</v>
      </c>
      <c r="AB152" s="9" cm="1">
        <f t="array" aca="1" ref="AB152" ca="1">_xll.BDH($E$8,"PX LAST",AG152)</f>
        <v>6449.15</v>
      </c>
      <c r="AC152" s="9" cm="1">
        <f t="array" aca="1" ref="AC152" ca="1">_xll.BDH($E$8,"PX LAST",AH152)</f>
        <v>6373.45</v>
      </c>
      <c r="AD152" s="9" cm="1">
        <f t="array" aca="1" ref="AD152" ca="1">_xll.BDH($E$8,"PX LAST",AI152)</f>
        <v>6329.94</v>
      </c>
      <c r="AE152" s="9" cm="1">
        <f t="array" aca="1" ref="AE152" ca="1">_xll.BDH($E$8,"PX LAST",AJ152)</f>
        <v>6305.6</v>
      </c>
      <c r="AF152" s="9" cm="1">
        <f t="array" aca="1" ref="AF152" ca="1">_xll.BDH($E$8,"PX LAST",AK152)</f>
        <v>5842.01</v>
      </c>
      <c r="AG152" s="20">
        <f t="shared" ca="1" si="51"/>
        <v>45887</v>
      </c>
      <c r="AH152" s="22">
        <f t="shared" ca="1" si="46"/>
        <v>45880</v>
      </c>
      <c r="AI152" s="22">
        <f t="shared" ca="1" si="47"/>
        <v>45873</v>
      </c>
      <c r="AJ152" s="22">
        <f t="shared" ca="1" si="48"/>
        <v>45859</v>
      </c>
      <c r="AK152" s="22">
        <f t="shared" ca="1" si="49"/>
        <v>45799</v>
      </c>
      <c r="AL152" s="22">
        <f t="shared" ca="1" si="50"/>
        <v>45714</v>
      </c>
    </row>
    <row r="153" spans="4:38" x14ac:dyDescent="0.25">
      <c r="D153" s="6">
        <f ca="1"/>
        <v>45884</v>
      </c>
      <c r="E153" s="28">
        <f ca="1"/>
        <v>206.22</v>
      </c>
      <c r="F153" s="29" cm="1">
        <f t="array" aca="1" ref="F153" ca="1">_xll.FDS($E$7,"P_BETA_LOCIDX("&amp;$AG153&amp;","&amp;$AL153&amp;",,"""&amp;$E$9&amp;""")")</f>
        <v>1.6036258999999999</v>
      </c>
      <c r="G153" s="30">
        <f t="shared" ca="1" si="36"/>
        <v>-5.6498902849073281E-3</v>
      </c>
      <c r="H153" s="30">
        <f t="shared" ca="1" si="36"/>
        <v>-4.102966438155458E-2</v>
      </c>
      <c r="I153" s="30">
        <f t="shared" ca="1" si="36"/>
        <v>-3.7267498780788853E-2</v>
      </c>
      <c r="J153" s="30">
        <f t="shared" ca="1" si="34"/>
        <v>7.571537206423104E-2</v>
      </c>
      <c r="K153" s="30">
        <f t="shared" ca="1" si="37"/>
        <v>1.5146659425302873E-2</v>
      </c>
      <c r="L153" s="30">
        <f t="shared" ca="1" si="37"/>
        <v>5.4445557054413056E-2</v>
      </c>
      <c r="M153" s="30">
        <f t="shared" ca="1" si="37"/>
        <v>3.8967600786909105E-2</v>
      </c>
      <c r="N153" s="30">
        <f t="shared" ca="1" si="35"/>
        <v>0.16605014849938673</v>
      </c>
      <c r="O153" s="30">
        <f t="shared" ca="1" si="38"/>
        <v>9.4967691403955445E-3</v>
      </c>
      <c r="P153" s="30">
        <f t="shared" ca="1" si="39"/>
        <v>1.3415892672858476E-2</v>
      </c>
      <c r="Q153" s="30">
        <f t="shared" ca="1" si="40"/>
        <v>1.7001020061202521E-3</v>
      </c>
      <c r="R153" s="30">
        <f t="shared" ca="1" si="41"/>
        <v>0.24176552056361778</v>
      </c>
      <c r="S153" s="9" cm="1">
        <f t="array" aca="1" ref="S153" ca="1">_xll.BDH($E$6,"PX LAST",AG153)</f>
        <v>206.22</v>
      </c>
      <c r="T153" s="9" cm="1">
        <f t="array" aca="1" ref="T153" ca="1">_xll.BDH($E$6,"PX LAST",AH153)</f>
        <v>204.28</v>
      </c>
      <c r="U153" s="9" cm="1">
        <f t="array" aca="1" ref="U153" ca="1">_xll.BDH($E$6,"PX LAST",AI153)</f>
        <v>203.49</v>
      </c>
      <c r="V153" s="9" cm="1">
        <f t="array" aca="1" ref="V153" ca="1">_xll.BDH($E$6,"PX LAST",AJ153)</f>
        <v>205.87</v>
      </c>
      <c r="W153" s="9" cm="1">
        <f t="array" aca="1" ref="W153" ca="1">_xll.BDH($E$6,"PX LAST",AK153)</f>
        <v>166.07</v>
      </c>
      <c r="X153" s="24">
        <f t="shared" ca="1" si="42"/>
        <v>9.4452574165226899E-3</v>
      </c>
      <c r="Y153" s="24">
        <f t="shared" ca="1" si="43"/>
        <v>3.3951532620178471E-2</v>
      </c>
      <c r="Z153" s="24">
        <f t="shared" ca="1" si="44"/>
        <v>2.4299682854279858E-2</v>
      </c>
      <c r="AA153" s="24">
        <f t="shared" ca="1" si="45"/>
        <v>0.10354668660526545</v>
      </c>
      <c r="AB153" s="9" cm="1">
        <f t="array" aca="1" ref="AB153" ca="1">_xll.BDH($E$8,"PX LAST",AG153)</f>
        <v>6449.8</v>
      </c>
      <c r="AC153" s="9" cm="1">
        <f t="array" aca="1" ref="AC153" ca="1">_xll.BDH($E$8,"PX LAST",AH153)</f>
        <v>6389.45</v>
      </c>
      <c r="AD153" s="9" cm="1">
        <f t="array" aca="1" ref="AD153" ca="1">_xll.BDH($E$8,"PX LAST",AI153)</f>
        <v>6238.01</v>
      </c>
      <c r="AE153" s="9" cm="1">
        <f t="array" aca="1" ref="AE153" ca="1">_xll.BDH($E$8,"PX LAST",AJ153)</f>
        <v>6296.79</v>
      </c>
      <c r="AF153" s="9" cm="1">
        <f t="array" aca="1" ref="AF153" ca="1">_xll.BDH($E$8,"PX LAST",AK153)</f>
        <v>5844.61</v>
      </c>
      <c r="AG153" s="20">
        <f t="shared" ca="1" si="51"/>
        <v>45884</v>
      </c>
      <c r="AH153" s="22">
        <f t="shared" ca="1" si="46"/>
        <v>45877</v>
      </c>
      <c r="AI153" s="22">
        <f t="shared" ca="1" si="47"/>
        <v>45870</v>
      </c>
      <c r="AJ153" s="22">
        <f t="shared" ca="1" si="48"/>
        <v>45856</v>
      </c>
      <c r="AK153" s="22">
        <f t="shared" ca="1" si="49"/>
        <v>45798</v>
      </c>
      <c r="AL153" s="22">
        <f t="shared" ca="1" si="50"/>
        <v>45713</v>
      </c>
    </row>
    <row r="154" spans="4:38" x14ac:dyDescent="0.25">
      <c r="D154" s="6">
        <f ca="1"/>
        <v>45883</v>
      </c>
      <c r="E154" s="28">
        <f ca="1"/>
        <v>210.81</v>
      </c>
      <c r="F154" s="29" cm="1">
        <f t="array" aca="1" ref="F154" ca="1">_xll.FDS($E$7,"P_BETA_LOCIDX("&amp;$AG154&amp;","&amp;$AL154&amp;",,"""&amp;$E$9&amp;""")")</f>
        <v>1.60609</v>
      </c>
      <c r="G154" s="30">
        <f t="shared" ca="1" si="36"/>
        <v>-3.719249893492628E-3</v>
      </c>
      <c r="H154" s="30">
        <f t="shared" ca="1" si="36"/>
        <v>-1.4117636908381685E-2</v>
      </c>
      <c r="I154" s="30">
        <f t="shared" ca="1" si="36"/>
        <v>-1.7019309022807551E-2</v>
      </c>
      <c r="J154" s="30">
        <f t="shared" ca="1" si="34"/>
        <v>8.400659644212044E-2</v>
      </c>
      <c r="K154" s="30">
        <f t="shared" ca="1" si="37"/>
        <v>3.2562588107255354E-2</v>
      </c>
      <c r="L154" s="30">
        <f t="shared" ca="1" si="37"/>
        <v>3.2720265435633271E-2</v>
      </c>
      <c r="M154" s="30">
        <f t="shared" ca="1" si="37"/>
        <v>4.3658054518083668E-2</v>
      </c>
      <c r="N154" s="30">
        <f t="shared" ca="1" si="35"/>
        <v>0.14277412981486276</v>
      </c>
      <c r="O154" s="30">
        <f t="shared" ca="1" si="38"/>
        <v>2.8843338213762726E-2</v>
      </c>
      <c r="P154" s="30">
        <f t="shared" ca="1" si="39"/>
        <v>1.8602628527251586E-2</v>
      </c>
      <c r="Q154" s="30">
        <f t="shared" ca="1" si="40"/>
        <v>2.6638745495276117E-2</v>
      </c>
      <c r="R154" s="30">
        <f t="shared" ca="1" si="41"/>
        <v>0.2267807262569832</v>
      </c>
      <c r="S154" s="9" cm="1">
        <f t="array" aca="1" ref="S154" ca="1">_xll.BDH($E$6,"PX LAST",AG154)</f>
        <v>210.81</v>
      </c>
      <c r="T154" s="9" cm="1">
        <f t="array" aca="1" ref="T154" ca="1">_xll.BDH($E$6,"PX LAST",AH154)</f>
        <v>204.9</v>
      </c>
      <c r="U154" s="9" cm="1">
        <f t="array" aca="1" ref="U154" ca="1">_xll.BDH($E$6,"PX LAST",AI154)</f>
        <v>206.96</v>
      </c>
      <c r="V154" s="9" cm="1">
        <f t="array" aca="1" ref="V154" ca="1">_xll.BDH($E$6,"PX LAST",AJ154)</f>
        <v>205.34</v>
      </c>
      <c r="W154" s="9" cm="1">
        <f t="array" aca="1" ref="W154" ca="1">_xll.BDH($E$6,"PX LAST",AK154)</f>
        <v>171.84</v>
      </c>
      <c r="X154" s="24">
        <f t="shared" ca="1" si="42"/>
        <v>2.0274447949526708E-2</v>
      </c>
      <c r="Y154" s="24">
        <f t="shared" ca="1" si="43"/>
        <v>2.0372622602490065E-2</v>
      </c>
      <c r="Z154" s="24">
        <f t="shared" ca="1" si="44"/>
        <v>2.7182819467205244E-2</v>
      </c>
      <c r="AA154" s="24">
        <f t="shared" ca="1" si="45"/>
        <v>8.8895472741168158E-2</v>
      </c>
      <c r="AB154" s="9" cm="1">
        <f t="array" aca="1" ref="AB154" ca="1">_xll.BDH($E$8,"PX LAST",AG154)</f>
        <v>6468.54</v>
      </c>
      <c r="AC154" s="9" cm="1">
        <f t="array" aca="1" ref="AC154" ca="1">_xll.BDH($E$8,"PX LAST",AH154)</f>
        <v>6340</v>
      </c>
      <c r="AD154" s="9" cm="1">
        <f t="array" aca="1" ref="AD154" ca="1">_xll.BDH($E$8,"PX LAST",AI154)</f>
        <v>6339.39</v>
      </c>
      <c r="AE154" s="9" cm="1">
        <f t="array" aca="1" ref="AE154" ca="1">_xll.BDH($E$8,"PX LAST",AJ154)</f>
        <v>6297.36</v>
      </c>
      <c r="AF154" s="9" cm="1">
        <f t="array" aca="1" ref="AF154" ca="1">_xll.BDH($E$8,"PX LAST",AK154)</f>
        <v>5940.46</v>
      </c>
      <c r="AG154" s="20">
        <f t="shared" ca="1" si="51"/>
        <v>45883</v>
      </c>
      <c r="AH154" s="22">
        <f t="shared" ca="1" si="46"/>
        <v>45876</v>
      </c>
      <c r="AI154" s="22">
        <f t="shared" ca="1" si="47"/>
        <v>45869</v>
      </c>
      <c r="AJ154" s="22">
        <f t="shared" ca="1" si="48"/>
        <v>45855</v>
      </c>
      <c r="AK154" s="22">
        <f t="shared" ca="1" si="49"/>
        <v>45797</v>
      </c>
      <c r="AL154" s="22">
        <f t="shared" ca="1" si="50"/>
        <v>45712</v>
      </c>
    </row>
    <row r="155" spans="4:38" x14ac:dyDescent="0.25">
      <c r="D155" s="6">
        <f ca="1"/>
        <v>45882</v>
      </c>
      <c r="E155" s="28">
        <f ca="1"/>
        <v>215.42</v>
      </c>
      <c r="F155" s="29" cm="1">
        <f t="array" aca="1" ref="F155" ca="1">_xll.FDS($E$7,"P_BETA_LOCIDX("&amp;$AG155&amp;","&amp;$AL155&amp;",,"""&amp;$E$9&amp;""")")</f>
        <v>1.6209575000000001</v>
      </c>
      <c r="G155" s="30">
        <f t="shared" ca="1" si="36"/>
        <v>1.3365540462647263E-2</v>
      </c>
      <c r="H155" s="30">
        <f t="shared" ca="1" si="36"/>
        <v>-1.3957858809640872E-2</v>
      </c>
      <c r="I155" s="30">
        <f t="shared" ca="1" si="36"/>
        <v>2.9086100905461869E-2</v>
      </c>
      <c r="J155" s="30">
        <f t="shared" ca="1" si="34"/>
        <v>0.12165362820884129</v>
      </c>
      <c r="K155" s="30">
        <f t="shared" ca="1" si="37"/>
        <v>3.104442753890424E-2</v>
      </c>
      <c r="L155" s="30">
        <f t="shared" ca="1" si="37"/>
        <v>2.6412622169136896E-2</v>
      </c>
      <c r="M155" s="30">
        <f t="shared" ca="1" si="37"/>
        <v>5.2502491754075127E-2</v>
      </c>
      <c r="N155" s="30">
        <f t="shared" ca="1" si="35"/>
        <v>0.13671426711214696</v>
      </c>
      <c r="O155" s="30">
        <f t="shared" ca="1" si="38"/>
        <v>4.4409968001551503E-2</v>
      </c>
      <c r="P155" s="30">
        <f t="shared" ca="1" si="39"/>
        <v>1.2454763359496024E-2</v>
      </c>
      <c r="Q155" s="30">
        <f t="shared" ca="1" si="40"/>
        <v>8.1588592659536996E-2</v>
      </c>
      <c r="R155" s="30">
        <f t="shared" ca="1" si="41"/>
        <v>0.25836789532098825</v>
      </c>
      <c r="S155" s="9" cm="1">
        <f t="array" aca="1" ref="S155" ca="1">_xll.BDH($E$6,"PX LAST",AG155)</f>
        <v>215.42</v>
      </c>
      <c r="T155" s="9" cm="1">
        <f t="array" aca="1" ref="T155" ca="1">_xll.BDH($E$6,"PX LAST",AH155)</f>
        <v>206.26</v>
      </c>
      <c r="U155" s="9" cm="1">
        <f t="array" aca="1" ref="U155" ca="1">_xll.BDH($E$6,"PX LAST",AI155)</f>
        <v>212.77</v>
      </c>
      <c r="V155" s="9" cm="1">
        <f t="array" aca="1" ref="V155" ca="1">_xll.BDH($E$6,"PX LAST",AJ155)</f>
        <v>199.17</v>
      </c>
      <c r="W155" s="9" cm="1">
        <f t="array" aca="1" ref="W155" ca="1">_xll.BDH($E$6,"PX LAST",AK155)</f>
        <v>171.19</v>
      </c>
      <c r="X155" s="24">
        <f t="shared" ca="1" si="42"/>
        <v>1.9151907152966219E-2</v>
      </c>
      <c r="Y155" s="24">
        <f t="shared" ca="1" si="43"/>
        <v>1.6294456930016299E-2</v>
      </c>
      <c r="Z155" s="24">
        <f t="shared" ca="1" si="44"/>
        <v>3.2389801554991493E-2</v>
      </c>
      <c r="AA155" s="24">
        <f t="shared" ca="1" si="45"/>
        <v>8.4341672815078095E-2</v>
      </c>
      <c r="AB155" s="9" cm="1">
        <f t="array" aca="1" ref="AB155" ca="1">_xll.BDH($E$8,"PX LAST",AG155)</f>
        <v>6466.58</v>
      </c>
      <c r="AC155" s="9" cm="1">
        <f t="array" aca="1" ref="AC155" ca="1">_xll.BDH($E$8,"PX LAST",AH155)</f>
        <v>6345.06</v>
      </c>
      <c r="AD155" s="9" cm="1">
        <f t="array" aca="1" ref="AD155" ca="1">_xll.BDH($E$8,"PX LAST",AI155)</f>
        <v>6362.9</v>
      </c>
      <c r="AE155" s="9" cm="1">
        <f t="array" aca="1" ref="AE155" ca="1">_xll.BDH($E$8,"PX LAST",AJ155)</f>
        <v>6263.7</v>
      </c>
      <c r="AF155" s="9" cm="1">
        <f t="array" aca="1" ref="AF155" ca="1">_xll.BDH($E$8,"PX LAST",AK155)</f>
        <v>5963.6</v>
      </c>
      <c r="AG155" s="20">
        <f t="shared" ca="1" si="51"/>
        <v>45882</v>
      </c>
      <c r="AH155" s="22">
        <f t="shared" ca="1" si="46"/>
        <v>45875</v>
      </c>
      <c r="AI155" s="22">
        <f t="shared" ca="1" si="47"/>
        <v>45868</v>
      </c>
      <c r="AJ155" s="22">
        <f t="shared" ca="1" si="48"/>
        <v>45854</v>
      </c>
      <c r="AK155" s="22">
        <f t="shared" ca="1" si="49"/>
        <v>45796</v>
      </c>
      <c r="AL155" s="22">
        <f t="shared" ca="1" si="50"/>
        <v>45709</v>
      </c>
    </row>
    <row r="156" spans="4:38" x14ac:dyDescent="0.25">
      <c r="D156" s="6">
        <f ca="1"/>
        <v>45881</v>
      </c>
      <c r="E156" s="28">
        <f ca="1"/>
        <v>211.27</v>
      </c>
      <c r="F156" s="29" cm="1">
        <f t="array" aca="1" ref="F156" ca="1">_xll.FDS($E$7,"P_BETA_LOCIDX("&amp;$AG156&amp;","&amp;$AL156&amp;",,"""&amp;$E$9&amp;""")")</f>
        <v>1.6219828000000001</v>
      </c>
      <c r="G156" s="30">
        <f t="shared" ca="1" si="36"/>
        <v>-1.5828831147319471E-2</v>
      </c>
      <c r="H156" s="30">
        <f t="shared" ca="1" si="36"/>
        <v>-4.1826850791414794E-2</v>
      </c>
      <c r="I156" s="30">
        <f t="shared" ca="1" si="36"/>
        <v>1.3791401359032084E-2</v>
      </c>
      <c r="J156" s="30">
        <f t="shared" ca="1" si="34"/>
        <v>8.6355506733570397E-2</v>
      </c>
      <c r="K156" s="30">
        <f t="shared" ca="1" si="37"/>
        <v>3.7740410909339432E-2</v>
      </c>
      <c r="L156" s="30">
        <f t="shared" ca="1" si="37"/>
        <v>1.9069091413090211E-2</v>
      </c>
      <c r="M156" s="30">
        <f t="shared" ca="1" si="37"/>
        <v>5.247487501121121E-2</v>
      </c>
      <c r="N156" s="30">
        <f t="shared" ca="1" si="35"/>
        <v>0.13267397800475988</v>
      </c>
      <c r="O156" s="30">
        <f t="shared" ca="1" si="38"/>
        <v>2.1911579762019961E-2</v>
      </c>
      <c r="P156" s="30">
        <f t="shared" ca="1" si="39"/>
        <v>-2.2757759378324582E-2</v>
      </c>
      <c r="Q156" s="30">
        <f t="shared" ca="1" si="40"/>
        <v>6.6266276370243293E-2</v>
      </c>
      <c r="R156" s="30">
        <f t="shared" ca="1" si="41"/>
        <v>0.21902948473833028</v>
      </c>
      <c r="S156" s="9" cm="1">
        <f t="array" aca="1" ref="S156" ca="1">_xll.BDH($E$6,"PX LAST",AG156)</f>
        <v>211.27</v>
      </c>
      <c r="T156" s="9" cm="1">
        <f t="array" aca="1" ref="T156" ca="1">_xll.BDH($E$6,"PX LAST",AH156)</f>
        <v>206.74</v>
      </c>
      <c r="U156" s="9" cm="1">
        <f t="array" aca="1" ref="U156" ca="1">_xll.BDH($E$6,"PX LAST",AI156)</f>
        <v>216.19</v>
      </c>
      <c r="V156" s="9" cm="1">
        <f t="array" aca="1" ref="V156" ca="1">_xll.BDH($E$6,"PX LAST",AJ156)</f>
        <v>198.14</v>
      </c>
      <c r="W156" s="9" cm="1">
        <f t="array" aca="1" ref="W156" ca="1">_xll.BDH($E$6,"PX LAST",AK156)</f>
        <v>173.31</v>
      </c>
      <c r="X156" s="24">
        <f t="shared" ca="1" si="42"/>
        <v>2.3268070974204802E-2</v>
      </c>
      <c r="Y156" s="24">
        <f t="shared" ca="1" si="43"/>
        <v>1.175665451760044E-2</v>
      </c>
      <c r="Z156" s="24">
        <f t="shared" ca="1" si="44"/>
        <v>3.2352300536856005E-2</v>
      </c>
      <c r="AA156" s="24">
        <f t="shared" ca="1" si="45"/>
        <v>8.1797401307066808E-2</v>
      </c>
      <c r="AB156" s="9" cm="1">
        <f t="array" aca="1" ref="AB156" ca="1">_xll.BDH($E$8,"PX LAST",AG156)</f>
        <v>6445.76</v>
      </c>
      <c r="AC156" s="9" cm="1">
        <f t="array" aca="1" ref="AC156" ca="1">_xll.BDH($E$8,"PX LAST",AH156)</f>
        <v>6299.19</v>
      </c>
      <c r="AD156" s="9" cm="1">
        <f t="array" aca="1" ref="AD156" ca="1">_xll.BDH($E$8,"PX LAST",AI156)</f>
        <v>6370.86</v>
      </c>
      <c r="AE156" s="9" cm="1">
        <f t="array" aca="1" ref="AE156" ca="1">_xll.BDH($E$8,"PX LAST",AJ156)</f>
        <v>6243.76</v>
      </c>
      <c r="AF156" s="9" cm="1">
        <f t="array" aca="1" ref="AF156" ca="1">_xll.BDH($E$8,"PX LAST",AK156)</f>
        <v>5958.38</v>
      </c>
      <c r="AG156" s="20">
        <f t="shared" ca="1" si="51"/>
        <v>45881</v>
      </c>
      <c r="AH156" s="22">
        <f t="shared" ca="1" si="46"/>
        <v>45874</v>
      </c>
      <c r="AI156" s="22">
        <f t="shared" ca="1" si="47"/>
        <v>45867</v>
      </c>
      <c r="AJ156" s="22">
        <f t="shared" ca="1" si="48"/>
        <v>45853</v>
      </c>
      <c r="AK156" s="22">
        <f t="shared" ca="1" si="49"/>
        <v>45793</v>
      </c>
      <c r="AL156" s="22">
        <f t="shared" ca="1" si="50"/>
        <v>45708</v>
      </c>
    </row>
    <row r="157" spans="4:38" x14ac:dyDescent="0.25">
      <c r="D157" s="6">
        <f ca="1"/>
        <v>45880</v>
      </c>
      <c r="E157" s="28">
        <f ca="1"/>
        <v>203.55</v>
      </c>
      <c r="F157" s="29" cm="1">
        <f t="array" aca="1" ref="F157" ca="1">_xll.FDS($E$7,"P_BETA_LOCIDX("&amp;$AG157&amp;","&amp;$AL157&amp;",,"""&amp;$E$9&amp;""")")</f>
        <v>1.6131424000000001</v>
      </c>
      <c r="G157" s="30">
        <f t="shared" ca="1" si="36"/>
        <v>-3.7490869508537444E-2</v>
      </c>
      <c r="H157" s="30">
        <f t="shared" ca="1" si="36"/>
        <v>-6.3062890023447948E-2</v>
      </c>
      <c r="I157" s="30">
        <f t="shared" ca="1" si="36"/>
        <v>9.3422723005517905E-4</v>
      </c>
      <c r="J157" s="30">
        <f t="shared" ca="1" si="34"/>
        <v>6.4220749086413773E-2</v>
      </c>
      <c r="K157" s="30">
        <f t="shared" ca="1" si="37"/>
        <v>1.1088229244511166E-2</v>
      </c>
      <c r="L157" s="30">
        <f t="shared" ca="1" si="37"/>
        <v>-4.1200988404904212E-3</v>
      </c>
      <c r="M157" s="30">
        <f t="shared" ca="1" si="37"/>
        <v>2.6992244843472762E-2</v>
      </c>
      <c r="N157" s="30">
        <f t="shared" ca="1" si="35"/>
        <v>0.1244618017194727</v>
      </c>
      <c r="O157" s="30">
        <f t="shared" ca="1" si="38"/>
        <v>-2.6402640264026278E-2</v>
      </c>
      <c r="P157" s="30">
        <f t="shared" ca="1" si="39"/>
        <v>-6.7182988863938364E-2</v>
      </c>
      <c r="Q157" s="30">
        <f t="shared" ca="1" si="40"/>
        <v>2.7926472073527941E-2</v>
      </c>
      <c r="R157" s="30">
        <f t="shared" ca="1" si="41"/>
        <v>0.18868255080588647</v>
      </c>
      <c r="S157" s="9" cm="1">
        <f t="array" aca="1" ref="S157" ca="1">_xll.BDH($E$6,"PX LAST",AG157)</f>
        <v>203.55</v>
      </c>
      <c r="T157" s="9" cm="1">
        <f t="array" aca="1" ref="T157" ca="1">_xll.BDH($E$6,"PX LAST",AH157)</f>
        <v>209.07</v>
      </c>
      <c r="U157" s="9" cm="1">
        <f t="array" aca="1" ref="U157" ca="1">_xll.BDH($E$6,"PX LAST",AI157)</f>
        <v>218.21</v>
      </c>
      <c r="V157" s="9" cm="1">
        <f t="array" aca="1" ref="V157" ca="1">_xll.BDH($E$6,"PX LAST",AJ157)</f>
        <v>198.02</v>
      </c>
      <c r="W157" s="9" cm="1">
        <f t="array" aca="1" ref="W157" ca="1">_xll.BDH($E$6,"PX LAST",AK157)</f>
        <v>171.24</v>
      </c>
      <c r="X157" s="24">
        <f t="shared" ca="1" si="42"/>
        <v>6.8736828469149192E-3</v>
      </c>
      <c r="Y157" s="24">
        <f t="shared" ca="1" si="43"/>
        <v>-2.5540825413121748E-3</v>
      </c>
      <c r="Z157" s="24">
        <f t="shared" ca="1" si="44"/>
        <v>1.6732710542772145E-2</v>
      </c>
      <c r="AA157" s="24">
        <f t="shared" ca="1" si="45"/>
        <v>7.7154875923832078E-2</v>
      </c>
      <c r="AB157" s="9" cm="1">
        <f t="array" aca="1" ref="AB157" ca="1">_xll.BDH($E$8,"PX LAST",AG157)</f>
        <v>6373.45</v>
      </c>
      <c r="AC157" s="9" cm="1">
        <f t="array" aca="1" ref="AC157" ca="1">_xll.BDH($E$8,"PX LAST",AH157)</f>
        <v>6329.94</v>
      </c>
      <c r="AD157" s="9" cm="1">
        <f t="array" aca="1" ref="AD157" ca="1">_xll.BDH($E$8,"PX LAST",AI157)</f>
        <v>6389.77</v>
      </c>
      <c r="AE157" s="9" cm="1">
        <f t="array" aca="1" ref="AE157" ca="1">_xll.BDH($E$8,"PX LAST",AJ157)</f>
        <v>6268.56</v>
      </c>
      <c r="AF157" s="9" cm="1">
        <f t="array" aca="1" ref="AF157" ca="1">_xll.BDH($E$8,"PX LAST",AK157)</f>
        <v>5916.93</v>
      </c>
      <c r="AG157" s="20">
        <f t="shared" ca="1" si="51"/>
        <v>45880</v>
      </c>
      <c r="AH157" s="22">
        <f t="shared" ca="1" si="46"/>
        <v>45873</v>
      </c>
      <c r="AI157" s="22">
        <f t="shared" ca="1" si="47"/>
        <v>45866</v>
      </c>
      <c r="AJ157" s="22">
        <f t="shared" ca="1" si="48"/>
        <v>45852</v>
      </c>
      <c r="AK157" s="22">
        <f t="shared" ca="1" si="49"/>
        <v>45792</v>
      </c>
      <c r="AL157" s="22">
        <f t="shared" ca="1" si="50"/>
        <v>45707</v>
      </c>
    </row>
    <row r="158" spans="4:38" x14ac:dyDescent="0.25">
      <c r="D158" s="6">
        <f ca="1"/>
        <v>45877</v>
      </c>
      <c r="E158" s="28">
        <f ca="1"/>
        <v>204.28</v>
      </c>
      <c r="F158" s="29" cm="1">
        <f t="array" aca="1" ref="F158" ca="1">_xll.FDS($E$7,"P_BETA_LOCIDX("&amp;$AG158&amp;","&amp;$AL158&amp;",,"""&amp;$E$9&amp;""")")</f>
        <v>1.6140422999999999</v>
      </c>
      <c r="G158" s="30">
        <f t="shared" ca="1" si="36"/>
        <v>-3.5301806592771663E-2</v>
      </c>
      <c r="H158" s="30">
        <f t="shared" ca="1" si="36"/>
        <v>-4.753943503707482E-2</v>
      </c>
      <c r="I158" s="30">
        <f t="shared" ca="1" si="36"/>
        <v>-7.1160690505627233E-3</v>
      </c>
      <c r="J158" s="30">
        <f t="shared" ca="1" si="34"/>
        <v>3.9411121227285323E-2</v>
      </c>
      <c r="K158" s="30">
        <f t="shared" ca="1" si="37"/>
        <v>3.9184061249020137E-2</v>
      </c>
      <c r="L158" s="30">
        <f t="shared" ca="1" si="37"/>
        <v>2.0464046541969773E-4</v>
      </c>
      <c r="M158" s="30">
        <f t="shared" ca="1" si="37"/>
        <v>3.3442435610048227E-2</v>
      </c>
      <c r="N158" s="30">
        <f t="shared" ca="1" si="35"/>
        <v>0.13609814336012413</v>
      </c>
      <c r="O158" s="30">
        <f t="shared" ca="1" si="38"/>
        <v>3.8822546562484739E-3</v>
      </c>
      <c r="P158" s="30">
        <f t="shared" ca="1" si="39"/>
        <v>-4.7334794571655125E-2</v>
      </c>
      <c r="Q158" s="30">
        <f t="shared" ca="1" si="40"/>
        <v>2.6326366559485503E-2</v>
      </c>
      <c r="R158" s="30">
        <f t="shared" ca="1" si="41"/>
        <v>0.17550926458740945</v>
      </c>
      <c r="S158" s="9" cm="1">
        <f t="array" aca="1" ref="S158" ca="1">_xll.BDH($E$6,"PX LAST",AG158)</f>
        <v>204.28</v>
      </c>
      <c r="T158" s="9" cm="1">
        <f t="array" aca="1" ref="T158" ca="1">_xll.BDH($E$6,"PX LAST",AH158)</f>
        <v>203.49</v>
      </c>
      <c r="U158" s="9" cm="1">
        <f t="array" aca="1" ref="U158" ca="1">_xll.BDH($E$6,"PX LAST",AI158)</f>
        <v>214.43</v>
      </c>
      <c r="V158" s="9" cm="1">
        <f t="array" aca="1" ref="V158" ca="1">_xll.BDH($E$6,"PX LAST",AJ158)</f>
        <v>199.04</v>
      </c>
      <c r="W158" s="9" cm="1">
        <f t="array" aca="1" ref="W158" ca="1">_xll.BDH($E$6,"PX LAST",AK158)</f>
        <v>173.78</v>
      </c>
      <c r="X158" s="24">
        <f t="shared" ca="1" si="42"/>
        <v>2.4276972944897501E-2</v>
      </c>
      <c r="Y158" s="24">
        <f t="shared" ca="1" si="43"/>
        <v>1.267875478974112E-4</v>
      </c>
      <c r="Z158" s="24">
        <f t="shared" ca="1" si="44"/>
        <v>2.0719677303406625E-2</v>
      </c>
      <c r="AA158" s="24">
        <f t="shared" ca="1" si="45"/>
        <v>8.4321298989576743E-2</v>
      </c>
      <c r="AB158" s="9" cm="1">
        <f t="array" aca="1" ref="AB158" ca="1">_xll.BDH($E$8,"PX LAST",AG158)</f>
        <v>6389.45</v>
      </c>
      <c r="AC158" s="9" cm="1">
        <f t="array" aca="1" ref="AC158" ca="1">_xll.BDH($E$8,"PX LAST",AH158)</f>
        <v>6238.01</v>
      </c>
      <c r="AD158" s="9" cm="1">
        <f t="array" aca="1" ref="AD158" ca="1">_xll.BDH($E$8,"PX LAST",AI158)</f>
        <v>6388.64</v>
      </c>
      <c r="AE158" s="9" cm="1">
        <f t="array" aca="1" ref="AE158" ca="1">_xll.BDH($E$8,"PX LAST",AJ158)</f>
        <v>6259.75</v>
      </c>
      <c r="AF158" s="9" cm="1">
        <f t="array" aca="1" ref="AF158" ca="1">_xll.BDH($E$8,"PX LAST",AK158)</f>
        <v>5892.58</v>
      </c>
      <c r="AG158" s="20">
        <f t="shared" ca="1" si="51"/>
        <v>45877</v>
      </c>
      <c r="AH158" s="22">
        <f t="shared" ca="1" si="46"/>
        <v>45870</v>
      </c>
      <c r="AI158" s="22">
        <f t="shared" ca="1" si="47"/>
        <v>45863</v>
      </c>
      <c r="AJ158" s="22">
        <f t="shared" ca="1" si="48"/>
        <v>45849</v>
      </c>
      <c r="AK158" s="22">
        <f t="shared" ca="1" si="49"/>
        <v>45791</v>
      </c>
      <c r="AL158" s="22">
        <f t="shared" ca="1" si="50"/>
        <v>45706</v>
      </c>
    </row>
    <row r="159" spans="4:38" x14ac:dyDescent="0.25">
      <c r="D159" s="6">
        <f ca="1"/>
        <v>45876</v>
      </c>
      <c r="E159" s="28">
        <f ca="1"/>
        <v>204.9</v>
      </c>
      <c r="F159" s="29" cm="1">
        <f t="array" aca="1" ref="F159" ca="1">_xll.FDS($E$7,"P_BETA_LOCIDX("&amp;$AG159&amp;","&amp;$AL159&amp;",,"""&amp;$E$9&amp;""")")</f>
        <v>1.6178821000000001</v>
      </c>
      <c r="G159" s="30">
        <f t="shared" ca="1" si="36"/>
        <v>-1.0109292938695891E-2</v>
      </c>
      <c r="H159" s="30">
        <f t="shared" ca="1" si="36"/>
        <v>-2.6412729882928976E-2</v>
      </c>
      <c r="I159" s="30">
        <f t="shared" ca="1" si="36"/>
        <v>2.7482163026904746E-3</v>
      </c>
      <c r="J159" s="30">
        <f t="shared" ca="1" si="34"/>
        <v>5.3770949328350734E-2</v>
      </c>
      <c r="K159" s="30">
        <f t="shared" ca="1" si="37"/>
        <v>1.5567871372490469E-4</v>
      </c>
      <c r="L159" s="30">
        <f t="shared" ca="1" si="37"/>
        <v>-5.9367388301760924E-3</v>
      </c>
      <c r="M159" s="30">
        <f t="shared" ca="1" si="37"/>
        <v>1.5337841532945186E-2</v>
      </c>
      <c r="N159" s="30">
        <f t="shared" ca="1" si="35"/>
        <v>0.12462794646184956</v>
      </c>
      <c r="O159" s="30">
        <f t="shared" ca="1" si="38"/>
        <v>-9.9536142249709858E-3</v>
      </c>
      <c r="P159" s="30">
        <f t="shared" ca="1" si="39"/>
        <v>-3.2349468713105067E-2</v>
      </c>
      <c r="Q159" s="30">
        <f t="shared" ca="1" si="40"/>
        <v>1.808605783563566E-2</v>
      </c>
      <c r="R159" s="30">
        <f t="shared" ca="1" si="41"/>
        <v>0.1783988957902003</v>
      </c>
      <c r="S159" s="9" cm="1">
        <f t="array" aca="1" ref="S159" ca="1">_xll.BDH($E$6,"PX LAST",AG159)</f>
        <v>204.9</v>
      </c>
      <c r="T159" s="9" cm="1">
        <f t="array" aca="1" ref="T159" ca="1">_xll.BDH($E$6,"PX LAST",AH159)</f>
        <v>206.96</v>
      </c>
      <c r="U159" s="9" cm="1">
        <f t="array" aca="1" ref="U159" ca="1">_xll.BDH($E$6,"PX LAST",AI159)</f>
        <v>211.75</v>
      </c>
      <c r="V159" s="9" cm="1">
        <f t="array" aca="1" ref="V159" ca="1">_xll.BDH($E$6,"PX LAST",AJ159)</f>
        <v>201.26</v>
      </c>
      <c r="W159" s="9" cm="1">
        <f t="array" aca="1" ref="W159" ca="1">_xll.BDH($E$6,"PX LAST",AK159)</f>
        <v>173.88</v>
      </c>
      <c r="X159" s="24">
        <f t="shared" ca="1" si="42"/>
        <v>9.6223769163961137E-5</v>
      </c>
      <c r="Y159" s="24">
        <f t="shared" ca="1" si="43"/>
        <v>-3.6694508395735959E-3</v>
      </c>
      <c r="Z159" s="24">
        <f t="shared" ca="1" si="44"/>
        <v>9.4801973103881831E-3</v>
      </c>
      <c r="AA159" s="24">
        <f t="shared" ca="1" si="45"/>
        <v>7.7031537997638733E-2</v>
      </c>
      <c r="AB159" s="9" cm="1">
        <f t="array" aca="1" ref="AB159" ca="1">_xll.BDH($E$8,"PX LAST",AG159)</f>
        <v>6340</v>
      </c>
      <c r="AC159" s="9" cm="1">
        <f t="array" aca="1" ref="AC159" ca="1">_xll.BDH($E$8,"PX LAST",AH159)</f>
        <v>6339.39</v>
      </c>
      <c r="AD159" s="9" cm="1">
        <f t="array" aca="1" ref="AD159" ca="1">_xll.BDH($E$8,"PX LAST",AI159)</f>
        <v>6363.35</v>
      </c>
      <c r="AE159" s="9" cm="1">
        <f t="array" aca="1" ref="AE159" ca="1">_xll.BDH($E$8,"PX LAST",AJ159)</f>
        <v>6280.46</v>
      </c>
      <c r="AF159" s="9" cm="1">
        <f t="array" aca="1" ref="AF159" ca="1">_xll.BDH($E$8,"PX LAST",AK159)</f>
        <v>5886.55</v>
      </c>
      <c r="AG159" s="20">
        <f t="shared" ca="1" si="51"/>
        <v>45876</v>
      </c>
      <c r="AH159" s="22">
        <f t="shared" ca="1" si="46"/>
        <v>45869</v>
      </c>
      <c r="AI159" s="22">
        <f t="shared" ca="1" si="47"/>
        <v>45862</v>
      </c>
      <c r="AJ159" s="22">
        <f t="shared" ca="1" si="48"/>
        <v>45848</v>
      </c>
      <c r="AK159" s="22">
        <f t="shared" ca="1" si="49"/>
        <v>45790</v>
      </c>
      <c r="AL159" s="22">
        <f t="shared" ca="1" si="50"/>
        <v>45702</v>
      </c>
    </row>
    <row r="160" spans="4:38" x14ac:dyDescent="0.25">
      <c r="D160" s="6">
        <f ca="1"/>
        <v>45875</v>
      </c>
      <c r="E160" s="28">
        <f ca="1"/>
        <v>206.26</v>
      </c>
      <c r="F160" s="29" cm="1">
        <f t="array" aca="1" ref="F160" ca="1">_xll.FDS($E$7,"P_BETA_LOCIDX("&amp;$AG160&amp;","&amp;$AL160&amp;",,"""&amp;$E$9&amp;""")")</f>
        <v>1.6121987</v>
      </c>
      <c r="G160" s="30">
        <f t="shared" ca="1" si="36"/>
        <v>-2.6076211717127054E-2</v>
      </c>
      <c r="H160" s="30">
        <f t="shared" ca="1" si="36"/>
        <v>-2.5944607882570147E-2</v>
      </c>
      <c r="I160" s="30">
        <f t="shared" ca="1" si="36"/>
        <v>1.9085415568791727E-2</v>
      </c>
      <c r="J160" s="30">
        <f t="shared" ca="1" si="34"/>
        <v>6.3109554047250493E-2</v>
      </c>
      <c r="K160" s="30">
        <f t="shared" ca="1" si="37"/>
        <v>-4.520206950918355E-3</v>
      </c>
      <c r="L160" s="30">
        <f t="shared" ca="1" si="37"/>
        <v>-3.5114433126115412E-3</v>
      </c>
      <c r="M160" s="30">
        <f t="shared" ca="1" si="37"/>
        <v>2.1055784632922795E-2</v>
      </c>
      <c r="N160" s="30">
        <f t="shared" ca="1" si="35"/>
        <v>0.13817175055379793</v>
      </c>
      <c r="O160" s="30">
        <f t="shared" ca="1" si="38"/>
        <v>-3.0596418668045411E-2</v>
      </c>
      <c r="P160" s="30">
        <f t="shared" ca="1" si="39"/>
        <v>-2.9456051195181687E-2</v>
      </c>
      <c r="Q160" s="30">
        <f t="shared" ca="1" si="40"/>
        <v>4.0141200201714522E-2</v>
      </c>
      <c r="R160" s="30">
        <f t="shared" ca="1" si="41"/>
        <v>0.20128130460104843</v>
      </c>
      <c r="S160" s="9" cm="1">
        <f t="array" aca="1" ref="S160" ca="1">_xll.BDH($E$6,"PX LAST",AG160)</f>
        <v>206.26</v>
      </c>
      <c r="T160" s="9" cm="1">
        <f t="array" aca="1" ref="T160" ca="1">_xll.BDH($E$6,"PX LAST",AH160)</f>
        <v>212.77</v>
      </c>
      <c r="U160" s="9" cm="1">
        <f t="array" aca="1" ref="U160" ca="1">_xll.BDH($E$6,"PX LAST",AI160)</f>
        <v>212.52</v>
      </c>
      <c r="V160" s="9" cm="1">
        <f t="array" aca="1" ref="V160" ca="1">_xll.BDH($E$6,"PX LAST",AJ160)</f>
        <v>198.3</v>
      </c>
      <c r="W160" s="9" cm="1">
        <f t="array" aca="1" ref="W160" ca="1">_xll.BDH($E$6,"PX LAST",AK160)</f>
        <v>171.7</v>
      </c>
      <c r="X160" s="24">
        <f t="shared" ca="1" si="42"/>
        <v>-2.8037530057047899E-3</v>
      </c>
      <c r="Y160" s="24">
        <f t="shared" ca="1" si="43"/>
        <v>-2.178046237483966E-3</v>
      </c>
      <c r="Z160" s="24">
        <f t="shared" ca="1" si="44"/>
        <v>1.3060291286007608E-2</v>
      </c>
      <c r="AA160" s="24">
        <f t="shared" ca="1" si="45"/>
        <v>8.5703921330415378E-2</v>
      </c>
      <c r="AB160" s="9" cm="1">
        <f t="array" aca="1" ref="AB160" ca="1">_xll.BDH($E$8,"PX LAST",AG160)</f>
        <v>6345.06</v>
      </c>
      <c r="AC160" s="9" cm="1">
        <f t="array" aca="1" ref="AC160" ca="1">_xll.BDH($E$8,"PX LAST",AH160)</f>
        <v>6362.9</v>
      </c>
      <c r="AD160" s="9" cm="1">
        <f t="array" aca="1" ref="AD160" ca="1">_xll.BDH($E$8,"PX LAST",AI160)</f>
        <v>6358.91</v>
      </c>
      <c r="AE160" s="9" cm="1">
        <f t="array" aca="1" ref="AE160" ca="1">_xll.BDH($E$8,"PX LAST",AJ160)</f>
        <v>6263.26</v>
      </c>
      <c r="AF160" s="9" cm="1">
        <f t="array" aca="1" ref="AF160" ca="1">_xll.BDH($E$8,"PX LAST",AK160)</f>
        <v>5844.19</v>
      </c>
      <c r="AG160" s="20">
        <f t="shared" ca="1" si="51"/>
        <v>45875</v>
      </c>
      <c r="AH160" s="22">
        <f t="shared" ca="1" si="46"/>
        <v>45868</v>
      </c>
      <c r="AI160" s="22">
        <f t="shared" ca="1" si="47"/>
        <v>45861</v>
      </c>
      <c r="AJ160" s="22">
        <f t="shared" ca="1" si="48"/>
        <v>45847</v>
      </c>
      <c r="AK160" s="22">
        <f t="shared" ca="1" si="49"/>
        <v>45789</v>
      </c>
      <c r="AL160" s="22">
        <f t="shared" ca="1" si="50"/>
        <v>45701</v>
      </c>
    </row>
    <row r="161" spans="4:38" x14ac:dyDescent="0.25">
      <c r="D161" s="6">
        <f ca="1"/>
        <v>45874</v>
      </c>
      <c r="E161" s="28">
        <f ca="1"/>
        <v>206.74</v>
      </c>
      <c r="F161" s="29" cm="1">
        <f t="array" aca="1" ref="F161" ca="1">_xll.FDS($E$7,"P_BETA_LOCIDX("&amp;$AG161&amp;","&amp;$AL161&amp;",,"""&amp;$E$9&amp;""")")</f>
        <v>1.6122816</v>
      </c>
      <c r="G161" s="30">
        <f t="shared" ca="1" si="36"/>
        <v>-2.5573932455442087E-2</v>
      </c>
      <c r="H161" s="30">
        <f t="shared" ca="1" si="36"/>
        <v>-2.7230899709951538E-3</v>
      </c>
      <c r="I161" s="30">
        <f t="shared" ca="1" si="36"/>
        <v>3.8198269061311019E-2</v>
      </c>
      <c r="J161" s="30">
        <f t="shared" ca="1" si="34"/>
        <v>9.5250316305989235E-2</v>
      </c>
      <c r="K161" s="30">
        <f t="shared" ca="1" si="37"/>
        <v>-1.8137617569998495E-2</v>
      </c>
      <c r="L161" s="30">
        <f t="shared" ca="1" si="37"/>
        <v>-2.6651521150243586E-3</v>
      </c>
      <c r="M161" s="30">
        <f t="shared" ca="1" si="37"/>
        <v>1.907901435896114E-2</v>
      </c>
      <c r="N161" s="30">
        <f t="shared" ca="1" si="35"/>
        <v>0.18210525984476766</v>
      </c>
      <c r="O161" s="30">
        <f t="shared" ca="1" si="38"/>
        <v>-4.3711550025440582E-2</v>
      </c>
      <c r="P161" s="30">
        <f t="shared" ca="1" si="39"/>
        <v>-5.3882420860195124E-3</v>
      </c>
      <c r="Q161" s="30">
        <f t="shared" ca="1" si="40"/>
        <v>5.7277283420272163E-2</v>
      </c>
      <c r="R161" s="30">
        <f t="shared" ca="1" si="41"/>
        <v>0.2773555761507569</v>
      </c>
      <c r="S161" s="9" cm="1">
        <f t="array" aca="1" ref="S161" ca="1">_xll.BDH($E$6,"PX LAST",AG161)</f>
        <v>206.74</v>
      </c>
      <c r="T161" s="9" cm="1">
        <f t="array" aca="1" ref="T161" ca="1">_xll.BDH($E$6,"PX LAST",AH161)</f>
        <v>216.19</v>
      </c>
      <c r="U161" s="9" cm="1">
        <f t="array" aca="1" ref="U161" ca="1">_xll.BDH($E$6,"PX LAST",AI161)</f>
        <v>207.86</v>
      </c>
      <c r="V161" s="9" cm="1">
        <f t="array" aca="1" ref="V161" ca="1">_xll.BDH($E$6,"PX LAST",AJ161)</f>
        <v>195.54</v>
      </c>
      <c r="W161" s="9" cm="1">
        <f t="array" aca="1" ref="W161" ca="1">_xll.BDH($E$6,"PX LAST",AK161)</f>
        <v>161.85</v>
      </c>
      <c r="X161" s="24">
        <f t="shared" ca="1" si="42"/>
        <v>-1.1249658601821477E-2</v>
      </c>
      <c r="Y161" s="24">
        <f t="shared" ca="1" si="43"/>
        <v>-1.653031402842009E-3</v>
      </c>
      <c r="Z161" s="24">
        <f t="shared" ca="1" si="44"/>
        <v>1.1833549647258357E-2</v>
      </c>
      <c r="AA161" s="24">
        <f t="shared" ca="1" si="45"/>
        <v>0.11294879247196499</v>
      </c>
      <c r="AB161" s="9" cm="1">
        <f t="array" aca="1" ref="AB161" ca="1">_xll.BDH($E$8,"PX LAST",AG161)</f>
        <v>6299.19</v>
      </c>
      <c r="AC161" s="9" cm="1">
        <f t="array" aca="1" ref="AC161" ca="1">_xll.BDH($E$8,"PX LAST",AH161)</f>
        <v>6370.86</v>
      </c>
      <c r="AD161" s="9" cm="1">
        <f t="array" aca="1" ref="AD161" ca="1">_xll.BDH($E$8,"PX LAST",AI161)</f>
        <v>6309.62</v>
      </c>
      <c r="AE161" s="9" cm="1">
        <f t="array" aca="1" ref="AE161" ca="1">_xll.BDH($E$8,"PX LAST",AJ161)</f>
        <v>6225.52</v>
      </c>
      <c r="AF161" s="9" cm="1">
        <f t="array" aca="1" ref="AF161" ca="1">_xll.BDH($E$8,"PX LAST",AK161)</f>
        <v>5659.91</v>
      </c>
      <c r="AG161" s="20">
        <f t="shared" ca="1" si="51"/>
        <v>45874</v>
      </c>
      <c r="AH161" s="22">
        <f t="shared" ca="1" si="46"/>
        <v>45867</v>
      </c>
      <c r="AI161" s="22">
        <f t="shared" ca="1" si="47"/>
        <v>45860</v>
      </c>
      <c r="AJ161" s="22">
        <f t="shared" ca="1" si="48"/>
        <v>45846</v>
      </c>
      <c r="AK161" s="22">
        <f t="shared" ca="1" si="49"/>
        <v>45786</v>
      </c>
      <c r="AL161" s="22">
        <f t="shared" ca="1" si="50"/>
        <v>45700</v>
      </c>
    </row>
    <row r="162" spans="4:38" x14ac:dyDescent="0.25">
      <c r="D162" s="6">
        <f ca="1"/>
        <v>45873</v>
      </c>
      <c r="E162" s="28">
        <f ca="1"/>
        <v>209.07</v>
      </c>
      <c r="F162" s="29" cm="1">
        <f t="array" aca="1" ref="F162" ca="1">_xll.FDS($E$7,"P_BETA_LOCIDX("&amp;$AG162&amp;","&amp;$AL162&amp;",,"""&amp;$E$9&amp;""")")</f>
        <v>1.6114733999999999</v>
      </c>
      <c r="G162" s="30">
        <f t="shared" ca="1" si="36"/>
        <v>-2.6797379368927968E-2</v>
      </c>
      <c r="H162" s="30">
        <f t="shared" ca="1" si="36"/>
        <v>2.1908456438296576E-2</v>
      </c>
      <c r="I162" s="30">
        <f t="shared" ca="1" si="36"/>
        <v>7.28931285121696E-2</v>
      </c>
      <c r="J162" s="30">
        <f t="shared" ca="1" si="34"/>
        <v>9.4963754240703191E-2</v>
      </c>
      <c r="K162" s="30">
        <f t="shared" ca="1" si="37"/>
        <v>-1.5088876989625842E-2</v>
      </c>
      <c r="L162" s="30">
        <f t="shared" ca="1" si="37"/>
        <v>6.2203854599085064E-3</v>
      </c>
      <c r="M162" s="30">
        <f t="shared" ca="1" si="37"/>
        <v>2.5856083175869026E-2</v>
      </c>
      <c r="N162" s="30">
        <f t="shared" ca="1" si="35"/>
        <v>0.18948669731670903</v>
      </c>
      <c r="O162" s="30">
        <f t="shared" ca="1" si="38"/>
        <v>-4.1886256358553808E-2</v>
      </c>
      <c r="P162" s="30">
        <f t="shared" ca="1" si="39"/>
        <v>2.8128841898205081E-2</v>
      </c>
      <c r="Q162" s="30">
        <f t="shared" ca="1" si="40"/>
        <v>9.8749211688038629E-2</v>
      </c>
      <c r="R162" s="30">
        <f t="shared" ca="1" si="41"/>
        <v>0.28445045155741222</v>
      </c>
      <c r="S162" s="9" cm="1">
        <f t="array" aca="1" ref="S162" ca="1">_xll.BDH($E$6,"PX LAST",AG162)</f>
        <v>209.07</v>
      </c>
      <c r="T162" s="9" cm="1">
        <f t="array" aca="1" ref="T162" ca="1">_xll.BDH($E$6,"PX LAST",AH162)</f>
        <v>218.21</v>
      </c>
      <c r="U162" s="9" cm="1">
        <f t="array" aca="1" ref="U162" ca="1">_xll.BDH($E$6,"PX LAST",AI162)</f>
        <v>203.35</v>
      </c>
      <c r="V162" s="9" cm="1">
        <f t="array" aca="1" ref="V162" ca="1">_xll.BDH($E$6,"PX LAST",AJ162)</f>
        <v>190.28</v>
      </c>
      <c r="W162" s="9" cm="1">
        <f t="array" aca="1" ref="W162" ca="1">_xll.BDH($E$6,"PX LAST",AK162)</f>
        <v>162.77000000000001</v>
      </c>
      <c r="X162" s="24">
        <f t="shared" ca="1" si="42"/>
        <v>-9.3634043165874425E-3</v>
      </c>
      <c r="Y162" s="24">
        <f t="shared" ca="1" si="43"/>
        <v>3.8600608982490847E-3</v>
      </c>
      <c r="Z162" s="24">
        <f t="shared" ca="1" si="44"/>
        <v>1.6044995329038025E-2</v>
      </c>
      <c r="AA162" s="24">
        <f t="shared" ca="1" si="45"/>
        <v>0.11758599137702741</v>
      </c>
      <c r="AB162" s="9" cm="1">
        <f t="array" aca="1" ref="AB162" ca="1">_xll.BDH($E$8,"PX LAST",AG162)</f>
        <v>6329.94</v>
      </c>
      <c r="AC162" s="9" cm="1">
        <f t="array" aca="1" ref="AC162" ca="1">_xll.BDH($E$8,"PX LAST",AH162)</f>
        <v>6389.77</v>
      </c>
      <c r="AD162" s="9" cm="1">
        <f t="array" aca="1" ref="AD162" ca="1">_xll.BDH($E$8,"PX LAST",AI162)</f>
        <v>6305.6</v>
      </c>
      <c r="AE162" s="9" cm="1">
        <f t="array" aca="1" ref="AE162" ca="1">_xll.BDH($E$8,"PX LAST",AJ162)</f>
        <v>6229.98</v>
      </c>
      <c r="AF162" s="9" cm="1">
        <f t="array" aca="1" ref="AF162" ca="1">_xll.BDH($E$8,"PX LAST",AK162)</f>
        <v>5663.94</v>
      </c>
      <c r="AG162" s="20">
        <f t="shared" ca="1" si="51"/>
        <v>45873</v>
      </c>
      <c r="AH162" s="22">
        <f t="shared" ca="1" si="46"/>
        <v>45866</v>
      </c>
      <c r="AI162" s="22">
        <f t="shared" ca="1" si="47"/>
        <v>45859</v>
      </c>
      <c r="AJ162" s="22">
        <f t="shared" ca="1" si="48"/>
        <v>45845</v>
      </c>
      <c r="AK162" s="22">
        <f t="shared" ca="1" si="49"/>
        <v>45785</v>
      </c>
      <c r="AL162" s="22">
        <f t="shared" ca="1" si="50"/>
        <v>45699</v>
      </c>
    </row>
    <row r="163" spans="4:38" x14ac:dyDescent="0.25">
      <c r="D163" s="6">
        <f ca="1"/>
        <v>45870</v>
      </c>
      <c r="E163" s="28">
        <f ca="1"/>
        <v>203.49</v>
      </c>
      <c r="F163" s="29" cm="1">
        <f t="array" aca="1" ref="F163" ca="1">_xll.FDS($E$7,"P_BETA_LOCIDX("&amp;$AG163&amp;","&amp;$AL163&amp;",,"""&amp;$E$9&amp;""")")</f>
        <v>1.6065726</v>
      </c>
      <c r="G163" s="30">
        <f t="shared" ca="1" si="36"/>
        <v>-1.3139552265070555E-2</v>
      </c>
      <c r="H163" s="30">
        <f t="shared" ca="1" si="36"/>
        <v>3.4365251679653163E-3</v>
      </c>
      <c r="I163" s="30" t="e">
        <f t="shared" ca="1" si="36"/>
        <v>#VALUE!</v>
      </c>
      <c r="J163" s="30">
        <f t="shared" ca="1" si="34"/>
        <v>0.10735890908143947</v>
      </c>
      <c r="K163" s="30">
        <f t="shared" ca="1" si="37"/>
        <v>-3.787942828802373E-2</v>
      </c>
      <c r="L163" s="30">
        <f t="shared" ca="1" si="37"/>
        <v>-1.4997218809583808E-2</v>
      </c>
      <c r="M163" s="30" t="e">
        <f t="shared" ca="1" si="37"/>
        <v>#VALUE!</v>
      </c>
      <c r="N163" s="30">
        <f t="shared" ca="1" si="35"/>
        <v>0.17309666605070256</v>
      </c>
      <c r="O163" s="30">
        <f t="shared" ca="1" si="38"/>
        <v>-5.1018980553094284E-2</v>
      </c>
      <c r="P163" s="30">
        <f t="shared" ca="1" si="39"/>
        <v>-1.1560693641618491E-2</v>
      </c>
      <c r="Q163" s="30" t="e">
        <f t="shared" ca="1" si="40"/>
        <v>#VALUE!</v>
      </c>
      <c r="R163" s="30">
        <f t="shared" ca="1" si="41"/>
        <v>0.28045557513214203</v>
      </c>
      <c r="S163" s="9" cm="1">
        <f t="array" aca="1" ref="S163" ca="1">_xll.BDH($E$6,"PX LAST",AG163)</f>
        <v>203.49</v>
      </c>
      <c r="T163" s="9" cm="1">
        <f t="array" aca="1" ref="T163" ca="1">_xll.BDH($E$6,"PX LAST",AH163)</f>
        <v>214.43</v>
      </c>
      <c r="U163" s="9" cm="1">
        <f t="array" aca="1" ref="U163" ca="1">_xll.BDH($E$6,"PX LAST",AI163)</f>
        <v>205.87</v>
      </c>
      <c r="V163" s="9" t="str" cm="1">
        <f t="array" aca="1" ref="V163" ca="1">_xll.BDH($E$6,"PX LAST",AJ163)</f>
        <v>#N/A N/A</v>
      </c>
      <c r="W163" s="9" cm="1">
        <f t="array" aca="1" ref="W163" ca="1">_xll.BDH($E$6,"PX LAST",AK163)</f>
        <v>158.91999999999999</v>
      </c>
      <c r="X163" s="24">
        <f t="shared" ca="1" si="42"/>
        <v>-2.3577788073831041E-2</v>
      </c>
      <c r="Y163" s="24">
        <f t="shared" ca="1" si="43"/>
        <v>-9.3349150916577361E-3</v>
      </c>
      <c r="Z163" s="24" t="e">
        <f t="shared" ca="1" si="44"/>
        <v>#VALUE!</v>
      </c>
      <c r="AA163" s="24">
        <f t="shared" ca="1" si="45"/>
        <v>0.10774282223579723</v>
      </c>
      <c r="AB163" s="9" cm="1">
        <f t="array" aca="1" ref="AB163" ca="1">_xll.BDH($E$8,"PX LAST",AG163)</f>
        <v>6238.01</v>
      </c>
      <c r="AC163" s="9" cm="1">
        <f t="array" aca="1" ref="AC163" ca="1">_xll.BDH($E$8,"PX LAST",AH163)</f>
        <v>6388.64</v>
      </c>
      <c r="AD163" s="9" cm="1">
        <f t="array" aca="1" ref="AD163" ca="1">_xll.BDH($E$8,"PX LAST",AI163)</f>
        <v>6296.79</v>
      </c>
      <c r="AE163" s="9" t="str" cm="1">
        <f t="array" aca="1" ref="AE163" ca="1">_xll.BDH($E$8,"PX LAST",AJ163)</f>
        <v>#N/A N/A</v>
      </c>
      <c r="AF163" s="9" cm="1">
        <f t="array" aca="1" ref="AF163" ca="1">_xll.BDH($E$8,"PX LAST",AK163)</f>
        <v>5631.28</v>
      </c>
      <c r="AG163" s="20">
        <f t="shared" ca="1" si="51"/>
        <v>45870</v>
      </c>
      <c r="AH163" s="22">
        <f t="shared" ca="1" si="46"/>
        <v>45863</v>
      </c>
      <c r="AI163" s="22">
        <f t="shared" ca="1" si="47"/>
        <v>45856</v>
      </c>
      <c r="AJ163" s="22">
        <f t="shared" ca="1" si="48"/>
        <v>45842</v>
      </c>
      <c r="AK163" s="22">
        <f t="shared" ca="1" si="49"/>
        <v>45784</v>
      </c>
      <c r="AL163" s="22">
        <f t="shared" ca="1" si="50"/>
        <v>45698</v>
      </c>
    </row>
    <row r="164" spans="4:38" x14ac:dyDescent="0.25">
      <c r="D164" s="6">
        <f ca="1"/>
        <v>45869</v>
      </c>
      <c r="E164" s="28">
        <f ca="1"/>
        <v>206.96</v>
      </c>
      <c r="F164" s="29" cm="1">
        <f t="array" aca="1" ref="F164" ca="1">_xll.FDS($E$7,"P_BETA_LOCIDX("&amp;$AG164&amp;","&amp;$AL164&amp;",,"""&amp;$E$9&amp;""")")</f>
        <v>1.6101809</v>
      </c>
      <c r="G164" s="30">
        <f t="shared" ca="1" si="36"/>
        <v>-1.6558181406417915E-2</v>
      </c>
      <c r="H164" s="30">
        <f t="shared" ca="1" si="36"/>
        <v>-2.8573560030238677E-3</v>
      </c>
      <c r="I164" s="30">
        <f t="shared" ca="1" si="36"/>
        <v>4.9816053411784654E-2</v>
      </c>
      <c r="J164" s="30">
        <f t="shared" ca="1" si="34"/>
        <v>9.2430221807947077E-2</v>
      </c>
      <c r="K164" s="30">
        <f t="shared" ca="1" si="37"/>
        <v>-6.0628339418701731E-3</v>
      </c>
      <c r="L164" s="30">
        <f t="shared" ca="1" si="37"/>
        <v>1.0746710244769395E-2</v>
      </c>
      <c r="M164" s="30">
        <f t="shared" ca="1" si="37"/>
        <v>1.5395743386815465E-2</v>
      </c>
      <c r="N164" s="30">
        <f t="shared" ca="1" si="35"/>
        <v>0.21035210225097273</v>
      </c>
      <c r="O164" s="30">
        <f t="shared" ca="1" si="38"/>
        <v>-2.2621015348288087E-2</v>
      </c>
      <c r="P164" s="30">
        <f t="shared" ca="1" si="39"/>
        <v>7.8893542417455276E-3</v>
      </c>
      <c r="Q164" s="30">
        <f t="shared" ca="1" si="40"/>
        <v>6.5211796798600119E-2</v>
      </c>
      <c r="R164" s="30">
        <f t="shared" ca="1" si="41"/>
        <v>0.30278232405891981</v>
      </c>
      <c r="S164" s="9" cm="1">
        <f t="array" aca="1" ref="S164" ca="1">_xll.BDH($E$6,"PX LAST",AG164)</f>
        <v>206.96</v>
      </c>
      <c r="T164" s="9" cm="1">
        <f t="array" aca="1" ref="T164" ca="1">_xll.BDH($E$6,"PX LAST",AH164)</f>
        <v>211.75</v>
      </c>
      <c r="U164" s="9" cm="1">
        <f t="array" aca="1" ref="U164" ca="1">_xll.BDH($E$6,"PX LAST",AI164)</f>
        <v>205.34</v>
      </c>
      <c r="V164" s="9" cm="1">
        <f t="array" aca="1" ref="V164" ca="1">_xll.BDH($E$6,"PX LAST",AJ164)</f>
        <v>194.29</v>
      </c>
      <c r="W164" s="9" cm="1">
        <f t="array" aca="1" ref="W164" ca="1">_xll.BDH($E$6,"PX LAST",AK164)</f>
        <v>158.86000000000001</v>
      </c>
      <c r="X164" s="24">
        <f t="shared" ca="1" si="42"/>
        <v>-3.7653122961961438E-3</v>
      </c>
      <c r="Y164" s="24">
        <f t="shared" ca="1" si="43"/>
        <v>6.674225389687205E-3</v>
      </c>
      <c r="Z164" s="24">
        <f t="shared" ca="1" si="44"/>
        <v>9.5614991997579057E-3</v>
      </c>
      <c r="AA164" s="24">
        <f t="shared" ca="1" si="45"/>
        <v>0.13063880105084635</v>
      </c>
      <c r="AB164" s="9" cm="1">
        <f t="array" aca="1" ref="AB164" ca="1">_xll.BDH($E$8,"PX LAST",AG164)</f>
        <v>6339.39</v>
      </c>
      <c r="AC164" s="9" cm="1">
        <f t="array" aca="1" ref="AC164" ca="1">_xll.BDH($E$8,"PX LAST",AH164)</f>
        <v>6363.35</v>
      </c>
      <c r="AD164" s="9" cm="1">
        <f t="array" aca="1" ref="AD164" ca="1">_xll.BDH($E$8,"PX LAST",AI164)</f>
        <v>6297.36</v>
      </c>
      <c r="AE164" s="9" cm="1">
        <f t="array" aca="1" ref="AE164" ca="1">_xll.BDH($E$8,"PX LAST",AJ164)</f>
        <v>6279.35</v>
      </c>
      <c r="AF164" s="9" cm="1">
        <f t="array" aca="1" ref="AF164" ca="1">_xll.BDH($E$8,"PX LAST",AK164)</f>
        <v>5606.91</v>
      </c>
      <c r="AG164" s="20">
        <f t="shared" ca="1" si="51"/>
        <v>45869</v>
      </c>
      <c r="AH164" s="22">
        <f t="shared" ca="1" si="46"/>
        <v>45862</v>
      </c>
      <c r="AI164" s="22">
        <f t="shared" ca="1" si="47"/>
        <v>45855</v>
      </c>
      <c r="AJ164" s="22">
        <f t="shared" ca="1" si="48"/>
        <v>45841</v>
      </c>
      <c r="AK164" s="22">
        <f t="shared" ca="1" si="49"/>
        <v>45783</v>
      </c>
      <c r="AL164" s="22">
        <f t="shared" ca="1" si="50"/>
        <v>45695</v>
      </c>
    </row>
    <row r="165" spans="4:38" x14ac:dyDescent="0.25">
      <c r="D165" s="6">
        <f ca="1"/>
        <v>45868</v>
      </c>
      <c r="E165" s="28">
        <f ca="1"/>
        <v>212.77</v>
      </c>
      <c r="F165" s="29" cm="1">
        <f t="array" aca="1" ref="F165" ca="1">_xll.FDS($E$7,"P_BETA_LOCIDX("&amp;$AG165&amp;","&amp;$AL165&amp;",,"""&amp;$E$9&amp;""")")</f>
        <v>1.6071801999999999</v>
      </c>
      <c r="G165" s="30">
        <f t="shared" ca="1" si="36"/>
        <v>1.6790889566542576E-4</v>
      </c>
      <c r="H165" s="30">
        <f t="shared" ca="1" si="36"/>
        <v>4.2830005663843318E-2</v>
      </c>
      <c r="I165" s="30">
        <f t="shared" ca="1" si="36"/>
        <v>6.5076516018836128E-2</v>
      </c>
      <c r="J165" s="30">
        <f t="shared" ca="1" si="34"/>
        <v>0.10596162937161493</v>
      </c>
      <c r="K165" s="30">
        <f t="shared" ca="1" si="37"/>
        <v>1.0084509763466081E-3</v>
      </c>
      <c r="L165" s="30">
        <f t="shared" ca="1" si="37"/>
        <v>2.5453370346600227E-2</v>
      </c>
      <c r="M165" s="30">
        <f t="shared" ca="1" si="37"/>
        <v>3.4964844750474344E-2</v>
      </c>
      <c r="N165" s="30">
        <f t="shared" ca="1" si="35"/>
        <v>0.20266743760667402</v>
      </c>
      <c r="O165" s="30">
        <f t="shared" ca="1" si="38"/>
        <v>1.1763598720120338E-3</v>
      </c>
      <c r="P165" s="30">
        <f t="shared" ca="1" si="39"/>
        <v>6.8283376010443542E-2</v>
      </c>
      <c r="Q165" s="30">
        <f t="shared" ca="1" si="40"/>
        <v>0.10004136076931047</v>
      </c>
      <c r="R165" s="30">
        <f t="shared" ca="1" si="41"/>
        <v>0.30862906697828896</v>
      </c>
      <c r="S165" s="9" cm="1">
        <f t="array" aca="1" ref="S165" ca="1">_xll.BDH($E$6,"PX LAST",AG165)</f>
        <v>212.77</v>
      </c>
      <c r="T165" s="9" cm="1">
        <f t="array" aca="1" ref="T165" ca="1">_xll.BDH($E$6,"PX LAST",AH165)</f>
        <v>212.52</v>
      </c>
      <c r="U165" s="9" cm="1">
        <f t="array" aca="1" ref="U165" ca="1">_xll.BDH($E$6,"PX LAST",AI165)</f>
        <v>199.17</v>
      </c>
      <c r="V165" s="9" cm="1">
        <f t="array" aca="1" ref="V165" ca="1">_xll.BDH($E$6,"PX LAST",AJ165)</f>
        <v>193.42</v>
      </c>
      <c r="W165" s="9" cm="1">
        <f t="array" aca="1" ref="W165" ca="1">_xll.BDH($E$6,"PX LAST",AK165)</f>
        <v>162.59</v>
      </c>
      <c r="X165" s="24">
        <f t="shared" ca="1" si="42"/>
        <v>6.2746602798280371E-4</v>
      </c>
      <c r="Y165" s="24">
        <f t="shared" ca="1" si="43"/>
        <v>1.5837284671998964E-2</v>
      </c>
      <c r="Z165" s="24">
        <f t="shared" ca="1" si="44"/>
        <v>2.1755397901538576E-2</v>
      </c>
      <c r="AA165" s="24">
        <f t="shared" ca="1" si="45"/>
        <v>0.12610125336703004</v>
      </c>
      <c r="AB165" s="9" cm="1">
        <f t="array" aca="1" ref="AB165" ca="1">_xll.BDH($E$8,"PX LAST",AG165)</f>
        <v>6362.9</v>
      </c>
      <c r="AC165" s="9" cm="1">
        <f t="array" aca="1" ref="AC165" ca="1">_xll.BDH($E$8,"PX LAST",AH165)</f>
        <v>6358.91</v>
      </c>
      <c r="AD165" s="9" cm="1">
        <f t="array" aca="1" ref="AD165" ca="1">_xll.BDH($E$8,"PX LAST",AI165)</f>
        <v>6263.7</v>
      </c>
      <c r="AE165" s="9" cm="1">
        <f t="array" aca="1" ref="AE165" ca="1">_xll.BDH($E$8,"PX LAST",AJ165)</f>
        <v>6227.42</v>
      </c>
      <c r="AF165" s="9" cm="1">
        <f t="array" aca="1" ref="AF165" ca="1">_xll.BDH($E$8,"PX LAST",AK165)</f>
        <v>5650.38</v>
      </c>
      <c r="AG165" s="20">
        <f t="shared" ca="1" si="51"/>
        <v>45868</v>
      </c>
      <c r="AH165" s="22">
        <f t="shared" ca="1" si="46"/>
        <v>45861</v>
      </c>
      <c r="AI165" s="22">
        <f t="shared" ca="1" si="47"/>
        <v>45854</v>
      </c>
      <c r="AJ165" s="22">
        <f t="shared" ca="1" si="48"/>
        <v>45840</v>
      </c>
      <c r="AK165" s="22">
        <f t="shared" ca="1" si="49"/>
        <v>45782</v>
      </c>
      <c r="AL165" s="22">
        <f t="shared" ca="1" si="50"/>
        <v>45694</v>
      </c>
    </row>
    <row r="166" spans="4:38" x14ac:dyDescent="0.25">
      <c r="D166" s="6">
        <f ca="1"/>
        <v>45867</v>
      </c>
      <c r="E166" s="28">
        <f ca="1"/>
        <v>216.19</v>
      </c>
      <c r="F166" s="29" cm="1">
        <f t="array" aca="1" ref="F166" ca="1">_xll.FDS($E$7,"P_BETA_LOCIDX("&amp;$AG166&amp;","&amp;$AL166&amp;",,"""&amp;$E$9&amp;""")")</f>
        <v>1.6082999</v>
      </c>
      <c r="G166" s="30">
        <f t="shared" ca="1" si="36"/>
        <v>2.4465190352668094E-2</v>
      </c>
      <c r="H166" s="30">
        <f t="shared" ca="1" si="36"/>
        <v>5.8358130539834206E-2</v>
      </c>
      <c r="I166" s="30">
        <f t="shared" ca="1" si="36"/>
        <v>9.7680260934469632E-2</v>
      </c>
      <c r="J166" s="30">
        <f t="shared" ca="1" si="34"/>
        <v>0.13257283415088905</v>
      </c>
      <c r="K166" s="30">
        <f t="shared" ca="1" si="37"/>
        <v>1.5609860162101467E-2</v>
      </c>
      <c r="L166" s="30">
        <f t="shared" ca="1" si="37"/>
        <v>3.2739073457339597E-2</v>
      </c>
      <c r="M166" s="30">
        <f t="shared" ca="1" si="37"/>
        <v>4.4852240915229165E-2</v>
      </c>
      <c r="N166" s="30">
        <f t="shared" ca="1" si="35"/>
        <v>0.1935021213787681</v>
      </c>
      <c r="O166" s="30">
        <f t="shared" ca="1" si="38"/>
        <v>4.0075050514769561E-2</v>
      </c>
      <c r="P166" s="30">
        <f t="shared" ca="1" si="39"/>
        <v>9.1097203997173803E-2</v>
      </c>
      <c r="Q166" s="30">
        <f t="shared" ca="1" si="40"/>
        <v>0.14253250184969879</v>
      </c>
      <c r="R166" s="30">
        <f t="shared" ca="1" si="41"/>
        <v>0.32607495552965715</v>
      </c>
      <c r="S166" s="9" cm="1">
        <f t="array" aca="1" ref="S166" ca="1">_xll.BDH($E$6,"PX LAST",AG166)</f>
        <v>216.19</v>
      </c>
      <c r="T166" s="9" cm="1">
        <f t="array" aca="1" ref="T166" ca="1">_xll.BDH($E$6,"PX LAST",AH166)</f>
        <v>207.86</v>
      </c>
      <c r="U166" s="9" cm="1">
        <f t="array" aca="1" ref="U166" ca="1">_xll.BDH($E$6,"PX LAST",AI166)</f>
        <v>198.14</v>
      </c>
      <c r="V166" s="9" cm="1">
        <f t="array" aca="1" ref="V166" ca="1">_xll.BDH($E$6,"PX LAST",AJ166)</f>
        <v>189.22</v>
      </c>
      <c r="W166" s="9" cm="1">
        <f t="array" aca="1" ref="W166" ca="1">_xll.BDH($E$6,"PX LAST",AK166)</f>
        <v>163.03</v>
      </c>
      <c r="X166" s="24">
        <f t="shared" ca="1" si="42"/>
        <v>9.7058142962649363E-3</v>
      </c>
      <c r="Y166" s="24">
        <f t="shared" ca="1" si="43"/>
        <v>2.0356323753635497E-2</v>
      </c>
      <c r="Z166" s="24">
        <f t="shared" ca="1" si="44"/>
        <v>2.7887983401123861E-2</v>
      </c>
      <c r="AA166" s="24">
        <f t="shared" ca="1" si="45"/>
        <v>0.12031470087063245</v>
      </c>
      <c r="AB166" s="9" cm="1">
        <f t="array" aca="1" ref="AB166" ca="1">_xll.BDH($E$8,"PX LAST",AG166)</f>
        <v>6370.86</v>
      </c>
      <c r="AC166" s="9" cm="1">
        <f t="array" aca="1" ref="AC166" ca="1">_xll.BDH($E$8,"PX LAST",AH166)</f>
        <v>6309.62</v>
      </c>
      <c r="AD166" s="9" cm="1">
        <f t="array" aca="1" ref="AD166" ca="1">_xll.BDH($E$8,"PX LAST",AI166)</f>
        <v>6243.76</v>
      </c>
      <c r="AE166" s="9" cm="1">
        <f t="array" aca="1" ref="AE166" ca="1">_xll.BDH($E$8,"PX LAST",AJ166)</f>
        <v>6198.01</v>
      </c>
      <c r="AF166" s="9" cm="1">
        <f t="array" aca="1" ref="AF166" ca="1">_xll.BDH($E$8,"PX LAST",AK166)</f>
        <v>5686.67</v>
      </c>
      <c r="AG166" s="20">
        <f t="shared" ca="1" si="51"/>
        <v>45867</v>
      </c>
      <c r="AH166" s="22">
        <f t="shared" ca="1" si="46"/>
        <v>45860</v>
      </c>
      <c r="AI166" s="22">
        <f t="shared" ca="1" si="47"/>
        <v>45853</v>
      </c>
      <c r="AJ166" s="22">
        <f t="shared" ca="1" si="48"/>
        <v>45839</v>
      </c>
      <c r="AK166" s="22">
        <f t="shared" ca="1" si="49"/>
        <v>45779</v>
      </c>
      <c r="AL166" s="22">
        <f t="shared" ca="1" si="50"/>
        <v>45693</v>
      </c>
    </row>
    <row r="167" spans="4:38" x14ac:dyDescent="0.25">
      <c r="D167" s="6">
        <f ca="1"/>
        <v>45866</v>
      </c>
      <c r="E167" s="28">
        <f ca="1"/>
        <v>218.21</v>
      </c>
      <c r="F167" s="29" cm="1">
        <f t="array" aca="1" ref="F167" ca="1">_xll.FDS($E$7,"P_BETA_LOCIDX("&amp;$AG167&amp;","&amp;$AL167&amp;",,"""&amp;$E$9&amp;""")")</f>
        <v>1.605593</v>
      </c>
      <c r="G167" s="30">
        <f t="shared" ca="1" si="36"/>
        <v>5.1643796014719023E-2</v>
      </c>
      <c r="H167" s="30">
        <f t="shared" ca="1" si="36"/>
        <v>7.0913363938671051E-2</v>
      </c>
      <c r="I167" s="30">
        <f t="shared" ca="1" si="36"/>
        <v>0.13041571351028028</v>
      </c>
      <c r="J167" s="30">
        <f t="shared" ca="1" si="34"/>
        <v>0.21022485973609548</v>
      </c>
      <c r="K167" s="30">
        <f t="shared" ca="1" si="37"/>
        <v>2.143218136418434E-2</v>
      </c>
      <c r="L167" s="30">
        <f t="shared" ca="1" si="37"/>
        <v>3.1046034101930891E-2</v>
      </c>
      <c r="M167" s="30">
        <f t="shared" ca="1" si="37"/>
        <v>4.7824027310454077E-2</v>
      </c>
      <c r="N167" s="30">
        <f t="shared" ca="1" si="35"/>
        <v>0.22508396089141228</v>
      </c>
      <c r="O167" s="30">
        <f t="shared" ca="1" si="38"/>
        <v>7.3075977378903367E-2</v>
      </c>
      <c r="P167" s="30">
        <f t="shared" ca="1" si="39"/>
        <v>0.10195939804060195</v>
      </c>
      <c r="Q167" s="30">
        <f t="shared" ca="1" si="40"/>
        <v>0.17823974082073435</v>
      </c>
      <c r="R167" s="30">
        <f t="shared" ca="1" si="41"/>
        <v>0.43530882062750775</v>
      </c>
      <c r="S167" s="9" cm="1">
        <f t="array" aca="1" ref="S167" ca="1">_xll.BDH($E$6,"PX LAST",AG167)</f>
        <v>218.21</v>
      </c>
      <c r="T167" s="9" cm="1">
        <f t="array" aca="1" ref="T167" ca="1">_xll.BDH($E$6,"PX LAST",AH167)</f>
        <v>203.35</v>
      </c>
      <c r="U167" s="9" cm="1">
        <f t="array" aca="1" ref="U167" ca="1">_xll.BDH($E$6,"PX LAST",AI167)</f>
        <v>198.02</v>
      </c>
      <c r="V167" s="9" cm="1">
        <f t="array" aca="1" ref="V167" ca="1">_xll.BDH($E$6,"PX LAST",AJ167)</f>
        <v>185.2</v>
      </c>
      <c r="W167" s="9" cm="1">
        <f t="array" aca="1" ref="W167" ca="1">_xll.BDH($E$6,"PX LAST",AK167)</f>
        <v>152.03</v>
      </c>
      <c r="X167" s="24">
        <f t="shared" ca="1" si="42"/>
        <v>1.3348452169500202E-2</v>
      </c>
      <c r="Y167" s="24">
        <f t="shared" ca="1" si="43"/>
        <v>1.9336179282004151E-2</v>
      </c>
      <c r="Z167" s="24">
        <f t="shared" ca="1" si="44"/>
        <v>2.9785896743729001E-2</v>
      </c>
      <c r="AA167" s="24">
        <f t="shared" ca="1" si="45"/>
        <v>0.14018743286213398</v>
      </c>
      <c r="AB167" s="9" cm="1">
        <f t="array" aca="1" ref="AB167" ca="1">_xll.BDH($E$8,"PX LAST",AG167)</f>
        <v>6389.77</v>
      </c>
      <c r="AC167" s="9" cm="1">
        <f t="array" aca="1" ref="AC167" ca="1">_xll.BDH($E$8,"PX LAST",AH167)</f>
        <v>6305.6</v>
      </c>
      <c r="AD167" s="9" cm="1">
        <f t="array" aca="1" ref="AD167" ca="1">_xll.BDH($E$8,"PX LAST",AI167)</f>
        <v>6268.56</v>
      </c>
      <c r="AE167" s="9" cm="1">
        <f t="array" aca="1" ref="AE167" ca="1">_xll.BDH($E$8,"PX LAST",AJ167)</f>
        <v>6204.95</v>
      </c>
      <c r="AF167" s="9" cm="1">
        <f t="array" aca="1" ref="AF167" ca="1">_xll.BDH($E$8,"PX LAST",AK167)</f>
        <v>5604.14</v>
      </c>
      <c r="AG167" s="20">
        <f t="shared" ca="1" si="51"/>
        <v>45866</v>
      </c>
      <c r="AH167" s="22">
        <f t="shared" ca="1" si="46"/>
        <v>45859</v>
      </c>
      <c r="AI167" s="22">
        <f t="shared" ca="1" si="47"/>
        <v>45852</v>
      </c>
      <c r="AJ167" s="22">
        <f t="shared" ca="1" si="48"/>
        <v>45838</v>
      </c>
      <c r="AK167" s="22">
        <f t="shared" ca="1" si="49"/>
        <v>45778</v>
      </c>
      <c r="AL167" s="22">
        <f t="shared" ca="1" si="50"/>
        <v>45692</v>
      </c>
    </row>
    <row r="168" spans="4:38" x14ac:dyDescent="0.25">
      <c r="D168" s="6">
        <f ca="1"/>
        <v>45863</v>
      </c>
      <c r="E168" s="28">
        <f ca="1"/>
        <v>214.43</v>
      </c>
      <c r="F168" s="29" cm="1">
        <f t="array" aca="1" ref="F168" ca="1">_xll.FDS($E$7,"P_BETA_LOCIDX("&amp;$AG168&amp;","&amp;$AL168&amp;",,"""&amp;$E$9&amp;""")")</f>
        <v>1.6088370000000001</v>
      </c>
      <c r="G168" s="30">
        <f t="shared" ca="1" si="36"/>
        <v>1.8111858266865365E-2</v>
      </c>
      <c r="H168" s="30">
        <f t="shared" ca="1" si="36"/>
        <v>4.4194738518917587E-2</v>
      </c>
      <c r="I168" s="30">
        <f t="shared" ca="1" si="36"/>
        <v>0.10002393514083588</v>
      </c>
      <c r="J168" s="30">
        <f t="shared" ca="1" si="34"/>
        <v>7.9077199525747544E-2</v>
      </c>
      <c r="K168" s="30">
        <f t="shared" ca="1" si="37"/>
        <v>2.3467779368535592E-2</v>
      </c>
      <c r="L168" s="30">
        <f t="shared" ca="1" si="37"/>
        <v>3.3126402960182155E-2</v>
      </c>
      <c r="M168" s="30">
        <f t="shared" ca="1" si="37"/>
        <v>5.6182254873183367E-2</v>
      </c>
      <c r="N168" s="30">
        <f t="shared" ca="1" si="35"/>
        <v>0.23676717946296133</v>
      </c>
      <c r="O168" s="30">
        <f t="shared" ca="1" si="38"/>
        <v>4.1579637635400957E-2</v>
      </c>
      <c r="P168" s="30">
        <f t="shared" ca="1" si="39"/>
        <v>7.7321141479099742E-2</v>
      </c>
      <c r="Q168" s="30">
        <f t="shared" ca="1" si="40"/>
        <v>0.15620619001401925</v>
      </c>
      <c r="R168" s="30">
        <f t="shared" ca="1" si="41"/>
        <v>0.31584437898870887</v>
      </c>
      <c r="S168" s="9" cm="1">
        <f t="array" aca="1" ref="S168" ca="1">_xll.BDH($E$6,"PX LAST",AG168)</f>
        <v>214.43</v>
      </c>
      <c r="T168" s="9" cm="1">
        <f t="array" aca="1" ref="T168" ca="1">_xll.BDH($E$6,"PX LAST",AH168)</f>
        <v>205.87</v>
      </c>
      <c r="U168" s="9" cm="1">
        <f t="array" aca="1" ref="U168" ca="1">_xll.BDH($E$6,"PX LAST",AI168)</f>
        <v>199.04</v>
      </c>
      <c r="V168" s="9" cm="1">
        <f t="array" aca="1" ref="V168" ca="1">_xll.BDH($E$6,"PX LAST",AJ168)</f>
        <v>185.46</v>
      </c>
      <c r="W168" s="9" cm="1">
        <f t="array" aca="1" ref="W168" ca="1">_xll.BDH($E$6,"PX LAST",AK168)</f>
        <v>162.96</v>
      </c>
      <c r="X168" s="24">
        <f t="shared" ca="1" si="42"/>
        <v>1.4586797399945173E-2</v>
      </c>
      <c r="Y168" s="24">
        <f t="shared" ca="1" si="43"/>
        <v>2.05902791645034E-2</v>
      </c>
      <c r="Z168" s="24">
        <f t="shared" ca="1" si="44"/>
        <v>3.4921036048514154E-2</v>
      </c>
      <c r="AA168" s="24">
        <f t="shared" ca="1" si="45"/>
        <v>0.14716666726521166</v>
      </c>
      <c r="AB168" s="9" cm="1">
        <f t="array" aca="1" ref="AB168" ca="1">_xll.BDH($E$8,"PX LAST",AG168)</f>
        <v>6388.64</v>
      </c>
      <c r="AC168" s="9" cm="1">
        <f t="array" aca="1" ref="AC168" ca="1">_xll.BDH($E$8,"PX LAST",AH168)</f>
        <v>6296.79</v>
      </c>
      <c r="AD168" s="9" cm="1">
        <f t="array" aca="1" ref="AD168" ca="1">_xll.BDH($E$8,"PX LAST",AI168)</f>
        <v>6259.75</v>
      </c>
      <c r="AE168" s="9" cm="1">
        <f t="array" aca="1" ref="AE168" ca="1">_xll.BDH($E$8,"PX LAST",AJ168)</f>
        <v>6173.07</v>
      </c>
      <c r="AF168" s="9" cm="1">
        <f t="array" aca="1" ref="AF168" ca="1">_xll.BDH($E$8,"PX LAST",AK168)</f>
        <v>5569.06</v>
      </c>
      <c r="AG168" s="20">
        <f t="shared" ca="1" si="51"/>
        <v>45863</v>
      </c>
      <c r="AH168" s="22">
        <f t="shared" ca="1" si="46"/>
        <v>45856</v>
      </c>
      <c r="AI168" s="22">
        <f t="shared" ca="1" si="47"/>
        <v>45849</v>
      </c>
      <c r="AJ168" s="22">
        <f t="shared" ca="1" si="48"/>
        <v>45835</v>
      </c>
      <c r="AK168" s="22">
        <f t="shared" ca="1" si="49"/>
        <v>45777</v>
      </c>
      <c r="AL168" s="22">
        <f t="shared" ca="1" si="50"/>
        <v>45691</v>
      </c>
    </row>
    <row r="169" spans="4:38" x14ac:dyDescent="0.25">
      <c r="D169" s="6">
        <f ca="1"/>
        <v>45862</v>
      </c>
      <c r="E169" s="28">
        <f ca="1"/>
        <v>211.75</v>
      </c>
      <c r="F169" s="29" cm="1">
        <f t="array" aca="1" ref="F169" ca="1">_xll.FDS($E$7,"P_BETA_LOCIDX("&amp;$AG169&amp;","&amp;$AL169&amp;",,"""&amp;$E$9&amp;""")")</f>
        <v>1.6113139999999999</v>
      </c>
      <c r="G169" s="30">
        <f t="shared" ca="1" si="36"/>
        <v>1.4331568606270655E-2</v>
      </c>
      <c r="H169" s="30">
        <f t="shared" ca="1" si="36"/>
        <v>3.0855386098390516E-2</v>
      </c>
      <c r="I169" s="30">
        <f t="shared" ca="1" si="36"/>
        <v>7.9492977750478561E-2</v>
      </c>
      <c r="J169" s="30">
        <f t="shared" ca="1" si="34"/>
        <v>7.7227473746199649E-2</v>
      </c>
      <c r="K169" s="30">
        <f t="shared" ca="1" si="37"/>
        <v>1.6884950337919542E-2</v>
      </c>
      <c r="L169" s="30">
        <f t="shared" ca="1" si="37"/>
        <v>2.1266247609251485E-2</v>
      </c>
      <c r="M169" s="30">
        <f t="shared" ca="1" si="37"/>
        <v>5.8336146376334906E-2</v>
      </c>
      <c r="N169" s="30">
        <f t="shared" ca="1" si="35"/>
        <v>0.23253933518557501</v>
      </c>
      <c r="O169" s="30">
        <f t="shared" ca="1" si="38"/>
        <v>3.1216518944190197E-2</v>
      </c>
      <c r="P169" s="30">
        <f t="shared" ca="1" si="39"/>
        <v>5.2121633707642001E-2</v>
      </c>
      <c r="Q169" s="30">
        <f t="shared" ca="1" si="40"/>
        <v>0.13782912412681347</v>
      </c>
      <c r="R169" s="30">
        <f t="shared" ca="1" si="41"/>
        <v>0.30976680893177466</v>
      </c>
      <c r="S169" s="9" cm="1">
        <f t="array" aca="1" ref="S169" ca="1">_xll.BDH($E$6,"PX LAST",AG169)</f>
        <v>211.75</v>
      </c>
      <c r="T169" s="9" cm="1">
        <f t="array" aca="1" ref="T169" ca="1">_xll.BDH($E$6,"PX LAST",AH169)</f>
        <v>205.34</v>
      </c>
      <c r="U169" s="9" cm="1">
        <f t="array" aca="1" ref="U169" ca="1">_xll.BDH($E$6,"PX LAST",AI169)</f>
        <v>201.26</v>
      </c>
      <c r="V169" s="9" cm="1">
        <f t="array" aca="1" ref="V169" ca="1">_xll.BDH($E$6,"PX LAST",AJ169)</f>
        <v>186.1</v>
      </c>
      <c r="W169" s="9" cm="1">
        <f t="array" aca="1" ref="W169" ca="1">_xll.BDH($E$6,"PX LAST",AK169)</f>
        <v>161.66999999999999</v>
      </c>
      <c r="X169" s="24">
        <f t="shared" ca="1" si="42"/>
        <v>1.0478994372244976E-2</v>
      </c>
      <c r="Y169" s="24">
        <f t="shared" ca="1" si="43"/>
        <v>1.3198077847800915E-2</v>
      </c>
      <c r="Z169" s="24">
        <f t="shared" ca="1" si="44"/>
        <v>3.6204083360744654E-2</v>
      </c>
      <c r="AA169" s="24">
        <f t="shared" ca="1" si="45"/>
        <v>0.14431658583340989</v>
      </c>
      <c r="AB169" s="9" cm="1">
        <f t="array" aca="1" ref="AB169" ca="1">_xll.BDH($E$8,"PX LAST",AG169)</f>
        <v>6363.35</v>
      </c>
      <c r="AC169" s="9" cm="1">
        <f t="array" aca="1" ref="AC169" ca="1">_xll.BDH($E$8,"PX LAST",AH169)</f>
        <v>6297.36</v>
      </c>
      <c r="AD169" s="9" cm="1">
        <f t="array" aca="1" ref="AD169" ca="1">_xll.BDH($E$8,"PX LAST",AI169)</f>
        <v>6280.46</v>
      </c>
      <c r="AE169" s="9" cm="1">
        <f t="array" aca="1" ref="AE169" ca="1">_xll.BDH($E$8,"PX LAST",AJ169)</f>
        <v>6141.02</v>
      </c>
      <c r="AF169" s="9" cm="1">
        <f t="array" aca="1" ref="AF169" ca="1">_xll.BDH($E$8,"PX LAST",AK169)</f>
        <v>5560.83</v>
      </c>
      <c r="AG169" s="20">
        <f t="shared" ca="1" si="51"/>
        <v>45862</v>
      </c>
      <c r="AH169" s="22">
        <f t="shared" ca="1" si="46"/>
        <v>45855</v>
      </c>
      <c r="AI169" s="22">
        <f t="shared" ca="1" si="47"/>
        <v>45848</v>
      </c>
      <c r="AJ169" s="22">
        <f t="shared" ca="1" si="48"/>
        <v>45834</v>
      </c>
      <c r="AK169" s="22">
        <f t="shared" ca="1" si="49"/>
        <v>45776</v>
      </c>
      <c r="AL169" s="22">
        <f t="shared" ca="1" si="50"/>
        <v>45688</v>
      </c>
    </row>
    <row r="170" spans="4:38" x14ac:dyDescent="0.25">
      <c r="D170" s="6">
        <f ca="1"/>
        <v>45861</v>
      </c>
      <c r="E170" s="28">
        <f ca="1"/>
        <v>212.52</v>
      </c>
      <c r="F170" s="29" cm="1">
        <f t="array" aca="1" ref="F170" ca="1">_xll.FDS($E$7,"P_BETA_LOCIDX("&amp;$AG170&amp;","&amp;$AL170&amp;",,"""&amp;$E$9&amp;""")")</f>
        <v>1.6123114999999999</v>
      </c>
      <c r="G170" s="30">
        <f t="shared" ca="1" si="36"/>
        <v>4.2520579058736171E-2</v>
      </c>
      <c r="H170" s="30">
        <f t="shared" ca="1" si="36"/>
        <v>4.7086955074727682E-2</v>
      </c>
      <c r="I170" s="30">
        <f t="shared" ca="1" si="36"/>
        <v>9.6262514505186539E-2</v>
      </c>
      <c r="J170" s="30">
        <f t="shared" ca="1" si="34"/>
        <v>6.8544422251268833E-2</v>
      </c>
      <c r="K170" s="30">
        <f t="shared" ca="1" si="37"/>
        <v>2.4507587833868322E-2</v>
      </c>
      <c r="L170" s="30">
        <f t="shared" ca="1" si="37"/>
        <v>2.462257593888809E-2</v>
      </c>
      <c r="M170" s="30">
        <f t="shared" ca="1" si="37"/>
        <v>7.0596322589196778E-2</v>
      </c>
      <c r="N170" s="30">
        <f t="shared" ca="1" si="35"/>
        <v>0.24209387562107171</v>
      </c>
      <c r="O170" s="30">
        <f t="shared" ca="1" si="38"/>
        <v>6.702816689260449E-2</v>
      </c>
      <c r="P170" s="30">
        <f t="shared" ca="1" si="39"/>
        <v>7.1709531013615768E-2</v>
      </c>
      <c r="Q170" s="30">
        <f t="shared" ca="1" si="40"/>
        <v>0.16685883709438332</v>
      </c>
      <c r="R170" s="30">
        <f t="shared" ca="1" si="41"/>
        <v>0.31063829787234054</v>
      </c>
      <c r="S170" s="9" cm="1">
        <f t="array" aca="1" ref="S170" ca="1">_xll.BDH($E$6,"PX LAST",AG170)</f>
        <v>212.52</v>
      </c>
      <c r="T170" s="9" cm="1">
        <f t="array" aca="1" ref="T170" ca="1">_xll.BDH($E$6,"PX LAST",AH170)</f>
        <v>199.17</v>
      </c>
      <c r="U170" s="9" cm="1">
        <f t="array" aca="1" ref="U170" ca="1">_xll.BDH($E$6,"PX LAST",AI170)</f>
        <v>198.3</v>
      </c>
      <c r="V170" s="9" cm="1">
        <f t="array" aca="1" ref="V170" ca="1">_xll.BDH($E$6,"PX LAST",AJ170)</f>
        <v>182.13</v>
      </c>
      <c r="W170" s="9" cm="1">
        <f t="array" aca="1" ref="W170" ca="1">_xll.BDH($E$6,"PX LAST",AK170)</f>
        <v>162.15</v>
      </c>
      <c r="X170" s="24">
        <f t="shared" ca="1" si="42"/>
        <v>1.5200280984082992E-2</v>
      </c>
      <c r="Y170" s="24">
        <f t="shared" ca="1" si="43"/>
        <v>1.5271599773919675E-2</v>
      </c>
      <c r="Z170" s="24">
        <f t="shared" ca="1" si="44"/>
        <v>4.3785783695766467E-2</v>
      </c>
      <c r="AA170" s="24">
        <f t="shared" ca="1" si="45"/>
        <v>0.15015328962242824</v>
      </c>
      <c r="AB170" s="9" cm="1">
        <f t="array" aca="1" ref="AB170" ca="1">_xll.BDH($E$8,"PX LAST",AG170)</f>
        <v>6358.91</v>
      </c>
      <c r="AC170" s="9" cm="1">
        <f t="array" aca="1" ref="AC170" ca="1">_xll.BDH($E$8,"PX LAST",AH170)</f>
        <v>6263.7</v>
      </c>
      <c r="AD170" s="9" cm="1">
        <f t="array" aca="1" ref="AD170" ca="1">_xll.BDH($E$8,"PX LAST",AI170)</f>
        <v>6263.26</v>
      </c>
      <c r="AE170" s="9" cm="1">
        <f t="array" aca="1" ref="AE170" ca="1">_xll.BDH($E$8,"PX LAST",AJ170)</f>
        <v>6092.16</v>
      </c>
      <c r="AF170" s="9" cm="1">
        <f t="array" aca="1" ref="AF170" ca="1">_xll.BDH($E$8,"PX LAST",AK170)</f>
        <v>5528.75</v>
      </c>
      <c r="AG170" s="20">
        <f t="shared" ca="1" si="51"/>
        <v>45861</v>
      </c>
      <c r="AH170" s="22">
        <f t="shared" ca="1" si="46"/>
        <v>45854</v>
      </c>
      <c r="AI170" s="22">
        <f t="shared" ca="1" si="47"/>
        <v>45847</v>
      </c>
      <c r="AJ170" s="22">
        <f t="shared" ca="1" si="48"/>
        <v>45833</v>
      </c>
      <c r="AK170" s="22">
        <f t="shared" ca="1" si="49"/>
        <v>45775</v>
      </c>
      <c r="AL170" s="22">
        <f t="shared" ca="1" si="50"/>
        <v>45687</v>
      </c>
    </row>
    <row r="171" spans="4:38" x14ac:dyDescent="0.25">
      <c r="D171" s="6">
        <f ca="1"/>
        <v>45860</v>
      </c>
      <c r="E171" s="28">
        <f ca="1"/>
        <v>207.86</v>
      </c>
      <c r="F171" s="29" cm="1">
        <f t="array" aca="1" ref="F171" ca="1">_xll.FDS($E$7,"P_BETA_LOCIDX("&amp;$AG171&amp;","&amp;$AL171&amp;",,"""&amp;$E$9&amp;""")")</f>
        <v>1.6067157000000001</v>
      </c>
      <c r="G171" s="30">
        <f t="shared" ca="1" si="36"/>
        <v>3.2108374780861738E-2</v>
      </c>
      <c r="H171" s="30">
        <f t="shared" ca="1" si="36"/>
        <v>4.1300031235371598E-2</v>
      </c>
      <c r="I171" s="30">
        <f t="shared" ca="1" si="36"/>
        <v>6.628195829278416E-2</v>
      </c>
      <c r="J171" s="30">
        <f t="shared" ca="1" si="34"/>
        <v>5.8158130021281007E-2</v>
      </c>
      <c r="K171" s="30">
        <f t="shared" ca="1" si="37"/>
        <v>1.6947848091854754E-2</v>
      </c>
      <c r="L171" s="30">
        <f t="shared" ca="1" si="37"/>
        <v>2.1704980526927736E-2</v>
      </c>
      <c r="M171" s="30">
        <f t="shared" ca="1" si="37"/>
        <v>5.7346345939876975E-2</v>
      </c>
      <c r="N171" s="30">
        <f t="shared" ca="1" si="35"/>
        <v>0.22810424621634295</v>
      </c>
      <c r="O171" s="30">
        <f t="shared" ca="1" si="38"/>
        <v>4.9056222872716493E-2</v>
      </c>
      <c r="P171" s="30">
        <f t="shared" ca="1" si="39"/>
        <v>6.3005011762299334E-2</v>
      </c>
      <c r="Q171" s="30">
        <f t="shared" ca="1" si="40"/>
        <v>0.12362830423266113</v>
      </c>
      <c r="R171" s="30">
        <f t="shared" ca="1" si="41"/>
        <v>0.28626237623762396</v>
      </c>
      <c r="S171" s="9" cm="1">
        <f t="array" aca="1" ref="S171" ca="1">_xll.BDH($E$6,"PX LAST",AG171)</f>
        <v>207.86</v>
      </c>
      <c r="T171" s="9" cm="1">
        <f t="array" aca="1" ref="T171" ca="1">_xll.BDH($E$6,"PX LAST",AH171)</f>
        <v>198.14</v>
      </c>
      <c r="U171" s="9" cm="1">
        <f t="array" aca="1" ref="U171" ca="1">_xll.BDH($E$6,"PX LAST",AI171)</f>
        <v>195.54</v>
      </c>
      <c r="V171" s="9" cm="1">
        <f t="array" aca="1" ref="V171" ca="1">_xll.BDH($E$6,"PX LAST",AJ171)</f>
        <v>184.99</v>
      </c>
      <c r="W171" s="9" cm="1">
        <f t="array" aca="1" ref="W171" ca="1">_xll.BDH($E$6,"PX LAST",AK171)</f>
        <v>161.6</v>
      </c>
      <c r="X171" s="24">
        <f t="shared" ca="1" si="42"/>
        <v>1.0548131254244142E-2</v>
      </c>
      <c r="Y171" s="24">
        <f t="shared" ca="1" si="43"/>
        <v>1.3508911705367499E-2</v>
      </c>
      <c r="Z171" s="24">
        <f t="shared" ca="1" si="44"/>
        <v>3.5691657173622549E-2</v>
      </c>
      <c r="AA171" s="24">
        <f t="shared" ca="1" si="45"/>
        <v>0.14196926451664282</v>
      </c>
      <c r="AB171" s="9" cm="1">
        <f t="array" aca="1" ref="AB171" ca="1">_xll.BDH($E$8,"PX LAST",AG171)</f>
        <v>6309.62</v>
      </c>
      <c r="AC171" s="9" cm="1">
        <f t="array" aca="1" ref="AC171" ca="1">_xll.BDH($E$8,"PX LAST",AH171)</f>
        <v>6243.76</v>
      </c>
      <c r="AD171" s="9" cm="1">
        <f t="array" aca="1" ref="AD171" ca="1">_xll.BDH($E$8,"PX LAST",AI171)</f>
        <v>6225.52</v>
      </c>
      <c r="AE171" s="9" cm="1">
        <f t="array" aca="1" ref="AE171" ca="1">_xll.BDH($E$8,"PX LAST",AJ171)</f>
        <v>6092.18</v>
      </c>
      <c r="AF171" s="9" cm="1">
        <f t="array" aca="1" ref="AF171" ca="1">_xll.BDH($E$8,"PX LAST",AK171)</f>
        <v>5525.21</v>
      </c>
      <c r="AG171" s="20">
        <f t="shared" ca="1" si="51"/>
        <v>45860</v>
      </c>
      <c r="AH171" s="22">
        <f t="shared" ca="1" si="46"/>
        <v>45853</v>
      </c>
      <c r="AI171" s="22">
        <f t="shared" ca="1" si="47"/>
        <v>45846</v>
      </c>
      <c r="AJ171" s="22">
        <f t="shared" ca="1" si="48"/>
        <v>45832</v>
      </c>
      <c r="AK171" s="22">
        <f t="shared" ca="1" si="49"/>
        <v>45772</v>
      </c>
      <c r="AL171" s="22">
        <f t="shared" ca="1" si="50"/>
        <v>45686</v>
      </c>
    </row>
    <row r="172" spans="4:38" x14ac:dyDescent="0.25">
      <c r="D172" s="6">
        <f ca="1"/>
        <v>45859</v>
      </c>
      <c r="E172" s="28">
        <f ca="1"/>
        <v>203.35</v>
      </c>
      <c r="F172" s="29" cm="1">
        <f t="array" aca="1" ref="F172" ca="1">_xll.FDS($E$7,"P_BETA_LOCIDX("&amp;$AG172&amp;","&amp;$AL172&amp;",,"""&amp;$E$9&amp;""")")</f>
        <v>1.6073142</v>
      </c>
      <c r="G172" s="30">
        <f t="shared" ca="1" si="36"/>
        <v>1.7419089638524919E-2</v>
      </c>
      <c r="H172" s="30">
        <f t="shared" ca="1" si="36"/>
        <v>4.9178539426348755E-2</v>
      </c>
      <c r="I172" s="30">
        <f t="shared" ca="1" si="36"/>
        <v>4.8609234078523092E-2</v>
      </c>
      <c r="J172" s="30">
        <f t="shared" ca="1" si="34"/>
        <v>2.3126806093691277E-2</v>
      </c>
      <c r="K172" s="30">
        <f t="shared" ca="1" si="37"/>
        <v>9.4973834450018182E-3</v>
      </c>
      <c r="L172" s="30">
        <f t="shared" ca="1" si="37"/>
        <v>1.9509709470014399E-2</v>
      </c>
      <c r="M172" s="30">
        <f t="shared" ca="1" si="37"/>
        <v>7.4809361579175435E-2</v>
      </c>
      <c r="N172" s="30">
        <f t="shared" ca="1" si="35"/>
        <v>0.24054458341662449</v>
      </c>
      <c r="O172" s="30">
        <f t="shared" ca="1" si="38"/>
        <v>2.6916473083526737E-2</v>
      </c>
      <c r="P172" s="30">
        <f t="shared" ca="1" si="39"/>
        <v>6.8688248896363158E-2</v>
      </c>
      <c r="Q172" s="30">
        <f t="shared" ca="1" si="40"/>
        <v>0.12341859565769853</v>
      </c>
      <c r="R172" s="30">
        <f t="shared" ca="1" si="41"/>
        <v>0.26367138951031577</v>
      </c>
      <c r="S172" s="9" cm="1">
        <f t="array" aca="1" ref="S172" ca="1">_xll.BDH($E$6,"PX LAST",AG172)</f>
        <v>203.35</v>
      </c>
      <c r="T172" s="9" cm="1">
        <f t="array" aca="1" ref="T172" ca="1">_xll.BDH($E$6,"PX LAST",AH172)</f>
        <v>198.02</v>
      </c>
      <c r="U172" s="9" cm="1">
        <f t="array" aca="1" ref="U172" ca="1">_xll.BDH($E$6,"PX LAST",AI172)</f>
        <v>190.28</v>
      </c>
      <c r="V172" s="9" cm="1">
        <f t="array" aca="1" ref="V172" ca="1">_xll.BDH($E$6,"PX LAST",AJ172)</f>
        <v>181.01</v>
      </c>
      <c r="W172" s="9" cm="1">
        <f t="array" aca="1" ref="W172" ca="1">_xll.BDH($E$6,"PX LAST",AK172)</f>
        <v>160.91999999999999</v>
      </c>
      <c r="X172" s="24">
        <f t="shared" ca="1" si="42"/>
        <v>5.9088530699236141E-3</v>
      </c>
      <c r="Y172" s="24">
        <f t="shared" ca="1" si="43"/>
        <v>1.2138080700098586E-2</v>
      </c>
      <c r="Z172" s="24">
        <f t="shared" ca="1" si="44"/>
        <v>4.6543085091375058E-2</v>
      </c>
      <c r="AA172" s="24">
        <f t="shared" ca="1" si="45"/>
        <v>0.14965622988748839</v>
      </c>
      <c r="AB172" s="9" cm="1">
        <f t="array" aca="1" ref="AB172" ca="1">_xll.BDH($E$8,"PX LAST",AG172)</f>
        <v>6305.6</v>
      </c>
      <c r="AC172" s="9" cm="1">
        <f t="array" aca="1" ref="AC172" ca="1">_xll.BDH($E$8,"PX LAST",AH172)</f>
        <v>6268.56</v>
      </c>
      <c r="AD172" s="9" cm="1">
        <f t="array" aca="1" ref="AD172" ca="1">_xll.BDH($E$8,"PX LAST",AI172)</f>
        <v>6229.98</v>
      </c>
      <c r="AE172" s="9" cm="1">
        <f t="array" aca="1" ref="AE172" ca="1">_xll.BDH($E$8,"PX LAST",AJ172)</f>
        <v>6025.17</v>
      </c>
      <c r="AF172" s="9" cm="1">
        <f t="array" aca="1" ref="AF172" ca="1">_xll.BDH($E$8,"PX LAST",AK172)</f>
        <v>5484.77</v>
      </c>
      <c r="AG172" s="20">
        <f t="shared" ca="1" si="51"/>
        <v>45859</v>
      </c>
      <c r="AH172" s="22">
        <f t="shared" ca="1" si="46"/>
        <v>45852</v>
      </c>
      <c r="AI172" s="22">
        <f t="shared" ca="1" si="47"/>
        <v>45845</v>
      </c>
      <c r="AJ172" s="22">
        <f t="shared" ca="1" si="48"/>
        <v>45831</v>
      </c>
      <c r="AK172" s="22">
        <f t="shared" ca="1" si="49"/>
        <v>45771</v>
      </c>
      <c r="AL172" s="22">
        <f t="shared" ca="1" si="50"/>
        <v>45685</v>
      </c>
    </row>
    <row r="173" spans="4:38" x14ac:dyDescent="0.25">
      <c r="D173" s="6">
        <f ca="1"/>
        <v>45856</v>
      </c>
      <c r="E173" s="28">
        <f ca="1"/>
        <v>205.87</v>
      </c>
      <c r="F173" s="29" cm="1">
        <f t="array" aca="1" ref="F173" ca="1">_xll.FDS($E$7,"P_BETA_LOCIDX("&amp;$AG173&amp;","&amp;$AL173&amp;",,"""&amp;$E$9&amp;""")")</f>
        <v>1.6400203</v>
      </c>
      <c r="G173" s="30">
        <f t="shared" ca="1" si="36"/>
        <v>2.4610432978119823E-2</v>
      </c>
      <c r="H173" s="30" t="e">
        <f t="shared" ca="1" si="36"/>
        <v>#VALUE!</v>
      </c>
      <c r="I173" s="30">
        <f t="shared" ca="1" si="36"/>
        <v>6.5265434718032839E-2</v>
      </c>
      <c r="J173" s="30">
        <f t="shared" ca="1" si="34"/>
        <v>5.4221631935059134E-2</v>
      </c>
      <c r="K173" s="30">
        <f t="shared" ca="1" si="37"/>
        <v>9.7042776328126763E-3</v>
      </c>
      <c r="L173" s="30" t="e">
        <f t="shared" ca="1" si="37"/>
        <v>#VALUE!</v>
      </c>
      <c r="M173" s="30">
        <f t="shared" ca="1" si="37"/>
        <v>9.039864970994535E-2</v>
      </c>
      <c r="N173" s="30">
        <f t="shared" ca="1" si="35"/>
        <v>0.28094926111896512</v>
      </c>
      <c r="O173" s="30">
        <f t="shared" ca="1" si="38"/>
        <v>3.4314710610932497E-2</v>
      </c>
      <c r="P173" s="30" t="e">
        <f t="shared" ca="1" si="39"/>
        <v>#VALUE!</v>
      </c>
      <c r="Q173" s="30">
        <f t="shared" ca="1" si="40"/>
        <v>0.15566408442797819</v>
      </c>
      <c r="R173" s="30">
        <f t="shared" ca="1" si="41"/>
        <v>0.33517089305402425</v>
      </c>
      <c r="S173" s="9" cm="1">
        <f t="array" aca="1" ref="S173" ca="1">_xll.BDH($E$6,"PX LAST",AG173)</f>
        <v>205.87</v>
      </c>
      <c r="T173" s="9" cm="1">
        <f t="array" aca="1" ref="T173" ca="1">_xll.BDH($E$6,"PX LAST",AH173)</f>
        <v>199.04</v>
      </c>
      <c r="U173" s="9" t="str" cm="1">
        <f t="array" aca="1" ref="U173" ca="1">_xll.BDH($E$6,"PX LAST",AI173)</f>
        <v>#N/A N/A</v>
      </c>
      <c r="V173" s="9" cm="1">
        <f t="array" aca="1" ref="V173" ca="1">_xll.BDH($E$6,"PX LAST",AJ173)</f>
        <v>178.14</v>
      </c>
      <c r="W173" s="9" cm="1">
        <f t="array" aca="1" ref="W173" ca="1">_xll.BDH($E$6,"PX LAST",AK173)</f>
        <v>154.19</v>
      </c>
      <c r="X173" s="24">
        <f t="shared" ca="1" si="42"/>
        <v>5.9171692160229217E-3</v>
      </c>
      <c r="Y173" s="24" t="e">
        <f t="shared" ca="1" si="43"/>
        <v>#VALUE!</v>
      </c>
      <c r="Z173" s="24">
        <f t="shared" ca="1" si="44"/>
        <v>5.5120445588353606E-2</v>
      </c>
      <c r="AA173" s="24">
        <f t="shared" ca="1" si="45"/>
        <v>0.17130840460875096</v>
      </c>
      <c r="AB173" s="9" cm="1">
        <f t="array" aca="1" ref="AB173" ca="1">_xll.BDH($E$8,"PX LAST",AG173)</f>
        <v>6296.79</v>
      </c>
      <c r="AC173" s="9" cm="1">
        <f t="array" aca="1" ref="AC173" ca="1">_xll.BDH($E$8,"PX LAST",AH173)</f>
        <v>6259.75</v>
      </c>
      <c r="AD173" s="9" t="str" cm="1">
        <f t="array" aca="1" ref="AD173" ca="1">_xll.BDH($E$8,"PX LAST",AI173)</f>
        <v>#N/A N/A</v>
      </c>
      <c r="AE173" s="9" cm="1">
        <f t="array" aca="1" ref="AE173" ca="1">_xll.BDH($E$8,"PX LAST",AJ173)</f>
        <v>5967.84</v>
      </c>
      <c r="AF173" s="9" cm="1">
        <f t="array" aca="1" ref="AF173" ca="1">_xll.BDH($E$8,"PX LAST",AK173)</f>
        <v>5375.86</v>
      </c>
      <c r="AG173" s="20">
        <f t="shared" ca="1" si="51"/>
        <v>45856</v>
      </c>
      <c r="AH173" s="22">
        <f t="shared" ca="1" si="46"/>
        <v>45849</v>
      </c>
      <c r="AI173" s="22">
        <f t="shared" ca="1" si="47"/>
        <v>45842</v>
      </c>
      <c r="AJ173" s="22">
        <f t="shared" ca="1" si="48"/>
        <v>45828</v>
      </c>
      <c r="AK173" s="22">
        <f t="shared" ca="1" si="49"/>
        <v>45770</v>
      </c>
      <c r="AL173" s="22">
        <f t="shared" ca="1" si="50"/>
        <v>45684</v>
      </c>
    </row>
    <row r="174" spans="4:38" x14ac:dyDescent="0.25">
      <c r="D174" s="6">
        <f ca="1"/>
        <v>45855</v>
      </c>
      <c r="E174" s="28">
        <f ca="1"/>
        <v>205.34</v>
      </c>
      <c r="F174" s="29" cm="1">
        <f t="array" aca="1" ref="F174" ca="1">_xll.FDS($E$7,"P_BETA_LOCIDX("&amp;$AG174&amp;","&amp;$AL174&amp;",,"""&amp;$E$9&amp;""")")</f>
        <v>1.6389568999999999</v>
      </c>
      <c r="G174" s="30">
        <f t="shared" ca="1" si="36"/>
        <v>1.5862038922743005E-2</v>
      </c>
      <c r="H174" s="30">
        <f t="shared" ca="1" si="36"/>
        <v>5.2173001920576091E-2</v>
      </c>
      <c r="I174" s="30">
        <f t="shared" ca="1" si="36"/>
        <v>7.5353860826766789E-2</v>
      </c>
      <c r="J174" s="30">
        <f t="shared" ca="1" si="34"/>
        <v>5.8198621418612206E-2</v>
      </c>
      <c r="K174" s="30">
        <f t="shared" ca="1" si="37"/>
        <v>4.4102456842330497E-3</v>
      </c>
      <c r="L174" s="30">
        <f t="shared" ca="1" si="37"/>
        <v>4.7007435115099198E-3</v>
      </c>
      <c r="M174" s="30">
        <f t="shared" ca="1" si="37"/>
        <v>8.6728765092871168E-2</v>
      </c>
      <c r="N174" s="30">
        <f t="shared" ca="1" si="35"/>
        <v>0.31292851533352473</v>
      </c>
      <c r="O174" s="30">
        <f t="shared" ca="1" si="38"/>
        <v>2.0272284606976054E-2</v>
      </c>
      <c r="P174" s="30">
        <f t="shared" ca="1" si="39"/>
        <v>5.6873745432086009E-2</v>
      </c>
      <c r="Q174" s="30">
        <f t="shared" ca="1" si="40"/>
        <v>0.16208262591963796</v>
      </c>
      <c r="R174" s="30">
        <f t="shared" ca="1" si="41"/>
        <v>0.37112713675213693</v>
      </c>
      <c r="S174" s="9" cm="1">
        <f t="array" aca="1" ref="S174" ca="1">_xll.BDH($E$6,"PX LAST",AG174)</f>
        <v>205.34</v>
      </c>
      <c r="T174" s="9" cm="1">
        <f t="array" aca="1" ref="T174" ca="1">_xll.BDH($E$6,"PX LAST",AH174)</f>
        <v>201.26</v>
      </c>
      <c r="U174" s="9" cm="1">
        <f t="array" aca="1" ref="U174" ca="1">_xll.BDH($E$6,"PX LAST",AI174)</f>
        <v>194.29</v>
      </c>
      <c r="V174" s="9" cm="1">
        <f t="array" aca="1" ref="V174" ca="1">_xll.BDH($E$6,"PX LAST",AJ174)</f>
        <v>176.7</v>
      </c>
      <c r="W174" s="9" cm="1">
        <f t="array" aca="1" ref="W174" ca="1">_xll.BDH($E$6,"PX LAST",AK174)</f>
        <v>149.76</v>
      </c>
      <c r="X174" s="24">
        <f t="shared" ca="1" si="42"/>
        <v>2.6908856994549701E-3</v>
      </c>
      <c r="Y174" s="24">
        <f t="shared" ca="1" si="43"/>
        <v>2.8681312556235738E-3</v>
      </c>
      <c r="Z174" s="24">
        <f t="shared" ca="1" si="44"/>
        <v>5.291705052943807E-2</v>
      </c>
      <c r="AA174" s="24">
        <f t="shared" ca="1" si="45"/>
        <v>0.19093150975082063</v>
      </c>
      <c r="AB174" s="9" cm="1">
        <f t="array" aca="1" ref="AB174" ca="1">_xll.BDH($E$8,"PX LAST",AG174)</f>
        <v>6297.36</v>
      </c>
      <c r="AC174" s="9" cm="1">
        <f t="array" aca="1" ref="AC174" ca="1">_xll.BDH($E$8,"PX LAST",AH174)</f>
        <v>6280.46</v>
      </c>
      <c r="AD174" s="9" cm="1">
        <f t="array" aca="1" ref="AD174" ca="1">_xll.BDH($E$8,"PX LAST",AI174)</f>
        <v>6279.35</v>
      </c>
      <c r="AE174" s="9" cm="1">
        <f t="array" aca="1" ref="AE174" ca="1">_xll.BDH($E$8,"PX LAST",AJ174)</f>
        <v>5980.87</v>
      </c>
      <c r="AF174" s="9" cm="1">
        <f t="array" aca="1" ref="AF174" ca="1">_xll.BDH($E$8,"PX LAST",AK174)</f>
        <v>5287.76</v>
      </c>
      <c r="AG174" s="20">
        <f t="shared" ca="1" si="51"/>
        <v>45855</v>
      </c>
      <c r="AH174" s="22">
        <f t="shared" ca="1" si="46"/>
        <v>45848</v>
      </c>
      <c r="AI174" s="22">
        <f t="shared" ca="1" si="47"/>
        <v>45841</v>
      </c>
      <c r="AJ174" s="22">
        <f t="shared" ca="1" si="48"/>
        <v>45826</v>
      </c>
      <c r="AK174" s="22">
        <f t="shared" ca="1" si="49"/>
        <v>45769</v>
      </c>
      <c r="AL174" s="22">
        <f t="shared" ca="1" si="50"/>
        <v>45681</v>
      </c>
    </row>
    <row r="175" spans="4:38" x14ac:dyDescent="0.25">
      <c r="D175" s="6">
        <f ca="1"/>
        <v>45854</v>
      </c>
      <c r="E175" s="28">
        <f ca="1"/>
        <v>199.17</v>
      </c>
      <c r="F175" s="29" cm="1">
        <f t="array" aca="1" ref="F175" ca="1">_xll.FDS($E$7,"P_BETA_LOCIDX("&amp;$AG175&amp;","&amp;$AL175&amp;",,"""&amp;$E$9&amp;""")")</f>
        <v>1.6314500000000001</v>
      </c>
      <c r="G175" s="30">
        <f t="shared" ca="1" si="36"/>
        <v>4.2726810603766572E-3</v>
      </c>
      <c r="H175" s="30">
        <f t="shared" ca="1" si="36"/>
        <v>2.0223473838400244E-2</v>
      </c>
      <c r="I175" s="30">
        <f t="shared" ca="1" si="36"/>
        <v>8.4922820119184728E-2</v>
      </c>
      <c r="J175" s="30">
        <f t="shared" ca="1" si="34"/>
        <v>1.499477803390159E-2</v>
      </c>
      <c r="K175" s="30">
        <f t="shared" ca="1" si="37"/>
        <v>1.1461092146885211E-4</v>
      </c>
      <c r="L175" s="30">
        <f t="shared" ca="1" si="37"/>
        <v>9.504579103384465E-3</v>
      </c>
      <c r="M175" s="30">
        <f t="shared" ca="1" si="37"/>
        <v>7.6621473343228441E-2</v>
      </c>
      <c r="N175" s="30">
        <f t="shared" ca="1" si="35"/>
        <v>0.34965064848202865</v>
      </c>
      <c r="O175" s="30">
        <f t="shared" ca="1" si="38"/>
        <v>4.3872919818455092E-3</v>
      </c>
      <c r="P175" s="30">
        <f t="shared" ca="1" si="39"/>
        <v>2.9728052941784711E-2</v>
      </c>
      <c r="Q175" s="30">
        <f t="shared" ca="1" si="40"/>
        <v>0.16154429346241317</v>
      </c>
      <c r="R175" s="30">
        <f t="shared" ca="1" si="41"/>
        <v>0.36464542651593024</v>
      </c>
      <c r="S175" s="9" cm="1">
        <f t="array" aca="1" ref="S175" ca="1">_xll.BDH($E$6,"PX LAST",AG175)</f>
        <v>199.17</v>
      </c>
      <c r="T175" s="9" cm="1">
        <f t="array" aca="1" ref="T175" ca="1">_xll.BDH($E$6,"PX LAST",AH175)</f>
        <v>198.3</v>
      </c>
      <c r="U175" s="9" cm="1">
        <f t="array" aca="1" ref="U175" ca="1">_xll.BDH($E$6,"PX LAST",AI175)</f>
        <v>193.42</v>
      </c>
      <c r="V175" s="9" cm="1">
        <f t="array" aca="1" ref="V175" ca="1">_xll.BDH($E$6,"PX LAST",AJ175)</f>
        <v>171.47</v>
      </c>
      <c r="W175" s="9" cm="1">
        <f t="array" aca="1" ref="W175" ca="1">_xll.BDH($E$6,"PX LAST",AK175)</f>
        <v>145.94999999999999</v>
      </c>
      <c r="X175" s="24">
        <f t="shared" ca="1" si="42"/>
        <v>7.0250955572559448E-5</v>
      </c>
      <c r="Y175" s="24">
        <f t="shared" ca="1" si="43"/>
        <v>5.8258476222896594E-3</v>
      </c>
      <c r="Z175" s="24">
        <f t="shared" ca="1" si="44"/>
        <v>4.6965259948652083E-2</v>
      </c>
      <c r="AA175" s="24">
        <f t="shared" ca="1" si="45"/>
        <v>0.21431894847039668</v>
      </c>
      <c r="AB175" s="9" cm="1">
        <f t="array" aca="1" ref="AB175" ca="1">_xll.BDH($E$8,"PX LAST",AG175)</f>
        <v>6263.7</v>
      </c>
      <c r="AC175" s="9" cm="1">
        <f t="array" aca="1" ref="AC175" ca="1">_xll.BDH($E$8,"PX LAST",AH175)</f>
        <v>6263.26</v>
      </c>
      <c r="AD175" s="9" cm="1">
        <f t="array" aca="1" ref="AD175" ca="1">_xll.BDH($E$8,"PX LAST",AI175)</f>
        <v>6227.42</v>
      </c>
      <c r="AE175" s="9" cm="1">
        <f t="array" aca="1" ref="AE175" ca="1">_xll.BDH($E$8,"PX LAST",AJ175)</f>
        <v>5982.72</v>
      </c>
      <c r="AF175" s="9" cm="1">
        <f t="array" aca="1" ref="AF175" ca="1">_xll.BDH($E$8,"PX LAST",AK175)</f>
        <v>5158.2</v>
      </c>
      <c r="AG175" s="20">
        <f t="shared" ca="1" si="51"/>
        <v>45854</v>
      </c>
      <c r="AH175" s="22">
        <f t="shared" ca="1" si="46"/>
        <v>45847</v>
      </c>
      <c r="AI175" s="22">
        <f t="shared" ca="1" si="47"/>
        <v>45840</v>
      </c>
      <c r="AJ175" s="22">
        <f t="shared" ca="1" si="48"/>
        <v>45825</v>
      </c>
      <c r="AK175" s="22">
        <f t="shared" ca="1" si="49"/>
        <v>45768</v>
      </c>
      <c r="AL175" s="22">
        <f t="shared" ca="1" si="50"/>
        <v>45680</v>
      </c>
    </row>
    <row r="176" spans="4:38" x14ac:dyDescent="0.25">
      <c r="D176" s="6">
        <f ca="1"/>
        <v>45853</v>
      </c>
      <c r="E176" s="28">
        <f ca="1"/>
        <v>198.14</v>
      </c>
      <c r="F176" s="29" cm="1">
        <f t="array" aca="1" ref="F176" ca="1">_xll.FDS($E$7,"P_BETA_LOCIDX("&amp;$AG176&amp;","&amp;$AL176&amp;",,"""&amp;$E$9&amp;""")")</f>
        <v>1.6300983</v>
      </c>
      <c r="G176" s="30">
        <f t="shared" ca="1" si="36"/>
        <v>8.5205267639992081E-3</v>
      </c>
      <c r="H176" s="30">
        <f t="shared" ca="1" si="36"/>
        <v>3.5108484242261331E-2</v>
      </c>
      <c r="I176" s="30">
        <f t="shared" ca="1" si="36"/>
        <v>6.8368008555214244E-2</v>
      </c>
      <c r="J176" s="30">
        <f t="shared" ca="1" si="34"/>
        <v>1.4326113431808229E-2</v>
      </c>
      <c r="K176" s="30">
        <f t="shared" ca="1" si="37"/>
        <v>4.7759854585640192E-3</v>
      </c>
      <c r="L176" s="30">
        <f t="shared" ca="1" si="37"/>
        <v>1.2032409954969337E-2</v>
      </c>
      <c r="M176" s="30">
        <f t="shared" ca="1" si="37"/>
        <v>5.6915953280315006E-2</v>
      </c>
      <c r="N176" s="30">
        <f t="shared" ca="1" si="35"/>
        <v>0.29655711514907157</v>
      </c>
      <c r="O176" s="30">
        <f t="shared" ca="1" si="38"/>
        <v>1.3296512222563228E-2</v>
      </c>
      <c r="P176" s="30">
        <f t="shared" ca="1" si="39"/>
        <v>4.7140894197230665E-2</v>
      </c>
      <c r="Q176" s="30">
        <f t="shared" ca="1" si="40"/>
        <v>0.12528396183552926</v>
      </c>
      <c r="R176" s="30">
        <f t="shared" ca="1" si="41"/>
        <v>0.3108832285808798</v>
      </c>
      <c r="S176" s="9" cm="1">
        <f t="array" aca="1" ref="S176" ca="1">_xll.BDH($E$6,"PX LAST",AG176)</f>
        <v>198.14</v>
      </c>
      <c r="T176" s="9" cm="1">
        <f t="array" aca="1" ref="T176" ca="1">_xll.BDH($E$6,"PX LAST",AH176)</f>
        <v>195.54</v>
      </c>
      <c r="U176" s="9" cm="1">
        <f t="array" aca="1" ref="U176" ca="1">_xll.BDH($E$6,"PX LAST",AI176)</f>
        <v>189.22</v>
      </c>
      <c r="V176" s="9" cm="1">
        <f t="array" aca="1" ref="V176" ca="1">_xll.BDH($E$6,"PX LAST",AJ176)</f>
        <v>176.08</v>
      </c>
      <c r="W176" s="9" cm="1">
        <f t="array" aca="1" ref="W176" ca="1">_xll.BDH($E$6,"PX LAST",AK176)</f>
        <v>151.15</v>
      </c>
      <c r="X176" s="24">
        <f t="shared" ca="1" si="42"/>
        <v>2.9298757372877571E-3</v>
      </c>
      <c r="Y176" s="24">
        <f t="shared" ca="1" si="43"/>
        <v>7.3814014498201352E-3</v>
      </c>
      <c r="Z176" s="24">
        <f t="shared" ca="1" si="44"/>
        <v>3.4915657098909314E-2</v>
      </c>
      <c r="AA176" s="24">
        <f t="shared" ca="1" si="45"/>
        <v>0.18192590909951356</v>
      </c>
      <c r="AB176" s="9" cm="1">
        <f t="array" aca="1" ref="AB176" ca="1">_xll.BDH($E$8,"PX LAST",AG176)</f>
        <v>6243.76</v>
      </c>
      <c r="AC176" s="9" cm="1">
        <f t="array" aca="1" ref="AC176" ca="1">_xll.BDH($E$8,"PX LAST",AH176)</f>
        <v>6225.52</v>
      </c>
      <c r="AD176" s="9" cm="1">
        <f t="array" aca="1" ref="AD176" ca="1">_xll.BDH($E$8,"PX LAST",AI176)</f>
        <v>6198.01</v>
      </c>
      <c r="AE176" s="9" cm="1">
        <f t="array" aca="1" ref="AE176" ca="1">_xll.BDH($E$8,"PX LAST",AJ176)</f>
        <v>6033.11</v>
      </c>
      <c r="AF176" s="9" cm="1">
        <f t="array" aca="1" ref="AF176" ca="1">_xll.BDH($E$8,"PX LAST",AK176)</f>
        <v>5282.7</v>
      </c>
      <c r="AG176" s="20">
        <f t="shared" ca="1" si="51"/>
        <v>45853</v>
      </c>
      <c r="AH176" s="22">
        <f t="shared" ca="1" si="46"/>
        <v>45846</v>
      </c>
      <c r="AI176" s="22">
        <f t="shared" ca="1" si="47"/>
        <v>45839</v>
      </c>
      <c r="AJ176" s="22">
        <f t="shared" ca="1" si="48"/>
        <v>45824</v>
      </c>
      <c r="AK176" s="22">
        <f t="shared" ca="1" si="49"/>
        <v>45764</v>
      </c>
      <c r="AL176" s="22">
        <f t="shared" ca="1" si="50"/>
        <v>45679</v>
      </c>
    </row>
    <row r="177" spans="4:38" x14ac:dyDescent="0.25">
      <c r="D177" s="6">
        <f ca="1"/>
        <v>45852</v>
      </c>
      <c r="E177" s="28">
        <f ca="1"/>
        <v>198.02</v>
      </c>
      <c r="F177" s="29" cm="1">
        <f t="array" aca="1" ref="F177" ca="1">_xll.FDS($E$7,"P_BETA_LOCIDX("&amp;$AG177&amp;","&amp;$AL177&amp;",,"""&amp;$E$9&amp;""")")</f>
        <v>1.6377406999999999</v>
      </c>
      <c r="G177" s="30">
        <f t="shared" ca="1" si="36"/>
        <v>3.0534964773197188E-2</v>
      </c>
      <c r="H177" s="30">
        <f t="shared" ca="1" si="36"/>
        <v>5.2433175274523319E-2</v>
      </c>
      <c r="I177" s="30">
        <f t="shared" ca="1" si="36"/>
        <v>6.2942509153458712E-2</v>
      </c>
      <c r="J177" s="30">
        <f t="shared" ca="1" si="34"/>
        <v>3.0572601447971581E-2</v>
      </c>
      <c r="K177" s="30">
        <f t="shared" ca="1" si="37"/>
        <v>1.0141932430923078E-2</v>
      </c>
      <c r="L177" s="30">
        <f t="shared" ca="1" si="37"/>
        <v>1.6789286928500652E-2</v>
      </c>
      <c r="M177" s="30">
        <f t="shared" ca="1" si="37"/>
        <v>7.9898144162175846E-2</v>
      </c>
      <c r="N177" s="30">
        <f t="shared" ca="1" si="35"/>
        <v>0.3082144988157024</v>
      </c>
      <c r="O177" s="30">
        <f t="shared" ca="1" si="38"/>
        <v>4.0676897204120266E-2</v>
      </c>
      <c r="P177" s="30">
        <f t="shared" ca="1" si="39"/>
        <v>6.9222462203023971E-2</v>
      </c>
      <c r="Q177" s="30">
        <f t="shared" ca="1" si="40"/>
        <v>0.14284065331563456</v>
      </c>
      <c r="R177" s="30">
        <f t="shared" ca="1" si="41"/>
        <v>0.33878710026367398</v>
      </c>
      <c r="S177" s="9" cm="1">
        <f t="array" aca="1" ref="S177" ca="1">_xll.BDH($E$6,"PX LAST",AG177)</f>
        <v>198.02</v>
      </c>
      <c r="T177" s="9" cm="1">
        <f t="array" aca="1" ref="T177" ca="1">_xll.BDH($E$6,"PX LAST",AH177)</f>
        <v>190.28</v>
      </c>
      <c r="U177" s="9" cm="1">
        <f t="array" aca="1" ref="U177" ca="1">_xll.BDH($E$6,"PX LAST",AI177)</f>
        <v>185.2</v>
      </c>
      <c r="V177" s="9" cm="1">
        <f t="array" aca="1" ref="V177" ca="1">_xll.BDH($E$6,"PX LAST",AJ177)</f>
        <v>173.27</v>
      </c>
      <c r="W177" s="9" cm="1">
        <f t="array" aca="1" ref="W177" ca="1">_xll.BDH($E$6,"PX LAST",AK177)</f>
        <v>147.91</v>
      </c>
      <c r="X177" s="24">
        <f t="shared" ca="1" si="42"/>
        <v>6.1926362524440393E-3</v>
      </c>
      <c r="Y177" s="24">
        <f t="shared" ca="1" si="43"/>
        <v>1.0251492759812741E-2</v>
      </c>
      <c r="Z177" s="24">
        <f t="shared" ca="1" si="44"/>
        <v>4.8785588684567616E-2</v>
      </c>
      <c r="AA177" s="24">
        <f t="shared" ca="1" si="45"/>
        <v>0.18819493147828736</v>
      </c>
      <c r="AB177" s="9" cm="1">
        <f t="array" aca="1" ref="AB177" ca="1">_xll.BDH($E$8,"PX LAST",AG177)</f>
        <v>6268.56</v>
      </c>
      <c r="AC177" s="9" cm="1">
        <f t="array" aca="1" ref="AC177" ca="1">_xll.BDH($E$8,"PX LAST",AH177)</f>
        <v>6229.98</v>
      </c>
      <c r="AD177" s="9" cm="1">
        <f t="array" aca="1" ref="AD177" ca="1">_xll.BDH($E$8,"PX LAST",AI177)</f>
        <v>6204.95</v>
      </c>
      <c r="AE177" s="9" cm="1">
        <f t="array" aca="1" ref="AE177" ca="1">_xll.BDH($E$8,"PX LAST",AJ177)</f>
        <v>5976.97</v>
      </c>
      <c r="AF177" s="9" cm="1">
        <f t="array" aca="1" ref="AF177" ca="1">_xll.BDH($E$8,"PX LAST",AK177)</f>
        <v>5275.7</v>
      </c>
      <c r="AG177" s="20">
        <f t="shared" ca="1" si="51"/>
        <v>45852</v>
      </c>
      <c r="AH177" s="22">
        <f t="shared" ca="1" si="46"/>
        <v>45845</v>
      </c>
      <c r="AI177" s="22">
        <f t="shared" ca="1" si="47"/>
        <v>45838</v>
      </c>
      <c r="AJ177" s="22">
        <f t="shared" ca="1" si="48"/>
        <v>45821</v>
      </c>
      <c r="AK177" s="22">
        <f t="shared" ca="1" si="49"/>
        <v>45763</v>
      </c>
      <c r="AL177" s="22">
        <f t="shared" ca="1" si="50"/>
        <v>45678</v>
      </c>
    </row>
    <row r="178" spans="4:38" x14ac:dyDescent="0.25">
      <c r="D178" s="6">
        <f ca="1"/>
        <v>45849</v>
      </c>
      <c r="E178" s="28">
        <f ca="1"/>
        <v>199.04</v>
      </c>
      <c r="F178" s="29" cm="1">
        <f t="array" aca="1" ref="F178" ca="1">_xll.FDS($E$7,"P_BETA_LOCIDX("&amp;$AG178&amp;","&amp;$AL178&amp;",,"""&amp;$E$9&amp;""")")</f>
        <v>1.6289688</v>
      </c>
      <c r="G178" s="30" t="e">
        <f t="shared" ca="1" si="36"/>
        <v>#VALUE!</v>
      </c>
      <c r="H178" s="30">
        <f t="shared" ca="1" si="36"/>
        <v>5.034995013617366E-2</v>
      </c>
      <c r="I178" s="30">
        <f t="shared" ca="1" si="36"/>
        <v>6.8185977570710002E-2</v>
      </c>
      <c r="J178" s="30">
        <f t="shared" ca="1" si="34"/>
        <v>6.5782248849154012E-2</v>
      </c>
      <c r="K178" s="30" t="e">
        <f t="shared" ca="1" si="37"/>
        <v>#VALUE!</v>
      </c>
      <c r="L178" s="30">
        <f t="shared" ca="1" si="37"/>
        <v>2.2873386432358537E-2</v>
      </c>
      <c r="M178" s="30">
        <f t="shared" ca="1" si="37"/>
        <v>5.7796938082398483E-2</v>
      </c>
      <c r="N178" s="30">
        <f t="shared" ca="1" si="35"/>
        <v>0.26053213777042344</v>
      </c>
      <c r="O178" s="30" t="e">
        <f t="shared" ca="1" si="38"/>
        <v>#VALUE!</v>
      </c>
      <c r="P178" s="30">
        <f t="shared" ca="1" si="39"/>
        <v>7.3223336568532194E-2</v>
      </c>
      <c r="Q178" s="30">
        <f t="shared" ca="1" si="40"/>
        <v>0.12598291565310848</v>
      </c>
      <c r="R178" s="30">
        <f t="shared" ca="1" si="41"/>
        <v>0.32631438661957746</v>
      </c>
      <c r="S178" s="9" cm="1">
        <f t="array" aca="1" ref="S178" ca="1">_xll.BDH($E$6,"PX LAST",AG178)</f>
        <v>199.04</v>
      </c>
      <c r="T178" s="9" t="str" cm="1">
        <f t="array" aca="1" ref="T178" ca="1">_xll.BDH($E$6,"PX LAST",AH178)</f>
        <v>#N/A N/A</v>
      </c>
      <c r="U178" s="9" cm="1">
        <f t="array" aca="1" ref="U178" ca="1">_xll.BDH($E$6,"PX LAST",AI178)</f>
        <v>185.46</v>
      </c>
      <c r="V178" s="9" cm="1">
        <f t="array" aca="1" ref="V178" ca="1">_xll.BDH($E$6,"PX LAST",AJ178)</f>
        <v>176.77</v>
      </c>
      <c r="W178" s="9" cm="1">
        <f t="array" aca="1" ref="W178" ca="1">_xll.BDH($E$6,"PX LAST",AK178)</f>
        <v>150.07</v>
      </c>
      <c r="X178" s="24" t="e">
        <f t="shared" ca="1" si="42"/>
        <v>#VALUE!</v>
      </c>
      <c r="Y178" s="24">
        <f t="shared" ca="1" si="43"/>
        <v>1.4041635685323461E-2</v>
      </c>
      <c r="Z178" s="24">
        <f t="shared" ca="1" si="44"/>
        <v>3.5480690656812142E-2</v>
      </c>
      <c r="AA178" s="24">
        <f t="shared" ca="1" si="45"/>
        <v>0.15993684947828557</v>
      </c>
      <c r="AB178" s="9" cm="1">
        <f t="array" aca="1" ref="AB178" ca="1">_xll.BDH($E$8,"PX LAST",AG178)</f>
        <v>6259.75</v>
      </c>
      <c r="AC178" s="9" t="str" cm="1">
        <f t="array" aca="1" ref="AC178" ca="1">_xll.BDH($E$8,"PX LAST",AH178)</f>
        <v>#N/A N/A</v>
      </c>
      <c r="AD178" s="9" cm="1">
        <f t="array" aca="1" ref="AD178" ca="1">_xll.BDH($E$8,"PX LAST",AI178)</f>
        <v>6173.07</v>
      </c>
      <c r="AE178" s="9" cm="1">
        <f t="array" aca="1" ref="AE178" ca="1">_xll.BDH($E$8,"PX LAST",AJ178)</f>
        <v>6045.26</v>
      </c>
      <c r="AF178" s="9" cm="1">
        <f t="array" aca="1" ref="AF178" ca="1">_xll.BDH($E$8,"PX LAST",AK178)</f>
        <v>5396.63</v>
      </c>
      <c r="AG178" s="20">
        <f t="shared" ca="1" si="51"/>
        <v>45849</v>
      </c>
      <c r="AH178" s="22">
        <f t="shared" ca="1" si="46"/>
        <v>45842</v>
      </c>
      <c r="AI178" s="22">
        <f t="shared" ca="1" si="47"/>
        <v>45835</v>
      </c>
      <c r="AJ178" s="22">
        <f t="shared" ca="1" si="48"/>
        <v>45820</v>
      </c>
      <c r="AK178" s="22">
        <f t="shared" ca="1" si="49"/>
        <v>45762</v>
      </c>
      <c r="AL178" s="22">
        <f t="shared" ca="1" si="50"/>
        <v>45674</v>
      </c>
    </row>
    <row r="179" spans="4:38" x14ac:dyDescent="0.25">
      <c r="D179" s="6">
        <f ca="1"/>
        <v>45848</v>
      </c>
      <c r="E179" s="28">
        <f ca="1"/>
        <v>201.26</v>
      </c>
      <c r="F179" s="29" cm="1">
        <f t="array" aca="1" ref="F179" ca="1">_xll.FDS($E$7,"P_BETA_LOCIDX("&amp;$AG179&amp;","&amp;$AL179&amp;",,"""&amp;$E$9&amp;""")")</f>
        <v>1.6258456999999999</v>
      </c>
      <c r="G179" s="30">
        <f t="shared" ca="1" si="36"/>
        <v>3.5586808093887215E-2</v>
      </c>
      <c r="H179" s="30">
        <f t="shared" ca="1" si="36"/>
        <v>4.454459785990892E-2</v>
      </c>
      <c r="I179" s="30">
        <f t="shared" ca="1" si="36"/>
        <v>6.2997912617275928E-2</v>
      </c>
      <c r="J179" s="30">
        <f t="shared" ca="1" si="34"/>
        <v>7.7479313105407011E-2</v>
      </c>
      <c r="K179" s="30">
        <f t="shared" ca="1" si="37"/>
        <v>2.8740056327474059E-4</v>
      </c>
      <c r="L179" s="30">
        <f t="shared" ca="1" si="37"/>
        <v>3.6916981935899783E-2</v>
      </c>
      <c r="M179" s="30">
        <f t="shared" ca="1" si="37"/>
        <v>6.9712578152647545E-2</v>
      </c>
      <c r="N179" s="30">
        <f t="shared" ca="1" si="35"/>
        <v>0.26300290349243505</v>
      </c>
      <c r="O179" s="30">
        <f t="shared" ca="1" si="38"/>
        <v>3.5874208657161955E-2</v>
      </c>
      <c r="P179" s="30">
        <f t="shared" ca="1" si="39"/>
        <v>8.1461579795808703E-2</v>
      </c>
      <c r="Q179" s="30">
        <f t="shared" ca="1" si="40"/>
        <v>0.13271049076992347</v>
      </c>
      <c r="R179" s="30">
        <f t="shared" ca="1" si="41"/>
        <v>0.34048221659784206</v>
      </c>
      <c r="S179" s="9" cm="1">
        <f t="array" aca="1" ref="S179" ca="1">_xll.BDH($E$6,"PX LAST",AG179)</f>
        <v>201.26</v>
      </c>
      <c r="T179" s="9" cm="1">
        <f t="array" aca="1" ref="T179" ca="1">_xll.BDH($E$6,"PX LAST",AH179)</f>
        <v>194.29</v>
      </c>
      <c r="U179" s="9" cm="1">
        <f t="array" aca="1" ref="U179" ca="1">_xll.BDH($E$6,"PX LAST",AI179)</f>
        <v>186.1</v>
      </c>
      <c r="V179" s="9" cm="1">
        <f t="array" aca="1" ref="V179" ca="1">_xll.BDH($E$6,"PX LAST",AJ179)</f>
        <v>177.68</v>
      </c>
      <c r="W179" s="9" cm="1">
        <f t="array" aca="1" ref="W179" ca="1">_xll.BDH($E$6,"PX LAST",AK179)</f>
        <v>150.13999999999999</v>
      </c>
      <c r="X179" s="24">
        <f t="shared" ca="1" si="42"/>
        <v>1.7676988860304554E-4</v>
      </c>
      <c r="Y179" s="24">
        <f t="shared" ca="1" si="43"/>
        <v>2.2706325659255233E-2</v>
      </c>
      <c r="Z179" s="24">
        <f t="shared" ca="1" si="44"/>
        <v>4.2877733202263624E-2</v>
      </c>
      <c r="AA179" s="24">
        <f t="shared" ca="1" si="45"/>
        <v>0.16176375377591801</v>
      </c>
      <c r="AB179" s="9" cm="1">
        <f t="array" aca="1" ref="AB179" ca="1">_xll.BDH($E$8,"PX LAST",AG179)</f>
        <v>6280.46</v>
      </c>
      <c r="AC179" s="9" cm="1">
        <f t="array" aca="1" ref="AC179" ca="1">_xll.BDH($E$8,"PX LAST",AH179)</f>
        <v>6279.35</v>
      </c>
      <c r="AD179" s="9" cm="1">
        <f t="array" aca="1" ref="AD179" ca="1">_xll.BDH($E$8,"PX LAST",AI179)</f>
        <v>6141.02</v>
      </c>
      <c r="AE179" s="9" cm="1">
        <f t="array" aca="1" ref="AE179" ca="1">_xll.BDH($E$8,"PX LAST",AJ179)</f>
        <v>6022.24</v>
      </c>
      <c r="AF179" s="9" cm="1">
        <f t="array" aca="1" ref="AF179" ca="1">_xll.BDH($E$8,"PX LAST",AK179)</f>
        <v>5405.97</v>
      </c>
      <c r="AG179" s="20">
        <f t="shared" ca="1" si="51"/>
        <v>45848</v>
      </c>
      <c r="AH179" s="22">
        <f t="shared" ca="1" si="46"/>
        <v>45841</v>
      </c>
      <c r="AI179" s="22">
        <f t="shared" ca="1" si="47"/>
        <v>45834</v>
      </c>
      <c r="AJ179" s="22">
        <f t="shared" ca="1" si="48"/>
        <v>45819</v>
      </c>
      <c r="AK179" s="22">
        <f t="shared" ca="1" si="49"/>
        <v>45761</v>
      </c>
      <c r="AL179" s="22">
        <f t="shared" ca="1" si="50"/>
        <v>45673</v>
      </c>
    </row>
    <row r="180" spans="4:38" x14ac:dyDescent="0.25">
      <c r="D180" s="6">
        <f ca="1"/>
        <v>45847</v>
      </c>
      <c r="E180" s="28">
        <f ca="1"/>
        <v>198.3</v>
      </c>
      <c r="F180" s="29" cm="1">
        <f t="array" aca="1" ref="F180" ca="1">_xll.FDS($E$7,"P_BETA_LOCIDX("&amp;$AG180&amp;","&amp;$AL180&amp;",,"""&amp;$E$9&amp;""")")</f>
        <v>1.6091928</v>
      </c>
      <c r="G180" s="30">
        <f t="shared" ca="1" si="36"/>
        <v>1.5968855172644021E-2</v>
      </c>
      <c r="H180" s="30">
        <f t="shared" ca="1" si="36"/>
        <v>4.3588112368638104E-2</v>
      </c>
      <c r="I180" s="30">
        <f t="shared" ca="1" si="36"/>
        <v>4.6033953295242978E-2</v>
      </c>
      <c r="J180" s="30">
        <f t="shared" ca="1" si="34"/>
        <v>6.6072298518653483E-2</v>
      </c>
      <c r="K180" s="30">
        <f t="shared" ca="1" si="37"/>
        <v>9.2612141066445927E-3</v>
      </c>
      <c r="L180" s="30">
        <f t="shared" ca="1" si="37"/>
        <v>4.5194625236369329E-2</v>
      </c>
      <c r="M180" s="30">
        <f t="shared" ca="1" si="37"/>
        <v>5.9810347396258325E-2</v>
      </c>
      <c r="N180" s="30">
        <f t="shared" ca="1" si="35"/>
        <v>0.27000100696578277</v>
      </c>
      <c r="O180" s="30">
        <f t="shared" ca="1" si="38"/>
        <v>2.5230069279288614E-2</v>
      </c>
      <c r="P180" s="30">
        <f t="shared" ca="1" si="39"/>
        <v>8.8782737605007434E-2</v>
      </c>
      <c r="Q180" s="30">
        <f t="shared" ca="1" si="40"/>
        <v>0.1058443006915013</v>
      </c>
      <c r="R180" s="30">
        <f t="shared" ca="1" si="41"/>
        <v>0.33607330548443626</v>
      </c>
      <c r="S180" s="9" cm="1">
        <f t="array" aca="1" ref="S180" ca="1">_xll.BDH($E$6,"PX LAST",AG180)</f>
        <v>198.3</v>
      </c>
      <c r="T180" s="9" cm="1">
        <f t="array" aca="1" ref="T180" ca="1">_xll.BDH($E$6,"PX LAST",AH180)</f>
        <v>193.42</v>
      </c>
      <c r="U180" s="9" cm="1">
        <f t="array" aca="1" ref="U180" ca="1">_xll.BDH($E$6,"PX LAST",AI180)</f>
        <v>182.13</v>
      </c>
      <c r="V180" s="9" cm="1">
        <f t="array" aca="1" ref="V180" ca="1">_xll.BDH($E$6,"PX LAST",AJ180)</f>
        <v>179.32</v>
      </c>
      <c r="W180" s="9" cm="1">
        <f t="array" aca="1" ref="W180" ca="1">_xll.BDH($E$6,"PX LAST",AK180)</f>
        <v>148.41999999999999</v>
      </c>
      <c r="X180" s="24">
        <f t="shared" ca="1" si="42"/>
        <v>5.7551923589544973E-3</v>
      </c>
      <c r="Y180" s="24">
        <f t="shared" ca="1" si="43"/>
        <v>2.8085276814791449E-2</v>
      </c>
      <c r="Z180" s="24">
        <f t="shared" ca="1" si="44"/>
        <v>3.7167918844937864E-2</v>
      </c>
      <c r="AA180" s="24">
        <f t="shared" ca="1" si="45"/>
        <v>0.16778661137794226</v>
      </c>
      <c r="AB180" s="9" cm="1">
        <f t="array" aca="1" ref="AB180" ca="1">_xll.BDH($E$8,"PX LAST",AG180)</f>
        <v>6263.26</v>
      </c>
      <c r="AC180" s="9" cm="1">
        <f t="array" aca="1" ref="AC180" ca="1">_xll.BDH($E$8,"PX LAST",AH180)</f>
        <v>6227.42</v>
      </c>
      <c r="AD180" s="9" cm="1">
        <f t="array" aca="1" ref="AD180" ca="1">_xll.BDH($E$8,"PX LAST",AI180)</f>
        <v>6092.16</v>
      </c>
      <c r="AE180" s="9" cm="1">
        <f t="array" aca="1" ref="AE180" ca="1">_xll.BDH($E$8,"PX LAST",AJ180)</f>
        <v>6038.81</v>
      </c>
      <c r="AF180" s="9" cm="1">
        <f t="array" aca="1" ref="AF180" ca="1">_xll.BDH($E$8,"PX LAST",AK180)</f>
        <v>5363.36</v>
      </c>
      <c r="AG180" s="20">
        <f t="shared" ca="1" si="51"/>
        <v>45847</v>
      </c>
      <c r="AH180" s="22">
        <f t="shared" ca="1" si="46"/>
        <v>45840</v>
      </c>
      <c r="AI180" s="22">
        <f t="shared" ca="1" si="47"/>
        <v>45833</v>
      </c>
      <c r="AJ180" s="22">
        <f t="shared" ca="1" si="48"/>
        <v>45818</v>
      </c>
      <c r="AK180" s="22">
        <f t="shared" ca="1" si="49"/>
        <v>45758</v>
      </c>
      <c r="AL180" s="22">
        <f t="shared" ca="1" si="50"/>
        <v>45672</v>
      </c>
    </row>
    <row r="181" spans="4:38" x14ac:dyDescent="0.25">
      <c r="D181" s="6">
        <f ca="1"/>
        <v>45846</v>
      </c>
      <c r="E181" s="28">
        <f ca="1"/>
        <v>195.54</v>
      </c>
      <c r="F181" s="29" cm="1">
        <f t="array" aca="1" ref="F181" ca="1">_xll.FDS($E$7,"P_BETA_LOCIDX("&amp;$AG181&amp;","&amp;$AL181&amp;",,"""&amp;$E$9&amp;""")")</f>
        <v>1.6089530999999999</v>
      </c>
      <c r="G181" s="30">
        <f t="shared" ca="1" si="36"/>
        <v>2.6258902052259586E-2</v>
      </c>
      <c r="H181" s="30">
        <f t="shared" ca="1" si="36"/>
        <v>2.1814832715940785E-2</v>
      </c>
      <c r="I181" s="30">
        <f t="shared" ca="1" si="36"/>
        <v>4.8971842638861972E-2</v>
      </c>
      <c r="J181" s="30">
        <f t="shared" ca="1" si="34"/>
        <v>3.922569037320589E-2</v>
      </c>
      <c r="K181" s="30">
        <f t="shared" ca="1" si="37"/>
        <v>7.1413727601280239E-3</v>
      </c>
      <c r="L181" s="30">
        <f t="shared" ca="1" si="37"/>
        <v>3.5215277019720576E-2</v>
      </c>
      <c r="M181" s="30">
        <f t="shared" ca="1" si="37"/>
        <v>5.8840745883034819E-2</v>
      </c>
      <c r="N181" s="30">
        <f t="shared" ca="1" si="35"/>
        <v>0.29242781003540197</v>
      </c>
      <c r="O181" s="30">
        <f t="shared" ca="1" si="38"/>
        <v>3.3400274812387609E-2</v>
      </c>
      <c r="P181" s="30">
        <f t="shared" ca="1" si="39"/>
        <v>5.7030109735661361E-2</v>
      </c>
      <c r="Q181" s="30">
        <f t="shared" ca="1" si="40"/>
        <v>0.10781258852189679</v>
      </c>
      <c r="R181" s="30">
        <f t="shared" ca="1" si="41"/>
        <v>0.33165350040860786</v>
      </c>
      <c r="S181" s="9" cm="1">
        <f t="array" aca="1" ref="S181" ca="1">_xll.BDH($E$6,"PX LAST",AG181)</f>
        <v>195.54</v>
      </c>
      <c r="T181" s="9" cm="1">
        <f t="array" aca="1" ref="T181" ca="1">_xll.BDH($E$6,"PX LAST",AH181)</f>
        <v>189.22</v>
      </c>
      <c r="U181" s="9" cm="1">
        <f t="array" aca="1" ref="U181" ca="1">_xll.BDH($E$6,"PX LAST",AI181)</f>
        <v>184.99</v>
      </c>
      <c r="V181" s="9" cm="1">
        <f t="array" aca="1" ref="V181" ca="1">_xll.BDH($E$6,"PX LAST",AJ181)</f>
        <v>176.51</v>
      </c>
      <c r="W181" s="9" cm="1">
        <f t="array" aca="1" ref="W181" ca="1">_xll.BDH($E$6,"PX LAST",AK181)</f>
        <v>146.84</v>
      </c>
      <c r="X181" s="24">
        <f t="shared" ca="1" si="42"/>
        <v>4.4385213963837877E-3</v>
      </c>
      <c r="Y181" s="24">
        <f t="shared" ca="1" si="43"/>
        <v>2.1887074905863058E-2</v>
      </c>
      <c r="Z181" s="24">
        <f t="shared" ca="1" si="44"/>
        <v>3.6570827255955951E-2</v>
      </c>
      <c r="AA181" s="24">
        <f t="shared" ca="1" si="45"/>
        <v>0.18175036303755654</v>
      </c>
      <c r="AB181" s="9" cm="1">
        <f t="array" aca="1" ref="AB181" ca="1">_xll.BDH($E$8,"PX LAST",AG181)</f>
        <v>6225.52</v>
      </c>
      <c r="AC181" s="9" cm="1">
        <f t="array" aca="1" ref="AC181" ca="1">_xll.BDH($E$8,"PX LAST",AH181)</f>
        <v>6198.01</v>
      </c>
      <c r="AD181" s="9" cm="1">
        <f t="array" aca="1" ref="AD181" ca="1">_xll.BDH($E$8,"PX LAST",AI181)</f>
        <v>6092.18</v>
      </c>
      <c r="AE181" s="9" cm="1">
        <f t="array" aca="1" ref="AE181" ca="1">_xll.BDH($E$8,"PX LAST",AJ181)</f>
        <v>6005.88</v>
      </c>
      <c r="AF181" s="9" cm="1">
        <f t="array" aca="1" ref="AF181" ca="1">_xll.BDH($E$8,"PX LAST",AK181)</f>
        <v>5268.05</v>
      </c>
      <c r="AG181" s="20">
        <f t="shared" ca="1" si="51"/>
        <v>45846</v>
      </c>
      <c r="AH181" s="22">
        <f t="shared" ca="1" si="46"/>
        <v>45839</v>
      </c>
      <c r="AI181" s="22">
        <f t="shared" ca="1" si="47"/>
        <v>45832</v>
      </c>
      <c r="AJ181" s="22">
        <f t="shared" ca="1" si="48"/>
        <v>45817</v>
      </c>
      <c r="AK181" s="22">
        <f t="shared" ca="1" si="49"/>
        <v>45757</v>
      </c>
      <c r="AL181" s="22">
        <f t="shared" ca="1" si="50"/>
        <v>45671</v>
      </c>
    </row>
    <row r="182" spans="4:38" x14ac:dyDescent="0.25">
      <c r="D182" s="6">
        <f ca="1"/>
        <v>45845</v>
      </c>
      <c r="E182" s="28">
        <f ca="1"/>
        <v>190.28</v>
      </c>
      <c r="F182" s="29" cm="1">
        <f t="array" aca="1" ref="F182" ca="1">_xll.FDS($E$7,"P_BETA_LOCIDX("&amp;$AG182&amp;","&amp;$AL182&amp;",,"""&amp;$E$9&amp;""")")</f>
        <v>1.6109541999999999</v>
      </c>
      <c r="G182" s="30">
        <f t="shared" ca="1" si="36"/>
        <v>2.0931415841902494E-2</v>
      </c>
      <c r="H182" s="30">
        <f t="shared" ca="1" si="36"/>
        <v>-3.5475623816052515E-3</v>
      </c>
      <c r="I182" s="30">
        <f t="shared" ca="1" si="36"/>
        <v>3.5826238682508456E-2</v>
      </c>
      <c r="J182" s="30">
        <f t="shared" ca="1" si="34"/>
        <v>8.4845262790971265E-3</v>
      </c>
      <c r="K182" s="30">
        <f t="shared" ca="1" si="37"/>
        <v>6.4983897736483687E-3</v>
      </c>
      <c r="L182" s="30">
        <f t="shared" ca="1" si="37"/>
        <v>5.4760202567230465E-2</v>
      </c>
      <c r="M182" s="30">
        <f t="shared" ca="1" si="37"/>
        <v>6.1647518382896942E-2</v>
      </c>
      <c r="N182" s="30">
        <f t="shared" ca="1" si="35"/>
        <v>0.22822416993824324</v>
      </c>
      <c r="O182" s="30">
        <f t="shared" ca="1" si="38"/>
        <v>2.7429805615550862E-2</v>
      </c>
      <c r="P182" s="30">
        <f t="shared" ca="1" si="39"/>
        <v>5.1212640185625213E-2</v>
      </c>
      <c r="Q182" s="30">
        <f t="shared" ca="1" si="40"/>
        <v>9.7473757065405398E-2</v>
      </c>
      <c r="R182" s="30">
        <f t="shared" ca="1" si="41"/>
        <v>0.23670869621734036</v>
      </c>
      <c r="S182" s="9" cm="1">
        <f t="array" aca="1" ref="S182" ca="1">_xll.BDH($E$6,"PX LAST",AG182)</f>
        <v>190.28</v>
      </c>
      <c r="T182" s="9" cm="1">
        <f t="array" aca="1" ref="T182" ca="1">_xll.BDH($E$6,"PX LAST",AH182)</f>
        <v>185.2</v>
      </c>
      <c r="U182" s="9" cm="1">
        <f t="array" aca="1" ref="U182" ca="1">_xll.BDH($E$6,"PX LAST",AI182)</f>
        <v>181.01</v>
      </c>
      <c r="V182" s="9" cm="1">
        <f t="array" aca="1" ref="V182" ca="1">_xll.BDH($E$6,"PX LAST",AJ182)</f>
        <v>173.38</v>
      </c>
      <c r="W182" s="9" cm="1">
        <f t="array" aca="1" ref="W182" ca="1">_xll.BDH($E$6,"PX LAST",AK182)</f>
        <v>153.86000000000001</v>
      </c>
      <c r="X182" s="24">
        <f t="shared" ca="1" si="42"/>
        <v>4.0338761795017941E-3</v>
      </c>
      <c r="Y182" s="24">
        <f t="shared" ca="1" si="43"/>
        <v>3.399240187413799E-2</v>
      </c>
      <c r="Z182" s="24">
        <f t="shared" ca="1" si="44"/>
        <v>3.8267703937763686E-2</v>
      </c>
      <c r="AA182" s="24">
        <f t="shared" ca="1" si="45"/>
        <v>0.14167017903938128</v>
      </c>
      <c r="AB182" s="9" cm="1">
        <f t="array" aca="1" ref="AB182" ca="1">_xll.BDH($E$8,"PX LAST",AG182)</f>
        <v>6229.98</v>
      </c>
      <c r="AC182" s="9" cm="1">
        <f t="array" aca="1" ref="AC182" ca="1">_xll.BDH($E$8,"PX LAST",AH182)</f>
        <v>6204.95</v>
      </c>
      <c r="AD182" s="9" cm="1">
        <f t="array" aca="1" ref="AD182" ca="1">_xll.BDH($E$8,"PX LAST",AI182)</f>
        <v>6025.17</v>
      </c>
      <c r="AE182" s="9" cm="1">
        <f t="array" aca="1" ref="AE182" ca="1">_xll.BDH($E$8,"PX LAST",AJ182)</f>
        <v>6000.36</v>
      </c>
      <c r="AF182" s="9" cm="1">
        <f t="array" aca="1" ref="AF182" ca="1">_xll.BDH($E$8,"PX LAST",AK182)</f>
        <v>5456.9</v>
      </c>
      <c r="AG182" s="20">
        <f t="shared" ca="1" si="51"/>
        <v>45845</v>
      </c>
      <c r="AH182" s="22">
        <f t="shared" ca="1" si="46"/>
        <v>45838</v>
      </c>
      <c r="AI182" s="22">
        <f t="shared" ca="1" si="47"/>
        <v>45831</v>
      </c>
      <c r="AJ182" s="22">
        <f t="shared" ca="1" si="48"/>
        <v>45814</v>
      </c>
      <c r="AK182" s="22">
        <f t="shared" ca="1" si="49"/>
        <v>45756</v>
      </c>
      <c r="AL182" s="22">
        <f t="shared" ca="1" si="50"/>
        <v>45670</v>
      </c>
    </row>
    <row r="183" spans="4:38" x14ac:dyDescent="0.25">
      <c r="D183" s="6">
        <f ca="1"/>
        <v>45841</v>
      </c>
      <c r="E183" s="28">
        <f ca="1"/>
        <v>194.29</v>
      </c>
      <c r="F183" s="29" cm="1">
        <f t="array" aca="1" ref="F183" ca="1">_xll.FDS($E$7,"P_BETA_LOCIDX("&amp;$AG183&amp;","&amp;$AL183&amp;",,"""&amp;$E$9&amp;""")")</f>
        <v>1.6108652000000001</v>
      </c>
      <c r="G183" s="30">
        <f t="shared" ca="1" si="36"/>
        <v>7.7229343784407448E-3</v>
      </c>
      <c r="H183" s="30">
        <f t="shared" ca="1" si="36"/>
        <v>1.91557662213898E-2</v>
      </c>
      <c r="I183" s="30">
        <f t="shared" ca="1" si="36"/>
        <v>5.3822238745247136E-2</v>
      </c>
      <c r="J183" s="30">
        <f t="shared" ca="1" si="34"/>
        <v>3.0155953049328332E-2</v>
      </c>
      <c r="K183" s="30">
        <f t="shared" ca="1" si="37"/>
        <v>3.6285663149769991E-2</v>
      </c>
      <c r="L183" s="30">
        <f t="shared" ca="1" si="37"/>
        <v>8.0391489013471498E-2</v>
      </c>
      <c r="M183" s="30">
        <f t="shared" ca="1" si="37"/>
        <v>8.3241025724817758E-2</v>
      </c>
      <c r="N183" s="30">
        <f t="shared" ca="1" si="35"/>
        <v>0.38729498442787319</v>
      </c>
      <c r="O183" s="30">
        <f t="shared" ca="1" si="38"/>
        <v>4.4008597528210736E-2</v>
      </c>
      <c r="P183" s="30">
        <f t="shared" ca="1" si="39"/>
        <v>9.9547255234861298E-2</v>
      </c>
      <c r="Q183" s="30">
        <f t="shared" ca="1" si="40"/>
        <v>0.13706326447006489</v>
      </c>
      <c r="R183" s="30">
        <f t="shared" ca="1" si="41"/>
        <v>0.41745093747720152</v>
      </c>
      <c r="S183" s="9" cm="1">
        <f t="array" aca="1" ref="S183" ca="1">_xll.BDH($E$6,"PX LAST",AG183)</f>
        <v>194.29</v>
      </c>
      <c r="T183" s="9" cm="1">
        <f t="array" aca="1" ref="T183" ca="1">_xll.BDH($E$6,"PX LAST",AH183)</f>
        <v>186.1</v>
      </c>
      <c r="U183" s="9" cm="1">
        <f t="array" aca="1" ref="U183" ca="1">_xll.BDH($E$6,"PX LAST",AI183)</f>
        <v>176.7</v>
      </c>
      <c r="V183" s="9" cm="1">
        <f t="array" aca="1" ref="V183" ca="1">_xll.BDH($E$6,"PX LAST",AJ183)</f>
        <v>170.87</v>
      </c>
      <c r="W183" s="9" cm="1">
        <f t="array" aca="1" ref="W183" ca="1">_xll.BDH($E$6,"PX LAST",AK183)</f>
        <v>137.07</v>
      </c>
      <c r="X183" s="24">
        <f t="shared" ca="1" si="42"/>
        <v>2.2525573927458353E-2</v>
      </c>
      <c r="Y183" s="24">
        <f t="shared" ca="1" si="43"/>
        <v>4.9905782937933907E-2</v>
      </c>
      <c r="Z183" s="24">
        <f t="shared" ca="1" si="44"/>
        <v>5.1674730899157639E-2</v>
      </c>
      <c r="AA183" s="24">
        <f t="shared" ca="1" si="45"/>
        <v>0.24042668773766618</v>
      </c>
      <c r="AB183" s="9" cm="1">
        <f t="array" aca="1" ref="AB183" ca="1">_xll.BDH($E$8,"PX LAST",AG183)</f>
        <v>6279.35</v>
      </c>
      <c r="AC183" s="9" cm="1">
        <f t="array" aca="1" ref="AC183" ca="1">_xll.BDH($E$8,"PX LAST",AH183)</f>
        <v>6141.02</v>
      </c>
      <c r="AD183" s="9" cm="1">
        <f t="array" aca="1" ref="AD183" ca="1">_xll.BDH($E$8,"PX LAST",AI183)</f>
        <v>5980.87</v>
      </c>
      <c r="AE183" s="9" cm="1">
        <f t="array" aca="1" ref="AE183" ca="1">_xll.BDH($E$8,"PX LAST",AJ183)</f>
        <v>5970.81</v>
      </c>
      <c r="AF183" s="9" cm="1">
        <f t="array" aca="1" ref="AF183" ca="1">_xll.BDH($E$8,"PX LAST",AK183)</f>
        <v>5062.25</v>
      </c>
      <c r="AG183" s="20">
        <f t="shared" ca="1" si="51"/>
        <v>45841</v>
      </c>
      <c r="AH183" s="22">
        <f t="shared" ca="1" si="46"/>
        <v>45834</v>
      </c>
      <c r="AI183" s="22">
        <f t="shared" ca="1" si="47"/>
        <v>45826</v>
      </c>
      <c r="AJ183" s="22">
        <f t="shared" ca="1" si="48"/>
        <v>45812</v>
      </c>
      <c r="AK183" s="22">
        <f t="shared" ca="1" si="49"/>
        <v>45754</v>
      </c>
      <c r="AL183" s="22">
        <f t="shared" ca="1" si="50"/>
        <v>45665</v>
      </c>
    </row>
    <row r="184" spans="4:38" x14ac:dyDescent="0.25">
      <c r="D184" s="6">
        <f ca="1"/>
        <v>45840</v>
      </c>
      <c r="E184" s="28">
        <f ca="1"/>
        <v>193.42</v>
      </c>
      <c r="F184" s="29" cm="1">
        <f t="array" aca="1" ref="F184" ca="1">_xll.FDS($E$7,"P_BETA_LOCIDX("&amp;$AG184&amp;","&amp;$AL184&amp;",,"""&amp;$E$9&amp;""")")</f>
        <v>1.6053170999999999</v>
      </c>
      <c r="G184" s="30">
        <f t="shared" ca="1" si="36"/>
        <v>2.6346948053725901E-2</v>
      </c>
      <c r="H184" s="30">
        <f t="shared" ca="1" si="36"/>
        <v>6.2351449615432139E-2</v>
      </c>
      <c r="I184" s="30">
        <f t="shared" ca="1" si="36"/>
        <v>4.7756841248115245E-2</v>
      </c>
      <c r="J184" s="30">
        <f t="shared" ca="1" si="34"/>
        <v>5.6480694387287977E-2</v>
      </c>
      <c r="K184" s="30">
        <f t="shared" ca="1" si="37"/>
        <v>3.5641741343956972E-2</v>
      </c>
      <c r="L184" s="30">
        <f t="shared" ca="1" si="37"/>
        <v>6.5659281124638938E-2</v>
      </c>
      <c r="M184" s="30">
        <f t="shared" ca="1" si="37"/>
        <v>6.911577683711384E-2</v>
      </c>
      <c r="N184" s="30">
        <f t="shared" ca="1" si="35"/>
        <v>0.36488908809360532</v>
      </c>
      <c r="O184" s="30">
        <f t="shared" ca="1" si="38"/>
        <v>6.1988689397682872E-2</v>
      </c>
      <c r="P184" s="30">
        <f t="shared" ca="1" si="39"/>
        <v>0.12801073074007108</v>
      </c>
      <c r="Q184" s="30">
        <f t="shared" ca="1" si="40"/>
        <v>0.11687261808522909</v>
      </c>
      <c r="R184" s="30">
        <f t="shared" ca="1" si="41"/>
        <v>0.4213697824808933</v>
      </c>
      <c r="S184" s="9" cm="1">
        <f t="array" aca="1" ref="S184" ca="1">_xll.BDH($E$6,"PX LAST",AG184)</f>
        <v>193.42</v>
      </c>
      <c r="T184" s="9" cm="1">
        <f t="array" aca="1" ref="T184" ca="1">_xll.BDH($E$6,"PX LAST",AH184)</f>
        <v>182.13</v>
      </c>
      <c r="U184" s="9" cm="1">
        <f t="array" aca="1" ref="U184" ca="1">_xll.BDH($E$6,"PX LAST",AI184)</f>
        <v>171.47</v>
      </c>
      <c r="V184" s="9" cm="1">
        <f t="array" aca="1" ref="V184" ca="1">_xll.BDH($E$6,"PX LAST",AJ184)</f>
        <v>173.18</v>
      </c>
      <c r="W184" s="9" cm="1">
        <f t="array" aca="1" ref="W184" ca="1">_xll.BDH($E$6,"PX LAST",AK184)</f>
        <v>136.08000000000001</v>
      </c>
      <c r="X184" s="24">
        <f t="shared" ca="1" si="42"/>
        <v>2.2202305914486908E-2</v>
      </c>
      <c r="Y184" s="24">
        <f t="shared" ca="1" si="43"/>
        <v>4.0901128583654245E-2</v>
      </c>
      <c r="Z184" s="24">
        <f t="shared" ca="1" si="44"/>
        <v>4.3054283067883503E-2</v>
      </c>
      <c r="AA184" s="24">
        <f t="shared" ca="1" si="45"/>
        <v>0.22730031848137999</v>
      </c>
      <c r="AB184" s="9" cm="1">
        <f t="array" aca="1" ref="AB184" ca="1">_xll.BDH($E$8,"PX LAST",AG184)</f>
        <v>6227.42</v>
      </c>
      <c r="AC184" s="9" cm="1">
        <f t="array" aca="1" ref="AC184" ca="1">_xll.BDH($E$8,"PX LAST",AH184)</f>
        <v>6092.16</v>
      </c>
      <c r="AD184" s="9" cm="1">
        <f t="array" aca="1" ref="AD184" ca="1">_xll.BDH($E$8,"PX LAST",AI184)</f>
        <v>5982.72</v>
      </c>
      <c r="AE184" s="9" cm="1">
        <f t="array" aca="1" ref="AE184" ca="1">_xll.BDH($E$8,"PX LAST",AJ184)</f>
        <v>5970.37</v>
      </c>
      <c r="AF184" s="9" cm="1">
        <f t="array" aca="1" ref="AF184" ca="1">_xll.BDH($E$8,"PX LAST",AK184)</f>
        <v>5074.08</v>
      </c>
      <c r="AG184" s="20">
        <f t="shared" ca="1" si="51"/>
        <v>45840</v>
      </c>
      <c r="AH184" s="22">
        <f t="shared" ca="1" si="46"/>
        <v>45833</v>
      </c>
      <c r="AI184" s="22">
        <f t="shared" ca="1" si="47"/>
        <v>45825</v>
      </c>
      <c r="AJ184" s="22">
        <f t="shared" ca="1" si="48"/>
        <v>45811</v>
      </c>
      <c r="AK184" s="22">
        <f t="shared" ca="1" si="49"/>
        <v>45751</v>
      </c>
      <c r="AL184" s="22">
        <f t="shared" ca="1" si="50"/>
        <v>45664</v>
      </c>
    </row>
    <row r="185" spans="4:38" x14ac:dyDescent="0.25">
      <c r="D185" s="6">
        <f ca="1"/>
        <v>45839</v>
      </c>
      <c r="E185" s="28">
        <f ca="1"/>
        <v>189.22</v>
      </c>
      <c r="F185" s="29" cm="1">
        <f t="array" aca="1" ref="F185" ca="1">_xll.FDS($E$7,"P_BETA_LOCIDX("&amp;$AG185&amp;","&amp;$AL185&amp;",,"""&amp;$E$9&amp;""")")</f>
        <v>1.6038568</v>
      </c>
      <c r="G185" s="30">
        <f t="shared" ca="1" si="36"/>
        <v>-4.9952172693306651E-3</v>
      </c>
      <c r="H185" s="30">
        <f t="shared" ca="1" si="36"/>
        <v>3.0787748828347734E-2</v>
      </c>
      <c r="I185" s="30">
        <f t="shared" ca="1" si="36"/>
        <v>7.2789856939734027E-2</v>
      </c>
      <c r="J185" s="30">
        <f t="shared" ca="1" si="34"/>
        <v>7.838333959507271E-2</v>
      </c>
      <c r="K185" s="30">
        <f t="shared" ca="1" si="37"/>
        <v>2.7861318139647928E-2</v>
      </c>
      <c r="L185" s="30">
        <f t="shared" ca="1" si="37"/>
        <v>4.3837421548753523E-2</v>
      </c>
      <c r="M185" s="30">
        <f t="shared" ca="1" si="37"/>
        <v>7.0809804609885091E-2</v>
      </c>
      <c r="N185" s="30">
        <f t="shared" ca="1" si="35"/>
        <v>0.23820447003476308</v>
      </c>
      <c r="O185" s="30">
        <f t="shared" ca="1" si="38"/>
        <v>2.2866100870317263E-2</v>
      </c>
      <c r="P185" s="30">
        <f t="shared" ca="1" si="39"/>
        <v>7.4625170377101258E-2</v>
      </c>
      <c r="Q185" s="30">
        <f t="shared" ca="1" si="40"/>
        <v>0.14359966154961912</v>
      </c>
      <c r="R185" s="30">
        <f t="shared" ca="1" si="41"/>
        <v>0.31658780962983579</v>
      </c>
      <c r="S185" s="9" cm="1">
        <f t="array" aca="1" ref="S185" ca="1">_xll.BDH($E$6,"PX LAST",AG185)</f>
        <v>189.22</v>
      </c>
      <c r="T185" s="9" cm="1">
        <f t="array" aca="1" ref="T185" ca="1">_xll.BDH($E$6,"PX LAST",AH185)</f>
        <v>184.99</v>
      </c>
      <c r="U185" s="9" cm="1">
        <f t="array" aca="1" ref="U185" ca="1">_xll.BDH($E$6,"PX LAST",AI185)</f>
        <v>176.08</v>
      </c>
      <c r="V185" s="9" cm="1">
        <f t="array" aca="1" ref="V185" ca="1">_xll.BDH($E$6,"PX LAST",AJ185)</f>
        <v>165.46</v>
      </c>
      <c r="W185" s="9" cm="1">
        <f t="array" aca="1" ref="W185" ca="1">_xll.BDH($E$6,"PX LAST",AK185)</f>
        <v>143.72</v>
      </c>
      <c r="X185" s="24">
        <f t="shared" ca="1" si="42"/>
        <v>1.7371449957158225E-2</v>
      </c>
      <c r="Y185" s="24">
        <f t="shared" ca="1" si="43"/>
        <v>2.733250346836047E-2</v>
      </c>
      <c r="Z185" s="24">
        <f t="shared" ca="1" si="44"/>
        <v>4.4149705017234142E-2</v>
      </c>
      <c r="AA185" s="24">
        <f t="shared" ca="1" si="45"/>
        <v>0.14851978682558387</v>
      </c>
      <c r="AB185" s="9" cm="1">
        <f t="array" aca="1" ref="AB185" ca="1">_xll.BDH($E$8,"PX LAST",AG185)</f>
        <v>6198.01</v>
      </c>
      <c r="AC185" s="9" cm="1">
        <f t="array" aca="1" ref="AC185" ca="1">_xll.BDH($E$8,"PX LAST",AH185)</f>
        <v>6092.18</v>
      </c>
      <c r="AD185" s="9" cm="1">
        <f t="array" aca="1" ref="AD185" ca="1">_xll.BDH($E$8,"PX LAST",AI185)</f>
        <v>6033.11</v>
      </c>
      <c r="AE185" s="9" cm="1">
        <f t="array" aca="1" ref="AE185" ca="1">_xll.BDH($E$8,"PX LAST",AJ185)</f>
        <v>5935.94</v>
      </c>
      <c r="AF185" s="9" cm="1">
        <f t="array" aca="1" ref="AF185" ca="1">_xll.BDH($E$8,"PX LAST",AK185)</f>
        <v>5396.52</v>
      </c>
      <c r="AG185" s="20">
        <f t="shared" ca="1" si="51"/>
        <v>45839</v>
      </c>
      <c r="AH185" s="22">
        <f t="shared" ca="1" si="46"/>
        <v>45832</v>
      </c>
      <c r="AI185" s="22">
        <f t="shared" ca="1" si="47"/>
        <v>45824</v>
      </c>
      <c r="AJ185" s="22">
        <f t="shared" ca="1" si="48"/>
        <v>45810</v>
      </c>
      <c r="AK185" s="22">
        <f t="shared" ca="1" si="49"/>
        <v>45750</v>
      </c>
      <c r="AL185" s="22">
        <f t="shared" ca="1" si="50"/>
        <v>45663</v>
      </c>
    </row>
    <row r="186" spans="4:38" x14ac:dyDescent="0.25">
      <c r="D186" s="6">
        <f ca="1"/>
        <v>45838</v>
      </c>
      <c r="E186" s="28">
        <f ca="1"/>
        <v>185.2</v>
      </c>
      <c r="F186" s="29" cm="1">
        <f t="array" aca="1" ref="F186" ca="1">_xll.FDS($E$7,"P_BETA_LOCIDX("&amp;$AG186&amp;","&amp;$AL186&amp;",,"""&amp;$E$9&amp;""")")</f>
        <v>1.6047648000000001</v>
      </c>
      <c r="G186" s="30">
        <f t="shared" ca="1" si="36"/>
        <v>-2.4735340082177849E-2</v>
      </c>
      <c r="H186" s="30">
        <f t="shared" ca="1" si="36"/>
        <v>7.6414204668785943E-3</v>
      </c>
      <c r="I186" s="30">
        <f t="shared" ca="1" si="36"/>
        <v>2.349598224437438E-2</v>
      </c>
      <c r="J186" s="30">
        <f t="shared" ca="1" si="34"/>
        <v>-1.0640753770410905E-2</v>
      </c>
      <c r="K186" s="30">
        <f t="shared" ca="1" si="37"/>
        <v>4.7883232463814242E-2</v>
      </c>
      <c r="L186" s="30">
        <f t="shared" ca="1" si="37"/>
        <v>6.1210660101021004E-2</v>
      </c>
      <c r="M186" s="30">
        <f t="shared" ca="1" si="37"/>
        <v>7.9607240103591603E-2</v>
      </c>
      <c r="N186" s="30">
        <f t="shared" ca="1" si="35"/>
        <v>0.15110506807547902</v>
      </c>
      <c r="O186" s="30">
        <f t="shared" ca="1" si="38"/>
        <v>2.3147892381636392E-2</v>
      </c>
      <c r="P186" s="30">
        <f t="shared" ca="1" si="39"/>
        <v>6.8852080567899598E-2</v>
      </c>
      <c r="Q186" s="30">
        <f t="shared" ca="1" si="40"/>
        <v>0.10310322234796598</v>
      </c>
      <c r="R186" s="30">
        <f t="shared" ca="1" si="41"/>
        <v>0.14046431430506812</v>
      </c>
      <c r="S186" s="9" cm="1">
        <f t="array" aca="1" ref="S186" ca="1">_xll.BDH($E$6,"PX LAST",AG186)</f>
        <v>185.2</v>
      </c>
      <c r="T186" s="9" cm="1">
        <f t="array" aca="1" ref="T186" ca="1">_xll.BDH($E$6,"PX LAST",AH186)</f>
        <v>181.01</v>
      </c>
      <c r="U186" s="9" cm="1">
        <f t="array" aca="1" ref="U186" ca="1">_xll.BDH($E$6,"PX LAST",AI186)</f>
        <v>173.27</v>
      </c>
      <c r="V186" s="9" cm="1">
        <f t="array" aca="1" ref="V186" ca="1">_xll.BDH($E$6,"PX LAST",AJ186)</f>
        <v>167.89</v>
      </c>
      <c r="W186" s="9" cm="1">
        <f t="array" aca="1" ref="W186" ca="1">_xll.BDH($E$6,"PX LAST",AK186)</f>
        <v>162.38999999999999</v>
      </c>
      <c r="X186" s="24">
        <f t="shared" ca="1" si="42"/>
        <v>2.9838162242725064E-2</v>
      </c>
      <c r="Y186" s="24">
        <f t="shared" ca="1" si="43"/>
        <v>3.8143072493253216E-2</v>
      </c>
      <c r="Z186" s="24">
        <f t="shared" ca="1" si="44"/>
        <v>4.960679602617879E-2</v>
      </c>
      <c r="AA186" s="24">
        <f t="shared" ca="1" si="45"/>
        <v>9.416025829796304E-2</v>
      </c>
      <c r="AB186" s="9" cm="1">
        <f t="array" aca="1" ref="AB186" ca="1">_xll.BDH($E$8,"PX LAST",AG186)</f>
        <v>6204.95</v>
      </c>
      <c r="AC186" s="9" cm="1">
        <f t="array" aca="1" ref="AC186" ca="1">_xll.BDH($E$8,"PX LAST",AH186)</f>
        <v>6025.17</v>
      </c>
      <c r="AD186" s="9" cm="1">
        <f t="array" aca="1" ref="AD186" ca="1">_xll.BDH($E$8,"PX LAST",AI186)</f>
        <v>5976.97</v>
      </c>
      <c r="AE186" s="9" cm="1">
        <f t="array" aca="1" ref="AE186" ca="1">_xll.BDH($E$8,"PX LAST",AJ186)</f>
        <v>5911.69</v>
      </c>
      <c r="AF186" s="9" cm="1">
        <f t="array" aca="1" ref="AF186" ca="1">_xll.BDH($E$8,"PX LAST",AK186)</f>
        <v>5670.97</v>
      </c>
      <c r="AG186" s="20">
        <f t="shared" ca="1" si="51"/>
        <v>45838</v>
      </c>
      <c r="AH186" s="22">
        <f t="shared" ca="1" si="46"/>
        <v>45831</v>
      </c>
      <c r="AI186" s="22">
        <f t="shared" ca="1" si="47"/>
        <v>45821</v>
      </c>
      <c r="AJ186" s="22">
        <f t="shared" ca="1" si="48"/>
        <v>45807</v>
      </c>
      <c r="AK186" s="22">
        <f t="shared" ca="1" si="49"/>
        <v>45749</v>
      </c>
      <c r="AL186" s="22">
        <f t="shared" ca="1" si="50"/>
        <v>45660</v>
      </c>
    </row>
    <row r="187" spans="4:38" x14ac:dyDescent="0.25">
      <c r="D187" s="6">
        <f ca="1"/>
        <v>45835</v>
      </c>
      <c r="E187" s="28">
        <f ca="1"/>
        <v>185.46</v>
      </c>
      <c r="F187" s="29" cm="1">
        <f t="array" aca="1" ref="F187" ca="1">_xll.FDS($E$7,"P_BETA_LOCIDX("&amp;$AG187&amp;","&amp;$AL187&amp;",,"""&amp;$E$9&amp;""")")</f>
        <v>1.6075003000000001</v>
      </c>
      <c r="G187" s="30">
        <f t="shared" ca="1" si="36"/>
        <v>-1.41895766102174E-2</v>
      </c>
      <c r="H187" s="30">
        <f t="shared" ca="1" si="36"/>
        <v>1.5173858004033251E-2</v>
      </c>
      <c r="I187" s="30">
        <f t="shared" ca="1" si="36"/>
        <v>1.3560098807244625E-2</v>
      </c>
      <c r="J187" s="30">
        <f t="shared" ca="1" si="34"/>
        <v>3.1555060263134871E-2</v>
      </c>
      <c r="K187" s="30">
        <f t="shared" ca="1" si="37"/>
        <v>5.5280853134299687E-2</v>
      </c>
      <c r="L187" s="30">
        <f t="shared" ca="1" si="37"/>
        <v>3.3986067322662412E-2</v>
      </c>
      <c r="M187" s="30">
        <f t="shared" ca="1" si="37"/>
        <v>7.0937883766873933E-2</v>
      </c>
      <c r="N187" s="30">
        <f t="shared" ca="1" si="35"/>
        <v>0.15409894817568387</v>
      </c>
      <c r="O187" s="30">
        <f t="shared" ca="1" si="38"/>
        <v>4.1091276524082287E-2</v>
      </c>
      <c r="P187" s="30">
        <f t="shared" ca="1" si="39"/>
        <v>4.9159925326695664E-2</v>
      </c>
      <c r="Q187" s="30">
        <f t="shared" ca="1" si="40"/>
        <v>8.4497982574118558E-2</v>
      </c>
      <c r="R187" s="30">
        <f t="shared" ca="1" si="41"/>
        <v>0.18565400843881874</v>
      </c>
      <c r="S187" s="9" cm="1">
        <f t="array" aca="1" ref="S187" ca="1">_xll.BDH($E$6,"PX LAST",AG187)</f>
        <v>185.46</v>
      </c>
      <c r="T187" s="9" cm="1">
        <f t="array" aca="1" ref="T187" ca="1">_xll.BDH($E$6,"PX LAST",AH187)</f>
        <v>178.14</v>
      </c>
      <c r="U187" s="9" cm="1">
        <f t="array" aca="1" ref="U187" ca="1">_xll.BDH($E$6,"PX LAST",AI187)</f>
        <v>176.77</v>
      </c>
      <c r="V187" s="9" cm="1">
        <f t="array" aca="1" ref="V187" ca="1">_xll.BDH($E$6,"PX LAST",AJ187)</f>
        <v>171.01</v>
      </c>
      <c r="W187" s="9" cm="1">
        <f t="array" aca="1" ref="W187" ca="1">_xll.BDH($E$6,"PX LAST",AK187)</f>
        <v>156.41999999999999</v>
      </c>
      <c r="X187" s="24">
        <f t="shared" ca="1" si="42"/>
        <v>3.4389326791602892E-2</v>
      </c>
      <c r="Y187" s="24">
        <f t="shared" ca="1" si="43"/>
        <v>2.1142184124421259E-2</v>
      </c>
      <c r="Z187" s="24">
        <f t="shared" ca="1" si="44"/>
        <v>4.4129312925710762E-2</v>
      </c>
      <c r="AA187" s="24">
        <f t="shared" ca="1" si="45"/>
        <v>9.5862469310695531E-2</v>
      </c>
      <c r="AB187" s="9" cm="1">
        <f t="array" aca="1" ref="AB187" ca="1">_xll.BDH($E$8,"PX LAST",AG187)</f>
        <v>6173.07</v>
      </c>
      <c r="AC187" s="9" cm="1">
        <f t="array" aca="1" ref="AC187" ca="1">_xll.BDH($E$8,"PX LAST",AH187)</f>
        <v>5967.84</v>
      </c>
      <c r="AD187" s="9" cm="1">
        <f t="array" aca="1" ref="AD187" ca="1">_xll.BDH($E$8,"PX LAST",AI187)</f>
        <v>6045.26</v>
      </c>
      <c r="AE187" s="9" cm="1">
        <f t="array" aca="1" ref="AE187" ca="1">_xll.BDH($E$8,"PX LAST",AJ187)</f>
        <v>5912.17</v>
      </c>
      <c r="AF187" s="9" cm="1">
        <f t="array" aca="1" ref="AF187" ca="1">_xll.BDH($E$8,"PX LAST",AK187)</f>
        <v>5633.07</v>
      </c>
      <c r="AG187" s="20">
        <f t="shared" ca="1" si="51"/>
        <v>45835</v>
      </c>
      <c r="AH187" s="22">
        <f t="shared" ca="1" si="46"/>
        <v>45828</v>
      </c>
      <c r="AI187" s="22">
        <f t="shared" ca="1" si="47"/>
        <v>45820</v>
      </c>
      <c r="AJ187" s="22">
        <f t="shared" ca="1" si="48"/>
        <v>45806</v>
      </c>
      <c r="AK187" s="22">
        <f t="shared" ca="1" si="49"/>
        <v>45748</v>
      </c>
      <c r="AL187" s="22">
        <f t="shared" ca="1" si="50"/>
        <v>45659</v>
      </c>
    </row>
    <row r="188" spans="4:38" x14ac:dyDescent="0.25">
      <c r="D188" s="6">
        <f ca="1"/>
        <v>45834</v>
      </c>
      <c r="E188" s="28">
        <f ca="1"/>
        <v>186.1</v>
      </c>
      <c r="F188" s="29" cm="1">
        <f t="array" aca="1" ref="F188" ca="1">_xll.FDS($E$7,"P_BETA_LOCIDX("&amp;$AG188&amp;","&amp;$AL188&amp;",,"""&amp;$E$9&amp;""")")</f>
        <v>1.6063972</v>
      </c>
      <c r="G188" s="30">
        <f t="shared" ca="1" si="36"/>
        <v>1.0182946540936585E-2</v>
      </c>
      <c r="H188" s="30">
        <f t="shared" ca="1" si="36"/>
        <v>1.5704695346109077E-2</v>
      </c>
      <c r="I188" s="30">
        <f t="shared" ca="1" si="36"/>
        <v>9.0294239318563507E-3</v>
      </c>
      <c r="J188" s="30">
        <f t="shared" ca="1" si="34"/>
        <v>4.6850424050513262E-2</v>
      </c>
      <c r="K188" s="30">
        <f t="shared" ca="1" si="37"/>
        <v>4.301456336285521E-2</v>
      </c>
      <c r="L188" s="30">
        <f t="shared" ca="1" si="37"/>
        <v>3.1683868363931333E-2</v>
      </c>
      <c r="M188" s="30">
        <f t="shared" ca="1" si="37"/>
        <v>6.8873848584795838E-2</v>
      </c>
      <c r="N188" s="30">
        <f t="shared" ca="1" si="35"/>
        <v>0.15147539694111573</v>
      </c>
      <c r="O188" s="30">
        <f t="shared" ca="1" si="38"/>
        <v>5.3197509903791795E-2</v>
      </c>
      <c r="P188" s="30">
        <f t="shared" ca="1" si="39"/>
        <v>4.738856371004041E-2</v>
      </c>
      <c r="Q188" s="30">
        <f t="shared" ca="1" si="40"/>
        <v>7.7903272516652189E-2</v>
      </c>
      <c r="R188" s="30">
        <f t="shared" ca="1" si="41"/>
        <v>0.19832582099162899</v>
      </c>
      <c r="S188" s="9" cm="1">
        <f t="array" aca="1" ref="S188" ca="1">_xll.BDH($E$6,"PX LAST",AG188)</f>
        <v>186.1</v>
      </c>
      <c r="T188" s="9" cm="1">
        <f t="array" aca="1" ref="T188" ca="1">_xll.BDH($E$6,"PX LAST",AH188)</f>
        <v>176.7</v>
      </c>
      <c r="U188" s="9" cm="1">
        <f t="array" aca="1" ref="U188" ca="1">_xll.BDH($E$6,"PX LAST",AI188)</f>
        <v>177.68</v>
      </c>
      <c r="V188" s="9" cm="1">
        <f t="array" aca="1" ref="V188" ca="1">_xll.BDH($E$6,"PX LAST",AJ188)</f>
        <v>172.65</v>
      </c>
      <c r="W188" s="9" cm="1">
        <f t="array" aca="1" ref="W188" ca="1">_xll.BDH($E$6,"PX LAST",AK188)</f>
        <v>155.30000000000001</v>
      </c>
      <c r="X188" s="24">
        <f t="shared" ca="1" si="42"/>
        <v>2.6777040798412255E-2</v>
      </c>
      <c r="Y188" s="24">
        <f t="shared" ca="1" si="43"/>
        <v>1.9723558011637055E-2</v>
      </c>
      <c r="Z188" s="24">
        <f t="shared" ca="1" si="44"/>
        <v>4.2874731470395888E-2</v>
      </c>
      <c r="AA188" s="24">
        <f t="shared" ca="1" si="45"/>
        <v>9.4295107673940004E-2</v>
      </c>
      <c r="AB188" s="9" cm="1">
        <f t="array" aca="1" ref="AB188" ca="1">_xll.BDH($E$8,"PX LAST",AG188)</f>
        <v>6141.02</v>
      </c>
      <c r="AC188" s="9" cm="1">
        <f t="array" aca="1" ref="AC188" ca="1">_xll.BDH($E$8,"PX LAST",AH188)</f>
        <v>5980.87</v>
      </c>
      <c r="AD188" s="9" cm="1">
        <f t="array" aca="1" ref="AD188" ca="1">_xll.BDH($E$8,"PX LAST",AI188)</f>
        <v>6022.24</v>
      </c>
      <c r="AE188" s="9" cm="1">
        <f t="array" aca="1" ref="AE188" ca="1">_xll.BDH($E$8,"PX LAST",AJ188)</f>
        <v>5888.55</v>
      </c>
      <c r="AF188" s="9" cm="1">
        <f t="array" aca="1" ref="AF188" ca="1">_xll.BDH($E$8,"PX LAST",AK188)</f>
        <v>5611.85</v>
      </c>
      <c r="AG188" s="20">
        <f t="shared" ca="1" si="51"/>
        <v>45834</v>
      </c>
      <c r="AH188" s="22">
        <f t="shared" ca="1" si="46"/>
        <v>45826</v>
      </c>
      <c r="AI188" s="22">
        <f t="shared" ca="1" si="47"/>
        <v>45819</v>
      </c>
      <c r="AJ188" s="22">
        <f t="shared" ca="1" si="48"/>
        <v>45805</v>
      </c>
      <c r="AK188" s="22">
        <f t="shared" ca="1" si="49"/>
        <v>45747</v>
      </c>
      <c r="AL188" s="22">
        <f t="shared" ca="1" si="50"/>
        <v>45657</v>
      </c>
    </row>
    <row r="189" spans="4:38" x14ac:dyDescent="0.25">
      <c r="D189" s="6">
        <f ca="1"/>
        <v>45833</v>
      </c>
      <c r="E189" s="28">
        <f ca="1"/>
        <v>182.13</v>
      </c>
      <c r="F189" s="29" cm="1">
        <f t="array" aca="1" ref="F189" ca="1">_xll.FDS($E$7,"P_BETA_LOCIDX("&amp;$AG189&amp;","&amp;$AL189&amp;",,"""&amp;$E$9&amp;""")")</f>
        <v>1.5968384</v>
      </c>
      <c r="G189" s="30">
        <f t="shared" ca="1" si="36"/>
        <v>3.2957850788660911E-2</v>
      </c>
      <c r="H189" s="30">
        <f t="shared" ca="1" si="36"/>
        <v>1.5630060317851132E-3</v>
      </c>
      <c r="I189" s="30">
        <f t="shared" ca="1" si="36"/>
        <v>3.2064631950109779E-2</v>
      </c>
      <c r="J189" s="30">
        <f t="shared" ca="1" si="34"/>
        <v>1.8018652646406258E-2</v>
      </c>
      <c r="K189" s="30">
        <f t="shared" ca="1" si="37"/>
        <v>2.9210458536585392E-2</v>
      </c>
      <c r="L189" s="30">
        <f t="shared" ca="1" si="37"/>
        <v>1.4107304028442453E-2</v>
      </c>
      <c r="M189" s="30">
        <f t="shared" ca="1" si="37"/>
        <v>4.6010424282872386E-2</v>
      </c>
      <c r="N189" s="30">
        <f t="shared" ca="1" si="35"/>
        <v>0.14627208442448789</v>
      </c>
      <c r="O189" s="30">
        <f t="shared" ca="1" si="38"/>
        <v>6.2168309325246307E-2</v>
      </c>
      <c r="P189" s="30">
        <f t="shared" ca="1" si="39"/>
        <v>1.5670310060227566E-2</v>
      </c>
      <c r="Q189" s="30">
        <f t="shared" ca="1" si="40"/>
        <v>7.8075056232982165E-2</v>
      </c>
      <c r="R189" s="30">
        <f t="shared" ca="1" si="41"/>
        <v>0.16429073707089414</v>
      </c>
      <c r="S189" s="9" cm="1">
        <f t="array" aca="1" ref="S189" ca="1">_xll.BDH($E$6,"PX LAST",AG189)</f>
        <v>182.13</v>
      </c>
      <c r="T189" s="9" cm="1">
        <f t="array" aca="1" ref="T189" ca="1">_xll.BDH($E$6,"PX LAST",AH189)</f>
        <v>171.47</v>
      </c>
      <c r="U189" s="9" cm="1">
        <f t="array" aca="1" ref="U189" ca="1">_xll.BDH($E$6,"PX LAST",AI189)</f>
        <v>179.32</v>
      </c>
      <c r="V189" s="9" cm="1">
        <f t="array" aca="1" ref="V189" ca="1">_xll.BDH($E$6,"PX LAST",AJ189)</f>
        <v>168.94</v>
      </c>
      <c r="W189" s="9" cm="1">
        <f t="array" aca="1" ref="W189" ca="1">_xll.BDH($E$6,"PX LAST",AK189)</f>
        <v>156.43</v>
      </c>
      <c r="X189" s="24">
        <f t="shared" ca="1" si="42"/>
        <v>1.8292682926829285E-2</v>
      </c>
      <c r="Y189" s="24">
        <f t="shared" ca="1" si="43"/>
        <v>8.8345220333143626E-3</v>
      </c>
      <c r="Z189" s="24">
        <f t="shared" ca="1" si="44"/>
        <v>2.8813450555092102E-2</v>
      </c>
      <c r="AA189" s="24">
        <f t="shared" ca="1" si="45"/>
        <v>9.1601056452855767E-2</v>
      </c>
      <c r="AB189" s="9" cm="1">
        <f t="array" aca="1" ref="AB189" ca="1">_xll.BDH($E$8,"PX LAST",AG189)</f>
        <v>6092.16</v>
      </c>
      <c r="AC189" s="9" cm="1">
        <f t="array" aca="1" ref="AC189" ca="1">_xll.BDH($E$8,"PX LAST",AH189)</f>
        <v>5982.72</v>
      </c>
      <c r="AD189" s="9" cm="1">
        <f t="array" aca="1" ref="AD189" ca="1">_xll.BDH($E$8,"PX LAST",AI189)</f>
        <v>6038.81</v>
      </c>
      <c r="AE189" s="9" cm="1">
        <f t="array" aca="1" ref="AE189" ca="1">_xll.BDH($E$8,"PX LAST",AJ189)</f>
        <v>5921.54</v>
      </c>
      <c r="AF189" s="9" cm="1">
        <f t="array" aca="1" ref="AF189" ca="1">_xll.BDH($E$8,"PX LAST",AK189)</f>
        <v>5580.94</v>
      </c>
      <c r="AG189" s="20">
        <f t="shared" ca="1" si="51"/>
        <v>45833</v>
      </c>
      <c r="AH189" s="22">
        <f t="shared" ca="1" si="46"/>
        <v>45825</v>
      </c>
      <c r="AI189" s="22">
        <f t="shared" ca="1" si="47"/>
        <v>45818</v>
      </c>
      <c r="AJ189" s="22">
        <f t="shared" ca="1" si="48"/>
        <v>45804</v>
      </c>
      <c r="AK189" s="22">
        <f t="shared" ca="1" si="49"/>
        <v>45744</v>
      </c>
      <c r="AL189" s="22">
        <f t="shared" ca="1" si="50"/>
        <v>45656</v>
      </c>
    </row>
    <row r="190" spans="4:38" x14ac:dyDescent="0.25">
      <c r="D190" s="6">
        <f ca="1"/>
        <v>45832</v>
      </c>
      <c r="E190" s="28">
        <f ca="1"/>
        <v>184.99</v>
      </c>
      <c r="F190" s="29" cm="1">
        <f t="array" aca="1" ref="F190" ca="1">_xll.FDS($E$7,"P_BETA_LOCIDX("&amp;$AG190&amp;","&amp;$AL190&amp;",,"""&amp;$E$9&amp;""")")</f>
        <v>1.5931063999999999</v>
      </c>
      <c r="G190" s="30">
        <f t="shared" ca="1" si="36"/>
        <v>3.5003941862462945E-2</v>
      </c>
      <c r="H190" s="30">
        <f t="shared" ca="1" si="36"/>
        <v>2.5150857343359562E-2</v>
      </c>
      <c r="I190" s="30">
        <f t="shared" ca="1" si="36"/>
        <v>4.3889190495712674E-2</v>
      </c>
      <c r="J190" s="30">
        <f t="shared" ca="1" si="34"/>
        <v>2.2182936438633657E-2</v>
      </c>
      <c r="K190" s="30">
        <f t="shared" ca="1" si="37"/>
        <v>1.5598057228859069E-2</v>
      </c>
      <c r="L190" s="30">
        <f t="shared" ca="1" si="37"/>
        <v>2.2891746475121127E-2</v>
      </c>
      <c r="M190" s="30">
        <f t="shared" ca="1" si="37"/>
        <v>7.9440904233459106E-2</v>
      </c>
      <c r="N190" s="30">
        <f t="shared" ca="1" si="35"/>
        <v>0.11161211136720108</v>
      </c>
      <c r="O190" s="30">
        <f t="shared" ca="1" si="38"/>
        <v>5.0601999091322014E-2</v>
      </c>
      <c r="P190" s="30">
        <f t="shared" ca="1" si="39"/>
        <v>4.8042603818480689E-2</v>
      </c>
      <c r="Q190" s="30">
        <f t="shared" ca="1" si="40"/>
        <v>0.12333009472917178</v>
      </c>
      <c r="R190" s="30">
        <f t="shared" ca="1" si="41"/>
        <v>0.13379504780583473</v>
      </c>
      <c r="S190" s="9" cm="1">
        <f t="array" aca="1" ref="S190" ca="1">_xll.BDH($E$6,"PX LAST",AG190)</f>
        <v>184.99</v>
      </c>
      <c r="T190" s="9" cm="1">
        <f t="array" aca="1" ref="T190" ca="1">_xll.BDH($E$6,"PX LAST",AH190)</f>
        <v>176.08</v>
      </c>
      <c r="U190" s="9" cm="1">
        <f t="array" aca="1" ref="U190" ca="1">_xll.BDH($E$6,"PX LAST",AI190)</f>
        <v>176.51</v>
      </c>
      <c r="V190" s="9" cm="1">
        <f t="array" aca="1" ref="V190" ca="1">_xll.BDH($E$6,"PX LAST",AJ190)</f>
        <v>164.68</v>
      </c>
      <c r="W190" s="9" cm="1">
        <f t="array" aca="1" ref="W190" ca="1">_xll.BDH($E$6,"PX LAST",AK190)</f>
        <v>163.16</v>
      </c>
      <c r="X190" s="24">
        <f t="shared" ca="1" si="42"/>
        <v>9.7909701629841361E-3</v>
      </c>
      <c r="Y190" s="24">
        <f t="shared" ca="1" si="43"/>
        <v>1.4369251466895827E-2</v>
      </c>
      <c r="Z190" s="24">
        <f t="shared" ca="1" si="44"/>
        <v>4.9865410266043186E-2</v>
      </c>
      <c r="AA190" s="24">
        <f t="shared" ca="1" si="45"/>
        <v>7.0059420618234336E-2</v>
      </c>
      <c r="AB190" s="9" cm="1">
        <f t="array" aca="1" ref="AB190" ca="1">_xll.BDH($E$8,"PX LAST",AG190)</f>
        <v>6092.18</v>
      </c>
      <c r="AC190" s="9" cm="1">
        <f t="array" aca="1" ref="AC190" ca="1">_xll.BDH($E$8,"PX LAST",AH190)</f>
        <v>6033.11</v>
      </c>
      <c r="AD190" s="9" cm="1">
        <f t="array" aca="1" ref="AD190" ca="1">_xll.BDH($E$8,"PX LAST",AI190)</f>
        <v>6005.88</v>
      </c>
      <c r="AE190" s="9" cm="1">
        <f t="array" aca="1" ref="AE190" ca="1">_xll.BDH($E$8,"PX LAST",AJ190)</f>
        <v>5802.82</v>
      </c>
      <c r="AF190" s="9" cm="1">
        <f t="array" aca="1" ref="AF190" ca="1">_xll.BDH($E$8,"PX LAST",AK190)</f>
        <v>5693.31</v>
      </c>
      <c r="AG190" s="20">
        <f t="shared" ca="1" si="51"/>
        <v>45832</v>
      </c>
      <c r="AH190" s="22">
        <f t="shared" ca="1" si="46"/>
        <v>45824</v>
      </c>
      <c r="AI190" s="22">
        <f t="shared" ca="1" si="47"/>
        <v>45817</v>
      </c>
      <c r="AJ190" s="22">
        <f t="shared" ca="1" si="48"/>
        <v>45800</v>
      </c>
      <c r="AK190" s="22">
        <f t="shared" ca="1" si="49"/>
        <v>45743</v>
      </c>
      <c r="AL190" s="22">
        <f t="shared" ca="1" si="50"/>
        <v>45653</v>
      </c>
    </row>
    <row r="191" spans="4:38" x14ac:dyDescent="0.25">
      <c r="D191" s="6">
        <f ca="1"/>
        <v>45831</v>
      </c>
      <c r="E191" s="28">
        <f ca="1"/>
        <v>181.01</v>
      </c>
      <c r="F191" s="29" cm="1">
        <f t="array" aca="1" ref="F191" ca="1">_xll.FDS($E$7,"P_BETA_LOCIDX("&amp;$AG191&amp;","&amp;$AL191&amp;",,"""&amp;$E$9&amp;""")")</f>
        <v>1.5916532999999999</v>
      </c>
      <c r="G191" s="30">
        <f t="shared" ca="1" si="36"/>
        <v>3.1834619321844754E-2</v>
      </c>
      <c r="H191" s="30">
        <f t="shared" ca="1" si="36"/>
        <v>3.742629109774586E-2</v>
      </c>
      <c r="I191" s="30">
        <f t="shared" ca="1" si="36"/>
        <v>4.1571840477856517E-2</v>
      </c>
      <c r="J191" s="30">
        <f t="shared" ca="1" si="34"/>
        <v>7.7667972571528465E-3</v>
      </c>
      <c r="K191" s="30">
        <f t="shared" ca="1" si="37"/>
        <v>1.2835548624135464E-2</v>
      </c>
      <c r="L191" s="30">
        <f t="shared" ca="1" si="37"/>
        <v>6.5810915300081952E-3</v>
      </c>
      <c r="M191" s="30">
        <f t="shared" ca="1" si="37"/>
        <v>4.9901869121757578E-2</v>
      </c>
      <c r="N191" s="30">
        <f t="shared" ca="1" si="35"/>
        <v>8.7206283621196923E-2</v>
      </c>
      <c r="O191" s="30">
        <f t="shared" ca="1" si="38"/>
        <v>4.4670167945980221E-2</v>
      </c>
      <c r="P191" s="30">
        <f t="shared" ca="1" si="39"/>
        <v>4.4007382627754055E-2</v>
      </c>
      <c r="Q191" s="30">
        <f t="shared" ca="1" si="40"/>
        <v>9.1473709599614095E-2</v>
      </c>
      <c r="R191" s="30">
        <f t="shared" ca="1" si="41"/>
        <v>9.4973080878349769E-2</v>
      </c>
      <c r="S191" s="9" cm="1">
        <f t="array" aca="1" ref="S191" ca="1">_xll.BDH($E$6,"PX LAST",AG191)</f>
        <v>181.01</v>
      </c>
      <c r="T191" s="9" cm="1">
        <f t="array" aca="1" ref="T191" ca="1">_xll.BDH($E$6,"PX LAST",AH191)</f>
        <v>173.27</v>
      </c>
      <c r="U191" s="9" cm="1">
        <f t="array" aca="1" ref="U191" ca="1">_xll.BDH($E$6,"PX LAST",AI191)</f>
        <v>173.38</v>
      </c>
      <c r="V191" s="9" cm="1">
        <f t="array" aca="1" ref="V191" ca="1">_xll.BDH($E$6,"PX LAST",AJ191)</f>
        <v>165.84</v>
      </c>
      <c r="W191" s="9" cm="1">
        <f t="array" aca="1" ref="W191" ca="1">_xll.BDH($E$6,"PX LAST",AK191)</f>
        <v>165.31</v>
      </c>
      <c r="X191" s="24">
        <f t="shared" ca="1" si="42"/>
        <v>8.0642867539906238E-3</v>
      </c>
      <c r="Y191" s="24">
        <f t="shared" ca="1" si="43"/>
        <v>4.1347519148851042E-3</v>
      </c>
      <c r="Z191" s="24">
        <f t="shared" ca="1" si="44"/>
        <v>3.1352222950662423E-2</v>
      </c>
      <c r="AA191" s="24">
        <f t="shared" ca="1" si="45"/>
        <v>5.4789748258114335E-2</v>
      </c>
      <c r="AB191" s="9" cm="1">
        <f t="array" aca="1" ref="AB191" ca="1">_xll.BDH($E$8,"PX LAST",AG191)</f>
        <v>6025.17</v>
      </c>
      <c r="AC191" s="9" cm="1">
        <f t="array" aca="1" ref="AC191" ca="1">_xll.BDH($E$8,"PX LAST",AH191)</f>
        <v>5976.97</v>
      </c>
      <c r="AD191" s="9" cm="1">
        <f t="array" aca="1" ref="AD191" ca="1">_xll.BDH($E$8,"PX LAST",AI191)</f>
        <v>6000.36</v>
      </c>
      <c r="AE191" s="9" cm="1">
        <f t="array" aca="1" ref="AE191" ca="1">_xll.BDH($E$8,"PX LAST",AJ191)</f>
        <v>5842.01</v>
      </c>
      <c r="AF191" s="9" cm="1">
        <f t="array" aca="1" ref="AF191" ca="1">_xll.BDH($E$8,"PX LAST",AK191)</f>
        <v>5712.2</v>
      </c>
      <c r="AG191" s="20">
        <f t="shared" ca="1" si="51"/>
        <v>45831</v>
      </c>
      <c r="AH191" s="22">
        <f t="shared" ca="1" si="46"/>
        <v>45821</v>
      </c>
      <c r="AI191" s="22">
        <f t="shared" ca="1" si="47"/>
        <v>45814</v>
      </c>
      <c r="AJ191" s="22">
        <f t="shared" ca="1" si="48"/>
        <v>45799</v>
      </c>
      <c r="AK191" s="22">
        <f t="shared" ca="1" si="49"/>
        <v>45742</v>
      </c>
      <c r="AL191" s="22">
        <f t="shared" ca="1" si="50"/>
        <v>45652</v>
      </c>
    </row>
    <row r="192" spans="4:38" x14ac:dyDescent="0.25">
      <c r="D192" s="6">
        <f ca="1"/>
        <v>45828</v>
      </c>
      <c r="E192" s="28">
        <f ca="1"/>
        <v>178.14</v>
      </c>
      <c r="F192" s="29" cm="1">
        <f t="array" aca="1" ref="F192" ca="1">_xll.FDS($E$7,"P_BETA_LOCIDX("&amp;$AG192&amp;","&amp;$AL192&amp;",,"""&amp;$E$9&amp;""")")</f>
        <v>1.5874903</v>
      </c>
      <c r="G192" s="30">
        <f t="shared" ca="1" si="36"/>
        <v>2.8080740195727399E-2</v>
      </c>
      <c r="H192" s="30">
        <f t="shared" ca="1" si="36"/>
        <v>3.9822714046467263E-2</v>
      </c>
      <c r="I192" s="30">
        <f t="shared" ca="1" si="36"/>
        <v>3.9208940443479487E-2</v>
      </c>
      <c r="J192" s="30">
        <f t="shared" ca="1" si="34"/>
        <v>1.410149047518091E-2</v>
      </c>
      <c r="K192" s="30">
        <f t="shared" ca="1" si="37"/>
        <v>-2.0330556341001144E-2</v>
      </c>
      <c r="L192" s="30">
        <f t="shared" ca="1" si="37"/>
        <v>7.6283355213576055E-3</v>
      </c>
      <c r="M192" s="30">
        <f t="shared" ca="1" si="37"/>
        <v>3.3471254654972873E-2</v>
      </c>
      <c r="N192" s="30">
        <f t="shared" ca="1" si="35"/>
        <v>5.2541225529848669E-2</v>
      </c>
      <c r="O192" s="30">
        <f t="shared" ca="1" si="38"/>
        <v>7.7501838547262558E-3</v>
      </c>
      <c r="P192" s="30">
        <f t="shared" ca="1" si="39"/>
        <v>4.7451049567824866E-2</v>
      </c>
      <c r="Q192" s="30">
        <f t="shared" ca="1" si="40"/>
        <v>7.268019509845236E-2</v>
      </c>
      <c r="R192" s="30">
        <f t="shared" ca="1" si="41"/>
        <v>6.6642716005029579E-2</v>
      </c>
      <c r="S192" s="9" cm="1">
        <f t="array" aca="1" ref="S192" ca="1">_xll.BDH($E$6,"PX LAST",AG192)</f>
        <v>178.14</v>
      </c>
      <c r="T192" s="9" cm="1">
        <f t="array" aca="1" ref="T192" ca="1">_xll.BDH($E$6,"PX LAST",AH192)</f>
        <v>176.77</v>
      </c>
      <c r="U192" s="9" cm="1">
        <f t="array" aca="1" ref="U192" ca="1">_xll.BDH($E$6,"PX LAST",AI192)</f>
        <v>170.07</v>
      </c>
      <c r="V192" s="9" cm="1">
        <f t="array" aca="1" ref="V192" ca="1">_xll.BDH($E$6,"PX LAST",AJ192)</f>
        <v>166.07</v>
      </c>
      <c r="W192" s="9" cm="1">
        <f t="array" aca="1" ref="W192" ca="1">_xll.BDH($E$6,"PX LAST",AK192)</f>
        <v>167.01</v>
      </c>
      <c r="X192" s="24">
        <f t="shared" ca="1" si="42"/>
        <v>-1.2806727915755545E-2</v>
      </c>
      <c r="Y192" s="24">
        <f t="shared" ca="1" si="43"/>
        <v>4.8052800835114429E-3</v>
      </c>
      <c r="Z192" s="24">
        <f t="shared" ca="1" si="44"/>
        <v>2.1084383731335476E-2</v>
      </c>
      <c r="AA192" s="24">
        <f t="shared" ca="1" si="45"/>
        <v>3.3097037210147784E-2</v>
      </c>
      <c r="AB192" s="9" cm="1">
        <f t="array" aca="1" ref="AB192" ca="1">_xll.BDH($E$8,"PX LAST",AG192)</f>
        <v>5967.84</v>
      </c>
      <c r="AC192" s="9" cm="1">
        <f t="array" aca="1" ref="AC192" ca="1">_xll.BDH($E$8,"PX LAST",AH192)</f>
        <v>6045.26</v>
      </c>
      <c r="AD192" s="9" cm="1">
        <f t="array" aca="1" ref="AD192" ca="1">_xll.BDH($E$8,"PX LAST",AI192)</f>
        <v>5939.3</v>
      </c>
      <c r="AE192" s="9" cm="1">
        <f t="array" aca="1" ref="AE192" ca="1">_xll.BDH($E$8,"PX LAST",AJ192)</f>
        <v>5844.61</v>
      </c>
      <c r="AF192" s="9" cm="1">
        <f t="array" aca="1" ref="AF192" ca="1">_xll.BDH($E$8,"PX LAST",AK192)</f>
        <v>5776.65</v>
      </c>
      <c r="AG192" s="20">
        <f t="shared" ca="1" si="51"/>
        <v>45828</v>
      </c>
      <c r="AH192" s="22">
        <f t="shared" ca="1" si="46"/>
        <v>45820</v>
      </c>
      <c r="AI192" s="22">
        <f t="shared" ca="1" si="47"/>
        <v>45813</v>
      </c>
      <c r="AJ192" s="22">
        <f t="shared" ca="1" si="48"/>
        <v>45798</v>
      </c>
      <c r="AK192" s="22">
        <f t="shared" ca="1" si="49"/>
        <v>45741</v>
      </c>
      <c r="AL192" s="22">
        <f t="shared" ca="1" si="50"/>
        <v>45650</v>
      </c>
    </row>
    <row r="193" spans="4:38" x14ac:dyDescent="0.25">
      <c r="D193" s="6">
        <f ca="1"/>
        <v>45826</v>
      </c>
      <c r="E193" s="28">
        <f ca="1"/>
        <v>176.7</v>
      </c>
      <c r="F193" s="29" cm="1">
        <f t="array" aca="1" ref="F193" ca="1">_xll.FDS($E$7,"P_BETA_LOCIDX("&amp;$AG193&amp;","&amp;$AL193&amp;",,"""&amp;$E$9&amp;""")")</f>
        <v>1.5867983999999999</v>
      </c>
      <c r="G193" s="30">
        <f t="shared" ca="1" si="36"/>
        <v>5.3850366443880249E-3</v>
      </c>
      <c r="H193" s="30">
        <f t="shared" ca="1" si="36"/>
        <v>3.1445967307217777E-2</v>
      </c>
      <c r="I193" s="30">
        <f t="shared" ca="1" si="36"/>
        <v>1.748792121963659E-2</v>
      </c>
      <c r="J193" s="30">
        <f t="shared" ca="1" si="34"/>
        <v>-1.0889885966247889E-2</v>
      </c>
      <c r="K193" s="30">
        <f t="shared" ca="1" si="37"/>
        <v>-1.090057018783705E-2</v>
      </c>
      <c r="L193" s="30">
        <f t="shared" ca="1" si="37"/>
        <v>2.6735387500185694E-3</v>
      </c>
      <c r="M193" s="30">
        <f t="shared" ca="1" si="37"/>
        <v>1.0794201685391261E-2</v>
      </c>
      <c r="N193" s="30">
        <f t="shared" ca="1" si="35"/>
        <v>5.8684003613306765E-2</v>
      </c>
      <c r="O193" s="30">
        <f t="shared" ca="1" si="38"/>
        <v>-5.5155335434490249E-3</v>
      </c>
      <c r="P193" s="30">
        <f t="shared" ca="1" si="39"/>
        <v>3.4119506057236348E-2</v>
      </c>
      <c r="Q193" s="30">
        <f t="shared" ca="1" si="40"/>
        <v>2.8282122905027851E-2</v>
      </c>
      <c r="R193" s="30">
        <f t="shared" ca="1" si="41"/>
        <v>4.7794117647058876E-2</v>
      </c>
      <c r="S193" s="9" cm="1">
        <f t="array" aca="1" ref="S193" ca="1">_xll.BDH($E$6,"PX LAST",AG193)</f>
        <v>176.7</v>
      </c>
      <c r="T193" s="9" cm="1">
        <f t="array" aca="1" ref="T193" ca="1">_xll.BDH($E$6,"PX LAST",AH193)</f>
        <v>177.68</v>
      </c>
      <c r="U193" s="9" cm="1">
        <f t="array" aca="1" ref="U193" ca="1">_xll.BDH($E$6,"PX LAST",AI193)</f>
        <v>170.87</v>
      </c>
      <c r="V193" s="9" cm="1">
        <f t="array" aca="1" ref="V193" ca="1">_xll.BDH($E$6,"PX LAST",AJ193)</f>
        <v>171.84</v>
      </c>
      <c r="W193" s="9" cm="1">
        <f t="array" aca="1" ref="W193" ca="1">_xll.BDH($E$6,"PX LAST",AK193)</f>
        <v>168.64</v>
      </c>
      <c r="X193" s="24">
        <f t="shared" ca="1" si="42"/>
        <v>-6.8695369164961662E-3</v>
      </c>
      <c r="Y193" s="24">
        <f t="shared" ca="1" si="43"/>
        <v>1.684863527728897E-3</v>
      </c>
      <c r="Z193" s="24">
        <f t="shared" ca="1" si="44"/>
        <v>6.8025035098291387E-3</v>
      </c>
      <c r="AA193" s="24">
        <f t="shared" ca="1" si="45"/>
        <v>3.6982646071048952E-2</v>
      </c>
      <c r="AB193" s="9" cm="1">
        <f t="array" aca="1" ref="AB193" ca="1">_xll.BDH($E$8,"PX LAST",AG193)</f>
        <v>5980.87</v>
      </c>
      <c r="AC193" s="9" cm="1">
        <f t="array" aca="1" ref="AC193" ca="1">_xll.BDH($E$8,"PX LAST",AH193)</f>
        <v>6022.24</v>
      </c>
      <c r="AD193" s="9" cm="1">
        <f t="array" aca="1" ref="AD193" ca="1">_xll.BDH($E$8,"PX LAST",AI193)</f>
        <v>5970.81</v>
      </c>
      <c r="AE193" s="9" cm="1">
        <f t="array" aca="1" ref="AE193" ca="1">_xll.BDH($E$8,"PX LAST",AJ193)</f>
        <v>5940.46</v>
      </c>
      <c r="AF193" s="9" cm="1">
        <f t="array" aca="1" ref="AF193" ca="1">_xll.BDH($E$8,"PX LAST",AK193)</f>
        <v>5767.57</v>
      </c>
      <c r="AG193" s="20">
        <f t="shared" ca="1" si="51"/>
        <v>45826</v>
      </c>
      <c r="AH193" s="22">
        <f t="shared" ca="1" si="46"/>
        <v>45819</v>
      </c>
      <c r="AI193" s="22">
        <f t="shared" ca="1" si="47"/>
        <v>45812</v>
      </c>
      <c r="AJ193" s="22">
        <f t="shared" ca="1" si="48"/>
        <v>45797</v>
      </c>
      <c r="AK193" s="22">
        <f t="shared" ca="1" si="49"/>
        <v>45740</v>
      </c>
      <c r="AL193" s="22">
        <f t="shared" ca="1" si="50"/>
        <v>45649</v>
      </c>
    </row>
    <row r="194" spans="4:38" x14ac:dyDescent="0.25">
      <c r="D194" s="6">
        <f ca="1"/>
        <v>45825</v>
      </c>
      <c r="E194" s="28">
        <f ca="1"/>
        <v>171.47</v>
      </c>
      <c r="F194" s="29" cm="1">
        <f t="array" aca="1" ref="F194" ca="1">_xll.FDS($E$7,"P_BETA_LOCIDX("&amp;$AG194&amp;","&amp;$AL194&amp;",,"""&amp;$E$9&amp;""")")</f>
        <v>1.5872364999999999</v>
      </c>
      <c r="G194" s="30">
        <f t="shared" ca="1" si="36"/>
        <v>-2.9033833487258492E-2</v>
      </c>
      <c r="H194" s="30">
        <f t="shared" ca="1" si="36"/>
        <v>-1.3157395119020379E-2</v>
      </c>
      <c r="I194" s="30">
        <f t="shared" ca="1" si="36"/>
        <v>-3.453256544379917E-3</v>
      </c>
      <c r="J194" s="30">
        <f t="shared" ca="1" si="34"/>
        <v>-3.3841227395625673E-2</v>
      </c>
      <c r="K194" s="30">
        <f t="shared" ca="1" si="37"/>
        <v>-1.4742655471028295E-2</v>
      </c>
      <c r="L194" s="30">
        <f t="shared" ca="1" si="37"/>
        <v>3.2832757056932148E-3</v>
      </c>
      <c r="M194" s="30">
        <f t="shared" ca="1" si="37"/>
        <v>5.0888661010129168E-3</v>
      </c>
      <c r="N194" s="30">
        <f t="shared" ca="1" si="35"/>
        <v>8.8262577783031926E-2</v>
      </c>
      <c r="O194" s="30">
        <f t="shared" ca="1" si="38"/>
        <v>-4.3776488958286786E-2</v>
      </c>
      <c r="P194" s="30">
        <f t="shared" ca="1" si="39"/>
        <v>-9.8741194133271648E-3</v>
      </c>
      <c r="Q194" s="30">
        <f t="shared" ca="1" si="40"/>
        <v>1.6356095566329998E-3</v>
      </c>
      <c r="R194" s="30">
        <f t="shared" ca="1" si="41"/>
        <v>5.4421350387406253E-2</v>
      </c>
      <c r="S194" s="9" cm="1">
        <f t="array" aca="1" ref="S194" ca="1">_xll.BDH($E$6,"PX LAST",AG194)</f>
        <v>171.47</v>
      </c>
      <c r="T194" s="9" cm="1">
        <f t="array" aca="1" ref="T194" ca="1">_xll.BDH($E$6,"PX LAST",AH194)</f>
        <v>179.32</v>
      </c>
      <c r="U194" s="9" cm="1">
        <f t="array" aca="1" ref="U194" ca="1">_xll.BDH($E$6,"PX LAST",AI194)</f>
        <v>173.18</v>
      </c>
      <c r="V194" s="9" cm="1">
        <f t="array" aca="1" ref="V194" ca="1">_xll.BDH($E$6,"PX LAST",AJ194)</f>
        <v>171.19</v>
      </c>
      <c r="W194" s="9" cm="1">
        <f t="array" aca="1" ref="W194" ca="1">_xll.BDH($E$6,"PX LAST",AK194)</f>
        <v>162.62</v>
      </c>
      <c r="X194" s="24">
        <f t="shared" ca="1" si="42"/>
        <v>-9.2882538115953706E-3</v>
      </c>
      <c r="Y194" s="24">
        <f t="shared" ca="1" si="43"/>
        <v>2.0685485154186001E-3</v>
      </c>
      <c r="Z194" s="24">
        <f t="shared" ca="1" si="44"/>
        <v>3.2061171104702524E-3</v>
      </c>
      <c r="AA194" s="24">
        <f t="shared" ca="1" si="45"/>
        <v>5.560770419722072E-2</v>
      </c>
      <c r="AB194" s="9" cm="1">
        <f t="array" aca="1" ref="AB194" ca="1">_xll.BDH($E$8,"PX LAST",AG194)</f>
        <v>5982.72</v>
      </c>
      <c r="AC194" s="9" cm="1">
        <f t="array" aca="1" ref="AC194" ca="1">_xll.BDH($E$8,"PX LAST",AH194)</f>
        <v>6038.81</v>
      </c>
      <c r="AD194" s="9" cm="1">
        <f t="array" aca="1" ref="AD194" ca="1">_xll.BDH($E$8,"PX LAST",AI194)</f>
        <v>5970.37</v>
      </c>
      <c r="AE194" s="9" cm="1">
        <f t="array" aca="1" ref="AE194" ca="1">_xll.BDH($E$8,"PX LAST",AJ194)</f>
        <v>5963.6</v>
      </c>
      <c r="AF194" s="9" cm="1">
        <f t="array" aca="1" ref="AF194" ca="1">_xll.BDH($E$8,"PX LAST",AK194)</f>
        <v>5667.56</v>
      </c>
      <c r="AG194" s="20">
        <f t="shared" ca="1" si="51"/>
        <v>45825</v>
      </c>
      <c r="AH194" s="22">
        <f t="shared" ca="1" si="46"/>
        <v>45818</v>
      </c>
      <c r="AI194" s="22">
        <f t="shared" ca="1" si="47"/>
        <v>45811</v>
      </c>
      <c r="AJ194" s="22">
        <f t="shared" ca="1" si="48"/>
        <v>45796</v>
      </c>
      <c r="AK194" s="22">
        <f t="shared" ca="1" si="49"/>
        <v>45737</v>
      </c>
      <c r="AL194" s="22">
        <f t="shared" ca="1" si="50"/>
        <v>45646</v>
      </c>
    </row>
    <row r="195" spans="4:38" x14ac:dyDescent="0.25">
      <c r="D195" s="6">
        <f ca="1"/>
        <v>45824</v>
      </c>
      <c r="E195" s="28">
        <f ca="1"/>
        <v>176.08</v>
      </c>
      <c r="F195" s="29" cm="1">
        <f t="array" aca="1" ref="F195" ca="1">_xll.FDS($E$7,"P_BETA_LOCIDX("&amp;$AG195&amp;","&amp;$AL195&amp;",,"""&amp;$E$9&amp;""")")</f>
        <v>1.5834777</v>
      </c>
      <c r="G195" s="30">
        <f t="shared" ca="1" si="36"/>
        <v>-9.6154365001629265E-3</v>
      </c>
      <c r="H195" s="30">
        <f t="shared" ca="1" si="36"/>
        <v>3.826352413174243E-2</v>
      </c>
      <c r="I195" s="30">
        <f t="shared" ca="1" si="36"/>
        <v>-3.8770560147201767E-3</v>
      </c>
      <c r="J195" s="30">
        <f t="shared" ca="1" si="34"/>
        <v>-3.6176671979305283E-2</v>
      </c>
      <c r="K195" s="30">
        <f t="shared" ca="1" si="37"/>
        <v>7.1793139008768762E-3</v>
      </c>
      <c r="L195" s="30">
        <f t="shared" ca="1" si="37"/>
        <v>2.5921173076041984E-2</v>
      </c>
      <c r="M195" s="30">
        <f t="shared" ca="1" si="37"/>
        <v>1.9859976792517237E-2</v>
      </c>
      <c r="N195" s="30">
        <f t="shared" ca="1" si="35"/>
        <v>0.10352224996318114</v>
      </c>
      <c r="O195" s="30">
        <f t="shared" ca="1" si="38"/>
        <v>-2.4361225992860502E-3</v>
      </c>
      <c r="P195" s="30">
        <f t="shared" ca="1" si="39"/>
        <v>6.4184697207784414E-2</v>
      </c>
      <c r="Q195" s="30">
        <f t="shared" ca="1" si="40"/>
        <v>1.5982920777797061E-2</v>
      </c>
      <c r="R195" s="30">
        <f t="shared" ca="1" si="41"/>
        <v>6.7345577983875859E-2</v>
      </c>
      <c r="S195" s="9" cm="1">
        <f t="array" aca="1" ref="S195" ca="1">_xll.BDH($E$6,"PX LAST",AG195)</f>
        <v>176.08</v>
      </c>
      <c r="T195" s="9" cm="1">
        <f t="array" aca="1" ref="T195" ca="1">_xll.BDH($E$6,"PX LAST",AH195)</f>
        <v>176.51</v>
      </c>
      <c r="U195" s="9" cm="1">
        <f t="array" aca="1" ref="U195" ca="1">_xll.BDH($E$6,"PX LAST",AI195)</f>
        <v>165.46</v>
      </c>
      <c r="V195" s="9" cm="1">
        <f t="array" aca="1" ref="V195" ca="1">_xll.BDH($E$6,"PX LAST",AJ195)</f>
        <v>173.31</v>
      </c>
      <c r="W195" s="9" cm="1">
        <f t="array" aca="1" ref="W195" ca="1">_xll.BDH($E$6,"PX LAST",AK195)</f>
        <v>164.97</v>
      </c>
      <c r="X195" s="24">
        <f t="shared" ca="1" si="42"/>
        <v>4.5338901210145721E-3</v>
      </c>
      <c r="Y195" s="24">
        <f t="shared" ca="1" si="43"/>
        <v>1.6369774627102096E-2</v>
      </c>
      <c r="Z195" s="24">
        <f t="shared" ca="1" si="44"/>
        <v>1.2541999671051407E-2</v>
      </c>
      <c r="AA195" s="24">
        <f t="shared" ca="1" si="45"/>
        <v>6.5376512699345968E-2</v>
      </c>
      <c r="AB195" s="9" cm="1">
        <f t="array" aca="1" ref="AB195" ca="1">_xll.BDH($E$8,"PX LAST",AG195)</f>
        <v>6033.11</v>
      </c>
      <c r="AC195" s="9" cm="1">
        <f t="array" aca="1" ref="AC195" ca="1">_xll.BDH($E$8,"PX LAST",AH195)</f>
        <v>6005.88</v>
      </c>
      <c r="AD195" s="9" cm="1">
        <f t="array" aca="1" ref="AD195" ca="1">_xll.BDH($E$8,"PX LAST",AI195)</f>
        <v>5935.94</v>
      </c>
      <c r="AE195" s="9" cm="1">
        <f t="array" aca="1" ref="AE195" ca="1">_xll.BDH($E$8,"PX LAST",AJ195)</f>
        <v>5958.38</v>
      </c>
      <c r="AF195" s="9" cm="1">
        <f t="array" aca="1" ref="AF195" ca="1">_xll.BDH($E$8,"PX LAST",AK195)</f>
        <v>5662.89</v>
      </c>
      <c r="AG195" s="20">
        <f t="shared" ca="1" si="51"/>
        <v>45824</v>
      </c>
      <c r="AH195" s="22">
        <f t="shared" ca="1" si="46"/>
        <v>45817</v>
      </c>
      <c r="AI195" s="22">
        <f t="shared" ca="1" si="47"/>
        <v>45810</v>
      </c>
      <c r="AJ195" s="22">
        <f t="shared" ca="1" si="48"/>
        <v>45793</v>
      </c>
      <c r="AK195" s="22">
        <f t="shared" ca="1" si="49"/>
        <v>45736</v>
      </c>
      <c r="AL195" s="22">
        <f t="shared" ca="1" si="50"/>
        <v>45645</v>
      </c>
    </row>
    <row r="196" spans="4:38" x14ac:dyDescent="0.25">
      <c r="D196" s="6">
        <f ca="1"/>
        <v>45821</v>
      </c>
      <c r="E196" s="28">
        <f ca="1"/>
        <v>173.27</v>
      </c>
      <c r="F196" s="29" cm="1">
        <f t="array" aca="1" ref="F196" ca="1">_xll.FDS($E$7,"P_BETA_LOCIDX("&amp;$AG196&amp;","&amp;$AL196&amp;",,"""&amp;$E$9&amp;""")")</f>
        <v>1.5922251000000001</v>
      </c>
      <c r="G196" s="30">
        <f t="shared" ca="1" si="36"/>
        <v>5.5722072097779598E-3</v>
      </c>
      <c r="H196" s="30">
        <f t="shared" ca="1" si="36"/>
        <v>1.4462601616863822E-2</v>
      </c>
      <c r="I196" s="30">
        <f t="shared" ca="1" si="36"/>
        <v>-4.3018464704459893E-3</v>
      </c>
      <c r="J196" s="30">
        <f t="shared" ca="1" si="34"/>
        <v>-4.1596344467820429E-2</v>
      </c>
      <c r="K196" s="30">
        <f t="shared" ca="1" si="37"/>
        <v>-6.206651782392927E-3</v>
      </c>
      <c r="L196" s="30">
        <f t="shared" ca="1" si="37"/>
        <v>1.7582189615490885E-2</v>
      </c>
      <c r="M196" s="30">
        <f t="shared" ca="1" si="37"/>
        <v>1.6156553314641196E-2</v>
      </c>
      <c r="N196" s="30">
        <f t="shared" ca="1" si="35"/>
        <v>8.4637519521998134E-2</v>
      </c>
      <c r="O196" s="30">
        <f t="shared" ca="1" si="38"/>
        <v>-6.3444457261496723E-4</v>
      </c>
      <c r="P196" s="30">
        <f t="shared" ca="1" si="39"/>
        <v>3.2044791232354708E-2</v>
      </c>
      <c r="Q196" s="30">
        <f t="shared" ca="1" si="40"/>
        <v>1.1854706844195206E-2</v>
      </c>
      <c r="R196" s="30">
        <f t="shared" ca="1" si="41"/>
        <v>4.3041175054177705E-2</v>
      </c>
      <c r="S196" s="9" cm="1">
        <f t="array" aca="1" ref="S196" ca="1">_xll.BDH($E$6,"PX LAST",AG196)</f>
        <v>173.27</v>
      </c>
      <c r="T196" s="9" cm="1">
        <f t="array" aca="1" ref="T196" ca="1">_xll.BDH($E$6,"PX LAST",AH196)</f>
        <v>173.38</v>
      </c>
      <c r="U196" s="9" cm="1">
        <f t="array" aca="1" ref="U196" ca="1">_xll.BDH($E$6,"PX LAST",AI196)</f>
        <v>167.89</v>
      </c>
      <c r="V196" s="9" cm="1">
        <f t="array" aca="1" ref="V196" ca="1">_xll.BDH($E$6,"PX LAST",AJ196)</f>
        <v>171.24</v>
      </c>
      <c r="W196" s="9" cm="1">
        <f t="array" aca="1" ref="W196" ca="1">_xll.BDH($E$6,"PX LAST",AK196)</f>
        <v>166.12</v>
      </c>
      <c r="X196" s="24">
        <f t="shared" ca="1" si="42"/>
        <v>-3.8980994473664099E-3</v>
      </c>
      <c r="Y196" s="24">
        <f t="shared" ca="1" si="43"/>
        <v>1.1042527602090235E-2</v>
      </c>
      <c r="Z196" s="24">
        <f t="shared" ca="1" si="44"/>
        <v>1.0147154013990356E-2</v>
      </c>
      <c r="AA196" s="24">
        <f t="shared" ca="1" si="45"/>
        <v>5.3156754985207888E-2</v>
      </c>
      <c r="AB196" s="9" cm="1">
        <f t="array" aca="1" ref="AB196" ca="1">_xll.BDH($E$8,"PX LAST",AG196)</f>
        <v>5976.97</v>
      </c>
      <c r="AC196" s="9" cm="1">
        <f t="array" aca="1" ref="AC196" ca="1">_xll.BDH($E$8,"PX LAST",AH196)</f>
        <v>6000.36</v>
      </c>
      <c r="AD196" s="9" cm="1">
        <f t="array" aca="1" ref="AD196" ca="1">_xll.BDH($E$8,"PX LAST",AI196)</f>
        <v>5911.69</v>
      </c>
      <c r="AE196" s="9" cm="1">
        <f t="array" aca="1" ref="AE196" ca="1">_xll.BDH($E$8,"PX LAST",AJ196)</f>
        <v>5916.93</v>
      </c>
      <c r="AF196" s="9" cm="1">
        <f t="array" aca="1" ref="AF196" ca="1">_xll.BDH($E$8,"PX LAST",AK196)</f>
        <v>5675.29</v>
      </c>
      <c r="AG196" s="20">
        <f t="shared" ca="1" si="51"/>
        <v>45821</v>
      </c>
      <c r="AH196" s="22">
        <f t="shared" ca="1" si="46"/>
        <v>45814</v>
      </c>
      <c r="AI196" s="22">
        <f t="shared" ca="1" si="47"/>
        <v>45807</v>
      </c>
      <c r="AJ196" s="22">
        <f t="shared" ca="1" si="48"/>
        <v>45792</v>
      </c>
      <c r="AK196" s="22">
        <f t="shared" ca="1" si="49"/>
        <v>45735</v>
      </c>
      <c r="AL196" s="22">
        <f t="shared" ca="1" si="50"/>
        <v>45644</v>
      </c>
    </row>
    <row r="197" spans="4:38" x14ac:dyDescent="0.25">
      <c r="D197" s="6">
        <f ca="1"/>
        <v>45820</v>
      </c>
      <c r="E197" s="28">
        <f ca="1"/>
        <v>176.77</v>
      </c>
      <c r="F197" s="29" cm="1">
        <f t="array" aca="1" ref="F197" ca="1">_xll.FDS($E$7,"P_BETA_LOCIDX("&amp;$AG197&amp;","&amp;$AL197&amp;",,"""&amp;$E$9&amp;""")")</f>
        <v>1.5931458000000001</v>
      </c>
      <c r="G197" s="30">
        <f t="shared" ca="1" si="36"/>
        <v>1.0973047268431773E-2</v>
      </c>
      <c r="H197" s="30">
        <f t="shared" ca="1" si="36"/>
        <v>-2.1813717981862962E-3</v>
      </c>
      <c r="I197" s="30">
        <f t="shared" ca="1" si="36"/>
        <v>-2.4073624626490708E-2</v>
      </c>
      <c r="J197" s="30">
        <f t="shared" ca="1" si="34"/>
        <v>-2.7969360060317625E-2</v>
      </c>
      <c r="K197" s="30">
        <f t="shared" ca="1" si="37"/>
        <v>2.8422495743269455E-2</v>
      </c>
      <c r="L197" s="30">
        <f t="shared" ca="1" si="37"/>
        <v>3.5863612602817632E-2</v>
      </c>
      <c r="M197" s="30">
        <f t="shared" ca="1" si="37"/>
        <v>4.1279286958174566E-2</v>
      </c>
      <c r="N197" s="30">
        <f t="shared" ca="1" si="35"/>
        <v>0.12218167822806751</v>
      </c>
      <c r="O197" s="30">
        <f t="shared" ca="1" si="38"/>
        <v>3.9395543011701228E-2</v>
      </c>
      <c r="P197" s="30">
        <f t="shared" ca="1" si="39"/>
        <v>3.3682240804631336E-2</v>
      </c>
      <c r="Q197" s="30">
        <f t="shared" ca="1" si="40"/>
        <v>1.7205662331683858E-2</v>
      </c>
      <c r="R197" s="30">
        <f t="shared" ca="1" si="41"/>
        <v>9.4212318167749887E-2</v>
      </c>
      <c r="S197" s="9" cm="1">
        <f t="array" aca="1" ref="S197" ca="1">_xll.BDH($E$6,"PX LAST",AG197)</f>
        <v>176.77</v>
      </c>
      <c r="T197" s="9" cm="1">
        <f t="array" aca="1" ref="T197" ca="1">_xll.BDH($E$6,"PX LAST",AH197)</f>
        <v>170.07</v>
      </c>
      <c r="U197" s="9" cm="1">
        <f t="array" aca="1" ref="U197" ca="1">_xll.BDH($E$6,"PX LAST",AI197)</f>
        <v>171.01</v>
      </c>
      <c r="V197" s="9" cm="1">
        <f t="array" aca="1" ref="V197" ca="1">_xll.BDH($E$6,"PX LAST",AJ197)</f>
        <v>173.78</v>
      </c>
      <c r="W197" s="9" cm="1">
        <f t="array" aca="1" ref="W197" ca="1">_xll.BDH($E$6,"PX LAST",AK197)</f>
        <v>161.55000000000001</v>
      </c>
      <c r="X197" s="24">
        <f t="shared" ca="1" si="42"/>
        <v>1.7840486252588716E-2</v>
      </c>
      <c r="Y197" s="24">
        <f t="shared" ca="1" si="43"/>
        <v>2.2511193013732722E-2</v>
      </c>
      <c r="Z197" s="24">
        <f t="shared" ca="1" si="44"/>
        <v>2.5910551914441582E-2</v>
      </c>
      <c r="AA197" s="24">
        <f t="shared" ca="1" si="45"/>
        <v>7.6692088211931075E-2</v>
      </c>
      <c r="AB197" s="9" cm="1">
        <f t="array" aca="1" ref="AB197" ca="1">_xll.BDH($E$8,"PX LAST",AG197)</f>
        <v>6045.26</v>
      </c>
      <c r="AC197" s="9" cm="1">
        <f t="array" aca="1" ref="AC197" ca="1">_xll.BDH($E$8,"PX LAST",AH197)</f>
        <v>5939.3</v>
      </c>
      <c r="AD197" s="9" cm="1">
        <f t="array" aca="1" ref="AD197" ca="1">_xll.BDH($E$8,"PX LAST",AI197)</f>
        <v>5912.17</v>
      </c>
      <c r="AE197" s="9" cm="1">
        <f t="array" aca="1" ref="AE197" ca="1">_xll.BDH($E$8,"PX LAST",AJ197)</f>
        <v>5892.58</v>
      </c>
      <c r="AF197" s="9" cm="1">
        <f t="array" aca="1" ref="AF197" ca="1">_xll.BDH($E$8,"PX LAST",AK197)</f>
        <v>5614.66</v>
      </c>
      <c r="AG197" s="20">
        <f t="shared" ca="1" si="51"/>
        <v>45820</v>
      </c>
      <c r="AH197" s="22">
        <f t="shared" ca="1" si="46"/>
        <v>45813</v>
      </c>
      <c r="AI197" s="22">
        <f t="shared" ca="1" si="47"/>
        <v>45806</v>
      </c>
      <c r="AJ197" s="22">
        <f t="shared" ca="1" si="48"/>
        <v>45791</v>
      </c>
      <c r="AK197" s="22">
        <f t="shared" ca="1" si="49"/>
        <v>45734</v>
      </c>
      <c r="AL197" s="22">
        <f t="shared" ca="1" si="50"/>
        <v>45643</v>
      </c>
    </row>
    <row r="198" spans="4:38" x14ac:dyDescent="0.25">
      <c r="D198" s="6">
        <f ca="1"/>
        <v>45819</v>
      </c>
      <c r="E198" s="28">
        <f ca="1"/>
        <v>177.68</v>
      </c>
      <c r="F198" s="29" cm="1">
        <f t="array" aca="1" ref="F198" ca="1">_xll.FDS($E$7,"P_BETA_LOCIDX("&amp;$AG198&amp;","&amp;$AL198&amp;",,"""&amp;$E$9&amp;""")")</f>
        <v>1.5929865999999999</v>
      </c>
      <c r="G198" s="30">
        <f t="shared" ca="1" si="36"/>
        <v>2.6133556135189452E-2</v>
      </c>
      <c r="H198" s="30">
        <f t="shared" ca="1" si="36"/>
        <v>-7.0320969783277051E-3</v>
      </c>
      <c r="I198" s="30">
        <f t="shared" ca="1" si="36"/>
        <v>-1.4865548003086433E-2</v>
      </c>
      <c r="J198" s="30">
        <f t="shared" ca="1" si="34"/>
        <v>-1.1305427096253845E-2</v>
      </c>
      <c r="K198" s="30">
        <f t="shared" ca="1" si="37"/>
        <v>1.3721304285013024E-2</v>
      </c>
      <c r="L198" s="30">
        <f t="shared" ca="1" si="37"/>
        <v>3.616618328009432E-2</v>
      </c>
      <c r="M198" s="30">
        <f t="shared" ca="1" si="37"/>
        <v>3.6719700292021491E-2</v>
      </c>
      <c r="N198" s="30">
        <f t="shared" ca="1" si="35"/>
        <v>9.743538614020511E-2</v>
      </c>
      <c r="O198" s="30">
        <f t="shared" ca="1" si="38"/>
        <v>3.9854860420202476E-2</v>
      </c>
      <c r="P198" s="30">
        <f t="shared" ca="1" si="39"/>
        <v>2.9134086301766615E-2</v>
      </c>
      <c r="Q198" s="30">
        <f t="shared" ca="1" si="40"/>
        <v>2.1854152288935058E-2</v>
      </c>
      <c r="R198" s="30">
        <f t="shared" ca="1" si="41"/>
        <v>8.6129959043951265E-2</v>
      </c>
      <c r="S198" s="9" cm="1">
        <f t="array" aca="1" ref="S198" ca="1">_xll.BDH($E$6,"PX LAST",AG198)</f>
        <v>177.68</v>
      </c>
      <c r="T198" s="9" cm="1">
        <f t="array" aca="1" ref="T198" ca="1">_xll.BDH($E$6,"PX LAST",AH198)</f>
        <v>170.87</v>
      </c>
      <c r="U198" s="9" cm="1">
        <f t="array" aca="1" ref="U198" ca="1">_xll.BDH($E$6,"PX LAST",AI198)</f>
        <v>172.65</v>
      </c>
      <c r="V198" s="9" cm="1">
        <f t="array" aca="1" ref="V198" ca="1">_xll.BDH($E$6,"PX LAST",AJ198)</f>
        <v>173.88</v>
      </c>
      <c r="W198" s="9" cm="1">
        <f t="array" aca="1" ref="W198" ca="1">_xll.BDH($E$6,"PX LAST",AK198)</f>
        <v>163.59</v>
      </c>
      <c r="X198" s="24">
        <f t="shared" ca="1" si="42"/>
        <v>8.6135716929527373E-3</v>
      </c>
      <c r="Y198" s="24">
        <f t="shared" ca="1" si="43"/>
        <v>2.2703381987076554E-2</v>
      </c>
      <c r="Z198" s="24">
        <f t="shared" ca="1" si="44"/>
        <v>2.3050853216230127E-2</v>
      </c>
      <c r="AA198" s="24">
        <f t="shared" ca="1" si="45"/>
        <v>6.1165226462171818E-2</v>
      </c>
      <c r="AB198" s="9" cm="1">
        <f t="array" aca="1" ref="AB198" ca="1">_xll.BDH($E$8,"PX LAST",AG198)</f>
        <v>6022.24</v>
      </c>
      <c r="AC198" s="9" cm="1">
        <f t="array" aca="1" ref="AC198" ca="1">_xll.BDH($E$8,"PX LAST",AH198)</f>
        <v>5970.81</v>
      </c>
      <c r="AD198" s="9" cm="1">
        <f t="array" aca="1" ref="AD198" ca="1">_xll.BDH($E$8,"PX LAST",AI198)</f>
        <v>5888.55</v>
      </c>
      <c r="AE198" s="9" cm="1">
        <f t="array" aca="1" ref="AE198" ca="1">_xll.BDH($E$8,"PX LAST",AJ198)</f>
        <v>5886.55</v>
      </c>
      <c r="AF198" s="9" cm="1">
        <f t="array" aca="1" ref="AF198" ca="1">_xll.BDH($E$8,"PX LAST",AK198)</f>
        <v>5675.12</v>
      </c>
      <c r="AG198" s="20">
        <f t="shared" ca="1" si="51"/>
        <v>45819</v>
      </c>
      <c r="AH198" s="22">
        <f t="shared" ca="1" si="46"/>
        <v>45812</v>
      </c>
      <c r="AI198" s="22">
        <f t="shared" ca="1" si="47"/>
        <v>45805</v>
      </c>
      <c r="AJ198" s="22">
        <f t="shared" ca="1" si="48"/>
        <v>45790</v>
      </c>
      <c r="AK198" s="22">
        <f t="shared" ca="1" si="49"/>
        <v>45733</v>
      </c>
      <c r="AL198" s="22">
        <f t="shared" ca="1" si="50"/>
        <v>45642</v>
      </c>
    </row>
    <row r="199" spans="4:38" x14ac:dyDescent="0.25">
      <c r="D199" s="6">
        <f ca="1"/>
        <v>45818</v>
      </c>
      <c r="E199" s="28">
        <f ca="1"/>
        <v>179.32</v>
      </c>
      <c r="F199" s="29" cm="1">
        <f t="array" aca="1" ref="F199" ca="1">_xll.FDS($E$7,"P_BETA_LOCIDX("&amp;$AG199&amp;","&amp;$AL199&amp;",,"""&amp;$E$9&amp;""")")</f>
        <v>1.5925982999999999</v>
      </c>
      <c r="G199" s="30">
        <f t="shared" ca="1" si="36"/>
        <v>1.7198046365028252E-2</v>
      </c>
      <c r="H199" s="30">
        <f t="shared" ca="1" si="36"/>
        <v>2.990216322981569E-2</v>
      </c>
      <c r="I199" s="30">
        <f t="shared" ca="1" si="36"/>
        <v>-8.6561002735948758E-3</v>
      </c>
      <c r="J199" s="30">
        <f t="shared" ca="1" si="34"/>
        <v>-1.1866348233214613E-2</v>
      </c>
      <c r="K199" s="30">
        <f t="shared" ca="1" si="37"/>
        <v>1.8256394101538176E-2</v>
      </c>
      <c r="L199" s="30">
        <f t="shared" ca="1" si="37"/>
        <v>3.1539768817064731E-2</v>
      </c>
      <c r="M199" s="30">
        <f t="shared" ca="1" si="37"/>
        <v>5.3035832364450981E-2</v>
      </c>
      <c r="N199" s="30">
        <f t="shared" ca="1" si="35"/>
        <v>0.11293475054194599</v>
      </c>
      <c r="O199" s="30">
        <f t="shared" ca="1" si="38"/>
        <v>3.5454440466566428E-2</v>
      </c>
      <c r="P199" s="30">
        <f t="shared" ca="1" si="39"/>
        <v>6.1441932046880421E-2</v>
      </c>
      <c r="Q199" s="30">
        <f t="shared" ca="1" si="40"/>
        <v>4.4379732090856105E-2</v>
      </c>
      <c r="R199" s="30">
        <f t="shared" ca="1" si="41"/>
        <v>0.10106840230873138</v>
      </c>
      <c r="S199" s="9" cm="1">
        <f t="array" aca="1" ref="S199" ca="1">_xll.BDH($E$6,"PX LAST",AG199)</f>
        <v>179.32</v>
      </c>
      <c r="T199" s="9" cm="1">
        <f t="array" aca="1" ref="T199" ca="1">_xll.BDH($E$6,"PX LAST",AH199)</f>
        <v>173.18</v>
      </c>
      <c r="U199" s="9" cm="1">
        <f t="array" aca="1" ref="U199" ca="1">_xll.BDH($E$6,"PX LAST",AI199)</f>
        <v>168.94</v>
      </c>
      <c r="V199" s="9" cm="1">
        <f t="array" aca="1" ref="V199" ca="1">_xll.BDH($E$6,"PX LAST",AJ199)</f>
        <v>171.7</v>
      </c>
      <c r="W199" s="9" cm="1">
        <f t="array" aca="1" ref="W199" ca="1">_xll.BDH($E$6,"PX LAST",AK199)</f>
        <v>162.86000000000001</v>
      </c>
      <c r="X199" s="24">
        <f t="shared" ca="1" si="42"/>
        <v>1.1463276145364576E-2</v>
      </c>
      <c r="Y199" s="24">
        <f t="shared" ca="1" si="43"/>
        <v>1.9803969913232189E-2</v>
      </c>
      <c r="Z199" s="24">
        <f t="shared" ca="1" si="44"/>
        <v>3.3301449815971162E-2</v>
      </c>
      <c r="AA199" s="24">
        <f t="shared" ca="1" si="45"/>
        <v>7.0912263652388674E-2</v>
      </c>
      <c r="AB199" s="9" cm="1">
        <f t="array" aca="1" ref="AB199" ca="1">_xll.BDH($E$8,"PX LAST",AG199)</f>
        <v>6038.81</v>
      </c>
      <c r="AC199" s="9" cm="1">
        <f t="array" aca="1" ref="AC199" ca="1">_xll.BDH($E$8,"PX LAST",AH199)</f>
        <v>5970.37</v>
      </c>
      <c r="AD199" s="9" cm="1">
        <f t="array" aca="1" ref="AD199" ca="1">_xll.BDH($E$8,"PX LAST",AI199)</f>
        <v>5921.54</v>
      </c>
      <c r="AE199" s="9" cm="1">
        <f t="array" aca="1" ref="AE199" ca="1">_xll.BDH($E$8,"PX LAST",AJ199)</f>
        <v>5844.19</v>
      </c>
      <c r="AF199" s="9" cm="1">
        <f t="array" aca="1" ref="AF199" ca="1">_xll.BDH($E$8,"PX LAST",AK199)</f>
        <v>5638.94</v>
      </c>
      <c r="AG199" s="20">
        <f t="shared" ca="1" si="51"/>
        <v>45818</v>
      </c>
      <c r="AH199" s="22">
        <f t="shared" ca="1" si="46"/>
        <v>45811</v>
      </c>
      <c r="AI199" s="22">
        <f t="shared" ca="1" si="47"/>
        <v>45804</v>
      </c>
      <c r="AJ199" s="22">
        <f t="shared" ca="1" si="48"/>
        <v>45789</v>
      </c>
      <c r="AK199" s="22">
        <f t="shared" ca="1" si="49"/>
        <v>45730</v>
      </c>
      <c r="AL199" s="22">
        <f t="shared" ca="1" si="50"/>
        <v>45639</v>
      </c>
    </row>
    <row r="200" spans="4:38" x14ac:dyDescent="0.25">
      <c r="D200" s="6">
        <f ca="1"/>
        <v>45817</v>
      </c>
      <c r="E200" s="28">
        <f ca="1"/>
        <v>176.51</v>
      </c>
      <c r="F200" s="29" cm="1">
        <f t="array" aca="1" ref="F200" ca="1">_xll.FDS($E$7,"P_BETA_LOCIDX("&amp;$AG200&amp;","&amp;$AL200&amp;",,"""&amp;$E$9&amp;""")")</f>
        <v>1.5924844</v>
      </c>
      <c r="G200" s="30">
        <f t="shared" ca="1" si="36"/>
        <v>4.8020122345161557E-2</v>
      </c>
      <c r="H200" s="30">
        <f t="shared" ca="1" si="36"/>
        <v>1.6109955110721268E-2</v>
      </c>
      <c r="I200" s="30">
        <f t="shared" ca="1" si="36"/>
        <v>-6.7651648018647176E-3</v>
      </c>
      <c r="J200" s="30">
        <f t="shared" ca="1" si="34"/>
        <v>-2.5998244028387157E-2</v>
      </c>
      <c r="K200" s="30">
        <f t="shared" ca="1" si="37"/>
        <v>1.876339028628999E-2</v>
      </c>
      <c r="L200" s="30">
        <f t="shared" ca="1" si="37"/>
        <v>5.5726333448909378E-2</v>
      </c>
      <c r="M200" s="30">
        <f t="shared" ca="1" si="37"/>
        <v>9.7342860198837297E-2</v>
      </c>
      <c r="N200" s="30">
        <f t="shared" ca="1" si="35"/>
        <v>0.1396962691403815</v>
      </c>
      <c r="O200" s="30">
        <f t="shared" ca="1" si="38"/>
        <v>6.6783512631451547E-2</v>
      </c>
      <c r="P200" s="30">
        <f t="shared" ca="1" si="39"/>
        <v>7.1836288559630646E-2</v>
      </c>
      <c r="Q200" s="30">
        <f t="shared" ca="1" si="40"/>
        <v>9.057769539697258E-2</v>
      </c>
      <c r="R200" s="30">
        <f t="shared" ca="1" si="41"/>
        <v>0.11369802511199434</v>
      </c>
      <c r="S200" s="9" cm="1">
        <f t="array" aca="1" ref="S200" ca="1">_xll.BDH($E$6,"PX LAST",AG200)</f>
        <v>176.51</v>
      </c>
      <c r="T200" s="9" cm="1">
        <f t="array" aca="1" ref="T200" ca="1">_xll.BDH($E$6,"PX LAST",AH200)</f>
        <v>165.46</v>
      </c>
      <c r="U200" s="9" cm="1">
        <f t="array" aca="1" ref="U200" ca="1">_xll.BDH($E$6,"PX LAST",AI200)</f>
        <v>164.68</v>
      </c>
      <c r="V200" s="9" cm="1">
        <f t="array" aca="1" ref="V200" ca="1">_xll.BDH($E$6,"PX LAST",AJ200)</f>
        <v>161.85</v>
      </c>
      <c r="W200" s="9" cm="1">
        <f t="array" aca="1" ref="W200" ca="1">_xll.BDH($E$6,"PX LAST",AK200)</f>
        <v>158.49</v>
      </c>
      <c r="X200" s="24">
        <f t="shared" ca="1" si="42"/>
        <v>1.178246410846473E-2</v>
      </c>
      <c r="Y200" s="24">
        <f t="shared" ca="1" si="43"/>
        <v>3.4993330828803959E-2</v>
      </c>
      <c r="Z200" s="24">
        <f t="shared" ca="1" si="44"/>
        <v>6.1126413670888891E-2</v>
      </c>
      <c r="AA200" s="24">
        <f t="shared" ca="1" si="45"/>
        <v>8.7722221417290802E-2</v>
      </c>
      <c r="AB200" s="9" cm="1">
        <f t="array" aca="1" ref="AB200" ca="1">_xll.BDH($E$8,"PX LAST",AG200)</f>
        <v>6005.88</v>
      </c>
      <c r="AC200" s="9" cm="1">
        <f t="array" aca="1" ref="AC200" ca="1">_xll.BDH($E$8,"PX LAST",AH200)</f>
        <v>5935.94</v>
      </c>
      <c r="AD200" s="9" cm="1">
        <f t="array" aca="1" ref="AD200" ca="1">_xll.BDH($E$8,"PX LAST",AI200)</f>
        <v>5802.82</v>
      </c>
      <c r="AE200" s="9" cm="1">
        <f t="array" aca="1" ref="AE200" ca="1">_xll.BDH($E$8,"PX LAST",AJ200)</f>
        <v>5659.91</v>
      </c>
      <c r="AF200" s="9" cm="1">
        <f t="array" aca="1" ref="AF200" ca="1">_xll.BDH($E$8,"PX LAST",AK200)</f>
        <v>5521.52</v>
      </c>
      <c r="AG200" s="20">
        <f t="shared" ca="1" si="51"/>
        <v>45817</v>
      </c>
      <c r="AH200" s="22">
        <f t="shared" ca="1" si="46"/>
        <v>45810</v>
      </c>
      <c r="AI200" s="22">
        <f t="shared" ca="1" si="47"/>
        <v>45800</v>
      </c>
      <c r="AJ200" s="22">
        <f t="shared" ca="1" si="48"/>
        <v>45786</v>
      </c>
      <c r="AK200" s="22">
        <f t="shared" ca="1" si="49"/>
        <v>45729</v>
      </c>
      <c r="AL200" s="22">
        <f t="shared" ca="1" si="50"/>
        <v>45638</v>
      </c>
    </row>
    <row r="201" spans="4:38" x14ac:dyDescent="0.25">
      <c r="D201" s="6">
        <f ca="1"/>
        <v>45814</v>
      </c>
      <c r="E201" s="28">
        <f ca="1"/>
        <v>173.38</v>
      </c>
      <c r="F201" s="29" cm="1">
        <f t="array" aca="1" ref="F201" ca="1">_xll.FDS($E$7,"P_BETA_LOCIDX("&amp;$AG201&amp;","&amp;$AL201&amp;",,"""&amp;$E$9&amp;""")")</f>
        <v>1.5862928999999999</v>
      </c>
      <c r="G201" s="30">
        <f t="shared" ca="1" si="36"/>
        <v>8.9070242049127703E-3</v>
      </c>
      <c r="H201" s="30">
        <f t="shared" ca="1" si="36"/>
        <v>2.4684102005376601E-3</v>
      </c>
      <c r="I201" s="30">
        <f t="shared" ca="1" si="36"/>
        <v>-2.9036744973092318E-2</v>
      </c>
      <c r="J201" s="30">
        <f t="shared" ca="1" si="34"/>
        <v>-5.4876596784127374E-2</v>
      </c>
      <c r="K201" s="30">
        <f t="shared" ca="1" si="37"/>
        <v>2.3792957926244553E-2</v>
      </c>
      <c r="L201" s="30">
        <f t="shared" ca="1" si="37"/>
        <v>4.2997098723726715E-2</v>
      </c>
      <c r="M201" s="30">
        <f t="shared" ca="1" si="37"/>
        <v>9.4220746939056507E-2</v>
      </c>
      <c r="N201" s="30">
        <f t="shared" ca="1" si="35"/>
        <v>0.11362110093654554</v>
      </c>
      <c r="O201" s="30">
        <f t="shared" ca="1" si="38"/>
        <v>3.2699982131157324E-2</v>
      </c>
      <c r="P201" s="30">
        <f t="shared" ca="1" si="39"/>
        <v>4.5465508924264375E-2</v>
      </c>
      <c r="Q201" s="30">
        <f t="shared" ca="1" si="40"/>
        <v>6.5184001965964189E-2</v>
      </c>
      <c r="R201" s="30">
        <f t="shared" ca="1" si="41"/>
        <v>5.8744504152418164E-2</v>
      </c>
      <c r="S201" s="9" cm="1">
        <f t="array" aca="1" ref="S201" ca="1">_xll.BDH($E$6,"PX LAST",AG201)</f>
        <v>173.38</v>
      </c>
      <c r="T201" s="9" cm="1">
        <f t="array" aca="1" ref="T201" ca="1">_xll.BDH($E$6,"PX LAST",AH201)</f>
        <v>167.89</v>
      </c>
      <c r="U201" s="9" cm="1">
        <f t="array" aca="1" ref="U201" ca="1">_xll.BDH($E$6,"PX LAST",AI201)</f>
        <v>165.84</v>
      </c>
      <c r="V201" s="9" cm="1">
        <f t="array" aca="1" ref="V201" ca="1">_xll.BDH($E$6,"PX LAST",AJ201)</f>
        <v>162.77000000000001</v>
      </c>
      <c r="W201" s="9" cm="1">
        <f t="array" aca="1" ref="W201" ca="1">_xll.BDH($E$6,"PX LAST",AK201)</f>
        <v>163.76</v>
      </c>
      <c r="X201" s="24">
        <f t="shared" ca="1" si="42"/>
        <v>1.4999095013439545E-2</v>
      </c>
      <c r="Y201" s="24">
        <f t="shared" ca="1" si="43"/>
        <v>2.7105396943859938E-2</v>
      </c>
      <c r="Z201" s="24">
        <f t="shared" ca="1" si="44"/>
        <v>5.9396815644233492E-2</v>
      </c>
      <c r="AA201" s="24">
        <f t="shared" ca="1" si="45"/>
        <v>7.1626810494168858E-2</v>
      </c>
      <c r="AB201" s="9" cm="1">
        <f t="array" aca="1" ref="AB201" ca="1">_xll.BDH($E$8,"PX LAST",AG201)</f>
        <v>6000.36</v>
      </c>
      <c r="AC201" s="9" cm="1">
        <f t="array" aca="1" ref="AC201" ca="1">_xll.BDH($E$8,"PX LAST",AH201)</f>
        <v>5911.69</v>
      </c>
      <c r="AD201" s="9" cm="1">
        <f t="array" aca="1" ref="AD201" ca="1">_xll.BDH($E$8,"PX LAST",AI201)</f>
        <v>5842.01</v>
      </c>
      <c r="AE201" s="9" cm="1">
        <f t="array" aca="1" ref="AE201" ca="1">_xll.BDH($E$8,"PX LAST",AJ201)</f>
        <v>5663.94</v>
      </c>
      <c r="AF201" s="9" cm="1">
        <f t="array" aca="1" ref="AF201" ca="1">_xll.BDH($E$8,"PX LAST",AK201)</f>
        <v>5599.3</v>
      </c>
      <c r="AG201" s="20">
        <f t="shared" ca="1" si="51"/>
        <v>45814</v>
      </c>
      <c r="AH201" s="22">
        <f t="shared" ca="1" si="46"/>
        <v>45807</v>
      </c>
      <c r="AI201" s="22">
        <f t="shared" ca="1" si="47"/>
        <v>45799</v>
      </c>
      <c r="AJ201" s="22">
        <f t="shared" ca="1" si="48"/>
        <v>45785</v>
      </c>
      <c r="AK201" s="22">
        <f t="shared" ca="1" si="49"/>
        <v>45728</v>
      </c>
      <c r="AL201" s="22">
        <f t="shared" ca="1" si="50"/>
        <v>45637</v>
      </c>
    </row>
    <row r="202" spans="4:38" x14ac:dyDescent="0.25">
      <c r="D202" s="6">
        <f ca="1"/>
        <v>45813</v>
      </c>
      <c r="E202" s="28">
        <f ca="1"/>
        <v>170.07</v>
      </c>
      <c r="F202" s="29" cm="1">
        <f t="array" aca="1" ref="F202" ca="1">_xll.FDS($E$7,"P_BETA_LOCIDX("&amp;$AG202&amp;","&amp;$AL202&amp;",,"""&amp;$E$9&amp;""")")</f>
        <v>1.5870264000000001</v>
      </c>
      <c r="G202" s="30">
        <f t="shared" ca="1" si="36"/>
        <v>-1.2779364215194332E-2</v>
      </c>
      <c r="H202" s="30">
        <f t="shared" ca="1" si="36"/>
        <v>-1.6255860871894276E-3</v>
      </c>
      <c r="I202" s="30">
        <f t="shared" ca="1" si="36"/>
        <v>-1.6646152174032341E-2</v>
      </c>
      <c r="J202" s="30">
        <f t="shared" ca="1" si="34"/>
        <v>-2.9562145928698158E-2</v>
      </c>
      <c r="K202" s="30">
        <f t="shared" ca="1" si="37"/>
        <v>7.282609639438508E-3</v>
      </c>
      <c r="L202" s="30">
        <f t="shared" ca="1" si="37"/>
        <v>2.571181478593098E-2</v>
      </c>
      <c r="M202" s="30">
        <f t="shared" ca="1" si="37"/>
        <v>8.6807239513574302E-2</v>
      </c>
      <c r="N202" s="30">
        <f t="shared" ca="1" si="35"/>
        <v>0.1045937514912772</v>
      </c>
      <c r="O202" s="30">
        <f t="shared" ca="1" si="38"/>
        <v>-5.4967545757558245E-3</v>
      </c>
      <c r="P202" s="30">
        <f t="shared" ca="1" si="39"/>
        <v>2.4086228698741552E-2</v>
      </c>
      <c r="Q202" s="30">
        <f t="shared" ca="1" si="40"/>
        <v>7.0161087339541961E-2</v>
      </c>
      <c r="R202" s="30">
        <f t="shared" ca="1" si="41"/>
        <v>7.503160556257904E-2</v>
      </c>
      <c r="S202" s="9" cm="1">
        <f t="array" aca="1" ref="S202" ca="1">_xll.BDH($E$6,"PX LAST",AG202)</f>
        <v>170.07</v>
      </c>
      <c r="T202" s="9" cm="1">
        <f t="array" aca="1" ref="T202" ca="1">_xll.BDH($E$6,"PX LAST",AH202)</f>
        <v>171.01</v>
      </c>
      <c r="U202" s="9" cm="1">
        <f t="array" aca="1" ref="U202" ca="1">_xll.BDH($E$6,"PX LAST",AI202)</f>
        <v>166.07</v>
      </c>
      <c r="V202" s="9" cm="1">
        <f t="array" aca="1" ref="V202" ca="1">_xll.BDH($E$6,"PX LAST",AJ202)</f>
        <v>158.91999999999999</v>
      </c>
      <c r="W202" s="9" cm="1">
        <f t="array" aca="1" ref="W202" ca="1">_xll.BDH($E$6,"PX LAST",AK202)</f>
        <v>158.19999999999999</v>
      </c>
      <c r="X202" s="24">
        <f t="shared" ca="1" si="42"/>
        <v>4.5888396307953716E-3</v>
      </c>
      <c r="Y202" s="24">
        <f t="shared" ca="1" si="43"/>
        <v>1.6201252093809515E-2</v>
      </c>
      <c r="Z202" s="24">
        <f t="shared" ca="1" si="44"/>
        <v>5.4698043784006556E-2</v>
      </c>
      <c r="AA202" s="24">
        <f t="shared" ca="1" si="45"/>
        <v>6.5905489342380941E-2</v>
      </c>
      <c r="AB202" s="9" cm="1">
        <f t="array" aca="1" ref="AB202" ca="1">_xll.BDH($E$8,"PX LAST",AG202)</f>
        <v>5939.3</v>
      </c>
      <c r="AC202" s="9" cm="1">
        <f t="array" aca="1" ref="AC202" ca="1">_xll.BDH($E$8,"PX LAST",AH202)</f>
        <v>5912.17</v>
      </c>
      <c r="AD202" s="9" cm="1">
        <f t="array" aca="1" ref="AD202" ca="1">_xll.BDH($E$8,"PX LAST",AI202)</f>
        <v>5844.61</v>
      </c>
      <c r="AE202" s="9" cm="1">
        <f t="array" aca="1" ref="AE202" ca="1">_xll.BDH($E$8,"PX LAST",AJ202)</f>
        <v>5631.28</v>
      </c>
      <c r="AF202" s="9" cm="1">
        <f t="array" aca="1" ref="AF202" ca="1">_xll.BDH($E$8,"PX LAST",AK202)</f>
        <v>5572.07</v>
      </c>
      <c r="AG202" s="20">
        <f t="shared" ca="1" si="51"/>
        <v>45813</v>
      </c>
      <c r="AH202" s="22">
        <f t="shared" ca="1" si="46"/>
        <v>45806</v>
      </c>
      <c r="AI202" s="22">
        <f t="shared" ca="1" si="47"/>
        <v>45798</v>
      </c>
      <c r="AJ202" s="22">
        <f t="shared" ca="1" si="48"/>
        <v>45784</v>
      </c>
      <c r="AK202" s="22">
        <f t="shared" ca="1" si="49"/>
        <v>45727</v>
      </c>
      <c r="AL202" s="22">
        <f t="shared" ca="1" si="50"/>
        <v>45636</v>
      </c>
    </row>
    <row r="203" spans="4:38" x14ac:dyDescent="0.25">
      <c r="D203" s="6">
        <f ca="1"/>
        <v>45812</v>
      </c>
      <c r="E203" s="28">
        <f ca="1"/>
        <v>170.87</v>
      </c>
      <c r="F203" s="29" cm="1">
        <f t="array" aca="1" ref="F203" ca="1">_xll.FDS($E$7,"P_BETA_LOCIDX("&amp;$AG203&amp;","&amp;$AL203&amp;",,"""&amp;$E$9&amp;""")")</f>
        <v>1.5892577000000001</v>
      </c>
      <c r="G203" s="30">
        <f t="shared" ca="1" si="36"/>
        <v>-3.2510984130971685E-2</v>
      </c>
      <c r="H203" s="30">
        <f t="shared" ca="1" si="36"/>
        <v>-1.3764354230051524E-2</v>
      </c>
      <c r="I203" s="30">
        <f t="shared" ca="1" si="36"/>
        <v>-2.7544937730799968E-2</v>
      </c>
      <c r="J203" s="30">
        <f t="shared" ca="1" si="34"/>
        <v>-1.0829940294081755E-2</v>
      </c>
      <c r="K203" s="30">
        <f t="shared" ca="1" si="37"/>
        <v>2.2201108660366436E-2</v>
      </c>
      <c r="L203" s="30">
        <f t="shared" ca="1" si="37"/>
        <v>8.1195683827517528E-3</v>
      </c>
      <c r="M203" s="30">
        <f t="shared" ca="1" si="37"/>
        <v>0.10314609598334928</v>
      </c>
      <c r="N203" s="30">
        <f t="shared" ca="1" si="35"/>
        <v>0.10084014697946071</v>
      </c>
      <c r="O203" s="30">
        <f t="shared" ca="1" si="38"/>
        <v>-1.0309875470605245E-2</v>
      </c>
      <c r="P203" s="30">
        <f t="shared" ca="1" si="39"/>
        <v>-5.6447858472997714E-3</v>
      </c>
      <c r="Q203" s="30">
        <f t="shared" ca="1" si="40"/>
        <v>7.5601158252549316E-2</v>
      </c>
      <c r="R203" s="30">
        <f t="shared" ca="1" si="41"/>
        <v>9.0010206685378957E-2</v>
      </c>
      <c r="S203" s="9" cm="1">
        <f t="array" aca="1" ref="S203" ca="1">_xll.BDH($E$6,"PX LAST",AG203)</f>
        <v>170.87</v>
      </c>
      <c r="T203" s="9" cm="1">
        <f t="array" aca="1" ref="T203" ca="1">_xll.BDH($E$6,"PX LAST",AH203)</f>
        <v>172.65</v>
      </c>
      <c r="U203" s="9" cm="1">
        <f t="array" aca="1" ref="U203" ca="1">_xll.BDH($E$6,"PX LAST",AI203)</f>
        <v>171.84</v>
      </c>
      <c r="V203" s="9" cm="1">
        <f t="array" aca="1" ref="V203" ca="1">_xll.BDH($E$6,"PX LAST",AJ203)</f>
        <v>158.86000000000001</v>
      </c>
      <c r="W203" s="9" cm="1">
        <f t="array" aca="1" ref="W203" ca="1">_xll.BDH($E$6,"PX LAST",AK203)</f>
        <v>156.76</v>
      </c>
      <c r="X203" s="24">
        <f t="shared" ca="1" si="42"/>
        <v>1.3969483149502082E-2</v>
      </c>
      <c r="Y203" s="24">
        <f t="shared" ca="1" si="43"/>
        <v>5.1090319604880641E-3</v>
      </c>
      <c r="Z203" s="24">
        <f t="shared" ca="1" si="44"/>
        <v>6.4902058352996672E-2</v>
      </c>
      <c r="AA203" s="24">
        <f t="shared" ca="1" si="45"/>
        <v>6.3451098572283593E-2</v>
      </c>
      <c r="AB203" s="9" cm="1">
        <f t="array" aca="1" ref="AB203" ca="1">_xll.BDH($E$8,"PX LAST",AG203)</f>
        <v>5970.81</v>
      </c>
      <c r="AC203" s="9" cm="1">
        <f t="array" aca="1" ref="AC203" ca="1">_xll.BDH($E$8,"PX LAST",AH203)</f>
        <v>5888.55</v>
      </c>
      <c r="AD203" s="9" cm="1">
        <f t="array" aca="1" ref="AD203" ca="1">_xll.BDH($E$8,"PX LAST",AI203)</f>
        <v>5940.46</v>
      </c>
      <c r="AE203" s="9" cm="1">
        <f t="array" aca="1" ref="AE203" ca="1">_xll.BDH($E$8,"PX LAST",AJ203)</f>
        <v>5606.91</v>
      </c>
      <c r="AF203" s="9" cm="1">
        <f t="array" aca="1" ref="AF203" ca="1">_xll.BDH($E$8,"PX LAST",AK203)</f>
        <v>5614.56</v>
      </c>
      <c r="AG203" s="20">
        <f t="shared" ca="1" si="51"/>
        <v>45812</v>
      </c>
      <c r="AH203" s="22">
        <f t="shared" ca="1" si="46"/>
        <v>45805</v>
      </c>
      <c r="AI203" s="22">
        <f t="shared" ca="1" si="47"/>
        <v>45797</v>
      </c>
      <c r="AJ203" s="22">
        <f t="shared" ca="1" si="48"/>
        <v>45783</v>
      </c>
      <c r="AK203" s="22">
        <f t="shared" ca="1" si="49"/>
        <v>45726</v>
      </c>
      <c r="AL203" s="22">
        <f t="shared" ca="1" si="50"/>
        <v>45635</v>
      </c>
    </row>
    <row r="204" spans="4:38" x14ac:dyDescent="0.25">
      <c r="D204" s="6">
        <f ca="1"/>
        <v>45811</v>
      </c>
      <c r="E204" s="28">
        <f ca="1"/>
        <v>173.18</v>
      </c>
      <c r="F204" s="29" cm="1">
        <f t="array" aca="1" ref="F204" ca="1">_xll.FDS($E$7,"P_BETA_LOCIDX("&amp;$AG204&amp;","&amp;$AL204&amp;",,"""&amp;$E$9&amp;""")")</f>
        <v>1.5882270000000001</v>
      </c>
      <c r="G204" s="30">
        <f t="shared" ca="1" si="36"/>
        <v>1.200088481035127E-2</v>
      </c>
      <c r="H204" s="30">
        <f t="shared" ca="1" si="36"/>
        <v>9.8215231877881639E-3</v>
      </c>
      <c r="I204" s="30">
        <f t="shared" ca="1" si="36"/>
        <v>-2.4810662285231114E-2</v>
      </c>
      <c r="J204" s="30">
        <f t="shared" ca="1" si="34"/>
        <v>-7.2350037988923033E-3</v>
      </c>
      <c r="K204" s="30">
        <f t="shared" ca="1" si="37"/>
        <v>1.3096783000705997E-2</v>
      </c>
      <c r="L204" s="30">
        <f t="shared" ca="1" si="37"/>
        <v>1.802987589710656E-3</v>
      </c>
      <c r="M204" s="30">
        <f t="shared" ca="1" si="37"/>
        <v>8.9943819305958086E-2</v>
      </c>
      <c r="N204" s="30">
        <f t="shared" ca="1" si="35"/>
        <v>5.5096079614224691E-2</v>
      </c>
      <c r="O204" s="30">
        <f t="shared" ca="1" si="38"/>
        <v>2.5097667811057267E-2</v>
      </c>
      <c r="P204" s="30">
        <f t="shared" ca="1" si="39"/>
        <v>1.162451077749882E-2</v>
      </c>
      <c r="Q204" s="30">
        <f t="shared" ca="1" si="40"/>
        <v>6.5133157020726973E-2</v>
      </c>
      <c r="R204" s="30">
        <f t="shared" ca="1" si="41"/>
        <v>4.7861075815332388E-2</v>
      </c>
      <c r="S204" s="9" cm="1">
        <f t="array" aca="1" ref="S204" ca="1">_xll.BDH($E$6,"PX LAST",AG204)</f>
        <v>173.18</v>
      </c>
      <c r="T204" s="9" cm="1">
        <f t="array" aca="1" ref="T204" ca="1">_xll.BDH($E$6,"PX LAST",AH204)</f>
        <v>168.94</v>
      </c>
      <c r="U204" s="9" cm="1">
        <f t="array" aca="1" ref="U204" ca="1">_xll.BDH($E$6,"PX LAST",AI204)</f>
        <v>171.19</v>
      </c>
      <c r="V204" s="9" cm="1">
        <f t="array" aca="1" ref="V204" ca="1">_xll.BDH($E$6,"PX LAST",AJ204)</f>
        <v>162.59</v>
      </c>
      <c r="W204" s="9" cm="1">
        <f t="array" aca="1" ref="W204" ca="1">_xll.BDH($E$6,"PX LAST",AK204)</f>
        <v>165.27</v>
      </c>
      <c r="X204" s="24">
        <f t="shared" ca="1" si="42"/>
        <v>8.2461656933838778E-3</v>
      </c>
      <c r="Y204" s="24">
        <f t="shared" ca="1" si="43"/>
        <v>1.1352203367092084E-3</v>
      </c>
      <c r="Z204" s="24">
        <f t="shared" ca="1" si="44"/>
        <v>5.6631589379829261E-2</v>
      </c>
      <c r="AA204" s="24">
        <f t="shared" ca="1" si="45"/>
        <v>3.4690305362032436E-2</v>
      </c>
      <c r="AB204" s="9" cm="1">
        <f t="array" aca="1" ref="AB204" ca="1">_xll.BDH($E$8,"PX LAST",AG204)</f>
        <v>5970.37</v>
      </c>
      <c r="AC204" s="9" cm="1">
        <f t="array" aca="1" ref="AC204" ca="1">_xll.BDH($E$8,"PX LAST",AH204)</f>
        <v>5921.54</v>
      </c>
      <c r="AD204" s="9" cm="1">
        <f t="array" aca="1" ref="AD204" ca="1">_xll.BDH($E$8,"PX LAST",AI204)</f>
        <v>5963.6</v>
      </c>
      <c r="AE204" s="9" cm="1">
        <f t="array" aca="1" ref="AE204" ca="1">_xll.BDH($E$8,"PX LAST",AJ204)</f>
        <v>5650.38</v>
      </c>
      <c r="AF204" s="9" cm="1">
        <f t="array" aca="1" ref="AF204" ca="1">_xll.BDH($E$8,"PX LAST",AK204)</f>
        <v>5770.2</v>
      </c>
      <c r="AG204" s="20">
        <f t="shared" ca="1" si="51"/>
        <v>45811</v>
      </c>
      <c r="AH204" s="22">
        <f t="shared" ca="1" si="46"/>
        <v>45804</v>
      </c>
      <c r="AI204" s="22">
        <f t="shared" ca="1" si="47"/>
        <v>45796</v>
      </c>
      <c r="AJ204" s="22">
        <f t="shared" ca="1" si="48"/>
        <v>45782</v>
      </c>
      <c r="AK204" s="22">
        <f t="shared" ca="1" si="49"/>
        <v>45723</v>
      </c>
      <c r="AL204" s="22">
        <f t="shared" ca="1" si="50"/>
        <v>45632</v>
      </c>
    </row>
    <row r="205" spans="4:38" x14ac:dyDescent="0.25">
      <c r="D205" s="6">
        <f ca="1"/>
        <v>45810</v>
      </c>
      <c r="E205" s="28">
        <f ca="1"/>
        <v>165.46</v>
      </c>
      <c r="F205" s="29" cm="1">
        <f t="array" aca="1" ref="F205" ca="1">_xll.FDS($E$7,"P_BETA_LOCIDX("&amp;$AG205&amp;","&amp;$AL205&amp;",,"""&amp;$E$9&amp;""")")</f>
        <v>1.5810256</v>
      </c>
      <c r="G205" s="30">
        <f t="shared" ca="1" si="36"/>
        <v>-3.1533170296159603E-2</v>
      </c>
      <c r="H205" s="30">
        <f t="shared" ca="1" si="36"/>
        <v>-3.9340219874001166E-2</v>
      </c>
      <c r="I205" s="30">
        <f t="shared" ca="1" si="36"/>
        <v>-5.4397585003415697E-2</v>
      </c>
      <c r="J205" s="30">
        <f t="shared" ca="1" si="34"/>
        <v>-6.8747736234001738E-2</v>
      </c>
      <c r="K205" s="30">
        <f t="shared" ca="1" si="37"/>
        <v>3.6269628882508793E-2</v>
      </c>
      <c r="L205" s="30">
        <f t="shared" ca="1" si="37"/>
        <v>-5.9543390089253859E-3</v>
      </c>
      <c r="M205" s="30">
        <f t="shared" ca="1" si="37"/>
        <v>6.9302817169274847E-2</v>
      </c>
      <c r="N205" s="30">
        <f t="shared" ca="1" si="35"/>
        <v>5.4391389060593792E-2</v>
      </c>
      <c r="O205" s="30">
        <f t="shared" ca="1" si="38"/>
        <v>4.7364585863491904E-3</v>
      </c>
      <c r="P205" s="30">
        <f t="shared" ca="1" si="39"/>
        <v>-4.529455888292655E-2</v>
      </c>
      <c r="Q205" s="30">
        <f t="shared" ca="1" si="40"/>
        <v>1.490523216585915E-2</v>
      </c>
      <c r="R205" s="30">
        <f t="shared" ca="1" si="41"/>
        <v>-1.4356347173407946E-2</v>
      </c>
      <c r="S205" s="9" cm="1">
        <f t="array" aca="1" ref="S205" ca="1">_xll.BDH($E$6,"PX LAST",AG205)</f>
        <v>165.46</v>
      </c>
      <c r="T205" s="9" cm="1">
        <f t="array" aca="1" ref="T205" ca="1">_xll.BDH($E$6,"PX LAST",AH205)</f>
        <v>164.68</v>
      </c>
      <c r="U205" s="9" cm="1">
        <f t="array" aca="1" ref="U205" ca="1">_xll.BDH($E$6,"PX LAST",AI205)</f>
        <v>173.31</v>
      </c>
      <c r="V205" s="9" cm="1">
        <f t="array" aca="1" ref="V205" ca="1">_xll.BDH($E$6,"PX LAST",AJ205)</f>
        <v>163.03</v>
      </c>
      <c r="W205" s="9" cm="1">
        <f t="array" aca="1" ref="W205" ca="1">_xll.BDH($E$6,"PX LAST",AK205)</f>
        <v>167.87</v>
      </c>
      <c r="X205" s="24">
        <f t="shared" ca="1" si="42"/>
        <v>2.2940570274452732E-2</v>
      </c>
      <c r="Y205" s="24">
        <f t="shared" ca="1" si="43"/>
        <v>-3.7661243492359553E-3</v>
      </c>
      <c r="Z205" s="24">
        <f t="shared" ca="1" si="44"/>
        <v>4.3834089194555004E-2</v>
      </c>
      <c r="AA205" s="24">
        <f t="shared" ca="1" si="45"/>
        <v>3.4402598579424515E-2</v>
      </c>
      <c r="AB205" s="9" cm="1">
        <f t="array" aca="1" ref="AB205" ca="1">_xll.BDH($E$8,"PX LAST",AG205)</f>
        <v>5935.94</v>
      </c>
      <c r="AC205" s="9" cm="1">
        <f t="array" aca="1" ref="AC205" ca="1">_xll.BDH($E$8,"PX LAST",AH205)</f>
        <v>5802.82</v>
      </c>
      <c r="AD205" s="9" cm="1">
        <f t="array" aca="1" ref="AD205" ca="1">_xll.BDH($E$8,"PX LAST",AI205)</f>
        <v>5958.38</v>
      </c>
      <c r="AE205" s="9" cm="1">
        <f t="array" aca="1" ref="AE205" ca="1">_xll.BDH($E$8,"PX LAST",AJ205)</f>
        <v>5686.67</v>
      </c>
      <c r="AF205" s="9" cm="1">
        <f t="array" aca="1" ref="AF205" ca="1">_xll.BDH($E$8,"PX LAST",AK205)</f>
        <v>5738.52</v>
      </c>
      <c r="AG205" s="20">
        <f t="shared" ca="1" si="51"/>
        <v>45810</v>
      </c>
      <c r="AH205" s="22">
        <f t="shared" ca="1" si="46"/>
        <v>45800</v>
      </c>
      <c r="AI205" s="22">
        <f t="shared" ca="1" si="47"/>
        <v>45793</v>
      </c>
      <c r="AJ205" s="22">
        <f t="shared" ca="1" si="48"/>
        <v>45779</v>
      </c>
      <c r="AK205" s="22">
        <f t="shared" ca="1" si="49"/>
        <v>45722</v>
      </c>
      <c r="AL205" s="22">
        <f t="shared" ca="1" si="50"/>
        <v>45631</v>
      </c>
    </row>
    <row r="206" spans="4:38" x14ac:dyDescent="0.25">
      <c r="D206" s="6">
        <f ca="1"/>
        <v>45807</v>
      </c>
      <c r="E206" s="28">
        <f ca="1"/>
        <v>167.89</v>
      </c>
      <c r="F206" s="29" cm="1">
        <f t="array" aca="1" ref="F206" ca="1">_xll.FDS($E$7,"P_BETA_LOCIDX("&amp;$AG206&amp;","&amp;$AL206&amp;",,"""&amp;$E$9&amp;""")")</f>
        <v>1.5820029</v>
      </c>
      <c r="G206" s="30">
        <f t="shared" ca="1" si="36"/>
        <v>-6.5078719693420148E-3</v>
      </c>
      <c r="H206" s="30">
        <f t="shared" ca="1" si="36"/>
        <v>-1.8162173282000756E-2</v>
      </c>
      <c r="I206" s="30">
        <f t="shared" ca="1" si="36"/>
        <v>1.7502665159180267E-2</v>
      </c>
      <c r="J206" s="30">
        <f t="shared" ca="1" si="34"/>
        <v>-3.7689605322104733E-2</v>
      </c>
      <c r="K206" s="30">
        <f t="shared" ca="1" si="37"/>
        <v>1.8869184077397926E-2</v>
      </c>
      <c r="L206" s="30">
        <f t="shared" ca="1" si="37"/>
        <v>-1.4010128894546051E-3</v>
      </c>
      <c r="M206" s="30">
        <f t="shared" ca="1" si="37"/>
        <v>8.6818850331183348E-2</v>
      </c>
      <c r="N206" s="30">
        <f t="shared" ca="1" si="35"/>
        <v>1.8699304983200923E-2</v>
      </c>
      <c r="O206" s="30">
        <f t="shared" ca="1" si="38"/>
        <v>1.2361312108055911E-2</v>
      </c>
      <c r="P206" s="30">
        <f t="shared" ca="1" si="39"/>
        <v>-1.956318617145536E-2</v>
      </c>
      <c r="Q206" s="30">
        <f t="shared" ca="1" si="40"/>
        <v>0.10432151549036361</v>
      </c>
      <c r="R206" s="30">
        <f t="shared" ca="1" si="41"/>
        <v>-1.8990300338903809E-2</v>
      </c>
      <c r="S206" s="9" cm="1">
        <f t="array" aca="1" ref="S206" ca="1">_xll.BDH($E$6,"PX LAST",AG206)</f>
        <v>167.89</v>
      </c>
      <c r="T206" s="9" cm="1">
        <f t="array" aca="1" ref="T206" ca="1">_xll.BDH($E$6,"PX LAST",AH206)</f>
        <v>165.84</v>
      </c>
      <c r="U206" s="9" cm="1">
        <f t="array" aca="1" ref="U206" ca="1">_xll.BDH($E$6,"PX LAST",AI206)</f>
        <v>171.24</v>
      </c>
      <c r="V206" s="9" cm="1">
        <f t="array" aca="1" ref="V206" ca="1">_xll.BDH($E$6,"PX LAST",AJ206)</f>
        <v>152.03</v>
      </c>
      <c r="W206" s="9" cm="1">
        <f t="array" aca="1" ref="W206" ca="1">_xll.BDH($E$6,"PX LAST",AK206)</f>
        <v>171.14</v>
      </c>
      <c r="X206" s="24">
        <f t="shared" ca="1" si="42"/>
        <v>1.1927401699072693E-2</v>
      </c>
      <c r="Y206" s="24">
        <f t="shared" ca="1" si="43"/>
        <v>-8.8559438763013976E-4</v>
      </c>
      <c r="Z206" s="24">
        <f t="shared" ca="1" si="44"/>
        <v>5.4879071543537217E-2</v>
      </c>
      <c r="AA206" s="24">
        <f t="shared" ca="1" si="45"/>
        <v>1.1820019409067406E-2</v>
      </c>
      <c r="AB206" s="9" cm="1">
        <f t="array" aca="1" ref="AB206" ca="1">_xll.BDH($E$8,"PX LAST",AG206)</f>
        <v>5911.69</v>
      </c>
      <c r="AC206" s="9" cm="1">
        <f t="array" aca="1" ref="AC206" ca="1">_xll.BDH($E$8,"PX LAST",AH206)</f>
        <v>5842.01</v>
      </c>
      <c r="AD206" s="9" cm="1">
        <f t="array" aca="1" ref="AD206" ca="1">_xll.BDH($E$8,"PX LAST",AI206)</f>
        <v>5916.93</v>
      </c>
      <c r="AE206" s="9" cm="1">
        <f t="array" aca="1" ref="AE206" ca="1">_xll.BDH($E$8,"PX LAST",AJ206)</f>
        <v>5604.14</v>
      </c>
      <c r="AF206" s="9" cm="1">
        <f t="array" aca="1" ref="AF206" ca="1">_xll.BDH($E$8,"PX LAST",AK206)</f>
        <v>5842.63</v>
      </c>
      <c r="AG206" s="20">
        <f t="shared" ca="1" si="51"/>
        <v>45807</v>
      </c>
      <c r="AH206" s="22">
        <f t="shared" ca="1" si="46"/>
        <v>45799</v>
      </c>
      <c r="AI206" s="22">
        <f t="shared" ca="1" si="47"/>
        <v>45792</v>
      </c>
      <c r="AJ206" s="22">
        <f t="shared" ca="1" si="48"/>
        <v>45778</v>
      </c>
      <c r="AK206" s="22">
        <f t="shared" ca="1" si="49"/>
        <v>45721</v>
      </c>
      <c r="AL206" s="22">
        <f t="shared" ca="1" si="50"/>
        <v>45630</v>
      </c>
    </row>
    <row r="207" spans="4:38" x14ac:dyDescent="0.25">
      <c r="D207" s="6">
        <f ca="1"/>
        <v>45806</v>
      </c>
      <c r="E207" s="28">
        <f ca="1"/>
        <v>171.01</v>
      </c>
      <c r="F207" s="29" cm="1">
        <f t="array" aca="1" ref="F207" ca="1">_xll.FDS($E$7,"P_BETA_LOCIDX("&amp;$AG207&amp;","&amp;$AL207&amp;",,"""&amp;$E$9&amp;""")")</f>
        <v>1.5819285999999999</v>
      </c>
      <c r="G207" s="30">
        <f t="shared" ca="1" si="36"/>
        <v>1.1460397012112798E-2</v>
      </c>
      <c r="H207" s="30">
        <f t="shared" ca="1" si="36"/>
        <v>-2.1198847118542224E-2</v>
      </c>
      <c r="I207" s="30">
        <f t="shared" ca="1" si="36"/>
        <v>-4.8064056234138716E-2</v>
      </c>
      <c r="J207" s="30">
        <f t="shared" ca="1" si="34"/>
        <v>7.7079710405984353E-3</v>
      </c>
      <c r="K207" s="30">
        <f t="shared" ca="1" si="37"/>
        <v>1.8286095430833007E-2</v>
      </c>
      <c r="L207" s="30">
        <f t="shared" ca="1" si="37"/>
        <v>5.2591532527348234E-3</v>
      </c>
      <c r="M207" s="30">
        <f t="shared" ca="1" si="37"/>
        <v>9.7462681663691805E-2</v>
      </c>
      <c r="N207" s="30">
        <f t="shared" ca="1" si="35"/>
        <v>3.6691686953782846E-2</v>
      </c>
      <c r="O207" s="30">
        <f t="shared" ca="1" si="38"/>
        <v>2.9746492442945804E-2</v>
      </c>
      <c r="P207" s="30">
        <f t="shared" ca="1" si="39"/>
        <v>-1.5939693865807403E-2</v>
      </c>
      <c r="Q207" s="30">
        <f t="shared" ca="1" si="40"/>
        <v>4.9398625429553089E-2</v>
      </c>
      <c r="R207" s="30">
        <f t="shared" ca="1" si="41"/>
        <v>4.4399657994381281E-2</v>
      </c>
      <c r="S207" s="9" cm="1">
        <f t="array" aca="1" ref="S207" ca="1">_xll.BDH($E$6,"PX LAST",AG207)</f>
        <v>171.01</v>
      </c>
      <c r="T207" s="9" cm="1">
        <f t="array" aca="1" ref="T207" ca="1">_xll.BDH($E$6,"PX LAST",AH207)</f>
        <v>166.07</v>
      </c>
      <c r="U207" s="9" cm="1">
        <f t="array" aca="1" ref="U207" ca="1">_xll.BDH($E$6,"PX LAST",AI207)</f>
        <v>173.78</v>
      </c>
      <c r="V207" s="9" cm="1">
        <f t="array" aca="1" ref="V207" ca="1">_xll.BDH($E$6,"PX LAST",AJ207)</f>
        <v>162.96</v>
      </c>
      <c r="W207" s="9" cm="1">
        <f t="array" aca="1" ref="W207" ca="1">_xll.BDH($E$6,"PX LAST",AK207)</f>
        <v>163.74</v>
      </c>
      <c r="X207" s="24">
        <f t="shared" ca="1" si="42"/>
        <v>1.1559368375306578E-2</v>
      </c>
      <c r="Y207" s="24">
        <f t="shared" ca="1" si="43"/>
        <v>3.324519989546193E-3</v>
      </c>
      <c r="Z207" s="24">
        <f t="shared" ca="1" si="44"/>
        <v>6.1610038318854476E-2</v>
      </c>
      <c r="AA207" s="24">
        <f t="shared" ca="1" si="45"/>
        <v>2.3194274984207786E-2</v>
      </c>
      <c r="AB207" s="9" cm="1">
        <f t="array" aca="1" ref="AB207" ca="1">_xll.BDH($E$8,"PX LAST",AG207)</f>
        <v>5912.17</v>
      </c>
      <c r="AC207" s="9" cm="1">
        <f t="array" aca="1" ref="AC207" ca="1">_xll.BDH($E$8,"PX LAST",AH207)</f>
        <v>5844.61</v>
      </c>
      <c r="AD207" s="9" cm="1">
        <f t="array" aca="1" ref="AD207" ca="1">_xll.BDH($E$8,"PX LAST",AI207)</f>
        <v>5892.58</v>
      </c>
      <c r="AE207" s="9" cm="1">
        <f t="array" aca="1" ref="AE207" ca="1">_xll.BDH($E$8,"PX LAST",AJ207)</f>
        <v>5569.06</v>
      </c>
      <c r="AF207" s="9" cm="1">
        <f t="array" aca="1" ref="AF207" ca="1">_xll.BDH($E$8,"PX LAST",AK207)</f>
        <v>5778.15</v>
      </c>
      <c r="AG207" s="20">
        <f t="shared" ca="1" si="51"/>
        <v>45806</v>
      </c>
      <c r="AH207" s="22">
        <f t="shared" ca="1" si="46"/>
        <v>45798</v>
      </c>
      <c r="AI207" s="22">
        <f t="shared" ca="1" si="47"/>
        <v>45791</v>
      </c>
      <c r="AJ207" s="22">
        <f t="shared" ca="1" si="48"/>
        <v>45777</v>
      </c>
      <c r="AK207" s="22">
        <f t="shared" ca="1" si="49"/>
        <v>45720</v>
      </c>
      <c r="AL207" s="22">
        <f t="shared" ca="1" si="50"/>
        <v>45629</v>
      </c>
    </row>
    <row r="208" spans="4:38" x14ac:dyDescent="0.25">
      <c r="D208" s="6">
        <f ca="1"/>
        <v>45805</v>
      </c>
      <c r="E208" s="28">
        <f ca="1"/>
        <v>172.65</v>
      </c>
      <c r="F208" s="29" cm="1">
        <f t="array" aca="1" ref="F208" ca="1">_xll.FDS($E$7,"P_BETA_LOCIDX("&amp;$AG208&amp;","&amp;$AL208&amp;",,"""&amp;$E$9&amp;""")")</f>
        <v>1.5839212</v>
      </c>
      <c r="G208" s="30">
        <f t="shared" ca="1" si="36"/>
        <v>1.8554593325107345E-2</v>
      </c>
      <c r="H208" s="30">
        <f t="shared" ca="1" si="36"/>
        <v>-7.6119932688838579E-3</v>
      </c>
      <c r="I208" s="30">
        <f t="shared" ca="1" si="36"/>
        <v>-2.5430129644229998E-2</v>
      </c>
      <c r="J208" s="30">
        <f t="shared" ca="1" si="34"/>
        <v>6.9895866487751715E-3</v>
      </c>
      <c r="K208" s="30">
        <f t="shared" ca="1" si="37"/>
        <v>-1.3840906174269368E-2</v>
      </c>
      <c r="L208" s="30">
        <f t="shared" ca="1" si="37"/>
        <v>5.3814923851815209E-4</v>
      </c>
      <c r="M208" s="30">
        <f t="shared" ca="1" si="37"/>
        <v>9.334625508494257E-2</v>
      </c>
      <c r="N208" s="30">
        <f t="shared" ca="1" si="35"/>
        <v>1.0513949419117395E-2</v>
      </c>
      <c r="O208" s="30">
        <f t="shared" ca="1" si="38"/>
        <v>4.7136871508379752E-3</v>
      </c>
      <c r="P208" s="30">
        <f t="shared" ca="1" si="39"/>
        <v>-7.0738440303657057E-3</v>
      </c>
      <c r="Q208" s="30">
        <f t="shared" ca="1" si="40"/>
        <v>6.7916125440712571E-2</v>
      </c>
      <c r="R208" s="30">
        <f t="shared" ca="1" si="41"/>
        <v>1.7503536067892567E-2</v>
      </c>
      <c r="S208" s="9" cm="1">
        <f t="array" aca="1" ref="S208" ca="1">_xll.BDH($E$6,"PX LAST",AG208)</f>
        <v>172.65</v>
      </c>
      <c r="T208" s="9" cm="1">
        <f t="array" aca="1" ref="T208" ca="1">_xll.BDH($E$6,"PX LAST",AH208)</f>
        <v>171.84</v>
      </c>
      <c r="U208" s="9" cm="1">
        <f t="array" aca="1" ref="U208" ca="1">_xll.BDH($E$6,"PX LAST",AI208)</f>
        <v>173.88</v>
      </c>
      <c r="V208" s="9" cm="1">
        <f t="array" aca="1" ref="V208" ca="1">_xll.BDH($E$6,"PX LAST",AJ208)</f>
        <v>161.66999999999999</v>
      </c>
      <c r="W208" s="9" cm="1">
        <f t="array" aca="1" ref="W208" ca="1">_xll.BDH($E$6,"PX LAST",AK208)</f>
        <v>169.68</v>
      </c>
      <c r="X208" s="24">
        <f t="shared" ca="1" si="42"/>
        <v>-8.7383805294539707E-3</v>
      </c>
      <c r="Y208" s="24">
        <f t="shared" ca="1" si="43"/>
        <v>3.3975758296445058E-4</v>
      </c>
      <c r="Z208" s="24">
        <f t="shared" ca="1" si="44"/>
        <v>5.8933648394214666E-2</v>
      </c>
      <c r="AA208" s="24">
        <f t="shared" ca="1" si="45"/>
        <v>6.6379245502348194E-3</v>
      </c>
      <c r="AB208" s="9" cm="1">
        <f t="array" aca="1" ref="AB208" ca="1">_xll.BDH($E$8,"PX LAST",AG208)</f>
        <v>5888.55</v>
      </c>
      <c r="AC208" s="9" cm="1">
        <f t="array" aca="1" ref="AC208" ca="1">_xll.BDH($E$8,"PX LAST",AH208)</f>
        <v>5940.46</v>
      </c>
      <c r="AD208" s="9" cm="1">
        <f t="array" aca="1" ref="AD208" ca="1">_xll.BDH($E$8,"PX LAST",AI208)</f>
        <v>5886.55</v>
      </c>
      <c r="AE208" s="9" cm="1">
        <f t="array" aca="1" ref="AE208" ca="1">_xll.BDH($E$8,"PX LAST",AJ208)</f>
        <v>5560.83</v>
      </c>
      <c r="AF208" s="9" cm="1">
        <f t="array" aca="1" ref="AF208" ca="1">_xll.BDH($E$8,"PX LAST",AK208)</f>
        <v>5849.72</v>
      </c>
      <c r="AG208" s="20">
        <f t="shared" ca="1" si="51"/>
        <v>45805</v>
      </c>
      <c r="AH208" s="22">
        <f t="shared" ca="1" si="46"/>
        <v>45797</v>
      </c>
      <c r="AI208" s="22">
        <f t="shared" ca="1" si="47"/>
        <v>45790</v>
      </c>
      <c r="AJ208" s="22">
        <f t="shared" ca="1" si="48"/>
        <v>45776</v>
      </c>
      <c r="AK208" s="22">
        <f t="shared" ca="1" si="49"/>
        <v>45719</v>
      </c>
      <c r="AL208" s="22">
        <f t="shared" ca="1" si="50"/>
        <v>45628</v>
      </c>
    </row>
    <row r="209" spans="4:38" x14ac:dyDescent="0.25">
      <c r="D209" s="6">
        <f ca="1"/>
        <v>45804</v>
      </c>
      <c r="E209" s="28">
        <f ca="1"/>
        <v>168.94</v>
      </c>
      <c r="F209" s="29" cm="1">
        <f t="array" aca="1" ref="F209" ca="1">_xll.FDS($E$7,"P_BETA_LOCIDX("&amp;$AG209&amp;","&amp;$AL209&amp;",,"""&amp;$E$9&amp;""")")</f>
        <v>1.591385</v>
      </c>
      <c r="G209" s="30">
        <f t="shared" ca="1" si="36"/>
        <v>-1.9195917877126347E-3</v>
      </c>
      <c r="H209" s="30">
        <f t="shared" ca="1" si="36"/>
        <v>-3.71371132895668E-2</v>
      </c>
      <c r="I209" s="30">
        <f t="shared" ca="1" si="36"/>
        <v>-7.1185127454869768E-2</v>
      </c>
      <c r="J209" s="30">
        <f t="shared" ca="1" si="34"/>
        <v>-5.507992657279049E-2</v>
      </c>
      <c r="K209" s="30">
        <f t="shared" ca="1" si="37"/>
        <v>-1.122369929237386E-2</v>
      </c>
      <c r="L209" s="30">
        <f t="shared" ca="1" si="37"/>
        <v>2.1062564658233182E-2</v>
      </c>
      <c r="M209" s="30">
        <f t="shared" ca="1" si="37"/>
        <v>0.11305993473208215</v>
      </c>
      <c r="N209" s="30">
        <f t="shared" ca="1" si="35"/>
        <v>-8.8088083970105872E-3</v>
      </c>
      <c r="O209" s="30">
        <f t="shared" ca="1" si="38"/>
        <v>-1.3143291080086494E-2</v>
      </c>
      <c r="P209" s="30">
        <f t="shared" ca="1" si="39"/>
        <v>-1.6074548631333618E-2</v>
      </c>
      <c r="Q209" s="30">
        <f t="shared" ca="1" si="40"/>
        <v>4.1874807277212378E-2</v>
      </c>
      <c r="R209" s="30">
        <f t="shared" ca="1" si="41"/>
        <v>-6.3888734969801075E-2</v>
      </c>
      <c r="S209" s="9" cm="1">
        <f t="array" aca="1" ref="S209" ca="1">_xll.BDH($E$6,"PX LAST",AG209)</f>
        <v>168.94</v>
      </c>
      <c r="T209" s="9" cm="1">
        <f t="array" aca="1" ref="T209" ca="1">_xll.BDH($E$6,"PX LAST",AH209)</f>
        <v>171.19</v>
      </c>
      <c r="U209" s="9" cm="1">
        <f t="array" aca="1" ref="U209" ca="1">_xll.BDH($E$6,"PX LAST",AI209)</f>
        <v>171.7</v>
      </c>
      <c r="V209" s="9" cm="1">
        <f t="array" aca="1" ref="V209" ca="1">_xll.BDH($E$6,"PX LAST",AJ209)</f>
        <v>162.15</v>
      </c>
      <c r="W209" s="9" cm="1">
        <f t="array" aca="1" ref="W209" ca="1">_xll.BDH($E$6,"PX LAST",AK209)</f>
        <v>180.47</v>
      </c>
      <c r="X209" s="24">
        <f t="shared" ca="1" si="42"/>
        <v>-7.0527869072373184E-3</v>
      </c>
      <c r="Y209" s="24">
        <f t="shared" ca="1" si="43"/>
        <v>1.3235367091076755E-2</v>
      </c>
      <c r="Z209" s="24">
        <f t="shared" ca="1" si="44"/>
        <v>7.1044992086818803E-2</v>
      </c>
      <c r="AA209" s="24">
        <f t="shared" ca="1" si="45"/>
        <v>-5.5353094298429273E-3</v>
      </c>
      <c r="AB209" s="9" cm="1">
        <f t="array" aca="1" ref="AB209" ca="1">_xll.BDH($E$8,"PX LAST",AG209)</f>
        <v>5921.54</v>
      </c>
      <c r="AC209" s="9" cm="1">
        <f t="array" aca="1" ref="AC209" ca="1">_xll.BDH($E$8,"PX LAST",AH209)</f>
        <v>5963.6</v>
      </c>
      <c r="AD209" s="9" cm="1">
        <f t="array" aca="1" ref="AD209" ca="1">_xll.BDH($E$8,"PX LAST",AI209)</f>
        <v>5844.19</v>
      </c>
      <c r="AE209" s="9" cm="1">
        <f t="array" aca="1" ref="AE209" ca="1">_xll.BDH($E$8,"PX LAST",AJ209)</f>
        <v>5528.75</v>
      </c>
      <c r="AF209" s="9" cm="1">
        <f t="array" aca="1" ref="AF209" ca="1">_xll.BDH($E$8,"PX LAST",AK209)</f>
        <v>5954.5</v>
      </c>
      <c r="AG209" s="20">
        <f t="shared" ca="1" si="51"/>
        <v>45804</v>
      </c>
      <c r="AH209" s="22">
        <f t="shared" ca="1" si="46"/>
        <v>45796</v>
      </c>
      <c r="AI209" s="22">
        <f t="shared" ca="1" si="47"/>
        <v>45789</v>
      </c>
      <c r="AJ209" s="22">
        <f t="shared" ca="1" si="48"/>
        <v>45775</v>
      </c>
      <c r="AK209" s="22">
        <f t="shared" ca="1" si="49"/>
        <v>45716</v>
      </c>
      <c r="AL209" s="22">
        <f t="shared" ca="1" si="50"/>
        <v>45625</v>
      </c>
    </row>
    <row r="210" spans="4:38" x14ac:dyDescent="0.25">
      <c r="D210" s="6">
        <f ca="1"/>
        <v>45800</v>
      </c>
      <c r="E210" s="28">
        <f ca="1"/>
        <v>164.68</v>
      </c>
      <c r="F210" s="29" cm="1">
        <f t="array" aca="1" ref="F210" ca="1">_xll.FDS($E$7,"P_BETA_LOCIDX("&amp;$AG210&amp;","&amp;$AL210&amp;",,"""&amp;$E$9&amp;""")")</f>
        <v>1.5958528999999999</v>
      </c>
      <c r="G210" s="30">
        <f t="shared" ca="1" si="36"/>
        <v>-8.1310081804226927E-3</v>
      </c>
      <c r="H210" s="30">
        <f t="shared" ca="1" si="36"/>
        <v>-2.2809190767423326E-2</v>
      </c>
      <c r="I210" s="30">
        <f t="shared" ca="1" si="36"/>
        <v>-6.1123016730942045E-2</v>
      </c>
      <c r="J210" s="30">
        <f t="shared" ca="1" si="34"/>
        <v>-6.8200213315339209E-2</v>
      </c>
      <c r="K210" s="30">
        <f t="shared" ca="1" si="37"/>
        <v>-4.1664156553291455E-2</v>
      </c>
      <c r="L210" s="30">
        <f t="shared" ca="1" si="37"/>
        <v>4.0294516686484372E-2</v>
      </c>
      <c r="M210" s="30">
        <f t="shared" ca="1" si="37"/>
        <v>8.0182422671536233E-2</v>
      </c>
      <c r="N210" s="30">
        <f t="shared" ca="1" si="35"/>
        <v>-1.5995093102189391E-2</v>
      </c>
      <c r="O210" s="30">
        <f t="shared" ca="1" si="38"/>
        <v>-4.9795164733714148E-2</v>
      </c>
      <c r="P210" s="30">
        <f t="shared" ca="1" si="39"/>
        <v>1.7485325919061045E-2</v>
      </c>
      <c r="Q210" s="30">
        <f t="shared" ca="1" si="40"/>
        <v>1.9059405940594187E-2</v>
      </c>
      <c r="R210" s="30">
        <f t="shared" ca="1" si="41"/>
        <v>-8.4195306417528593E-2</v>
      </c>
      <c r="S210" s="9" cm="1">
        <f t="array" aca="1" ref="S210" ca="1">_xll.BDH($E$6,"PX LAST",AG210)</f>
        <v>164.68</v>
      </c>
      <c r="T210" s="9" cm="1">
        <f t="array" aca="1" ref="T210" ca="1">_xll.BDH($E$6,"PX LAST",AH210)</f>
        <v>173.31</v>
      </c>
      <c r="U210" s="9" cm="1">
        <f t="array" aca="1" ref="U210" ca="1">_xll.BDH($E$6,"PX LAST",AI210)</f>
        <v>161.85</v>
      </c>
      <c r="V210" s="9" cm="1">
        <f t="array" aca="1" ref="V210" ca="1">_xll.BDH($E$6,"PX LAST",AJ210)</f>
        <v>161.6</v>
      </c>
      <c r="W210" s="9" cm="1">
        <f t="array" aca="1" ref="W210" ca="1">_xll.BDH($E$6,"PX LAST",AK210)</f>
        <v>179.82</v>
      </c>
      <c r="X210" s="24">
        <f t="shared" ca="1" si="42"/>
        <v>-2.610776754755495E-2</v>
      </c>
      <c r="Y210" s="24">
        <f t="shared" ca="1" si="43"/>
        <v>2.5249518101877921E-2</v>
      </c>
      <c r="Z210" s="24">
        <f t="shared" ca="1" si="44"/>
        <v>5.0244244110178471E-2</v>
      </c>
      <c r="AA210" s="24">
        <f t="shared" ca="1" si="45"/>
        <v>-1.0022911950211322E-2</v>
      </c>
      <c r="AB210" s="9" cm="1">
        <f t="array" aca="1" ref="AB210" ca="1">_xll.BDH($E$8,"PX LAST",AG210)</f>
        <v>5802.82</v>
      </c>
      <c r="AC210" s="9" cm="1">
        <f t="array" aca="1" ref="AC210" ca="1">_xll.BDH($E$8,"PX LAST",AH210)</f>
        <v>5958.38</v>
      </c>
      <c r="AD210" s="9" cm="1">
        <f t="array" aca="1" ref="AD210" ca="1">_xll.BDH($E$8,"PX LAST",AI210)</f>
        <v>5659.91</v>
      </c>
      <c r="AE210" s="9" cm="1">
        <f t="array" aca="1" ref="AE210" ca="1">_xll.BDH($E$8,"PX LAST",AJ210)</f>
        <v>5525.21</v>
      </c>
      <c r="AF210" s="9" cm="1">
        <f t="array" aca="1" ref="AF210" ca="1">_xll.BDH($E$8,"PX LAST",AK210)</f>
        <v>5861.57</v>
      </c>
      <c r="AG210" s="20">
        <f t="shared" ca="1" si="51"/>
        <v>45800</v>
      </c>
      <c r="AH210" s="22">
        <f t="shared" ca="1" si="46"/>
        <v>45793</v>
      </c>
      <c r="AI210" s="22">
        <f t="shared" ca="1" si="47"/>
        <v>45786</v>
      </c>
      <c r="AJ210" s="22">
        <f t="shared" ca="1" si="48"/>
        <v>45772</v>
      </c>
      <c r="AK210" s="22">
        <f t="shared" ca="1" si="49"/>
        <v>45715</v>
      </c>
      <c r="AL210" s="22">
        <f t="shared" ca="1" si="50"/>
        <v>45623</v>
      </c>
    </row>
    <row r="211" spans="4:38" x14ac:dyDescent="0.25">
      <c r="D211" s="6">
        <f ca="1"/>
        <v>45799</v>
      </c>
      <c r="E211" s="28">
        <f ca="1"/>
        <v>165.84</v>
      </c>
      <c r="F211" s="29" cm="1">
        <f t="array" aca="1" ref="F211" ca="1">_xll.FDS($E$7,"P_BETA_LOCIDX("&amp;$AG211&amp;","&amp;$AL211&amp;",,"""&amp;$E$9&amp;""")")</f>
        <v>1.5933766</v>
      </c>
      <c r="G211" s="30">
        <f t="shared" ca="1" si="36"/>
        <v>-1.1359398797118756E-2</v>
      </c>
      <c r="H211" s="30">
        <f t="shared" ca="1" si="36"/>
        <v>-3.1233588590994628E-2</v>
      </c>
      <c r="I211" s="30">
        <f t="shared" ca="1" si="36"/>
        <v>-7.3207337891676494E-2</v>
      </c>
      <c r="J211" s="30">
        <f t="shared" ca="1" si="34"/>
        <v>-5.4257337075413886E-2</v>
      </c>
      <c r="K211" s="30">
        <f t="shared" ca="1" si="37"/>
        <v>-2.0175289359853934E-2</v>
      </c>
      <c r="L211" s="30">
        <f t="shared" ca="1" si="37"/>
        <v>5.0094558057112333E-2</v>
      </c>
      <c r="M211" s="30">
        <f t="shared" ca="1" si="37"/>
        <v>0.10378153625110992</v>
      </c>
      <c r="N211" s="30">
        <f t="shared" ca="1" si="35"/>
        <v>-3.0510874845115856E-2</v>
      </c>
      <c r="O211" s="30">
        <f t="shared" ca="1" si="38"/>
        <v>-3.153468815697269E-2</v>
      </c>
      <c r="P211" s="30">
        <f t="shared" ca="1" si="39"/>
        <v>1.8860969466117705E-2</v>
      </c>
      <c r="Q211" s="30">
        <f t="shared" ca="1" si="40"/>
        <v>3.0574198359433424E-2</v>
      </c>
      <c r="R211" s="30">
        <f t="shared" ca="1" si="41"/>
        <v>-8.4768211920529746E-2</v>
      </c>
      <c r="S211" s="9" cm="1">
        <f t="array" aca="1" ref="S211" ca="1">_xll.BDH($E$6,"PX LAST",AG211)</f>
        <v>165.84</v>
      </c>
      <c r="T211" s="9" cm="1">
        <f t="array" aca="1" ref="T211" ca="1">_xll.BDH($E$6,"PX LAST",AH211)</f>
        <v>171.24</v>
      </c>
      <c r="U211" s="9" cm="1">
        <f t="array" aca="1" ref="U211" ca="1">_xll.BDH($E$6,"PX LAST",AI211)</f>
        <v>162.77000000000001</v>
      </c>
      <c r="V211" s="9" cm="1">
        <f t="array" aca="1" ref="V211" ca="1">_xll.BDH($E$6,"PX LAST",AJ211)</f>
        <v>160.91999999999999</v>
      </c>
      <c r="W211" s="9" cm="1">
        <f t="array" aca="1" ref="W211" ca="1">_xll.BDH($E$6,"PX LAST",AK211)</f>
        <v>181.2</v>
      </c>
      <c r="X211" s="24">
        <f t="shared" ca="1" si="42"/>
        <v>-1.2661971664359783E-2</v>
      </c>
      <c r="Y211" s="24">
        <f t="shared" ca="1" si="43"/>
        <v>3.1439245472233202E-2</v>
      </c>
      <c r="Z211" s="24">
        <f t="shared" ca="1" si="44"/>
        <v>6.5133086711019805E-2</v>
      </c>
      <c r="AA211" s="24">
        <f t="shared" ca="1" si="45"/>
        <v>-1.9148564655158018E-2</v>
      </c>
      <c r="AB211" s="9" cm="1">
        <f t="array" aca="1" ref="AB211" ca="1">_xll.BDH($E$8,"PX LAST",AG211)</f>
        <v>5842.01</v>
      </c>
      <c r="AC211" s="9" cm="1">
        <f t="array" aca="1" ref="AC211" ca="1">_xll.BDH($E$8,"PX LAST",AH211)</f>
        <v>5916.93</v>
      </c>
      <c r="AD211" s="9" cm="1">
        <f t="array" aca="1" ref="AD211" ca="1">_xll.BDH($E$8,"PX LAST",AI211)</f>
        <v>5663.94</v>
      </c>
      <c r="AE211" s="9" cm="1">
        <f t="array" aca="1" ref="AE211" ca="1">_xll.BDH($E$8,"PX LAST",AJ211)</f>
        <v>5484.77</v>
      </c>
      <c r="AF211" s="9" cm="1">
        <f t="array" aca="1" ref="AF211" ca="1">_xll.BDH($E$8,"PX LAST",AK211)</f>
        <v>5956.06</v>
      </c>
      <c r="AG211" s="20">
        <f t="shared" ca="1" si="51"/>
        <v>45799</v>
      </c>
      <c r="AH211" s="22">
        <f t="shared" ca="1" si="46"/>
        <v>45792</v>
      </c>
      <c r="AI211" s="22">
        <f t="shared" ca="1" si="47"/>
        <v>45785</v>
      </c>
      <c r="AJ211" s="22">
        <f t="shared" ca="1" si="48"/>
        <v>45771</v>
      </c>
      <c r="AK211" s="22">
        <f t="shared" ca="1" si="49"/>
        <v>45714</v>
      </c>
      <c r="AL211" s="22">
        <f t="shared" ca="1" si="50"/>
        <v>45622</v>
      </c>
    </row>
    <row r="212" spans="4:38" x14ac:dyDescent="0.25">
      <c r="D212" s="6">
        <f ca="1"/>
        <v>45798</v>
      </c>
      <c r="E212" s="28">
        <f ca="1"/>
        <v>166.07</v>
      </c>
      <c r="F212" s="29" cm="1">
        <f t="array" aca="1" ref="F212" ca="1">_xll.FDS($E$7,"P_BETA_LOCIDX("&amp;$AG212&amp;","&amp;$AL212&amp;",,"""&amp;$E$9&amp;""")")</f>
        <v>1.5947043000000001</v>
      </c>
      <c r="G212" s="30">
        <f t="shared" ca="1" si="36"/>
        <v>-3.1384356881058957E-2</v>
      </c>
      <c r="H212" s="30">
        <f t="shared" ca="1" si="36"/>
        <v>-1.5421054693917441E-2</v>
      </c>
      <c r="I212" s="30">
        <f t="shared" ca="1" si="36"/>
        <v>-6.2003003119310757E-2</v>
      </c>
      <c r="J212" s="30">
        <f t="shared" ca="1" si="34"/>
        <v>-1.9717235505337799E-2</v>
      </c>
      <c r="K212" s="30">
        <f t="shared" ca="1" si="37"/>
        <v>-1.2982083445791154E-2</v>
      </c>
      <c r="L212" s="30">
        <f t="shared" ca="1" si="37"/>
        <v>6.0412245230036327E-2</v>
      </c>
      <c r="M212" s="30">
        <f t="shared" ca="1" si="37"/>
        <v>0.13905080129039829</v>
      </c>
      <c r="N212" s="30">
        <f t="shared" ca="1" si="35"/>
        <v>-2.9627317703203121E-2</v>
      </c>
      <c r="O212" s="30">
        <f t="shared" ca="1" si="38"/>
        <v>-4.436644032685011E-2</v>
      </c>
      <c r="P212" s="30">
        <f t="shared" ca="1" si="39"/>
        <v>4.4991190536118886E-2</v>
      </c>
      <c r="Q212" s="30">
        <f t="shared" ca="1" si="40"/>
        <v>7.7047798171087534E-2</v>
      </c>
      <c r="R212" s="30">
        <f t="shared" ca="1" si="41"/>
        <v>-4.934455320854092E-2</v>
      </c>
      <c r="S212" s="9" cm="1">
        <f t="array" aca="1" ref="S212" ca="1">_xll.BDH($E$6,"PX LAST",AG212)</f>
        <v>166.07</v>
      </c>
      <c r="T212" s="9" cm="1">
        <f t="array" aca="1" ref="T212" ca="1">_xll.BDH($E$6,"PX LAST",AH212)</f>
        <v>173.78</v>
      </c>
      <c r="U212" s="9" cm="1">
        <f t="array" aca="1" ref="U212" ca="1">_xll.BDH($E$6,"PX LAST",AI212)</f>
        <v>158.91999999999999</v>
      </c>
      <c r="V212" s="9" cm="1">
        <f t="array" aca="1" ref="V212" ca="1">_xll.BDH($E$6,"PX LAST",AJ212)</f>
        <v>154.19</v>
      </c>
      <c r="W212" s="9" cm="1">
        <f t="array" aca="1" ref="W212" ca="1">_xll.BDH($E$6,"PX LAST",AK212)</f>
        <v>174.69</v>
      </c>
      <c r="X212" s="24">
        <f t="shared" ca="1" si="42"/>
        <v>-8.1407464981383404E-3</v>
      </c>
      <c r="Y212" s="24">
        <f t="shared" ca="1" si="43"/>
        <v>3.788303902487522E-2</v>
      </c>
      <c r="Z212" s="24">
        <f t="shared" ca="1" si="44"/>
        <v>8.7195351069410343E-2</v>
      </c>
      <c r="AA212" s="24">
        <f t="shared" ca="1" si="45"/>
        <v>-1.8578565131606606E-2</v>
      </c>
      <c r="AB212" s="9" cm="1">
        <f t="array" aca="1" ref="AB212" ca="1">_xll.BDH($E$8,"PX LAST",AG212)</f>
        <v>5844.61</v>
      </c>
      <c r="AC212" s="9" cm="1">
        <f t="array" aca="1" ref="AC212" ca="1">_xll.BDH($E$8,"PX LAST",AH212)</f>
        <v>5892.58</v>
      </c>
      <c r="AD212" s="9" cm="1">
        <f t="array" aca="1" ref="AD212" ca="1">_xll.BDH($E$8,"PX LAST",AI212)</f>
        <v>5631.28</v>
      </c>
      <c r="AE212" s="9" cm="1">
        <f t="array" aca="1" ref="AE212" ca="1">_xll.BDH($E$8,"PX LAST",AJ212)</f>
        <v>5375.86</v>
      </c>
      <c r="AF212" s="9" cm="1">
        <f t="array" aca="1" ref="AF212" ca="1">_xll.BDH($E$8,"PX LAST",AK212)</f>
        <v>5955.25</v>
      </c>
      <c r="AG212" s="20">
        <f t="shared" ca="1" si="51"/>
        <v>45798</v>
      </c>
      <c r="AH212" s="22">
        <f t="shared" ca="1" si="46"/>
        <v>45791</v>
      </c>
      <c r="AI212" s="22">
        <f t="shared" ca="1" si="47"/>
        <v>45784</v>
      </c>
      <c r="AJ212" s="22">
        <f t="shared" ca="1" si="48"/>
        <v>45770</v>
      </c>
      <c r="AK212" s="22">
        <f t="shared" ca="1" si="49"/>
        <v>45713</v>
      </c>
      <c r="AL212" s="22">
        <f t="shared" ca="1" si="50"/>
        <v>45621</v>
      </c>
    </row>
    <row r="213" spans="4:38" x14ac:dyDescent="0.25">
      <c r="D213" s="6">
        <f ca="1"/>
        <v>45797</v>
      </c>
      <c r="E213" s="28">
        <f ca="1"/>
        <v>171.84</v>
      </c>
      <c r="F213" s="29" cm="1">
        <f t="array" aca="1" ref="F213" ca="1">_xll.FDS($E$7,"P_BETA_LOCIDX("&amp;$AG213&amp;","&amp;$AL213&amp;",,"""&amp;$E$9&amp;""")")</f>
        <v>1.5919676</v>
      </c>
      <c r="G213" s="30">
        <f t="shared" ca="1" si="36"/>
        <v>-2.6311732111871239E-2</v>
      </c>
      <c r="H213" s="30">
        <f t="shared" ca="1" si="36"/>
        <v>-1.2997547785622371E-2</v>
      </c>
      <c r="I213" s="30">
        <f t="shared" ca="1" si="36"/>
        <v>-4.9070232290111121E-2</v>
      </c>
      <c r="J213" s="30">
        <f t="shared" ca="1" si="36"/>
        <v>-2.0829296861481959E-2</v>
      </c>
      <c r="K213" s="30">
        <f t="shared" ca="1" si="37"/>
        <v>1.4579502988337795E-2</v>
      </c>
      <c r="L213" s="30">
        <f t="shared" ca="1" si="37"/>
        <v>9.4704711325846375E-2</v>
      </c>
      <c r="M213" s="30">
        <f t="shared" ca="1" si="37"/>
        <v>0.1965061297260087</v>
      </c>
      <c r="N213" s="30">
        <f t="shared" ca="1" si="37"/>
        <v>-1.1385165855346191E-2</v>
      </c>
      <c r="O213" s="30">
        <f t="shared" ca="1" si="38"/>
        <v>-1.1732229123533444E-2</v>
      </c>
      <c r="P213" s="30">
        <f t="shared" ca="1" si="39"/>
        <v>8.1707163540224004E-2</v>
      </c>
      <c r="Q213" s="30">
        <f t="shared" ca="1" si="40"/>
        <v>0.14743589743589758</v>
      </c>
      <c r="R213" s="30">
        <f t="shared" ca="1" si="41"/>
        <v>-3.2214462716828152E-2</v>
      </c>
      <c r="S213" s="9" cm="1">
        <f t="array" aca="1" ref="S213" ca="1">_xll.BDH($E$6,"PX LAST",AG213)</f>
        <v>171.84</v>
      </c>
      <c r="T213" s="9" cm="1">
        <f t="array" aca="1" ref="T213" ca="1">_xll.BDH($E$6,"PX LAST",AH213)</f>
        <v>173.88</v>
      </c>
      <c r="U213" s="9" cm="1">
        <f t="array" aca="1" ref="U213" ca="1">_xll.BDH($E$6,"PX LAST",AI213)</f>
        <v>158.86000000000001</v>
      </c>
      <c r="V213" s="9" cm="1">
        <f t="array" aca="1" ref="V213" ca="1">_xll.BDH($E$6,"PX LAST",AJ213)</f>
        <v>149.76</v>
      </c>
      <c r="W213" s="9" cm="1">
        <f t="array" aca="1" ref="W213" ca="1">_xll.BDH($E$6,"PX LAST",AK213)</f>
        <v>177.56</v>
      </c>
      <c r="X213" s="24">
        <f t="shared" ca="1" si="42"/>
        <v>9.1581656488095575E-3</v>
      </c>
      <c r="Y213" s="24">
        <f t="shared" ca="1" si="43"/>
        <v>5.9489094706353551E-2</v>
      </c>
      <c r="Z213" s="24">
        <f t="shared" ca="1" si="44"/>
        <v>0.12343601071152999</v>
      </c>
      <c r="AA213" s="24">
        <f t="shared" ca="1" si="45"/>
        <v>-7.1516316383236633E-3</v>
      </c>
      <c r="AB213" s="9" cm="1">
        <f t="array" aca="1" ref="AB213" ca="1">_xll.BDH($E$8,"PX LAST",AG213)</f>
        <v>5940.46</v>
      </c>
      <c r="AC213" s="9" cm="1">
        <f t="array" aca="1" ref="AC213" ca="1">_xll.BDH($E$8,"PX LAST",AH213)</f>
        <v>5886.55</v>
      </c>
      <c r="AD213" s="9" cm="1">
        <f t="array" aca="1" ref="AD213" ca="1">_xll.BDH($E$8,"PX LAST",AI213)</f>
        <v>5606.91</v>
      </c>
      <c r="AE213" s="9" cm="1">
        <f t="array" aca="1" ref="AE213" ca="1">_xll.BDH($E$8,"PX LAST",AJ213)</f>
        <v>5287.76</v>
      </c>
      <c r="AF213" s="9" cm="1">
        <f t="array" aca="1" ref="AF213" ca="1">_xll.BDH($E$8,"PX LAST",AK213)</f>
        <v>5983.25</v>
      </c>
      <c r="AG213" s="20">
        <f t="shared" ca="1" si="51"/>
        <v>45797</v>
      </c>
      <c r="AH213" s="22">
        <f t="shared" ca="1" si="46"/>
        <v>45790</v>
      </c>
      <c r="AI213" s="22">
        <f t="shared" ca="1" si="47"/>
        <v>45783</v>
      </c>
      <c r="AJ213" s="22">
        <f t="shared" ca="1" si="48"/>
        <v>45769</v>
      </c>
      <c r="AK213" s="22">
        <f t="shared" ca="1" si="49"/>
        <v>45712</v>
      </c>
      <c r="AL213" s="22">
        <f t="shared" ca="1" si="50"/>
        <v>45618</v>
      </c>
    </row>
    <row r="214" spans="4:38" x14ac:dyDescent="0.25">
      <c r="D214" s="6">
        <f ca="1"/>
        <v>45796</v>
      </c>
      <c r="E214" s="28">
        <f ca="1"/>
        <v>171.19</v>
      </c>
      <c r="F214" s="29" cm="1">
        <f t="array" aca="1" ref="F214" ca="1">_xll.FDS($E$7,"P_BETA_LOCIDX("&amp;$AG214&amp;","&amp;$AL214&amp;",,"""&amp;$E$9&amp;""")")</f>
        <v>1.5971586</v>
      </c>
      <c r="G214" s="30">
        <f t="shared" ref="G214:J277" ca="1" si="52">+O214-K214</f>
        <v>-3.5603854190918126E-2</v>
      </c>
      <c r="H214" s="30">
        <f t="shared" ca="1" si="52"/>
        <v>-3.5642213318277979E-2</v>
      </c>
      <c r="I214" s="30">
        <f t="shared" ca="1" si="52"/>
        <v>-7.6443989451477817E-2</v>
      </c>
      <c r="J214" s="30">
        <f t="shared" ca="1" si="52"/>
        <v>-5.2298988902017569E-2</v>
      </c>
      <c r="K214" s="30">
        <f t="shared" ref="K214:N277" ca="1" si="53">+X214*$F214</f>
        <v>3.2633557161215153E-2</v>
      </c>
      <c r="L214" s="30">
        <f t="shared" ca="1" si="53"/>
        <v>8.8535995223684258E-2</v>
      </c>
      <c r="M214" s="30">
        <f t="shared" ca="1" si="53"/>
        <v>0.24937992641619192</v>
      </c>
      <c r="N214" s="30">
        <f t="shared" ca="1" si="53"/>
        <v>-1.3155755065664571E-2</v>
      </c>
      <c r="O214" s="30">
        <f t="shared" ref="O214:O277" ca="1" si="54">+S214/T214-1</f>
        <v>-2.9702970297029729E-3</v>
      </c>
      <c r="P214" s="30">
        <f t="shared" ref="P214:P277" ca="1" si="55">+S214/U214-1</f>
        <v>5.2893781905406279E-2</v>
      </c>
      <c r="Q214" s="30">
        <f t="shared" ref="Q214:Q277" ca="1" si="56">+S214/V214-1</f>
        <v>0.1729359369647141</v>
      </c>
      <c r="R214" s="30">
        <f t="shared" ref="R214:R277" ca="1" si="57">+S214/W214-1</f>
        <v>-6.5454743967682139E-2</v>
      </c>
      <c r="S214" s="9" cm="1">
        <f t="array" aca="1" ref="S214" ca="1">_xll.BDH($E$6,"PX LAST",AG214)</f>
        <v>171.19</v>
      </c>
      <c r="T214" s="9" cm="1">
        <f t="array" aca="1" ref="T214" ca="1">_xll.BDH($E$6,"PX LAST",AH214)</f>
        <v>171.7</v>
      </c>
      <c r="U214" s="9" cm="1">
        <f t="array" aca="1" ref="U214" ca="1">_xll.BDH($E$6,"PX LAST",AI214)</f>
        <v>162.59</v>
      </c>
      <c r="V214" s="9" cm="1">
        <f t="array" aca="1" ref="V214" ca="1">_xll.BDH($E$6,"PX LAST",AJ214)</f>
        <v>145.94999999999999</v>
      </c>
      <c r="W214" s="9" cm="1">
        <f t="array" aca="1" ref="W214" ca="1">_xll.BDH($E$6,"PX LAST",AK214)</f>
        <v>183.18</v>
      </c>
      <c r="X214" s="24">
        <f t="shared" ref="X214:X277" ca="1" si="58">+AB214/AC214-1</f>
        <v>2.0432258362579114E-2</v>
      </c>
      <c r="Y214" s="24">
        <f t="shared" ref="Y214:Y277" ca="1" si="59">+AB214/AD214-1</f>
        <v>5.5433439874840396E-2</v>
      </c>
      <c r="Z214" s="24">
        <f t="shared" ref="Z214:Z277" ca="1" si="60">+AB214/AE214-1</f>
        <v>0.15613973866852793</v>
      </c>
      <c r="AA214" s="24">
        <f t="shared" ref="AA214:AA277" ca="1" si="61">+AB214/AF214-1</f>
        <v>-8.2369747535808724E-3</v>
      </c>
      <c r="AB214" s="9" cm="1">
        <f t="array" aca="1" ref="AB214" ca="1">_xll.BDH($E$8,"PX LAST",AG214)</f>
        <v>5963.6</v>
      </c>
      <c r="AC214" s="9" cm="1">
        <f t="array" aca="1" ref="AC214" ca="1">_xll.BDH($E$8,"PX LAST",AH214)</f>
        <v>5844.19</v>
      </c>
      <c r="AD214" s="9" cm="1">
        <f t="array" aca="1" ref="AD214" ca="1">_xll.BDH($E$8,"PX LAST",AI214)</f>
        <v>5650.38</v>
      </c>
      <c r="AE214" s="9" cm="1">
        <f t="array" aca="1" ref="AE214" ca="1">_xll.BDH($E$8,"PX LAST",AJ214)</f>
        <v>5158.2</v>
      </c>
      <c r="AF214" s="9" cm="1">
        <f t="array" aca="1" ref="AF214" ca="1">_xll.BDH($E$8,"PX LAST",AK214)</f>
        <v>6013.13</v>
      </c>
      <c r="AG214" s="20">
        <f t="shared" ca="1" si="51"/>
        <v>45796</v>
      </c>
      <c r="AH214" s="22">
        <f t="shared" ref="AH214:AH277" ca="1" si="62">+WORKDAY($AG214, -5, $AN$2:$AN$100)</f>
        <v>45789</v>
      </c>
      <c r="AI214" s="22">
        <f t="shared" ref="AI214:AI277" ca="1" si="63">+WORKDAY($AG214, -10, $AN$2:$AN$100)</f>
        <v>45782</v>
      </c>
      <c r="AJ214" s="22">
        <f t="shared" ref="AJ214:AJ277" ca="1" si="64">+WORKDAY($AG214, -20, $AN$2:$AN$100)</f>
        <v>45768</v>
      </c>
      <c r="AK214" s="22">
        <f t="shared" ref="AK214:AK277" ca="1" si="65">+WORKDAY($AG214, -60, $AN$2:$AN$100)</f>
        <v>45709</v>
      </c>
      <c r="AL214" s="22">
        <f t="shared" ref="AL214:AL277" ca="1" si="66">+WORKDAY($AG214, -120, $AN$2:$AN$100)</f>
        <v>45617</v>
      </c>
    </row>
    <row r="215" spans="4:38" x14ac:dyDescent="0.25">
      <c r="D215" s="6">
        <f ca="1"/>
        <v>45793</v>
      </c>
      <c r="E215" s="28">
        <f ca="1"/>
        <v>173.31</v>
      </c>
      <c r="F215" s="29" cm="1">
        <f t="array" aca="1" ref="F215" ca="1">_xll.FDS($E$7,"P_BETA_LOCIDX("&amp;$AG215&amp;","&amp;$AL215&amp;",,"""&amp;$E$9&amp;""")")</f>
        <v>1.5975223999999999</v>
      </c>
      <c r="G215" s="30">
        <f t="shared" ca="1" si="52"/>
        <v>-1.3437530496124062E-2</v>
      </c>
      <c r="H215" s="30">
        <f t="shared" ca="1" si="52"/>
        <v>-1.32739958964673E-2</v>
      </c>
      <c r="I215" s="30">
        <f t="shared" ca="1" si="52"/>
        <v>-5.7720642031922342E-2</v>
      </c>
      <c r="J215" s="30">
        <f t="shared" ca="1" si="52"/>
        <v>-6.0509606987862508E-2</v>
      </c>
      <c r="K215" s="30">
        <f t="shared" ca="1" si="53"/>
        <v>8.42438326277275E-2</v>
      </c>
      <c r="L215" s="30">
        <f t="shared" ca="1" si="53"/>
        <v>7.6329875182488266E-2</v>
      </c>
      <c r="M215" s="30">
        <f t="shared" ca="1" si="53"/>
        <v>0.20432997051356311</v>
      </c>
      <c r="N215" s="30">
        <f t="shared" ca="1" si="53"/>
        <v>-4.1557643413671019E-2</v>
      </c>
      <c r="O215" s="30">
        <f t="shared" ca="1" si="54"/>
        <v>7.0806302131603438E-2</v>
      </c>
      <c r="P215" s="30">
        <f t="shared" ca="1" si="55"/>
        <v>6.3055879286020966E-2</v>
      </c>
      <c r="Q215" s="30">
        <f t="shared" ca="1" si="56"/>
        <v>0.14660932848164077</v>
      </c>
      <c r="R215" s="30">
        <f t="shared" ca="1" si="57"/>
        <v>-0.10206725040153353</v>
      </c>
      <c r="S215" s="9" cm="1">
        <f t="array" aca="1" ref="S215" ca="1">_xll.BDH($E$6,"PX LAST",AG215)</f>
        <v>173.31</v>
      </c>
      <c r="T215" s="9" cm="1">
        <f t="array" aca="1" ref="T215" ca="1">_xll.BDH($E$6,"PX LAST",AH215)</f>
        <v>161.85</v>
      </c>
      <c r="U215" s="9" cm="1">
        <f t="array" aca="1" ref="U215" ca="1">_xll.BDH($E$6,"PX LAST",AI215)</f>
        <v>163.03</v>
      </c>
      <c r="V215" s="9" cm="1">
        <f t="array" aca="1" ref="V215" ca="1">_xll.BDH($E$6,"PX LAST",AJ215)</f>
        <v>151.15</v>
      </c>
      <c r="W215" s="9" cm="1">
        <f t="array" aca="1" ref="W215" ca="1">_xll.BDH($E$6,"PX LAST",AK215)</f>
        <v>193.01</v>
      </c>
      <c r="X215" s="24">
        <f t="shared" ca="1" si="58"/>
        <v>5.2734054075064929E-2</v>
      </c>
      <c r="Y215" s="24">
        <f t="shared" ca="1" si="59"/>
        <v>4.7780159566143343E-2</v>
      </c>
      <c r="Z215" s="24">
        <f t="shared" ca="1" si="60"/>
        <v>0.12790429136615744</v>
      </c>
      <c r="AA215" s="24">
        <f t="shared" ca="1" si="61"/>
        <v>-2.6013809517582365E-2</v>
      </c>
      <c r="AB215" s="9" cm="1">
        <f t="array" aca="1" ref="AB215" ca="1">_xll.BDH($E$8,"PX LAST",AG215)</f>
        <v>5958.38</v>
      </c>
      <c r="AC215" s="9" cm="1">
        <f t="array" aca="1" ref="AC215" ca="1">_xll.BDH($E$8,"PX LAST",AH215)</f>
        <v>5659.91</v>
      </c>
      <c r="AD215" s="9" cm="1">
        <f t="array" aca="1" ref="AD215" ca="1">_xll.BDH($E$8,"PX LAST",AI215)</f>
        <v>5686.67</v>
      </c>
      <c r="AE215" s="9" cm="1">
        <f t="array" aca="1" ref="AE215" ca="1">_xll.BDH($E$8,"PX LAST",AJ215)</f>
        <v>5282.7</v>
      </c>
      <c r="AF215" s="9" cm="1">
        <f t="array" aca="1" ref="AF215" ca="1">_xll.BDH($E$8,"PX LAST",AK215)</f>
        <v>6117.52</v>
      </c>
      <c r="AG215" s="20">
        <f t="shared" ref="AG215:AG278" ca="1" si="67">+WORKDAY(D215, 0, $AN$2:$AN$59)</f>
        <v>45793</v>
      </c>
      <c r="AH215" s="22">
        <f t="shared" ca="1" si="62"/>
        <v>45786</v>
      </c>
      <c r="AI215" s="22">
        <f t="shared" ca="1" si="63"/>
        <v>45779</v>
      </c>
      <c r="AJ215" s="22">
        <f t="shared" ca="1" si="64"/>
        <v>45764</v>
      </c>
      <c r="AK215" s="22">
        <f t="shared" ca="1" si="65"/>
        <v>45708</v>
      </c>
      <c r="AL215" s="22">
        <f t="shared" ca="1" si="66"/>
        <v>45616</v>
      </c>
    </row>
    <row r="216" spans="4:38" x14ac:dyDescent="0.25">
      <c r="D216" s="6">
        <f ca="1"/>
        <v>45792</v>
      </c>
      <c r="E216" s="28">
        <f ca="1"/>
        <v>171.24</v>
      </c>
      <c r="F216" s="29" cm="1">
        <f t="array" aca="1" ref="F216" ca="1">_xll.FDS($E$7,"P_BETA_LOCIDX("&amp;$AG216&amp;","&amp;$AL216&amp;",,"""&amp;$E$9&amp;""")")</f>
        <v>1.5970906</v>
      </c>
      <c r="G216" s="30">
        <f t="shared" ca="1" si="52"/>
        <v>-1.9300289125756168E-2</v>
      </c>
      <c r="H216" s="30">
        <f t="shared" ca="1" si="52"/>
        <v>3.7216474335461339E-2</v>
      </c>
      <c r="I216" s="30">
        <f t="shared" ca="1" si="52"/>
        <v>-3.6385823849318738E-2</v>
      </c>
      <c r="J216" s="30">
        <f t="shared" ca="1" si="52"/>
        <v>-7.1786823554983753E-2</v>
      </c>
      <c r="K216" s="30">
        <f t="shared" ca="1" si="53"/>
        <v>7.133690520980103E-2</v>
      </c>
      <c r="L216" s="30">
        <f t="shared" ca="1" si="53"/>
        <v>8.9140165801353907E-2</v>
      </c>
      <c r="M216" s="30">
        <f t="shared" ca="1" si="53"/>
        <v>0.19411687651648121</v>
      </c>
      <c r="N216" s="30">
        <f t="shared" ca="1" si="53"/>
        <v>-5.9062836378017937E-2</v>
      </c>
      <c r="O216" s="30">
        <f t="shared" ca="1" si="54"/>
        <v>5.2036616084044862E-2</v>
      </c>
      <c r="P216" s="30">
        <f t="shared" ca="1" si="55"/>
        <v>0.12635664013681525</v>
      </c>
      <c r="Q216" s="30">
        <f t="shared" ca="1" si="56"/>
        <v>0.15773105266716247</v>
      </c>
      <c r="R216" s="30">
        <f t="shared" ca="1" si="57"/>
        <v>-0.13084965993300168</v>
      </c>
      <c r="S216" s="9" cm="1">
        <f t="array" aca="1" ref="S216" ca="1">_xll.BDH($E$6,"PX LAST",AG216)</f>
        <v>171.24</v>
      </c>
      <c r="T216" s="9" cm="1">
        <f t="array" aca="1" ref="T216" ca="1">_xll.BDH($E$6,"PX LAST",AH216)</f>
        <v>162.77000000000001</v>
      </c>
      <c r="U216" s="9" cm="1">
        <f t="array" aca="1" ref="U216" ca="1">_xll.BDH($E$6,"PX LAST",AI216)</f>
        <v>152.03</v>
      </c>
      <c r="V216" s="9" cm="1">
        <f t="array" aca="1" ref="V216" ca="1">_xll.BDH($E$6,"PX LAST",AJ216)</f>
        <v>147.91</v>
      </c>
      <c r="W216" s="9" cm="1">
        <f t="array" aca="1" ref="W216" ca="1">_xll.BDH($E$6,"PX LAST",AK216)</f>
        <v>197.02</v>
      </c>
      <c r="X216" s="24">
        <f t="shared" ca="1" si="58"/>
        <v>4.4666786724435692E-2</v>
      </c>
      <c r="Y216" s="24">
        <f t="shared" ca="1" si="59"/>
        <v>5.5814094580078244E-2</v>
      </c>
      <c r="Z216" s="24">
        <f t="shared" ca="1" si="60"/>
        <v>0.12154406050381938</v>
      </c>
      <c r="AA216" s="24">
        <f t="shared" ca="1" si="61"/>
        <v>-3.6981519005883534E-2</v>
      </c>
      <c r="AB216" s="9" cm="1">
        <f t="array" aca="1" ref="AB216" ca="1">_xll.BDH($E$8,"PX LAST",AG216)</f>
        <v>5916.93</v>
      </c>
      <c r="AC216" s="9" cm="1">
        <f t="array" aca="1" ref="AC216" ca="1">_xll.BDH($E$8,"PX LAST",AH216)</f>
        <v>5663.94</v>
      </c>
      <c r="AD216" s="9" cm="1">
        <f t="array" aca="1" ref="AD216" ca="1">_xll.BDH($E$8,"PX LAST",AI216)</f>
        <v>5604.14</v>
      </c>
      <c r="AE216" s="9" cm="1">
        <f t="array" aca="1" ref="AE216" ca="1">_xll.BDH($E$8,"PX LAST",AJ216)</f>
        <v>5275.7</v>
      </c>
      <c r="AF216" s="9" cm="1">
        <f t="array" aca="1" ref="AF216" ca="1">_xll.BDH($E$8,"PX LAST",AK216)</f>
        <v>6144.15</v>
      </c>
      <c r="AG216" s="20">
        <f t="shared" ca="1" si="67"/>
        <v>45792</v>
      </c>
      <c r="AH216" s="22">
        <f t="shared" ca="1" si="62"/>
        <v>45785</v>
      </c>
      <c r="AI216" s="22">
        <f t="shared" ca="1" si="63"/>
        <v>45778</v>
      </c>
      <c r="AJ216" s="22">
        <f t="shared" ca="1" si="64"/>
        <v>45763</v>
      </c>
      <c r="AK216" s="22">
        <f t="shared" ca="1" si="65"/>
        <v>45707</v>
      </c>
      <c r="AL216" s="22">
        <f t="shared" ca="1" si="66"/>
        <v>45615</v>
      </c>
    </row>
    <row r="217" spans="4:38" x14ac:dyDescent="0.25">
      <c r="D217" s="6">
        <f ca="1"/>
        <v>45791</v>
      </c>
      <c r="E217" s="28">
        <f ca="1"/>
        <v>173.78</v>
      </c>
      <c r="F217" s="29" cm="1">
        <f t="array" aca="1" ref="F217" ca="1">_xll.FDS($E$7,"P_BETA_LOCIDX("&amp;$AG217&amp;","&amp;$AL217&amp;",,"""&amp;$E$9&amp;""")")</f>
        <v>1.5986301999999999</v>
      </c>
      <c r="G217" s="30">
        <f t="shared" ca="1" si="52"/>
        <v>1.9327281671384755E-2</v>
      </c>
      <c r="H217" s="30">
        <f t="shared" ca="1" si="52"/>
        <v>-2.6471585721262139E-2</v>
      </c>
      <c r="I217" s="30">
        <f t="shared" ca="1" si="52"/>
        <v>1.1078909229139927E-2</v>
      </c>
      <c r="J217" s="30">
        <f t="shared" ca="1" si="52"/>
        <v>-6.9071738948958461E-2</v>
      </c>
      <c r="K217" s="30">
        <f t="shared" ca="1" si="53"/>
        <v>7.4178884953332247E-2</v>
      </c>
      <c r="L217" s="30">
        <f t="shared" ca="1" si="53"/>
        <v>9.2868247478748625E-2</v>
      </c>
      <c r="M217" s="30">
        <f t="shared" ca="1" si="53"/>
        <v>0.14691402740043299</v>
      </c>
      <c r="N217" s="30">
        <f t="shared" ca="1" si="53"/>
        <v>-6.1810981731211571E-2</v>
      </c>
      <c r="O217" s="30">
        <f t="shared" ca="1" si="54"/>
        <v>9.3506166624717002E-2</v>
      </c>
      <c r="P217" s="30">
        <f t="shared" ca="1" si="55"/>
        <v>6.6396661757486486E-2</v>
      </c>
      <c r="Q217" s="30">
        <f t="shared" ca="1" si="56"/>
        <v>0.15799293662957292</v>
      </c>
      <c r="R217" s="30">
        <f t="shared" ca="1" si="57"/>
        <v>-0.13088272068017004</v>
      </c>
      <c r="S217" s="9" cm="1">
        <f t="array" aca="1" ref="S217" ca="1">_xll.BDH($E$6,"PX LAST",AG217)</f>
        <v>173.78</v>
      </c>
      <c r="T217" s="9" cm="1">
        <f t="array" aca="1" ref="T217" ca="1">_xll.BDH($E$6,"PX LAST",AH217)</f>
        <v>158.91999999999999</v>
      </c>
      <c r="U217" s="9" cm="1">
        <f t="array" aca="1" ref="U217" ca="1">_xll.BDH($E$6,"PX LAST",AI217)</f>
        <v>162.96</v>
      </c>
      <c r="V217" s="9" cm="1">
        <f t="array" aca="1" ref="V217" ca="1">_xll.BDH($E$6,"PX LAST",AJ217)</f>
        <v>150.07</v>
      </c>
      <c r="W217" s="9" cm="1">
        <f t="array" aca="1" ref="W217" ca="1">_xll.BDH($E$6,"PX LAST",AK217)</f>
        <v>199.95</v>
      </c>
      <c r="X217" s="24">
        <f t="shared" ca="1" si="58"/>
        <v>4.640152860450919E-2</v>
      </c>
      <c r="Y217" s="24">
        <f t="shared" ca="1" si="59"/>
        <v>5.8092389020768298E-2</v>
      </c>
      <c r="Z217" s="24">
        <f t="shared" ca="1" si="60"/>
        <v>9.1899944965654345E-2</v>
      </c>
      <c r="AA217" s="24">
        <f t="shared" ca="1" si="61"/>
        <v>-3.866496562570354E-2</v>
      </c>
      <c r="AB217" s="9" cm="1">
        <f t="array" aca="1" ref="AB217" ca="1">_xll.BDH($E$8,"PX LAST",AG217)</f>
        <v>5892.58</v>
      </c>
      <c r="AC217" s="9" cm="1">
        <f t="array" aca="1" ref="AC217" ca="1">_xll.BDH($E$8,"PX LAST",AH217)</f>
        <v>5631.28</v>
      </c>
      <c r="AD217" s="9" cm="1">
        <f t="array" aca="1" ref="AD217" ca="1">_xll.BDH($E$8,"PX LAST",AI217)</f>
        <v>5569.06</v>
      </c>
      <c r="AE217" s="9" cm="1">
        <f t="array" aca="1" ref="AE217" ca="1">_xll.BDH($E$8,"PX LAST",AJ217)</f>
        <v>5396.63</v>
      </c>
      <c r="AF217" s="9" cm="1">
        <f t="array" aca="1" ref="AF217" ca="1">_xll.BDH($E$8,"PX LAST",AK217)</f>
        <v>6129.58</v>
      </c>
      <c r="AG217" s="20">
        <f t="shared" ca="1" si="67"/>
        <v>45791</v>
      </c>
      <c r="AH217" s="22">
        <f t="shared" ca="1" si="62"/>
        <v>45784</v>
      </c>
      <c r="AI217" s="22">
        <f t="shared" ca="1" si="63"/>
        <v>45777</v>
      </c>
      <c r="AJ217" s="22">
        <f t="shared" ca="1" si="64"/>
        <v>45762</v>
      </c>
      <c r="AK217" s="22">
        <f t="shared" ca="1" si="65"/>
        <v>45706</v>
      </c>
      <c r="AL217" s="22">
        <f t="shared" ca="1" si="66"/>
        <v>45614</v>
      </c>
    </row>
    <row r="218" spans="4:38" x14ac:dyDescent="0.25">
      <c r="D218" s="6">
        <f ca="1"/>
        <v>45790</v>
      </c>
      <c r="E218" s="28">
        <f ca="1"/>
        <v>173.88</v>
      </c>
      <c r="F218" s="29" cm="1">
        <f t="array" aca="1" ref="F218" ca="1">_xll.FDS($E$7,"P_BETA_LOCIDX("&amp;$AG218&amp;","&amp;$AL218&amp;",,"""&amp;$E$9&amp;""")")</f>
        <v>1.596511</v>
      </c>
      <c r="G218" s="30">
        <f t="shared" ca="1" si="52"/>
        <v>1.4923993197144284E-2</v>
      </c>
      <c r="H218" s="30">
        <f t="shared" ca="1" si="52"/>
        <v>-1.7989803120305153E-2</v>
      </c>
      <c r="I218" s="30">
        <f t="shared" ca="1" si="52"/>
        <v>1.619243065955428E-2</v>
      </c>
      <c r="J218" s="30">
        <f t="shared" ca="1" si="52"/>
        <v>-5.7136850097856046E-2</v>
      </c>
      <c r="K218" s="30">
        <f t="shared" ca="1" si="53"/>
        <v>7.9624665999632735E-2</v>
      </c>
      <c r="L218" s="30">
        <f t="shared" ca="1" si="53"/>
        <v>9.3514019115851638E-2</v>
      </c>
      <c r="M218" s="30">
        <f t="shared" ca="1" si="53"/>
        <v>0.14192665819085198</v>
      </c>
      <c r="N218" s="30">
        <f t="shared" ca="1" si="53"/>
        <v>-5.9550983277810748E-2</v>
      </c>
      <c r="O218" s="30">
        <f t="shared" ca="1" si="54"/>
        <v>9.4548659196777018E-2</v>
      </c>
      <c r="P218" s="30">
        <f t="shared" ca="1" si="55"/>
        <v>7.5524215995546484E-2</v>
      </c>
      <c r="Q218" s="30">
        <f t="shared" ca="1" si="56"/>
        <v>0.15811908885040626</v>
      </c>
      <c r="R218" s="30">
        <f t="shared" ca="1" si="57"/>
        <v>-0.11668783337566679</v>
      </c>
      <c r="S218" s="9" cm="1">
        <f t="array" aca="1" ref="S218" ca="1">_xll.BDH($E$6,"PX LAST",AG218)</f>
        <v>173.88</v>
      </c>
      <c r="T218" s="9" cm="1">
        <f t="array" aca="1" ref="T218" ca="1">_xll.BDH($E$6,"PX LAST",AH218)</f>
        <v>158.86000000000001</v>
      </c>
      <c r="U218" s="9" cm="1">
        <f t="array" aca="1" ref="U218" ca="1">_xll.BDH($E$6,"PX LAST",AI218)</f>
        <v>161.66999999999999</v>
      </c>
      <c r="V218" s="9" cm="1">
        <f t="array" aca="1" ref="V218" ca="1">_xll.BDH($E$6,"PX LAST",AJ218)</f>
        <v>150.13999999999999</v>
      </c>
      <c r="W218" s="9" cm="1">
        <f t="array" aca="1" ref="W218" ca="1">_xll.BDH($E$6,"PX LAST",AK218)</f>
        <v>196.85</v>
      </c>
      <c r="X218" s="24">
        <f t="shared" ca="1" si="58"/>
        <v>4.9874173118527043E-2</v>
      </c>
      <c r="Y218" s="24">
        <f t="shared" ca="1" si="59"/>
        <v>5.8573989854032726E-2</v>
      </c>
      <c r="Z218" s="24">
        <f t="shared" ca="1" si="60"/>
        <v>8.8898014602374786E-2</v>
      </c>
      <c r="AA218" s="24">
        <f t="shared" ca="1" si="61"/>
        <v>-3.7300703394972379E-2</v>
      </c>
      <c r="AB218" s="9" cm="1">
        <f t="array" aca="1" ref="AB218" ca="1">_xll.BDH($E$8,"PX LAST",AG218)</f>
        <v>5886.55</v>
      </c>
      <c r="AC218" s="9" cm="1">
        <f t="array" aca="1" ref="AC218" ca="1">_xll.BDH($E$8,"PX LAST",AH218)</f>
        <v>5606.91</v>
      </c>
      <c r="AD218" s="9" cm="1">
        <f t="array" aca="1" ref="AD218" ca="1">_xll.BDH($E$8,"PX LAST",AI218)</f>
        <v>5560.83</v>
      </c>
      <c r="AE218" s="9" cm="1">
        <f t="array" aca="1" ref="AE218" ca="1">_xll.BDH($E$8,"PX LAST",AJ218)</f>
        <v>5405.97</v>
      </c>
      <c r="AF218" s="9" cm="1">
        <f t="array" aca="1" ref="AF218" ca="1">_xll.BDH($E$8,"PX LAST",AK218)</f>
        <v>6114.63</v>
      </c>
      <c r="AG218" s="20">
        <f t="shared" ca="1" si="67"/>
        <v>45790</v>
      </c>
      <c r="AH218" s="22">
        <f t="shared" ca="1" si="62"/>
        <v>45783</v>
      </c>
      <c r="AI218" s="22">
        <f t="shared" ca="1" si="63"/>
        <v>45776</v>
      </c>
      <c r="AJ218" s="22">
        <f t="shared" ca="1" si="64"/>
        <v>45761</v>
      </c>
      <c r="AK218" s="22">
        <f t="shared" ca="1" si="65"/>
        <v>45702</v>
      </c>
      <c r="AL218" s="22">
        <f t="shared" ca="1" si="66"/>
        <v>45611</v>
      </c>
    </row>
    <row r="219" spans="4:38" x14ac:dyDescent="0.25">
      <c r="D219" s="6">
        <f ca="1"/>
        <v>45789</v>
      </c>
      <c r="E219" s="28">
        <f ca="1"/>
        <v>171.7</v>
      </c>
      <c r="F219" s="29" cm="1">
        <f t="array" aca="1" ref="F219" ca="1">_xll.FDS($E$7,"P_BETA_LOCIDX("&amp;$AG219&amp;","&amp;$AL219&amp;",,"""&amp;$E$9&amp;""")")</f>
        <v>1.5929449</v>
      </c>
      <c r="G219" s="30">
        <f t="shared" ca="1" si="52"/>
        <v>1.3919418600313663E-3</v>
      </c>
      <c r="H219" s="30">
        <f t="shared" ca="1" si="52"/>
        <v>-3.1988571656050388E-2</v>
      </c>
      <c r="I219" s="30">
        <f t="shared" ca="1" si="52"/>
        <v>1.4043247475543696E-2</v>
      </c>
      <c r="J219" s="30">
        <f t="shared" ca="1" si="52"/>
        <v>-4.2877514191105817E-2</v>
      </c>
      <c r="K219" s="30">
        <f t="shared" ca="1" si="53"/>
        <v>5.4638564321160508E-2</v>
      </c>
      <c r="L219" s="30">
        <f t="shared" ca="1" si="53"/>
        <v>9.0884655529007471E-2</v>
      </c>
      <c r="M219" s="30">
        <f t="shared" ca="1" si="53"/>
        <v>0.14280892878102541</v>
      </c>
      <c r="N219" s="30">
        <f t="shared" ca="1" si="53"/>
        <v>-7.056287409825239E-2</v>
      </c>
      <c r="O219" s="30">
        <f t="shared" ca="1" si="54"/>
        <v>5.6030506181191875E-2</v>
      </c>
      <c r="P219" s="30">
        <f t="shared" ca="1" si="55"/>
        <v>5.8896083872957083E-2</v>
      </c>
      <c r="Q219" s="30">
        <f t="shared" ca="1" si="56"/>
        <v>0.15685217625656911</v>
      </c>
      <c r="R219" s="30">
        <f t="shared" ca="1" si="57"/>
        <v>-0.11344038828935821</v>
      </c>
      <c r="S219" s="9" cm="1">
        <f t="array" aca="1" ref="S219" ca="1">_xll.BDH($E$6,"PX LAST",AG219)</f>
        <v>171.7</v>
      </c>
      <c r="T219" s="9" cm="1">
        <f t="array" aca="1" ref="T219" ca="1">_xll.BDH($E$6,"PX LAST",AH219)</f>
        <v>162.59</v>
      </c>
      <c r="U219" s="9" cm="1">
        <f t="array" aca="1" ref="U219" ca="1">_xll.BDH($E$6,"PX LAST",AI219)</f>
        <v>162.15</v>
      </c>
      <c r="V219" s="9" cm="1">
        <f t="array" aca="1" ref="V219" ca="1">_xll.BDH($E$6,"PX LAST",AJ219)</f>
        <v>148.41999999999999</v>
      </c>
      <c r="W219" s="9" cm="1">
        <f t="array" aca="1" ref="W219" ca="1">_xll.BDH($E$6,"PX LAST",AK219)</f>
        <v>193.67</v>
      </c>
      <c r="X219" s="24">
        <f t="shared" ca="1" si="58"/>
        <v>3.4300347941200293E-2</v>
      </c>
      <c r="Y219" s="24">
        <f t="shared" ca="1" si="59"/>
        <v>5.7054487904137474E-2</v>
      </c>
      <c r="Z219" s="24">
        <f t="shared" ca="1" si="60"/>
        <v>8.9650890486560719E-2</v>
      </c>
      <c r="AA219" s="24">
        <f t="shared" ca="1" si="61"/>
        <v>-4.4297121700978104E-2</v>
      </c>
      <c r="AB219" s="9" cm="1">
        <f t="array" aca="1" ref="AB219" ca="1">_xll.BDH($E$8,"PX LAST",AG219)</f>
        <v>5844.19</v>
      </c>
      <c r="AC219" s="9" cm="1">
        <f t="array" aca="1" ref="AC219" ca="1">_xll.BDH($E$8,"PX LAST",AH219)</f>
        <v>5650.38</v>
      </c>
      <c r="AD219" s="9" cm="1">
        <f t="array" aca="1" ref="AD219" ca="1">_xll.BDH($E$8,"PX LAST",AI219)</f>
        <v>5528.75</v>
      </c>
      <c r="AE219" s="9" cm="1">
        <f t="array" aca="1" ref="AE219" ca="1">_xll.BDH($E$8,"PX LAST",AJ219)</f>
        <v>5363.36</v>
      </c>
      <c r="AF219" s="9" cm="1">
        <f t="array" aca="1" ref="AF219" ca="1">_xll.BDH($E$8,"PX LAST",AK219)</f>
        <v>6115.07</v>
      </c>
      <c r="AG219" s="20">
        <f t="shared" ca="1" si="67"/>
        <v>45789</v>
      </c>
      <c r="AH219" s="22">
        <f t="shared" ca="1" si="62"/>
        <v>45782</v>
      </c>
      <c r="AI219" s="22">
        <f t="shared" ca="1" si="63"/>
        <v>45775</v>
      </c>
      <c r="AJ219" s="22">
        <f t="shared" ca="1" si="64"/>
        <v>45758</v>
      </c>
      <c r="AK219" s="22">
        <f t="shared" ca="1" si="65"/>
        <v>45701</v>
      </c>
      <c r="AL219" s="22">
        <f t="shared" ca="1" si="66"/>
        <v>45610</v>
      </c>
    </row>
    <row r="220" spans="4:38" x14ac:dyDescent="0.25">
      <c r="D220" s="6">
        <f ca="1"/>
        <v>45786</v>
      </c>
      <c r="E220" s="28">
        <f ca="1"/>
        <v>161.85</v>
      </c>
      <c r="F220" s="29" cm="1">
        <f t="array" aca="1" ref="F220" ca="1">_xll.FDS($E$7,"P_BETA_LOCIDX("&amp;$AG220&amp;","&amp;$AL220&amp;",,"""&amp;$E$9&amp;""")")</f>
        <v>1.5815653000000001</v>
      </c>
      <c r="G220" s="30">
        <f t="shared" ca="1" si="52"/>
        <v>2.0450607187439893E-4</v>
      </c>
      <c r="H220" s="30">
        <f t="shared" ca="1" si="52"/>
        <v>-3.7010209915071382E-2</v>
      </c>
      <c r="I220" s="30">
        <f t="shared" ca="1" si="52"/>
        <v>-1.5423460700054153E-2</v>
      </c>
      <c r="J220" s="30">
        <f t="shared" ca="1" si="52"/>
        <v>-6.0329791138019076E-2</v>
      </c>
      <c r="K220" s="30">
        <f t="shared" ca="1" si="53"/>
        <v>-7.4424377408923818E-3</v>
      </c>
      <c r="L220" s="30">
        <f t="shared" ca="1" si="53"/>
        <v>3.8557239618041653E-2</v>
      </c>
      <c r="M220" s="30">
        <f t="shared" ca="1" si="53"/>
        <v>0.11764356421408304</v>
      </c>
      <c r="N220" s="30">
        <f t="shared" ca="1" si="53"/>
        <v>-0.10245729762672327</v>
      </c>
      <c r="O220" s="30">
        <f t="shared" ca="1" si="54"/>
        <v>-7.2379316690179829E-3</v>
      </c>
      <c r="P220" s="30">
        <f t="shared" ca="1" si="55"/>
        <v>1.5470297029702706E-3</v>
      </c>
      <c r="Q220" s="30">
        <f t="shared" ca="1" si="56"/>
        <v>0.10222010351402888</v>
      </c>
      <c r="R220" s="30">
        <f t="shared" ca="1" si="57"/>
        <v>-0.16278708876474235</v>
      </c>
      <c r="S220" s="9" cm="1">
        <f t="array" aca="1" ref="S220" ca="1">_xll.BDH($E$6,"PX LAST",AG220)</f>
        <v>161.85</v>
      </c>
      <c r="T220" s="9" cm="1">
        <f t="array" aca="1" ref="T220" ca="1">_xll.BDH($E$6,"PX LAST",AH220)</f>
        <v>163.03</v>
      </c>
      <c r="U220" s="9" cm="1">
        <f t="array" aca="1" ref="U220" ca="1">_xll.BDH($E$6,"PX LAST",AI220)</f>
        <v>161.6</v>
      </c>
      <c r="V220" s="9" cm="1">
        <f t="array" aca="1" ref="V220" ca="1">_xll.BDH($E$6,"PX LAST",AJ220)</f>
        <v>146.84</v>
      </c>
      <c r="W220" s="9" cm="1">
        <f t="array" aca="1" ref="W220" ca="1">_xll.BDH($E$6,"PX LAST",AK220)</f>
        <v>193.32</v>
      </c>
      <c r="X220" s="24">
        <f t="shared" ca="1" si="58"/>
        <v>-4.7057416730705848E-3</v>
      </c>
      <c r="Y220" s="24">
        <f t="shared" ca="1" si="59"/>
        <v>2.4379163868884612E-2</v>
      </c>
      <c r="Z220" s="24">
        <f t="shared" ca="1" si="60"/>
        <v>7.4384259830487576E-2</v>
      </c>
      <c r="AA220" s="24">
        <f t="shared" ca="1" si="61"/>
        <v>-6.4782211412151791E-2</v>
      </c>
      <c r="AB220" s="9" cm="1">
        <f t="array" aca="1" ref="AB220" ca="1">_xll.BDH($E$8,"PX LAST",AG220)</f>
        <v>5659.91</v>
      </c>
      <c r="AC220" s="9" cm="1">
        <f t="array" aca="1" ref="AC220" ca="1">_xll.BDH($E$8,"PX LAST",AH220)</f>
        <v>5686.67</v>
      </c>
      <c r="AD220" s="9" cm="1">
        <f t="array" aca="1" ref="AD220" ca="1">_xll.BDH($E$8,"PX LAST",AI220)</f>
        <v>5525.21</v>
      </c>
      <c r="AE220" s="9" cm="1">
        <f t="array" aca="1" ref="AE220" ca="1">_xll.BDH($E$8,"PX LAST",AJ220)</f>
        <v>5268.05</v>
      </c>
      <c r="AF220" s="9" cm="1">
        <f t="array" aca="1" ref="AF220" ca="1">_xll.BDH($E$8,"PX LAST",AK220)</f>
        <v>6051.97</v>
      </c>
      <c r="AG220" s="20">
        <f t="shared" ca="1" si="67"/>
        <v>45786</v>
      </c>
      <c r="AH220" s="22">
        <f t="shared" ca="1" si="62"/>
        <v>45779</v>
      </c>
      <c r="AI220" s="22">
        <f t="shared" ca="1" si="63"/>
        <v>45772</v>
      </c>
      <c r="AJ220" s="22">
        <f t="shared" ca="1" si="64"/>
        <v>45757</v>
      </c>
      <c r="AK220" s="22">
        <f t="shared" ca="1" si="65"/>
        <v>45700</v>
      </c>
      <c r="AL220" s="22">
        <f t="shared" ca="1" si="66"/>
        <v>45609</v>
      </c>
    </row>
    <row r="221" spans="4:38" x14ac:dyDescent="0.25">
      <c r="D221" s="6">
        <f ca="1"/>
        <v>45785</v>
      </c>
      <c r="E221" s="28">
        <f ca="1"/>
        <v>162.77000000000001</v>
      </c>
      <c r="F221" s="29" cm="1">
        <f t="array" aca="1" ref="F221" ca="1">_xll.FDS($E$7,"P_BETA_LOCIDX("&amp;$AG221&amp;","&amp;$AL221&amp;",,"""&amp;$E$9&amp;""")")</f>
        <v>1.5831938999999999</v>
      </c>
      <c r="G221" s="30">
        <f t="shared" ca="1" si="52"/>
        <v>5.3750192020483555E-2</v>
      </c>
      <c r="H221" s="30">
        <f t="shared" ca="1" si="52"/>
        <v>-4.0221516068071089E-2</v>
      </c>
      <c r="I221" s="30">
        <f t="shared" ca="1" si="52"/>
        <v>-2.1581011689879234E-3</v>
      </c>
      <c r="J221" s="30">
        <f t="shared" ca="1" si="52"/>
        <v>-3.0587524678340763E-2</v>
      </c>
      <c r="K221" s="30">
        <f t="shared" ca="1" si="53"/>
        <v>1.6893759831124656E-2</v>
      </c>
      <c r="L221" s="30">
        <f t="shared" ca="1" si="53"/>
        <v>5.1717911792654808E-2</v>
      </c>
      <c r="M221" s="30">
        <f t="shared" ca="1" si="53"/>
        <v>6.0067889288057251E-2</v>
      </c>
      <c r="N221" s="30">
        <f t="shared" ca="1" si="53"/>
        <v>-0.10554452075208047</v>
      </c>
      <c r="O221" s="30">
        <f t="shared" ca="1" si="54"/>
        <v>7.0643951851608211E-2</v>
      </c>
      <c r="P221" s="30">
        <f t="shared" ca="1" si="55"/>
        <v>1.1496395724583719E-2</v>
      </c>
      <c r="Q221" s="30">
        <f t="shared" ca="1" si="56"/>
        <v>5.7909788119069328E-2</v>
      </c>
      <c r="R221" s="30">
        <f t="shared" ca="1" si="57"/>
        <v>-0.13613204543042123</v>
      </c>
      <c r="S221" s="9" cm="1">
        <f t="array" aca="1" ref="S221" ca="1">_xll.BDH($E$6,"PX LAST",AG221)</f>
        <v>162.77000000000001</v>
      </c>
      <c r="T221" s="9" cm="1">
        <f t="array" aca="1" ref="T221" ca="1">_xll.BDH($E$6,"PX LAST",AH221)</f>
        <v>152.03</v>
      </c>
      <c r="U221" s="9" cm="1">
        <f t="array" aca="1" ref="U221" ca="1">_xll.BDH($E$6,"PX LAST",AI221)</f>
        <v>160.91999999999999</v>
      </c>
      <c r="V221" s="9" cm="1">
        <f t="array" aca="1" ref="V221" ca="1">_xll.BDH($E$6,"PX LAST",AJ221)</f>
        <v>153.86000000000001</v>
      </c>
      <c r="W221" s="9" cm="1">
        <f t="array" aca="1" ref="W221" ca="1">_xll.BDH($E$6,"PX LAST",AK221)</f>
        <v>188.42</v>
      </c>
      <c r="X221" s="24">
        <f t="shared" ca="1" si="58"/>
        <v>1.0670682745256066E-2</v>
      </c>
      <c r="Y221" s="24">
        <f t="shared" ca="1" si="59"/>
        <v>3.2666821033516369E-2</v>
      </c>
      <c r="Z221" s="24">
        <f t="shared" ca="1" si="60"/>
        <v>3.7940955487547834E-2</v>
      </c>
      <c r="AA221" s="24">
        <f t="shared" ca="1" si="61"/>
        <v>-6.6665568097552974E-2</v>
      </c>
      <c r="AB221" s="9" cm="1">
        <f t="array" aca="1" ref="AB221" ca="1">_xll.BDH($E$8,"PX LAST",AG221)</f>
        <v>5663.94</v>
      </c>
      <c r="AC221" s="9" cm="1">
        <f t="array" aca="1" ref="AC221" ca="1">_xll.BDH($E$8,"PX LAST",AH221)</f>
        <v>5604.14</v>
      </c>
      <c r="AD221" s="9" cm="1">
        <f t="array" aca="1" ref="AD221" ca="1">_xll.BDH($E$8,"PX LAST",AI221)</f>
        <v>5484.77</v>
      </c>
      <c r="AE221" s="9" cm="1">
        <f t="array" aca="1" ref="AE221" ca="1">_xll.BDH($E$8,"PX LAST",AJ221)</f>
        <v>5456.9</v>
      </c>
      <c r="AF221" s="9" cm="1">
        <f t="array" aca="1" ref="AF221" ca="1">_xll.BDH($E$8,"PX LAST",AK221)</f>
        <v>6068.5</v>
      </c>
      <c r="AG221" s="20">
        <f t="shared" ca="1" si="67"/>
        <v>45785</v>
      </c>
      <c r="AH221" s="22">
        <f t="shared" ca="1" si="62"/>
        <v>45778</v>
      </c>
      <c r="AI221" s="22">
        <f t="shared" ca="1" si="63"/>
        <v>45771</v>
      </c>
      <c r="AJ221" s="22">
        <f t="shared" ca="1" si="64"/>
        <v>45756</v>
      </c>
      <c r="AK221" s="22">
        <f t="shared" ca="1" si="65"/>
        <v>45699</v>
      </c>
      <c r="AL221" s="22">
        <f t="shared" ca="1" si="66"/>
        <v>45608</v>
      </c>
    </row>
    <row r="222" spans="4:38" x14ac:dyDescent="0.25">
      <c r="D222" s="6">
        <f ca="1"/>
        <v>45784</v>
      </c>
      <c r="E222" s="28">
        <f ca="1"/>
        <v>158.91999999999999</v>
      </c>
      <c r="F222" s="29" cm="1">
        <f t="array" aca="1" ref="F222" ca="1">_xll.FDS($E$7,"P_BETA_LOCIDX("&amp;$AG222&amp;","&amp;$AL222&amp;",,"""&amp;$E$9&amp;""")")</f>
        <v>1.580468</v>
      </c>
      <c r="G222" s="30">
        <f t="shared" ca="1" si="52"/>
        <v>-4.244904694988659E-2</v>
      </c>
      <c r="H222" s="30">
        <f t="shared" ca="1" si="52"/>
        <v>-4.4415386507342475E-2</v>
      </c>
      <c r="I222" s="30">
        <f t="shared" ca="1" si="52"/>
        <v>-9.5523788161792356E-3</v>
      </c>
      <c r="J222" s="30">
        <f t="shared" ca="1" si="52"/>
        <v>-2.8993050050256319E-2</v>
      </c>
      <c r="K222" s="30">
        <f t="shared" ca="1" si="53"/>
        <v>1.7657687106980218E-2</v>
      </c>
      <c r="L222" s="30">
        <f t="shared" ca="1" si="53"/>
        <v>7.5091824668053225E-2</v>
      </c>
      <c r="M222" s="30">
        <f t="shared" ca="1" si="53"/>
        <v>0.20569869825016976</v>
      </c>
      <c r="N222" s="30">
        <f t="shared" ca="1" si="53"/>
        <v>-0.11337068443436338</v>
      </c>
      <c r="O222" s="30">
        <f t="shared" ca="1" si="54"/>
        <v>-2.4791359842906369E-2</v>
      </c>
      <c r="P222" s="30">
        <f t="shared" ca="1" si="55"/>
        <v>3.0676438160710751E-2</v>
      </c>
      <c r="Q222" s="30">
        <f t="shared" ca="1" si="56"/>
        <v>0.19614631943399052</v>
      </c>
      <c r="R222" s="30">
        <f t="shared" ca="1" si="57"/>
        <v>-0.1423637344846197</v>
      </c>
      <c r="S222" s="9" cm="1">
        <f t="array" aca="1" ref="S222" ca="1">_xll.BDH($E$6,"PX LAST",AG222)</f>
        <v>158.91999999999999</v>
      </c>
      <c r="T222" s="9" cm="1">
        <f t="array" aca="1" ref="T222" ca="1">_xll.BDH($E$6,"PX LAST",AH222)</f>
        <v>162.96</v>
      </c>
      <c r="U222" s="9" cm="1">
        <f t="array" aca="1" ref="U222" ca="1">_xll.BDH($E$6,"PX LAST",AI222)</f>
        <v>154.19</v>
      </c>
      <c r="V222" s="9" cm="1">
        <f t="array" aca="1" ref="V222" ca="1">_xll.BDH($E$6,"PX LAST",AJ222)</f>
        <v>132.86000000000001</v>
      </c>
      <c r="W222" s="9" cm="1">
        <f t="array" aca="1" ref="W222" ca="1">_xll.BDH($E$6,"PX LAST",AK222)</f>
        <v>185.3</v>
      </c>
      <c r="X222" s="24">
        <f t="shared" ca="1" si="58"/>
        <v>1.117244202791845E-2</v>
      </c>
      <c r="Y222" s="24">
        <f t="shared" ca="1" si="59"/>
        <v>4.7512398016317459E-2</v>
      </c>
      <c r="Z222" s="24">
        <f t="shared" ca="1" si="60"/>
        <v>0.13015049861823824</v>
      </c>
      <c r="AA222" s="24">
        <f t="shared" ca="1" si="61"/>
        <v>-7.1732350439466908E-2</v>
      </c>
      <c r="AB222" s="9" cm="1">
        <f t="array" aca="1" ref="AB222" ca="1">_xll.BDH($E$8,"PX LAST",AG222)</f>
        <v>5631.28</v>
      </c>
      <c r="AC222" s="9" cm="1">
        <f t="array" aca="1" ref="AC222" ca="1">_xll.BDH($E$8,"PX LAST",AH222)</f>
        <v>5569.06</v>
      </c>
      <c r="AD222" s="9" cm="1">
        <f t="array" aca="1" ref="AD222" ca="1">_xll.BDH($E$8,"PX LAST",AI222)</f>
        <v>5375.86</v>
      </c>
      <c r="AE222" s="9" cm="1">
        <f t="array" aca="1" ref="AE222" ca="1">_xll.BDH($E$8,"PX LAST",AJ222)</f>
        <v>4982.7700000000004</v>
      </c>
      <c r="AF222" s="9" cm="1">
        <f t="array" aca="1" ref="AF222" ca="1">_xll.BDH($E$8,"PX LAST",AK222)</f>
        <v>6066.44</v>
      </c>
      <c r="AG222" s="20">
        <f t="shared" ca="1" si="67"/>
        <v>45784</v>
      </c>
      <c r="AH222" s="22">
        <f t="shared" ca="1" si="62"/>
        <v>45777</v>
      </c>
      <c r="AI222" s="22">
        <f t="shared" ca="1" si="63"/>
        <v>45770</v>
      </c>
      <c r="AJ222" s="22">
        <f t="shared" ca="1" si="64"/>
        <v>45755</v>
      </c>
      <c r="AK222" s="22">
        <f t="shared" ca="1" si="65"/>
        <v>45698</v>
      </c>
      <c r="AL222" s="22">
        <f t="shared" ca="1" si="66"/>
        <v>45607</v>
      </c>
    </row>
    <row r="223" spans="4:38" x14ac:dyDescent="0.25">
      <c r="D223" s="6">
        <f ca="1"/>
        <v>45783</v>
      </c>
      <c r="E223" s="28">
        <f ca="1"/>
        <v>158.86000000000001</v>
      </c>
      <c r="F223" s="29" cm="1">
        <f t="array" aca="1" ref="F223" ca="1">_xll.FDS($E$7,"P_BETA_LOCIDX("&amp;$AG223&amp;","&amp;$AL223&amp;",,"""&amp;$E$9&amp;""")")</f>
        <v>1.579256</v>
      </c>
      <c r="G223" s="30">
        <f t="shared" ca="1" si="52"/>
        <v>-3.0467641515657683E-2</v>
      </c>
      <c r="H223" s="30">
        <f t="shared" ca="1" si="52"/>
        <v>-3.4554270861175101E-2</v>
      </c>
      <c r="I223" s="30">
        <f t="shared" ca="1" si="52"/>
        <v>-1.0946190239574549E-2</v>
      </c>
      <c r="J223" s="30">
        <f t="shared" ca="1" si="52"/>
        <v>-3.5670490624870821E-2</v>
      </c>
      <c r="K223" s="30">
        <f t="shared" ca="1" si="53"/>
        <v>1.3086556589573872E-2</v>
      </c>
      <c r="L223" s="30">
        <f t="shared" ca="1" si="53"/>
        <v>9.5318159750064163E-2</v>
      </c>
      <c r="M223" s="30">
        <f t="shared" ca="1" si="53"/>
        <v>0.16991605964936529</v>
      </c>
      <c r="N223" s="30">
        <f t="shared" ca="1" si="53"/>
        <v>-0.10983002037507528</v>
      </c>
      <c r="O223" s="30">
        <f t="shared" ca="1" si="54"/>
        <v>-1.7381084926083812E-2</v>
      </c>
      <c r="P223" s="30">
        <f t="shared" ca="1" si="55"/>
        <v>6.0763888888889062E-2</v>
      </c>
      <c r="Q223" s="30">
        <f t="shared" ca="1" si="56"/>
        <v>0.15896986940979074</v>
      </c>
      <c r="R223" s="30">
        <f t="shared" ca="1" si="57"/>
        <v>-0.1455005109999461</v>
      </c>
      <c r="S223" s="9" cm="1">
        <f t="array" aca="1" ref="S223" ca="1">_xll.BDH($E$6,"PX LAST",AG223)</f>
        <v>158.86000000000001</v>
      </c>
      <c r="T223" s="9" cm="1">
        <f t="array" aca="1" ref="T223" ca="1">_xll.BDH($E$6,"PX LAST",AH223)</f>
        <v>161.66999999999999</v>
      </c>
      <c r="U223" s="9" cm="1">
        <f t="array" aca="1" ref="U223" ca="1">_xll.BDH($E$6,"PX LAST",AI223)</f>
        <v>149.76</v>
      </c>
      <c r="V223" s="9" cm="1">
        <f t="array" aca="1" ref="V223" ca="1">_xll.BDH($E$6,"PX LAST",AJ223)</f>
        <v>137.07</v>
      </c>
      <c r="W223" s="9" cm="1">
        <f t="array" aca="1" ref="W223" ca="1">_xll.BDH($E$6,"PX LAST",AK223)</f>
        <v>185.91</v>
      </c>
      <c r="X223" s="24">
        <f t="shared" ca="1" si="58"/>
        <v>8.286532765792165E-3</v>
      </c>
      <c r="Y223" s="24">
        <f t="shared" ca="1" si="59"/>
        <v>6.0356370183215491E-2</v>
      </c>
      <c r="Z223" s="24">
        <f t="shared" ca="1" si="60"/>
        <v>0.10759247370240499</v>
      </c>
      <c r="AA223" s="24">
        <f t="shared" ca="1" si="61"/>
        <v>-6.9545419092962302E-2</v>
      </c>
      <c r="AB223" s="9" cm="1">
        <f t="array" aca="1" ref="AB223" ca="1">_xll.BDH($E$8,"PX LAST",AG223)</f>
        <v>5606.91</v>
      </c>
      <c r="AC223" s="9" cm="1">
        <f t="array" aca="1" ref="AC223" ca="1">_xll.BDH($E$8,"PX LAST",AH223)</f>
        <v>5560.83</v>
      </c>
      <c r="AD223" s="9" cm="1">
        <f t="array" aca="1" ref="AD223" ca="1">_xll.BDH($E$8,"PX LAST",AI223)</f>
        <v>5287.76</v>
      </c>
      <c r="AE223" s="9" cm="1">
        <f t="array" aca="1" ref="AE223" ca="1">_xll.BDH($E$8,"PX LAST",AJ223)</f>
        <v>5062.25</v>
      </c>
      <c r="AF223" s="9" cm="1">
        <f t="array" aca="1" ref="AF223" ca="1">_xll.BDH($E$8,"PX LAST",AK223)</f>
        <v>6025.99</v>
      </c>
      <c r="AG223" s="20">
        <f t="shared" ca="1" si="67"/>
        <v>45783</v>
      </c>
      <c r="AH223" s="22">
        <f t="shared" ca="1" si="62"/>
        <v>45776</v>
      </c>
      <c r="AI223" s="22">
        <f t="shared" ca="1" si="63"/>
        <v>45769</v>
      </c>
      <c r="AJ223" s="22">
        <f t="shared" ca="1" si="64"/>
        <v>45754</v>
      </c>
      <c r="AK223" s="22">
        <f t="shared" ca="1" si="65"/>
        <v>45695</v>
      </c>
      <c r="AL223" s="22">
        <f t="shared" ca="1" si="66"/>
        <v>45604</v>
      </c>
    </row>
    <row r="224" spans="4:38" x14ac:dyDescent="0.25">
      <c r="D224" s="6">
        <f ca="1"/>
        <v>45782</v>
      </c>
      <c r="E224" s="28">
        <f ca="1"/>
        <v>162.59</v>
      </c>
      <c r="F224" s="29" cm="1">
        <f t="array" aca="1" ref="F224" ca="1">_xll.FDS($E$7,"P_BETA_LOCIDX("&amp;$AG224&amp;","&amp;$AL224&amp;",,"""&amp;$E$9&amp;""")")</f>
        <v>1.5676639999999999</v>
      </c>
      <c r="G224" s="30">
        <f t="shared" ca="1" si="52"/>
        <v>-3.1774362282309683E-2</v>
      </c>
      <c r="H224" s="30">
        <f t="shared" ca="1" si="52"/>
        <v>-3.5570157363258775E-2</v>
      </c>
      <c r="I224" s="30">
        <f t="shared" ca="1" si="52"/>
        <v>1.6760925599197063E-2</v>
      </c>
      <c r="J224" s="30">
        <f t="shared" ca="1" si="52"/>
        <v>-2.325553653692973E-2</v>
      </c>
      <c r="K224" s="30">
        <f t="shared" ca="1" si="53"/>
        <v>3.4487899130906559E-2</v>
      </c>
      <c r="L224" s="30">
        <f t="shared" ca="1" si="53"/>
        <v>0.14958180518785638</v>
      </c>
      <c r="M224" s="30">
        <f t="shared" ca="1" si="53"/>
        <v>0.17805094976823377</v>
      </c>
      <c r="N224" s="30">
        <f t="shared" ca="1" si="53"/>
        <v>-0.11162793691204327</v>
      </c>
      <c r="O224" s="30">
        <f t="shared" ca="1" si="54"/>
        <v>2.7135368485968758E-3</v>
      </c>
      <c r="P224" s="30">
        <f t="shared" ca="1" si="55"/>
        <v>0.11401164782459761</v>
      </c>
      <c r="Q224" s="30">
        <f t="shared" ca="1" si="56"/>
        <v>0.19481187536743083</v>
      </c>
      <c r="R224" s="30">
        <f t="shared" ca="1" si="57"/>
        <v>-0.134883473448973</v>
      </c>
      <c r="S224" s="9" cm="1">
        <f t="array" aca="1" ref="S224" ca="1">_xll.BDH($E$6,"PX LAST",AG224)</f>
        <v>162.59</v>
      </c>
      <c r="T224" s="9" cm="1">
        <f t="array" aca="1" ref="T224" ca="1">_xll.BDH($E$6,"PX LAST",AH224)</f>
        <v>162.15</v>
      </c>
      <c r="U224" s="9" cm="1">
        <f t="array" aca="1" ref="U224" ca="1">_xll.BDH($E$6,"PX LAST",AI224)</f>
        <v>145.94999999999999</v>
      </c>
      <c r="V224" s="9" cm="1">
        <f t="array" aca="1" ref="V224" ca="1">_xll.BDH($E$6,"PX LAST",AJ224)</f>
        <v>136.08000000000001</v>
      </c>
      <c r="W224" s="9" cm="1">
        <f t="array" aca="1" ref="W224" ca="1">_xll.BDH($E$6,"PX LAST",AK224)</f>
        <v>187.94</v>
      </c>
      <c r="X224" s="24">
        <f t="shared" ca="1" si="58"/>
        <v>2.1999547818222887E-2</v>
      </c>
      <c r="Y224" s="24">
        <f t="shared" ca="1" si="59"/>
        <v>9.5417005932302068E-2</v>
      </c>
      <c r="Z224" s="24">
        <f t="shared" ca="1" si="60"/>
        <v>0.11357723961782229</v>
      </c>
      <c r="AA224" s="24">
        <f t="shared" ca="1" si="61"/>
        <v>-7.1206544841269093E-2</v>
      </c>
      <c r="AB224" s="9" cm="1">
        <f t="array" aca="1" ref="AB224" ca="1">_xll.BDH($E$8,"PX LAST",AG224)</f>
        <v>5650.38</v>
      </c>
      <c r="AC224" s="9" cm="1">
        <f t="array" aca="1" ref="AC224" ca="1">_xll.BDH($E$8,"PX LAST",AH224)</f>
        <v>5528.75</v>
      </c>
      <c r="AD224" s="9" cm="1">
        <f t="array" aca="1" ref="AD224" ca="1">_xll.BDH($E$8,"PX LAST",AI224)</f>
        <v>5158.2</v>
      </c>
      <c r="AE224" s="9" cm="1">
        <f t="array" aca="1" ref="AE224" ca="1">_xll.BDH($E$8,"PX LAST",AJ224)</f>
        <v>5074.08</v>
      </c>
      <c r="AF224" s="9" cm="1">
        <f t="array" aca="1" ref="AF224" ca="1">_xll.BDH($E$8,"PX LAST",AK224)</f>
        <v>6083.57</v>
      </c>
      <c r="AG224" s="20">
        <f t="shared" ca="1" si="67"/>
        <v>45782</v>
      </c>
      <c r="AH224" s="22">
        <f t="shared" ca="1" si="62"/>
        <v>45775</v>
      </c>
      <c r="AI224" s="22">
        <f t="shared" ca="1" si="63"/>
        <v>45768</v>
      </c>
      <c r="AJ224" s="22">
        <f t="shared" ca="1" si="64"/>
        <v>45751</v>
      </c>
      <c r="AK224" s="22">
        <f t="shared" ca="1" si="65"/>
        <v>45694</v>
      </c>
      <c r="AL224" s="22">
        <f t="shared" ca="1" si="66"/>
        <v>45603</v>
      </c>
    </row>
    <row r="225" spans="4:38" x14ac:dyDescent="0.25">
      <c r="D225" s="6">
        <f ca="1"/>
        <v>45779</v>
      </c>
      <c r="E225" s="28">
        <f ca="1"/>
        <v>163.03</v>
      </c>
      <c r="F225" s="29" cm="1">
        <f t="array" aca="1" ref="F225" ca="1">_xll.FDS($E$7,"P_BETA_LOCIDX("&amp;$AG225&amp;","&amp;$AL225&amp;",,"""&amp;$E$9&amp;""")")</f>
        <v>1.6517382</v>
      </c>
      <c r="G225" s="30">
        <f t="shared" ca="1" si="52"/>
        <v>-3.9418775354592893E-2</v>
      </c>
      <c r="H225" s="30">
        <f t="shared" ca="1" si="52"/>
        <v>-4.7711604136776831E-2</v>
      </c>
      <c r="I225" s="30">
        <f t="shared" ca="1" si="52"/>
        <v>4.5550902760145784E-2</v>
      </c>
      <c r="J225" s="30">
        <f t="shared" ca="1" si="52"/>
        <v>-2.2254273638144847E-2</v>
      </c>
      <c r="K225" s="30">
        <f t="shared" ca="1" si="53"/>
        <v>4.8267785255583028E-2</v>
      </c>
      <c r="L225" s="30">
        <f t="shared" ca="1" si="53"/>
        <v>0.12630902391845072</v>
      </c>
      <c r="M225" s="30">
        <f t="shared" ca="1" si="53"/>
        <v>8.8807572051988914E-2</v>
      </c>
      <c r="N225" s="30">
        <f t="shared" ca="1" si="53"/>
        <v>-0.10213479129552501</v>
      </c>
      <c r="O225" s="30">
        <f t="shared" ca="1" si="54"/>
        <v>8.8490099009901346E-3</v>
      </c>
      <c r="P225" s="30">
        <f t="shared" ca="1" si="55"/>
        <v>7.8597419781673894E-2</v>
      </c>
      <c r="Q225" s="30">
        <f t="shared" ca="1" si="56"/>
        <v>0.1343584748121347</v>
      </c>
      <c r="R225" s="30">
        <f t="shared" ca="1" si="57"/>
        <v>-0.12438906493366986</v>
      </c>
      <c r="S225" s="9" cm="1">
        <f t="array" aca="1" ref="S225" ca="1">_xll.BDH($E$6,"PX LAST",AG225)</f>
        <v>163.03</v>
      </c>
      <c r="T225" s="9" cm="1">
        <f t="array" aca="1" ref="T225" ca="1">_xll.BDH($E$6,"PX LAST",AH225)</f>
        <v>161.6</v>
      </c>
      <c r="U225" s="9" cm="1">
        <f t="array" aca="1" ref="U225" ca="1">_xll.BDH($E$6,"PX LAST",AI225)</f>
        <v>151.15</v>
      </c>
      <c r="V225" s="9" cm="1">
        <f t="array" aca="1" ref="V225" ca="1">_xll.BDH($E$6,"PX LAST",AJ225)</f>
        <v>143.72</v>
      </c>
      <c r="W225" s="9" cm="1">
        <f t="array" aca="1" ref="W225" ca="1">_xll.BDH($E$6,"PX LAST",AK225)</f>
        <v>186.19</v>
      </c>
      <c r="X225" s="24">
        <f t="shared" ca="1" si="58"/>
        <v>2.9222418695397989E-2</v>
      </c>
      <c r="Y225" s="24">
        <f t="shared" ca="1" si="59"/>
        <v>7.6470365532776752E-2</v>
      </c>
      <c r="Z225" s="24">
        <f t="shared" ca="1" si="60"/>
        <v>5.3766130765752651E-2</v>
      </c>
      <c r="AA225" s="24">
        <f t="shared" ca="1" si="61"/>
        <v>-6.1834733431439082E-2</v>
      </c>
      <c r="AB225" s="9" cm="1">
        <f t="array" aca="1" ref="AB225" ca="1">_xll.BDH($E$8,"PX LAST",AG225)</f>
        <v>5686.67</v>
      </c>
      <c r="AC225" s="9" cm="1">
        <f t="array" aca="1" ref="AC225" ca="1">_xll.BDH($E$8,"PX LAST",AH225)</f>
        <v>5525.21</v>
      </c>
      <c r="AD225" s="9" cm="1">
        <f t="array" aca="1" ref="AD225" ca="1">_xll.BDH($E$8,"PX LAST",AI225)</f>
        <v>5282.7</v>
      </c>
      <c r="AE225" s="9" cm="1">
        <f t="array" aca="1" ref="AE225" ca="1">_xll.BDH($E$8,"PX LAST",AJ225)</f>
        <v>5396.52</v>
      </c>
      <c r="AF225" s="9" cm="1">
        <f t="array" aca="1" ref="AF225" ca="1">_xll.BDH($E$8,"PX LAST",AK225)</f>
        <v>6061.48</v>
      </c>
      <c r="AG225" s="20">
        <f t="shared" ca="1" si="67"/>
        <v>45779</v>
      </c>
      <c r="AH225" s="22">
        <f t="shared" ca="1" si="62"/>
        <v>45772</v>
      </c>
      <c r="AI225" s="22">
        <f t="shared" ca="1" si="63"/>
        <v>45764</v>
      </c>
      <c r="AJ225" s="22">
        <f t="shared" ca="1" si="64"/>
        <v>45750</v>
      </c>
      <c r="AK225" s="22">
        <f t="shared" ca="1" si="65"/>
        <v>45693</v>
      </c>
      <c r="AL225" s="22">
        <f t="shared" ca="1" si="66"/>
        <v>45602</v>
      </c>
    </row>
    <row r="226" spans="4:38" x14ac:dyDescent="0.25">
      <c r="D226" s="6">
        <f ca="1"/>
        <v>45778</v>
      </c>
      <c r="E226" s="28">
        <f ca="1"/>
        <v>152.03</v>
      </c>
      <c r="F226" s="29" cm="1">
        <f t="array" aca="1" ref="F226" ca="1">_xll.FDS($E$7,"P_BETA_LOCIDX("&amp;$AG226&amp;","&amp;$AL226&amp;",,"""&amp;$E$9&amp;""")")</f>
        <v>1.625605</v>
      </c>
      <c r="G226" s="30">
        <f t="shared" ca="1" si="52"/>
        <v>-9.0624351024875399E-2</v>
      </c>
      <c r="H226" s="30">
        <f t="shared" ca="1" si="52"/>
        <v>-7.3347662213110162E-2</v>
      </c>
      <c r="I226" s="30">
        <f t="shared" ca="1" si="52"/>
        <v>-4.4639959563585546E-2</v>
      </c>
      <c r="J226" s="30">
        <f t="shared" ca="1" si="52"/>
        <v>-4.7019642159025488E-2</v>
      </c>
      <c r="K226" s="30">
        <f t="shared" ca="1" si="53"/>
        <v>3.5379508867281674E-2</v>
      </c>
      <c r="L226" s="30">
        <f t="shared" ca="1" si="53"/>
        <v>0.10120243876641964</v>
      </c>
      <c r="M226" s="30">
        <f t="shared" ca="1" si="53"/>
        <v>-1.9157072273350086E-2</v>
      </c>
      <c r="N226" s="30">
        <f t="shared" ca="1" si="53"/>
        <v>-0.11677772872266418</v>
      </c>
      <c r="O226" s="30">
        <f t="shared" ca="1" si="54"/>
        <v>-5.5244842157593732E-2</v>
      </c>
      <c r="P226" s="30">
        <f t="shared" ca="1" si="55"/>
        <v>2.7854776553309479E-2</v>
      </c>
      <c r="Q226" s="30">
        <f t="shared" ca="1" si="56"/>
        <v>-6.3797031836935636E-2</v>
      </c>
      <c r="R226" s="30">
        <f t="shared" ca="1" si="57"/>
        <v>-0.16379737088168966</v>
      </c>
      <c r="S226" s="9" cm="1">
        <f t="array" aca="1" ref="S226" ca="1">_xll.BDH($E$6,"PX LAST",AG226)</f>
        <v>152.03</v>
      </c>
      <c r="T226" s="9" cm="1">
        <f t="array" aca="1" ref="T226" ca="1">_xll.BDH($E$6,"PX LAST",AH226)</f>
        <v>160.91999999999999</v>
      </c>
      <c r="U226" s="9" cm="1">
        <f t="array" aca="1" ref="U226" ca="1">_xll.BDH($E$6,"PX LAST",AI226)</f>
        <v>147.91</v>
      </c>
      <c r="V226" s="9" cm="1">
        <f t="array" aca="1" ref="V226" ca="1">_xll.BDH($E$6,"PX LAST",AJ226)</f>
        <v>162.38999999999999</v>
      </c>
      <c r="W226" s="9" cm="1">
        <f t="array" aca="1" ref="W226" ca="1">_xll.BDH($E$6,"PX LAST",AK226)</f>
        <v>181.81</v>
      </c>
      <c r="X226" s="24">
        <f t="shared" ca="1" si="58"/>
        <v>2.1763902588440409E-2</v>
      </c>
      <c r="Y226" s="24">
        <f t="shared" ca="1" si="59"/>
        <v>6.225524574937924E-2</v>
      </c>
      <c r="Z226" s="24">
        <f t="shared" ca="1" si="60"/>
        <v>-1.1784580063022743E-2</v>
      </c>
      <c r="AA226" s="24">
        <f t="shared" ca="1" si="61"/>
        <v>-7.1836472404221308E-2</v>
      </c>
      <c r="AB226" s="9" cm="1">
        <f t="array" aca="1" ref="AB226" ca="1">_xll.BDH($E$8,"PX LAST",AG226)</f>
        <v>5604.14</v>
      </c>
      <c r="AC226" s="9" cm="1">
        <f t="array" aca="1" ref="AC226" ca="1">_xll.BDH($E$8,"PX LAST",AH226)</f>
        <v>5484.77</v>
      </c>
      <c r="AD226" s="9" cm="1">
        <f t="array" aca="1" ref="AD226" ca="1">_xll.BDH($E$8,"PX LAST",AI226)</f>
        <v>5275.7</v>
      </c>
      <c r="AE226" s="9" cm="1">
        <f t="array" aca="1" ref="AE226" ca="1">_xll.BDH($E$8,"PX LAST",AJ226)</f>
        <v>5670.97</v>
      </c>
      <c r="AF226" s="9" cm="1">
        <f t="array" aca="1" ref="AF226" ca="1">_xll.BDH($E$8,"PX LAST",AK226)</f>
        <v>6037.88</v>
      </c>
      <c r="AG226" s="20">
        <f t="shared" ca="1" si="67"/>
        <v>45778</v>
      </c>
      <c r="AH226" s="22">
        <f t="shared" ca="1" si="62"/>
        <v>45771</v>
      </c>
      <c r="AI226" s="22">
        <f t="shared" ca="1" si="63"/>
        <v>45763</v>
      </c>
      <c r="AJ226" s="22">
        <f t="shared" ca="1" si="64"/>
        <v>45749</v>
      </c>
      <c r="AK226" s="22">
        <f t="shared" ca="1" si="65"/>
        <v>45692</v>
      </c>
      <c r="AL226" s="22">
        <f t="shared" ca="1" si="66"/>
        <v>45601</v>
      </c>
    </row>
    <row r="227" spans="4:38" x14ac:dyDescent="0.25">
      <c r="D227" s="6">
        <f ca="1"/>
        <v>45777</v>
      </c>
      <c r="E227" s="28">
        <f ca="1"/>
        <v>162.96</v>
      </c>
      <c r="F227" s="29" cm="1">
        <f t="array" aca="1" ref="F227" ca="1">_xll.FDS($E$7,"P_BETA_LOCIDX("&amp;$AG227&amp;","&amp;$AL227&amp;",,"""&amp;$E$9&amp;""")")</f>
        <v>1.644007</v>
      </c>
      <c r="G227" s="30">
        <f t="shared" ca="1" si="52"/>
        <v>-2.2051622405404384E-3</v>
      </c>
      <c r="H227" s="30">
        <f t="shared" ca="1" si="52"/>
        <v>3.3364889152782212E-2</v>
      </c>
      <c r="I227" s="30">
        <f t="shared" ca="1" si="52"/>
        <v>6.0491777763248294E-2</v>
      </c>
      <c r="J227" s="30">
        <f t="shared" ca="1" si="52"/>
        <v>1.6828413557538779E-2</v>
      </c>
      <c r="K227" s="30">
        <f t="shared" ca="1" si="53"/>
        <v>5.9083040183338299E-2</v>
      </c>
      <c r="L227" s="30">
        <f t="shared" ca="1" si="53"/>
        <v>5.2528360663970181E-2</v>
      </c>
      <c r="M227" s="30">
        <f t="shared" ca="1" si="53"/>
        <v>-1.8681267598307655E-2</v>
      </c>
      <c r="N227" s="30">
        <f t="shared" ca="1" si="53"/>
        <v>-0.11669584616911627</v>
      </c>
      <c r="O227" s="30">
        <f t="shared" ca="1" si="54"/>
        <v>5.6877877942797861E-2</v>
      </c>
      <c r="P227" s="30">
        <f t="shared" ca="1" si="55"/>
        <v>8.5893249816752393E-2</v>
      </c>
      <c r="Q227" s="30">
        <f t="shared" ca="1" si="56"/>
        <v>4.181051016494064E-2</v>
      </c>
      <c r="R227" s="30">
        <f t="shared" ca="1" si="57"/>
        <v>-9.9867432611577489E-2</v>
      </c>
      <c r="S227" s="9" cm="1">
        <f t="array" aca="1" ref="S227" ca="1">_xll.BDH($E$6,"PX LAST",AG227)</f>
        <v>162.96</v>
      </c>
      <c r="T227" s="9" cm="1">
        <f t="array" aca="1" ref="T227" ca="1">_xll.BDH($E$6,"PX LAST",AH227)</f>
        <v>154.19</v>
      </c>
      <c r="U227" s="9" cm="1">
        <f t="array" aca="1" ref="U227" ca="1">_xll.BDH($E$6,"PX LAST",AI227)</f>
        <v>150.07</v>
      </c>
      <c r="V227" s="9" cm="1">
        <f t="array" aca="1" ref="V227" ca="1">_xll.BDH($E$6,"PX LAST",AJ227)</f>
        <v>156.41999999999999</v>
      </c>
      <c r="W227" s="9" cm="1">
        <f t="array" aca="1" ref="W227" ca="1">_xll.BDH($E$6,"PX LAST",AK227)</f>
        <v>181.04</v>
      </c>
      <c r="X227" s="24">
        <f t="shared" ca="1" si="58"/>
        <v>3.5938435896768262E-2</v>
      </c>
      <c r="Y227" s="24">
        <f t="shared" ca="1" si="59"/>
        <v>3.1951421535291624E-2</v>
      </c>
      <c r="Z227" s="24">
        <f t="shared" ca="1" si="60"/>
        <v>-1.1363253075143631E-2</v>
      </c>
      <c r="AA227" s="24">
        <f t="shared" ca="1" si="61"/>
        <v>-7.0982572561501422E-2</v>
      </c>
      <c r="AB227" s="9" cm="1">
        <f t="array" aca="1" ref="AB227" ca="1">_xll.BDH($E$8,"PX LAST",AG227)</f>
        <v>5569.06</v>
      </c>
      <c r="AC227" s="9" cm="1">
        <f t="array" aca="1" ref="AC227" ca="1">_xll.BDH($E$8,"PX LAST",AH227)</f>
        <v>5375.86</v>
      </c>
      <c r="AD227" s="9" cm="1">
        <f t="array" aca="1" ref="AD227" ca="1">_xll.BDH($E$8,"PX LAST",AI227)</f>
        <v>5396.63</v>
      </c>
      <c r="AE227" s="9" cm="1">
        <f t="array" aca="1" ref="AE227" ca="1">_xll.BDH($E$8,"PX LAST",AJ227)</f>
        <v>5633.07</v>
      </c>
      <c r="AF227" s="9" cm="1">
        <f t="array" aca="1" ref="AF227" ca="1">_xll.BDH($E$8,"PX LAST",AK227)</f>
        <v>5994.57</v>
      </c>
      <c r="AG227" s="20">
        <f t="shared" ca="1" si="67"/>
        <v>45777</v>
      </c>
      <c r="AH227" s="22">
        <f t="shared" ca="1" si="62"/>
        <v>45770</v>
      </c>
      <c r="AI227" s="22">
        <f t="shared" ca="1" si="63"/>
        <v>45762</v>
      </c>
      <c r="AJ227" s="22">
        <f t="shared" ca="1" si="64"/>
        <v>45748</v>
      </c>
      <c r="AK227" s="22">
        <f t="shared" ca="1" si="65"/>
        <v>45691</v>
      </c>
      <c r="AL227" s="22">
        <f t="shared" ca="1" si="66"/>
        <v>45600</v>
      </c>
    </row>
    <row r="228" spans="4:38" x14ac:dyDescent="0.25">
      <c r="D228" s="6">
        <f ca="1"/>
        <v>45776</v>
      </c>
      <c r="E228" s="28">
        <f ca="1"/>
        <v>161.66999999999999</v>
      </c>
      <c r="F228" s="29" cm="1">
        <f t="array" aca="1" ref="F228" ca="1">_xll.FDS($E$7,"P_BETA_LOCIDX("&amp;$AG228&amp;","&amp;$AL228&amp;",,"""&amp;$E$9&amp;""")")</f>
        <v>1.6398585999999999</v>
      </c>
      <c r="G228" s="30">
        <f t="shared" ca="1" si="52"/>
        <v>-5.1581785742729341E-3</v>
      </c>
      <c r="H228" s="30">
        <f t="shared" ca="1" si="52"/>
        <v>2.981942492206735E-2</v>
      </c>
      <c r="I228" s="30">
        <f t="shared" ca="1" si="52"/>
        <v>5.5926120930012715E-2</v>
      </c>
      <c r="J228" s="30">
        <f t="shared" ca="1" si="52"/>
        <v>4.1189034984892292E-3</v>
      </c>
      <c r="K228" s="30">
        <f t="shared" ca="1" si="53"/>
        <v>8.4685422164016547E-2</v>
      </c>
      <c r="L228" s="30">
        <f t="shared" ca="1" si="53"/>
        <v>4.6975566419347414E-2</v>
      </c>
      <c r="M228" s="30">
        <f t="shared" ca="1" si="53"/>
        <v>-1.4908735224925872E-2</v>
      </c>
      <c r="N228" s="30">
        <f t="shared" ca="1" si="53"/>
        <v>-0.13022701160659736</v>
      </c>
      <c r="O228" s="30">
        <f t="shared" ca="1" si="54"/>
        <v>7.9527243589743613E-2</v>
      </c>
      <c r="P228" s="30">
        <f t="shared" ca="1" si="55"/>
        <v>7.6794991341414764E-2</v>
      </c>
      <c r="Q228" s="30">
        <f t="shared" ca="1" si="56"/>
        <v>4.101738570508684E-2</v>
      </c>
      <c r="R228" s="30">
        <f t="shared" ca="1" si="57"/>
        <v>-0.12610810810810813</v>
      </c>
      <c r="S228" s="9" cm="1">
        <f t="array" aca="1" ref="S228" ca="1">_xll.BDH($E$6,"PX LAST",AG228)</f>
        <v>161.66999999999999</v>
      </c>
      <c r="T228" s="9" cm="1">
        <f t="array" aca="1" ref="T228" ca="1">_xll.BDH($E$6,"PX LAST",AH228)</f>
        <v>149.76</v>
      </c>
      <c r="U228" s="9" cm="1">
        <f t="array" aca="1" ref="U228" ca="1">_xll.BDH($E$6,"PX LAST",AI228)</f>
        <v>150.13999999999999</v>
      </c>
      <c r="V228" s="9" cm="1">
        <f t="array" aca="1" ref="V228" ca="1">_xll.BDH($E$6,"PX LAST",AJ228)</f>
        <v>155.30000000000001</v>
      </c>
      <c r="W228" s="9" cm="1">
        <f t="array" aca="1" ref="W228" ca="1">_xll.BDH($E$6,"PX LAST",AK228)</f>
        <v>185</v>
      </c>
      <c r="X228" s="24">
        <f t="shared" ca="1" si="58"/>
        <v>5.1641905078899208E-2</v>
      </c>
      <c r="Y228" s="24">
        <f t="shared" ca="1" si="59"/>
        <v>2.8646107914028329E-2</v>
      </c>
      <c r="Z228" s="24">
        <f t="shared" ca="1" si="60"/>
        <v>-9.0914760729527977E-3</v>
      </c>
      <c r="AA228" s="24">
        <f t="shared" ca="1" si="61"/>
        <v>-7.9413561392791654E-2</v>
      </c>
      <c r="AB228" s="9" cm="1">
        <f t="array" aca="1" ref="AB228" ca="1">_xll.BDH($E$8,"PX LAST",AG228)</f>
        <v>5560.83</v>
      </c>
      <c r="AC228" s="9" cm="1">
        <f t="array" aca="1" ref="AC228" ca="1">_xll.BDH($E$8,"PX LAST",AH228)</f>
        <v>5287.76</v>
      </c>
      <c r="AD228" s="9" cm="1">
        <f t="array" aca="1" ref="AD228" ca="1">_xll.BDH($E$8,"PX LAST",AI228)</f>
        <v>5405.97</v>
      </c>
      <c r="AE228" s="9" cm="1">
        <f t="array" aca="1" ref="AE228" ca="1">_xll.BDH($E$8,"PX LAST",AJ228)</f>
        <v>5611.85</v>
      </c>
      <c r="AF228" s="9" cm="1">
        <f t="array" aca="1" ref="AF228" ca="1">_xll.BDH($E$8,"PX LAST",AK228)</f>
        <v>6040.53</v>
      </c>
      <c r="AG228" s="20">
        <f t="shared" ca="1" si="67"/>
        <v>45776</v>
      </c>
      <c r="AH228" s="22">
        <f t="shared" ca="1" si="62"/>
        <v>45769</v>
      </c>
      <c r="AI228" s="22">
        <f t="shared" ca="1" si="63"/>
        <v>45761</v>
      </c>
      <c r="AJ228" s="22">
        <f t="shared" ca="1" si="64"/>
        <v>45747</v>
      </c>
      <c r="AK228" s="22">
        <f t="shared" ca="1" si="65"/>
        <v>45688</v>
      </c>
      <c r="AL228" s="22">
        <f t="shared" ca="1" si="66"/>
        <v>45597</v>
      </c>
    </row>
    <row r="229" spans="4:38" x14ac:dyDescent="0.25">
      <c r="D229" s="6">
        <f ca="1"/>
        <v>45775</v>
      </c>
      <c r="E229" s="28">
        <f ca="1"/>
        <v>162.15</v>
      </c>
      <c r="F229" s="29" cm="1">
        <f t="array" aca="1" ref="F229" ca="1">_xll.FDS($E$7,"P_BETA_LOCIDX("&amp;$AG229&amp;","&amp;$AL229&amp;",,"""&amp;$E$9&amp;""")")</f>
        <v>1.5718852999999999</v>
      </c>
      <c r="G229" s="30">
        <f t="shared" ca="1" si="52"/>
        <v>-1.9227253544299994E-3</v>
      </c>
      <c r="H229" s="30">
        <f t="shared" ca="1" si="52"/>
        <v>4.4035501450252222E-2</v>
      </c>
      <c r="I229" s="30">
        <f t="shared" ca="1" si="52"/>
        <v>5.1265316313804293E-2</v>
      </c>
      <c r="J229" s="30">
        <f t="shared" ca="1" si="52"/>
        <v>-3.3923478214134273E-3</v>
      </c>
      <c r="K229" s="30">
        <f t="shared" ca="1" si="53"/>
        <v>0.1129196421067426</v>
      </c>
      <c r="L229" s="30">
        <f t="shared" ca="1" si="53"/>
        <v>4.8472246831650558E-2</v>
      </c>
      <c r="M229" s="30">
        <f t="shared" ca="1" si="53"/>
        <v>-1.4699440203083917E-2</v>
      </c>
      <c r="N229" s="30">
        <f t="shared" ca="1" si="53"/>
        <v>-0.14043784384657318</v>
      </c>
      <c r="O229" s="30">
        <f t="shared" ca="1" si="54"/>
        <v>0.1109969167523126</v>
      </c>
      <c r="P229" s="30">
        <f t="shared" ca="1" si="55"/>
        <v>9.250774828190278E-2</v>
      </c>
      <c r="Q229" s="30">
        <f t="shared" ca="1" si="56"/>
        <v>3.6565876110720374E-2</v>
      </c>
      <c r="R229" s="30">
        <f t="shared" ca="1" si="57"/>
        <v>-0.14383019166798661</v>
      </c>
      <c r="S229" s="9" cm="1">
        <f t="array" aca="1" ref="S229" ca="1">_xll.BDH($E$6,"PX LAST",AG229)</f>
        <v>162.15</v>
      </c>
      <c r="T229" s="9" cm="1">
        <f t="array" aca="1" ref="T229" ca="1">_xll.BDH($E$6,"PX LAST",AH229)</f>
        <v>145.94999999999999</v>
      </c>
      <c r="U229" s="9" cm="1">
        <f t="array" aca="1" ref="U229" ca="1">_xll.BDH($E$6,"PX LAST",AI229)</f>
        <v>148.41999999999999</v>
      </c>
      <c r="V229" s="9" cm="1">
        <f t="array" aca="1" ref="V229" ca="1">_xll.BDH($E$6,"PX LAST",AJ229)</f>
        <v>156.43</v>
      </c>
      <c r="W229" s="9" cm="1">
        <f t="array" aca="1" ref="W229" ca="1">_xll.BDH($E$6,"PX LAST",AK229)</f>
        <v>189.39</v>
      </c>
      <c r="X229" s="24">
        <f t="shared" ca="1" si="58"/>
        <v>7.1837074948625457E-2</v>
      </c>
      <c r="Y229" s="24">
        <f t="shared" ca="1" si="59"/>
        <v>3.0837012618955439E-2</v>
      </c>
      <c r="Z229" s="24">
        <f t="shared" ca="1" si="60"/>
        <v>-9.3514712575299974E-3</v>
      </c>
      <c r="AA229" s="24">
        <f t="shared" ca="1" si="61"/>
        <v>-8.9343569690850333E-2</v>
      </c>
      <c r="AB229" s="9" cm="1">
        <f t="array" aca="1" ref="AB229" ca="1">_xll.BDH($E$8,"PX LAST",AG229)</f>
        <v>5528.75</v>
      </c>
      <c r="AC229" s="9" cm="1">
        <f t="array" aca="1" ref="AC229" ca="1">_xll.BDH($E$8,"PX LAST",AH229)</f>
        <v>5158.2</v>
      </c>
      <c r="AD229" s="9" cm="1">
        <f t="array" aca="1" ref="AD229" ca="1">_xll.BDH($E$8,"PX LAST",AI229)</f>
        <v>5363.36</v>
      </c>
      <c r="AE229" s="9" cm="1">
        <f t="array" aca="1" ref="AE229" ca="1">_xll.BDH($E$8,"PX LAST",AJ229)</f>
        <v>5580.94</v>
      </c>
      <c r="AF229" s="9" cm="1">
        <f t="array" aca="1" ref="AF229" ca="1">_xll.BDH($E$8,"PX LAST",AK229)</f>
        <v>6071.17</v>
      </c>
      <c r="AG229" s="20">
        <f t="shared" ca="1" si="67"/>
        <v>45775</v>
      </c>
      <c r="AH229" s="22">
        <f t="shared" ca="1" si="62"/>
        <v>45768</v>
      </c>
      <c r="AI229" s="22">
        <f t="shared" ca="1" si="63"/>
        <v>45758</v>
      </c>
      <c r="AJ229" s="22">
        <f t="shared" ca="1" si="64"/>
        <v>45744</v>
      </c>
      <c r="AK229" s="22">
        <f t="shared" ca="1" si="65"/>
        <v>45687</v>
      </c>
      <c r="AL229" s="22">
        <f t="shared" ca="1" si="66"/>
        <v>45596</v>
      </c>
    </row>
    <row r="230" spans="4:38" x14ac:dyDescent="0.25">
      <c r="D230" s="6">
        <f ca="1"/>
        <v>45772</v>
      </c>
      <c r="E230" s="28">
        <f ca="1"/>
        <v>161.6</v>
      </c>
      <c r="F230" s="29" cm="1">
        <f t="array" aca="1" ref="F230" ca="1">_xll.FDS($E$7,"P_BETA_LOCIDX("&amp;$AG230&amp;","&amp;$AL230&amp;",,"""&amp;$E$9&amp;""")")</f>
        <v>1.5713121999999999</v>
      </c>
      <c r="G230" s="30">
        <f t="shared" ca="1" si="52"/>
        <v>-2.996744675517693E-3</v>
      </c>
      <c r="H230" s="30">
        <f t="shared" ca="1" si="52"/>
        <v>2.3813923566988512E-2</v>
      </c>
      <c r="I230" s="30">
        <f t="shared" ca="1" si="52"/>
        <v>3.6833211856830618E-2</v>
      </c>
      <c r="J230" s="30">
        <f t="shared" ca="1" si="52"/>
        <v>-4.0310002083956964E-4</v>
      </c>
      <c r="K230" s="30">
        <f t="shared" ca="1" si="53"/>
        <v>7.2133363927915806E-2</v>
      </c>
      <c r="L230" s="30">
        <f t="shared" ca="1" si="53"/>
        <v>7.6703646577386278E-2</v>
      </c>
      <c r="M230" s="30">
        <f t="shared" ca="1" si="53"/>
        <v>-4.6394378809515115E-2</v>
      </c>
      <c r="N230" s="30">
        <f t="shared" ca="1" si="53"/>
        <v>-0.13375892312532409</v>
      </c>
      <c r="O230" s="30">
        <f t="shared" ca="1" si="54"/>
        <v>6.9136619252398113E-2</v>
      </c>
      <c r="P230" s="30">
        <f t="shared" ca="1" si="55"/>
        <v>0.10051757014437479</v>
      </c>
      <c r="Q230" s="30">
        <f t="shared" ca="1" si="56"/>
        <v>-9.5611669526844967E-3</v>
      </c>
      <c r="R230" s="30">
        <f t="shared" ca="1" si="57"/>
        <v>-0.13416202314616366</v>
      </c>
      <c r="S230" s="9" cm="1">
        <f t="array" aca="1" ref="S230" ca="1">_xll.BDH($E$6,"PX LAST",AG230)</f>
        <v>161.6</v>
      </c>
      <c r="T230" s="9" cm="1">
        <f t="array" aca="1" ref="T230" ca="1">_xll.BDH($E$6,"PX LAST",AH230)</f>
        <v>151.15</v>
      </c>
      <c r="U230" s="9" cm="1">
        <f t="array" aca="1" ref="U230" ca="1">_xll.BDH($E$6,"PX LAST",AI230)</f>
        <v>146.84</v>
      </c>
      <c r="V230" s="9" cm="1">
        <f t="array" aca="1" ref="V230" ca="1">_xll.BDH($E$6,"PX LAST",AJ230)</f>
        <v>163.16</v>
      </c>
      <c r="W230" s="9" cm="1">
        <f t="array" aca="1" ref="W230" ca="1">_xll.BDH($E$6,"PX LAST",AK230)</f>
        <v>186.64</v>
      </c>
      <c r="X230" s="24">
        <f t="shared" ca="1" si="58"/>
        <v>4.5906449353550371E-2</v>
      </c>
      <c r="Y230" s="24">
        <f t="shared" ca="1" si="59"/>
        <v>4.8815026432930564E-2</v>
      </c>
      <c r="Z230" s="24">
        <f t="shared" ca="1" si="60"/>
        <v>-2.952588213183549E-2</v>
      </c>
      <c r="AA230" s="24">
        <f t="shared" ca="1" si="61"/>
        <v>-8.5125618655111368E-2</v>
      </c>
      <c r="AB230" s="9" cm="1">
        <f t="array" aca="1" ref="AB230" ca="1">_xll.BDH($E$8,"PX LAST",AG230)</f>
        <v>5525.21</v>
      </c>
      <c r="AC230" s="9" cm="1">
        <f t="array" aca="1" ref="AC230" ca="1">_xll.BDH($E$8,"PX LAST",AH230)</f>
        <v>5282.7</v>
      </c>
      <c r="AD230" s="9" cm="1">
        <f t="array" aca="1" ref="AD230" ca="1">_xll.BDH($E$8,"PX LAST",AI230)</f>
        <v>5268.05</v>
      </c>
      <c r="AE230" s="9" cm="1">
        <f t="array" aca="1" ref="AE230" ca="1">_xll.BDH($E$8,"PX LAST",AJ230)</f>
        <v>5693.31</v>
      </c>
      <c r="AF230" s="9" cm="1">
        <f t="array" aca="1" ref="AF230" ca="1">_xll.BDH($E$8,"PX LAST",AK230)</f>
        <v>6039.31</v>
      </c>
      <c r="AG230" s="20">
        <f t="shared" ca="1" si="67"/>
        <v>45772</v>
      </c>
      <c r="AH230" s="22">
        <f t="shared" ca="1" si="62"/>
        <v>45764</v>
      </c>
      <c r="AI230" s="22">
        <f t="shared" ca="1" si="63"/>
        <v>45757</v>
      </c>
      <c r="AJ230" s="22">
        <f t="shared" ca="1" si="64"/>
        <v>45743</v>
      </c>
      <c r="AK230" s="22">
        <f t="shared" ca="1" si="65"/>
        <v>45686</v>
      </c>
      <c r="AL230" s="22">
        <f t="shared" ca="1" si="66"/>
        <v>45595</v>
      </c>
    </row>
    <row r="231" spans="4:38" x14ac:dyDescent="0.25">
      <c r="D231" s="6">
        <f ca="1"/>
        <v>45771</v>
      </c>
      <c r="E231" s="28">
        <f ca="1"/>
        <v>160.91999999999999</v>
      </c>
      <c r="F231" s="29" cm="1">
        <f t="array" aca="1" ref="F231" ca="1">_xll.FDS($E$7,"P_BETA_LOCIDX("&amp;$AG231&amp;","&amp;$AL231&amp;",,"""&amp;$E$9&amp;""")")</f>
        <v>1.5725401999999999</v>
      </c>
      <c r="G231" s="30">
        <f t="shared" ca="1" si="52"/>
        <v>2.5640911547318297E-2</v>
      </c>
      <c r="H231" s="30">
        <f t="shared" ca="1" si="52"/>
        <v>3.7854443019205673E-2</v>
      </c>
      <c r="I231" s="30">
        <f t="shared" ca="1" si="52"/>
        <v>3.6054178670276396E-2</v>
      </c>
      <c r="J231" s="30">
        <f t="shared" ca="1" si="52"/>
        <v>2.2043249753273042E-2</v>
      </c>
      <c r="K231" s="30">
        <f t="shared" ca="1" si="53"/>
        <v>6.2317982374661234E-2</v>
      </c>
      <c r="L231" s="30">
        <f t="shared" ca="1" si="53"/>
        <v>8.0314272524696709E-3</v>
      </c>
      <c r="M231" s="30">
        <f t="shared" ca="1" si="53"/>
        <v>-6.2610345871292786E-2</v>
      </c>
      <c r="N231" s="30">
        <f t="shared" ca="1" si="53"/>
        <v>-0.15107550781778917</v>
      </c>
      <c r="O231" s="30">
        <f t="shared" ca="1" si="54"/>
        <v>8.7958893921979531E-2</v>
      </c>
      <c r="P231" s="30">
        <f t="shared" ca="1" si="55"/>
        <v>4.5885870271675344E-2</v>
      </c>
      <c r="Q231" s="30">
        <f t="shared" ca="1" si="56"/>
        <v>-2.655616720101639E-2</v>
      </c>
      <c r="R231" s="30">
        <f t="shared" ca="1" si="57"/>
        <v>-0.12903225806451613</v>
      </c>
      <c r="S231" s="9" cm="1">
        <f t="array" aca="1" ref="S231" ca="1">_xll.BDH($E$6,"PX LAST",AG231)</f>
        <v>160.91999999999999</v>
      </c>
      <c r="T231" s="9" cm="1">
        <f t="array" aca="1" ref="T231" ca="1">_xll.BDH($E$6,"PX LAST",AH231)</f>
        <v>147.91</v>
      </c>
      <c r="U231" s="9" cm="1">
        <f t="array" aca="1" ref="U231" ca="1">_xll.BDH($E$6,"PX LAST",AI231)</f>
        <v>153.86000000000001</v>
      </c>
      <c r="V231" s="9" cm="1">
        <f t="array" aca="1" ref="V231" ca="1">_xll.BDH($E$6,"PX LAST",AJ231)</f>
        <v>165.31</v>
      </c>
      <c r="W231" s="9" cm="1">
        <f t="array" aca="1" ref="W231" ca="1">_xll.BDH($E$6,"PX LAST",AK231)</f>
        <v>184.76</v>
      </c>
      <c r="X231" s="24">
        <f t="shared" ca="1" si="58"/>
        <v>3.9628864416096476E-2</v>
      </c>
      <c r="Y231" s="24">
        <f t="shared" ca="1" si="59"/>
        <v>5.107295350840424E-3</v>
      </c>
      <c r="Z231" s="24">
        <f t="shared" ca="1" si="60"/>
        <v>-3.9814782395574233E-2</v>
      </c>
      <c r="AA231" s="24">
        <f t="shared" ca="1" si="61"/>
        <v>-9.6070998895792403E-2</v>
      </c>
      <c r="AB231" s="9" cm="1">
        <f t="array" aca="1" ref="AB231" ca="1">_xll.BDH($E$8,"PX LAST",AG231)</f>
        <v>5484.77</v>
      </c>
      <c r="AC231" s="9" cm="1">
        <f t="array" aca="1" ref="AC231" ca="1">_xll.BDH($E$8,"PX LAST",AH231)</f>
        <v>5275.7</v>
      </c>
      <c r="AD231" s="9" cm="1">
        <f t="array" aca="1" ref="AD231" ca="1">_xll.BDH($E$8,"PX LAST",AI231)</f>
        <v>5456.9</v>
      </c>
      <c r="AE231" s="9" cm="1">
        <f t="array" aca="1" ref="AE231" ca="1">_xll.BDH($E$8,"PX LAST",AJ231)</f>
        <v>5712.2</v>
      </c>
      <c r="AF231" s="9" cm="1">
        <f t="array" aca="1" ref="AF231" ca="1">_xll.BDH($E$8,"PX LAST",AK231)</f>
        <v>6067.7</v>
      </c>
      <c r="AG231" s="20">
        <f t="shared" ca="1" si="67"/>
        <v>45771</v>
      </c>
      <c r="AH231" s="22">
        <f t="shared" ca="1" si="62"/>
        <v>45763</v>
      </c>
      <c r="AI231" s="22">
        <f t="shared" ca="1" si="63"/>
        <v>45756</v>
      </c>
      <c r="AJ231" s="22">
        <f t="shared" ca="1" si="64"/>
        <v>45742</v>
      </c>
      <c r="AK231" s="22">
        <f t="shared" ca="1" si="65"/>
        <v>45685</v>
      </c>
      <c r="AL231" s="22">
        <f t="shared" ca="1" si="66"/>
        <v>45594</v>
      </c>
    </row>
    <row r="232" spans="4:38" x14ac:dyDescent="0.25">
      <c r="D232" s="6">
        <f ca="1"/>
        <v>45770</v>
      </c>
      <c r="E232" s="28">
        <f ca="1"/>
        <v>154.19</v>
      </c>
      <c r="F232" s="29" cm="1">
        <f t="array" aca="1" ref="F232" ca="1">_xll.FDS($E$7,"P_BETA_LOCIDX("&amp;$AG232&amp;","&amp;$AL232&amp;",,"""&amp;$E$9&amp;""")")</f>
        <v>1.5657382</v>
      </c>
      <c r="G232" s="30">
        <f t="shared" ca="1" si="52"/>
        <v>3.3479908611268469E-2</v>
      </c>
      <c r="H232" s="30">
        <f t="shared" ca="1" si="52"/>
        <v>3.7024075830903391E-2</v>
      </c>
      <c r="I232" s="30">
        <f t="shared" ca="1" si="52"/>
        <v>3.1870678279722064E-2</v>
      </c>
      <c r="J232" s="30">
        <f t="shared" ca="1" si="52"/>
        <v>1.5083136206455627E-2</v>
      </c>
      <c r="K232" s="30">
        <f t="shared" ca="1" si="53"/>
        <v>-6.0260537435401383E-3</v>
      </c>
      <c r="L232" s="30">
        <f t="shared" ca="1" si="53"/>
        <v>0.12352085868663376</v>
      </c>
      <c r="M232" s="30">
        <f t="shared" ca="1" si="53"/>
        <v>-0.10863254882639589</v>
      </c>
      <c r="N232" s="30">
        <f t="shared" ca="1" si="53"/>
        <v>-0.16573863912592235</v>
      </c>
      <c r="O232" s="30">
        <f t="shared" ca="1" si="54"/>
        <v>2.7453854867728333E-2</v>
      </c>
      <c r="P232" s="30">
        <f t="shared" ca="1" si="55"/>
        <v>0.16054493451753715</v>
      </c>
      <c r="Q232" s="30">
        <f t="shared" ca="1" si="56"/>
        <v>-7.6761870546673827E-2</v>
      </c>
      <c r="R232" s="30">
        <f t="shared" ca="1" si="57"/>
        <v>-0.15065550291946672</v>
      </c>
      <c r="S232" s="9" cm="1">
        <f t="array" aca="1" ref="S232" ca="1">_xll.BDH($E$6,"PX LAST",AG232)</f>
        <v>154.19</v>
      </c>
      <c r="T232" s="9" cm="1">
        <f t="array" aca="1" ref="T232" ca="1">_xll.BDH($E$6,"PX LAST",AH232)</f>
        <v>150.07</v>
      </c>
      <c r="U232" s="9" cm="1">
        <f t="array" aca="1" ref="U232" ca="1">_xll.BDH($E$6,"PX LAST",AI232)</f>
        <v>132.86000000000001</v>
      </c>
      <c r="V232" s="9" cm="1">
        <f t="array" aca="1" ref="V232" ca="1">_xll.BDH($E$6,"PX LAST",AJ232)</f>
        <v>167.01</v>
      </c>
      <c r="W232" s="9" cm="1">
        <f t="array" aca="1" ref="W232" ca="1">_xll.BDH($E$6,"PX LAST",AK232)</f>
        <v>181.54</v>
      </c>
      <c r="X232" s="24">
        <f t="shared" ca="1" si="58"/>
        <v>-3.8486981690426525E-3</v>
      </c>
      <c r="Y232" s="24">
        <f t="shared" ca="1" si="59"/>
        <v>7.8889854438394469E-2</v>
      </c>
      <c r="Z232" s="24">
        <f t="shared" ca="1" si="60"/>
        <v>-6.938104264582412E-2</v>
      </c>
      <c r="AA232" s="24">
        <f t="shared" ca="1" si="61"/>
        <v>-0.10585335346989833</v>
      </c>
      <c r="AB232" s="9" cm="1">
        <f t="array" aca="1" ref="AB232" ca="1">_xll.BDH($E$8,"PX LAST",AG232)</f>
        <v>5375.86</v>
      </c>
      <c r="AC232" s="9" cm="1">
        <f t="array" aca="1" ref="AC232" ca="1">_xll.BDH($E$8,"PX LAST",AH232)</f>
        <v>5396.63</v>
      </c>
      <c r="AD232" s="9" cm="1">
        <f t="array" aca="1" ref="AD232" ca="1">_xll.BDH($E$8,"PX LAST",AI232)</f>
        <v>4982.7700000000004</v>
      </c>
      <c r="AE232" s="9" cm="1">
        <f t="array" aca="1" ref="AE232" ca="1">_xll.BDH($E$8,"PX LAST",AJ232)</f>
        <v>5776.65</v>
      </c>
      <c r="AF232" s="9" cm="1">
        <f t="array" aca="1" ref="AF232" ca="1">_xll.BDH($E$8,"PX LAST",AK232)</f>
        <v>6012.28</v>
      </c>
      <c r="AG232" s="20">
        <f t="shared" ca="1" si="67"/>
        <v>45770</v>
      </c>
      <c r="AH232" s="22">
        <f t="shared" ca="1" si="62"/>
        <v>45762</v>
      </c>
      <c r="AI232" s="22">
        <f t="shared" ca="1" si="63"/>
        <v>45755</v>
      </c>
      <c r="AJ232" s="22">
        <f t="shared" ca="1" si="64"/>
        <v>45741</v>
      </c>
      <c r="AK232" s="22">
        <f t="shared" ca="1" si="65"/>
        <v>45684</v>
      </c>
      <c r="AL232" s="22">
        <f t="shared" ca="1" si="66"/>
        <v>45593</v>
      </c>
    </row>
    <row r="233" spans="4:38" x14ac:dyDescent="0.25">
      <c r="D233" s="6">
        <f ca="1"/>
        <v>45769</v>
      </c>
      <c r="E233" s="28">
        <f ca="1"/>
        <v>149.76</v>
      </c>
      <c r="F233" s="29" cm="1">
        <f t="array" aca="1" ref="F233" ca="1">_xll.FDS($E$7,"P_BETA_LOCIDX("&amp;$AG233&amp;","&amp;$AL233&amp;",,"""&amp;$E$9&amp;""")")</f>
        <v>1.5636249</v>
      </c>
      <c r="G233" s="30">
        <f t="shared" ca="1" si="52"/>
        <v>3.1660136039579054E-2</v>
      </c>
      <c r="H233" s="30">
        <f t="shared" ca="1" si="52"/>
        <v>2.2925032851688815E-2</v>
      </c>
      <c r="I233" s="30">
        <f t="shared" ca="1" si="52"/>
        <v>1.8125082661041764E-2</v>
      </c>
      <c r="J233" s="30">
        <f t="shared" ca="1" si="52"/>
        <v>-3.5081419441684941E-2</v>
      </c>
      <c r="K233" s="30">
        <f t="shared" ca="1" si="53"/>
        <v>-3.4191107133224916E-2</v>
      </c>
      <c r="L233" s="30">
        <f t="shared" ca="1" si="53"/>
        <v>6.9655400503531223E-2</v>
      </c>
      <c r="M233" s="30">
        <f t="shared" ca="1" si="53"/>
        <v>-0.1300795418640778</v>
      </c>
      <c r="N233" s="30">
        <f t="shared" ca="1" si="53"/>
        <v>-0.20847853610938086</v>
      </c>
      <c r="O233" s="30">
        <f t="shared" ca="1" si="54"/>
        <v>-2.5309710936458618E-3</v>
      </c>
      <c r="P233" s="30">
        <f t="shared" ca="1" si="55"/>
        <v>9.2580433355220038E-2</v>
      </c>
      <c r="Q233" s="30">
        <f t="shared" ca="1" si="56"/>
        <v>-0.11195445920303604</v>
      </c>
      <c r="R233" s="30">
        <f t="shared" ca="1" si="57"/>
        <v>-0.2435599555510658</v>
      </c>
      <c r="S233" s="9" cm="1">
        <f t="array" aca="1" ref="S233" ca="1">_xll.BDH($E$6,"PX LAST",AG233)</f>
        <v>149.76</v>
      </c>
      <c r="T233" s="9" cm="1">
        <f t="array" aca="1" ref="T233" ca="1">_xll.BDH($E$6,"PX LAST",AH233)</f>
        <v>150.13999999999999</v>
      </c>
      <c r="U233" s="9" cm="1">
        <f t="array" aca="1" ref="U233" ca="1">_xll.BDH($E$6,"PX LAST",AI233)</f>
        <v>137.07</v>
      </c>
      <c r="V233" s="9" cm="1">
        <f t="array" aca="1" ref="V233" ca="1">_xll.BDH($E$6,"PX LAST",AJ233)</f>
        <v>168.64</v>
      </c>
      <c r="W233" s="9" cm="1">
        <f t="array" aca="1" ref="W233" ca="1">_xll.BDH($E$6,"PX LAST",AK233)</f>
        <v>197.98</v>
      </c>
      <c r="X233" s="24">
        <f t="shared" ca="1" si="58"/>
        <v>-2.1866566037177404E-2</v>
      </c>
      <c r="Y233" s="24">
        <f t="shared" ca="1" si="59"/>
        <v>4.4547385056052269E-2</v>
      </c>
      <c r="Z233" s="24">
        <f t="shared" ca="1" si="60"/>
        <v>-8.3191014586732281E-2</v>
      </c>
      <c r="AA233" s="24">
        <f t="shared" ca="1" si="61"/>
        <v>-0.13333027384597218</v>
      </c>
      <c r="AB233" s="9" cm="1">
        <f t="array" aca="1" ref="AB233" ca="1">_xll.BDH($E$8,"PX LAST",AG233)</f>
        <v>5287.76</v>
      </c>
      <c r="AC233" s="9" cm="1">
        <f t="array" aca="1" ref="AC233" ca="1">_xll.BDH($E$8,"PX LAST",AH233)</f>
        <v>5405.97</v>
      </c>
      <c r="AD233" s="9" cm="1">
        <f t="array" aca="1" ref="AD233" ca="1">_xll.BDH($E$8,"PX LAST",AI233)</f>
        <v>5062.25</v>
      </c>
      <c r="AE233" s="9" cm="1">
        <f t="array" aca="1" ref="AE233" ca="1">_xll.BDH($E$8,"PX LAST",AJ233)</f>
        <v>5767.57</v>
      </c>
      <c r="AF233" s="9" cm="1">
        <f t="array" aca="1" ref="AF233" ca="1">_xll.BDH($E$8,"PX LAST",AK233)</f>
        <v>6101.24</v>
      </c>
      <c r="AG233" s="20">
        <f t="shared" ca="1" si="67"/>
        <v>45769</v>
      </c>
      <c r="AH233" s="22">
        <f t="shared" ca="1" si="62"/>
        <v>45761</v>
      </c>
      <c r="AI233" s="22">
        <f t="shared" ca="1" si="63"/>
        <v>45754</v>
      </c>
      <c r="AJ233" s="22">
        <f t="shared" ca="1" si="64"/>
        <v>45740</v>
      </c>
      <c r="AK233" s="22">
        <f t="shared" ca="1" si="65"/>
        <v>45681</v>
      </c>
      <c r="AL233" s="22">
        <f t="shared" ca="1" si="66"/>
        <v>45590</v>
      </c>
    </row>
    <row r="234" spans="4:38" x14ac:dyDescent="0.25">
      <c r="D234" s="6">
        <f ca="1"/>
        <v>45768</v>
      </c>
      <c r="E234" s="28">
        <f ca="1"/>
        <v>145.94999999999999</v>
      </c>
      <c r="F234" s="29" cm="1">
        <f t="array" aca="1" ref="F234" ca="1">_xll.FDS($E$7,"P_BETA_LOCIDX("&amp;$AG234&amp;","&amp;$AL234&amp;",,"""&amp;$E$9&amp;""")")</f>
        <v>1.5775703999999999</v>
      </c>
      <c r="G234" s="30">
        <f t="shared" ca="1" si="52"/>
        <v>4.370348250968157E-2</v>
      </c>
      <c r="H234" s="30">
        <f t="shared" ca="1" si="52"/>
        <v>4.6377310834556554E-2</v>
      </c>
      <c r="I234" s="30">
        <f t="shared" ca="1" si="52"/>
        <v>3.9271895522610789E-2</v>
      </c>
      <c r="J234" s="30">
        <f t="shared" ca="1" si="52"/>
        <v>-1.1378529330109965E-2</v>
      </c>
      <c r="K234" s="30">
        <f t="shared" ca="1" si="53"/>
        <v>-6.0345444509412018E-2</v>
      </c>
      <c r="L234" s="30">
        <f t="shared" ca="1" si="53"/>
        <v>2.6153553362974081E-2</v>
      </c>
      <c r="M234" s="30">
        <f t="shared" ca="1" si="53"/>
        <v>-0.14178081201504722</v>
      </c>
      <c r="N234" s="30">
        <f t="shared" ca="1" si="53"/>
        <v>-0.24764568755571026</v>
      </c>
      <c r="O234" s="30">
        <f t="shared" ca="1" si="54"/>
        <v>-1.6641961999730448E-2</v>
      </c>
      <c r="P234" s="30">
        <f t="shared" ca="1" si="55"/>
        <v>7.2530864197530631E-2</v>
      </c>
      <c r="Q234" s="30">
        <f t="shared" ca="1" si="56"/>
        <v>-0.10250891649243643</v>
      </c>
      <c r="R234" s="30">
        <f t="shared" ca="1" si="57"/>
        <v>-0.25902421688582022</v>
      </c>
      <c r="S234" s="9" cm="1">
        <f t="array" aca="1" ref="S234" ca="1">_xll.BDH($E$6,"PX LAST",AG234)</f>
        <v>145.94999999999999</v>
      </c>
      <c r="T234" s="9" cm="1">
        <f t="array" aca="1" ref="T234" ca="1">_xll.BDH($E$6,"PX LAST",AH234)</f>
        <v>148.41999999999999</v>
      </c>
      <c r="U234" s="9" cm="1">
        <f t="array" aca="1" ref="U234" ca="1">_xll.BDH($E$6,"PX LAST",AI234)</f>
        <v>136.08000000000001</v>
      </c>
      <c r="V234" s="9" cm="1">
        <f t="array" aca="1" ref="V234" ca="1">_xll.BDH($E$6,"PX LAST",AJ234)</f>
        <v>162.62</v>
      </c>
      <c r="W234" s="9" cm="1">
        <f t="array" aca="1" ref="W234" ca="1">_xll.BDH($E$6,"PX LAST",AK234)</f>
        <v>196.97</v>
      </c>
      <c r="X234" s="24">
        <f t="shared" ca="1" si="58"/>
        <v>-3.8252140449270611E-2</v>
      </c>
      <c r="Y234" s="24">
        <f t="shared" ca="1" si="59"/>
        <v>1.6578374798978279E-2</v>
      </c>
      <c r="Z234" s="24">
        <f t="shared" ca="1" si="60"/>
        <v>-8.9872890626654267E-2</v>
      </c>
      <c r="AA234" s="24">
        <f t="shared" ca="1" si="61"/>
        <v>-0.15697916717739524</v>
      </c>
      <c r="AB234" s="9" cm="1">
        <f t="array" aca="1" ref="AB234" ca="1">_xll.BDH($E$8,"PX LAST",AG234)</f>
        <v>5158.2</v>
      </c>
      <c r="AC234" s="9" cm="1">
        <f t="array" aca="1" ref="AC234" ca="1">_xll.BDH($E$8,"PX LAST",AH234)</f>
        <v>5363.36</v>
      </c>
      <c r="AD234" s="9" cm="1">
        <f t="array" aca="1" ref="AD234" ca="1">_xll.BDH($E$8,"PX LAST",AI234)</f>
        <v>5074.08</v>
      </c>
      <c r="AE234" s="9" cm="1">
        <f t="array" aca="1" ref="AE234" ca="1">_xll.BDH($E$8,"PX LAST",AJ234)</f>
        <v>5667.56</v>
      </c>
      <c r="AF234" s="9" cm="1">
        <f t="array" aca="1" ref="AF234" ca="1">_xll.BDH($E$8,"PX LAST",AK234)</f>
        <v>6118.71</v>
      </c>
      <c r="AG234" s="20">
        <f t="shared" ca="1" si="67"/>
        <v>45768</v>
      </c>
      <c r="AH234" s="22">
        <f t="shared" ca="1" si="62"/>
        <v>45758</v>
      </c>
      <c r="AI234" s="22">
        <f t="shared" ca="1" si="63"/>
        <v>45751</v>
      </c>
      <c r="AJ234" s="22">
        <f t="shared" ca="1" si="64"/>
        <v>45737</v>
      </c>
      <c r="AK234" s="22">
        <f t="shared" ca="1" si="65"/>
        <v>45680</v>
      </c>
      <c r="AL234" s="22">
        <f t="shared" ca="1" si="66"/>
        <v>45589</v>
      </c>
    </row>
    <row r="235" spans="4:38" x14ac:dyDescent="0.25">
      <c r="D235" s="6">
        <f ca="1"/>
        <v>45764</v>
      </c>
      <c r="E235" s="28">
        <f ca="1"/>
        <v>151.15</v>
      </c>
      <c r="F235" s="29" cm="1">
        <f t="array" aca="1" ref="F235" ca="1">_xll.FDS($E$7,"P_BETA_LOCIDX("&amp;$AG235&amp;","&amp;$AL235&amp;",,"""&amp;$E$9&amp;""")")</f>
        <v>1.5755063</v>
      </c>
      <c r="G235" s="30">
        <f t="shared" ca="1" si="52"/>
        <v>2.4970325970980617E-2</v>
      </c>
      <c r="H235" s="30">
        <f t="shared" ca="1" si="52"/>
        <v>8.4927331917648397E-2</v>
      </c>
      <c r="I235" s="30">
        <f t="shared" ca="1" si="52"/>
        <v>2.2002113437147086E-2</v>
      </c>
      <c r="J235" s="30">
        <f t="shared" ca="1" si="52"/>
        <v>-3.3216443297375164E-2</v>
      </c>
      <c r="K235" s="30">
        <f t="shared" ca="1" si="53"/>
        <v>4.3813493218551611E-3</v>
      </c>
      <c r="L235" s="30">
        <f t="shared" ca="1" si="53"/>
        <v>-3.3229586301171961E-2</v>
      </c>
      <c r="M235" s="30">
        <f t="shared" ca="1" si="53"/>
        <v>-0.10577492061420957</v>
      </c>
      <c r="N235" s="30">
        <f t="shared" ca="1" si="53"/>
        <v>-0.20803650585176392</v>
      </c>
      <c r="O235" s="30">
        <f t="shared" ca="1" si="54"/>
        <v>2.9351675292835777E-2</v>
      </c>
      <c r="P235" s="30">
        <f t="shared" ca="1" si="55"/>
        <v>5.1697745616476443E-2</v>
      </c>
      <c r="Q235" s="30">
        <f t="shared" ca="1" si="56"/>
        <v>-8.377280717706248E-2</v>
      </c>
      <c r="R235" s="30">
        <f t="shared" ca="1" si="57"/>
        <v>-0.24125294914913908</v>
      </c>
      <c r="S235" s="9" cm="1">
        <f t="array" aca="1" ref="S235" ca="1">_xll.BDH($E$6,"PX LAST",AG235)</f>
        <v>151.15</v>
      </c>
      <c r="T235" s="9" cm="1">
        <f t="array" aca="1" ref="T235" ca="1">_xll.BDH($E$6,"PX LAST",AH235)</f>
        <v>146.84</v>
      </c>
      <c r="U235" s="9" cm="1">
        <f t="array" aca="1" ref="U235" ca="1">_xll.BDH($E$6,"PX LAST",AI235)</f>
        <v>143.72</v>
      </c>
      <c r="V235" s="9" cm="1">
        <f t="array" aca="1" ref="V235" ca="1">_xll.BDH($E$6,"PX LAST",AJ235)</f>
        <v>164.97</v>
      </c>
      <c r="W235" s="9" cm="1">
        <f t="array" aca="1" ref="W235" ca="1">_xll.BDH($E$6,"PX LAST",AK235)</f>
        <v>199.21</v>
      </c>
      <c r="X235" s="24">
        <f t="shared" ca="1" si="58"/>
        <v>2.7809151393778375E-3</v>
      </c>
      <c r="Y235" s="24">
        <f t="shared" ca="1" si="59"/>
        <v>-2.109136999399619E-2</v>
      </c>
      <c r="Z235" s="24">
        <f t="shared" ca="1" si="60"/>
        <v>-6.7137097842267957E-2</v>
      </c>
      <c r="AA235" s="24">
        <f t="shared" ca="1" si="61"/>
        <v>-0.13204422340409805</v>
      </c>
      <c r="AB235" s="9" cm="1">
        <f t="array" aca="1" ref="AB235" ca="1">_xll.BDH($E$8,"PX LAST",AG235)</f>
        <v>5282.7</v>
      </c>
      <c r="AC235" s="9" cm="1">
        <f t="array" aca="1" ref="AC235" ca="1">_xll.BDH($E$8,"PX LAST",AH235)</f>
        <v>5268.05</v>
      </c>
      <c r="AD235" s="9" cm="1">
        <f t="array" aca="1" ref="AD235" ca="1">_xll.BDH($E$8,"PX LAST",AI235)</f>
        <v>5396.52</v>
      </c>
      <c r="AE235" s="9" cm="1">
        <f t="array" aca="1" ref="AE235" ca="1">_xll.BDH($E$8,"PX LAST",AJ235)</f>
        <v>5662.89</v>
      </c>
      <c r="AF235" s="9" cm="1">
        <f t="array" aca="1" ref="AF235" ca="1">_xll.BDH($E$8,"PX LAST",AK235)</f>
        <v>6086.37</v>
      </c>
      <c r="AG235" s="20">
        <f t="shared" ca="1" si="67"/>
        <v>45764</v>
      </c>
      <c r="AH235" s="22">
        <f t="shared" ca="1" si="62"/>
        <v>45757</v>
      </c>
      <c r="AI235" s="22">
        <f t="shared" ca="1" si="63"/>
        <v>45750</v>
      </c>
      <c r="AJ235" s="22">
        <f t="shared" ca="1" si="64"/>
        <v>45736</v>
      </c>
      <c r="AK235" s="22">
        <f t="shared" ca="1" si="65"/>
        <v>45679</v>
      </c>
      <c r="AL235" s="22">
        <f t="shared" ca="1" si="66"/>
        <v>45588</v>
      </c>
    </row>
    <row r="236" spans="4:38" x14ac:dyDescent="0.25">
      <c r="D236" s="6">
        <f ca="1"/>
        <v>45763</v>
      </c>
      <c r="E236" s="28">
        <f ca="1"/>
        <v>147.91</v>
      </c>
      <c r="F236" s="29" cm="1">
        <f t="array" aca="1" ref="F236" ca="1">_xll.FDS($E$7,"P_BETA_LOCIDX("&amp;$AG236&amp;","&amp;$AL236&amp;",,"""&amp;$E$9&amp;""")")</f>
        <v>1.5738664</v>
      </c>
      <c r="G236" s="30">
        <f t="shared" ca="1" si="52"/>
        <v>1.3589762791210901E-2</v>
      </c>
      <c r="H236" s="30">
        <f t="shared" ca="1" si="52"/>
        <v>2.0531376965519113E-2</v>
      </c>
      <c r="I236" s="30">
        <f t="shared" ca="1" si="52"/>
        <v>1.1943930200070257E-3</v>
      </c>
      <c r="J236" s="30">
        <f t="shared" ca="1" si="52"/>
        <v>-5.3755126722058511E-2</v>
      </c>
      <c r="K236" s="30">
        <f t="shared" ca="1" si="53"/>
        <v>-5.2261282354450343E-2</v>
      </c>
      <c r="L236" s="30">
        <f t="shared" ca="1" si="53"/>
        <v>-0.10969942918548338</v>
      </c>
      <c r="M236" s="30">
        <f t="shared" ca="1" si="53"/>
        <v>-0.11081394515099675</v>
      </c>
      <c r="N236" s="30">
        <f t="shared" ca="1" si="53"/>
        <v>-0.20125645784528312</v>
      </c>
      <c r="O236" s="30">
        <f t="shared" ca="1" si="54"/>
        <v>-3.8671519563239443E-2</v>
      </c>
      <c r="P236" s="30">
        <f t="shared" ca="1" si="55"/>
        <v>-8.9168052219964267E-2</v>
      </c>
      <c r="Q236" s="30">
        <f t="shared" ca="1" si="56"/>
        <v>-0.10961955213098973</v>
      </c>
      <c r="R236" s="30">
        <f t="shared" ca="1" si="57"/>
        <v>-0.25501158456734163</v>
      </c>
      <c r="S236" s="9" cm="1">
        <f t="array" aca="1" ref="S236" ca="1">_xll.BDH($E$6,"PX LAST",AG236)</f>
        <v>147.91</v>
      </c>
      <c r="T236" s="9" cm="1">
        <f t="array" aca="1" ref="T236" ca="1">_xll.BDH($E$6,"PX LAST",AH236)</f>
        <v>153.86000000000001</v>
      </c>
      <c r="U236" s="9" cm="1">
        <f t="array" aca="1" ref="U236" ca="1">_xll.BDH($E$6,"PX LAST",AI236)</f>
        <v>162.38999999999999</v>
      </c>
      <c r="V236" s="9" cm="1">
        <f t="array" aca="1" ref="V236" ca="1">_xll.BDH($E$6,"PX LAST",AJ236)</f>
        <v>166.12</v>
      </c>
      <c r="W236" s="9" cm="1">
        <f t="array" aca="1" ref="W236" ca="1">_xll.BDH($E$6,"PX LAST",AK236)</f>
        <v>198.54</v>
      </c>
      <c r="X236" s="24">
        <f t="shared" ca="1" si="58"/>
        <v>-3.3205666220748054E-2</v>
      </c>
      <c r="Y236" s="24">
        <f t="shared" ca="1" si="59"/>
        <v>-6.9700597957668697E-2</v>
      </c>
      <c r="Z236" s="24">
        <f t="shared" ca="1" si="60"/>
        <v>-7.0408736822259343E-2</v>
      </c>
      <c r="AA236" s="24">
        <f t="shared" ca="1" si="61"/>
        <v>-0.12787391473970289</v>
      </c>
      <c r="AB236" s="9" cm="1">
        <f t="array" aca="1" ref="AB236" ca="1">_xll.BDH($E$8,"PX LAST",AG236)</f>
        <v>5275.7</v>
      </c>
      <c r="AC236" s="9" cm="1">
        <f t="array" aca="1" ref="AC236" ca="1">_xll.BDH($E$8,"PX LAST",AH236)</f>
        <v>5456.9</v>
      </c>
      <c r="AD236" s="9" cm="1">
        <f t="array" aca="1" ref="AD236" ca="1">_xll.BDH($E$8,"PX LAST",AI236)</f>
        <v>5670.97</v>
      </c>
      <c r="AE236" s="9" cm="1">
        <f t="array" aca="1" ref="AE236" ca="1">_xll.BDH($E$8,"PX LAST",AJ236)</f>
        <v>5675.29</v>
      </c>
      <c r="AF236" s="9" cm="1">
        <f t="array" aca="1" ref="AF236" ca="1">_xll.BDH($E$8,"PX LAST",AK236)</f>
        <v>6049.24</v>
      </c>
      <c r="AG236" s="20">
        <f t="shared" ca="1" si="67"/>
        <v>45763</v>
      </c>
      <c r="AH236" s="22">
        <f t="shared" ca="1" si="62"/>
        <v>45756</v>
      </c>
      <c r="AI236" s="22">
        <f t="shared" ca="1" si="63"/>
        <v>45749</v>
      </c>
      <c r="AJ236" s="22">
        <f t="shared" ca="1" si="64"/>
        <v>45735</v>
      </c>
      <c r="AK236" s="22">
        <f t="shared" ca="1" si="65"/>
        <v>45678</v>
      </c>
      <c r="AL236" s="22">
        <f t="shared" ca="1" si="66"/>
        <v>45587</v>
      </c>
    </row>
    <row r="237" spans="4:38" x14ac:dyDescent="0.25">
      <c r="D237" s="6">
        <f ca="1"/>
        <v>45762</v>
      </c>
      <c r="E237" s="28">
        <f ca="1"/>
        <v>150.07</v>
      </c>
      <c r="F237" s="29" cm="1">
        <f t="array" aca="1" ref="F237" ca="1">_xll.FDS($E$7,"P_BETA_LOCIDX("&amp;$AG237&amp;","&amp;$AL237&amp;",,"""&amp;$E$9&amp;""")")</f>
        <v>1.5914382</v>
      </c>
      <c r="G237" s="30">
        <f t="shared" ca="1" si="52"/>
        <v>-2.6471732250674673E-3</v>
      </c>
      <c r="H237" s="30">
        <f t="shared" ca="1" si="52"/>
        <v>2.620249457864296E-2</v>
      </c>
      <c r="I237" s="30">
        <f t="shared" ca="1" si="52"/>
        <v>-9.2624310060975198E-3</v>
      </c>
      <c r="J237" s="30">
        <f t="shared" ca="1" si="52"/>
        <v>-5.7554109531489678E-2</v>
      </c>
      <c r="K237" s="30">
        <f t="shared" ca="1" si="53"/>
        <v>0.13218202193799811</v>
      </c>
      <c r="L237" s="30">
        <f t="shared" ca="1" si="53"/>
        <v>-6.6798326313715156E-2</v>
      </c>
      <c r="M237" s="30">
        <f t="shared" ca="1" si="53"/>
        <v>-6.1799159832652224E-2</v>
      </c>
      <c r="N237" s="30">
        <f t="shared" ca="1" si="53"/>
        <v>-0.1592404210253707</v>
      </c>
      <c r="O237" s="30">
        <f t="shared" ca="1" si="54"/>
        <v>0.12953484871293064</v>
      </c>
      <c r="P237" s="30">
        <f t="shared" ca="1" si="55"/>
        <v>-4.0595831735072196E-2</v>
      </c>
      <c r="Q237" s="30">
        <f t="shared" ca="1" si="56"/>
        <v>-7.1061590838749744E-2</v>
      </c>
      <c r="R237" s="30">
        <f t="shared" ca="1" si="57"/>
        <v>-0.21679453055686038</v>
      </c>
      <c r="S237" s="9" cm="1">
        <f t="array" aca="1" ref="S237" ca="1">_xll.BDH($E$6,"PX LAST",AG237)</f>
        <v>150.07</v>
      </c>
      <c r="T237" s="9" cm="1">
        <f t="array" aca="1" ref="T237" ca="1">_xll.BDH($E$6,"PX LAST",AH237)</f>
        <v>132.86000000000001</v>
      </c>
      <c r="U237" s="9" cm="1">
        <f t="array" aca="1" ref="U237" ca="1">_xll.BDH($E$6,"PX LAST",AI237)</f>
        <v>156.41999999999999</v>
      </c>
      <c r="V237" s="9" cm="1">
        <f t="array" aca="1" ref="V237" ca="1">_xll.BDH($E$6,"PX LAST",AJ237)</f>
        <v>161.55000000000001</v>
      </c>
      <c r="W237" s="9" cm="1">
        <f t="array" aca="1" ref="W237" ca="1">_xll.BDH($E$6,"PX LAST",AK237)</f>
        <v>191.61</v>
      </c>
      <c r="X237" s="24">
        <f t="shared" ca="1" si="58"/>
        <v>8.3058218621369084E-2</v>
      </c>
      <c r="Y237" s="24">
        <f t="shared" ca="1" si="59"/>
        <v>-4.1973559710779318E-2</v>
      </c>
      <c r="Z237" s="24">
        <f t="shared" ca="1" si="60"/>
        <v>-3.8832271232808302E-2</v>
      </c>
      <c r="AA237" s="24">
        <f t="shared" ca="1" si="61"/>
        <v>-0.10006070045658744</v>
      </c>
      <c r="AB237" s="9" cm="1">
        <f t="array" aca="1" ref="AB237" ca="1">_xll.BDH($E$8,"PX LAST",AG237)</f>
        <v>5396.63</v>
      </c>
      <c r="AC237" s="9" cm="1">
        <f t="array" aca="1" ref="AC237" ca="1">_xll.BDH($E$8,"PX LAST",AH237)</f>
        <v>4982.7700000000004</v>
      </c>
      <c r="AD237" s="9" cm="1">
        <f t="array" aca="1" ref="AD237" ca="1">_xll.BDH($E$8,"PX LAST",AI237)</f>
        <v>5633.07</v>
      </c>
      <c r="AE237" s="9" cm="1">
        <f t="array" aca="1" ref="AE237" ca="1">_xll.BDH($E$8,"PX LAST",AJ237)</f>
        <v>5614.66</v>
      </c>
      <c r="AF237" s="9" cm="1">
        <f t="array" aca="1" ref="AF237" ca="1">_xll.BDH($E$8,"PX LAST",AK237)</f>
        <v>5996.66</v>
      </c>
      <c r="AG237" s="20">
        <f t="shared" ca="1" si="67"/>
        <v>45762</v>
      </c>
      <c r="AH237" s="22">
        <f t="shared" ca="1" si="62"/>
        <v>45755</v>
      </c>
      <c r="AI237" s="22">
        <f t="shared" ca="1" si="63"/>
        <v>45748</v>
      </c>
      <c r="AJ237" s="22">
        <f t="shared" ca="1" si="64"/>
        <v>45734</v>
      </c>
      <c r="AK237" s="22">
        <f t="shared" ca="1" si="65"/>
        <v>45674</v>
      </c>
      <c r="AL237" s="22">
        <f t="shared" ca="1" si="66"/>
        <v>45586</v>
      </c>
    </row>
    <row r="238" spans="4:38" x14ac:dyDescent="0.25">
      <c r="D238" s="6">
        <f ca="1"/>
        <v>45761</v>
      </c>
      <c r="E238" s="28">
        <f ca="1"/>
        <v>150.13999999999999</v>
      </c>
      <c r="F238" s="29" cm="1">
        <f t="array" aca="1" ref="F238" ca="1">_xll.FDS($E$7,"P_BETA_LOCIDX("&amp;$AG238&amp;","&amp;$AL238&amp;",,"""&amp;$E$9&amp;""")")</f>
        <v>1.5890479</v>
      </c>
      <c r="G238" s="30">
        <f t="shared" ca="1" si="52"/>
        <v>-1.2541486251115203E-2</v>
      </c>
      <c r="H238" s="30">
        <f t="shared" ca="1" si="52"/>
        <v>2.5070836542994163E-2</v>
      </c>
      <c r="I238" s="30">
        <f t="shared" ca="1" si="52"/>
        <v>-6.8550612743960709E-3</v>
      </c>
      <c r="J238" s="30">
        <f t="shared" ca="1" si="52"/>
        <v>-8.2469789934876497E-2</v>
      </c>
      <c r="K238" s="30">
        <f t="shared" ca="1" si="53"/>
        <v>0.10789422572729515</v>
      </c>
      <c r="L238" s="30">
        <f t="shared" ca="1" si="53"/>
        <v>-5.8296850709124409E-2</v>
      </c>
      <c r="M238" s="30">
        <f t="shared" ca="1" si="53"/>
        <v>-7.5362678196231866E-2</v>
      </c>
      <c r="N238" s="30">
        <f t="shared" ca="1" si="53"/>
        <v>-0.1422139177852372</v>
      </c>
      <c r="O238" s="30">
        <f t="shared" ca="1" si="54"/>
        <v>9.5352739476179948E-2</v>
      </c>
      <c r="P238" s="30">
        <f t="shared" ca="1" si="55"/>
        <v>-3.3226014166130247E-2</v>
      </c>
      <c r="Q238" s="30">
        <f t="shared" ca="1" si="56"/>
        <v>-8.2217739470627937E-2</v>
      </c>
      <c r="R238" s="30">
        <f t="shared" ca="1" si="57"/>
        <v>-0.2246837077201137</v>
      </c>
      <c r="S238" s="9" cm="1">
        <f t="array" aca="1" ref="S238" ca="1">_xll.BDH($E$6,"PX LAST",AG238)</f>
        <v>150.13999999999999</v>
      </c>
      <c r="T238" s="9" cm="1">
        <f t="array" aca="1" ref="T238" ca="1">_xll.BDH($E$6,"PX LAST",AH238)</f>
        <v>137.07</v>
      </c>
      <c r="U238" s="9" cm="1">
        <f t="array" aca="1" ref="U238" ca="1">_xll.BDH($E$6,"PX LAST",AI238)</f>
        <v>155.30000000000001</v>
      </c>
      <c r="V238" s="9" cm="1">
        <f t="array" aca="1" ref="V238" ca="1">_xll.BDH($E$6,"PX LAST",AJ238)</f>
        <v>163.59</v>
      </c>
      <c r="W238" s="9" cm="1">
        <f t="array" aca="1" ref="W238" ca="1">_xll.BDH($E$6,"PX LAST",AK238)</f>
        <v>193.65</v>
      </c>
      <c r="X238" s="24">
        <f t="shared" ca="1" si="58"/>
        <v>6.7898661662304294E-2</v>
      </c>
      <c r="Y238" s="24">
        <f t="shared" ca="1" si="59"/>
        <v>-3.6686654133663565E-2</v>
      </c>
      <c r="Z238" s="24">
        <f t="shared" ca="1" si="60"/>
        <v>-4.7426309928248145E-2</v>
      </c>
      <c r="AA238" s="24">
        <f t="shared" ca="1" si="61"/>
        <v>-8.9496306426783745E-2</v>
      </c>
      <c r="AB238" s="9" cm="1">
        <f t="array" aca="1" ref="AB238" ca="1">_xll.BDH($E$8,"PX LAST",AG238)</f>
        <v>5405.97</v>
      </c>
      <c r="AC238" s="9" cm="1">
        <f t="array" aca="1" ref="AC238" ca="1">_xll.BDH($E$8,"PX LAST",AH238)</f>
        <v>5062.25</v>
      </c>
      <c r="AD238" s="9" cm="1">
        <f t="array" aca="1" ref="AD238" ca="1">_xll.BDH($E$8,"PX LAST",AI238)</f>
        <v>5611.85</v>
      </c>
      <c r="AE238" s="9" cm="1">
        <f t="array" aca="1" ref="AE238" ca="1">_xll.BDH($E$8,"PX LAST",AJ238)</f>
        <v>5675.12</v>
      </c>
      <c r="AF238" s="9" cm="1">
        <f t="array" aca="1" ref="AF238" ca="1">_xll.BDH($E$8,"PX LAST",AK238)</f>
        <v>5937.34</v>
      </c>
      <c r="AG238" s="20">
        <f t="shared" ca="1" si="67"/>
        <v>45761</v>
      </c>
      <c r="AH238" s="22">
        <f t="shared" ca="1" si="62"/>
        <v>45754</v>
      </c>
      <c r="AI238" s="22">
        <f t="shared" ca="1" si="63"/>
        <v>45747</v>
      </c>
      <c r="AJ238" s="22">
        <f t="shared" ca="1" si="64"/>
        <v>45733</v>
      </c>
      <c r="AK238" s="22">
        <f t="shared" ca="1" si="65"/>
        <v>45673</v>
      </c>
      <c r="AL238" s="22">
        <f t="shared" ca="1" si="66"/>
        <v>45583</v>
      </c>
    </row>
    <row r="239" spans="4:38" x14ac:dyDescent="0.25">
      <c r="D239" s="6">
        <f ca="1"/>
        <v>45758</v>
      </c>
      <c r="E239" s="28">
        <f ca="1"/>
        <v>148.41999999999999</v>
      </c>
      <c r="F239" s="29" cm="1">
        <f t="array" aca="1" ref="F239" ca="1">_xll.FDS($E$7,"P_BETA_LOCIDX("&amp;$AG239&amp;","&amp;$AL239&amp;",,"""&amp;$E$9&amp;""")")</f>
        <v>1.5894938999999999</v>
      </c>
      <c r="G239" s="30">
        <f t="shared" ca="1" si="52"/>
        <v>6.2805979043581428E-5</v>
      </c>
      <c r="H239" s="30">
        <f t="shared" ca="1" si="52"/>
        <v>1.0763416926127957E-2</v>
      </c>
      <c r="I239" s="30">
        <f t="shared" ca="1" si="52"/>
        <v>-1.098513423458608E-2</v>
      </c>
      <c r="J239" s="30">
        <f t="shared" ca="1" si="52"/>
        <v>-6.0540966193173812E-2</v>
      </c>
      <c r="K239" s="30">
        <f t="shared" ca="1" si="53"/>
        <v>9.0619145814019239E-2</v>
      </c>
      <c r="L239" s="30">
        <f t="shared" ca="1" si="53"/>
        <v>-6.1968428752504114E-2</v>
      </c>
      <c r="M239" s="30">
        <f t="shared" ca="1" si="53"/>
        <v>-7.7679976903815173E-2</v>
      </c>
      <c r="N239" s="30">
        <f t="shared" ca="1" si="53"/>
        <v>-0.15669441168773982</v>
      </c>
      <c r="O239" s="30">
        <f t="shared" ca="1" si="54"/>
        <v>9.068195179306282E-2</v>
      </c>
      <c r="P239" s="30">
        <f t="shared" ca="1" si="55"/>
        <v>-5.1205011826376157E-2</v>
      </c>
      <c r="Q239" s="30">
        <f t="shared" ca="1" si="56"/>
        <v>-8.8665111138401254E-2</v>
      </c>
      <c r="R239" s="30">
        <f t="shared" ca="1" si="57"/>
        <v>-0.21723537788091363</v>
      </c>
      <c r="S239" s="9" cm="1">
        <f t="array" aca="1" ref="S239" ca="1">_xll.BDH($E$6,"PX LAST",AG239)</f>
        <v>148.41999999999999</v>
      </c>
      <c r="T239" s="9" cm="1">
        <f t="array" aca="1" ref="T239" ca="1">_xll.BDH($E$6,"PX LAST",AH239)</f>
        <v>136.08000000000001</v>
      </c>
      <c r="U239" s="9" cm="1">
        <f t="array" aca="1" ref="U239" ca="1">_xll.BDH($E$6,"PX LAST",AI239)</f>
        <v>156.43</v>
      </c>
      <c r="V239" s="9" cm="1">
        <f t="array" aca="1" ref="V239" ca="1">_xll.BDH($E$6,"PX LAST",AJ239)</f>
        <v>162.86000000000001</v>
      </c>
      <c r="W239" s="9" cm="1">
        <f t="array" aca="1" ref="W239" ca="1">_xll.BDH($E$6,"PX LAST",AK239)</f>
        <v>189.61</v>
      </c>
      <c r="X239" s="24">
        <f t="shared" ca="1" si="58"/>
        <v>5.7011320278749889E-2</v>
      </c>
      <c r="Y239" s="24">
        <f t="shared" ca="1" si="59"/>
        <v>-3.8986263962701662E-2</v>
      </c>
      <c r="Z239" s="24">
        <f t="shared" ca="1" si="60"/>
        <v>-4.8870887081614578E-2</v>
      </c>
      <c r="AA239" s="24">
        <f t="shared" ca="1" si="61"/>
        <v>-9.8581323078836491E-2</v>
      </c>
      <c r="AB239" s="9" cm="1">
        <f t="array" aca="1" ref="AB239" ca="1">_xll.BDH($E$8,"PX LAST",AG239)</f>
        <v>5363.36</v>
      </c>
      <c r="AC239" s="9" cm="1">
        <f t="array" aca="1" ref="AC239" ca="1">_xll.BDH($E$8,"PX LAST",AH239)</f>
        <v>5074.08</v>
      </c>
      <c r="AD239" s="9" cm="1">
        <f t="array" aca="1" ref="AD239" ca="1">_xll.BDH($E$8,"PX LAST",AI239)</f>
        <v>5580.94</v>
      </c>
      <c r="AE239" s="9" cm="1">
        <f t="array" aca="1" ref="AE239" ca="1">_xll.BDH($E$8,"PX LAST",AJ239)</f>
        <v>5638.94</v>
      </c>
      <c r="AF239" s="9" cm="1">
        <f t="array" aca="1" ref="AF239" ca="1">_xll.BDH($E$8,"PX LAST",AK239)</f>
        <v>5949.91</v>
      </c>
      <c r="AG239" s="20">
        <f t="shared" ca="1" si="67"/>
        <v>45758</v>
      </c>
      <c r="AH239" s="22">
        <f t="shared" ca="1" si="62"/>
        <v>45751</v>
      </c>
      <c r="AI239" s="22">
        <f t="shared" ca="1" si="63"/>
        <v>45744</v>
      </c>
      <c r="AJ239" s="22">
        <f t="shared" ca="1" si="64"/>
        <v>45730</v>
      </c>
      <c r="AK239" s="22">
        <f t="shared" ca="1" si="65"/>
        <v>45672</v>
      </c>
      <c r="AL239" s="22">
        <f t="shared" ca="1" si="66"/>
        <v>45582</v>
      </c>
    </row>
    <row r="240" spans="4:38" x14ac:dyDescent="0.25">
      <c r="D240" s="6">
        <f ca="1"/>
        <v>45757</v>
      </c>
      <c r="E240" s="28">
        <f ca="1"/>
        <v>146.84</v>
      </c>
      <c r="F240" s="29" cm="1">
        <f t="array" aca="1" ref="F240" ca="1">_xll.FDS($E$7,"P_BETA_LOCIDX("&amp;$AG240&amp;","&amp;$AL240&amp;",,"""&amp;$E$9&amp;""")")</f>
        <v>1.6093645000000001</v>
      </c>
      <c r="G240" s="30">
        <f t="shared" ca="1" si="52"/>
        <v>6.0021542334910374E-2</v>
      </c>
      <c r="H240" s="30">
        <f t="shared" ca="1" si="52"/>
        <v>2.018645939680129E-2</v>
      </c>
      <c r="I240" s="30">
        <f t="shared" ca="1" si="52"/>
        <v>3.7301034913717057E-4</v>
      </c>
      <c r="J240" s="30">
        <f t="shared" ca="1" si="52"/>
        <v>-6.4030540845718659E-2</v>
      </c>
      <c r="K240" s="30">
        <f t="shared" ca="1" si="53"/>
        <v>-3.831266396029305E-2</v>
      </c>
      <c r="L240" s="30">
        <f t="shared" ca="1" si="53"/>
        <v>-0.1202109752095004</v>
      </c>
      <c r="M240" s="30">
        <f t="shared" ca="1" si="53"/>
        <v>-7.387922525228563E-2</v>
      </c>
      <c r="N240" s="30">
        <f t="shared" ca="1" si="53"/>
        <v>-0.15833878606208199</v>
      </c>
      <c r="O240" s="30">
        <f t="shared" ca="1" si="54"/>
        <v>2.1708878374617324E-2</v>
      </c>
      <c r="P240" s="30">
        <f t="shared" ca="1" si="55"/>
        <v>-0.10002451581269911</v>
      </c>
      <c r="Q240" s="30">
        <f t="shared" ca="1" si="56"/>
        <v>-7.3506214903148459E-2</v>
      </c>
      <c r="R240" s="30">
        <f t="shared" ca="1" si="57"/>
        <v>-0.22236932690780065</v>
      </c>
      <c r="S240" s="9" cm="1">
        <f t="array" aca="1" ref="S240" ca="1">_xll.BDH($E$6,"PX LAST",AG240)</f>
        <v>146.84</v>
      </c>
      <c r="T240" s="9" cm="1">
        <f t="array" aca="1" ref="T240" ca="1">_xll.BDH($E$6,"PX LAST",AH240)</f>
        <v>143.72</v>
      </c>
      <c r="U240" s="9" cm="1">
        <f t="array" aca="1" ref="U240" ca="1">_xll.BDH($E$6,"PX LAST",AI240)</f>
        <v>163.16</v>
      </c>
      <c r="V240" s="9" cm="1">
        <f t="array" aca="1" ref="V240" ca="1">_xll.BDH($E$6,"PX LAST",AJ240)</f>
        <v>158.49</v>
      </c>
      <c r="W240" s="9" cm="1">
        <f t="array" aca="1" ref="W240" ca="1">_xll.BDH($E$6,"PX LAST",AK240)</f>
        <v>188.83</v>
      </c>
      <c r="X240" s="24">
        <f t="shared" ca="1" si="58"/>
        <v>-2.3806082438312171E-2</v>
      </c>
      <c r="Y240" s="24">
        <f t="shared" ca="1" si="59"/>
        <v>-7.4694685516861092E-2</v>
      </c>
      <c r="Z240" s="24">
        <f t="shared" ca="1" si="60"/>
        <v>-4.5905837523000925E-2</v>
      </c>
      <c r="AA240" s="24">
        <f t="shared" ca="1" si="61"/>
        <v>-9.8385907022356944E-2</v>
      </c>
      <c r="AB240" s="9" cm="1">
        <f t="array" aca="1" ref="AB240" ca="1">_xll.BDH($E$8,"PX LAST",AG240)</f>
        <v>5268.05</v>
      </c>
      <c r="AC240" s="9" cm="1">
        <f t="array" aca="1" ref="AC240" ca="1">_xll.BDH($E$8,"PX LAST",AH240)</f>
        <v>5396.52</v>
      </c>
      <c r="AD240" s="9" cm="1">
        <f t="array" aca="1" ref="AD240" ca="1">_xll.BDH($E$8,"PX LAST",AI240)</f>
        <v>5693.31</v>
      </c>
      <c r="AE240" s="9" cm="1">
        <f t="array" aca="1" ref="AE240" ca="1">_xll.BDH($E$8,"PX LAST",AJ240)</f>
        <v>5521.52</v>
      </c>
      <c r="AF240" s="9" cm="1">
        <f t="array" aca="1" ref="AF240" ca="1">_xll.BDH($E$8,"PX LAST",AK240)</f>
        <v>5842.91</v>
      </c>
      <c r="AG240" s="20">
        <f t="shared" ca="1" si="67"/>
        <v>45757</v>
      </c>
      <c r="AH240" s="22">
        <f t="shared" ca="1" si="62"/>
        <v>45750</v>
      </c>
      <c r="AI240" s="22">
        <f t="shared" ca="1" si="63"/>
        <v>45743</v>
      </c>
      <c r="AJ240" s="22">
        <f t="shared" ca="1" si="64"/>
        <v>45729</v>
      </c>
      <c r="AK240" s="22">
        <f t="shared" ca="1" si="65"/>
        <v>45671</v>
      </c>
      <c r="AL240" s="22">
        <f t="shared" ca="1" si="66"/>
        <v>45581</v>
      </c>
    </row>
    <row r="241" spans="4:38" x14ac:dyDescent="0.25">
      <c r="D241" s="6">
        <f ca="1"/>
        <v>45756</v>
      </c>
      <c r="E241" s="28">
        <f ca="1"/>
        <v>153.86000000000001</v>
      </c>
      <c r="F241" s="29" cm="1">
        <f t="array" aca="1" ref="F241" ca="1">_xll.FDS($E$7,"P_BETA_LOCIDX("&amp;$AG241&amp;","&amp;$AL241&amp;",,"""&amp;$E$9&amp;""")")</f>
        <v>1.6241509000000001</v>
      </c>
      <c r="G241" s="30">
        <f t="shared" ca="1" si="52"/>
        <v>8.7812202306499429E-3</v>
      </c>
      <c r="H241" s="30">
        <f t="shared" ca="1" si="52"/>
        <v>3.3256896089832871E-3</v>
      </c>
      <c r="I241" s="30">
        <f t="shared" ca="1" si="52"/>
        <v>-1.9149323103631766E-2</v>
      </c>
      <c r="J241" s="30">
        <f t="shared" ca="1" si="52"/>
        <v>-4.840432492846676E-2</v>
      </c>
      <c r="K241" s="30">
        <f t="shared" ca="1" si="53"/>
        <v>-6.1309085246968507E-2</v>
      </c>
      <c r="L241" s="30">
        <f t="shared" ca="1" si="53"/>
        <v>-7.2589497001155481E-2</v>
      </c>
      <c r="M241" s="30">
        <f t="shared" ca="1" si="53"/>
        <v>-4.1305000296465832E-2</v>
      </c>
      <c r="N241" s="30">
        <f t="shared" ca="1" si="53"/>
        <v>-0.10556026321625993</v>
      </c>
      <c r="O241" s="30">
        <f t="shared" ca="1" si="54"/>
        <v>-5.2527865016318565E-2</v>
      </c>
      <c r="P241" s="30">
        <f t="shared" ca="1" si="55"/>
        <v>-6.9263807392172194E-2</v>
      </c>
      <c r="Q241" s="30">
        <f t="shared" ca="1" si="56"/>
        <v>-6.0454323400097598E-2</v>
      </c>
      <c r="R241" s="30">
        <f t="shared" ca="1" si="57"/>
        <v>-0.15396458814472669</v>
      </c>
      <c r="S241" s="9" cm="1">
        <f t="array" aca="1" ref="S241" ca="1">_xll.BDH($E$6,"PX LAST",AG241)</f>
        <v>153.86000000000001</v>
      </c>
      <c r="T241" s="9" cm="1">
        <f t="array" aca="1" ref="T241" ca="1">_xll.BDH($E$6,"PX LAST",AH241)</f>
        <v>162.38999999999999</v>
      </c>
      <c r="U241" s="9" cm="1">
        <f t="array" aca="1" ref="U241" ca="1">_xll.BDH($E$6,"PX LAST",AI241)</f>
        <v>165.31</v>
      </c>
      <c r="V241" s="9" cm="1">
        <f t="array" aca="1" ref="V241" ca="1">_xll.BDH($E$6,"PX LAST",AJ241)</f>
        <v>163.76</v>
      </c>
      <c r="W241" s="9" cm="1">
        <f t="array" aca="1" ref="W241" ca="1">_xll.BDH($E$6,"PX LAST",AK241)</f>
        <v>181.86</v>
      </c>
      <c r="X241" s="24">
        <f t="shared" ca="1" si="58"/>
        <v>-3.7748392250355867E-2</v>
      </c>
      <c r="Y241" s="24">
        <f t="shared" ca="1" si="59"/>
        <v>-4.4693813241833302E-2</v>
      </c>
      <c r="Z241" s="24">
        <f t="shared" ca="1" si="60"/>
        <v>-2.5431750397371222E-2</v>
      </c>
      <c r="AA241" s="24">
        <f t="shared" ca="1" si="61"/>
        <v>-6.499412290832085E-2</v>
      </c>
      <c r="AB241" s="9" cm="1">
        <f t="array" aca="1" ref="AB241" ca="1">_xll.BDH($E$8,"PX LAST",AG241)</f>
        <v>5456.9</v>
      </c>
      <c r="AC241" s="9" cm="1">
        <f t="array" aca="1" ref="AC241" ca="1">_xll.BDH($E$8,"PX LAST",AH241)</f>
        <v>5670.97</v>
      </c>
      <c r="AD241" s="9" cm="1">
        <f t="array" aca="1" ref="AD241" ca="1">_xll.BDH($E$8,"PX LAST",AI241)</f>
        <v>5712.2</v>
      </c>
      <c r="AE241" s="9" cm="1">
        <f t="array" aca="1" ref="AE241" ca="1">_xll.BDH($E$8,"PX LAST",AJ241)</f>
        <v>5599.3</v>
      </c>
      <c r="AF241" s="9" cm="1">
        <f t="array" aca="1" ref="AF241" ca="1">_xll.BDH($E$8,"PX LAST",AK241)</f>
        <v>5836.22</v>
      </c>
      <c r="AG241" s="20">
        <f t="shared" ca="1" si="67"/>
        <v>45756</v>
      </c>
      <c r="AH241" s="22">
        <f t="shared" ca="1" si="62"/>
        <v>45749</v>
      </c>
      <c r="AI241" s="22">
        <f t="shared" ca="1" si="63"/>
        <v>45742</v>
      </c>
      <c r="AJ241" s="22">
        <f t="shared" ca="1" si="64"/>
        <v>45728</v>
      </c>
      <c r="AK241" s="22">
        <f t="shared" ca="1" si="65"/>
        <v>45670</v>
      </c>
      <c r="AL241" s="22">
        <f t="shared" ca="1" si="66"/>
        <v>45580</v>
      </c>
    </row>
    <row r="242" spans="4:38" x14ac:dyDescent="0.25">
      <c r="D242" s="6">
        <f ca="1"/>
        <v>45755</v>
      </c>
      <c r="E242" s="28">
        <f ca="1"/>
        <v>132.86000000000001</v>
      </c>
      <c r="F242" s="29" cm="1">
        <f t="array" aca="1" ref="F242" ca="1">_xll.FDS($E$7,"P_BETA_LOCIDX("&amp;$AG242&amp;","&amp;$AL242&amp;",,"""&amp;$E$9&amp;""")")</f>
        <v>1.5992565000000001</v>
      </c>
      <c r="G242" s="30">
        <f t="shared" ca="1" si="52"/>
        <v>3.4003268680427856E-2</v>
      </c>
      <c r="H242" s="30">
        <f t="shared" ca="1" si="52"/>
        <v>1.5305660196650972E-2</v>
      </c>
      <c r="I242" s="30">
        <f t="shared" ca="1" si="52"/>
        <v>8.9597669035660077E-3</v>
      </c>
      <c r="J242" s="30">
        <f t="shared" ca="1" si="52"/>
        <v>-2.2133440252851133E-2</v>
      </c>
      <c r="K242" s="30">
        <f t="shared" ca="1" si="53"/>
        <v>-0.18462339398409727</v>
      </c>
      <c r="L242" s="30">
        <f t="shared" ca="1" si="53"/>
        <v>-0.21978443392277508</v>
      </c>
      <c r="M242" s="30">
        <f t="shared" ca="1" si="53"/>
        <v>-0.16913675805400838</v>
      </c>
      <c r="N242" s="30">
        <f t="shared" ca="1" si="53"/>
        <v>-0.23171357760629741</v>
      </c>
      <c r="O242" s="30">
        <f t="shared" ca="1" si="54"/>
        <v>-0.15062012530366942</v>
      </c>
      <c r="P242" s="30">
        <f t="shared" ca="1" si="55"/>
        <v>-0.20447877372612411</v>
      </c>
      <c r="Q242" s="30">
        <f t="shared" ca="1" si="56"/>
        <v>-0.16017699115044237</v>
      </c>
      <c r="R242" s="30">
        <f t="shared" ca="1" si="57"/>
        <v>-0.25384701785914854</v>
      </c>
      <c r="S242" s="9" cm="1">
        <f t="array" aca="1" ref="S242" ca="1">_xll.BDH($E$6,"PX LAST",AG242)</f>
        <v>132.86000000000001</v>
      </c>
      <c r="T242" s="9" cm="1">
        <f t="array" aca="1" ref="T242" ca="1">_xll.BDH($E$6,"PX LAST",AH242)</f>
        <v>156.41999999999999</v>
      </c>
      <c r="U242" s="9" cm="1">
        <f t="array" aca="1" ref="U242" ca="1">_xll.BDH($E$6,"PX LAST",AI242)</f>
        <v>167.01</v>
      </c>
      <c r="V242" s="9" cm="1">
        <f t="array" aca="1" ref="V242" ca="1">_xll.BDH($E$6,"PX LAST",AJ242)</f>
        <v>158.19999999999999</v>
      </c>
      <c r="W242" s="9" cm="1">
        <f t="array" aca="1" ref="W242" ca="1">_xll.BDH($E$6,"PX LAST",AK242)</f>
        <v>178.06</v>
      </c>
      <c r="X242" s="24">
        <f t="shared" ca="1" si="58"/>
        <v>-0.11544326628286161</v>
      </c>
      <c r="Y242" s="24">
        <f t="shared" ca="1" si="59"/>
        <v>-0.13742913280188329</v>
      </c>
      <c r="Z242" s="24">
        <f t="shared" ca="1" si="60"/>
        <v>-0.10575961895668917</v>
      </c>
      <c r="AA242" s="24">
        <f t="shared" ca="1" si="61"/>
        <v>-0.1448883137922512</v>
      </c>
      <c r="AB242" s="9" cm="1">
        <f t="array" aca="1" ref="AB242" ca="1">_xll.BDH($E$8,"PX LAST",AG242)</f>
        <v>4982.7700000000004</v>
      </c>
      <c r="AC242" s="9" cm="1">
        <f t="array" aca="1" ref="AC242" ca="1">_xll.BDH($E$8,"PX LAST",AH242)</f>
        <v>5633.07</v>
      </c>
      <c r="AD242" s="9" cm="1">
        <f t="array" aca="1" ref="AD242" ca="1">_xll.BDH($E$8,"PX LAST",AI242)</f>
        <v>5776.65</v>
      </c>
      <c r="AE242" s="9" cm="1">
        <f t="array" aca="1" ref="AE242" ca="1">_xll.BDH($E$8,"PX LAST",AJ242)</f>
        <v>5572.07</v>
      </c>
      <c r="AF242" s="9" cm="1">
        <f t="array" aca="1" ref="AF242" ca="1">_xll.BDH($E$8,"PX LAST",AK242)</f>
        <v>5827.04</v>
      </c>
      <c r="AG242" s="20">
        <f t="shared" ca="1" si="67"/>
        <v>45755</v>
      </c>
      <c r="AH242" s="22">
        <f t="shared" ca="1" si="62"/>
        <v>45748</v>
      </c>
      <c r="AI242" s="22">
        <f t="shared" ca="1" si="63"/>
        <v>45741</v>
      </c>
      <c r="AJ242" s="22">
        <f t="shared" ca="1" si="64"/>
        <v>45727</v>
      </c>
      <c r="AK242" s="22">
        <f t="shared" ca="1" si="65"/>
        <v>45667</v>
      </c>
      <c r="AL242" s="22">
        <f t="shared" ca="1" si="66"/>
        <v>45579</v>
      </c>
    </row>
    <row r="243" spans="4:38" x14ac:dyDescent="0.25">
      <c r="D243" s="6">
        <f ca="1"/>
        <v>45754</v>
      </c>
      <c r="E243" s="28">
        <f ca="1"/>
        <v>137.07</v>
      </c>
      <c r="F243" s="29" cm="1">
        <f t="array" aca="1" ref="F243" ca="1">_xll.FDS($E$7,"P_BETA_LOCIDX("&amp;$AG243&amp;","&amp;$AL243&amp;",,"""&amp;$E$9&amp;""")")</f>
        <v>1.6110951</v>
      </c>
      <c r="G243" s="30">
        <f t="shared" ca="1" si="52"/>
        <v>4.0397889798893527E-2</v>
      </c>
      <c r="H243" s="30">
        <f t="shared" ca="1" si="52"/>
        <v>9.8183888958685017E-3</v>
      </c>
      <c r="I243" s="30">
        <f t="shared" ca="1" si="52"/>
        <v>3.2879048066633665E-2</v>
      </c>
      <c r="J243" s="30">
        <f t="shared" ca="1" si="52"/>
        <v>-1.9714937868572674E-2</v>
      </c>
      <c r="K243" s="30">
        <f t="shared" ca="1" si="53"/>
        <v>-0.15778359488582211</v>
      </c>
      <c r="L243" s="30">
        <f t="shared" ca="1" si="53"/>
        <v>-0.19702189933230108</v>
      </c>
      <c r="M243" s="30">
        <f t="shared" ca="1" si="53"/>
        <v>-0.1584850700110072</v>
      </c>
      <c r="N243" s="30">
        <f t="shared" ca="1" si="53"/>
        <v>-0.23302452677734134</v>
      </c>
      <c r="O243" s="30">
        <f t="shared" ca="1" si="54"/>
        <v>-0.11738570508692858</v>
      </c>
      <c r="P243" s="30">
        <f t="shared" ca="1" si="55"/>
        <v>-0.18720351043643257</v>
      </c>
      <c r="Q243" s="30">
        <f t="shared" ca="1" si="56"/>
        <v>-0.12560602194437354</v>
      </c>
      <c r="R243" s="30">
        <f t="shared" ca="1" si="57"/>
        <v>-0.25273946464591401</v>
      </c>
      <c r="S243" s="9" cm="1">
        <f t="array" aca="1" ref="S243" ca="1">_xll.BDH($E$6,"PX LAST",AG243)</f>
        <v>137.07</v>
      </c>
      <c r="T243" s="9" cm="1">
        <f t="array" aca="1" ref="T243" ca="1">_xll.BDH($E$6,"PX LAST",AH243)</f>
        <v>155.30000000000001</v>
      </c>
      <c r="U243" s="9" cm="1">
        <f t="array" aca="1" ref="U243" ca="1">_xll.BDH($E$6,"PX LAST",AI243)</f>
        <v>168.64</v>
      </c>
      <c r="V243" s="9" cm="1">
        <f t="array" aca="1" ref="V243" ca="1">_xll.BDH($E$6,"PX LAST",AJ243)</f>
        <v>156.76</v>
      </c>
      <c r="W243" s="9" cm="1">
        <f t="array" aca="1" ref="W243" ca="1">_xll.BDH($E$6,"PX LAST",AK243)</f>
        <v>183.43</v>
      </c>
      <c r="X243" s="24">
        <f t="shared" ca="1" si="58"/>
        <v>-9.7935618378966027E-2</v>
      </c>
      <c r="Y243" s="24">
        <f t="shared" ca="1" si="59"/>
        <v>-0.12229067007422534</v>
      </c>
      <c r="Z243" s="24">
        <f t="shared" ca="1" si="60"/>
        <v>-9.8371021059530994E-2</v>
      </c>
      <c r="AA243" s="24">
        <f t="shared" ca="1" si="61"/>
        <v>-0.14463735056815785</v>
      </c>
      <c r="AB243" s="9" cm="1">
        <f t="array" aca="1" ref="AB243" ca="1">_xll.BDH($E$8,"PX LAST",AG243)</f>
        <v>5062.25</v>
      </c>
      <c r="AC243" s="9" cm="1">
        <f t="array" aca="1" ref="AC243" ca="1">_xll.BDH($E$8,"PX LAST",AH243)</f>
        <v>5611.85</v>
      </c>
      <c r="AD243" s="9" cm="1">
        <f t="array" aca="1" ref="AD243" ca="1">_xll.BDH($E$8,"PX LAST",AI243)</f>
        <v>5767.57</v>
      </c>
      <c r="AE243" s="9" cm="1">
        <f t="array" aca="1" ref="AE243" ca="1">_xll.BDH($E$8,"PX LAST",AJ243)</f>
        <v>5614.56</v>
      </c>
      <c r="AF243" s="9" cm="1">
        <f t="array" aca="1" ref="AF243" ca="1">_xll.BDH($E$8,"PX LAST",AK243)</f>
        <v>5918.25</v>
      </c>
      <c r="AG243" s="20">
        <f t="shared" ca="1" si="67"/>
        <v>45754</v>
      </c>
      <c r="AH243" s="22">
        <f t="shared" ca="1" si="62"/>
        <v>45747</v>
      </c>
      <c r="AI243" s="22">
        <f t="shared" ca="1" si="63"/>
        <v>45740</v>
      </c>
      <c r="AJ243" s="22">
        <f t="shared" ca="1" si="64"/>
        <v>45726</v>
      </c>
      <c r="AK243" s="22">
        <f t="shared" ca="1" si="65"/>
        <v>45665</v>
      </c>
      <c r="AL243" s="22">
        <f t="shared" ca="1" si="66"/>
        <v>45576</v>
      </c>
    </row>
    <row r="244" spans="4:38" x14ac:dyDescent="0.25">
      <c r="D244" s="6">
        <f ca="1"/>
        <v>45751</v>
      </c>
      <c r="E244" s="28">
        <f ca="1"/>
        <v>136.08000000000001</v>
      </c>
      <c r="F244" s="29" cm="1">
        <f t="array" aca="1" ref="F244" ca="1">_xll.FDS($E$7,"P_BETA_LOCIDX("&amp;$AG244&amp;","&amp;$AL244&amp;",,"""&amp;$E$9&amp;""")")</f>
        <v>1.6117218</v>
      </c>
      <c r="G244" s="30">
        <f t="shared" ca="1" si="52"/>
        <v>1.628615735515615E-2</v>
      </c>
      <c r="H244" s="30">
        <f t="shared" ca="1" si="52"/>
        <v>5.5693038303606113E-3</v>
      </c>
      <c r="I244" s="30">
        <f t="shared" ca="1" si="52"/>
        <v>1.7818899778587305E-2</v>
      </c>
      <c r="J244" s="30">
        <f t="shared" ca="1" si="52"/>
        <v>-3.3179395394585892E-2</v>
      </c>
      <c r="K244" s="30">
        <f t="shared" ca="1" si="53"/>
        <v>-0.14637629351829617</v>
      </c>
      <c r="L244" s="30">
        <f t="shared" ca="1" si="53"/>
        <v>-0.16877186194129404</v>
      </c>
      <c r="M244" s="30">
        <f t="shared" ca="1" si="53"/>
        <v>-0.19443897601746907</v>
      </c>
      <c r="N244" s="30">
        <f t="shared" ca="1" si="53"/>
        <v>-0.22773739800102558</v>
      </c>
      <c r="O244" s="30">
        <f t="shared" ca="1" si="54"/>
        <v>-0.13009013616314002</v>
      </c>
      <c r="P244" s="30">
        <f t="shared" ca="1" si="55"/>
        <v>-0.16320255811093343</v>
      </c>
      <c r="Q244" s="30">
        <f t="shared" ca="1" si="56"/>
        <v>-0.17662007623888176</v>
      </c>
      <c r="R244" s="30">
        <f t="shared" ca="1" si="57"/>
        <v>-0.26091679339561147</v>
      </c>
      <c r="S244" s="9" cm="1">
        <f t="array" aca="1" ref="S244" ca="1">_xll.BDH($E$6,"PX LAST",AG244)</f>
        <v>136.08000000000001</v>
      </c>
      <c r="T244" s="9" cm="1">
        <f t="array" aca="1" ref="T244" ca="1">_xll.BDH($E$6,"PX LAST",AH244)</f>
        <v>156.43</v>
      </c>
      <c r="U244" s="9" cm="1">
        <f t="array" aca="1" ref="U244" ca="1">_xll.BDH($E$6,"PX LAST",AI244)</f>
        <v>162.62</v>
      </c>
      <c r="V244" s="9" cm="1">
        <f t="array" aca="1" ref="V244" ca="1">_xll.BDH($E$6,"PX LAST",AJ244)</f>
        <v>165.27</v>
      </c>
      <c r="W244" s="9" cm="1">
        <f t="array" aca="1" ref="W244" ca="1">_xll.BDH($E$6,"PX LAST",AK244)</f>
        <v>184.12</v>
      </c>
      <c r="X244" s="24">
        <f t="shared" ca="1" si="58"/>
        <v>-9.0819826050808627E-2</v>
      </c>
      <c r="Y244" s="24">
        <f t="shared" ca="1" si="59"/>
        <v>-0.104715256653657</v>
      </c>
      <c r="Z244" s="24">
        <f t="shared" ca="1" si="60"/>
        <v>-0.12064053239055839</v>
      </c>
      <c r="AA244" s="24">
        <f t="shared" ca="1" si="61"/>
        <v>-0.14130068725323786</v>
      </c>
      <c r="AB244" s="9" cm="1">
        <f t="array" aca="1" ref="AB244" ca="1">_xll.BDH($E$8,"PX LAST",AG244)</f>
        <v>5074.08</v>
      </c>
      <c r="AC244" s="9" cm="1">
        <f t="array" aca="1" ref="AC244" ca="1">_xll.BDH($E$8,"PX LAST",AH244)</f>
        <v>5580.94</v>
      </c>
      <c r="AD244" s="9" cm="1">
        <f t="array" aca="1" ref="AD244" ca="1">_xll.BDH($E$8,"PX LAST",AI244)</f>
        <v>5667.56</v>
      </c>
      <c r="AE244" s="9" cm="1">
        <f t="array" aca="1" ref="AE244" ca="1">_xll.BDH($E$8,"PX LAST",AJ244)</f>
        <v>5770.2</v>
      </c>
      <c r="AF244" s="9" cm="1">
        <f t="array" aca="1" ref="AF244" ca="1">_xll.BDH($E$8,"PX LAST",AK244)</f>
        <v>5909.03</v>
      </c>
      <c r="AG244" s="20">
        <f t="shared" ca="1" si="67"/>
        <v>45751</v>
      </c>
      <c r="AH244" s="22">
        <f t="shared" ca="1" si="62"/>
        <v>45744</v>
      </c>
      <c r="AI244" s="22">
        <f t="shared" ca="1" si="63"/>
        <v>45737</v>
      </c>
      <c r="AJ244" s="22">
        <f t="shared" ca="1" si="64"/>
        <v>45723</v>
      </c>
      <c r="AK244" s="22">
        <f t="shared" ca="1" si="65"/>
        <v>45664</v>
      </c>
      <c r="AL244" s="22">
        <f t="shared" ca="1" si="66"/>
        <v>45575</v>
      </c>
    </row>
    <row r="245" spans="4:38" x14ac:dyDescent="0.25">
      <c r="D245" s="6">
        <f ca="1"/>
        <v>45750</v>
      </c>
      <c r="E245" s="28">
        <f ca="1"/>
        <v>143.72</v>
      </c>
      <c r="F245" s="29" cm="1">
        <f t="array" aca="1" ref="F245" ca="1">_xll.FDS($E$7,"P_BETA_LOCIDX("&amp;$AG245&amp;","&amp;$AL245&amp;",,"""&amp;$E$9&amp;""")")</f>
        <v>1.8175014</v>
      </c>
      <c r="G245" s="30">
        <f t="shared" ca="1" si="52"/>
        <v>-2.4401220109632971E-2</v>
      </c>
      <c r="H245" s="30">
        <f t="shared" ca="1" si="52"/>
        <v>-4.3319995481527526E-2</v>
      </c>
      <c r="I245" s="30">
        <f t="shared" ca="1" si="52"/>
        <v>-3.5543239455434569E-2</v>
      </c>
      <c r="J245" s="30">
        <f t="shared" ca="1" si="52"/>
        <v>-4.1909070884111471E-2</v>
      </c>
      <c r="K245" s="30">
        <f t="shared" ca="1" si="53"/>
        <v>-9.4745629608435133E-2</v>
      </c>
      <c r="L245" s="30">
        <f t="shared" ca="1" si="53"/>
        <v>-8.5491303542537436E-2</v>
      </c>
      <c r="M245" s="30">
        <f t="shared" ca="1" si="53"/>
        <v>-0.10831808180506465</v>
      </c>
      <c r="N245" s="30">
        <f t="shared" ca="1" si="53"/>
        <v>-0.17606894631036016</v>
      </c>
      <c r="O245" s="30">
        <f t="shared" ca="1" si="54"/>
        <v>-0.1191468497180681</v>
      </c>
      <c r="P245" s="30">
        <f t="shared" ca="1" si="55"/>
        <v>-0.12881129902406496</v>
      </c>
      <c r="Q245" s="30">
        <f t="shared" ca="1" si="56"/>
        <v>-0.14386132126049922</v>
      </c>
      <c r="R245" s="30">
        <f t="shared" ca="1" si="57"/>
        <v>-0.21797801719447163</v>
      </c>
      <c r="S245" s="9" cm="1">
        <f t="array" aca="1" ref="S245" ca="1">_xll.BDH($E$6,"PX LAST",AG245)</f>
        <v>143.72</v>
      </c>
      <c r="T245" s="9" cm="1">
        <f t="array" aca="1" ref="T245" ca="1">_xll.BDH($E$6,"PX LAST",AH245)</f>
        <v>163.16</v>
      </c>
      <c r="U245" s="9" cm="1">
        <f t="array" aca="1" ref="U245" ca="1">_xll.BDH($E$6,"PX LAST",AI245)</f>
        <v>164.97</v>
      </c>
      <c r="V245" s="9" cm="1">
        <f t="array" aca="1" ref="V245" ca="1">_xll.BDH($E$6,"PX LAST",AJ245)</f>
        <v>167.87</v>
      </c>
      <c r="W245" s="9" cm="1">
        <f t="array" aca="1" ref="W245" ca="1">_xll.BDH($E$6,"PX LAST",AK245)</f>
        <v>183.78</v>
      </c>
      <c r="X245" s="24">
        <f t="shared" ca="1" si="58"/>
        <v>-5.2129604746623648E-2</v>
      </c>
      <c r="Y245" s="24">
        <f t="shared" ca="1" si="59"/>
        <v>-4.7037819911741163E-2</v>
      </c>
      <c r="Z245" s="24">
        <f t="shared" ca="1" si="60"/>
        <v>-5.9597248070931141E-2</v>
      </c>
      <c r="AA245" s="24">
        <f t="shared" ca="1" si="61"/>
        <v>-9.6874173692719112E-2</v>
      </c>
      <c r="AB245" s="9" cm="1">
        <f t="array" aca="1" ref="AB245" ca="1">_xll.BDH($E$8,"PX LAST",AG245)</f>
        <v>5396.52</v>
      </c>
      <c r="AC245" s="9" cm="1">
        <f t="array" aca="1" ref="AC245" ca="1">_xll.BDH($E$8,"PX LAST",AH245)</f>
        <v>5693.31</v>
      </c>
      <c r="AD245" s="9" cm="1">
        <f t="array" aca="1" ref="AD245" ca="1">_xll.BDH($E$8,"PX LAST",AI245)</f>
        <v>5662.89</v>
      </c>
      <c r="AE245" s="9" cm="1">
        <f t="array" aca="1" ref="AE245" ca="1">_xll.BDH($E$8,"PX LAST",AJ245)</f>
        <v>5738.52</v>
      </c>
      <c r="AF245" s="9" cm="1">
        <f t="array" aca="1" ref="AF245" ca="1">_xll.BDH($E$8,"PX LAST",AK245)</f>
        <v>5975.38</v>
      </c>
      <c r="AG245" s="20">
        <f t="shared" ca="1" si="67"/>
        <v>45750</v>
      </c>
      <c r="AH245" s="22">
        <f t="shared" ca="1" si="62"/>
        <v>45743</v>
      </c>
      <c r="AI245" s="22">
        <f t="shared" ca="1" si="63"/>
        <v>45736</v>
      </c>
      <c r="AJ245" s="22">
        <f t="shared" ca="1" si="64"/>
        <v>45722</v>
      </c>
      <c r="AK245" s="22">
        <f t="shared" ca="1" si="65"/>
        <v>45663</v>
      </c>
      <c r="AL245" s="22">
        <f t="shared" ca="1" si="66"/>
        <v>45574</v>
      </c>
    </row>
    <row r="246" spans="4:38" x14ac:dyDescent="0.25">
      <c r="D246" s="6">
        <f ca="1"/>
        <v>45749</v>
      </c>
      <c r="E246" s="28">
        <f ca="1"/>
        <v>162.38999999999999</v>
      </c>
      <c r="F246" s="29" cm="1">
        <f t="array" aca="1" ref="F246" ca="1">_xll.FDS($E$7,"P_BETA_LOCIDX("&amp;$AG246&amp;","&amp;$AL246&amp;",,"""&amp;$E$9&amp;""")")</f>
        <v>1.6735960000000001</v>
      </c>
      <c r="G246" s="30">
        <f t="shared" ca="1" si="52"/>
        <v>-5.5839605209332035E-3</v>
      </c>
      <c r="H246" s="30">
        <f t="shared" ca="1" si="52"/>
        <v>-2.1179715757456957E-2</v>
      </c>
      <c r="I246" s="30">
        <f t="shared" ca="1" si="52"/>
        <v>-1.9564698766210004E-3</v>
      </c>
      <c r="J246" s="30">
        <f t="shared" ca="1" si="52"/>
        <v>-2.8480680228157543E-2</v>
      </c>
      <c r="K246" s="30">
        <f t="shared" ca="1" si="53"/>
        <v>-1.2079822674275912E-2</v>
      </c>
      <c r="L246" s="30">
        <f t="shared" ca="1" si="53"/>
        <v>-1.2739322078693825E-3</v>
      </c>
      <c r="M246" s="30">
        <f t="shared" ca="1" si="53"/>
        <v>-4.9171261805043179E-2</v>
      </c>
      <c r="N246" s="30">
        <f t="shared" ca="1" si="53"/>
        <v>-7.6463375330460201E-2</v>
      </c>
      <c r="O246" s="30">
        <f t="shared" ca="1" si="54"/>
        <v>-1.7663783195209115E-2</v>
      </c>
      <c r="P246" s="30">
        <f t="shared" ca="1" si="55"/>
        <v>-2.245364796532634E-2</v>
      </c>
      <c r="Q246" s="30">
        <f t="shared" ca="1" si="56"/>
        <v>-5.1127731681664179E-2</v>
      </c>
      <c r="R246" s="30">
        <f t="shared" ca="1" si="57"/>
        <v>-0.10494405555861774</v>
      </c>
      <c r="S246" s="9" cm="1">
        <f t="array" aca="1" ref="S246" ca="1">_xll.BDH($E$6,"PX LAST",AG246)</f>
        <v>162.38999999999999</v>
      </c>
      <c r="T246" s="9" cm="1">
        <f t="array" aca="1" ref="T246" ca="1">_xll.BDH($E$6,"PX LAST",AH246)</f>
        <v>165.31</v>
      </c>
      <c r="U246" s="9" cm="1">
        <f t="array" aca="1" ref="U246" ca="1">_xll.BDH($E$6,"PX LAST",AI246)</f>
        <v>166.12</v>
      </c>
      <c r="V246" s="9" cm="1">
        <f t="array" aca="1" ref="V246" ca="1">_xll.BDH($E$6,"PX LAST",AJ246)</f>
        <v>171.14</v>
      </c>
      <c r="W246" s="9" cm="1">
        <f t="array" aca="1" ref="W246" ca="1">_xll.BDH($E$6,"PX LAST",AK246)</f>
        <v>181.43</v>
      </c>
      <c r="X246" s="24">
        <f t="shared" ca="1" si="58"/>
        <v>-7.2178845278525472E-3</v>
      </c>
      <c r="Y246" s="24">
        <f t="shared" ca="1" si="59"/>
        <v>-7.6119458212697833E-4</v>
      </c>
      <c r="Z246" s="24">
        <f t="shared" ca="1" si="60"/>
        <v>-2.9380604282660316E-2</v>
      </c>
      <c r="AA246" s="24">
        <f t="shared" ca="1" si="61"/>
        <v>-4.5688072468182406E-2</v>
      </c>
      <c r="AB246" s="9" cm="1">
        <f t="array" aca="1" ref="AB246" ca="1">_xll.BDH($E$8,"PX LAST",AG246)</f>
        <v>5670.97</v>
      </c>
      <c r="AC246" s="9" cm="1">
        <f t="array" aca="1" ref="AC246" ca="1">_xll.BDH($E$8,"PX LAST",AH246)</f>
        <v>5712.2</v>
      </c>
      <c r="AD246" s="9" cm="1">
        <f t="array" aca="1" ref="AD246" ca="1">_xll.BDH($E$8,"PX LAST",AI246)</f>
        <v>5675.29</v>
      </c>
      <c r="AE246" s="9" cm="1">
        <f t="array" aca="1" ref="AE246" ca="1">_xll.BDH($E$8,"PX LAST",AJ246)</f>
        <v>5842.63</v>
      </c>
      <c r="AF246" s="9" cm="1">
        <f t="array" aca="1" ref="AF246" ca="1">_xll.BDH($E$8,"PX LAST",AK246)</f>
        <v>5942.47</v>
      </c>
      <c r="AG246" s="20">
        <f t="shared" ca="1" si="67"/>
        <v>45749</v>
      </c>
      <c r="AH246" s="22">
        <f t="shared" ca="1" si="62"/>
        <v>45742</v>
      </c>
      <c r="AI246" s="22">
        <f t="shared" ca="1" si="63"/>
        <v>45735</v>
      </c>
      <c r="AJ246" s="22">
        <f t="shared" ca="1" si="64"/>
        <v>45721</v>
      </c>
      <c r="AK246" s="22">
        <f t="shared" ca="1" si="65"/>
        <v>45660</v>
      </c>
      <c r="AL246" s="22">
        <f t="shared" ca="1" si="66"/>
        <v>45573</v>
      </c>
    </row>
    <row r="247" spans="4:38" x14ac:dyDescent="0.25">
      <c r="D247" s="6">
        <f ca="1"/>
        <v>45748</v>
      </c>
      <c r="E247" s="28">
        <f ca="1"/>
        <v>156.41999999999999</v>
      </c>
      <c r="F247" s="29" cm="1">
        <f t="array" aca="1" ref="F247" ca="1">_xll.FDS($E$7,"P_BETA_LOCIDX("&amp;$AG247&amp;","&amp;$AL247&amp;",,"""&amp;$E$9&amp;""")")</f>
        <v>1.6447506999999999</v>
      </c>
      <c r="G247" s="30">
        <f t="shared" ca="1" si="52"/>
        <v>-2.2528709600859863E-2</v>
      </c>
      <c r="H247" s="30">
        <f t="shared" ca="1" si="52"/>
        <v>-3.7147874474952394E-2</v>
      </c>
      <c r="I247" s="30">
        <f t="shared" ca="1" si="52"/>
        <v>-3.4079905586169024E-3</v>
      </c>
      <c r="J247" s="30">
        <f t="shared" ca="1" si="52"/>
        <v>-5.533781773352138E-2</v>
      </c>
      <c r="K247" s="30">
        <f t="shared" ca="1" si="53"/>
        <v>-4.0880667083171042E-2</v>
      </c>
      <c r="L247" s="30">
        <f t="shared" ca="1" si="53"/>
        <v>5.3929998231416866E-3</v>
      </c>
      <c r="M247" s="30">
        <f t="shared" ca="1" si="53"/>
        <v>-4.129702959528575E-2</v>
      </c>
      <c r="N247" s="30">
        <f t="shared" ca="1" si="53"/>
        <v>-6.5996863762939825E-2</v>
      </c>
      <c r="O247" s="30">
        <f t="shared" ca="1" si="54"/>
        <v>-6.3409376684030905E-2</v>
      </c>
      <c r="P247" s="30">
        <f t="shared" ca="1" si="55"/>
        <v>-3.1754874651810705E-2</v>
      </c>
      <c r="Q247" s="30">
        <f t="shared" ca="1" si="56"/>
        <v>-4.4705020153902653E-2</v>
      </c>
      <c r="R247" s="30">
        <f t="shared" ca="1" si="57"/>
        <v>-0.12133468149646121</v>
      </c>
      <c r="S247" s="9" cm="1">
        <f t="array" aca="1" ref="S247" ca="1">_xll.BDH($E$6,"PX LAST",AG247)</f>
        <v>156.41999999999999</v>
      </c>
      <c r="T247" s="9" cm="1">
        <f t="array" aca="1" ref="T247" ca="1">_xll.BDH($E$6,"PX LAST",AH247)</f>
        <v>167.01</v>
      </c>
      <c r="U247" s="9" cm="1">
        <f t="array" aca="1" ref="U247" ca="1">_xll.BDH($E$6,"PX LAST",AI247)</f>
        <v>161.55000000000001</v>
      </c>
      <c r="V247" s="9" cm="1">
        <f t="array" aca="1" ref="V247" ca="1">_xll.BDH($E$6,"PX LAST",AJ247)</f>
        <v>163.74</v>
      </c>
      <c r="W247" s="9" cm="1">
        <f t="array" aca="1" ref="W247" ca="1">_xll.BDH($E$6,"PX LAST",AK247)</f>
        <v>178.02</v>
      </c>
      <c r="X247" s="24">
        <f t="shared" ca="1" si="58"/>
        <v>-2.4855236166290151E-2</v>
      </c>
      <c r="Y247" s="24">
        <f t="shared" ca="1" si="59"/>
        <v>3.2789162656332582E-3</v>
      </c>
      <c r="Z247" s="24">
        <f t="shared" ca="1" si="60"/>
        <v>-2.5108382440746646E-2</v>
      </c>
      <c r="AA247" s="24">
        <f t="shared" ca="1" si="61"/>
        <v>-4.0125755084305381E-2</v>
      </c>
      <c r="AB247" s="9" cm="1">
        <f t="array" aca="1" ref="AB247" ca="1">_xll.BDH($E$8,"PX LAST",AG247)</f>
        <v>5633.07</v>
      </c>
      <c r="AC247" s="9" cm="1">
        <f t="array" aca="1" ref="AC247" ca="1">_xll.BDH($E$8,"PX LAST",AH247)</f>
        <v>5776.65</v>
      </c>
      <c r="AD247" s="9" cm="1">
        <f t="array" aca="1" ref="AD247" ca="1">_xll.BDH($E$8,"PX LAST",AI247)</f>
        <v>5614.66</v>
      </c>
      <c r="AE247" s="9" cm="1">
        <f t="array" aca="1" ref="AE247" ca="1">_xll.BDH($E$8,"PX LAST",AJ247)</f>
        <v>5778.15</v>
      </c>
      <c r="AF247" s="9" cm="1">
        <f t="array" aca="1" ref="AF247" ca="1">_xll.BDH($E$8,"PX LAST",AK247)</f>
        <v>5868.55</v>
      </c>
      <c r="AG247" s="20">
        <f t="shared" ca="1" si="67"/>
        <v>45748</v>
      </c>
      <c r="AH247" s="22">
        <f t="shared" ca="1" si="62"/>
        <v>45741</v>
      </c>
      <c r="AI247" s="22">
        <f t="shared" ca="1" si="63"/>
        <v>45734</v>
      </c>
      <c r="AJ247" s="22">
        <f t="shared" ca="1" si="64"/>
        <v>45720</v>
      </c>
      <c r="AK247" s="22">
        <f t="shared" ca="1" si="65"/>
        <v>45659</v>
      </c>
      <c r="AL247" s="22">
        <f t="shared" ca="1" si="66"/>
        <v>45572</v>
      </c>
    </row>
    <row r="248" spans="4:38" x14ac:dyDescent="0.25">
      <c r="D248" s="6">
        <f ca="1"/>
        <v>45747</v>
      </c>
      <c r="E248" s="28">
        <f ca="1"/>
        <v>155.30000000000001</v>
      </c>
      <c r="F248" s="29" cm="1">
        <f t="array" aca="1" ref="F248" ca="1">_xll.FDS($E$7,"P_BETA_LOCIDX("&amp;$AG248&amp;","&amp;$AL248&amp;",,"""&amp;$E$9&amp;""")")</f>
        <v>1.6325635000000001</v>
      </c>
      <c r="G248" s="30">
        <f t="shared" ca="1" si="52"/>
        <v>-3.5025443689469908E-2</v>
      </c>
      <c r="H248" s="30">
        <f t="shared" ca="1" si="52"/>
        <v>-3.2474568977979304E-2</v>
      </c>
      <c r="I248" s="30">
        <f t="shared" ca="1" si="52"/>
        <v>-1.8362039507963029E-2</v>
      </c>
      <c r="J248" s="30">
        <f t="shared" ca="1" si="52"/>
        <v>-6.6916482788928408E-2</v>
      </c>
      <c r="K248" s="30">
        <f t="shared" ca="1" si="53"/>
        <v>-4.4077971870302275E-2</v>
      </c>
      <c r="L248" s="30">
        <f t="shared" ca="1" si="53"/>
        <v>-1.8200900182727343E-2</v>
      </c>
      <c r="M248" s="30">
        <f t="shared" ca="1" si="53"/>
        <v>-6.6385720982371693E-2</v>
      </c>
      <c r="N248" s="30">
        <f t="shared" ca="1" si="53"/>
        <v>-7.488280987243319E-2</v>
      </c>
      <c r="O248" s="30">
        <f t="shared" ca="1" si="54"/>
        <v>-7.9103415559772183E-2</v>
      </c>
      <c r="P248" s="30">
        <f t="shared" ca="1" si="55"/>
        <v>-5.0675469160706643E-2</v>
      </c>
      <c r="Q248" s="30">
        <f t="shared" ca="1" si="56"/>
        <v>-8.4747760490334723E-2</v>
      </c>
      <c r="R248" s="30">
        <f t="shared" ca="1" si="57"/>
        <v>-0.1417992926613616</v>
      </c>
      <c r="S248" s="9" cm="1">
        <f t="array" aca="1" ref="S248" ca="1">_xll.BDH($E$6,"PX LAST",AG248)</f>
        <v>155.30000000000001</v>
      </c>
      <c r="T248" s="9" cm="1">
        <f t="array" aca="1" ref="T248" ca="1">_xll.BDH($E$6,"PX LAST",AH248)</f>
        <v>168.64</v>
      </c>
      <c r="U248" s="9" cm="1">
        <f t="array" aca="1" ref="U248" ca="1">_xll.BDH($E$6,"PX LAST",AI248)</f>
        <v>163.59</v>
      </c>
      <c r="V248" s="9" cm="1">
        <f t="array" aca="1" ref="V248" ca="1">_xll.BDH($E$6,"PX LAST",AJ248)</f>
        <v>169.68</v>
      </c>
      <c r="W248" s="9" cm="1">
        <f t="array" aca="1" ref="W248" ca="1">_xll.BDH($E$6,"PX LAST",AK248)</f>
        <v>180.96</v>
      </c>
      <c r="X248" s="24">
        <f t="shared" ca="1" si="58"/>
        <v>-2.6999238847556173E-2</v>
      </c>
      <c r="Y248" s="24">
        <f t="shared" ca="1" si="59"/>
        <v>-1.1148662935761666E-2</v>
      </c>
      <c r="Z248" s="24">
        <f t="shared" ca="1" si="60"/>
        <v>-4.0663484747987866E-2</v>
      </c>
      <c r="AA248" s="24">
        <f t="shared" ca="1" si="61"/>
        <v>-4.586823720635258E-2</v>
      </c>
      <c r="AB248" s="9" cm="1">
        <f t="array" aca="1" ref="AB248" ca="1">_xll.BDH($E$8,"PX LAST",AG248)</f>
        <v>5611.85</v>
      </c>
      <c r="AC248" s="9" cm="1">
        <f t="array" aca="1" ref="AC248" ca="1">_xll.BDH($E$8,"PX LAST",AH248)</f>
        <v>5767.57</v>
      </c>
      <c r="AD248" s="9" cm="1">
        <f t="array" aca="1" ref="AD248" ca="1">_xll.BDH($E$8,"PX LAST",AI248)</f>
        <v>5675.12</v>
      </c>
      <c r="AE248" s="9" cm="1">
        <f t="array" aca="1" ref="AE248" ca="1">_xll.BDH($E$8,"PX LAST",AJ248)</f>
        <v>5849.72</v>
      </c>
      <c r="AF248" s="9" cm="1">
        <f t="array" aca="1" ref="AF248" ca="1">_xll.BDH($E$8,"PX LAST",AK248)</f>
        <v>5881.63</v>
      </c>
      <c r="AG248" s="20">
        <f t="shared" ca="1" si="67"/>
        <v>45747</v>
      </c>
      <c r="AH248" s="22">
        <f t="shared" ca="1" si="62"/>
        <v>45740</v>
      </c>
      <c r="AI248" s="22">
        <f t="shared" ca="1" si="63"/>
        <v>45733</v>
      </c>
      <c r="AJ248" s="22">
        <f t="shared" ca="1" si="64"/>
        <v>45719</v>
      </c>
      <c r="AK248" s="22">
        <f t="shared" ca="1" si="65"/>
        <v>45657</v>
      </c>
      <c r="AL248" s="22">
        <f t="shared" ca="1" si="66"/>
        <v>45569</v>
      </c>
    </row>
    <row r="249" spans="4:38" x14ac:dyDescent="0.25">
      <c r="D249" s="6">
        <f ca="1"/>
        <v>45744</v>
      </c>
      <c r="E249" s="28">
        <f ca="1"/>
        <v>156.43</v>
      </c>
      <c r="F249" s="29" cm="1">
        <f t="array" aca="1" ref="F249" ca="1">_xll.FDS($E$7,"P_BETA_LOCIDX("&amp;$AG249&amp;","&amp;$AL249&amp;",,"""&amp;$E$9&amp;""")")</f>
        <v>1.6438606</v>
      </c>
      <c r="G249" s="30">
        <f t="shared" ca="1" si="52"/>
        <v>-1.2940299718094087E-2</v>
      </c>
      <c r="H249" s="30">
        <f t="shared" ca="1" si="52"/>
        <v>-2.2573636276622105E-2</v>
      </c>
      <c r="I249" s="30">
        <f t="shared" ca="1" si="52"/>
        <v>-3.0078914174370308E-2</v>
      </c>
      <c r="J249" s="30">
        <f t="shared" ca="1" si="52"/>
        <v>-3.487734618900952E-2</v>
      </c>
      <c r="K249" s="30">
        <f t="shared" ca="1" si="53"/>
        <v>-2.5123899027447702E-2</v>
      </c>
      <c r="L249" s="30">
        <f t="shared" ca="1" si="53"/>
        <v>-1.6908127201211615E-2</v>
      </c>
      <c r="M249" s="30">
        <f t="shared" ca="1" si="53"/>
        <v>-0.10312882118330685</v>
      </c>
      <c r="N249" s="30">
        <f t="shared" ca="1" si="53"/>
        <v>-9.0723548165378406E-2</v>
      </c>
      <c r="O249" s="30">
        <f t="shared" ca="1" si="54"/>
        <v>-3.8064198745541789E-2</v>
      </c>
      <c r="P249" s="30">
        <f t="shared" ca="1" si="55"/>
        <v>-3.948176347783372E-2</v>
      </c>
      <c r="Q249" s="30">
        <f t="shared" ca="1" si="56"/>
        <v>-0.13320773535767716</v>
      </c>
      <c r="R249" s="30">
        <f t="shared" ca="1" si="57"/>
        <v>-0.12560089435438793</v>
      </c>
      <c r="S249" s="9" cm="1">
        <f t="array" aca="1" ref="S249" ca="1">_xll.BDH($E$6,"PX LAST",AG249)</f>
        <v>156.43</v>
      </c>
      <c r="T249" s="9" cm="1">
        <f t="array" aca="1" ref="T249" ca="1">_xll.BDH($E$6,"PX LAST",AH249)</f>
        <v>162.62</v>
      </c>
      <c r="U249" s="9" cm="1">
        <f t="array" aca="1" ref="U249" ca="1">_xll.BDH($E$6,"PX LAST",AI249)</f>
        <v>162.86000000000001</v>
      </c>
      <c r="V249" s="9" cm="1">
        <f t="array" aca="1" ref="V249" ca="1">_xll.BDH($E$6,"PX LAST",AJ249)</f>
        <v>180.47</v>
      </c>
      <c r="W249" s="9" cm="1">
        <f t="array" aca="1" ref="W249" ca="1">_xll.BDH($E$6,"PX LAST",AK249)</f>
        <v>178.9</v>
      </c>
      <c r="X249" s="24">
        <f t="shared" ca="1" si="58"/>
        <v>-1.5283472958380839E-2</v>
      </c>
      <c r="Y249" s="24">
        <f t="shared" ca="1" si="59"/>
        <v>-1.0285621056439709E-2</v>
      </c>
      <c r="Z249" s="24">
        <f t="shared" ca="1" si="60"/>
        <v>-6.273574607439758E-2</v>
      </c>
      <c r="AA249" s="24">
        <f t="shared" ca="1" si="61"/>
        <v>-5.5189319681594906E-2</v>
      </c>
      <c r="AB249" s="9" cm="1">
        <f t="array" aca="1" ref="AB249" ca="1">_xll.BDH($E$8,"PX LAST",AG249)</f>
        <v>5580.94</v>
      </c>
      <c r="AC249" s="9" cm="1">
        <f t="array" aca="1" ref="AC249" ca="1">_xll.BDH($E$8,"PX LAST",AH249)</f>
        <v>5667.56</v>
      </c>
      <c r="AD249" s="9" cm="1">
        <f t="array" aca="1" ref="AD249" ca="1">_xll.BDH($E$8,"PX LAST",AI249)</f>
        <v>5638.94</v>
      </c>
      <c r="AE249" s="9" cm="1">
        <f t="array" aca="1" ref="AE249" ca="1">_xll.BDH($E$8,"PX LAST",AJ249)</f>
        <v>5954.5</v>
      </c>
      <c r="AF249" s="9" cm="1">
        <f t="array" aca="1" ref="AF249" ca="1">_xll.BDH($E$8,"PX LAST",AK249)</f>
        <v>5906.94</v>
      </c>
      <c r="AG249" s="20">
        <f t="shared" ca="1" si="67"/>
        <v>45744</v>
      </c>
      <c r="AH249" s="22">
        <f t="shared" ca="1" si="62"/>
        <v>45737</v>
      </c>
      <c r="AI249" s="22">
        <f t="shared" ca="1" si="63"/>
        <v>45730</v>
      </c>
      <c r="AJ249" s="22">
        <f t="shared" ca="1" si="64"/>
        <v>45716</v>
      </c>
      <c r="AK249" s="22">
        <f t="shared" ca="1" si="65"/>
        <v>45656</v>
      </c>
      <c r="AL249" s="22">
        <f t="shared" ca="1" si="66"/>
        <v>45568</v>
      </c>
    </row>
    <row r="250" spans="4:38" x14ac:dyDescent="0.25">
      <c r="D250" s="6">
        <f ca="1"/>
        <v>45743</v>
      </c>
      <c r="E250" s="28">
        <f ca="1"/>
        <v>163.16</v>
      </c>
      <c r="F250" s="29" cm="1">
        <f t="array" aca="1" ref="F250" ca="1">_xll.FDS($E$7,"P_BETA_LOCIDX("&amp;$AG250&amp;","&amp;$AL250&amp;",,"""&amp;$E$9&amp;""")")</f>
        <v>1.6261388999999999</v>
      </c>
      <c r="G250" s="30">
        <f t="shared" ca="1" si="52"/>
        <v>-1.970700989144511E-2</v>
      </c>
      <c r="H250" s="30">
        <f t="shared" ca="1" si="52"/>
        <v>-2.1128168417920083E-2</v>
      </c>
      <c r="I250" s="30">
        <f t="shared" ca="1" si="52"/>
        <v>-4.5968878712612571E-2</v>
      </c>
      <c r="J250" s="30">
        <f t="shared" ca="1" si="52"/>
        <v>-1.0712295394424559E-2</v>
      </c>
      <c r="K250" s="30">
        <f t="shared" ca="1" si="53"/>
        <v>8.7353180686894089E-3</v>
      </c>
      <c r="L250" s="30">
        <f t="shared" ca="1" si="53"/>
        <v>5.0593749842615658E-2</v>
      </c>
      <c r="M250" s="30">
        <f t="shared" ca="1" si="53"/>
        <v>-4.6679325046702247E-2</v>
      </c>
      <c r="N250" s="30">
        <f t="shared" ca="1" si="53"/>
        <v>-7.5584394979098385E-2</v>
      </c>
      <c r="O250" s="30">
        <f t="shared" ca="1" si="54"/>
        <v>-1.0971691822755703E-2</v>
      </c>
      <c r="P250" s="30">
        <f t="shared" ca="1" si="55"/>
        <v>2.9465581424695575E-2</v>
      </c>
      <c r="Q250" s="30">
        <f t="shared" ca="1" si="56"/>
        <v>-9.2648203759314818E-2</v>
      </c>
      <c r="R250" s="30">
        <f t="shared" ca="1" si="57"/>
        <v>-8.6296690373522944E-2</v>
      </c>
      <c r="S250" s="9" cm="1">
        <f t="array" aca="1" ref="S250" ca="1">_xll.BDH($E$6,"PX LAST",AG250)</f>
        <v>163.16</v>
      </c>
      <c r="T250" s="9" cm="1">
        <f t="array" aca="1" ref="T250" ca="1">_xll.BDH($E$6,"PX LAST",AH250)</f>
        <v>164.97</v>
      </c>
      <c r="U250" s="9" cm="1">
        <f t="array" aca="1" ref="U250" ca="1">_xll.BDH($E$6,"PX LAST",AI250)</f>
        <v>158.49</v>
      </c>
      <c r="V250" s="9" cm="1">
        <f t="array" aca="1" ref="V250" ca="1">_xll.BDH($E$6,"PX LAST",AJ250)</f>
        <v>179.82</v>
      </c>
      <c r="W250" s="9" cm="1">
        <f t="array" aca="1" ref="W250" ca="1">_xll.BDH($E$6,"PX LAST",AK250)</f>
        <v>178.57</v>
      </c>
      <c r="X250" s="24">
        <f t="shared" ca="1" si="58"/>
        <v>5.371815451121309E-3</v>
      </c>
      <c r="Y250" s="24">
        <f t="shared" ca="1" si="59"/>
        <v>3.1112809516220086E-2</v>
      </c>
      <c r="Z250" s="24">
        <f t="shared" ca="1" si="60"/>
        <v>-2.8705619825404982E-2</v>
      </c>
      <c r="AA250" s="24">
        <f t="shared" ca="1" si="61"/>
        <v>-4.6480897160198542E-2</v>
      </c>
      <c r="AB250" s="9" cm="1">
        <f t="array" aca="1" ref="AB250" ca="1">_xll.BDH($E$8,"PX LAST",AG250)</f>
        <v>5693.31</v>
      </c>
      <c r="AC250" s="9" cm="1">
        <f t="array" aca="1" ref="AC250" ca="1">_xll.BDH($E$8,"PX LAST",AH250)</f>
        <v>5662.89</v>
      </c>
      <c r="AD250" s="9" cm="1">
        <f t="array" aca="1" ref="AD250" ca="1">_xll.BDH($E$8,"PX LAST",AI250)</f>
        <v>5521.52</v>
      </c>
      <c r="AE250" s="9" cm="1">
        <f t="array" aca="1" ref="AE250" ca="1">_xll.BDH($E$8,"PX LAST",AJ250)</f>
        <v>5861.57</v>
      </c>
      <c r="AF250" s="9" cm="1">
        <f t="array" aca="1" ref="AF250" ca="1">_xll.BDH($E$8,"PX LAST",AK250)</f>
        <v>5970.84</v>
      </c>
      <c r="AG250" s="20">
        <f t="shared" ca="1" si="67"/>
        <v>45743</v>
      </c>
      <c r="AH250" s="22">
        <f t="shared" ca="1" si="62"/>
        <v>45736</v>
      </c>
      <c r="AI250" s="22">
        <f t="shared" ca="1" si="63"/>
        <v>45729</v>
      </c>
      <c r="AJ250" s="22">
        <f t="shared" ca="1" si="64"/>
        <v>45715</v>
      </c>
      <c r="AK250" s="22">
        <f t="shared" ca="1" si="65"/>
        <v>45653</v>
      </c>
      <c r="AL250" s="22">
        <f t="shared" ca="1" si="66"/>
        <v>45567</v>
      </c>
    </row>
    <row r="251" spans="4:38" x14ac:dyDescent="0.25">
      <c r="D251" s="6">
        <f ca="1"/>
        <v>45742</v>
      </c>
      <c r="E251" s="28">
        <f ca="1"/>
        <v>165.31</v>
      </c>
      <c r="F251" s="29" cm="1">
        <f t="array" aca="1" ref="F251" ca="1">_xll.FDS($E$7,"P_BETA_LOCIDX("&amp;$AG251&amp;","&amp;$AL251&amp;",,"""&amp;$E$9&amp;""")")</f>
        <v>1.6178608000000001</v>
      </c>
      <c r="G251" s="30">
        <f t="shared" ca="1" si="52"/>
        <v>-1.5397965197293251E-2</v>
      </c>
      <c r="H251" s="30">
        <f t="shared" ca="1" si="52"/>
        <v>-2.3156236170863792E-2</v>
      </c>
      <c r="I251" s="30">
        <f t="shared" ca="1" si="52"/>
        <v>-2.1452800744536843E-2</v>
      </c>
      <c r="J251" s="30">
        <f t="shared" ca="1" si="52"/>
        <v>5.4288729081453241E-3</v>
      </c>
      <c r="K251" s="30">
        <f t="shared" ca="1" si="53"/>
        <v>1.0521971939407349E-2</v>
      </c>
      <c r="L251" s="30">
        <f t="shared" ca="1" si="53"/>
        <v>3.2621307006232753E-2</v>
      </c>
      <c r="M251" s="30">
        <f t="shared" ca="1" si="53"/>
        <v>-6.6240355988354954E-2</v>
      </c>
      <c r="N251" s="30">
        <f t="shared" ca="1" si="53"/>
        <v>-8.7193023327519895E-2</v>
      </c>
      <c r="O251" s="30">
        <f t="shared" ca="1" si="54"/>
        <v>-4.8759932578859022E-3</v>
      </c>
      <c r="P251" s="30">
        <f t="shared" ca="1" si="55"/>
        <v>9.4650708353689605E-3</v>
      </c>
      <c r="Q251" s="30">
        <f t="shared" ca="1" si="56"/>
        <v>-8.7693156732891797E-2</v>
      </c>
      <c r="R251" s="30">
        <f t="shared" ca="1" si="57"/>
        <v>-8.1764150419374571E-2</v>
      </c>
      <c r="S251" s="9" cm="1">
        <f t="array" aca="1" ref="S251" ca="1">_xll.BDH($E$6,"PX LAST",AG251)</f>
        <v>165.31</v>
      </c>
      <c r="T251" s="9" cm="1">
        <f t="array" aca="1" ref="T251" ca="1">_xll.BDH($E$6,"PX LAST",AH251)</f>
        <v>166.12</v>
      </c>
      <c r="U251" s="9" cm="1">
        <f t="array" aca="1" ref="U251" ca="1">_xll.BDH($E$6,"PX LAST",AI251)</f>
        <v>163.76</v>
      </c>
      <c r="V251" s="9" cm="1">
        <f t="array" aca="1" ref="V251" ca="1">_xll.BDH($E$6,"PX LAST",AJ251)</f>
        <v>181.2</v>
      </c>
      <c r="W251" s="9" cm="1">
        <f t="array" aca="1" ref="W251" ca="1">_xll.BDH($E$6,"PX LAST",AK251)</f>
        <v>180.03</v>
      </c>
      <c r="X251" s="24">
        <f t="shared" ca="1" si="58"/>
        <v>6.5036324134977175E-3</v>
      </c>
      <c r="Y251" s="24">
        <f t="shared" ca="1" si="59"/>
        <v>2.0163234690050436E-2</v>
      </c>
      <c r="Z251" s="24">
        <f t="shared" ca="1" si="60"/>
        <v>-4.0943173843111191E-2</v>
      </c>
      <c r="AA251" s="24">
        <f t="shared" ca="1" si="61"/>
        <v>-5.3894020627435868E-2</v>
      </c>
      <c r="AB251" s="9" cm="1">
        <f t="array" aca="1" ref="AB251" ca="1">_xll.BDH($E$8,"PX LAST",AG251)</f>
        <v>5712.2</v>
      </c>
      <c r="AC251" s="9" cm="1">
        <f t="array" aca="1" ref="AC251" ca="1">_xll.BDH($E$8,"PX LAST",AH251)</f>
        <v>5675.29</v>
      </c>
      <c r="AD251" s="9" cm="1">
        <f t="array" aca="1" ref="AD251" ca="1">_xll.BDH($E$8,"PX LAST",AI251)</f>
        <v>5599.3</v>
      </c>
      <c r="AE251" s="9" cm="1">
        <f t="array" aca="1" ref="AE251" ca="1">_xll.BDH($E$8,"PX LAST",AJ251)</f>
        <v>5956.06</v>
      </c>
      <c r="AF251" s="9" cm="1">
        <f t="array" aca="1" ref="AF251" ca="1">_xll.BDH($E$8,"PX LAST",AK251)</f>
        <v>6037.59</v>
      </c>
      <c r="AG251" s="20">
        <f t="shared" ca="1" si="67"/>
        <v>45742</v>
      </c>
      <c r="AH251" s="22">
        <f t="shared" ca="1" si="62"/>
        <v>45735</v>
      </c>
      <c r="AI251" s="22">
        <f t="shared" ca="1" si="63"/>
        <v>45728</v>
      </c>
      <c r="AJ251" s="22">
        <f t="shared" ca="1" si="64"/>
        <v>45714</v>
      </c>
      <c r="AK251" s="22">
        <f t="shared" ca="1" si="65"/>
        <v>45652</v>
      </c>
      <c r="AL251" s="22">
        <f t="shared" ca="1" si="66"/>
        <v>45566</v>
      </c>
    </row>
    <row r="252" spans="4:38" x14ac:dyDescent="0.25">
      <c r="D252" s="6">
        <f ca="1"/>
        <v>45741</v>
      </c>
      <c r="E252" s="28">
        <f ca="1"/>
        <v>167.01</v>
      </c>
      <c r="F252" s="29" cm="1">
        <f t="array" aca="1" ref="F252" ca="1">_xll.FDS($E$7,"P_BETA_LOCIDX("&amp;$AG252&amp;","&amp;$AL252&amp;",,"""&amp;$E$9&amp;""")")</f>
        <v>1.6147434000000001</v>
      </c>
      <c r="G252" s="30">
        <f t="shared" ca="1" si="52"/>
        <v>-1.2789791330419881E-2</v>
      </c>
      <c r="H252" s="30">
        <f t="shared" ca="1" si="52"/>
        <v>-3.5967228512319496E-3</v>
      </c>
      <c r="I252" s="30">
        <f t="shared" ca="1" si="52"/>
        <v>4.4631184437360708E-3</v>
      </c>
      <c r="J252" s="30">
        <f t="shared" ca="1" si="52"/>
        <v>-3.4499379679067688E-3</v>
      </c>
      <c r="K252" s="30">
        <f t="shared" ca="1" si="53"/>
        <v>4.6587377217142206E-2</v>
      </c>
      <c r="L252" s="30">
        <f t="shared" ca="1" si="53"/>
        <v>5.9285724115454554E-2</v>
      </c>
      <c r="M252" s="30">
        <f t="shared" ca="1" si="53"/>
        <v>-4.8426711093572918E-2</v>
      </c>
      <c r="N252" s="30">
        <f t="shared" ca="1" si="53"/>
        <v>-7.0414643632492668E-2</v>
      </c>
      <c r="O252" s="30">
        <f t="shared" ca="1" si="54"/>
        <v>3.3797585886722326E-2</v>
      </c>
      <c r="P252" s="30">
        <f t="shared" ca="1" si="55"/>
        <v>5.5689001264222604E-2</v>
      </c>
      <c r="Q252" s="30">
        <f t="shared" ca="1" si="56"/>
        <v>-4.3963592649836847E-2</v>
      </c>
      <c r="R252" s="30">
        <f t="shared" ca="1" si="57"/>
        <v>-7.3864581600399437E-2</v>
      </c>
      <c r="S252" s="9" cm="1">
        <f t="array" aca="1" ref="S252" ca="1">_xll.BDH($E$6,"PX LAST",AG252)</f>
        <v>167.01</v>
      </c>
      <c r="T252" s="9" cm="1">
        <f t="array" aca="1" ref="T252" ca="1">_xll.BDH($E$6,"PX LAST",AH252)</f>
        <v>161.55000000000001</v>
      </c>
      <c r="U252" s="9" cm="1">
        <f t="array" aca="1" ref="U252" ca="1">_xll.BDH($E$6,"PX LAST",AI252)</f>
        <v>158.19999999999999</v>
      </c>
      <c r="V252" s="9" cm="1">
        <f t="array" aca="1" ref="V252" ca="1">_xll.BDH($E$6,"PX LAST",AJ252)</f>
        <v>174.69</v>
      </c>
      <c r="W252" s="9" cm="1">
        <f t="array" aca="1" ref="W252" ca="1">_xll.BDH($E$6,"PX LAST",AK252)</f>
        <v>180.33</v>
      </c>
      <c r="X252" s="24">
        <f t="shared" ca="1" si="58"/>
        <v>2.8851257244427941E-2</v>
      </c>
      <c r="Y252" s="24">
        <f t="shared" ca="1" si="59"/>
        <v>3.6715260217477619E-2</v>
      </c>
      <c r="Z252" s="24">
        <f t="shared" ca="1" si="60"/>
        <v>-2.9990344653876844E-2</v>
      </c>
      <c r="AA252" s="24">
        <f t="shared" ca="1" si="61"/>
        <v>-4.3607327103794113E-2</v>
      </c>
      <c r="AB252" s="9" cm="1">
        <f t="array" aca="1" ref="AB252" ca="1">_xll.BDH($E$8,"PX LAST",AG252)</f>
        <v>5776.65</v>
      </c>
      <c r="AC252" s="9" cm="1">
        <f t="array" aca="1" ref="AC252" ca="1">_xll.BDH($E$8,"PX LAST",AH252)</f>
        <v>5614.66</v>
      </c>
      <c r="AD252" s="9" cm="1">
        <f t="array" aca="1" ref="AD252" ca="1">_xll.BDH($E$8,"PX LAST",AI252)</f>
        <v>5572.07</v>
      </c>
      <c r="AE252" s="9" cm="1">
        <f t="array" aca="1" ref="AE252" ca="1">_xll.BDH($E$8,"PX LAST",AJ252)</f>
        <v>5955.25</v>
      </c>
      <c r="AF252" s="9" cm="1">
        <f t="array" aca="1" ref="AF252" ca="1">_xll.BDH($E$8,"PX LAST",AK252)</f>
        <v>6040.04</v>
      </c>
      <c r="AG252" s="20">
        <f t="shared" ca="1" si="67"/>
        <v>45741</v>
      </c>
      <c r="AH252" s="22">
        <f t="shared" ca="1" si="62"/>
        <v>45734</v>
      </c>
      <c r="AI252" s="22">
        <f t="shared" ca="1" si="63"/>
        <v>45727</v>
      </c>
      <c r="AJ252" s="22">
        <f t="shared" ca="1" si="64"/>
        <v>45713</v>
      </c>
      <c r="AK252" s="22">
        <f t="shared" ca="1" si="65"/>
        <v>45650</v>
      </c>
      <c r="AL252" s="22">
        <f t="shared" ca="1" si="66"/>
        <v>45565</v>
      </c>
    </row>
    <row r="253" spans="4:38" x14ac:dyDescent="0.25">
      <c r="D253" s="6">
        <f ca="1"/>
        <v>45740</v>
      </c>
      <c r="E253" s="28">
        <f ca="1"/>
        <v>168.64</v>
      </c>
      <c r="F253" s="29" cm="1">
        <f t="array" aca="1" ref="F253" ca="1">_xll.FDS($E$7,"P_BETA_LOCIDX("&amp;$AG253&amp;","&amp;$AL253&amp;",,"""&amp;$E$9&amp;""")")</f>
        <v>1.6167521</v>
      </c>
      <c r="G253" s="30">
        <f t="shared" ca="1" si="52"/>
        <v>4.5323119955083396E-3</v>
      </c>
      <c r="H253" s="30">
        <f t="shared" ca="1" si="52"/>
        <v>3.1724331662244698E-2</v>
      </c>
      <c r="I253" s="30">
        <f t="shared" ca="1" si="52"/>
        <v>8.0430061257267954E-3</v>
      </c>
      <c r="J253" s="30">
        <f t="shared" ca="1" si="52"/>
        <v>-2.0976150435674107E-3</v>
      </c>
      <c r="K253" s="30">
        <f t="shared" ca="1" si="53"/>
        <v>2.6337545575247659E-2</v>
      </c>
      <c r="L253" s="30">
        <f t="shared" ca="1" si="53"/>
        <v>4.4060307276259925E-2</v>
      </c>
      <c r="M253" s="30">
        <f t="shared" ca="1" si="53"/>
        <v>-5.8279545886934361E-2</v>
      </c>
      <c r="N253" s="30">
        <f t="shared" ca="1" si="53"/>
        <v>-5.5884733297400194E-2</v>
      </c>
      <c r="O253" s="30">
        <f t="shared" ca="1" si="54"/>
        <v>3.0869857570755999E-2</v>
      </c>
      <c r="P253" s="30">
        <f t="shared" ca="1" si="55"/>
        <v>7.5784638938504623E-2</v>
      </c>
      <c r="Q253" s="30">
        <f t="shared" ca="1" si="56"/>
        <v>-5.0236539761207566E-2</v>
      </c>
      <c r="R253" s="30">
        <f t="shared" ca="1" si="57"/>
        <v>-5.7982348340967604E-2</v>
      </c>
      <c r="S253" s="9" cm="1">
        <f t="array" aca="1" ref="S253" ca="1">_xll.BDH($E$6,"PX LAST",AG253)</f>
        <v>168.64</v>
      </c>
      <c r="T253" s="9" cm="1">
        <f t="array" aca="1" ref="T253" ca="1">_xll.BDH($E$6,"PX LAST",AH253)</f>
        <v>163.59</v>
      </c>
      <c r="U253" s="9" cm="1">
        <f t="array" aca="1" ref="U253" ca="1">_xll.BDH($E$6,"PX LAST",AI253)</f>
        <v>156.76</v>
      </c>
      <c r="V253" s="9" cm="1">
        <f t="array" aca="1" ref="V253" ca="1">_xll.BDH($E$6,"PX LAST",AJ253)</f>
        <v>177.56</v>
      </c>
      <c r="W253" s="9" cm="1">
        <f t="array" aca="1" ref="W253" ca="1">_xll.BDH($E$6,"PX LAST",AK253)</f>
        <v>179.02</v>
      </c>
      <c r="X253" s="24">
        <f t="shared" ca="1" si="58"/>
        <v>1.6290404431976713E-2</v>
      </c>
      <c r="Y253" s="24">
        <f t="shared" ca="1" si="59"/>
        <v>2.7252358154512324E-2</v>
      </c>
      <c r="Z253" s="24">
        <f t="shared" ca="1" si="60"/>
        <v>-3.604729870889567E-2</v>
      </c>
      <c r="AA253" s="24">
        <f t="shared" ca="1" si="61"/>
        <v>-3.4566049611069127E-2</v>
      </c>
      <c r="AB253" s="9" cm="1">
        <f t="array" aca="1" ref="AB253" ca="1">_xll.BDH($E$8,"PX LAST",AG253)</f>
        <v>5767.57</v>
      </c>
      <c r="AC253" s="9" cm="1">
        <f t="array" aca="1" ref="AC253" ca="1">_xll.BDH($E$8,"PX LAST",AH253)</f>
        <v>5675.12</v>
      </c>
      <c r="AD253" s="9" cm="1">
        <f t="array" aca="1" ref="AD253" ca="1">_xll.BDH($E$8,"PX LAST",AI253)</f>
        <v>5614.56</v>
      </c>
      <c r="AE253" s="9" cm="1">
        <f t="array" aca="1" ref="AE253" ca="1">_xll.BDH($E$8,"PX LAST",AJ253)</f>
        <v>5983.25</v>
      </c>
      <c r="AF253" s="9" cm="1">
        <f t="array" aca="1" ref="AF253" ca="1">_xll.BDH($E$8,"PX LAST",AK253)</f>
        <v>5974.07</v>
      </c>
      <c r="AG253" s="20">
        <f t="shared" ca="1" si="67"/>
        <v>45740</v>
      </c>
      <c r="AH253" s="22">
        <f t="shared" ca="1" si="62"/>
        <v>45733</v>
      </c>
      <c r="AI253" s="22">
        <f t="shared" ca="1" si="63"/>
        <v>45726</v>
      </c>
      <c r="AJ253" s="22">
        <f t="shared" ca="1" si="64"/>
        <v>45712</v>
      </c>
      <c r="AK253" s="22">
        <f t="shared" ca="1" si="65"/>
        <v>45649</v>
      </c>
      <c r="AL253" s="22">
        <f t="shared" ca="1" si="66"/>
        <v>45562</v>
      </c>
    </row>
    <row r="254" spans="4:38" x14ac:dyDescent="0.25">
      <c r="D254" s="6">
        <f ca="1"/>
        <v>45737</v>
      </c>
      <c r="E254" s="28">
        <f ca="1"/>
        <v>162.62</v>
      </c>
      <c r="F254" s="29" cm="1">
        <f t="array" aca="1" ref="F254" ca="1">_xll.FDS($E$7,"P_BETA_LOCIDX("&amp;$AG254&amp;","&amp;$AL254&amp;",,"""&amp;$E$9&amp;""")")</f>
        <v>1.6215782999999999</v>
      </c>
      <c r="G254" s="30">
        <f t="shared" ca="1" si="52"/>
        <v>-9.7038524972591546E-3</v>
      </c>
      <c r="H254" s="30">
        <f t="shared" ca="1" si="52"/>
        <v>1.2810177542555506E-2</v>
      </c>
      <c r="I254" s="30">
        <f t="shared" ca="1" si="52"/>
        <v>-1.9048457935087804E-2</v>
      </c>
      <c r="J254" s="30">
        <f t="shared" ca="1" si="52"/>
        <v>-1.4878980209858103E-2</v>
      </c>
      <c r="K254" s="30">
        <f t="shared" ca="1" si="53"/>
        <v>8.2301941403881886E-3</v>
      </c>
      <c r="L254" s="30">
        <f t="shared" ca="1" si="53"/>
        <v>-2.8844545546427985E-2</v>
      </c>
      <c r="M254" s="30">
        <f t="shared" ca="1" si="53"/>
        <v>-9.3190869502405405E-2</v>
      </c>
      <c r="N254" s="30">
        <f t="shared" ca="1" si="53"/>
        <v>-7.1987211041756219E-2</v>
      </c>
      <c r="O254" s="30">
        <f t="shared" ca="1" si="54"/>
        <v>-1.473658356870966E-3</v>
      </c>
      <c r="P254" s="30">
        <f t="shared" ca="1" si="55"/>
        <v>-1.6034368003872479E-2</v>
      </c>
      <c r="Q254" s="30">
        <f t="shared" ca="1" si="56"/>
        <v>-0.11223932743749321</v>
      </c>
      <c r="R254" s="30">
        <f t="shared" ca="1" si="57"/>
        <v>-8.6866191251614322E-2</v>
      </c>
      <c r="S254" s="9" cm="1">
        <f t="array" aca="1" ref="S254" ca="1">_xll.BDH($E$6,"PX LAST",AG254)</f>
        <v>162.62</v>
      </c>
      <c r="T254" s="9" cm="1">
        <f t="array" aca="1" ref="T254" ca="1">_xll.BDH($E$6,"PX LAST",AH254)</f>
        <v>162.86000000000001</v>
      </c>
      <c r="U254" s="9" cm="1">
        <f t="array" aca="1" ref="U254" ca="1">_xll.BDH($E$6,"PX LAST",AI254)</f>
        <v>165.27</v>
      </c>
      <c r="V254" s="9" cm="1">
        <f t="array" aca="1" ref="V254" ca="1">_xll.BDH($E$6,"PX LAST",AJ254)</f>
        <v>183.18</v>
      </c>
      <c r="W254" s="9" cm="1">
        <f t="array" aca="1" ref="W254" ca="1">_xll.BDH($E$6,"PX LAST",AK254)</f>
        <v>178.09</v>
      </c>
      <c r="X254" s="24">
        <f t="shared" ca="1" si="58"/>
        <v>5.0754219764708175E-3</v>
      </c>
      <c r="Y254" s="24">
        <f t="shared" ca="1" si="59"/>
        <v>-1.778794495858016E-2</v>
      </c>
      <c r="Z254" s="24">
        <f t="shared" ca="1" si="60"/>
        <v>-5.7469238150513857E-2</v>
      </c>
      <c r="AA254" s="24">
        <f t="shared" ca="1" si="61"/>
        <v>-4.4393299442744283E-2</v>
      </c>
      <c r="AB254" s="9" cm="1">
        <f t="array" aca="1" ref="AB254" ca="1">_xll.BDH($E$8,"PX LAST",AG254)</f>
        <v>5667.56</v>
      </c>
      <c r="AC254" s="9" cm="1">
        <f t="array" aca="1" ref="AC254" ca="1">_xll.BDH($E$8,"PX LAST",AH254)</f>
        <v>5638.94</v>
      </c>
      <c r="AD254" s="9" cm="1">
        <f t="array" aca="1" ref="AD254" ca="1">_xll.BDH($E$8,"PX LAST",AI254)</f>
        <v>5770.2</v>
      </c>
      <c r="AE254" s="9" cm="1">
        <f t="array" aca="1" ref="AE254" ca="1">_xll.BDH($E$8,"PX LAST",AJ254)</f>
        <v>6013.13</v>
      </c>
      <c r="AF254" s="9" cm="1">
        <f t="array" aca="1" ref="AF254" ca="1">_xll.BDH($E$8,"PX LAST",AK254)</f>
        <v>5930.85</v>
      </c>
      <c r="AG254" s="20">
        <f t="shared" ca="1" si="67"/>
        <v>45737</v>
      </c>
      <c r="AH254" s="22">
        <f t="shared" ca="1" si="62"/>
        <v>45730</v>
      </c>
      <c r="AI254" s="22">
        <f t="shared" ca="1" si="63"/>
        <v>45723</v>
      </c>
      <c r="AJ254" s="22">
        <f t="shared" ca="1" si="64"/>
        <v>45709</v>
      </c>
      <c r="AK254" s="22">
        <f t="shared" ca="1" si="65"/>
        <v>45646</v>
      </c>
      <c r="AL254" s="22">
        <f t="shared" ca="1" si="66"/>
        <v>45561</v>
      </c>
    </row>
    <row r="255" spans="4:38" x14ac:dyDescent="0.25">
      <c r="D255" s="6">
        <f ca="1"/>
        <v>45736</v>
      </c>
      <c r="E255" s="28">
        <f ca="1"/>
        <v>164.97</v>
      </c>
      <c r="F255" s="29" cm="1">
        <f t="array" aca="1" ref="F255" ca="1">_xll.FDS($E$7,"P_BETA_LOCIDX("&amp;$AG255&amp;","&amp;$AL255&amp;",,"""&amp;$E$9&amp;""")")</f>
        <v>1.6280034000000001</v>
      </c>
      <c r="G255" s="30">
        <f t="shared" ca="1" si="52"/>
        <v>-7.9665477217494285E-4</v>
      </c>
      <c r="H255" s="30">
        <f t="shared" ca="1" si="52"/>
        <v>4.1807644148404502E-3</v>
      </c>
      <c r="I255" s="30">
        <f t="shared" ca="1" si="52"/>
        <v>-2.4290643984531707E-2</v>
      </c>
      <c r="J255" s="30">
        <f t="shared" ca="1" si="52"/>
        <v>-1.4089799853658352E-3</v>
      </c>
      <c r="K255" s="30">
        <f t="shared" ca="1" si="53"/>
        <v>4.1682515078818927E-2</v>
      </c>
      <c r="L255" s="30">
        <f t="shared" ca="1" si="53"/>
        <v>-2.1456036947157205E-2</v>
      </c>
      <c r="M255" s="30">
        <f t="shared" ca="1" si="53"/>
        <v>-0.12098680277988463</v>
      </c>
      <c r="N255" s="30">
        <f t="shared" ca="1" si="53"/>
        <v>-5.6658851463760471E-2</v>
      </c>
      <c r="O255" s="30">
        <f t="shared" ca="1" si="54"/>
        <v>4.0885860306643984E-2</v>
      </c>
      <c r="P255" s="30">
        <f t="shared" ca="1" si="55"/>
        <v>-1.7275272532316754E-2</v>
      </c>
      <c r="Q255" s="30">
        <f t="shared" ca="1" si="56"/>
        <v>-0.14527744676441634</v>
      </c>
      <c r="R255" s="30">
        <f t="shared" ca="1" si="57"/>
        <v>-5.8067831449126306E-2</v>
      </c>
      <c r="S255" s="9" cm="1">
        <f t="array" aca="1" ref="S255" ca="1">_xll.BDH($E$6,"PX LAST",AG255)</f>
        <v>164.97</v>
      </c>
      <c r="T255" s="9" cm="1">
        <f t="array" aca="1" ref="T255" ca="1">_xll.BDH($E$6,"PX LAST",AH255)</f>
        <v>158.49</v>
      </c>
      <c r="U255" s="9" cm="1">
        <f t="array" aca="1" ref="U255" ca="1">_xll.BDH($E$6,"PX LAST",AI255)</f>
        <v>167.87</v>
      </c>
      <c r="V255" s="9" cm="1">
        <f t="array" aca="1" ref="V255" ca="1">_xll.BDH($E$6,"PX LAST",AJ255)</f>
        <v>193.01</v>
      </c>
      <c r="W255" s="9" cm="1">
        <f t="array" aca="1" ref="W255" ca="1">_xll.BDH($E$6,"PX LAST",AK255)</f>
        <v>175.14</v>
      </c>
      <c r="X255" s="24">
        <f t="shared" ca="1" si="58"/>
        <v>2.5603457019081732E-2</v>
      </c>
      <c r="Y255" s="24">
        <f t="shared" ca="1" si="59"/>
        <v>-1.3179356349720894E-2</v>
      </c>
      <c r="Z255" s="24">
        <f t="shared" ca="1" si="60"/>
        <v>-7.4316062718225662E-2</v>
      </c>
      <c r="AA255" s="24">
        <f t="shared" ca="1" si="61"/>
        <v>-3.4802661630657816E-2</v>
      </c>
      <c r="AB255" s="9" cm="1">
        <f t="array" aca="1" ref="AB255" ca="1">_xll.BDH($E$8,"PX LAST",AG255)</f>
        <v>5662.89</v>
      </c>
      <c r="AC255" s="9" cm="1">
        <f t="array" aca="1" ref="AC255" ca="1">_xll.BDH($E$8,"PX LAST",AH255)</f>
        <v>5521.52</v>
      </c>
      <c r="AD255" s="9" cm="1">
        <f t="array" aca="1" ref="AD255" ca="1">_xll.BDH($E$8,"PX LAST",AI255)</f>
        <v>5738.52</v>
      </c>
      <c r="AE255" s="9" cm="1">
        <f t="array" aca="1" ref="AE255" ca="1">_xll.BDH($E$8,"PX LAST",AJ255)</f>
        <v>6117.52</v>
      </c>
      <c r="AF255" s="9" cm="1">
        <f t="array" aca="1" ref="AF255" ca="1">_xll.BDH($E$8,"PX LAST",AK255)</f>
        <v>5867.08</v>
      </c>
      <c r="AG255" s="20">
        <f t="shared" ca="1" si="67"/>
        <v>45736</v>
      </c>
      <c r="AH255" s="22">
        <f t="shared" ca="1" si="62"/>
        <v>45729</v>
      </c>
      <c r="AI255" s="22">
        <f t="shared" ca="1" si="63"/>
        <v>45722</v>
      </c>
      <c r="AJ255" s="22">
        <f t="shared" ca="1" si="64"/>
        <v>45708</v>
      </c>
      <c r="AK255" s="22">
        <f t="shared" ca="1" si="65"/>
        <v>45645</v>
      </c>
      <c r="AL255" s="22">
        <f t="shared" ca="1" si="66"/>
        <v>45560</v>
      </c>
    </row>
    <row r="256" spans="4:38" x14ac:dyDescent="0.25">
      <c r="D256" s="6">
        <f ca="1"/>
        <v>45735</v>
      </c>
      <c r="E256" s="28">
        <f ca="1"/>
        <v>166.12</v>
      </c>
      <c r="F256" s="29" cm="1">
        <f t="array" aca="1" ref="F256" ca="1">_xll.FDS($E$7,"P_BETA_LOCIDX("&amp;$AG256&amp;","&amp;$AL256&amp;",,"""&amp;$E$9&amp;""")")</f>
        <v>1.6264143</v>
      </c>
      <c r="G256" s="30">
        <f t="shared" ca="1" si="52"/>
        <v>-7.6612866072701125E-3</v>
      </c>
      <c r="H256" s="30">
        <f t="shared" ca="1" si="52"/>
        <v>1.7249765460558425E-2</v>
      </c>
      <c r="I256" s="30">
        <f t="shared" ca="1" si="52"/>
        <v>-3.2725217017728986E-2</v>
      </c>
      <c r="J256" s="30">
        <f t="shared" ca="1" si="52"/>
        <v>2.3976961362054405E-6</v>
      </c>
      <c r="K256" s="30">
        <f t="shared" ca="1" si="53"/>
        <v>2.2072620266283371E-2</v>
      </c>
      <c r="L256" s="30">
        <f t="shared" ca="1" si="53"/>
        <v>-4.658247552249592E-2</v>
      </c>
      <c r="M256" s="30">
        <f t="shared" ca="1" si="53"/>
        <v>-0.12411165233563617</v>
      </c>
      <c r="N256" s="30">
        <f t="shared" ca="1" si="53"/>
        <v>-5.4527155806551555E-2</v>
      </c>
      <c r="O256" s="30">
        <f t="shared" ca="1" si="54"/>
        <v>1.4411333659013259E-2</v>
      </c>
      <c r="P256" s="30">
        <f t="shared" ca="1" si="55"/>
        <v>-2.9332710061937495E-2</v>
      </c>
      <c r="Q256" s="30">
        <f t="shared" ca="1" si="56"/>
        <v>-0.15683686935336516</v>
      </c>
      <c r="R256" s="30">
        <f t="shared" ca="1" si="57"/>
        <v>-5.452475811041535E-2</v>
      </c>
      <c r="S256" s="9" cm="1">
        <f t="array" aca="1" ref="S256" ca="1">_xll.BDH($E$6,"PX LAST",AG256)</f>
        <v>166.12</v>
      </c>
      <c r="T256" s="9" cm="1">
        <f t="array" aca="1" ref="T256" ca="1">_xll.BDH($E$6,"PX LAST",AH256)</f>
        <v>163.76</v>
      </c>
      <c r="U256" s="9" cm="1">
        <f t="array" aca="1" ref="U256" ca="1">_xll.BDH($E$6,"PX LAST",AI256)</f>
        <v>171.14</v>
      </c>
      <c r="V256" s="9" cm="1">
        <f t="array" aca="1" ref="V256" ca="1">_xll.BDH($E$6,"PX LAST",AJ256)</f>
        <v>197.02</v>
      </c>
      <c r="W256" s="9" cm="1">
        <f t="array" aca="1" ref="W256" ca="1">_xll.BDH($E$6,"PX LAST",AK256)</f>
        <v>175.7</v>
      </c>
      <c r="X256" s="24">
        <f t="shared" ca="1" si="58"/>
        <v>1.357133927455223E-2</v>
      </c>
      <c r="Y256" s="24">
        <f t="shared" ca="1" si="59"/>
        <v>-2.8641211235351238E-2</v>
      </c>
      <c r="Z256" s="24">
        <f t="shared" ca="1" si="60"/>
        <v>-7.6309985921567569E-2</v>
      </c>
      <c r="AA256" s="24">
        <f t="shared" ca="1" si="61"/>
        <v>-3.352599384212962E-2</v>
      </c>
      <c r="AB256" s="9" cm="1">
        <f t="array" aca="1" ref="AB256" ca="1">_xll.BDH($E$8,"PX LAST",AG256)</f>
        <v>5675.29</v>
      </c>
      <c r="AC256" s="9" cm="1">
        <f t="array" aca="1" ref="AC256" ca="1">_xll.BDH($E$8,"PX LAST",AH256)</f>
        <v>5599.3</v>
      </c>
      <c r="AD256" s="9" cm="1">
        <f t="array" aca="1" ref="AD256" ca="1">_xll.BDH($E$8,"PX LAST",AI256)</f>
        <v>5842.63</v>
      </c>
      <c r="AE256" s="9" cm="1">
        <f t="array" aca="1" ref="AE256" ca="1">_xll.BDH($E$8,"PX LAST",AJ256)</f>
        <v>6144.15</v>
      </c>
      <c r="AF256" s="9" cm="1">
        <f t="array" aca="1" ref="AF256" ca="1">_xll.BDH($E$8,"PX LAST",AK256)</f>
        <v>5872.16</v>
      </c>
      <c r="AG256" s="20">
        <f t="shared" ca="1" si="67"/>
        <v>45735</v>
      </c>
      <c r="AH256" s="22">
        <f t="shared" ca="1" si="62"/>
        <v>45728</v>
      </c>
      <c r="AI256" s="22">
        <f t="shared" ca="1" si="63"/>
        <v>45721</v>
      </c>
      <c r="AJ256" s="22">
        <f t="shared" ca="1" si="64"/>
        <v>45707</v>
      </c>
      <c r="AK256" s="22">
        <f t="shared" ca="1" si="65"/>
        <v>45644</v>
      </c>
      <c r="AL256" s="22">
        <f t="shared" ca="1" si="66"/>
        <v>45559</v>
      </c>
    </row>
    <row r="257" spans="4:38" x14ac:dyDescent="0.25">
      <c r="D257" s="6">
        <f ca="1"/>
        <v>45734</v>
      </c>
      <c r="E257" s="28">
        <f ca="1"/>
        <v>161.55000000000001</v>
      </c>
      <c r="F257" s="29" cm="1">
        <f t="array" aca="1" ref="F257" ca="1">_xll.FDS($E$7,"P_BETA_LOCIDX("&amp;$AG257&amp;","&amp;$AL257&amp;",,"""&amp;$E$9&amp;""")")</f>
        <v>1.6124189</v>
      </c>
      <c r="G257" s="30">
        <f t="shared" ca="1" si="52"/>
        <v>8.8512369357105491E-3</v>
      </c>
      <c r="H257" s="30">
        <f t="shared" ca="1" si="52"/>
        <v>3.2247761602548025E-2</v>
      </c>
      <c r="I257" s="30">
        <f t="shared" ca="1" si="52"/>
        <v>-5.65955438097476E-2</v>
      </c>
      <c r="J257" s="30">
        <f t="shared" ca="1" si="52"/>
        <v>-1.5882511218840517E-2</v>
      </c>
      <c r="K257" s="30">
        <f t="shared" ca="1" si="53"/>
        <v>1.2324489992229015E-2</v>
      </c>
      <c r="L257" s="30">
        <f t="shared" ca="1" si="53"/>
        <v>-4.5622624189576272E-2</v>
      </c>
      <c r="M257" s="30">
        <f t="shared" ca="1" si="53"/>
        <v>-0.1354524681932531</v>
      </c>
      <c r="N257" s="30">
        <f t="shared" ca="1" si="53"/>
        <v>-0.11617572764646858</v>
      </c>
      <c r="O257" s="30">
        <f t="shared" ca="1" si="54"/>
        <v>2.1175726927939564E-2</v>
      </c>
      <c r="P257" s="30">
        <f t="shared" ca="1" si="55"/>
        <v>-1.3374862587028247E-2</v>
      </c>
      <c r="Q257" s="30">
        <f t="shared" ca="1" si="56"/>
        <v>-0.1920480120030007</v>
      </c>
      <c r="R257" s="30">
        <f t="shared" ca="1" si="57"/>
        <v>-0.1320582388653091</v>
      </c>
      <c r="S257" s="9" cm="1">
        <f t="array" aca="1" ref="S257" ca="1">_xll.BDH($E$6,"PX LAST",AG257)</f>
        <v>161.55000000000001</v>
      </c>
      <c r="T257" s="9" cm="1">
        <f t="array" aca="1" ref="T257" ca="1">_xll.BDH($E$6,"PX LAST",AH257)</f>
        <v>158.19999999999999</v>
      </c>
      <c r="U257" s="9" cm="1">
        <f t="array" aca="1" ref="U257" ca="1">_xll.BDH($E$6,"PX LAST",AI257)</f>
        <v>163.74</v>
      </c>
      <c r="V257" s="9" cm="1">
        <f t="array" aca="1" ref="V257" ca="1">_xll.BDH($E$6,"PX LAST",AJ257)</f>
        <v>199.95</v>
      </c>
      <c r="W257" s="9" cm="1">
        <f t="array" aca="1" ref="W257" ca="1">_xll.BDH($E$6,"PX LAST",AK257)</f>
        <v>186.13</v>
      </c>
      <c r="X257" s="24">
        <f t="shared" ca="1" si="58"/>
        <v>7.6434789943413683E-3</v>
      </c>
      <c r="Y257" s="24">
        <f t="shared" ca="1" si="59"/>
        <v>-2.8294523333592947E-2</v>
      </c>
      <c r="Z257" s="24">
        <f t="shared" ca="1" si="60"/>
        <v>-8.4005755696148876E-2</v>
      </c>
      <c r="AA257" s="24">
        <f t="shared" ca="1" si="61"/>
        <v>-7.2050586635066471E-2</v>
      </c>
      <c r="AB257" s="9" cm="1">
        <f t="array" aca="1" ref="AB257" ca="1">_xll.BDH($E$8,"PX LAST",AG257)</f>
        <v>5614.66</v>
      </c>
      <c r="AC257" s="9" cm="1">
        <f t="array" aca="1" ref="AC257" ca="1">_xll.BDH($E$8,"PX LAST",AH257)</f>
        <v>5572.07</v>
      </c>
      <c r="AD257" s="9" cm="1">
        <f t="array" aca="1" ref="AD257" ca="1">_xll.BDH($E$8,"PX LAST",AI257)</f>
        <v>5778.15</v>
      </c>
      <c r="AE257" s="9" cm="1">
        <f t="array" aca="1" ref="AE257" ca="1">_xll.BDH($E$8,"PX LAST",AJ257)</f>
        <v>6129.58</v>
      </c>
      <c r="AF257" s="9" cm="1">
        <f t="array" aca="1" ref="AF257" ca="1">_xll.BDH($E$8,"PX LAST",AK257)</f>
        <v>6050.61</v>
      </c>
      <c r="AG257" s="20">
        <f t="shared" ca="1" si="67"/>
        <v>45734</v>
      </c>
      <c r="AH257" s="22">
        <f t="shared" ca="1" si="62"/>
        <v>45727</v>
      </c>
      <c r="AI257" s="22">
        <f t="shared" ca="1" si="63"/>
        <v>45720</v>
      </c>
      <c r="AJ257" s="22">
        <f t="shared" ca="1" si="64"/>
        <v>45706</v>
      </c>
      <c r="AK257" s="22">
        <f t="shared" ca="1" si="65"/>
        <v>45643</v>
      </c>
      <c r="AL257" s="22">
        <f t="shared" ca="1" si="66"/>
        <v>45558</v>
      </c>
    </row>
    <row r="258" spans="4:38" x14ac:dyDescent="0.25">
      <c r="D258" s="6">
        <f ca="1"/>
        <v>45733</v>
      </c>
      <c r="E258" s="28">
        <f ca="1"/>
        <v>163.59</v>
      </c>
      <c r="F258" s="29" cm="1">
        <f t="array" aca="1" ref="F258" ca="1">_xll.FDS($E$7,"P_BETA_LOCIDX("&amp;$AG258&amp;","&amp;$AL258&amp;",,"""&amp;$E$9&amp;""")")</f>
        <v>1.6227577</v>
      </c>
      <c r="G258" s="30">
        <f t="shared" ca="1" si="52"/>
        <v>2.6066331785129602E-2</v>
      </c>
      <c r="H258" s="30">
        <f t="shared" ca="1" si="52"/>
        <v>1.2544305135600113E-2</v>
      </c>
      <c r="I258" s="30">
        <f t="shared" ca="1" si="52"/>
        <v>-5.2319863351778489E-2</v>
      </c>
      <c r="J258" s="30">
        <f t="shared" ca="1" si="52"/>
        <v>-3.0369368603899355E-2</v>
      </c>
      <c r="K258" s="30">
        <f t="shared" ca="1" si="53"/>
        <v>1.7503456426148836E-2</v>
      </c>
      <c r="L258" s="30">
        <f t="shared" ca="1" si="53"/>
        <v>-4.8435394244511036E-2</v>
      </c>
      <c r="M258" s="30">
        <f t="shared" ca="1" si="53"/>
        <v>-0.11664127457049736</v>
      </c>
      <c r="N258" s="30">
        <f t="shared" ca="1" si="53"/>
        <v>-0.10658657969470267</v>
      </c>
      <c r="O258" s="30">
        <f t="shared" ca="1" si="54"/>
        <v>4.3569788211278437E-2</v>
      </c>
      <c r="P258" s="30">
        <f t="shared" ca="1" si="55"/>
        <v>-3.5891089108910923E-2</v>
      </c>
      <c r="Q258" s="30">
        <f t="shared" ca="1" si="56"/>
        <v>-0.16896113792227585</v>
      </c>
      <c r="R258" s="30">
        <f t="shared" ca="1" si="57"/>
        <v>-0.13695594829860203</v>
      </c>
      <c r="S258" s="9" cm="1">
        <f t="array" aca="1" ref="S258" ca="1">_xll.BDH($E$6,"PX LAST",AG258)</f>
        <v>163.59</v>
      </c>
      <c r="T258" s="9" cm="1">
        <f t="array" aca="1" ref="T258" ca="1">_xll.BDH($E$6,"PX LAST",AH258)</f>
        <v>156.76</v>
      </c>
      <c r="U258" s="9" cm="1">
        <f t="array" aca="1" ref="U258" ca="1">_xll.BDH($E$6,"PX LAST",AI258)</f>
        <v>169.68</v>
      </c>
      <c r="V258" s="9" cm="1">
        <f t="array" aca="1" ref="V258" ca="1">_xll.BDH($E$6,"PX LAST",AJ258)</f>
        <v>196.85</v>
      </c>
      <c r="W258" s="9" cm="1">
        <f t="array" aca="1" ref="W258" ca="1">_xll.BDH($E$6,"PX LAST",AK258)</f>
        <v>189.55</v>
      </c>
      <c r="X258" s="24">
        <f t="shared" ca="1" si="58"/>
        <v>1.0786241486420822E-2</v>
      </c>
      <c r="Y258" s="24">
        <f t="shared" ca="1" si="59"/>
        <v>-2.9847582448390808E-2</v>
      </c>
      <c r="Z258" s="24">
        <f t="shared" ca="1" si="60"/>
        <v>-7.1878429275360922E-2</v>
      </c>
      <c r="AA258" s="24">
        <f t="shared" ca="1" si="61"/>
        <v>-6.5682374944024402E-2</v>
      </c>
      <c r="AB258" s="9" cm="1">
        <f t="array" aca="1" ref="AB258" ca="1">_xll.BDH($E$8,"PX LAST",AG258)</f>
        <v>5675.12</v>
      </c>
      <c r="AC258" s="9" cm="1">
        <f t="array" aca="1" ref="AC258" ca="1">_xll.BDH($E$8,"PX LAST",AH258)</f>
        <v>5614.56</v>
      </c>
      <c r="AD258" s="9" cm="1">
        <f t="array" aca="1" ref="AD258" ca="1">_xll.BDH($E$8,"PX LAST",AI258)</f>
        <v>5849.72</v>
      </c>
      <c r="AE258" s="9" cm="1">
        <f t="array" aca="1" ref="AE258" ca="1">_xll.BDH($E$8,"PX LAST",AJ258)</f>
        <v>6114.63</v>
      </c>
      <c r="AF258" s="9" cm="1">
        <f t="array" aca="1" ref="AF258" ca="1">_xll.BDH($E$8,"PX LAST",AK258)</f>
        <v>6074.08</v>
      </c>
      <c r="AG258" s="20">
        <f t="shared" ca="1" si="67"/>
        <v>45733</v>
      </c>
      <c r="AH258" s="22">
        <f t="shared" ca="1" si="62"/>
        <v>45726</v>
      </c>
      <c r="AI258" s="22">
        <f t="shared" ca="1" si="63"/>
        <v>45719</v>
      </c>
      <c r="AJ258" s="22">
        <f t="shared" ca="1" si="64"/>
        <v>45702</v>
      </c>
      <c r="AK258" s="22">
        <f t="shared" ca="1" si="65"/>
        <v>45642</v>
      </c>
      <c r="AL258" s="22">
        <f t="shared" ca="1" si="66"/>
        <v>45555</v>
      </c>
    </row>
    <row r="259" spans="4:38" x14ac:dyDescent="0.25">
      <c r="D259" s="6">
        <f ca="1"/>
        <v>45730</v>
      </c>
      <c r="E259" s="28">
        <f ca="1"/>
        <v>162.86000000000001</v>
      </c>
      <c r="F259" s="29" cm="1">
        <f t="array" aca="1" ref="F259" ca="1">_xll.FDS($E$7,"P_BETA_LOCIDX("&amp;$AG259&amp;","&amp;$AL259&amp;",,"""&amp;$E$9&amp;""")")</f>
        <v>1.6418762</v>
      </c>
      <c r="G259" s="30">
        <f t="shared" ca="1" si="52"/>
        <v>2.2767055967778199E-2</v>
      </c>
      <c r="H259" s="30">
        <f t="shared" ca="1" si="52"/>
        <v>-1.0566964816128829E-2</v>
      </c>
      <c r="I259" s="30">
        <f t="shared" ca="1" si="52"/>
        <v>-3.1245701197246151E-2</v>
      </c>
      <c r="J259" s="30">
        <f t="shared" ca="1" si="52"/>
        <v>-3.4560348387307441E-2</v>
      </c>
      <c r="K259" s="30">
        <f t="shared" ca="1" si="53"/>
        <v>-3.7349254793941383E-2</v>
      </c>
      <c r="L259" s="30">
        <f t="shared" ca="1" si="53"/>
        <v>-8.7011580094382493E-2</v>
      </c>
      <c r="M259" s="30">
        <f t="shared" ca="1" si="53"/>
        <v>-0.12783934036830333</v>
      </c>
      <c r="N259" s="30">
        <f t="shared" ca="1" si="53"/>
        <v>-0.11183097191249851</v>
      </c>
      <c r="O259" s="30">
        <f t="shared" ca="1" si="54"/>
        <v>-1.4582198826163184E-2</v>
      </c>
      <c r="P259" s="30">
        <f t="shared" ca="1" si="55"/>
        <v>-9.7578544910511322E-2</v>
      </c>
      <c r="Q259" s="30">
        <f t="shared" ca="1" si="56"/>
        <v>-0.15908504156554948</v>
      </c>
      <c r="R259" s="30">
        <f t="shared" ca="1" si="57"/>
        <v>-0.14639132029980595</v>
      </c>
      <c r="S259" s="9" cm="1">
        <f t="array" aca="1" ref="S259" ca="1">_xll.BDH($E$6,"PX LAST",AG259)</f>
        <v>162.86000000000001</v>
      </c>
      <c r="T259" s="9" cm="1">
        <f t="array" aca="1" ref="T259" ca="1">_xll.BDH($E$6,"PX LAST",AH259)</f>
        <v>165.27</v>
      </c>
      <c r="U259" s="9" cm="1">
        <f t="array" aca="1" ref="U259" ca="1">_xll.BDH($E$6,"PX LAST",AI259)</f>
        <v>180.47</v>
      </c>
      <c r="V259" s="9" cm="1">
        <f t="array" aca="1" ref="V259" ca="1">_xll.BDH($E$6,"PX LAST",AJ259)</f>
        <v>193.67</v>
      </c>
      <c r="W259" s="9" cm="1">
        <f t="array" aca="1" ref="W259" ca="1">_xll.BDH($E$6,"PX LAST",AK259)</f>
        <v>190.79</v>
      </c>
      <c r="X259" s="24">
        <f t="shared" ca="1" si="58"/>
        <v>-2.2747911684170452E-2</v>
      </c>
      <c r="Y259" s="24">
        <f t="shared" ca="1" si="59"/>
        <v>-5.2995213703921462E-2</v>
      </c>
      <c r="Z259" s="24">
        <f t="shared" ca="1" si="60"/>
        <v>-7.7861741566327192E-2</v>
      </c>
      <c r="AA259" s="24">
        <f t="shared" ca="1" si="61"/>
        <v>-6.8111695578813136E-2</v>
      </c>
      <c r="AB259" s="9" cm="1">
        <f t="array" aca="1" ref="AB259" ca="1">_xll.BDH($E$8,"PX LAST",AG259)</f>
        <v>5638.94</v>
      </c>
      <c r="AC259" s="9" cm="1">
        <f t="array" aca="1" ref="AC259" ca="1">_xll.BDH($E$8,"PX LAST",AH259)</f>
        <v>5770.2</v>
      </c>
      <c r="AD259" s="9" cm="1">
        <f t="array" aca="1" ref="AD259" ca="1">_xll.BDH($E$8,"PX LAST",AI259)</f>
        <v>5954.5</v>
      </c>
      <c r="AE259" s="9" cm="1">
        <f t="array" aca="1" ref="AE259" ca="1">_xll.BDH($E$8,"PX LAST",AJ259)</f>
        <v>6115.07</v>
      </c>
      <c r="AF259" s="9" cm="1">
        <f t="array" aca="1" ref="AF259" ca="1">_xll.BDH($E$8,"PX LAST",AK259)</f>
        <v>6051.09</v>
      </c>
      <c r="AG259" s="20">
        <f t="shared" ca="1" si="67"/>
        <v>45730</v>
      </c>
      <c r="AH259" s="22">
        <f t="shared" ca="1" si="62"/>
        <v>45723</v>
      </c>
      <c r="AI259" s="22">
        <f t="shared" ca="1" si="63"/>
        <v>45716</v>
      </c>
      <c r="AJ259" s="22">
        <f t="shared" ca="1" si="64"/>
        <v>45701</v>
      </c>
      <c r="AK259" s="22">
        <f t="shared" ca="1" si="65"/>
        <v>45639</v>
      </c>
      <c r="AL259" s="22">
        <f t="shared" ca="1" si="66"/>
        <v>45554</v>
      </c>
    </row>
    <row r="260" spans="4:38" x14ac:dyDescent="0.25">
      <c r="D260" s="6">
        <f ca="1"/>
        <v>45729</v>
      </c>
      <c r="E260" s="28">
        <f ca="1"/>
        <v>158.49</v>
      </c>
      <c r="F260" s="29" cm="1">
        <f t="array" aca="1" ref="F260" ca="1">_xll.FDS($E$7,"P_BETA_LOCIDX("&amp;$AG260&amp;","&amp;$AL260&amp;",,"""&amp;$E$9&amp;""")")</f>
        <v>1.6595944</v>
      </c>
      <c r="G260" s="30">
        <f t="shared" ca="1" si="52"/>
        <v>6.8803739794277285E-3</v>
      </c>
      <c r="H260" s="30">
        <f t="shared" ca="1" si="52"/>
        <v>-2.2339793027522828E-2</v>
      </c>
      <c r="I260" s="30">
        <f t="shared" ca="1" si="52"/>
        <v>-3.4705566479682565E-2</v>
      </c>
      <c r="J260" s="30">
        <f t="shared" ca="1" si="52"/>
        <v>-3.3100707405680302E-2</v>
      </c>
      <c r="K260" s="30">
        <f t="shared" ca="1" si="53"/>
        <v>-6.2756945135679615E-2</v>
      </c>
      <c r="L260" s="30">
        <f t="shared" ca="1" si="53"/>
        <v>-9.6278825591095726E-2</v>
      </c>
      <c r="M260" s="30">
        <f t="shared" ca="1" si="53"/>
        <v>-0.1454620312856805</v>
      </c>
      <c r="N260" s="30">
        <f t="shared" ca="1" si="53"/>
        <v>-0.1452818742428422</v>
      </c>
      <c r="O260" s="30">
        <f t="shared" ca="1" si="54"/>
        <v>-5.5876571156251886E-2</v>
      </c>
      <c r="P260" s="30">
        <f t="shared" ca="1" si="55"/>
        <v>-0.11861861861861855</v>
      </c>
      <c r="Q260" s="30">
        <f t="shared" ca="1" si="56"/>
        <v>-0.18016759776536306</v>
      </c>
      <c r="R260" s="30">
        <f t="shared" ca="1" si="57"/>
        <v>-0.1783825816485225</v>
      </c>
      <c r="S260" s="9" cm="1">
        <f t="array" aca="1" ref="S260" ca="1">_xll.BDH($E$6,"PX LAST",AG260)</f>
        <v>158.49</v>
      </c>
      <c r="T260" s="9" cm="1">
        <f t="array" aca="1" ref="T260" ca="1">_xll.BDH($E$6,"PX LAST",AH260)</f>
        <v>167.87</v>
      </c>
      <c r="U260" s="9" cm="1">
        <f t="array" aca="1" ref="U260" ca="1">_xll.BDH($E$6,"PX LAST",AI260)</f>
        <v>179.82</v>
      </c>
      <c r="V260" s="9" cm="1">
        <f t="array" aca="1" ref="V260" ca="1">_xll.BDH($E$6,"PX LAST",AJ260)</f>
        <v>193.32</v>
      </c>
      <c r="W260" s="9" cm="1">
        <f t="array" aca="1" ref="W260" ca="1">_xll.BDH($E$6,"PX LAST",AK260)</f>
        <v>192.9</v>
      </c>
      <c r="X260" s="24">
        <f t="shared" ca="1" si="58"/>
        <v>-3.7814628161965125E-2</v>
      </c>
      <c r="Y260" s="24">
        <f t="shared" ca="1" si="59"/>
        <v>-5.8013467381605843E-2</v>
      </c>
      <c r="Z260" s="24">
        <f t="shared" ca="1" si="60"/>
        <v>-8.7649145650094074E-2</v>
      </c>
      <c r="AA260" s="24">
        <f t="shared" ca="1" si="61"/>
        <v>-8.7540590787027361E-2</v>
      </c>
      <c r="AB260" s="9" cm="1">
        <f t="array" aca="1" ref="AB260" ca="1">_xll.BDH($E$8,"PX LAST",AG260)</f>
        <v>5521.52</v>
      </c>
      <c r="AC260" s="9" cm="1">
        <f t="array" aca="1" ref="AC260" ca="1">_xll.BDH($E$8,"PX LAST",AH260)</f>
        <v>5738.52</v>
      </c>
      <c r="AD260" s="9" cm="1">
        <f t="array" aca="1" ref="AD260" ca="1">_xll.BDH($E$8,"PX LAST",AI260)</f>
        <v>5861.57</v>
      </c>
      <c r="AE260" s="9" cm="1">
        <f t="array" aca="1" ref="AE260" ca="1">_xll.BDH($E$8,"PX LAST",AJ260)</f>
        <v>6051.97</v>
      </c>
      <c r="AF260" s="9" cm="1">
        <f t="array" aca="1" ref="AF260" ca="1">_xll.BDH($E$8,"PX LAST",AK260)</f>
        <v>6051.25</v>
      </c>
      <c r="AG260" s="20">
        <f t="shared" ca="1" si="67"/>
        <v>45729</v>
      </c>
      <c r="AH260" s="22">
        <f t="shared" ca="1" si="62"/>
        <v>45722</v>
      </c>
      <c r="AI260" s="22">
        <f t="shared" ca="1" si="63"/>
        <v>45715</v>
      </c>
      <c r="AJ260" s="22">
        <f t="shared" ca="1" si="64"/>
        <v>45700</v>
      </c>
      <c r="AK260" s="22">
        <f t="shared" ca="1" si="65"/>
        <v>45638</v>
      </c>
      <c r="AL260" s="22">
        <f t="shared" ca="1" si="66"/>
        <v>45553</v>
      </c>
    </row>
    <row r="261" spans="4:38" x14ac:dyDescent="0.25">
      <c r="D261" s="6">
        <f ca="1"/>
        <v>45728</v>
      </c>
      <c r="E261" s="28">
        <f ca="1"/>
        <v>163.76</v>
      </c>
      <c r="F261" s="29" cm="1">
        <f t="array" aca="1" ref="F261" ca="1">_xll.FDS($E$7,"P_BETA_LOCIDX("&amp;$AG261&amp;","&amp;$AL261&amp;",,"""&amp;$E$9&amp;""")")</f>
        <v>1.6458360999999999</v>
      </c>
      <c r="G261" s="30">
        <f t="shared" ca="1" si="52"/>
        <v>2.5422106482360929E-2</v>
      </c>
      <c r="H261" s="30">
        <f t="shared" ca="1" si="52"/>
        <v>2.336132792508841E-3</v>
      </c>
      <c r="I261" s="30">
        <f t="shared" ca="1" si="52"/>
        <v>-3.6262321444771595E-3</v>
      </c>
      <c r="J261" s="30">
        <f t="shared" ca="1" si="52"/>
        <v>-3.3322053535404544E-2</v>
      </c>
      <c r="K261" s="30">
        <f t="shared" ca="1" si="53"/>
        <v>-6.8544696175010189E-2</v>
      </c>
      <c r="L261" s="30">
        <f t="shared" ca="1" si="53"/>
        <v>-9.8583373410610367E-2</v>
      </c>
      <c r="M261" s="30">
        <f t="shared" ca="1" si="53"/>
        <v>-0.12725159398862967</v>
      </c>
      <c r="N261" s="30">
        <f t="shared" ca="1" si="53"/>
        <v>-0.13116774238296289</v>
      </c>
      <c r="O261" s="30">
        <f t="shared" ca="1" si="54"/>
        <v>-4.312258969264926E-2</v>
      </c>
      <c r="P261" s="30">
        <f t="shared" ca="1" si="55"/>
        <v>-9.6247240618101526E-2</v>
      </c>
      <c r="Q261" s="30">
        <f t="shared" ca="1" si="56"/>
        <v>-0.13087782613310683</v>
      </c>
      <c r="R261" s="30">
        <f t="shared" ca="1" si="57"/>
        <v>-0.16448979591836743</v>
      </c>
      <c r="S261" s="9" cm="1">
        <f t="array" aca="1" ref="S261" ca="1">_xll.BDH($E$6,"PX LAST",AG261)</f>
        <v>163.76</v>
      </c>
      <c r="T261" s="9" cm="1">
        <f t="array" aca="1" ref="T261" ca="1">_xll.BDH($E$6,"PX LAST",AH261)</f>
        <v>171.14</v>
      </c>
      <c r="U261" s="9" cm="1">
        <f t="array" aca="1" ref="U261" ca="1">_xll.BDH($E$6,"PX LAST",AI261)</f>
        <v>181.2</v>
      </c>
      <c r="V261" s="9" cm="1">
        <f t="array" aca="1" ref="V261" ca="1">_xll.BDH($E$6,"PX LAST",AJ261)</f>
        <v>188.42</v>
      </c>
      <c r="W261" s="9" cm="1">
        <f t="array" aca="1" ref="W261" ca="1">_xll.BDH($E$6,"PX LAST",AK261)</f>
        <v>196</v>
      </c>
      <c r="X261" s="24">
        <f t="shared" ca="1" si="58"/>
        <v>-4.1647340324477145E-2</v>
      </c>
      <c r="Y261" s="24">
        <f t="shared" ca="1" si="59"/>
        <v>-5.9898657837563762E-2</v>
      </c>
      <c r="Z261" s="24">
        <f t="shared" ca="1" si="60"/>
        <v>-7.7317294224272803E-2</v>
      </c>
      <c r="AA261" s="24">
        <f t="shared" ca="1" si="61"/>
        <v>-7.9696722160221722E-2</v>
      </c>
      <c r="AB261" s="9" cm="1">
        <f t="array" aca="1" ref="AB261" ca="1">_xll.BDH($E$8,"PX LAST",AG261)</f>
        <v>5599.3</v>
      </c>
      <c r="AC261" s="9" cm="1">
        <f t="array" aca="1" ref="AC261" ca="1">_xll.BDH($E$8,"PX LAST",AH261)</f>
        <v>5842.63</v>
      </c>
      <c r="AD261" s="9" cm="1">
        <f t="array" aca="1" ref="AD261" ca="1">_xll.BDH($E$8,"PX LAST",AI261)</f>
        <v>5956.06</v>
      </c>
      <c r="AE261" s="9" cm="1">
        <f t="array" aca="1" ref="AE261" ca="1">_xll.BDH($E$8,"PX LAST",AJ261)</f>
        <v>6068.5</v>
      </c>
      <c r="AF261" s="9" cm="1">
        <f t="array" aca="1" ref="AF261" ca="1">_xll.BDH($E$8,"PX LAST",AK261)</f>
        <v>6084.19</v>
      </c>
      <c r="AG261" s="20">
        <f t="shared" ca="1" si="67"/>
        <v>45728</v>
      </c>
      <c r="AH261" s="22">
        <f t="shared" ca="1" si="62"/>
        <v>45721</v>
      </c>
      <c r="AI261" s="22">
        <f t="shared" ca="1" si="63"/>
        <v>45714</v>
      </c>
      <c r="AJ261" s="22">
        <f t="shared" ca="1" si="64"/>
        <v>45699</v>
      </c>
      <c r="AK261" s="22">
        <f t="shared" ca="1" si="65"/>
        <v>45637</v>
      </c>
      <c r="AL261" s="22">
        <f t="shared" ca="1" si="66"/>
        <v>45552</v>
      </c>
    </row>
    <row r="262" spans="4:38" x14ac:dyDescent="0.25">
      <c r="D262" s="6">
        <f ca="1"/>
        <v>45727</v>
      </c>
      <c r="E262" s="28">
        <f ca="1"/>
        <v>158.19999999999999</v>
      </c>
      <c r="F262" s="29" cm="1">
        <f t="array" aca="1" ref="F262" ca="1">_xll.FDS($E$7,"P_BETA_LOCIDX("&amp;$AG262&amp;","&amp;$AL262&amp;",,"""&amp;$E$9&amp;""")")</f>
        <v>1.6343696000000001</v>
      </c>
      <c r="G262" s="30">
        <f t="shared" ca="1" si="52"/>
        <v>2.445630948560671E-2</v>
      </c>
      <c r="H262" s="30">
        <f t="shared" ca="1" si="52"/>
        <v>1.0764826641043626E-2</v>
      </c>
      <c r="I262" s="30">
        <f t="shared" ca="1" si="52"/>
        <v>-1.3060288824785715E-2</v>
      </c>
      <c r="J262" s="30">
        <f t="shared" ca="1" si="52"/>
        <v>-7.4289771806289678E-2</v>
      </c>
      <c r="K262" s="30">
        <f t="shared" ca="1" si="53"/>
        <v>-5.8290436760554877E-2</v>
      </c>
      <c r="L262" s="30">
        <f t="shared" ca="1" si="53"/>
        <v>-0.10516061346341478</v>
      </c>
      <c r="M262" s="30">
        <f t="shared" ca="1" si="53"/>
        <v>-0.13318903659345505</v>
      </c>
      <c r="N262" s="30">
        <f t="shared" ca="1" si="53"/>
        <v>-0.12534596632990383</v>
      </c>
      <c r="O262" s="30">
        <f t="shared" ca="1" si="54"/>
        <v>-3.3834127274948167E-2</v>
      </c>
      <c r="P262" s="30">
        <f t="shared" ca="1" si="55"/>
        <v>-9.4395786822371153E-2</v>
      </c>
      <c r="Q262" s="30">
        <f t="shared" ca="1" si="56"/>
        <v>-0.14624932541824076</v>
      </c>
      <c r="R262" s="30">
        <f t="shared" ca="1" si="57"/>
        <v>-0.19963573813619351</v>
      </c>
      <c r="S262" s="9" cm="1">
        <f t="array" aca="1" ref="S262" ca="1">_xll.BDH($E$6,"PX LAST",AG262)</f>
        <v>158.19999999999999</v>
      </c>
      <c r="T262" s="9" cm="1">
        <f t="array" aca="1" ref="T262" ca="1">_xll.BDH($E$6,"PX LAST",AH262)</f>
        <v>163.74</v>
      </c>
      <c r="U262" s="9" cm="1">
        <f t="array" aca="1" ref="U262" ca="1">_xll.BDH($E$6,"PX LAST",AI262)</f>
        <v>174.69</v>
      </c>
      <c r="V262" s="9" cm="1">
        <f t="array" aca="1" ref="V262" ca="1">_xll.BDH($E$6,"PX LAST",AJ262)</f>
        <v>185.3</v>
      </c>
      <c r="W262" s="9" cm="1">
        <f t="array" aca="1" ref="W262" ca="1">_xll.BDH($E$6,"PX LAST",AK262)</f>
        <v>197.66</v>
      </c>
      <c r="X262" s="24">
        <f t="shared" ca="1" si="58"/>
        <v>-3.5665394633230374E-2</v>
      </c>
      <c r="Y262" s="24">
        <f t="shared" ca="1" si="59"/>
        <v>-6.4343226564795852E-2</v>
      </c>
      <c r="Z262" s="24">
        <f t="shared" ca="1" si="60"/>
        <v>-8.1492605218216885E-2</v>
      </c>
      <c r="AA262" s="24">
        <f t="shared" ca="1" si="61"/>
        <v>-7.669377008107825E-2</v>
      </c>
      <c r="AB262" s="9" cm="1">
        <f t="array" aca="1" ref="AB262" ca="1">_xll.BDH($E$8,"PX LAST",AG262)</f>
        <v>5572.07</v>
      </c>
      <c r="AC262" s="9" cm="1">
        <f t="array" aca="1" ref="AC262" ca="1">_xll.BDH($E$8,"PX LAST",AH262)</f>
        <v>5778.15</v>
      </c>
      <c r="AD262" s="9" cm="1">
        <f t="array" aca="1" ref="AD262" ca="1">_xll.BDH($E$8,"PX LAST",AI262)</f>
        <v>5955.25</v>
      </c>
      <c r="AE262" s="9" cm="1">
        <f t="array" aca="1" ref="AE262" ca="1">_xll.BDH($E$8,"PX LAST",AJ262)</f>
        <v>6066.44</v>
      </c>
      <c r="AF262" s="9" cm="1">
        <f t="array" aca="1" ref="AF262" ca="1">_xll.BDH($E$8,"PX LAST",AK262)</f>
        <v>6034.91</v>
      </c>
      <c r="AG262" s="20">
        <f t="shared" ca="1" si="67"/>
        <v>45727</v>
      </c>
      <c r="AH262" s="22">
        <f t="shared" ca="1" si="62"/>
        <v>45720</v>
      </c>
      <c r="AI262" s="22">
        <f t="shared" ca="1" si="63"/>
        <v>45713</v>
      </c>
      <c r="AJ262" s="22">
        <f t="shared" ca="1" si="64"/>
        <v>45698</v>
      </c>
      <c r="AK262" s="22">
        <f t="shared" ca="1" si="65"/>
        <v>45636</v>
      </c>
      <c r="AL262" s="22">
        <f t="shared" ca="1" si="66"/>
        <v>45551</v>
      </c>
    </row>
    <row r="263" spans="4:38" x14ac:dyDescent="0.25">
      <c r="D263" s="6">
        <f ca="1"/>
        <v>45726</v>
      </c>
      <c r="E263" s="28">
        <f ca="1"/>
        <v>156.76</v>
      </c>
      <c r="F263" s="29" cm="1">
        <f t="array" aca="1" ref="F263" ca="1">_xll.FDS($E$7,"P_BETA_LOCIDX("&amp;$AG263&amp;","&amp;$AL263&amp;",,"""&amp;$E$9&amp;""")")</f>
        <v>1.6639469</v>
      </c>
      <c r="G263" s="30">
        <f t="shared" ca="1" si="52"/>
        <v>-9.2523059706546423E-3</v>
      </c>
      <c r="H263" s="30">
        <f t="shared" ca="1" si="52"/>
        <v>-1.4610499065155186E-2</v>
      </c>
      <c r="I263" s="30">
        <f t="shared" ca="1" si="52"/>
        <v>-4.3188796937766089E-2</v>
      </c>
      <c r="J263" s="30">
        <f t="shared" ca="1" si="52"/>
        <v>-0.10744812630281381</v>
      </c>
      <c r="K263" s="30">
        <f t="shared" ca="1" si="53"/>
        <v>-6.6891022647921558E-2</v>
      </c>
      <c r="L263" s="30">
        <f t="shared" ca="1" si="53"/>
        <v>-0.10253300172331073</v>
      </c>
      <c r="M263" s="30">
        <f t="shared" ca="1" si="53"/>
        <v>-0.11360750234683406</v>
      </c>
      <c r="N263" s="30">
        <f t="shared" ca="1" si="53"/>
        <v>-0.1204872558878875</v>
      </c>
      <c r="O263" s="30">
        <f t="shared" ca="1" si="54"/>
        <v>-7.61433286185762E-2</v>
      </c>
      <c r="P263" s="30">
        <f t="shared" ca="1" si="55"/>
        <v>-0.11714350078846592</v>
      </c>
      <c r="Q263" s="30">
        <f t="shared" ca="1" si="56"/>
        <v>-0.15679629928460015</v>
      </c>
      <c r="R263" s="30">
        <f t="shared" ca="1" si="57"/>
        <v>-0.22793538219070131</v>
      </c>
      <c r="S263" s="9" cm="1">
        <f t="array" aca="1" ref="S263" ca="1">_xll.BDH($E$6,"PX LAST",AG263)</f>
        <v>156.76</v>
      </c>
      <c r="T263" s="9" cm="1">
        <f t="array" aca="1" ref="T263" ca="1">_xll.BDH($E$6,"PX LAST",AH263)</f>
        <v>169.68</v>
      </c>
      <c r="U263" s="9" cm="1">
        <f t="array" aca="1" ref="U263" ca="1">_xll.BDH($E$6,"PX LAST",AI263)</f>
        <v>177.56</v>
      </c>
      <c r="V263" s="9" cm="1">
        <f t="array" aca="1" ref="V263" ca="1">_xll.BDH($E$6,"PX LAST",AJ263)</f>
        <v>185.91</v>
      </c>
      <c r="W263" s="9" cm="1">
        <f t="array" aca="1" ref="W263" ca="1">_xll.BDH($E$6,"PX LAST",AK263)</f>
        <v>203.04</v>
      </c>
      <c r="X263" s="24">
        <f t="shared" ca="1" si="58"/>
        <v>-4.0200214711131443E-2</v>
      </c>
      <c r="Y263" s="24">
        <f t="shared" ca="1" si="59"/>
        <v>-6.1620356829482192E-2</v>
      </c>
      <c r="Z263" s="24">
        <f t="shared" ca="1" si="60"/>
        <v>-6.8275918147889247E-2</v>
      </c>
      <c r="AA263" s="24">
        <f t="shared" ca="1" si="61"/>
        <v>-7.241051735959092E-2</v>
      </c>
      <c r="AB263" s="9" cm="1">
        <f t="array" aca="1" ref="AB263" ca="1">_xll.BDH($E$8,"PX LAST",AG263)</f>
        <v>5614.56</v>
      </c>
      <c r="AC263" s="9" cm="1">
        <f t="array" aca="1" ref="AC263" ca="1">_xll.BDH($E$8,"PX LAST",AH263)</f>
        <v>5849.72</v>
      </c>
      <c r="AD263" s="9" cm="1">
        <f t="array" aca="1" ref="AD263" ca="1">_xll.BDH($E$8,"PX LAST",AI263)</f>
        <v>5983.25</v>
      </c>
      <c r="AE263" s="9" cm="1">
        <f t="array" aca="1" ref="AE263" ca="1">_xll.BDH($E$8,"PX LAST",AJ263)</f>
        <v>6025.99</v>
      </c>
      <c r="AF263" s="9" cm="1">
        <f t="array" aca="1" ref="AF263" ca="1">_xll.BDH($E$8,"PX LAST",AK263)</f>
        <v>6052.85</v>
      </c>
      <c r="AG263" s="20">
        <f t="shared" ca="1" si="67"/>
        <v>45726</v>
      </c>
      <c r="AH263" s="22">
        <f t="shared" ca="1" si="62"/>
        <v>45719</v>
      </c>
      <c r="AI263" s="22">
        <f t="shared" ca="1" si="63"/>
        <v>45712</v>
      </c>
      <c r="AJ263" s="22">
        <f t="shared" ca="1" si="64"/>
        <v>45695</v>
      </c>
      <c r="AK263" s="22">
        <f t="shared" ca="1" si="65"/>
        <v>45635</v>
      </c>
      <c r="AL263" s="22">
        <f t="shared" ca="1" si="66"/>
        <v>45548</v>
      </c>
    </row>
    <row r="264" spans="4:38" x14ac:dyDescent="0.25">
      <c r="D264" s="6">
        <f ca="1"/>
        <v>45723</v>
      </c>
      <c r="E264" s="28">
        <f ca="1"/>
        <v>165.27</v>
      </c>
      <c r="F264" s="29" cm="1">
        <f t="array" aca="1" ref="F264" ca="1">_xll.FDS($E$7,"P_BETA_LOCIDX("&amp;$AG264&amp;","&amp;$AL264&amp;",,"""&amp;$E$9&amp;""")")</f>
        <v>1.633507</v>
      </c>
      <c r="G264" s="30">
        <f t="shared" ca="1" si="52"/>
        <v>-3.3665226825073412E-2</v>
      </c>
      <c r="H264" s="30">
        <f t="shared" ca="1" si="52"/>
        <v>-3.1779122596095971E-2</v>
      </c>
      <c r="I264" s="30">
        <f t="shared" ca="1" si="52"/>
        <v>-3.648023210084915E-2</v>
      </c>
      <c r="J264" s="30">
        <f t="shared" ca="1" si="52"/>
        <v>-0.11447149967633218</v>
      </c>
      <c r="K264" s="30">
        <f t="shared" ca="1" si="53"/>
        <v>-5.0559298026702483E-2</v>
      </c>
      <c r="L264" s="30">
        <f t="shared" ca="1" si="53"/>
        <v>-6.5993560011175595E-2</v>
      </c>
      <c r="M264" s="30">
        <f t="shared" ca="1" si="53"/>
        <v>-8.4143371176792617E-2</v>
      </c>
      <c r="N264" s="30">
        <f t="shared" ca="1" si="53"/>
        <v>-8.5847850011576035E-2</v>
      </c>
      <c r="O264" s="30">
        <f t="shared" ca="1" si="54"/>
        <v>-8.4224524851775895E-2</v>
      </c>
      <c r="P264" s="30">
        <f t="shared" ca="1" si="55"/>
        <v>-9.7772682607271566E-2</v>
      </c>
      <c r="Q264" s="30">
        <f t="shared" ca="1" si="56"/>
        <v>-0.12062360327764177</v>
      </c>
      <c r="R264" s="30">
        <f t="shared" ca="1" si="57"/>
        <v>-0.20031934968790821</v>
      </c>
      <c r="S264" s="9" cm="1">
        <f t="array" aca="1" ref="S264" ca="1">_xll.BDH($E$6,"PX LAST",AG264)</f>
        <v>165.27</v>
      </c>
      <c r="T264" s="9" cm="1">
        <f t="array" aca="1" ref="T264" ca="1">_xll.BDH($E$6,"PX LAST",AH264)</f>
        <v>180.47</v>
      </c>
      <c r="U264" s="9" cm="1">
        <f t="array" aca="1" ref="U264" ca="1">_xll.BDH($E$6,"PX LAST",AI264)</f>
        <v>183.18</v>
      </c>
      <c r="V264" s="9" cm="1">
        <f t="array" aca="1" ref="V264" ca="1">_xll.BDH($E$6,"PX LAST",AJ264)</f>
        <v>187.94</v>
      </c>
      <c r="W264" s="9" cm="1">
        <f t="array" aca="1" ref="W264" ca="1">_xll.BDH($E$6,"PX LAST",AK264)</f>
        <v>206.67</v>
      </c>
      <c r="X264" s="24">
        <f t="shared" ca="1" si="58"/>
        <v>-3.0951381308254255E-2</v>
      </c>
      <c r="Y264" s="24">
        <f t="shared" ca="1" si="59"/>
        <v>-4.0399924831161171E-2</v>
      </c>
      <c r="Z264" s="24">
        <f t="shared" ca="1" si="60"/>
        <v>-5.151087272769117E-2</v>
      </c>
      <c r="AA264" s="24">
        <f t="shared" ca="1" si="61"/>
        <v>-5.2554320251811615E-2</v>
      </c>
      <c r="AB264" s="9" cm="1">
        <f t="array" aca="1" ref="AB264" ca="1">_xll.BDH($E$8,"PX LAST",AG264)</f>
        <v>5770.2</v>
      </c>
      <c r="AC264" s="9" cm="1">
        <f t="array" aca="1" ref="AC264" ca="1">_xll.BDH($E$8,"PX LAST",AH264)</f>
        <v>5954.5</v>
      </c>
      <c r="AD264" s="9" cm="1">
        <f t="array" aca="1" ref="AD264" ca="1">_xll.BDH($E$8,"PX LAST",AI264)</f>
        <v>6013.13</v>
      </c>
      <c r="AE264" s="9" cm="1">
        <f t="array" aca="1" ref="AE264" ca="1">_xll.BDH($E$8,"PX LAST",AJ264)</f>
        <v>6083.57</v>
      </c>
      <c r="AF264" s="9" cm="1">
        <f t="array" aca="1" ref="AF264" ca="1">_xll.BDH($E$8,"PX LAST",AK264)</f>
        <v>6090.27</v>
      </c>
      <c r="AG264" s="20">
        <f t="shared" ca="1" si="67"/>
        <v>45723</v>
      </c>
      <c r="AH264" s="22">
        <f t="shared" ca="1" si="62"/>
        <v>45716</v>
      </c>
      <c r="AI264" s="22">
        <f t="shared" ca="1" si="63"/>
        <v>45709</v>
      </c>
      <c r="AJ264" s="22">
        <f t="shared" ca="1" si="64"/>
        <v>45694</v>
      </c>
      <c r="AK264" s="22">
        <f t="shared" ca="1" si="65"/>
        <v>45632</v>
      </c>
      <c r="AL264" s="22">
        <f t="shared" ca="1" si="66"/>
        <v>45547</v>
      </c>
    </row>
    <row r="265" spans="4:38" x14ac:dyDescent="0.25">
      <c r="D265" s="6">
        <f ca="1"/>
        <v>45722</v>
      </c>
      <c r="E265" s="28">
        <f ca="1"/>
        <v>167.87</v>
      </c>
      <c r="F265" s="29" cm="1">
        <f t="array" aca="1" ref="F265" ca="1">_xll.FDS($E$7,"P_BETA_LOCIDX("&amp;$AG265&amp;","&amp;$AL265&amp;",,"""&amp;$E$9&amp;""")")</f>
        <v>1.6422374</v>
      </c>
      <c r="G265" s="30">
        <f t="shared" ca="1" si="52"/>
        <v>-3.1980397747794861E-2</v>
      </c>
      <c r="H265" s="30">
        <f t="shared" ca="1" si="52"/>
        <v>-2.8510440353325534E-2</v>
      </c>
      <c r="I265" s="30">
        <f t="shared" ca="1" si="52"/>
        <v>-1.0894527514077559E-2</v>
      </c>
      <c r="J265" s="30">
        <f t="shared" ca="1" si="52"/>
        <v>-0.10461336496902252</v>
      </c>
      <c r="K265" s="30">
        <f t="shared" ca="1" si="53"/>
        <v>-3.4474946485327077E-2</v>
      </c>
      <c r="L265" s="30">
        <f t="shared" ca="1" si="53"/>
        <v>-0.10174187817939292</v>
      </c>
      <c r="M265" s="30">
        <f t="shared" ca="1" si="53"/>
        <v>-8.7499586025854767E-2</v>
      </c>
      <c r="N265" s="30">
        <f t="shared" ca="1" si="53"/>
        <v>-9.0987765894938399E-2</v>
      </c>
      <c r="O265" s="30">
        <f t="shared" ca="1" si="54"/>
        <v>-6.6455344233121938E-2</v>
      </c>
      <c r="P265" s="30">
        <f t="shared" ca="1" si="55"/>
        <v>-0.13025231853271846</v>
      </c>
      <c r="Q265" s="30">
        <f t="shared" ca="1" si="56"/>
        <v>-9.8394113539932326E-2</v>
      </c>
      <c r="R265" s="30">
        <f t="shared" ca="1" si="57"/>
        <v>-0.19560113086396091</v>
      </c>
      <c r="S265" s="9" cm="1">
        <f t="array" aca="1" ref="S265" ca="1">_xll.BDH($E$6,"PX LAST",AG265)</f>
        <v>167.87</v>
      </c>
      <c r="T265" s="9" cm="1">
        <f t="array" aca="1" ref="T265" ca="1">_xll.BDH($E$6,"PX LAST",AH265)</f>
        <v>179.82</v>
      </c>
      <c r="U265" s="9" cm="1">
        <f t="array" aca="1" ref="U265" ca="1">_xll.BDH($E$6,"PX LAST",AI265)</f>
        <v>193.01</v>
      </c>
      <c r="V265" s="9" cm="1">
        <f t="array" aca="1" ref="V265" ca="1">_xll.BDH($E$6,"PX LAST",AJ265)</f>
        <v>186.19</v>
      </c>
      <c r="W265" s="9" cm="1">
        <f t="array" aca="1" ref="W265" ca="1">_xll.BDH($E$6,"PX LAST",AK265)</f>
        <v>208.69</v>
      </c>
      <c r="X265" s="24">
        <f t="shared" ca="1" si="58"/>
        <v>-2.0992669199548786E-2</v>
      </c>
      <c r="Y265" s="24">
        <f t="shared" ca="1" si="59"/>
        <v>-6.1953209797434239E-2</v>
      </c>
      <c r="Z265" s="24">
        <f t="shared" ca="1" si="60"/>
        <v>-5.3280716920619864E-2</v>
      </c>
      <c r="AA265" s="24">
        <f t="shared" ca="1" si="61"/>
        <v>-5.540475810314538E-2</v>
      </c>
      <c r="AB265" s="9" cm="1">
        <f t="array" aca="1" ref="AB265" ca="1">_xll.BDH($E$8,"PX LAST",AG265)</f>
        <v>5738.52</v>
      </c>
      <c r="AC265" s="9" cm="1">
        <f t="array" aca="1" ref="AC265" ca="1">_xll.BDH($E$8,"PX LAST",AH265)</f>
        <v>5861.57</v>
      </c>
      <c r="AD265" s="9" cm="1">
        <f t="array" aca="1" ref="AD265" ca="1">_xll.BDH($E$8,"PX LAST",AI265)</f>
        <v>6117.52</v>
      </c>
      <c r="AE265" s="9" cm="1">
        <f t="array" aca="1" ref="AE265" ca="1">_xll.BDH($E$8,"PX LAST",AJ265)</f>
        <v>6061.48</v>
      </c>
      <c r="AF265" s="9" cm="1">
        <f t="array" aca="1" ref="AF265" ca="1">_xll.BDH($E$8,"PX LAST",AK265)</f>
        <v>6075.11</v>
      </c>
      <c r="AG265" s="20">
        <f t="shared" ca="1" si="67"/>
        <v>45722</v>
      </c>
      <c r="AH265" s="22">
        <f t="shared" ca="1" si="62"/>
        <v>45715</v>
      </c>
      <c r="AI265" s="22">
        <f t="shared" ca="1" si="63"/>
        <v>45708</v>
      </c>
      <c r="AJ265" s="22">
        <f t="shared" ca="1" si="64"/>
        <v>45693</v>
      </c>
      <c r="AK265" s="22">
        <f t="shared" ca="1" si="65"/>
        <v>45631</v>
      </c>
      <c r="AL265" s="22">
        <f t="shared" ca="1" si="66"/>
        <v>45546</v>
      </c>
    </row>
    <row r="266" spans="4:38" x14ac:dyDescent="0.25">
      <c r="D266" s="6">
        <f ca="1"/>
        <v>45721</v>
      </c>
      <c r="E266" s="28">
        <f ca="1"/>
        <v>171.14</v>
      </c>
      <c r="F266" s="29" cm="1">
        <f t="array" aca="1" ref="F266" ca="1">_xll.FDS($E$7,"P_BETA_LOCIDX("&amp;$AG266&amp;","&amp;$AL266&amp;",,"""&amp;$E$9&amp;""")")</f>
        <v>1.6608996</v>
      </c>
      <c r="G266" s="30">
        <f t="shared" ca="1" si="52"/>
        <v>-2.3887812861559464E-2</v>
      </c>
      <c r="H266" s="30">
        <f t="shared" ca="1" si="52"/>
        <v>-4.9849699624879021E-2</v>
      </c>
      <c r="I266" s="30">
        <f t="shared" ca="1" si="52"/>
        <v>-4.9782848619064693E-3</v>
      </c>
      <c r="J266" s="30">
        <f t="shared" ca="1" si="52"/>
        <v>-0.12259528240972786</v>
      </c>
      <c r="K266" s="30">
        <f t="shared" ca="1" si="53"/>
        <v>-3.163095093534999E-2</v>
      </c>
      <c r="L266" s="30">
        <f t="shared" ca="1" si="53"/>
        <v>-8.150752299211432E-2</v>
      </c>
      <c r="M266" s="30">
        <f t="shared" ca="1" si="53"/>
        <v>-5.3709356081936131E-2</v>
      </c>
      <c r="N266" s="30">
        <f t="shared" ca="1" si="53"/>
        <v>-6.6545246349866666E-2</v>
      </c>
      <c r="O266" s="30">
        <f t="shared" ca="1" si="54"/>
        <v>-5.5518763796909454E-2</v>
      </c>
      <c r="P266" s="30">
        <f t="shared" ca="1" si="55"/>
        <v>-0.13135722261699334</v>
      </c>
      <c r="Q266" s="30">
        <f t="shared" ca="1" si="56"/>
        <v>-5.8687640943842601E-2</v>
      </c>
      <c r="R266" s="30">
        <f t="shared" ca="1" si="57"/>
        <v>-0.18914052875959453</v>
      </c>
      <c r="S266" s="9" cm="1">
        <f t="array" aca="1" ref="S266" ca="1">_xll.BDH($E$6,"PX LAST",AG266)</f>
        <v>171.14</v>
      </c>
      <c r="T266" s="9" cm="1">
        <f t="array" aca="1" ref="T266" ca="1">_xll.BDH($E$6,"PX LAST",AH266)</f>
        <v>181.2</v>
      </c>
      <c r="U266" s="9" cm="1">
        <f t="array" aca="1" ref="U266" ca="1">_xll.BDH($E$6,"PX LAST",AI266)</f>
        <v>197.02</v>
      </c>
      <c r="V266" s="9" cm="1">
        <f t="array" aca="1" ref="V266" ca="1">_xll.BDH($E$6,"PX LAST",AJ266)</f>
        <v>181.81</v>
      </c>
      <c r="W266" s="9" cm="1">
        <f t="array" aca="1" ref="W266" ca="1">_xll.BDH($E$6,"PX LAST",AK266)</f>
        <v>211.06</v>
      </c>
      <c r="X266" s="24">
        <f t="shared" ca="1" si="58"/>
        <v>-1.904446899460388E-2</v>
      </c>
      <c r="Y266" s="24">
        <f t="shared" ca="1" si="59"/>
        <v>-4.9074322729750985E-2</v>
      </c>
      <c r="Z266" s="24">
        <f t="shared" ca="1" si="60"/>
        <v>-3.2337509191968095E-2</v>
      </c>
      <c r="AA266" s="24">
        <f t="shared" ca="1" si="61"/>
        <v>-4.0065785041953572E-2</v>
      </c>
      <c r="AB266" s="9" cm="1">
        <f t="array" aca="1" ref="AB266" ca="1">_xll.BDH($E$8,"PX LAST",AG266)</f>
        <v>5842.63</v>
      </c>
      <c r="AC266" s="9" cm="1">
        <f t="array" aca="1" ref="AC266" ca="1">_xll.BDH($E$8,"PX LAST",AH266)</f>
        <v>5956.06</v>
      </c>
      <c r="AD266" s="9" cm="1">
        <f t="array" aca="1" ref="AD266" ca="1">_xll.BDH($E$8,"PX LAST",AI266)</f>
        <v>6144.15</v>
      </c>
      <c r="AE266" s="9" cm="1">
        <f t="array" aca="1" ref="AE266" ca="1">_xll.BDH($E$8,"PX LAST",AJ266)</f>
        <v>6037.88</v>
      </c>
      <c r="AF266" s="9" cm="1">
        <f t="array" aca="1" ref="AF266" ca="1">_xll.BDH($E$8,"PX LAST",AK266)</f>
        <v>6086.49</v>
      </c>
      <c r="AG266" s="20">
        <f t="shared" ca="1" si="67"/>
        <v>45721</v>
      </c>
      <c r="AH266" s="22">
        <f t="shared" ca="1" si="62"/>
        <v>45714</v>
      </c>
      <c r="AI266" s="22">
        <f t="shared" ca="1" si="63"/>
        <v>45707</v>
      </c>
      <c r="AJ266" s="22">
        <f t="shared" ca="1" si="64"/>
        <v>45692</v>
      </c>
      <c r="AK266" s="22">
        <f t="shared" ca="1" si="65"/>
        <v>45630</v>
      </c>
      <c r="AL266" s="22">
        <f t="shared" ca="1" si="66"/>
        <v>45545</v>
      </c>
    </row>
    <row r="267" spans="4:38" x14ac:dyDescent="0.25">
      <c r="D267" s="6">
        <f ca="1"/>
        <v>45720</v>
      </c>
      <c r="E267" s="28">
        <f ca="1"/>
        <v>163.74</v>
      </c>
      <c r="F267" s="29" cm="1">
        <f t="array" aca="1" ref="F267" ca="1">_xll.FDS($E$7,"P_BETA_LOCIDX("&amp;$AG267&amp;","&amp;$AL267&amp;",,"""&amp;$E$9&amp;""")")</f>
        <v>1.6270353</v>
      </c>
      <c r="G267" s="30">
        <f t="shared" ca="1" si="52"/>
        <v>-1.4296932036345397E-2</v>
      </c>
      <c r="H267" s="30">
        <f t="shared" ca="1" si="52"/>
        <v>-8.7811718423304971E-2</v>
      </c>
      <c r="I267" s="30">
        <f t="shared" ca="1" si="52"/>
        <v>-3.6818669224294373E-2</v>
      </c>
      <c r="J267" s="30">
        <f t="shared" ca="1" si="52"/>
        <v>-0.15145412936466413</v>
      </c>
      <c r="K267" s="30">
        <f t="shared" ca="1" si="53"/>
        <v>-4.8385534046429771E-2</v>
      </c>
      <c r="L267" s="30">
        <f t="shared" ca="1" si="53"/>
        <v>-9.3283555395149501E-2</v>
      </c>
      <c r="M267" s="30">
        <f t="shared" ca="1" si="53"/>
        <v>-5.8740323263553565E-2</v>
      </c>
      <c r="N267" s="30">
        <f t="shared" ca="1" si="53"/>
        <v>-7.3078193628468721E-2</v>
      </c>
      <c r="O267" s="30">
        <f t="shared" ca="1" si="54"/>
        <v>-6.2682466082775168E-2</v>
      </c>
      <c r="P267" s="30">
        <f t="shared" ca="1" si="55"/>
        <v>-0.18109527381845447</v>
      </c>
      <c r="Q267" s="30">
        <f t="shared" ca="1" si="56"/>
        <v>-9.5558992487847938E-2</v>
      </c>
      <c r="R267" s="30">
        <f t="shared" ca="1" si="57"/>
        <v>-0.22453232299313286</v>
      </c>
      <c r="S267" s="9" cm="1">
        <f t="array" aca="1" ref="S267" ca="1">_xll.BDH($E$6,"PX LAST",AG267)</f>
        <v>163.74</v>
      </c>
      <c r="T267" s="9" cm="1">
        <f t="array" aca="1" ref="T267" ca="1">_xll.BDH($E$6,"PX LAST",AH267)</f>
        <v>174.69</v>
      </c>
      <c r="U267" s="9" cm="1">
        <f t="array" aca="1" ref="U267" ca="1">_xll.BDH($E$6,"PX LAST",AI267)</f>
        <v>199.95</v>
      </c>
      <c r="V267" s="9" cm="1">
        <f t="array" aca="1" ref="V267" ca="1">_xll.BDH($E$6,"PX LAST",AJ267)</f>
        <v>181.04</v>
      </c>
      <c r="W267" s="9" cm="1">
        <f t="array" aca="1" ref="W267" ca="1">_xll.BDH($E$6,"PX LAST",AK267)</f>
        <v>211.15</v>
      </c>
      <c r="X267" s="24">
        <f t="shared" ca="1" si="58"/>
        <v>-2.9738466059359481E-2</v>
      </c>
      <c r="Y267" s="24">
        <f t="shared" ca="1" si="59"/>
        <v>-5.7333455147008494E-2</v>
      </c>
      <c r="Z267" s="24">
        <f t="shared" ca="1" si="60"/>
        <v>-3.6102672918991718E-2</v>
      </c>
      <c r="AA267" s="24">
        <f t="shared" ca="1" si="61"/>
        <v>-4.4914940461629027E-2</v>
      </c>
      <c r="AB267" s="9" cm="1">
        <f t="array" aca="1" ref="AB267" ca="1">_xll.BDH($E$8,"PX LAST",AG267)</f>
        <v>5778.15</v>
      </c>
      <c r="AC267" s="9" cm="1">
        <f t="array" aca="1" ref="AC267" ca="1">_xll.BDH($E$8,"PX LAST",AH267)</f>
        <v>5955.25</v>
      </c>
      <c r="AD267" s="9" cm="1">
        <f t="array" aca="1" ref="AD267" ca="1">_xll.BDH($E$8,"PX LAST",AI267)</f>
        <v>6129.58</v>
      </c>
      <c r="AE267" s="9" cm="1">
        <f t="array" aca="1" ref="AE267" ca="1">_xll.BDH($E$8,"PX LAST",AJ267)</f>
        <v>5994.57</v>
      </c>
      <c r="AF267" s="9" cm="1">
        <f t="array" aca="1" ref="AF267" ca="1">_xll.BDH($E$8,"PX LAST",AK267)</f>
        <v>6049.88</v>
      </c>
      <c r="AG267" s="20">
        <f t="shared" ca="1" si="67"/>
        <v>45720</v>
      </c>
      <c r="AH267" s="22">
        <f t="shared" ca="1" si="62"/>
        <v>45713</v>
      </c>
      <c r="AI267" s="22">
        <f t="shared" ca="1" si="63"/>
        <v>45706</v>
      </c>
      <c r="AJ267" s="22">
        <f t="shared" ca="1" si="64"/>
        <v>45691</v>
      </c>
      <c r="AK267" s="22">
        <f t="shared" ca="1" si="65"/>
        <v>45629</v>
      </c>
      <c r="AL267" s="22">
        <f t="shared" ca="1" si="66"/>
        <v>45544</v>
      </c>
    </row>
    <row r="268" spans="4:38" x14ac:dyDescent="0.25">
      <c r="D268" s="6">
        <f ca="1"/>
        <v>45719</v>
      </c>
      <c r="E268" s="28">
        <f ca="1"/>
        <v>169.68</v>
      </c>
      <c r="F268" s="29" cm="1">
        <f t="array" aca="1" ref="F268" ca="1">_xll.FDS($E$7,"P_BETA_LOCIDX("&amp;$AG268&amp;","&amp;$AL268&amp;",,"""&amp;$E$9&amp;""")")</f>
        <v>1.5722266</v>
      </c>
      <c r="G268" s="30">
        <f t="shared" ca="1" si="52"/>
        <v>-9.2915081391577448E-3</v>
      </c>
      <c r="H268" s="30">
        <f t="shared" ca="1" si="52"/>
        <v>-6.9908789999045942E-2</v>
      </c>
      <c r="I268" s="30">
        <f t="shared" ca="1" si="52"/>
        <v>-3.3146864510403433E-2</v>
      </c>
      <c r="J268" s="30">
        <f t="shared" ca="1" si="52"/>
        <v>-0.14855608762972364</v>
      </c>
      <c r="K268" s="30">
        <f t="shared" ca="1" si="53"/>
        <v>-3.508785658262642E-2</v>
      </c>
      <c r="L268" s="30">
        <f t="shared" ca="1" si="53"/>
        <v>-6.8115086048706072E-2</v>
      </c>
      <c r="M268" s="30">
        <f t="shared" ca="1" si="53"/>
        <v>-4.9663946300407331E-2</v>
      </c>
      <c r="N268" s="30">
        <f t="shared" ca="1" si="53"/>
        <v>-5.1330742190618596E-2</v>
      </c>
      <c r="O268" s="30">
        <f t="shared" ca="1" si="54"/>
        <v>-4.4379364721784165E-2</v>
      </c>
      <c r="P268" s="30">
        <f t="shared" ca="1" si="55"/>
        <v>-0.13802387604775201</v>
      </c>
      <c r="Q268" s="30">
        <f t="shared" ca="1" si="56"/>
        <v>-8.2810810810810764E-2</v>
      </c>
      <c r="R268" s="30">
        <f t="shared" ca="1" si="57"/>
        <v>-0.19988682982034223</v>
      </c>
      <c r="S268" s="9" cm="1">
        <f t="array" aca="1" ref="S268" ca="1">_xll.BDH($E$6,"PX LAST",AG268)</f>
        <v>169.68</v>
      </c>
      <c r="T268" s="9" cm="1">
        <f t="array" aca="1" ref="T268" ca="1">_xll.BDH($E$6,"PX LAST",AH268)</f>
        <v>177.56</v>
      </c>
      <c r="U268" s="9" cm="1">
        <f t="array" aca="1" ref="U268" ca="1">_xll.BDH($E$6,"PX LAST",AI268)</f>
        <v>196.85</v>
      </c>
      <c r="V268" s="9" cm="1">
        <f t="array" aca="1" ref="V268" ca="1">_xll.BDH($E$6,"PX LAST",AJ268)</f>
        <v>185</v>
      </c>
      <c r="W268" s="9" cm="1">
        <f t="array" aca="1" ref="W268" ca="1">_xll.BDH($E$6,"PX LAST",AK268)</f>
        <v>212.07</v>
      </c>
      <c r="X268" s="24">
        <f t="shared" ca="1" si="58"/>
        <v>-2.2317302469393674E-2</v>
      </c>
      <c r="Y268" s="24">
        <f t="shared" ca="1" si="59"/>
        <v>-4.3323962365670488E-2</v>
      </c>
      <c r="Z268" s="24">
        <f t="shared" ca="1" si="60"/>
        <v>-3.1588287782694513E-2</v>
      </c>
      <c r="AA268" s="24">
        <f t="shared" ca="1" si="61"/>
        <v>-3.2648437693789556E-2</v>
      </c>
      <c r="AB268" s="9" cm="1">
        <f t="array" aca="1" ref="AB268" ca="1">_xll.BDH($E$8,"PX LAST",AG268)</f>
        <v>5849.72</v>
      </c>
      <c r="AC268" s="9" cm="1">
        <f t="array" aca="1" ref="AC268" ca="1">_xll.BDH($E$8,"PX LAST",AH268)</f>
        <v>5983.25</v>
      </c>
      <c r="AD268" s="9" cm="1">
        <f t="array" aca="1" ref="AD268" ca="1">_xll.BDH($E$8,"PX LAST",AI268)</f>
        <v>6114.63</v>
      </c>
      <c r="AE268" s="9" cm="1">
        <f t="array" aca="1" ref="AE268" ca="1">_xll.BDH($E$8,"PX LAST",AJ268)</f>
        <v>6040.53</v>
      </c>
      <c r="AF268" s="9" cm="1">
        <f t="array" aca="1" ref="AF268" ca="1">_xll.BDH($E$8,"PX LAST",AK268)</f>
        <v>6047.15</v>
      </c>
      <c r="AG268" s="20">
        <f t="shared" ca="1" si="67"/>
        <v>45719</v>
      </c>
      <c r="AH268" s="22">
        <f t="shared" ca="1" si="62"/>
        <v>45712</v>
      </c>
      <c r="AI268" s="22">
        <f t="shared" ca="1" si="63"/>
        <v>45702</v>
      </c>
      <c r="AJ268" s="22">
        <f t="shared" ca="1" si="64"/>
        <v>45688</v>
      </c>
      <c r="AK268" s="22">
        <f t="shared" ca="1" si="65"/>
        <v>45628</v>
      </c>
      <c r="AL268" s="22">
        <f t="shared" ca="1" si="66"/>
        <v>45541</v>
      </c>
    </row>
    <row r="269" spans="4:38" x14ac:dyDescent="0.25">
      <c r="D269" s="6">
        <f ca="1"/>
        <v>45716</v>
      </c>
      <c r="E269" s="28">
        <f ca="1"/>
        <v>180.47</v>
      </c>
      <c r="F269" s="29" cm="1">
        <f t="array" aca="1" ref="F269" ca="1">_xll.FDS($E$7,"P_BETA_LOCIDX("&amp;$AG269&amp;","&amp;$AL269&amp;",,"""&amp;$E$9&amp;""")")</f>
        <v>1.4989923999999999</v>
      </c>
      <c r="G269" s="30">
        <f t="shared" ca="1" si="52"/>
        <v>-1.7852139504813749E-4</v>
      </c>
      <c r="H269" s="30">
        <f t="shared" ca="1" si="52"/>
        <v>-2.8796511546430772E-2</v>
      </c>
      <c r="I269" s="30">
        <f t="shared" ca="1" si="52"/>
        <v>-1.8292362181995168E-2</v>
      </c>
      <c r="J269" s="30">
        <f t="shared" ca="1" si="52"/>
        <v>-0.1276437835562314</v>
      </c>
      <c r="K269" s="30">
        <f t="shared" ca="1" si="53"/>
        <v>-1.4615670110574751E-2</v>
      </c>
      <c r="L269" s="30">
        <f t="shared" ca="1" si="53"/>
        <v>-3.9360663028877682E-2</v>
      </c>
      <c r="M269" s="30">
        <f t="shared" ca="1" si="53"/>
        <v>-2.8806217468461549E-2</v>
      </c>
      <c r="N269" s="30">
        <f t="shared" ca="1" si="53"/>
        <v>-1.935248245501775E-2</v>
      </c>
      <c r="O269" s="30">
        <f t="shared" ca="1" si="54"/>
        <v>-1.4794191505622889E-2</v>
      </c>
      <c r="P269" s="30">
        <f t="shared" ca="1" si="55"/>
        <v>-6.8157174575308455E-2</v>
      </c>
      <c r="Q269" s="30">
        <f t="shared" ca="1" si="56"/>
        <v>-4.7098579650456718E-2</v>
      </c>
      <c r="R269" s="30">
        <f t="shared" ca="1" si="57"/>
        <v>-0.14699626601124915</v>
      </c>
      <c r="S269" s="9" cm="1">
        <f t="array" aca="1" ref="S269" ca="1">_xll.BDH($E$6,"PX LAST",AG269)</f>
        <v>180.47</v>
      </c>
      <c r="T269" s="9" cm="1">
        <f t="array" aca="1" ref="T269" ca="1">_xll.BDH($E$6,"PX LAST",AH269)</f>
        <v>183.18</v>
      </c>
      <c r="U269" s="9" cm="1">
        <f t="array" aca="1" ref="U269" ca="1">_xll.BDH($E$6,"PX LAST",AI269)</f>
        <v>193.67</v>
      </c>
      <c r="V269" s="9" cm="1">
        <f t="array" aca="1" ref="V269" ca="1">_xll.BDH($E$6,"PX LAST",AJ269)</f>
        <v>189.39</v>
      </c>
      <c r="W269" s="9" cm="1">
        <f t="array" aca="1" ref="W269" ca="1">_xll.BDH($E$6,"PX LAST",AK269)</f>
        <v>211.57</v>
      </c>
      <c r="X269" s="24">
        <f t="shared" ca="1" si="58"/>
        <v>-9.7503296951837459E-3</v>
      </c>
      <c r="Y269" s="24">
        <f t="shared" ca="1" si="59"/>
        <v>-2.6258080447157495E-2</v>
      </c>
      <c r="Z269" s="24">
        <f t="shared" ca="1" si="60"/>
        <v>-1.9217053714522869E-2</v>
      </c>
      <c r="AA269" s="24">
        <f t="shared" ca="1" si="61"/>
        <v>-1.2910327267181443E-2</v>
      </c>
      <c r="AB269" s="9" cm="1">
        <f t="array" aca="1" ref="AB269" ca="1">_xll.BDH($E$8,"PX LAST",AG269)</f>
        <v>5954.5</v>
      </c>
      <c r="AC269" s="9" cm="1">
        <f t="array" aca="1" ref="AC269" ca="1">_xll.BDH($E$8,"PX LAST",AH269)</f>
        <v>6013.13</v>
      </c>
      <c r="AD269" s="9" cm="1">
        <f t="array" aca="1" ref="AD269" ca="1">_xll.BDH($E$8,"PX LAST",AI269)</f>
        <v>6115.07</v>
      </c>
      <c r="AE269" s="9" cm="1">
        <f t="array" aca="1" ref="AE269" ca="1">_xll.BDH($E$8,"PX LAST",AJ269)</f>
        <v>6071.17</v>
      </c>
      <c r="AF269" s="9" cm="1">
        <f t="array" aca="1" ref="AF269" ca="1">_xll.BDH($E$8,"PX LAST",AK269)</f>
        <v>6032.38</v>
      </c>
      <c r="AG269" s="20">
        <f t="shared" ca="1" si="67"/>
        <v>45716</v>
      </c>
      <c r="AH269" s="22">
        <f t="shared" ca="1" si="62"/>
        <v>45709</v>
      </c>
      <c r="AI269" s="22">
        <f t="shared" ca="1" si="63"/>
        <v>45701</v>
      </c>
      <c r="AJ269" s="22">
        <f t="shared" ca="1" si="64"/>
        <v>45687</v>
      </c>
      <c r="AK269" s="22">
        <f t="shared" ca="1" si="65"/>
        <v>45625</v>
      </c>
      <c r="AL269" s="22">
        <f t="shared" ca="1" si="66"/>
        <v>45540</v>
      </c>
    </row>
    <row r="270" spans="4:38" x14ac:dyDescent="0.25">
      <c r="D270" s="6">
        <f ca="1"/>
        <v>45715</v>
      </c>
      <c r="E270" s="28">
        <f ca="1"/>
        <v>179.82</v>
      </c>
      <c r="F270" s="29" cm="1">
        <f t="array" aca="1" ref="F270" ca="1">_xll.FDS($E$7,"P_BETA_LOCIDX("&amp;$AG270&amp;","&amp;$AL270&amp;",,"""&amp;$E$9&amp;""")")</f>
        <v>1.5436382</v>
      </c>
      <c r="G270" s="30">
        <f t="shared" ca="1" si="52"/>
        <v>-3.7543813735024523E-3</v>
      </c>
      <c r="H270" s="30">
        <f t="shared" ca="1" si="52"/>
        <v>-2.1268263073338844E-2</v>
      </c>
      <c r="I270" s="30">
        <f t="shared" ca="1" si="52"/>
        <v>8.889131874463399E-3</v>
      </c>
      <c r="J270" s="30">
        <f t="shared" ca="1" si="52"/>
        <v>-0.10155263513426202</v>
      </c>
      <c r="K270" s="30">
        <f t="shared" ca="1" si="53"/>
        <v>-6.4584046687219759E-2</v>
      </c>
      <c r="L270" s="30">
        <f t="shared" ca="1" si="53"/>
        <v>-4.8564139161297981E-2</v>
      </c>
      <c r="M270" s="30">
        <f t="shared" ca="1" si="53"/>
        <v>-4.5430066293666096E-2</v>
      </c>
      <c r="N270" s="30">
        <f t="shared" ca="1" si="53"/>
        <v>-3.5297554468771732E-2</v>
      </c>
      <c r="O270" s="30">
        <f t="shared" ca="1" si="54"/>
        <v>-6.8338428060722212E-2</v>
      </c>
      <c r="P270" s="30">
        <f t="shared" ca="1" si="55"/>
        <v>-6.9832402234636826E-2</v>
      </c>
      <c r="Q270" s="30">
        <f t="shared" ca="1" si="56"/>
        <v>-3.6540934419202697E-2</v>
      </c>
      <c r="R270" s="30">
        <f t="shared" ca="1" si="57"/>
        <v>-0.13685018960303375</v>
      </c>
      <c r="S270" s="9" cm="1">
        <f t="array" aca="1" ref="S270" ca="1">_xll.BDH($E$6,"PX LAST",AG270)</f>
        <v>179.82</v>
      </c>
      <c r="T270" s="9" cm="1">
        <f t="array" aca="1" ref="T270" ca="1">_xll.BDH($E$6,"PX LAST",AH270)</f>
        <v>193.01</v>
      </c>
      <c r="U270" s="9" cm="1">
        <f t="array" aca="1" ref="U270" ca="1">_xll.BDH($E$6,"PX LAST",AI270)</f>
        <v>193.32</v>
      </c>
      <c r="V270" s="9" cm="1">
        <f t="array" aca="1" ref="V270" ca="1">_xll.BDH($E$6,"PX LAST",AJ270)</f>
        <v>186.64</v>
      </c>
      <c r="W270" s="9" cm="1">
        <f t="array" aca="1" ref="W270" ca="1">_xll.BDH($E$6,"PX LAST",AK270)</f>
        <v>208.33</v>
      </c>
      <c r="X270" s="24">
        <f t="shared" ca="1" si="58"/>
        <v>-4.1838849729955996E-2</v>
      </c>
      <c r="Y270" s="24">
        <f t="shared" ca="1" si="59"/>
        <v>-3.1460830109865112E-2</v>
      </c>
      <c r="Z270" s="24">
        <f t="shared" ca="1" si="60"/>
        <v>-2.943051441307043E-2</v>
      </c>
      <c r="AA270" s="24">
        <f t="shared" ca="1" si="61"/>
        <v>-2.2866468625077907E-2</v>
      </c>
      <c r="AB270" s="9" cm="1">
        <f t="array" aca="1" ref="AB270" ca="1">_xll.BDH($E$8,"PX LAST",AG270)</f>
        <v>5861.57</v>
      </c>
      <c r="AC270" s="9" cm="1">
        <f t="array" aca="1" ref="AC270" ca="1">_xll.BDH($E$8,"PX LAST",AH270)</f>
        <v>6117.52</v>
      </c>
      <c r="AD270" s="9" cm="1">
        <f t="array" aca="1" ref="AD270" ca="1">_xll.BDH($E$8,"PX LAST",AI270)</f>
        <v>6051.97</v>
      </c>
      <c r="AE270" s="9" cm="1">
        <f t="array" aca="1" ref="AE270" ca="1">_xll.BDH($E$8,"PX LAST",AJ270)</f>
        <v>6039.31</v>
      </c>
      <c r="AF270" s="9" cm="1">
        <f t="array" aca="1" ref="AF270" ca="1">_xll.BDH($E$8,"PX LAST",AK270)</f>
        <v>5998.74</v>
      </c>
      <c r="AG270" s="20">
        <f t="shared" ca="1" si="67"/>
        <v>45715</v>
      </c>
      <c r="AH270" s="22">
        <f t="shared" ca="1" si="62"/>
        <v>45708</v>
      </c>
      <c r="AI270" s="22">
        <f t="shared" ca="1" si="63"/>
        <v>45700</v>
      </c>
      <c r="AJ270" s="22">
        <f t="shared" ca="1" si="64"/>
        <v>45686</v>
      </c>
      <c r="AK270" s="22">
        <f t="shared" ca="1" si="65"/>
        <v>45623</v>
      </c>
      <c r="AL270" s="22">
        <f t="shared" ca="1" si="66"/>
        <v>45539</v>
      </c>
    </row>
    <row r="271" spans="4:38" x14ac:dyDescent="0.25">
      <c r="D271" s="6">
        <f ca="1"/>
        <v>45714</v>
      </c>
      <c r="E271" s="28">
        <f ca="1"/>
        <v>181.2</v>
      </c>
      <c r="F271" s="29" cm="1">
        <f t="array" aca="1" ref="F271" ca="1">_xll.FDS($E$7,"P_BETA_LOCIDX("&amp;$AG271&amp;","&amp;$AL271&amp;",,"""&amp;$E$9&amp;""")")</f>
        <v>1.6596928</v>
      </c>
      <c r="G271" s="30">
        <f t="shared" ca="1" si="52"/>
        <v>-2.9488474296147024E-2</v>
      </c>
      <c r="H271" s="30">
        <f t="shared" ca="1" si="52"/>
        <v>-7.5670870940363136E-3</v>
      </c>
      <c r="I271" s="30">
        <f t="shared" ca="1" si="52"/>
        <v>1.126855399568814E-2</v>
      </c>
      <c r="J271" s="30">
        <f t="shared" ca="1" si="52"/>
        <v>-0.12311900096692587</v>
      </c>
      <c r="K271" s="30">
        <f t="shared" ca="1" si="53"/>
        <v>-5.0807942311304102E-2</v>
      </c>
      <c r="L271" s="30">
        <f t="shared" ca="1" si="53"/>
        <v>-3.0751562730823016E-2</v>
      </c>
      <c r="M271" s="30">
        <f t="shared" ca="1" si="53"/>
        <v>-3.0536793874449835E-2</v>
      </c>
      <c r="N271" s="30">
        <f t="shared" ca="1" si="53"/>
        <v>-1.8072524697797618E-2</v>
      </c>
      <c r="O271" s="30">
        <f t="shared" ca="1" si="54"/>
        <v>-8.0296416607451127E-2</v>
      </c>
      <c r="P271" s="30">
        <f t="shared" ca="1" si="55"/>
        <v>-3.831864982485933E-2</v>
      </c>
      <c r="Q271" s="30">
        <f t="shared" ca="1" si="56"/>
        <v>-1.9268239878761695E-2</v>
      </c>
      <c r="R271" s="30">
        <f t="shared" ca="1" si="57"/>
        <v>-0.14119152566472348</v>
      </c>
      <c r="S271" s="9" cm="1">
        <f t="array" aca="1" ref="S271" ca="1">_xll.BDH($E$6,"PX LAST",AG271)</f>
        <v>181.2</v>
      </c>
      <c r="T271" s="9" cm="1">
        <f t="array" aca="1" ref="T271" ca="1">_xll.BDH($E$6,"PX LAST",AH271)</f>
        <v>197.02</v>
      </c>
      <c r="U271" s="9" cm="1">
        <f t="array" aca="1" ref="U271" ca="1">_xll.BDH($E$6,"PX LAST",AI271)</f>
        <v>188.42</v>
      </c>
      <c r="V271" s="9" cm="1">
        <f t="array" aca="1" ref="V271" ca="1">_xll.BDH($E$6,"PX LAST",AJ271)</f>
        <v>184.76</v>
      </c>
      <c r="W271" s="9" cm="1">
        <f t="array" aca="1" ref="W271" ca="1">_xll.BDH($E$6,"PX LAST",AK271)</f>
        <v>210.99</v>
      </c>
      <c r="X271" s="24">
        <f t="shared" ca="1" si="58"/>
        <v>-3.0612859386570879E-2</v>
      </c>
      <c r="Y271" s="24">
        <f t="shared" ca="1" si="59"/>
        <v>-1.852846667215946E-2</v>
      </c>
      <c r="Z271" s="24">
        <f t="shared" ca="1" si="60"/>
        <v>-1.8399063895709999E-2</v>
      </c>
      <c r="AA271" s="24">
        <f t="shared" ca="1" si="61"/>
        <v>-1.0889078206399172E-2</v>
      </c>
      <c r="AB271" s="9" cm="1">
        <f t="array" aca="1" ref="AB271" ca="1">_xll.BDH($E$8,"PX LAST",AG271)</f>
        <v>5956.06</v>
      </c>
      <c r="AC271" s="9" cm="1">
        <f t="array" aca="1" ref="AC271" ca="1">_xll.BDH($E$8,"PX LAST",AH271)</f>
        <v>6144.15</v>
      </c>
      <c r="AD271" s="9" cm="1">
        <f t="array" aca="1" ref="AD271" ca="1">_xll.BDH($E$8,"PX LAST",AI271)</f>
        <v>6068.5</v>
      </c>
      <c r="AE271" s="9" cm="1">
        <f t="array" aca="1" ref="AE271" ca="1">_xll.BDH($E$8,"PX LAST",AJ271)</f>
        <v>6067.7</v>
      </c>
      <c r="AF271" s="9" cm="1">
        <f t="array" aca="1" ref="AF271" ca="1">_xll.BDH($E$8,"PX LAST",AK271)</f>
        <v>6021.63</v>
      </c>
      <c r="AG271" s="20">
        <f t="shared" ca="1" si="67"/>
        <v>45714</v>
      </c>
      <c r="AH271" s="22">
        <f t="shared" ca="1" si="62"/>
        <v>45707</v>
      </c>
      <c r="AI271" s="22">
        <f t="shared" ca="1" si="63"/>
        <v>45699</v>
      </c>
      <c r="AJ271" s="22">
        <f t="shared" ca="1" si="64"/>
        <v>45685</v>
      </c>
      <c r="AK271" s="22">
        <f t="shared" ca="1" si="65"/>
        <v>45622</v>
      </c>
      <c r="AL271" s="22">
        <f t="shared" ca="1" si="66"/>
        <v>45538</v>
      </c>
    </row>
    <row r="272" spans="4:38" x14ac:dyDescent="0.25">
      <c r="D272" s="6">
        <f ca="1"/>
        <v>45713</v>
      </c>
      <c r="E272" s="28">
        <f ca="1"/>
        <v>174.69</v>
      </c>
      <c r="F272" s="29" cm="1">
        <f t="array" aca="1" ref="F272" ca="1">_xll.FDS($E$7,"P_BETA_LOCIDX("&amp;$AG272&amp;","&amp;$AL272&amp;",,"""&amp;$E$9&amp;""")")</f>
        <v>1.6599762</v>
      </c>
      <c r="G272" s="30">
        <f t="shared" ca="1" si="52"/>
        <v>-7.912057480936234E-2</v>
      </c>
      <c r="H272" s="30">
        <f t="shared" ca="1" si="52"/>
        <v>-2.683328268722298E-2</v>
      </c>
      <c r="I272" s="30">
        <f t="shared" ca="1" si="52"/>
        <v>-2.1986883798317002E-2</v>
      </c>
      <c r="J272" s="30">
        <f t="shared" ca="1" si="52"/>
        <v>-0.17168493269524451</v>
      </c>
      <c r="K272" s="30">
        <f t="shared" ca="1" si="53"/>
        <v>-4.7211008086361542E-2</v>
      </c>
      <c r="L272" s="30">
        <f t="shared" ca="1" si="53"/>
        <v>-3.0425217042944409E-2</v>
      </c>
      <c r="M272" s="30">
        <f t="shared" ca="1" si="53"/>
        <v>-1.5745847280233129E-2</v>
      </c>
      <c r="N272" s="30">
        <f t="shared" ca="1" si="53"/>
        <v>-8.9051512674178986E-3</v>
      </c>
      <c r="O272" s="30">
        <f t="shared" ca="1" si="54"/>
        <v>-0.12633158289572388</v>
      </c>
      <c r="P272" s="30">
        <f t="shared" ca="1" si="55"/>
        <v>-5.7258499730167389E-2</v>
      </c>
      <c r="Q272" s="30">
        <f t="shared" ca="1" si="56"/>
        <v>-3.773273107855013E-2</v>
      </c>
      <c r="R272" s="30">
        <f t="shared" ca="1" si="57"/>
        <v>-0.18059008396266241</v>
      </c>
      <c r="S272" s="9" cm="1">
        <f t="array" aca="1" ref="S272" ca="1">_xll.BDH($E$6,"PX LAST",AG272)</f>
        <v>174.69</v>
      </c>
      <c r="T272" s="9" cm="1">
        <f t="array" aca="1" ref="T272" ca="1">_xll.BDH($E$6,"PX LAST",AH272)</f>
        <v>199.95</v>
      </c>
      <c r="U272" s="9" cm="1">
        <f t="array" aca="1" ref="U272" ca="1">_xll.BDH($E$6,"PX LAST",AI272)</f>
        <v>185.3</v>
      </c>
      <c r="V272" s="9" cm="1">
        <f t="array" aca="1" ref="V272" ca="1">_xll.BDH($E$6,"PX LAST",AJ272)</f>
        <v>181.54</v>
      </c>
      <c r="W272" s="9" cm="1">
        <f t="array" aca="1" ref="W272" ca="1">_xll.BDH($E$6,"PX LAST",AK272)</f>
        <v>213.19</v>
      </c>
      <c r="X272" s="24">
        <f t="shared" ca="1" si="58"/>
        <v>-2.8440774082400422E-2</v>
      </c>
      <c r="Y272" s="24">
        <f t="shared" ca="1" si="59"/>
        <v>-1.8328706786846949E-2</v>
      </c>
      <c r="Z272" s="24">
        <f t="shared" ca="1" si="60"/>
        <v>-9.4855861669782549E-3</v>
      </c>
      <c r="AA272" s="24">
        <f t="shared" ca="1" si="61"/>
        <v>-5.3646258707913397E-3</v>
      </c>
      <c r="AB272" s="9" cm="1">
        <f t="array" aca="1" ref="AB272" ca="1">_xll.BDH($E$8,"PX LAST",AG272)</f>
        <v>5955.25</v>
      </c>
      <c r="AC272" s="9" cm="1">
        <f t="array" aca="1" ref="AC272" ca="1">_xll.BDH($E$8,"PX LAST",AH272)</f>
        <v>6129.58</v>
      </c>
      <c r="AD272" s="9" cm="1">
        <f t="array" aca="1" ref="AD272" ca="1">_xll.BDH($E$8,"PX LAST",AI272)</f>
        <v>6066.44</v>
      </c>
      <c r="AE272" s="9" cm="1">
        <f t="array" aca="1" ref="AE272" ca="1">_xll.BDH($E$8,"PX LAST",AJ272)</f>
        <v>6012.28</v>
      </c>
      <c r="AF272" s="9" cm="1">
        <f t="array" aca="1" ref="AF272" ca="1">_xll.BDH($E$8,"PX LAST",AK272)</f>
        <v>5987.37</v>
      </c>
      <c r="AG272" s="20">
        <f t="shared" ca="1" si="67"/>
        <v>45713</v>
      </c>
      <c r="AH272" s="22">
        <f t="shared" ca="1" si="62"/>
        <v>45706</v>
      </c>
      <c r="AI272" s="22">
        <f t="shared" ca="1" si="63"/>
        <v>45698</v>
      </c>
      <c r="AJ272" s="22">
        <f t="shared" ca="1" si="64"/>
        <v>45684</v>
      </c>
      <c r="AK272" s="22">
        <f t="shared" ca="1" si="65"/>
        <v>45621</v>
      </c>
      <c r="AL272" s="22">
        <f t="shared" ca="1" si="66"/>
        <v>45534</v>
      </c>
    </row>
    <row r="273" spans="4:38" x14ac:dyDescent="0.25">
      <c r="D273" s="6">
        <f ca="1"/>
        <v>45712</v>
      </c>
      <c r="E273" s="28">
        <f ca="1"/>
        <v>177.56</v>
      </c>
      <c r="F273" s="29" cm="1">
        <f t="array" aca="1" ref="F273" ca="1">_xll.FDS($E$7,"P_BETA_LOCIDX("&amp;$AG273&amp;","&amp;$AL273&amp;",,"""&amp;$E$9&amp;""")")</f>
        <v>1.6547219</v>
      </c>
      <c r="G273" s="30">
        <f t="shared" ca="1" si="52"/>
        <v>-6.2439754438243476E-2</v>
      </c>
      <c r="H273" s="30">
        <f t="shared" ca="1" si="52"/>
        <v>-3.3177907861402227E-2</v>
      </c>
      <c r="I273" s="30">
        <f t="shared" ca="1" si="52"/>
        <v>-7.1141574637782229E-2</v>
      </c>
      <c r="J273" s="30">
        <f t="shared" ca="1" si="52"/>
        <v>-0.15776803248763774</v>
      </c>
      <c r="K273" s="30">
        <f t="shared" ca="1" si="53"/>
        <v>-3.5553641548548433E-2</v>
      </c>
      <c r="L273" s="30">
        <f t="shared" ca="1" si="53"/>
        <v>-1.1736297937102355E-2</v>
      </c>
      <c r="M273" s="30">
        <f t="shared" ca="1" si="53"/>
        <v>-3.2000156850246847E-2</v>
      </c>
      <c r="N273" s="30">
        <f t="shared" ca="1" si="53"/>
        <v>3.8559005901822973E-3</v>
      </c>
      <c r="O273" s="30">
        <f t="shared" ca="1" si="54"/>
        <v>-9.7993395986791909E-2</v>
      </c>
      <c r="P273" s="30">
        <f t="shared" ca="1" si="55"/>
        <v>-4.4914205798504581E-2</v>
      </c>
      <c r="Q273" s="30">
        <f t="shared" ca="1" si="56"/>
        <v>-0.10314173148802908</v>
      </c>
      <c r="R273" s="30">
        <f t="shared" ca="1" si="57"/>
        <v>-0.15391213189745545</v>
      </c>
      <c r="S273" s="9" cm="1">
        <f t="array" aca="1" ref="S273" ca="1">_xll.BDH($E$6,"PX LAST",AG273)</f>
        <v>177.56</v>
      </c>
      <c r="T273" s="9" cm="1">
        <f t="array" aca="1" ref="T273" ca="1">_xll.BDH($E$6,"PX LAST",AH273)</f>
        <v>196.85</v>
      </c>
      <c r="U273" s="9" cm="1">
        <f t="array" aca="1" ref="U273" ca="1">_xll.BDH($E$6,"PX LAST",AI273)</f>
        <v>185.91</v>
      </c>
      <c r="V273" s="9" cm="1">
        <f t="array" aca="1" ref="V273" ca="1">_xll.BDH($E$6,"PX LAST",AJ273)</f>
        <v>197.98</v>
      </c>
      <c r="W273" s="9" cm="1">
        <f t="array" aca="1" ref="W273" ca="1">_xll.BDH($E$6,"PX LAST",AK273)</f>
        <v>209.86</v>
      </c>
      <c r="X273" s="24">
        <f t="shared" ca="1" si="58"/>
        <v>-2.1486173325287128E-2</v>
      </c>
      <c r="Y273" s="24">
        <f t="shared" ca="1" si="59"/>
        <v>-7.0926105088126024E-3</v>
      </c>
      <c r="Z273" s="24">
        <f t="shared" ca="1" si="60"/>
        <v>-1.933869180691139E-2</v>
      </c>
      <c r="AA273" s="24">
        <f t="shared" ca="1" si="61"/>
        <v>2.3302408641490135E-3</v>
      </c>
      <c r="AB273" s="9" cm="1">
        <f t="array" aca="1" ref="AB273" ca="1">_xll.BDH($E$8,"PX LAST",AG273)</f>
        <v>5983.25</v>
      </c>
      <c r="AC273" s="9" cm="1">
        <f t="array" aca="1" ref="AC273" ca="1">_xll.BDH($E$8,"PX LAST",AH273)</f>
        <v>6114.63</v>
      </c>
      <c r="AD273" s="9" cm="1">
        <f t="array" aca="1" ref="AD273" ca="1">_xll.BDH($E$8,"PX LAST",AI273)</f>
        <v>6025.99</v>
      </c>
      <c r="AE273" s="9" cm="1">
        <f t="array" aca="1" ref="AE273" ca="1">_xll.BDH($E$8,"PX LAST",AJ273)</f>
        <v>6101.24</v>
      </c>
      <c r="AF273" s="9" cm="1">
        <f t="array" aca="1" ref="AF273" ca="1">_xll.BDH($E$8,"PX LAST",AK273)</f>
        <v>5969.34</v>
      </c>
      <c r="AG273" s="20">
        <f t="shared" ca="1" si="67"/>
        <v>45712</v>
      </c>
      <c r="AH273" s="22">
        <f t="shared" ca="1" si="62"/>
        <v>45702</v>
      </c>
      <c r="AI273" s="22">
        <f t="shared" ca="1" si="63"/>
        <v>45695</v>
      </c>
      <c r="AJ273" s="22">
        <f t="shared" ca="1" si="64"/>
        <v>45681</v>
      </c>
      <c r="AK273" s="22">
        <f t="shared" ca="1" si="65"/>
        <v>45618</v>
      </c>
      <c r="AL273" s="22">
        <f t="shared" ca="1" si="66"/>
        <v>45533</v>
      </c>
    </row>
    <row r="274" spans="4:38" x14ac:dyDescent="0.25">
      <c r="D274" s="6">
        <f ca="1"/>
        <v>45709</v>
      </c>
      <c r="E274" s="28">
        <f ca="1"/>
        <v>183.18</v>
      </c>
      <c r="F274" s="29" cm="1">
        <f t="array" aca="1" ref="F274" ca="1">_xll.FDS($E$7,"P_BETA_LOCIDX("&amp;$AG274&amp;","&amp;$AL274&amp;",,"""&amp;$E$9&amp;""")")</f>
        <v>1.6293918999999999</v>
      </c>
      <c r="G274" s="30">
        <f t="shared" ca="1" si="52"/>
        <v>-2.7001862008925376E-2</v>
      </c>
      <c r="H274" s="30">
        <f t="shared" ca="1" si="52"/>
        <v>-6.4609470955878864E-3</v>
      </c>
      <c r="I274" s="30">
        <f t="shared" ca="1" si="52"/>
        <v>-4.1895062514752002E-2</v>
      </c>
      <c r="J274" s="30">
        <f t="shared" ca="1" si="52"/>
        <v>-0.13446682768488757</v>
      </c>
      <c r="K274" s="30">
        <f t="shared" ca="1" si="53"/>
        <v>-2.7162438089179536E-2</v>
      </c>
      <c r="L274" s="30">
        <f t="shared" ca="1" si="53"/>
        <v>-1.8866284999761597E-2</v>
      </c>
      <c r="M274" s="30">
        <f t="shared" ca="1" si="53"/>
        <v>-2.8115599007307146E-2</v>
      </c>
      <c r="N274" s="30">
        <f t="shared" ca="1" si="53"/>
        <v>1.7645073671098556E-2</v>
      </c>
      <c r="O274" s="30">
        <f t="shared" ca="1" si="54"/>
        <v>-5.4164300098104912E-2</v>
      </c>
      <c r="P274" s="30">
        <f t="shared" ca="1" si="55"/>
        <v>-2.5327232095349483E-2</v>
      </c>
      <c r="Q274" s="30">
        <f t="shared" ca="1" si="56"/>
        <v>-7.0010661522059148E-2</v>
      </c>
      <c r="R274" s="30">
        <f t="shared" ca="1" si="57"/>
        <v>-0.11682175401378903</v>
      </c>
      <c r="S274" s="9" cm="1">
        <f t="array" aca="1" ref="S274" ca="1">_xll.BDH($E$6,"PX LAST",AG274)</f>
        <v>183.18</v>
      </c>
      <c r="T274" s="9" cm="1">
        <f t="array" aca="1" ref="T274" ca="1">_xll.BDH($E$6,"PX LAST",AH274)</f>
        <v>193.67</v>
      </c>
      <c r="U274" s="9" cm="1">
        <f t="array" aca="1" ref="U274" ca="1">_xll.BDH($E$6,"PX LAST",AI274)</f>
        <v>187.94</v>
      </c>
      <c r="V274" s="9" cm="1">
        <f t="array" aca="1" ref="V274" ca="1">_xll.BDH($E$6,"PX LAST",AJ274)</f>
        <v>196.97</v>
      </c>
      <c r="W274" s="9" cm="1">
        <f t="array" aca="1" ref="W274" ca="1">_xll.BDH($E$6,"PX LAST",AK274)</f>
        <v>207.41</v>
      </c>
      <c r="X274" s="24">
        <f t="shared" ca="1" si="58"/>
        <v>-1.6670291591101893E-2</v>
      </c>
      <c r="Y274" s="24">
        <f t="shared" ca="1" si="59"/>
        <v>-1.1578727622103435E-2</v>
      </c>
      <c r="Z274" s="24">
        <f t="shared" ca="1" si="60"/>
        <v>-1.7255271127410876E-2</v>
      </c>
      <c r="AA274" s="24">
        <f t="shared" ca="1" si="61"/>
        <v>1.0829238608034419E-2</v>
      </c>
      <c r="AB274" s="9" cm="1">
        <f t="array" aca="1" ref="AB274" ca="1">_xll.BDH($E$8,"PX LAST",AG274)</f>
        <v>6013.13</v>
      </c>
      <c r="AC274" s="9" cm="1">
        <f t="array" aca="1" ref="AC274" ca="1">_xll.BDH($E$8,"PX LAST",AH274)</f>
        <v>6115.07</v>
      </c>
      <c r="AD274" s="9" cm="1">
        <f t="array" aca="1" ref="AD274" ca="1">_xll.BDH($E$8,"PX LAST",AI274)</f>
        <v>6083.57</v>
      </c>
      <c r="AE274" s="9" cm="1">
        <f t="array" aca="1" ref="AE274" ca="1">_xll.BDH($E$8,"PX LAST",AJ274)</f>
        <v>6118.71</v>
      </c>
      <c r="AF274" s="9" cm="1">
        <f t="array" aca="1" ref="AF274" ca="1">_xll.BDH($E$8,"PX LAST",AK274)</f>
        <v>5948.71</v>
      </c>
      <c r="AG274" s="20">
        <f t="shared" ca="1" si="67"/>
        <v>45709</v>
      </c>
      <c r="AH274" s="22">
        <f t="shared" ca="1" si="62"/>
        <v>45701</v>
      </c>
      <c r="AI274" s="22">
        <f t="shared" ca="1" si="63"/>
        <v>45694</v>
      </c>
      <c r="AJ274" s="22">
        <f t="shared" ca="1" si="64"/>
        <v>45680</v>
      </c>
      <c r="AK274" s="22">
        <f t="shared" ca="1" si="65"/>
        <v>45617</v>
      </c>
      <c r="AL274" s="22">
        <f t="shared" ca="1" si="66"/>
        <v>45532</v>
      </c>
    </row>
    <row r="275" spans="4:38" x14ac:dyDescent="0.25">
      <c r="D275" s="6">
        <f ca="1"/>
        <v>45708</v>
      </c>
      <c r="E275" s="28">
        <f ca="1"/>
        <v>193.01</v>
      </c>
      <c r="F275" s="29" cm="1">
        <f t="array" aca="1" ref="F275" ca="1">_xll.FDS($E$7,"P_BETA_LOCIDX("&amp;$AG275&amp;","&amp;$AL275&amp;",,"""&amp;$E$9&amp;""")")</f>
        <v>1.571828</v>
      </c>
      <c r="G275" s="30">
        <f t="shared" ca="1" si="52"/>
        <v>-1.8628316986212097E-2</v>
      </c>
      <c r="H275" s="30">
        <f t="shared" ca="1" si="52"/>
        <v>2.2097280416344709E-2</v>
      </c>
      <c r="I275" s="30">
        <f t="shared" ca="1" si="52"/>
        <v>-3.9167540540750806E-2</v>
      </c>
      <c r="J275" s="30">
        <f t="shared" ca="1" si="52"/>
        <v>-9.698466887684784E-2</v>
      </c>
      <c r="K275" s="30">
        <f t="shared" ca="1" si="53"/>
        <v>1.7024758120083368E-2</v>
      </c>
      <c r="L275" s="30">
        <f t="shared" ca="1" si="53"/>
        <v>1.4531969274830827E-2</v>
      </c>
      <c r="M275" s="30">
        <f t="shared" ca="1" si="53"/>
        <v>8.0446049451480522E-3</v>
      </c>
      <c r="N275" s="30">
        <f t="shared" ca="1" si="53"/>
        <v>5.3237146086518826E-2</v>
      </c>
      <c r="O275" s="30">
        <f t="shared" ca="1" si="54"/>
        <v>-1.6035588661287292E-3</v>
      </c>
      <c r="P275" s="30">
        <f t="shared" ca="1" si="55"/>
        <v>3.6629249691175536E-2</v>
      </c>
      <c r="Q275" s="30">
        <f t="shared" ca="1" si="56"/>
        <v>-3.1122935595602752E-2</v>
      </c>
      <c r="R275" s="30">
        <f t="shared" ca="1" si="57"/>
        <v>-4.3747522790329008E-2</v>
      </c>
      <c r="S275" s="9" cm="1">
        <f t="array" aca="1" ref="S275" ca="1">_xll.BDH($E$6,"PX LAST",AG275)</f>
        <v>193.01</v>
      </c>
      <c r="T275" s="9" cm="1">
        <f t="array" aca="1" ref="T275" ca="1">_xll.BDH($E$6,"PX LAST",AH275)</f>
        <v>193.32</v>
      </c>
      <c r="U275" s="9" cm="1">
        <f t="array" aca="1" ref="U275" ca="1">_xll.BDH($E$6,"PX LAST",AI275)</f>
        <v>186.19</v>
      </c>
      <c r="V275" s="9" cm="1">
        <f t="array" aca="1" ref="V275" ca="1">_xll.BDH($E$6,"PX LAST",AJ275)</f>
        <v>199.21</v>
      </c>
      <c r="W275" s="9" cm="1">
        <f t="array" aca="1" ref="W275" ca="1">_xll.BDH($E$6,"PX LAST",AK275)</f>
        <v>201.84</v>
      </c>
      <c r="X275" s="24">
        <f t="shared" ca="1" si="58"/>
        <v>1.083118389549198E-2</v>
      </c>
      <c r="Y275" s="24">
        <f t="shared" ca="1" si="59"/>
        <v>9.2452668325229137E-3</v>
      </c>
      <c r="Z275" s="24">
        <f t="shared" ca="1" si="60"/>
        <v>5.1179931551976754E-3</v>
      </c>
      <c r="AA275" s="24">
        <f t="shared" ca="1" si="61"/>
        <v>3.3869574843124584E-2</v>
      </c>
      <c r="AB275" s="9" cm="1">
        <f t="array" aca="1" ref="AB275" ca="1">_xll.BDH($E$8,"PX LAST",AG275)</f>
        <v>6117.52</v>
      </c>
      <c r="AC275" s="9" cm="1">
        <f t="array" aca="1" ref="AC275" ca="1">_xll.BDH($E$8,"PX LAST",AH275)</f>
        <v>6051.97</v>
      </c>
      <c r="AD275" s="9" cm="1">
        <f t="array" aca="1" ref="AD275" ca="1">_xll.BDH($E$8,"PX LAST",AI275)</f>
        <v>6061.48</v>
      </c>
      <c r="AE275" s="9" cm="1">
        <f t="array" aca="1" ref="AE275" ca="1">_xll.BDH($E$8,"PX LAST",AJ275)</f>
        <v>6086.37</v>
      </c>
      <c r="AF275" s="9" cm="1">
        <f t="array" aca="1" ref="AF275" ca="1">_xll.BDH($E$8,"PX LAST",AK275)</f>
        <v>5917.11</v>
      </c>
      <c r="AG275" s="20">
        <f t="shared" ca="1" si="67"/>
        <v>45708</v>
      </c>
      <c r="AH275" s="22">
        <f t="shared" ca="1" si="62"/>
        <v>45700</v>
      </c>
      <c r="AI275" s="22">
        <f t="shared" ca="1" si="63"/>
        <v>45693</v>
      </c>
      <c r="AJ275" s="22">
        <f t="shared" ca="1" si="64"/>
        <v>45679</v>
      </c>
      <c r="AK275" s="22">
        <f t="shared" ca="1" si="65"/>
        <v>45616</v>
      </c>
      <c r="AL275" s="22">
        <f t="shared" ca="1" si="66"/>
        <v>45531</v>
      </c>
    </row>
    <row r="276" spans="4:38" x14ac:dyDescent="0.25">
      <c r="D276" s="6">
        <f ca="1"/>
        <v>45707</v>
      </c>
      <c r="E276" s="28">
        <f ca="1"/>
        <v>197.02</v>
      </c>
      <c r="F276" s="29" cm="1">
        <f t="array" aca="1" ref="F276" ca="1">_xll.FDS($E$7,"P_BETA_LOCIDX("&amp;$AG276&amp;","&amp;$AL276&amp;",,"""&amp;$E$9&amp;""")")</f>
        <v>1.5588455000000001</v>
      </c>
      <c r="G276" s="30">
        <f t="shared" ca="1" si="52"/>
        <v>2.6210124791663719E-2</v>
      </c>
      <c r="H276" s="30">
        <f t="shared" ca="1" si="52"/>
        <v>5.6222228760125503E-2</v>
      </c>
      <c r="I276" s="30">
        <f t="shared" ca="1" si="52"/>
        <v>-3.2113510163734593E-2</v>
      </c>
      <c r="J276" s="30">
        <f t="shared" ca="1" si="52"/>
        <v>-9.6519823945528799E-2</v>
      </c>
      <c r="K276" s="30">
        <f t="shared" ca="1" si="53"/>
        <v>1.9432588296119064E-2</v>
      </c>
      <c r="L276" s="30">
        <f t="shared" ca="1" si="53"/>
        <v>2.743653588428363E-2</v>
      </c>
      <c r="M276" s="30">
        <f t="shared" ca="1" si="53"/>
        <v>2.4457622181464137E-2</v>
      </c>
      <c r="N276" s="30">
        <f t="shared" ca="1" si="53"/>
        <v>5.984859374799309E-2</v>
      </c>
      <c r="O276" s="30">
        <f t="shared" ca="1" si="54"/>
        <v>4.5642713087782782E-2</v>
      </c>
      <c r="P276" s="30">
        <f t="shared" ca="1" si="55"/>
        <v>8.3658764644409134E-2</v>
      </c>
      <c r="Q276" s="30">
        <f t="shared" ca="1" si="56"/>
        <v>-7.6558879822704595E-3</v>
      </c>
      <c r="R276" s="30">
        <f t="shared" ca="1" si="57"/>
        <v>-3.6671230197535709E-2</v>
      </c>
      <c r="S276" s="9" cm="1">
        <f t="array" aca="1" ref="S276" ca="1">_xll.BDH($E$6,"PX LAST",AG276)</f>
        <v>197.02</v>
      </c>
      <c r="T276" s="9" cm="1">
        <f t="array" aca="1" ref="T276" ca="1">_xll.BDH($E$6,"PX LAST",AH276)</f>
        <v>188.42</v>
      </c>
      <c r="U276" s="9" cm="1">
        <f t="array" aca="1" ref="U276" ca="1">_xll.BDH($E$6,"PX LAST",AI276)</f>
        <v>181.81</v>
      </c>
      <c r="V276" s="9" cm="1">
        <f t="array" aca="1" ref="V276" ca="1">_xll.BDH($E$6,"PX LAST",AJ276)</f>
        <v>198.54</v>
      </c>
      <c r="W276" s="9" cm="1">
        <f t="array" aca="1" ref="W276" ca="1">_xll.BDH($E$6,"PX LAST",AK276)</f>
        <v>204.52</v>
      </c>
      <c r="X276" s="24">
        <f t="shared" ca="1" si="58"/>
        <v>1.2466013018043842E-2</v>
      </c>
      <c r="Y276" s="24">
        <f t="shared" ca="1" si="59"/>
        <v>1.7600548536903515E-2</v>
      </c>
      <c r="Z276" s="24">
        <f t="shared" ca="1" si="60"/>
        <v>1.5689574227506276E-2</v>
      </c>
      <c r="AA276" s="24">
        <f t="shared" ca="1" si="61"/>
        <v>3.8392896376191921E-2</v>
      </c>
      <c r="AB276" s="9" cm="1">
        <f t="array" aca="1" ref="AB276" ca="1">_xll.BDH($E$8,"PX LAST",AG276)</f>
        <v>6144.15</v>
      </c>
      <c r="AC276" s="9" cm="1">
        <f t="array" aca="1" ref="AC276" ca="1">_xll.BDH($E$8,"PX LAST",AH276)</f>
        <v>6068.5</v>
      </c>
      <c r="AD276" s="9" cm="1">
        <f t="array" aca="1" ref="AD276" ca="1">_xll.BDH($E$8,"PX LAST",AI276)</f>
        <v>6037.88</v>
      </c>
      <c r="AE276" s="9" cm="1">
        <f t="array" aca="1" ref="AE276" ca="1">_xll.BDH($E$8,"PX LAST",AJ276)</f>
        <v>6049.24</v>
      </c>
      <c r="AF276" s="9" cm="1">
        <f t="array" aca="1" ref="AF276" ca="1">_xll.BDH($E$8,"PX LAST",AK276)</f>
        <v>5916.98</v>
      </c>
      <c r="AG276" s="20">
        <f t="shared" ca="1" si="67"/>
        <v>45707</v>
      </c>
      <c r="AH276" s="22">
        <f t="shared" ca="1" si="62"/>
        <v>45699</v>
      </c>
      <c r="AI276" s="22">
        <f t="shared" ca="1" si="63"/>
        <v>45692</v>
      </c>
      <c r="AJ276" s="22">
        <f t="shared" ca="1" si="64"/>
        <v>45678</v>
      </c>
      <c r="AK276" s="22">
        <f t="shared" ca="1" si="65"/>
        <v>45615</v>
      </c>
      <c r="AL276" s="22">
        <f t="shared" ca="1" si="66"/>
        <v>45530</v>
      </c>
    </row>
    <row r="277" spans="4:38" x14ac:dyDescent="0.25">
      <c r="D277" s="6">
        <f ca="1"/>
        <v>45706</v>
      </c>
      <c r="E277" s="28">
        <f ca="1"/>
        <v>199.95</v>
      </c>
      <c r="F277" s="29" cm="1">
        <f t="array" aca="1" ref="F277" ca="1">_xll.FDS($E$7,"P_BETA_LOCIDX("&amp;$AG277&amp;","&amp;$AL277&amp;",,"""&amp;$E$9&amp;""")")</f>
        <v>1.5806407</v>
      </c>
      <c r="G277" s="30">
        <f t="shared" ca="1" si="52"/>
        <v>6.2609545467361624E-2</v>
      </c>
      <c r="H277" s="30">
        <f t="shared" ca="1" si="52"/>
        <v>6.8852787306276864E-2</v>
      </c>
      <c r="I277" s="30">
        <f t="shared" ca="1" si="52"/>
        <v>8.4899483483301258E-3</v>
      </c>
      <c r="J277" s="30">
        <f t="shared" ref="J277:J340" ca="1" si="68">+R277-N277</f>
        <v>-8.0148325418341673E-2</v>
      </c>
      <c r="K277" s="30">
        <f t="shared" ca="1" si="53"/>
        <v>1.6451436723679894E-2</v>
      </c>
      <c r="L277" s="30">
        <f t="shared" ca="1" si="53"/>
        <v>3.5599267488243595E-2</v>
      </c>
      <c r="M277" s="30">
        <f t="shared" ca="1" si="53"/>
        <v>3.5035963660437527E-2</v>
      </c>
      <c r="N277" s="30">
        <f t="shared" ref="N277:N340" ca="1" si="69">+AA277*$F277</f>
        <v>6.3283343610887569E-2</v>
      </c>
      <c r="O277" s="30">
        <f t="shared" ca="1" si="54"/>
        <v>7.9060982191041518E-2</v>
      </c>
      <c r="P277" s="30">
        <f t="shared" ca="1" si="55"/>
        <v>0.10445205479452047</v>
      </c>
      <c r="Q277" s="30">
        <f t="shared" ca="1" si="56"/>
        <v>4.3525912008767653E-2</v>
      </c>
      <c r="R277" s="30">
        <f t="shared" ca="1" si="57"/>
        <v>-1.6864981807454105E-2</v>
      </c>
      <c r="S277" s="9" cm="1">
        <f t="array" aca="1" ref="S277" ca="1">_xll.BDH($E$6,"PX LAST",AG277)</f>
        <v>199.95</v>
      </c>
      <c r="T277" s="9" cm="1">
        <f t="array" aca="1" ref="T277" ca="1">_xll.BDH($E$6,"PX LAST",AH277)</f>
        <v>185.3</v>
      </c>
      <c r="U277" s="9" cm="1">
        <f t="array" aca="1" ref="U277" ca="1">_xll.BDH($E$6,"PX LAST",AI277)</f>
        <v>181.04</v>
      </c>
      <c r="V277" s="9" cm="1">
        <f t="array" aca="1" ref="V277" ca="1">_xll.BDH($E$6,"PX LAST",AJ277)</f>
        <v>191.61</v>
      </c>
      <c r="W277" s="9" cm="1">
        <f t="array" aca="1" ref="W277" ca="1">_xll.BDH($E$6,"PX LAST",AK277)</f>
        <v>203.38</v>
      </c>
      <c r="X277" s="24">
        <f t="shared" ca="1" si="58"/>
        <v>1.0408081181055184E-2</v>
      </c>
      <c r="Y277" s="24">
        <f t="shared" ca="1" si="59"/>
        <v>2.2522049121121324E-2</v>
      </c>
      <c r="Z277" s="24">
        <f t="shared" ca="1" si="60"/>
        <v>2.2165672224204735E-2</v>
      </c>
      <c r="AA277" s="24">
        <f t="shared" ca="1" si="61"/>
        <v>4.0036514060967532E-2</v>
      </c>
      <c r="AB277" s="9" cm="1">
        <f t="array" aca="1" ref="AB277" ca="1">_xll.BDH($E$8,"PX LAST",AG277)</f>
        <v>6129.58</v>
      </c>
      <c r="AC277" s="9" cm="1">
        <f t="array" aca="1" ref="AC277" ca="1">_xll.BDH($E$8,"PX LAST",AH277)</f>
        <v>6066.44</v>
      </c>
      <c r="AD277" s="9" cm="1">
        <f t="array" aca="1" ref="AD277" ca="1">_xll.BDH($E$8,"PX LAST",AI277)</f>
        <v>5994.57</v>
      </c>
      <c r="AE277" s="9" cm="1">
        <f t="array" aca="1" ref="AE277" ca="1">_xll.BDH($E$8,"PX LAST",AJ277)</f>
        <v>5996.66</v>
      </c>
      <c r="AF277" s="9" cm="1">
        <f t="array" aca="1" ref="AF277" ca="1">_xll.BDH($E$8,"PX LAST",AK277)</f>
        <v>5893.62</v>
      </c>
      <c r="AG277" s="20">
        <f t="shared" ca="1" si="67"/>
        <v>45706</v>
      </c>
      <c r="AH277" s="22">
        <f t="shared" ca="1" si="62"/>
        <v>45698</v>
      </c>
      <c r="AI277" s="22">
        <f t="shared" ca="1" si="63"/>
        <v>45691</v>
      </c>
      <c r="AJ277" s="22">
        <f t="shared" ca="1" si="64"/>
        <v>45674</v>
      </c>
      <c r="AK277" s="22">
        <f t="shared" ca="1" si="65"/>
        <v>45614</v>
      </c>
      <c r="AL277" s="22">
        <f t="shared" ca="1" si="66"/>
        <v>45527</v>
      </c>
    </row>
    <row r="278" spans="4:38" x14ac:dyDescent="0.25">
      <c r="D278" s="6">
        <f ca="1"/>
        <v>45702</v>
      </c>
      <c r="E278" s="28">
        <f ca="1"/>
        <v>196.85</v>
      </c>
      <c r="F278" s="29" cm="1">
        <f t="array" aca="1" ref="F278" ca="1">_xll.FDS($E$7,"P_BETA_LOCIDX("&amp;$AG278&amp;","&amp;$AL278&amp;",,"""&amp;$E$9&amp;""")")</f>
        <v>1.5723176000000001</v>
      </c>
      <c r="G278" s="30">
        <f t="shared" ref="G278:J341" ca="1" si="70">+O278-K278</f>
        <v>3.5717489608364399E-2</v>
      </c>
      <c r="H278" s="30">
        <f t="shared" ca="1" si="70"/>
        <v>4.4766221006291657E-2</v>
      </c>
      <c r="I278" s="30">
        <f t="shared" ca="1" si="70"/>
        <v>-3.0425017775570336E-2</v>
      </c>
      <c r="J278" s="30">
        <f t="shared" ca="1" si="68"/>
        <v>-0.10158286976134147</v>
      </c>
      <c r="K278" s="30">
        <f t="shared" ref="K278:N341" ca="1" si="71">+X278*$F278</f>
        <v>2.3128188407880119E-2</v>
      </c>
      <c r="L278" s="30">
        <f t="shared" ca="1" si="71"/>
        <v>1.9287833047762302E-2</v>
      </c>
      <c r="M278" s="30">
        <f t="shared" ca="1" si="71"/>
        <v>4.6949675663512443E-2</v>
      </c>
      <c r="N278" s="30">
        <f t="shared" ca="1" si="69"/>
        <v>6.5352759602222768E-2</v>
      </c>
      <c r="O278" s="30">
        <f t="shared" ref="O278:O341" ca="1" si="72">+S278/T278-1</f>
        <v>5.8845678016244518E-2</v>
      </c>
      <c r="P278" s="30">
        <f t="shared" ref="P278:P341" ca="1" si="73">+S278/U278-1</f>
        <v>6.4054054054053955E-2</v>
      </c>
      <c r="Q278" s="30">
        <f t="shared" ref="Q278:Q341" ca="1" si="74">+S278/V278-1</f>
        <v>1.6524657887942107E-2</v>
      </c>
      <c r="R278" s="30">
        <f t="shared" ref="R278:R341" ca="1" si="75">+S278/W278-1</f>
        <v>-3.62301101591187E-2</v>
      </c>
      <c r="S278" s="9" cm="1">
        <f t="array" aca="1" ref="S278" ca="1">_xll.BDH($E$6,"PX LAST",AG278)</f>
        <v>196.85</v>
      </c>
      <c r="T278" s="9" cm="1">
        <f t="array" aca="1" ref="T278" ca="1">_xll.BDH($E$6,"PX LAST",AH278)</f>
        <v>185.91</v>
      </c>
      <c r="U278" s="9" cm="1">
        <f t="array" aca="1" ref="U278" ca="1">_xll.BDH($E$6,"PX LAST",AI278)</f>
        <v>185</v>
      </c>
      <c r="V278" s="9" cm="1">
        <f t="array" aca="1" ref="V278" ca="1">_xll.BDH($E$6,"PX LAST",AJ278)</f>
        <v>193.65</v>
      </c>
      <c r="W278" s="9" cm="1">
        <f t="array" aca="1" ref="W278" ca="1">_xll.BDH($E$6,"PX LAST",AK278)</f>
        <v>204.25</v>
      </c>
      <c r="X278" s="24">
        <f t="shared" ref="X278:X341" ca="1" si="76">+AB278/AC278-1</f>
        <v>1.4709616179250373E-2</v>
      </c>
      <c r="Y278" s="24">
        <f t="shared" ref="Y278:Y341" ca="1" si="77">+AB278/AD278-1</f>
        <v>1.2267135499699489E-2</v>
      </c>
      <c r="Z278" s="24">
        <f t="shared" ref="Z278:Z341" ca="1" si="78">+AB278/AE278-1</f>
        <v>2.9860173074137464E-2</v>
      </c>
      <c r="AA278" s="24">
        <f t="shared" ref="AA278:AA341" ca="1" si="79">+AB278/AF278-1</f>
        <v>4.156460476065571E-2</v>
      </c>
      <c r="AB278" s="9" cm="1">
        <f t="array" aca="1" ref="AB278" ca="1">_xll.BDH($E$8,"PX LAST",AG278)</f>
        <v>6114.63</v>
      </c>
      <c r="AC278" s="9" cm="1">
        <f t="array" aca="1" ref="AC278" ca="1">_xll.BDH($E$8,"PX LAST",AH278)</f>
        <v>6025.99</v>
      </c>
      <c r="AD278" s="9" cm="1">
        <f t="array" aca="1" ref="AD278" ca="1">_xll.BDH($E$8,"PX LAST",AI278)</f>
        <v>6040.53</v>
      </c>
      <c r="AE278" s="9" cm="1">
        <f t="array" aca="1" ref="AE278" ca="1">_xll.BDH($E$8,"PX LAST",AJ278)</f>
        <v>5937.34</v>
      </c>
      <c r="AF278" s="9" cm="1">
        <f t="array" aca="1" ref="AF278" ca="1">_xll.BDH($E$8,"PX LAST",AK278)</f>
        <v>5870.62</v>
      </c>
      <c r="AG278" s="20">
        <f t="shared" ca="1" si="67"/>
        <v>45702</v>
      </c>
      <c r="AH278" s="22">
        <f t="shared" ref="AH278:AH341" ca="1" si="80">+WORKDAY($AG278, -5, $AN$2:$AN$100)</f>
        <v>45695</v>
      </c>
      <c r="AI278" s="22">
        <f t="shared" ref="AI278:AI341" ca="1" si="81">+WORKDAY($AG278, -10, $AN$2:$AN$100)</f>
        <v>45688</v>
      </c>
      <c r="AJ278" s="22">
        <f t="shared" ref="AJ278:AJ341" ca="1" si="82">+WORKDAY($AG278, -20, $AN$2:$AN$100)</f>
        <v>45673</v>
      </c>
      <c r="AK278" s="22">
        <f t="shared" ref="AK278:AK341" ca="1" si="83">+WORKDAY($AG278, -60, $AN$2:$AN$100)</f>
        <v>45611</v>
      </c>
      <c r="AL278" s="22">
        <f t="shared" ref="AL278:AL341" ca="1" si="84">+WORKDAY($AG278, -120, $AN$2:$AN$100)</f>
        <v>45526</v>
      </c>
    </row>
    <row r="279" spans="4:38" x14ac:dyDescent="0.25">
      <c r="D279" s="6">
        <f ca="1"/>
        <v>45701</v>
      </c>
      <c r="E279" s="28">
        <f ca="1"/>
        <v>193.67</v>
      </c>
      <c r="F279" s="29" cm="1">
        <f t="array" aca="1" ref="F279" ca="1">_xll.FDS($E$7,"P_BETA_LOCIDX("&amp;$AG279&amp;","&amp;$AL279&amp;",,"""&amp;$E$9&amp;""")")</f>
        <v>1.5812984000000001</v>
      </c>
      <c r="G279" s="30">
        <f t="shared" ca="1" si="70"/>
        <v>2.2300679214985651E-2</v>
      </c>
      <c r="H279" s="30">
        <f t="shared" ca="1" si="70"/>
        <v>1.1164665486373179E-2</v>
      </c>
      <c r="I279" s="30">
        <f t="shared" ca="1" si="70"/>
        <v>-2.2481945593279373E-2</v>
      </c>
      <c r="J279" s="30">
        <f t="shared" ca="1" si="68"/>
        <v>-0.11245321564213764</v>
      </c>
      <c r="K279" s="30">
        <f t="shared" ca="1" si="71"/>
        <v>8.1877745468531878E-3</v>
      </c>
      <c r="L279" s="30">
        <f t="shared" ca="1" si="71"/>
        <v>1.143420457012401E-2</v>
      </c>
      <c r="M279" s="30">
        <f t="shared" ca="1" si="71"/>
        <v>4.3894318358428774E-2</v>
      </c>
      <c r="N279" s="30">
        <f t="shared" ca="1" si="69"/>
        <v>4.4096471366594024E-2</v>
      </c>
      <c r="O279" s="30">
        <f t="shared" ca="1" si="72"/>
        <v>3.0488453761838841E-2</v>
      </c>
      <c r="P279" s="30">
        <f t="shared" ca="1" si="73"/>
        <v>2.2598870056497189E-2</v>
      </c>
      <c r="Q279" s="30">
        <f t="shared" ca="1" si="74"/>
        <v>2.1412372765149401E-2</v>
      </c>
      <c r="R279" s="30">
        <f t="shared" ca="1" si="75"/>
        <v>-6.8356744275543613E-2</v>
      </c>
      <c r="S279" s="9" cm="1">
        <f t="array" aca="1" ref="S279" ca="1">_xll.BDH($E$6,"PX LAST",AG279)</f>
        <v>193.67</v>
      </c>
      <c r="T279" s="9" cm="1">
        <f t="array" aca="1" ref="T279" ca="1">_xll.BDH($E$6,"PX LAST",AH279)</f>
        <v>187.94</v>
      </c>
      <c r="U279" s="9" cm="1">
        <f t="array" aca="1" ref="U279" ca="1">_xll.BDH($E$6,"PX LAST",AI279)</f>
        <v>189.39</v>
      </c>
      <c r="V279" s="9" cm="1">
        <f t="array" aca="1" ref="V279" ca="1">_xll.BDH($E$6,"PX LAST",AJ279)</f>
        <v>189.61</v>
      </c>
      <c r="W279" s="9" cm="1">
        <f t="array" aca="1" ref="W279" ca="1">_xll.BDH($E$6,"PX LAST",AK279)</f>
        <v>207.88</v>
      </c>
      <c r="X279" s="24">
        <f t="shared" ca="1" si="76"/>
        <v>5.1778807509406111E-3</v>
      </c>
      <c r="Y279" s="24">
        <f t="shared" ca="1" si="77"/>
        <v>7.2308961864022692E-3</v>
      </c>
      <c r="Z279" s="24">
        <f t="shared" ca="1" si="78"/>
        <v>2.775840306828159E-2</v>
      </c>
      <c r="AA279" s="24">
        <f t="shared" ca="1" si="79"/>
        <v>2.7886242954899609E-2</v>
      </c>
      <c r="AB279" s="9" cm="1">
        <f t="array" aca="1" ref="AB279" ca="1">_xll.BDH($E$8,"PX LAST",AG279)</f>
        <v>6115.07</v>
      </c>
      <c r="AC279" s="9" cm="1">
        <f t="array" aca="1" ref="AC279" ca="1">_xll.BDH($E$8,"PX LAST",AH279)</f>
        <v>6083.57</v>
      </c>
      <c r="AD279" s="9" cm="1">
        <f t="array" aca="1" ref="AD279" ca="1">_xll.BDH($E$8,"PX LAST",AI279)</f>
        <v>6071.17</v>
      </c>
      <c r="AE279" s="9" cm="1">
        <f t="array" aca="1" ref="AE279" ca="1">_xll.BDH($E$8,"PX LAST",AJ279)</f>
        <v>5949.91</v>
      </c>
      <c r="AF279" s="9" cm="1">
        <f t="array" aca="1" ref="AF279" ca="1">_xll.BDH($E$8,"PX LAST",AK279)</f>
        <v>5949.17</v>
      </c>
      <c r="AG279" s="20">
        <f t="shared" ref="AG279:AG342" ca="1" si="85">+WORKDAY(D279, 0, $AN$2:$AN$59)</f>
        <v>45701</v>
      </c>
      <c r="AH279" s="22">
        <f t="shared" ca="1" si="80"/>
        <v>45694</v>
      </c>
      <c r="AI279" s="22">
        <f t="shared" ca="1" si="81"/>
        <v>45687</v>
      </c>
      <c r="AJ279" s="22">
        <f t="shared" ca="1" si="82"/>
        <v>45672</v>
      </c>
      <c r="AK279" s="22">
        <f t="shared" ca="1" si="83"/>
        <v>45610</v>
      </c>
      <c r="AL279" s="22">
        <f t="shared" ca="1" si="84"/>
        <v>45525</v>
      </c>
    </row>
    <row r="280" spans="4:38" x14ac:dyDescent="0.25">
      <c r="D280" s="6">
        <f ca="1"/>
        <v>45700</v>
      </c>
      <c r="E280" s="28">
        <f ca="1"/>
        <v>193.32</v>
      </c>
      <c r="F280" s="29" cm="1">
        <f t="array" aca="1" ref="F280" ca="1">_xll.FDS($E$7,"P_BETA_LOCIDX("&amp;$AG280&amp;","&amp;$AL280&amp;",,"""&amp;$E$9&amp;""")")</f>
        <v>1.6027114</v>
      </c>
      <c r="G280" s="30">
        <f t="shared" ca="1" si="70"/>
        <v>4.0808747584024925E-2</v>
      </c>
      <c r="H280" s="30">
        <f t="shared" ca="1" si="70"/>
        <v>3.2431117902849214E-2</v>
      </c>
      <c r="I280" s="30">
        <f t="shared" ca="1" si="70"/>
        <v>-3.3567199094098395E-2</v>
      </c>
      <c r="J280" s="30">
        <f t="shared" ca="1" si="68"/>
        <v>-8.4143358155843839E-2</v>
      </c>
      <c r="K280" s="30">
        <f t="shared" ca="1" si="71"/>
        <v>-2.5145319977957843E-3</v>
      </c>
      <c r="L280" s="30">
        <f t="shared" ca="1" si="71"/>
        <v>3.3597093581882237E-3</v>
      </c>
      <c r="M280" s="30">
        <f t="shared" ca="1" si="71"/>
        <v>5.7345200470998177E-2</v>
      </c>
      <c r="N280" s="30">
        <f t="shared" ca="1" si="69"/>
        <v>1.7830873248816485E-2</v>
      </c>
      <c r="O280" s="30">
        <f t="shared" ca="1" si="72"/>
        <v>3.8294215586229141E-2</v>
      </c>
      <c r="P280" s="30">
        <f t="shared" ca="1" si="73"/>
        <v>3.5790827261037439E-2</v>
      </c>
      <c r="Q280" s="30">
        <f t="shared" ca="1" si="74"/>
        <v>2.3778001376899782E-2</v>
      </c>
      <c r="R280" s="30">
        <f t="shared" ca="1" si="75"/>
        <v>-6.6312484907027347E-2</v>
      </c>
      <c r="S280" s="9" cm="1">
        <f t="array" aca="1" ref="S280" ca="1">_xll.BDH($E$6,"PX LAST",AG280)</f>
        <v>193.32</v>
      </c>
      <c r="T280" s="9" cm="1">
        <f t="array" aca="1" ref="T280" ca="1">_xll.BDH($E$6,"PX LAST",AH280)</f>
        <v>186.19</v>
      </c>
      <c r="U280" s="9" cm="1">
        <f t="array" aca="1" ref="U280" ca="1">_xll.BDH($E$6,"PX LAST",AI280)</f>
        <v>186.64</v>
      </c>
      <c r="V280" s="9" cm="1">
        <f t="array" aca="1" ref="V280" ca="1">_xll.BDH($E$6,"PX LAST",AJ280)</f>
        <v>188.83</v>
      </c>
      <c r="W280" s="9" cm="1">
        <f t="array" aca="1" ref="W280" ca="1">_xll.BDH($E$6,"PX LAST",AK280)</f>
        <v>207.05</v>
      </c>
      <c r="X280" s="24">
        <f t="shared" ca="1" si="76"/>
        <v>-1.5689237611935525E-3</v>
      </c>
      <c r="Y280" s="24">
        <f t="shared" ca="1" si="77"/>
        <v>2.0962659641581283E-3</v>
      </c>
      <c r="Z280" s="24">
        <f t="shared" ca="1" si="78"/>
        <v>3.5780116414594776E-2</v>
      </c>
      <c r="AA280" s="24">
        <f t="shared" ca="1" si="79"/>
        <v>1.1125442327805546E-2</v>
      </c>
      <c r="AB280" s="9" cm="1">
        <f t="array" aca="1" ref="AB280" ca="1">_xll.BDH($E$8,"PX LAST",AG280)</f>
        <v>6051.97</v>
      </c>
      <c r="AC280" s="9" cm="1">
        <f t="array" aca="1" ref="AC280" ca="1">_xll.BDH($E$8,"PX LAST",AH280)</f>
        <v>6061.48</v>
      </c>
      <c r="AD280" s="9" cm="1">
        <f t="array" aca="1" ref="AD280" ca="1">_xll.BDH($E$8,"PX LAST",AI280)</f>
        <v>6039.31</v>
      </c>
      <c r="AE280" s="9" cm="1">
        <f t="array" aca="1" ref="AE280" ca="1">_xll.BDH($E$8,"PX LAST",AJ280)</f>
        <v>5842.91</v>
      </c>
      <c r="AF280" s="9" cm="1">
        <f t="array" aca="1" ref="AF280" ca="1">_xll.BDH($E$8,"PX LAST",AK280)</f>
        <v>5985.38</v>
      </c>
      <c r="AG280" s="20">
        <f t="shared" ca="1" si="85"/>
        <v>45700</v>
      </c>
      <c r="AH280" s="22">
        <f t="shared" ca="1" si="80"/>
        <v>45693</v>
      </c>
      <c r="AI280" s="22">
        <f t="shared" ca="1" si="81"/>
        <v>45686</v>
      </c>
      <c r="AJ280" s="22">
        <f t="shared" ca="1" si="82"/>
        <v>45671</v>
      </c>
      <c r="AK280" s="22">
        <f t="shared" ca="1" si="83"/>
        <v>45609</v>
      </c>
      <c r="AL280" s="22">
        <f t="shared" ca="1" si="84"/>
        <v>45524</v>
      </c>
    </row>
    <row r="281" spans="4:38" x14ac:dyDescent="0.25">
      <c r="D281" s="6">
        <f ca="1"/>
        <v>45699</v>
      </c>
      <c r="E281" s="28">
        <f ca="1"/>
        <v>188.42</v>
      </c>
      <c r="F281" s="29" cm="1">
        <f t="array" aca="1" ref="F281" ca="1">_xll.FDS($E$7,"P_BETA_LOCIDX("&amp;$AG281&amp;","&amp;$AL281&amp;",,"""&amp;$E$9&amp;""")")</f>
        <v>1.6096722999999999</v>
      </c>
      <c r="G281" s="30">
        <f t="shared" ca="1" si="70"/>
        <v>2.819347847907781E-2</v>
      </c>
      <c r="H281" s="30">
        <f t="shared" ca="1" si="70"/>
        <v>1.9597254241645663E-2</v>
      </c>
      <c r="I281" s="30">
        <f t="shared" ca="1" si="70"/>
        <v>-2.7992824875589628E-2</v>
      </c>
      <c r="J281" s="30">
        <f t="shared" ca="1" si="68"/>
        <v>-0.10068738312826135</v>
      </c>
      <c r="K281" s="30">
        <f t="shared" ca="1" si="71"/>
        <v>8.1631575695442389E-3</v>
      </c>
      <c r="L281" s="30">
        <f t="shared" ca="1" si="71"/>
        <v>2.1222833033956236E-4</v>
      </c>
      <c r="M281" s="30">
        <f t="shared" ca="1" si="71"/>
        <v>6.4064528383782626E-2</v>
      </c>
      <c r="N281" s="30">
        <f t="shared" ca="1" si="69"/>
        <v>2.2732893282408614E-2</v>
      </c>
      <c r="O281" s="30">
        <f t="shared" ca="1" si="72"/>
        <v>3.6356636048622049E-2</v>
      </c>
      <c r="P281" s="30">
        <f t="shared" ca="1" si="73"/>
        <v>1.9809482571985226E-2</v>
      </c>
      <c r="Q281" s="30">
        <f t="shared" ca="1" si="74"/>
        <v>3.6071703508192998E-2</v>
      </c>
      <c r="R281" s="30">
        <f t="shared" ca="1" si="75"/>
        <v>-7.7954489845852737E-2</v>
      </c>
      <c r="S281" s="9" cm="1">
        <f t="array" aca="1" ref="S281" ca="1">_xll.BDH($E$6,"PX LAST",AG281)</f>
        <v>188.42</v>
      </c>
      <c r="T281" s="9" cm="1">
        <f t="array" aca="1" ref="T281" ca="1">_xll.BDH($E$6,"PX LAST",AH281)</f>
        <v>181.81</v>
      </c>
      <c r="U281" s="9" cm="1">
        <f t="array" aca="1" ref="U281" ca="1">_xll.BDH($E$6,"PX LAST",AI281)</f>
        <v>184.76</v>
      </c>
      <c r="V281" s="9" cm="1">
        <f t="array" aca="1" ref="V281" ca="1">_xll.BDH($E$6,"PX LAST",AJ281)</f>
        <v>181.86</v>
      </c>
      <c r="W281" s="9" cm="1">
        <f t="array" aca="1" ref="W281" ca="1">_xll.BDH($E$6,"PX LAST",AK281)</f>
        <v>204.35</v>
      </c>
      <c r="X281" s="24">
        <f t="shared" ca="1" si="76"/>
        <v>5.0713164223203933E-3</v>
      </c>
      <c r="Y281" s="24">
        <f t="shared" ca="1" si="77"/>
        <v>1.3184567463797592E-4</v>
      </c>
      <c r="Z281" s="24">
        <f t="shared" ca="1" si="78"/>
        <v>3.9799733389077163E-2</v>
      </c>
      <c r="AA281" s="24">
        <f t="shared" ca="1" si="79"/>
        <v>1.4122684028549548E-2</v>
      </c>
      <c r="AB281" s="9" cm="1">
        <f t="array" aca="1" ref="AB281" ca="1">_xll.BDH($E$8,"PX LAST",AG281)</f>
        <v>6068.5</v>
      </c>
      <c r="AC281" s="9" cm="1">
        <f t="array" aca="1" ref="AC281" ca="1">_xll.BDH($E$8,"PX LAST",AH281)</f>
        <v>6037.88</v>
      </c>
      <c r="AD281" s="9" cm="1">
        <f t="array" aca="1" ref="AD281" ca="1">_xll.BDH($E$8,"PX LAST",AI281)</f>
        <v>6067.7</v>
      </c>
      <c r="AE281" s="9" cm="1">
        <f t="array" aca="1" ref="AE281" ca="1">_xll.BDH($E$8,"PX LAST",AJ281)</f>
        <v>5836.22</v>
      </c>
      <c r="AF281" s="9" cm="1">
        <f t="array" aca="1" ref="AF281" ca="1">_xll.BDH($E$8,"PX LAST",AK281)</f>
        <v>5983.99</v>
      </c>
      <c r="AG281" s="20">
        <f t="shared" ca="1" si="85"/>
        <v>45699</v>
      </c>
      <c r="AH281" s="22">
        <f t="shared" ca="1" si="80"/>
        <v>45692</v>
      </c>
      <c r="AI281" s="22">
        <f t="shared" ca="1" si="81"/>
        <v>45685</v>
      </c>
      <c r="AJ281" s="22">
        <f t="shared" ca="1" si="82"/>
        <v>45670</v>
      </c>
      <c r="AK281" s="22">
        <f t="shared" ca="1" si="83"/>
        <v>45608</v>
      </c>
      <c r="AL281" s="22">
        <f t="shared" ca="1" si="84"/>
        <v>45523</v>
      </c>
    </row>
    <row r="282" spans="4:38" x14ac:dyDescent="0.25">
      <c r="D282" s="6">
        <f ca="1"/>
        <v>45698</v>
      </c>
      <c r="E282" s="28">
        <f ca="1"/>
        <v>185.3</v>
      </c>
      <c r="F282" s="29" cm="1">
        <f t="array" aca="1" ref="F282" ca="1">_xll.FDS($E$7,"P_BETA_LOCIDX("&amp;$AG282&amp;","&amp;$AL282&amp;",,"""&amp;$E$9&amp;""")")</f>
        <v>1.6077862999999999</v>
      </c>
      <c r="G282" s="30">
        <f t="shared" ca="1" si="70"/>
        <v>4.254666394046841E-3</v>
      </c>
      <c r="H282" s="30">
        <f t="shared" ca="1" si="70"/>
        <v>6.2283803873823818E-3</v>
      </c>
      <c r="I282" s="30">
        <f t="shared" ca="1" si="70"/>
        <v>-2.5394361926129552E-2</v>
      </c>
      <c r="J282" s="30">
        <f t="shared" ca="1" si="68"/>
        <v>-0.13248635232773998</v>
      </c>
      <c r="K282" s="30">
        <f t="shared" ca="1" si="71"/>
        <v>1.927604505093769E-2</v>
      </c>
      <c r="L282" s="30">
        <f t="shared" ca="1" si="71"/>
        <v>1.4483308496610281E-2</v>
      </c>
      <c r="M282" s="30">
        <f t="shared" ca="1" si="71"/>
        <v>6.6054813459320752E-2</v>
      </c>
      <c r="N282" s="30">
        <f t="shared" ca="1" si="69"/>
        <v>1.7437878188573903E-2</v>
      </c>
      <c r="O282" s="30">
        <f t="shared" ca="1" si="72"/>
        <v>2.3530711444984531E-2</v>
      </c>
      <c r="P282" s="30">
        <f t="shared" ca="1" si="73"/>
        <v>2.0711688883992663E-2</v>
      </c>
      <c r="Q282" s="30">
        <f t="shared" ca="1" si="74"/>
        <v>4.06604515331912E-2</v>
      </c>
      <c r="R282" s="30">
        <f t="shared" ca="1" si="75"/>
        <v>-0.11504847413916608</v>
      </c>
      <c r="S282" s="9" cm="1">
        <f t="array" aca="1" ref="S282" ca="1">_xll.BDH($E$6,"PX LAST",AG282)</f>
        <v>185.3</v>
      </c>
      <c r="T282" s="9" cm="1">
        <f t="array" aca="1" ref="T282" ca="1">_xll.BDH($E$6,"PX LAST",AH282)</f>
        <v>181.04</v>
      </c>
      <c r="U282" s="9" cm="1">
        <f t="array" aca="1" ref="U282" ca="1">_xll.BDH($E$6,"PX LAST",AI282)</f>
        <v>181.54</v>
      </c>
      <c r="V282" s="9" cm="1">
        <f t="array" aca="1" ref="V282" ca="1">_xll.BDH($E$6,"PX LAST",AJ282)</f>
        <v>178.06</v>
      </c>
      <c r="W282" s="9" cm="1">
        <f t="array" aca="1" ref="W282" ca="1">_xll.BDH($E$6,"PX LAST",AK282)</f>
        <v>209.39</v>
      </c>
      <c r="X282" s="24">
        <f t="shared" ca="1" si="76"/>
        <v>1.1989183544441007E-2</v>
      </c>
      <c r="Y282" s="24">
        <f t="shared" ca="1" si="77"/>
        <v>9.0082298229623436E-3</v>
      </c>
      <c r="Z282" s="24">
        <f t="shared" ca="1" si="78"/>
        <v>4.1084324116532622E-2</v>
      </c>
      <c r="AA282" s="24">
        <f t="shared" ca="1" si="79"/>
        <v>1.084589300740646E-2</v>
      </c>
      <c r="AB282" s="9" cm="1">
        <f t="array" aca="1" ref="AB282" ca="1">_xll.BDH($E$8,"PX LAST",AG282)</f>
        <v>6066.44</v>
      </c>
      <c r="AC282" s="9" cm="1">
        <f t="array" aca="1" ref="AC282" ca="1">_xll.BDH($E$8,"PX LAST",AH282)</f>
        <v>5994.57</v>
      </c>
      <c r="AD282" s="9" cm="1">
        <f t="array" aca="1" ref="AD282" ca="1">_xll.BDH($E$8,"PX LAST",AI282)</f>
        <v>6012.28</v>
      </c>
      <c r="AE282" s="9" cm="1">
        <f t="array" aca="1" ref="AE282" ca="1">_xll.BDH($E$8,"PX LAST",AJ282)</f>
        <v>5827.04</v>
      </c>
      <c r="AF282" s="9" cm="1">
        <f t="array" aca="1" ref="AF282" ca="1">_xll.BDH($E$8,"PX LAST",AK282)</f>
        <v>6001.35</v>
      </c>
      <c r="AG282" s="20">
        <f t="shared" ca="1" si="85"/>
        <v>45698</v>
      </c>
      <c r="AH282" s="22">
        <f t="shared" ca="1" si="80"/>
        <v>45691</v>
      </c>
      <c r="AI282" s="22">
        <f t="shared" ca="1" si="81"/>
        <v>45684</v>
      </c>
      <c r="AJ282" s="22">
        <f t="shared" ca="1" si="82"/>
        <v>45667</v>
      </c>
      <c r="AK282" s="22">
        <f t="shared" ca="1" si="83"/>
        <v>45607</v>
      </c>
      <c r="AL282" s="22">
        <f t="shared" ca="1" si="84"/>
        <v>45520</v>
      </c>
    </row>
    <row r="283" spans="4:38" x14ac:dyDescent="0.25">
      <c r="D283" s="6">
        <f ca="1"/>
        <v>45695</v>
      </c>
      <c r="E283" s="28">
        <f ca="1"/>
        <v>185.91</v>
      </c>
      <c r="F283" s="29" cm="1">
        <f t="array" aca="1" ref="F283" ca="1">_xll.FDS($E$7,"P_BETA_LOCIDX("&amp;$AG283&amp;","&amp;$AL283&amp;",,"""&amp;$E$9&amp;""")")</f>
        <v>1.608368</v>
      </c>
      <c r="G283" s="30">
        <f t="shared" ca="1" si="70"/>
        <v>8.7903789927865385E-3</v>
      </c>
      <c r="H283" s="30">
        <f t="shared" ca="1" si="70"/>
        <v>-4.1128853420981201E-2</v>
      </c>
      <c r="I283" s="30">
        <f t="shared" ca="1" si="70"/>
        <v>-1.5759722306614432E-2</v>
      </c>
      <c r="J283" s="30">
        <f t="shared" ca="1" si="68"/>
        <v>-0.10472797195126841</v>
      </c>
      <c r="K283" s="30">
        <f t="shared" ca="1" si="71"/>
        <v>-3.8714600738676036E-3</v>
      </c>
      <c r="L283" s="30">
        <f t="shared" ca="1" si="71"/>
        <v>-1.9836900695596255E-2</v>
      </c>
      <c r="M283" s="30">
        <f t="shared" ca="1" si="71"/>
        <v>2.9279866230727036E-2</v>
      </c>
      <c r="N283" s="30">
        <f t="shared" ca="1" si="69"/>
        <v>8.1685395477306029E-3</v>
      </c>
      <c r="O283" s="30">
        <f t="shared" ca="1" si="72"/>
        <v>4.9189189189189353E-3</v>
      </c>
      <c r="P283" s="30">
        <f t="shared" ca="1" si="73"/>
        <v>-6.0965754116577453E-2</v>
      </c>
      <c r="Q283" s="30">
        <f t="shared" ca="1" si="74"/>
        <v>1.3520143924112604E-2</v>
      </c>
      <c r="R283" s="30">
        <f t="shared" ca="1" si="75"/>
        <v>-9.6559432403537815E-2</v>
      </c>
      <c r="S283" s="9" cm="1">
        <f t="array" aca="1" ref="S283" ca="1">_xll.BDH($E$6,"PX LAST",AG283)</f>
        <v>185.91</v>
      </c>
      <c r="T283" s="9" cm="1">
        <f t="array" aca="1" ref="T283" ca="1">_xll.BDH($E$6,"PX LAST",AH283)</f>
        <v>185</v>
      </c>
      <c r="U283" s="9" cm="1">
        <f t="array" aca="1" ref="U283" ca="1">_xll.BDH($E$6,"PX LAST",AI283)</f>
        <v>197.98</v>
      </c>
      <c r="V283" s="9" cm="1">
        <f t="array" aca="1" ref="V283" ca="1">_xll.BDH($E$6,"PX LAST",AJ283)</f>
        <v>183.43</v>
      </c>
      <c r="W283" s="9" cm="1">
        <f t="array" aca="1" ref="W283" ca="1">_xll.BDH($E$6,"PX LAST",AK283)</f>
        <v>205.78</v>
      </c>
      <c r="X283" s="24">
        <f t="shared" ca="1" si="76"/>
        <v>-2.4070735514929442E-3</v>
      </c>
      <c r="Y283" s="24">
        <f t="shared" ca="1" si="77"/>
        <v>-1.233355842418915E-2</v>
      </c>
      <c r="Z283" s="24">
        <f t="shared" ca="1" si="78"/>
        <v>1.8204705782959518E-2</v>
      </c>
      <c r="AA283" s="24">
        <f t="shared" ca="1" si="79"/>
        <v>5.0787752229157768E-3</v>
      </c>
      <c r="AB283" s="9" cm="1">
        <f t="array" aca="1" ref="AB283" ca="1">_xll.BDH($E$8,"PX LAST",AG283)</f>
        <v>6025.99</v>
      </c>
      <c r="AC283" s="9" cm="1">
        <f t="array" aca="1" ref="AC283" ca="1">_xll.BDH($E$8,"PX LAST",AH283)</f>
        <v>6040.53</v>
      </c>
      <c r="AD283" s="9" cm="1">
        <f t="array" aca="1" ref="AD283" ca="1">_xll.BDH($E$8,"PX LAST",AI283)</f>
        <v>6101.24</v>
      </c>
      <c r="AE283" s="9" cm="1">
        <f t="array" aca="1" ref="AE283" ca="1">_xll.BDH($E$8,"PX LAST",AJ283)</f>
        <v>5918.25</v>
      </c>
      <c r="AF283" s="9" cm="1">
        <f t="array" aca="1" ref="AF283" ca="1">_xll.BDH($E$8,"PX LAST",AK283)</f>
        <v>5995.54</v>
      </c>
      <c r="AG283" s="20">
        <f t="shared" ca="1" si="85"/>
        <v>45695</v>
      </c>
      <c r="AH283" s="22">
        <f t="shared" ca="1" si="80"/>
        <v>45688</v>
      </c>
      <c r="AI283" s="22">
        <f t="shared" ca="1" si="81"/>
        <v>45681</v>
      </c>
      <c r="AJ283" s="22">
        <f t="shared" ca="1" si="82"/>
        <v>45665</v>
      </c>
      <c r="AK283" s="22">
        <f t="shared" ca="1" si="83"/>
        <v>45604</v>
      </c>
      <c r="AL283" s="22">
        <f t="shared" ca="1" si="84"/>
        <v>45519</v>
      </c>
    </row>
    <row r="284" spans="4:38" x14ac:dyDescent="0.25">
      <c r="D284" s="6">
        <f ca="1"/>
        <v>45694</v>
      </c>
      <c r="E284" s="28">
        <f ca="1"/>
        <v>187.94</v>
      </c>
      <c r="F284" s="29" cm="1">
        <f t="array" aca="1" ref="F284" ca="1">_xll.FDS($E$7,"P_BETA_LOCIDX("&amp;$AG284&amp;","&amp;$AL284&amp;",,"""&amp;$E$9&amp;""")")</f>
        <v>1.6107973</v>
      </c>
      <c r="G284" s="30">
        <f t="shared" ca="1" si="70"/>
        <v>-1.0946115964856938E-2</v>
      </c>
      <c r="H284" s="30">
        <f t="shared" ca="1" si="70"/>
        <v>-3.6593670549014565E-2</v>
      </c>
      <c r="I284" s="30">
        <f t="shared" ca="1" si="70"/>
        <v>-2.6832138944950824E-2</v>
      </c>
      <c r="J284" s="30">
        <f t="shared" ca="1" si="68"/>
        <v>-0.12514602003846728</v>
      </c>
      <c r="K284" s="30">
        <f t="shared" ca="1" si="71"/>
        <v>3.2899567167446893E-3</v>
      </c>
      <c r="L284" s="30">
        <f t="shared" ca="1" si="71"/>
        <v>-9.2508743055318005E-3</v>
      </c>
      <c r="M284" s="30">
        <f t="shared" ca="1" si="71"/>
        <v>4.7579477637108104E-2</v>
      </c>
      <c r="N284" s="30">
        <f t="shared" ca="1" si="69"/>
        <v>2.9791026055314435E-2</v>
      </c>
      <c r="O284" s="30">
        <f t="shared" ca="1" si="72"/>
        <v>-7.6561592481122487E-3</v>
      </c>
      <c r="P284" s="30">
        <f t="shared" ca="1" si="73"/>
        <v>-4.5844544854546365E-2</v>
      </c>
      <c r="Q284" s="30">
        <f t="shared" ca="1" si="74"/>
        <v>2.074733869215728E-2</v>
      </c>
      <c r="R284" s="30">
        <f t="shared" ca="1" si="75"/>
        <v>-9.5354993983152836E-2</v>
      </c>
      <c r="S284" s="9" cm="1">
        <f t="array" aca="1" ref="S284" ca="1">_xll.BDH($E$6,"PX LAST",AG284)</f>
        <v>187.94</v>
      </c>
      <c r="T284" s="9" cm="1">
        <f t="array" aca="1" ref="T284" ca="1">_xll.BDH($E$6,"PX LAST",AH284)</f>
        <v>189.39</v>
      </c>
      <c r="U284" s="9" cm="1">
        <f t="array" aca="1" ref="U284" ca="1">_xll.BDH($E$6,"PX LAST",AI284)</f>
        <v>196.97</v>
      </c>
      <c r="V284" s="9" cm="1">
        <f t="array" aca="1" ref="V284" ca="1">_xll.BDH($E$6,"PX LAST",AJ284)</f>
        <v>184.12</v>
      </c>
      <c r="W284" s="9" cm="1">
        <f t="array" aca="1" ref="W284" ca="1">_xll.BDH($E$6,"PX LAST",AK284)</f>
        <v>207.75</v>
      </c>
      <c r="X284" s="24">
        <f t="shared" ca="1" si="76"/>
        <v>2.0424399250884573E-3</v>
      </c>
      <c r="Y284" s="24">
        <f t="shared" ca="1" si="77"/>
        <v>-5.74304060823283E-3</v>
      </c>
      <c r="Z284" s="24">
        <f t="shared" ca="1" si="78"/>
        <v>2.9537842928534896E-2</v>
      </c>
      <c r="AA284" s="24">
        <f t="shared" ca="1" si="79"/>
        <v>1.8494584051832241E-2</v>
      </c>
      <c r="AB284" s="9" cm="1">
        <f t="array" aca="1" ref="AB284" ca="1">_xll.BDH($E$8,"PX LAST",AG284)</f>
        <v>6083.57</v>
      </c>
      <c r="AC284" s="9" cm="1">
        <f t="array" aca="1" ref="AC284" ca="1">_xll.BDH($E$8,"PX LAST",AH284)</f>
        <v>6071.17</v>
      </c>
      <c r="AD284" s="9" cm="1">
        <f t="array" aca="1" ref="AD284" ca="1">_xll.BDH($E$8,"PX LAST",AI284)</f>
        <v>6118.71</v>
      </c>
      <c r="AE284" s="9" cm="1">
        <f t="array" aca="1" ref="AE284" ca="1">_xll.BDH($E$8,"PX LAST",AJ284)</f>
        <v>5909.03</v>
      </c>
      <c r="AF284" s="9" cm="1">
        <f t="array" aca="1" ref="AF284" ca="1">_xll.BDH($E$8,"PX LAST",AK284)</f>
        <v>5973.1</v>
      </c>
      <c r="AG284" s="20">
        <f t="shared" ca="1" si="85"/>
        <v>45694</v>
      </c>
      <c r="AH284" s="22">
        <f t="shared" ca="1" si="80"/>
        <v>45687</v>
      </c>
      <c r="AI284" s="22">
        <f t="shared" ca="1" si="81"/>
        <v>45680</v>
      </c>
      <c r="AJ284" s="22">
        <f t="shared" ca="1" si="82"/>
        <v>45664</v>
      </c>
      <c r="AK284" s="22">
        <f t="shared" ca="1" si="83"/>
        <v>45603</v>
      </c>
      <c r="AL284" s="22">
        <f t="shared" ca="1" si="84"/>
        <v>45518</v>
      </c>
    </row>
    <row r="285" spans="4:38" x14ac:dyDescent="0.25">
      <c r="D285" s="6">
        <f ca="1"/>
        <v>45693</v>
      </c>
      <c r="E285" s="28">
        <f ca="1"/>
        <v>186.19</v>
      </c>
      <c r="F285" s="29" cm="1">
        <f t="array" aca="1" ref="F285" ca="1">_xll.FDS($E$7,"P_BETA_LOCIDX("&amp;$AG285&amp;","&amp;$AL285&amp;",,"""&amp;$E$9&amp;""")")</f>
        <v>1.5920532999999999</v>
      </c>
      <c r="G285" s="30">
        <f t="shared" ca="1" si="70"/>
        <v>-8.2554054545027969E-3</v>
      </c>
      <c r="H285" s="30">
        <f t="shared" ca="1" si="70"/>
        <v>-5.8847517741628656E-2</v>
      </c>
      <c r="I285" s="30">
        <f t="shared" ca="1" si="70"/>
        <v>-9.8265904363650548E-3</v>
      </c>
      <c r="J285" s="30">
        <f t="shared" ca="1" si="68"/>
        <v>-0.15925055919414216</v>
      </c>
      <c r="K285" s="30">
        <f t="shared" ca="1" si="71"/>
        <v>5.844346731828245E-3</v>
      </c>
      <c r="L285" s="30">
        <f t="shared" ca="1" si="71"/>
        <v>-6.5106470091369573E-3</v>
      </c>
      <c r="M285" s="30">
        <f t="shared" ca="1" si="71"/>
        <v>2.294009571441483E-2</v>
      </c>
      <c r="N285" s="30">
        <f t="shared" ca="1" si="69"/>
        <v>3.5562509116484106E-2</v>
      </c>
      <c r="O285" s="30">
        <f t="shared" ca="1" si="72"/>
        <v>-2.4110587226745528E-3</v>
      </c>
      <c r="P285" s="30">
        <f t="shared" ca="1" si="73"/>
        <v>-6.5358164750765613E-2</v>
      </c>
      <c r="Q285" s="30">
        <f t="shared" ca="1" si="74"/>
        <v>1.3113505278049775E-2</v>
      </c>
      <c r="R285" s="30">
        <f t="shared" ca="1" si="75"/>
        <v>-0.12368805007765804</v>
      </c>
      <c r="S285" s="9" cm="1">
        <f t="array" aca="1" ref="S285" ca="1">_xll.BDH($E$6,"PX LAST",AG285)</f>
        <v>186.19</v>
      </c>
      <c r="T285" s="9" cm="1">
        <f t="array" aca="1" ref="T285" ca="1">_xll.BDH($E$6,"PX LAST",AH285)</f>
        <v>186.64</v>
      </c>
      <c r="U285" s="9" cm="1">
        <f t="array" aca="1" ref="U285" ca="1">_xll.BDH($E$6,"PX LAST",AI285)</f>
        <v>199.21</v>
      </c>
      <c r="V285" s="9" cm="1">
        <f t="array" aca="1" ref="V285" ca="1">_xll.BDH($E$6,"PX LAST",AJ285)</f>
        <v>183.78</v>
      </c>
      <c r="W285" s="9" cm="1">
        <f t="array" aca="1" ref="W285" ca="1">_xll.BDH($E$6,"PX LAST",AK285)</f>
        <v>212.47</v>
      </c>
      <c r="X285" s="24">
        <f t="shared" ca="1" si="76"/>
        <v>3.6709491647222148E-3</v>
      </c>
      <c r="Y285" s="24">
        <f t="shared" ca="1" si="77"/>
        <v>-4.0894654777807737E-3</v>
      </c>
      <c r="Z285" s="24">
        <f t="shared" ca="1" si="78"/>
        <v>1.44091254447416E-2</v>
      </c>
      <c r="AA285" s="24">
        <f t="shared" ca="1" si="79"/>
        <v>2.2337511637634311E-2</v>
      </c>
      <c r="AB285" s="9" cm="1">
        <f t="array" aca="1" ref="AB285" ca="1">_xll.BDH($E$8,"PX LAST",AG285)</f>
        <v>6061.48</v>
      </c>
      <c r="AC285" s="9" cm="1">
        <f t="array" aca="1" ref="AC285" ca="1">_xll.BDH($E$8,"PX LAST",AH285)</f>
        <v>6039.31</v>
      </c>
      <c r="AD285" s="9" cm="1">
        <f t="array" aca="1" ref="AD285" ca="1">_xll.BDH($E$8,"PX LAST",AI285)</f>
        <v>6086.37</v>
      </c>
      <c r="AE285" s="9" cm="1">
        <f t="array" aca="1" ref="AE285" ca="1">_xll.BDH($E$8,"PX LAST",AJ285)</f>
        <v>5975.38</v>
      </c>
      <c r="AF285" s="9" cm="1">
        <f t="array" aca="1" ref="AF285" ca="1">_xll.BDH($E$8,"PX LAST",AK285)</f>
        <v>5929.04</v>
      </c>
      <c r="AG285" s="20">
        <f t="shared" ca="1" si="85"/>
        <v>45693</v>
      </c>
      <c r="AH285" s="22">
        <f t="shared" ca="1" si="80"/>
        <v>45686</v>
      </c>
      <c r="AI285" s="22">
        <f t="shared" ca="1" si="81"/>
        <v>45679</v>
      </c>
      <c r="AJ285" s="22">
        <f t="shared" ca="1" si="82"/>
        <v>45663</v>
      </c>
      <c r="AK285" s="22">
        <f t="shared" ca="1" si="83"/>
        <v>45602</v>
      </c>
      <c r="AL285" s="22">
        <f t="shared" ca="1" si="84"/>
        <v>45517</v>
      </c>
    </row>
    <row r="286" spans="4:38" x14ac:dyDescent="0.25">
      <c r="D286" s="6">
        <f ca="1"/>
        <v>45692</v>
      </c>
      <c r="E286" s="28">
        <f ca="1"/>
        <v>181.81</v>
      </c>
      <c r="F286" s="29" cm="1">
        <f t="array" aca="1" ref="F286" ca="1">_xll.FDS($E$7,"P_BETA_LOCIDX("&amp;$AG286&amp;","&amp;$AL286&amp;",,"""&amp;$E$9&amp;""")")</f>
        <v>1.5878372999999999</v>
      </c>
      <c r="G286" s="30">
        <f t="shared" ca="1" si="70"/>
        <v>-8.1631575818442506E-3</v>
      </c>
      <c r="H286" s="30">
        <f t="shared" ca="1" si="70"/>
        <v>-8.1283301121777812E-2</v>
      </c>
      <c r="I286" s="30">
        <f t="shared" ca="1" si="70"/>
        <v>-2.3399229877019829E-2</v>
      </c>
      <c r="J286" s="30">
        <f t="shared" ca="1" si="68"/>
        <v>-0.10199834169444641</v>
      </c>
      <c r="K286" s="30">
        <f t="shared" ca="1" si="71"/>
        <v>-7.8035018682530927E-3</v>
      </c>
      <c r="L286" s="30">
        <f t="shared" ca="1" si="71"/>
        <v>-2.9818343672924014E-3</v>
      </c>
      <c r="M286" s="30">
        <f t="shared" ca="1" si="71"/>
        <v>2.5493701574093048E-2</v>
      </c>
      <c r="N286" s="30">
        <f t="shared" ca="1" si="69"/>
        <v>7.0051161033139769E-2</v>
      </c>
      <c r="O286" s="30">
        <f t="shared" ca="1" si="72"/>
        <v>-1.5966659450097342E-2</v>
      </c>
      <c r="P286" s="30">
        <f t="shared" ca="1" si="73"/>
        <v>-8.426513548907022E-2</v>
      </c>
      <c r="Q286" s="30">
        <f t="shared" ca="1" si="74"/>
        <v>2.0944716970732191E-3</v>
      </c>
      <c r="R286" s="30">
        <f t="shared" ca="1" si="75"/>
        <v>-3.194718066130664E-2</v>
      </c>
      <c r="S286" s="9" cm="1">
        <f t="array" aca="1" ref="S286" ca="1">_xll.BDH($E$6,"PX LAST",AG286)</f>
        <v>181.81</v>
      </c>
      <c r="T286" s="9" cm="1">
        <f t="array" aca="1" ref="T286" ca="1">_xll.BDH($E$6,"PX LAST",AH286)</f>
        <v>184.76</v>
      </c>
      <c r="U286" s="9" cm="1">
        <f t="array" aca="1" ref="U286" ca="1">_xll.BDH($E$6,"PX LAST",AI286)</f>
        <v>198.54</v>
      </c>
      <c r="V286" s="9" cm="1">
        <f t="array" aca="1" ref="V286" ca="1">_xll.BDH($E$6,"PX LAST",AJ286)</f>
        <v>181.43</v>
      </c>
      <c r="W286" s="9" cm="1">
        <f t="array" aca="1" ref="W286" ca="1">_xll.BDH($E$6,"PX LAST",AK286)</f>
        <v>187.81</v>
      </c>
      <c r="X286" s="24">
        <f t="shared" ca="1" si="76"/>
        <v>-4.9145475221252788E-3</v>
      </c>
      <c r="Y286" s="24">
        <f t="shared" ca="1" si="77"/>
        <v>-1.8779218546461918E-3</v>
      </c>
      <c r="Z286" s="24">
        <f t="shared" ca="1" si="78"/>
        <v>1.605561323826632E-2</v>
      </c>
      <c r="AA286" s="24">
        <f t="shared" ca="1" si="79"/>
        <v>4.4117341892106809E-2</v>
      </c>
      <c r="AB286" s="9" cm="1">
        <f t="array" aca="1" ref="AB286" ca="1">_xll.BDH($E$8,"PX LAST",AG286)</f>
        <v>6037.88</v>
      </c>
      <c r="AC286" s="9" cm="1">
        <f t="array" aca="1" ref="AC286" ca="1">_xll.BDH($E$8,"PX LAST",AH286)</f>
        <v>6067.7</v>
      </c>
      <c r="AD286" s="9" cm="1">
        <f t="array" aca="1" ref="AD286" ca="1">_xll.BDH($E$8,"PX LAST",AI286)</f>
        <v>6049.24</v>
      </c>
      <c r="AE286" s="9" cm="1">
        <f t="array" aca="1" ref="AE286" ca="1">_xll.BDH($E$8,"PX LAST",AJ286)</f>
        <v>5942.47</v>
      </c>
      <c r="AF286" s="9" cm="1">
        <f t="array" aca="1" ref="AF286" ca="1">_xll.BDH($E$8,"PX LAST",AK286)</f>
        <v>5782.76</v>
      </c>
      <c r="AG286" s="20">
        <f t="shared" ca="1" si="85"/>
        <v>45692</v>
      </c>
      <c r="AH286" s="22">
        <f t="shared" ca="1" si="80"/>
        <v>45685</v>
      </c>
      <c r="AI286" s="22">
        <f t="shared" ca="1" si="81"/>
        <v>45678</v>
      </c>
      <c r="AJ286" s="22">
        <f t="shared" ca="1" si="82"/>
        <v>45660</v>
      </c>
      <c r="AK286" s="22">
        <f t="shared" ca="1" si="83"/>
        <v>45601</v>
      </c>
      <c r="AL286" s="22">
        <f t="shared" ca="1" si="84"/>
        <v>45516</v>
      </c>
    </row>
    <row r="287" spans="4:38" x14ac:dyDescent="0.25">
      <c r="D287" s="6">
        <f ca="1"/>
        <v>45691</v>
      </c>
      <c r="E287" s="28">
        <f ca="1"/>
        <v>181.04</v>
      </c>
      <c r="F287" s="29" cm="1">
        <f t="array" aca="1" ref="F287" ca="1">_xll.FDS($E$7,"P_BETA_LOCIDX("&amp;$AG287&amp;","&amp;$AL287&amp;",,"""&amp;$E$9&amp;""")")</f>
        <v>1.5919766</v>
      </c>
      <c r="G287" s="30">
        <f t="shared" ca="1" si="70"/>
        <v>1.9351727056441401E-3</v>
      </c>
      <c r="H287" s="30">
        <f t="shared" ca="1" si="70"/>
        <v>-5.4609288102825677E-2</v>
      </c>
      <c r="I287" s="30">
        <f t="shared" ca="1" si="70"/>
        <v>-1.7221382373943682E-2</v>
      </c>
      <c r="J287" s="30">
        <f t="shared" ca="1" si="68"/>
        <v>-9.7890613527715692E-2</v>
      </c>
      <c r="K287" s="30">
        <f t="shared" ca="1" si="71"/>
        <v>-4.6893866529835746E-3</v>
      </c>
      <c r="L287" s="30">
        <f t="shared" ca="1" si="71"/>
        <v>-5.5484738070870417E-4</v>
      </c>
      <c r="M287" s="30">
        <f t="shared" ca="1" si="71"/>
        <v>3.4185768397985726E-2</v>
      </c>
      <c r="N287" s="30">
        <f t="shared" ca="1" si="69"/>
        <v>7.855254950084814E-2</v>
      </c>
      <c r="O287" s="30">
        <f t="shared" ca="1" si="72"/>
        <v>-2.7542139473394345E-3</v>
      </c>
      <c r="P287" s="30">
        <f t="shared" ca="1" si="73"/>
        <v>-5.5164135483534382E-2</v>
      </c>
      <c r="Q287" s="30">
        <f t="shared" ca="1" si="74"/>
        <v>1.6964386024042044E-2</v>
      </c>
      <c r="R287" s="30">
        <f t="shared" ca="1" si="75"/>
        <v>-1.9338064026867552E-2</v>
      </c>
      <c r="S287" s="9" cm="1">
        <f t="array" aca="1" ref="S287" ca="1">_xll.BDH($E$6,"PX LAST",AG287)</f>
        <v>181.04</v>
      </c>
      <c r="T287" s="9" cm="1">
        <f t="array" aca="1" ref="T287" ca="1">_xll.BDH($E$6,"PX LAST",AH287)</f>
        <v>181.54</v>
      </c>
      <c r="U287" s="9" cm="1">
        <f t="array" aca="1" ref="U287" ca="1">_xll.BDH($E$6,"PX LAST",AI287)</f>
        <v>191.61</v>
      </c>
      <c r="V287" s="9" cm="1">
        <f t="array" aca="1" ref="V287" ca="1">_xll.BDH($E$6,"PX LAST",AJ287)</f>
        <v>178.02</v>
      </c>
      <c r="W287" s="9" cm="1">
        <f t="array" aca="1" ref="W287" ca="1">_xll.BDH($E$6,"PX LAST",AK287)</f>
        <v>184.61</v>
      </c>
      <c r="X287" s="24">
        <f t="shared" ca="1" si="76"/>
        <v>-2.945637927707967E-3</v>
      </c>
      <c r="Y287" s="24">
        <f t="shared" ca="1" si="77"/>
        <v>-3.4852734688983755E-4</v>
      </c>
      <c r="Z287" s="24">
        <f t="shared" ca="1" si="78"/>
        <v>2.1473788244114722E-2</v>
      </c>
      <c r="AA287" s="24">
        <f t="shared" ca="1" si="79"/>
        <v>4.9342778971027679E-2</v>
      </c>
      <c r="AB287" s="9" cm="1">
        <f t="array" aca="1" ref="AB287" ca="1">_xll.BDH($E$8,"PX LAST",AG287)</f>
        <v>5994.57</v>
      </c>
      <c r="AC287" s="9" cm="1">
        <f t="array" aca="1" ref="AC287" ca="1">_xll.BDH($E$8,"PX LAST",AH287)</f>
        <v>6012.28</v>
      </c>
      <c r="AD287" s="9" cm="1">
        <f t="array" aca="1" ref="AD287" ca="1">_xll.BDH($E$8,"PX LAST",AI287)</f>
        <v>5996.66</v>
      </c>
      <c r="AE287" s="9" cm="1">
        <f t="array" aca="1" ref="AE287" ca="1">_xll.BDH($E$8,"PX LAST",AJ287)</f>
        <v>5868.55</v>
      </c>
      <c r="AF287" s="9" cm="1">
        <f t="array" aca="1" ref="AF287" ca="1">_xll.BDH($E$8,"PX LAST",AK287)</f>
        <v>5712.69</v>
      </c>
      <c r="AG287" s="20">
        <f t="shared" ca="1" si="85"/>
        <v>45691</v>
      </c>
      <c r="AH287" s="22">
        <f t="shared" ca="1" si="80"/>
        <v>45684</v>
      </c>
      <c r="AI287" s="22">
        <f t="shared" ca="1" si="81"/>
        <v>45674</v>
      </c>
      <c r="AJ287" s="22">
        <f t="shared" ca="1" si="82"/>
        <v>45659</v>
      </c>
      <c r="AK287" s="22">
        <f t="shared" ca="1" si="83"/>
        <v>45600</v>
      </c>
      <c r="AL287" s="22">
        <f t="shared" ca="1" si="84"/>
        <v>45513</v>
      </c>
    </row>
    <row r="288" spans="4:38" x14ac:dyDescent="0.25">
      <c r="D288" s="6">
        <f ca="1"/>
        <v>45688</v>
      </c>
      <c r="E288" s="28">
        <f ca="1"/>
        <v>185</v>
      </c>
      <c r="F288" s="29" cm="1">
        <f t="array" aca="1" ref="F288" ca="1">_xll.FDS($E$7,"P_BETA_LOCIDX("&amp;$AG288&amp;","&amp;$AL288&amp;",,"""&amp;$E$9&amp;""")")</f>
        <v>1.5913956</v>
      </c>
      <c r="G288" s="30">
        <f t="shared" ca="1" si="70"/>
        <v>-4.9727097444316332E-2</v>
      </c>
      <c r="H288" s="30">
        <f t="shared" ca="1" si="70"/>
        <v>-7.2326411604976493E-2</v>
      </c>
      <c r="I288" s="30">
        <f t="shared" ca="1" si="70"/>
        <v>-2.0668277489134378E-2</v>
      </c>
      <c r="J288" s="30">
        <f t="shared" ca="1" si="68"/>
        <v>-0.1034415234973106</v>
      </c>
      <c r="K288" s="30">
        <f t="shared" ca="1" si="71"/>
        <v>-1.5835080553461191E-2</v>
      </c>
      <c r="L288" s="30">
        <f t="shared" ca="1" si="71"/>
        <v>2.7658195751632805E-2</v>
      </c>
      <c r="M288" s="30">
        <f t="shared" ca="1" si="71"/>
        <v>4.2993653262786057E-2</v>
      </c>
      <c r="N288" s="30">
        <f t="shared" ca="1" si="69"/>
        <v>8.6595054878508479E-2</v>
      </c>
      <c r="O288" s="30">
        <f t="shared" ca="1" si="72"/>
        <v>-6.5562177997777527E-2</v>
      </c>
      <c r="P288" s="30">
        <f t="shared" ca="1" si="73"/>
        <v>-4.4668215853343685E-2</v>
      </c>
      <c r="Q288" s="30">
        <f t="shared" ca="1" si="74"/>
        <v>2.2325375773651679E-2</v>
      </c>
      <c r="R288" s="30">
        <f t="shared" ca="1" si="75"/>
        <v>-1.6846468618802124E-2</v>
      </c>
      <c r="S288" s="9" cm="1">
        <f t="array" aca="1" ref="S288" ca="1">_xll.BDH($E$6,"PX LAST",AG288)</f>
        <v>185</v>
      </c>
      <c r="T288" s="9" cm="1">
        <f t="array" aca="1" ref="T288" ca="1">_xll.BDH($E$6,"PX LAST",AH288)</f>
        <v>197.98</v>
      </c>
      <c r="U288" s="9" cm="1">
        <f t="array" aca="1" ref="U288" ca="1">_xll.BDH($E$6,"PX LAST",AI288)</f>
        <v>193.65</v>
      </c>
      <c r="V288" s="9" cm="1">
        <f t="array" aca="1" ref="V288" ca="1">_xll.BDH($E$6,"PX LAST",AJ288)</f>
        <v>180.96</v>
      </c>
      <c r="W288" s="9" cm="1">
        <f t="array" aca="1" ref="W288" ca="1">_xll.BDH($E$6,"PX LAST",AK288)</f>
        <v>188.17</v>
      </c>
      <c r="X288" s="24">
        <f t="shared" ca="1" si="76"/>
        <v>-9.9504363047511202E-3</v>
      </c>
      <c r="Y288" s="24">
        <f t="shared" ca="1" si="77"/>
        <v>1.73798367619169E-2</v>
      </c>
      <c r="Z288" s="24">
        <f t="shared" ca="1" si="78"/>
        <v>2.7016320305765618E-2</v>
      </c>
      <c r="AA288" s="24">
        <f t="shared" ca="1" si="79"/>
        <v>5.4414537075827329E-2</v>
      </c>
      <c r="AB288" s="9" cm="1">
        <f t="array" aca="1" ref="AB288" ca="1">_xll.BDH($E$8,"PX LAST",AG288)</f>
        <v>6040.53</v>
      </c>
      <c r="AC288" s="9" cm="1">
        <f t="array" aca="1" ref="AC288" ca="1">_xll.BDH($E$8,"PX LAST",AH288)</f>
        <v>6101.24</v>
      </c>
      <c r="AD288" s="9" cm="1">
        <f t="array" aca="1" ref="AD288" ca="1">_xll.BDH($E$8,"PX LAST",AI288)</f>
        <v>5937.34</v>
      </c>
      <c r="AE288" s="9" cm="1">
        <f t="array" aca="1" ref="AE288" ca="1">_xll.BDH($E$8,"PX LAST",AJ288)</f>
        <v>5881.63</v>
      </c>
      <c r="AF288" s="9" cm="1">
        <f t="array" aca="1" ref="AF288" ca="1">_xll.BDH($E$8,"PX LAST",AK288)</f>
        <v>5728.8</v>
      </c>
      <c r="AG288" s="20">
        <f t="shared" ca="1" si="85"/>
        <v>45688</v>
      </c>
      <c r="AH288" s="22">
        <f t="shared" ca="1" si="80"/>
        <v>45681</v>
      </c>
      <c r="AI288" s="22">
        <f t="shared" ca="1" si="81"/>
        <v>45673</v>
      </c>
      <c r="AJ288" s="22">
        <f t="shared" ca="1" si="82"/>
        <v>45657</v>
      </c>
      <c r="AK288" s="22">
        <f t="shared" ca="1" si="83"/>
        <v>45597</v>
      </c>
      <c r="AL288" s="22">
        <f t="shared" ca="1" si="84"/>
        <v>45512</v>
      </c>
    </row>
    <row r="289" spans="4:38" x14ac:dyDescent="0.25">
      <c r="D289" s="6">
        <f ca="1"/>
        <v>45687</v>
      </c>
      <c r="E289" s="28">
        <f ca="1"/>
        <v>189.39</v>
      </c>
      <c r="F289" s="29" cm="1">
        <f t="array" aca="1" ref="F289" ca="1">_xll.FDS($E$7,"P_BETA_LOCIDX("&amp;$AG289&amp;","&amp;$AL289&amp;",,"""&amp;$E$9&amp;""")")</f>
        <v>1.5899863000000001</v>
      </c>
      <c r="G289" s="30">
        <f t="shared" ca="1" si="70"/>
        <v>-2.6129441768274982E-2</v>
      </c>
      <c r="H289" s="30">
        <f t="shared" ca="1" si="70"/>
        <v>-3.3564420072856066E-2</v>
      </c>
      <c r="I289" s="30">
        <f t="shared" ca="1" si="70"/>
        <v>1.4429896180758101E-2</v>
      </c>
      <c r="J289" s="30">
        <f t="shared" ca="1" si="68"/>
        <v>-0.11535790430191407</v>
      </c>
      <c r="K289" s="30">
        <f t="shared" ca="1" si="71"/>
        <v>-1.2353575950159337E-2</v>
      </c>
      <c r="L289" s="30">
        <f t="shared" ca="1" si="71"/>
        <v>3.2404143716123629E-2</v>
      </c>
      <c r="M289" s="30">
        <f t="shared" ca="1" si="71"/>
        <v>4.4206213377654374E-2</v>
      </c>
      <c r="N289" s="30">
        <f t="shared" ca="1" si="69"/>
        <v>0.10191830436442374</v>
      </c>
      <c r="O289" s="30">
        <f t="shared" ca="1" si="72"/>
        <v>-3.848301771843432E-2</v>
      </c>
      <c r="P289" s="30">
        <f t="shared" ca="1" si="73"/>
        <v>-1.160276356732437E-3</v>
      </c>
      <c r="Q289" s="30">
        <f t="shared" ca="1" si="74"/>
        <v>5.8636109558412475E-2</v>
      </c>
      <c r="R289" s="30">
        <f t="shared" ca="1" si="75"/>
        <v>-1.3439599937490332E-2</v>
      </c>
      <c r="S289" s="9" cm="1">
        <f t="array" aca="1" ref="S289" ca="1">_xll.BDH($E$6,"PX LAST",AG289)</f>
        <v>189.39</v>
      </c>
      <c r="T289" s="9" cm="1">
        <f t="array" aca="1" ref="T289" ca="1">_xll.BDH($E$6,"PX LAST",AH289)</f>
        <v>196.97</v>
      </c>
      <c r="U289" s="9" cm="1">
        <f t="array" aca="1" ref="U289" ca="1">_xll.BDH($E$6,"PX LAST",AI289)</f>
        <v>189.61</v>
      </c>
      <c r="V289" s="9" cm="1">
        <f t="array" aca="1" ref="V289" ca="1">_xll.BDH($E$6,"PX LAST",AJ289)</f>
        <v>178.9</v>
      </c>
      <c r="W289" s="9" cm="1">
        <f t="array" aca="1" ref="W289" ca="1">_xll.BDH($E$6,"PX LAST",AK289)</f>
        <v>191.97</v>
      </c>
      <c r="X289" s="24">
        <f t="shared" ca="1" si="76"/>
        <v>-7.7696115684514622E-3</v>
      </c>
      <c r="Y289" s="24">
        <f t="shared" ca="1" si="77"/>
        <v>2.0380140203801522E-2</v>
      </c>
      <c r="Z289" s="24">
        <f t="shared" ca="1" si="78"/>
        <v>2.780288948254106E-2</v>
      </c>
      <c r="AA289" s="24">
        <f t="shared" ca="1" si="79"/>
        <v>6.4100114802513541E-2</v>
      </c>
      <c r="AB289" s="9" cm="1">
        <f t="array" aca="1" ref="AB289" ca="1">_xll.BDH($E$8,"PX LAST",AG289)</f>
        <v>6071.17</v>
      </c>
      <c r="AC289" s="9" cm="1">
        <f t="array" aca="1" ref="AC289" ca="1">_xll.BDH($E$8,"PX LAST",AH289)</f>
        <v>6118.71</v>
      </c>
      <c r="AD289" s="9" cm="1">
        <f t="array" aca="1" ref="AD289" ca="1">_xll.BDH($E$8,"PX LAST",AI289)</f>
        <v>5949.91</v>
      </c>
      <c r="AE289" s="9" cm="1">
        <f t="array" aca="1" ref="AE289" ca="1">_xll.BDH($E$8,"PX LAST",AJ289)</f>
        <v>5906.94</v>
      </c>
      <c r="AF289" s="9" cm="1">
        <f t="array" aca="1" ref="AF289" ca="1">_xll.BDH($E$8,"PX LAST",AK289)</f>
        <v>5705.45</v>
      </c>
      <c r="AG289" s="20">
        <f t="shared" ca="1" si="85"/>
        <v>45687</v>
      </c>
      <c r="AH289" s="22">
        <f t="shared" ca="1" si="80"/>
        <v>45680</v>
      </c>
      <c r="AI289" s="22">
        <f t="shared" ca="1" si="81"/>
        <v>45672</v>
      </c>
      <c r="AJ289" s="22">
        <f t="shared" ca="1" si="82"/>
        <v>45656</v>
      </c>
      <c r="AK289" s="22">
        <f t="shared" ca="1" si="83"/>
        <v>45596</v>
      </c>
      <c r="AL289" s="22">
        <f t="shared" ca="1" si="84"/>
        <v>45511</v>
      </c>
    </row>
    <row r="290" spans="4:38" x14ac:dyDescent="0.25">
      <c r="D290" s="6">
        <f ca="1"/>
        <v>45686</v>
      </c>
      <c r="E290" s="28">
        <f ca="1"/>
        <v>186.64</v>
      </c>
      <c r="F290" s="29" cm="1">
        <f t="array" aca="1" ref="F290" ca="1">_xll.FDS($E$7,"P_BETA_LOCIDX("&amp;$AG290&amp;","&amp;$AL290&amp;",,"""&amp;$E$9&amp;""")")</f>
        <v>1.5862004000000001</v>
      </c>
      <c r="G290" s="30">
        <f t="shared" ca="1" si="70"/>
        <v>-5.0834691736386911E-2</v>
      </c>
      <c r="H290" s="30">
        <f t="shared" ca="1" si="70"/>
        <v>-6.4915302663312496E-2</v>
      </c>
      <c r="I290" s="30">
        <f t="shared" ca="1" si="70"/>
        <v>2.7002769892155835E-2</v>
      </c>
      <c r="J290" s="30">
        <f t="shared" ca="1" si="68"/>
        <v>-1.1844781107666874E-2</v>
      </c>
      <c r="K290" s="30">
        <f t="shared" ca="1" si="71"/>
        <v>-1.2264550269536632E-2</v>
      </c>
      <c r="L290" s="30">
        <f t="shared" ca="1" si="71"/>
        <v>5.3317569252307712E-2</v>
      </c>
      <c r="M290" s="30">
        <f t="shared" ca="1" si="71"/>
        <v>1.8189591646736444E-2</v>
      </c>
      <c r="N290" s="30">
        <f t="shared" ca="1" si="69"/>
        <v>6.1563566259522778E-2</v>
      </c>
      <c r="O290" s="30">
        <f t="shared" ca="1" si="72"/>
        <v>-6.3099242005923539E-2</v>
      </c>
      <c r="P290" s="30">
        <f t="shared" ca="1" si="73"/>
        <v>-1.1597733411004785E-2</v>
      </c>
      <c r="Q290" s="30">
        <f t="shared" ca="1" si="74"/>
        <v>4.5192361538892278E-2</v>
      </c>
      <c r="R290" s="30">
        <f t="shared" ca="1" si="75"/>
        <v>4.9718785151855904E-2</v>
      </c>
      <c r="S290" s="9" cm="1">
        <f t="array" aca="1" ref="S290" ca="1">_xll.BDH($E$6,"PX LAST",AG290)</f>
        <v>186.64</v>
      </c>
      <c r="T290" s="9" cm="1">
        <f t="array" aca="1" ref="T290" ca="1">_xll.BDH($E$6,"PX LAST",AH290)</f>
        <v>199.21</v>
      </c>
      <c r="U290" s="9" cm="1">
        <f t="array" aca="1" ref="U290" ca="1">_xll.BDH($E$6,"PX LAST",AI290)</f>
        <v>188.83</v>
      </c>
      <c r="V290" s="9" cm="1">
        <f t="array" aca="1" ref="V290" ca="1">_xll.BDH($E$6,"PX LAST",AJ290)</f>
        <v>178.57</v>
      </c>
      <c r="W290" s="9" cm="1">
        <f t="array" aca="1" ref="W290" ca="1">_xll.BDH($E$6,"PX LAST",AK290)</f>
        <v>177.8</v>
      </c>
      <c r="X290" s="24">
        <f t="shared" ca="1" si="76"/>
        <v>-7.7320307506772989E-3</v>
      </c>
      <c r="Y290" s="24">
        <f t="shared" ca="1" si="77"/>
        <v>3.3613387849547705E-2</v>
      </c>
      <c r="Z290" s="24">
        <f t="shared" ca="1" si="78"/>
        <v>1.1467398222025693E-2</v>
      </c>
      <c r="AA290" s="24">
        <f t="shared" ca="1" si="79"/>
        <v>3.88119724717777E-2</v>
      </c>
      <c r="AB290" s="9" cm="1">
        <f t="array" aca="1" ref="AB290" ca="1">_xll.BDH($E$8,"PX LAST",AG290)</f>
        <v>6039.31</v>
      </c>
      <c r="AC290" s="9" cm="1">
        <f t="array" aca="1" ref="AC290" ca="1">_xll.BDH($E$8,"PX LAST",AH290)</f>
        <v>6086.37</v>
      </c>
      <c r="AD290" s="9" cm="1">
        <f t="array" aca="1" ref="AD290" ca="1">_xll.BDH($E$8,"PX LAST",AI290)</f>
        <v>5842.91</v>
      </c>
      <c r="AE290" s="9" cm="1">
        <f t="array" aca="1" ref="AE290" ca="1">_xll.BDH($E$8,"PX LAST",AJ290)</f>
        <v>5970.84</v>
      </c>
      <c r="AF290" s="9" cm="1">
        <f t="array" aca="1" ref="AF290" ca="1">_xll.BDH($E$8,"PX LAST",AK290)</f>
        <v>5813.67</v>
      </c>
      <c r="AG290" s="20">
        <f t="shared" ca="1" si="85"/>
        <v>45686</v>
      </c>
      <c r="AH290" s="22">
        <f t="shared" ca="1" si="80"/>
        <v>45679</v>
      </c>
      <c r="AI290" s="22">
        <f t="shared" ca="1" si="81"/>
        <v>45671</v>
      </c>
      <c r="AJ290" s="22">
        <f t="shared" ca="1" si="82"/>
        <v>45653</v>
      </c>
      <c r="AK290" s="22">
        <f t="shared" ca="1" si="83"/>
        <v>45595</v>
      </c>
      <c r="AL290" s="22">
        <f t="shared" ca="1" si="84"/>
        <v>45510</v>
      </c>
    </row>
    <row r="291" spans="4:38" x14ac:dyDescent="0.25">
      <c r="D291" s="6">
        <f ca="1"/>
        <v>45685</v>
      </c>
      <c r="E291" s="28">
        <f ca="1"/>
        <v>184.76</v>
      </c>
      <c r="F291" s="29" cm="1">
        <f t="array" aca="1" ref="F291" ca="1">_xll.FDS($E$7,"P_BETA_LOCIDX("&amp;$AG291&amp;","&amp;$AL291&amp;",,"""&amp;$E$9&amp;""")")</f>
        <v>1.5050555000000001</v>
      </c>
      <c r="G291" s="30">
        <f t="shared" ca="1" si="70"/>
        <v>-7.3999530682220316E-2</v>
      </c>
      <c r="H291" s="30">
        <f t="shared" ca="1" si="70"/>
        <v>-4.3748169772534623E-2</v>
      </c>
      <c r="I291" s="30">
        <f t="shared" ca="1" si="70"/>
        <v>1.876755281935516E-2</v>
      </c>
      <c r="J291" s="30">
        <f t="shared" ca="1" si="68"/>
        <v>-2.1551535477966989E-2</v>
      </c>
      <c r="K291" s="30">
        <f t="shared" ca="1" si="71"/>
        <v>4.5928620008462966E-3</v>
      </c>
      <c r="L291" s="30">
        <f t="shared" ca="1" si="71"/>
        <v>5.9694502116095532E-2</v>
      </c>
      <c r="M291" s="30">
        <f t="shared" ca="1" si="71"/>
        <v>7.5058460586094906E-3</v>
      </c>
      <c r="N291" s="30">
        <f t="shared" ca="1" si="69"/>
        <v>6.0579766273153125E-2</v>
      </c>
      <c r="O291" s="30">
        <f t="shared" ca="1" si="72"/>
        <v>-6.9406668681374017E-2</v>
      </c>
      <c r="P291" s="30">
        <f t="shared" ca="1" si="73"/>
        <v>1.5946332343560909E-2</v>
      </c>
      <c r="Q291" s="30">
        <f t="shared" ca="1" si="74"/>
        <v>2.6273398877964649E-2</v>
      </c>
      <c r="R291" s="30">
        <f t="shared" ca="1" si="75"/>
        <v>3.9028230795186136E-2</v>
      </c>
      <c r="S291" s="9" cm="1">
        <f t="array" aca="1" ref="S291" ca="1">_xll.BDH($E$6,"PX LAST",AG291)</f>
        <v>184.76</v>
      </c>
      <c r="T291" s="9" cm="1">
        <f t="array" aca="1" ref="T291" ca="1">_xll.BDH($E$6,"PX LAST",AH291)</f>
        <v>198.54</v>
      </c>
      <c r="U291" s="9" cm="1">
        <f t="array" aca="1" ref="U291" ca="1">_xll.BDH($E$6,"PX LAST",AI291)</f>
        <v>181.86</v>
      </c>
      <c r="V291" s="9" cm="1">
        <f t="array" aca="1" ref="V291" ca="1">_xll.BDH($E$6,"PX LAST",AJ291)</f>
        <v>180.03</v>
      </c>
      <c r="W291" s="9" cm="1">
        <f t="array" aca="1" ref="W291" ca="1">_xll.BDH($E$6,"PX LAST",AK291)</f>
        <v>177.82</v>
      </c>
      <c r="X291" s="24">
        <f t="shared" ca="1" si="76"/>
        <v>3.05162301380002E-3</v>
      </c>
      <c r="Y291" s="24">
        <f t="shared" ca="1" si="77"/>
        <v>3.9662658364489234E-2</v>
      </c>
      <c r="Z291" s="24">
        <f t="shared" ca="1" si="78"/>
        <v>4.9870892193739635E-3</v>
      </c>
      <c r="AA291" s="24">
        <f t="shared" ca="1" si="79"/>
        <v>4.0250852060374598E-2</v>
      </c>
      <c r="AB291" s="9" cm="1">
        <f t="array" aca="1" ref="AB291" ca="1">_xll.BDH($E$8,"PX LAST",AG291)</f>
        <v>6067.7</v>
      </c>
      <c r="AC291" s="9" cm="1">
        <f t="array" aca="1" ref="AC291" ca="1">_xll.BDH($E$8,"PX LAST",AH291)</f>
        <v>6049.24</v>
      </c>
      <c r="AD291" s="9" cm="1">
        <f t="array" aca="1" ref="AD291" ca="1">_xll.BDH($E$8,"PX LAST",AI291)</f>
        <v>5836.22</v>
      </c>
      <c r="AE291" s="9" cm="1">
        <f t="array" aca="1" ref="AE291" ca="1">_xll.BDH($E$8,"PX LAST",AJ291)</f>
        <v>6037.59</v>
      </c>
      <c r="AF291" s="9" cm="1">
        <f t="array" aca="1" ref="AF291" ca="1">_xll.BDH($E$8,"PX LAST",AK291)</f>
        <v>5832.92</v>
      </c>
      <c r="AG291" s="20">
        <f t="shared" ca="1" si="85"/>
        <v>45685</v>
      </c>
      <c r="AH291" s="22">
        <f t="shared" ca="1" si="80"/>
        <v>45678</v>
      </c>
      <c r="AI291" s="22">
        <f t="shared" ca="1" si="81"/>
        <v>45670</v>
      </c>
      <c r="AJ291" s="22">
        <f t="shared" ca="1" si="82"/>
        <v>45652</v>
      </c>
      <c r="AK291" s="22">
        <f t="shared" ca="1" si="83"/>
        <v>45594</v>
      </c>
      <c r="AL291" s="22">
        <f t="shared" ca="1" si="84"/>
        <v>45509</v>
      </c>
    </row>
    <row r="292" spans="4:38" x14ac:dyDescent="0.25">
      <c r="D292" s="6">
        <f ca="1"/>
        <v>45684</v>
      </c>
      <c r="E292" s="28">
        <f ca="1"/>
        <v>181.54</v>
      </c>
      <c r="F292" s="29" cm="1">
        <f t="array" aca="1" ref="F292" ca="1">_xll.FDS($E$7,"P_BETA_LOCIDX("&amp;$AG292&amp;","&amp;$AL292&amp;",,"""&amp;$E$9&amp;""")")</f>
        <v>1.5139992</v>
      </c>
      <c r="G292" s="30">
        <f t="shared" ca="1" si="70"/>
        <v>-5.6498308213590587E-2</v>
      </c>
      <c r="H292" s="30">
        <f t="shared" ca="1" si="70"/>
        <v>-2.858564449406404E-2</v>
      </c>
      <c r="I292" s="30">
        <f t="shared" ca="1" si="70"/>
        <v>1.3668255048391836E-2</v>
      </c>
      <c r="J292" s="30">
        <f t="shared" ca="1" si="68"/>
        <v>-3.7370763810074127E-2</v>
      </c>
      <c r="K292" s="30">
        <f t="shared" ca="1" si="71"/>
        <v>3.9436398768648599E-3</v>
      </c>
      <c r="L292" s="30">
        <f t="shared" ca="1" si="71"/>
        <v>4.8129618435432127E-2</v>
      </c>
      <c r="M292" s="30">
        <f t="shared" ca="1" si="71"/>
        <v>-6.9583343474547152E-3</v>
      </c>
      <c r="N292" s="30">
        <f t="shared" ca="1" si="69"/>
        <v>4.9073840047256491E-2</v>
      </c>
      <c r="O292" s="30">
        <f t="shared" ca="1" si="72"/>
        <v>-5.2554668336725729E-2</v>
      </c>
      <c r="P292" s="30">
        <f t="shared" ca="1" si="73"/>
        <v>1.9543973941368087E-2</v>
      </c>
      <c r="Q292" s="30">
        <f t="shared" ca="1" si="74"/>
        <v>6.709920700937122E-3</v>
      </c>
      <c r="R292" s="30">
        <f t="shared" ca="1" si="75"/>
        <v>1.1703076237182364E-2</v>
      </c>
      <c r="S292" s="9" cm="1">
        <f t="array" aca="1" ref="S292" ca="1">_xll.BDH($E$6,"PX LAST",AG292)</f>
        <v>181.54</v>
      </c>
      <c r="T292" s="9" cm="1">
        <f t="array" aca="1" ref="T292" ca="1">_xll.BDH($E$6,"PX LAST",AH292)</f>
        <v>191.61</v>
      </c>
      <c r="U292" s="9" cm="1">
        <f t="array" aca="1" ref="U292" ca="1">_xll.BDH($E$6,"PX LAST",AI292)</f>
        <v>178.06</v>
      </c>
      <c r="V292" s="9" cm="1">
        <f t="array" aca="1" ref="V292" ca="1">_xll.BDH($E$6,"PX LAST",AJ292)</f>
        <v>180.33</v>
      </c>
      <c r="W292" s="9" cm="1">
        <f t="array" aca="1" ref="W292" ca="1">_xll.BDH($E$6,"PX LAST",AK292)</f>
        <v>179.44</v>
      </c>
      <c r="X292" s="24">
        <f t="shared" ca="1" si="76"/>
        <v>2.6047833293867395E-3</v>
      </c>
      <c r="Y292" s="24">
        <f t="shared" ca="1" si="77"/>
        <v>3.1789725143469116E-2</v>
      </c>
      <c r="Z292" s="24">
        <f t="shared" ca="1" si="78"/>
        <v>-4.5959960530063126E-3</v>
      </c>
      <c r="AA292" s="24">
        <f t="shared" ca="1" si="79"/>
        <v>3.2413385718603083E-2</v>
      </c>
      <c r="AB292" s="9" cm="1">
        <f t="array" aca="1" ref="AB292" ca="1">_xll.BDH($E$8,"PX LAST",AG292)</f>
        <v>6012.28</v>
      </c>
      <c r="AC292" s="9" cm="1">
        <f t="array" aca="1" ref="AC292" ca="1">_xll.BDH($E$8,"PX LAST",AH292)</f>
        <v>5996.66</v>
      </c>
      <c r="AD292" s="9" cm="1">
        <f t="array" aca="1" ref="AD292" ca="1">_xll.BDH($E$8,"PX LAST",AI292)</f>
        <v>5827.04</v>
      </c>
      <c r="AE292" s="9" cm="1">
        <f t="array" aca="1" ref="AE292" ca="1">_xll.BDH($E$8,"PX LAST",AJ292)</f>
        <v>6040.04</v>
      </c>
      <c r="AF292" s="9" cm="1">
        <f t="array" aca="1" ref="AF292" ca="1">_xll.BDH($E$8,"PX LAST",AK292)</f>
        <v>5823.52</v>
      </c>
      <c r="AG292" s="20">
        <f t="shared" ca="1" si="85"/>
        <v>45684</v>
      </c>
      <c r="AH292" s="22">
        <f t="shared" ca="1" si="80"/>
        <v>45674</v>
      </c>
      <c r="AI292" s="22">
        <f t="shared" ca="1" si="81"/>
        <v>45667</v>
      </c>
      <c r="AJ292" s="22">
        <f t="shared" ca="1" si="82"/>
        <v>45650</v>
      </c>
      <c r="AK292" s="22">
        <f t="shared" ca="1" si="83"/>
        <v>45593</v>
      </c>
      <c r="AL292" s="22">
        <f t="shared" ca="1" si="84"/>
        <v>45506</v>
      </c>
    </row>
    <row r="293" spans="4:38" x14ac:dyDescent="0.25">
      <c r="D293" s="6">
        <f ca="1"/>
        <v>45681</v>
      </c>
      <c r="E293" s="28">
        <f ca="1"/>
        <v>197.98</v>
      </c>
      <c r="F293" s="29" cm="1">
        <f t="array" aca="1" ref="F293" ca="1">_xll.FDS($E$7,"P_BETA_LOCIDX("&amp;$AG293&amp;","&amp;$AL293&amp;",,"""&amp;$E$9&amp;""")")</f>
        <v>1.5247972000000001</v>
      </c>
      <c r="G293" s="30">
        <f t="shared" ca="1" si="70"/>
        <v>-1.9732029481592972E-2</v>
      </c>
      <c r="H293" s="30">
        <f t="shared" ca="1" si="70"/>
        <v>3.2175672714475682E-2</v>
      </c>
      <c r="I293" s="30">
        <f t="shared" ca="1" si="70"/>
        <v>7.3451603368238444E-2</v>
      </c>
      <c r="J293" s="30">
        <f t="shared" ca="1" si="68"/>
        <v>4.7742291892512875E-2</v>
      </c>
      <c r="K293" s="30">
        <f t="shared" ca="1" si="71"/>
        <v>4.2091957186214557E-2</v>
      </c>
      <c r="L293" s="30">
        <f t="shared" ca="1" si="71"/>
        <v>4.7146139420943652E-2</v>
      </c>
      <c r="M293" s="30">
        <f t="shared" ca="1" si="71"/>
        <v>3.245835082682344E-2</v>
      </c>
      <c r="N293" s="30">
        <f t="shared" ca="1" si="69"/>
        <v>7.6952362427773383E-2</v>
      </c>
      <c r="O293" s="30">
        <f t="shared" ca="1" si="72"/>
        <v>2.2359927704621585E-2</v>
      </c>
      <c r="P293" s="30">
        <f t="shared" ca="1" si="73"/>
        <v>7.9321812135419334E-2</v>
      </c>
      <c r="Q293" s="30">
        <f t="shared" ca="1" si="74"/>
        <v>0.10590995419506188</v>
      </c>
      <c r="R293" s="30">
        <f t="shared" ca="1" si="75"/>
        <v>0.12469465432028626</v>
      </c>
      <c r="S293" s="9" cm="1">
        <f t="array" aca="1" ref="S293" ca="1">_xll.BDH($E$6,"PX LAST",AG293)</f>
        <v>197.98</v>
      </c>
      <c r="T293" s="9" cm="1">
        <f t="array" aca="1" ref="T293" ca="1">_xll.BDH($E$6,"PX LAST",AH293)</f>
        <v>193.65</v>
      </c>
      <c r="U293" s="9" cm="1">
        <f t="array" aca="1" ref="U293" ca="1">_xll.BDH($E$6,"PX LAST",AI293)</f>
        <v>183.43</v>
      </c>
      <c r="V293" s="9" cm="1">
        <f t="array" aca="1" ref="V293" ca="1">_xll.BDH($E$6,"PX LAST",AJ293)</f>
        <v>179.02</v>
      </c>
      <c r="W293" s="9" cm="1">
        <f t="array" aca="1" ref="W293" ca="1">_xll.BDH($E$6,"PX LAST",AK293)</f>
        <v>176.03</v>
      </c>
      <c r="X293" s="24">
        <f t="shared" ca="1" si="76"/>
        <v>2.760495440719235E-2</v>
      </c>
      <c r="Y293" s="24">
        <f t="shared" ca="1" si="77"/>
        <v>3.0919613061293427E-2</v>
      </c>
      <c r="Z293" s="24">
        <f t="shared" ca="1" si="78"/>
        <v>2.1286995298013034E-2</v>
      </c>
      <c r="AA293" s="24">
        <f t="shared" ca="1" si="79"/>
        <v>5.0467276846897002E-2</v>
      </c>
      <c r="AB293" s="9" cm="1">
        <f t="array" aca="1" ref="AB293" ca="1">_xll.BDH($E$8,"PX LAST",AG293)</f>
        <v>6101.24</v>
      </c>
      <c r="AC293" s="9" cm="1">
        <f t="array" aca="1" ref="AC293" ca="1">_xll.BDH($E$8,"PX LAST",AH293)</f>
        <v>5937.34</v>
      </c>
      <c r="AD293" s="9" cm="1">
        <f t="array" aca="1" ref="AD293" ca="1">_xll.BDH($E$8,"PX LAST",AI293)</f>
        <v>5918.25</v>
      </c>
      <c r="AE293" s="9" cm="1">
        <f t="array" aca="1" ref="AE293" ca="1">_xll.BDH($E$8,"PX LAST",AJ293)</f>
        <v>5974.07</v>
      </c>
      <c r="AF293" s="9" cm="1">
        <f t="array" aca="1" ref="AF293" ca="1">_xll.BDH($E$8,"PX LAST",AK293)</f>
        <v>5808.12</v>
      </c>
      <c r="AG293" s="20">
        <f t="shared" ca="1" si="85"/>
        <v>45681</v>
      </c>
      <c r="AH293" s="22">
        <f t="shared" ca="1" si="80"/>
        <v>45673</v>
      </c>
      <c r="AI293" s="22">
        <f t="shared" ca="1" si="81"/>
        <v>45665</v>
      </c>
      <c r="AJ293" s="22">
        <f t="shared" ca="1" si="82"/>
        <v>45649</v>
      </c>
      <c r="AK293" s="22">
        <f t="shared" ca="1" si="83"/>
        <v>45590</v>
      </c>
      <c r="AL293" s="22">
        <f t="shared" ca="1" si="84"/>
        <v>45505</v>
      </c>
    </row>
    <row r="294" spans="4:38" x14ac:dyDescent="0.25">
      <c r="D294" s="6">
        <f ca="1"/>
        <v>45680</v>
      </c>
      <c r="E294" s="28">
        <f ca="1"/>
        <v>196.97</v>
      </c>
      <c r="F294" s="29" cm="1">
        <f t="array" aca="1" ref="F294" ca="1">_xll.FDS($E$7,"P_BETA_LOCIDX("&amp;$AG294&amp;","&amp;$AL294&amp;",,"""&amp;$E$9&amp;""")")</f>
        <v>1.5289060999999999</v>
      </c>
      <c r="G294" s="30">
        <f t="shared" ca="1" si="70"/>
        <v>-4.5588185998846273E-3</v>
      </c>
      <c r="H294" s="30">
        <f t="shared" ca="1" si="70"/>
        <v>1.5538706659447052E-2</v>
      </c>
      <c r="I294" s="30">
        <f t="shared" ca="1" si="70"/>
        <v>5.7585628419433814E-2</v>
      </c>
      <c r="J294" s="30">
        <f t="shared" ca="1" si="68"/>
        <v>2.8726737206955469E-2</v>
      </c>
      <c r="K294" s="30">
        <f t="shared" ca="1" si="71"/>
        <v>4.3375336716017697E-2</v>
      </c>
      <c r="L294" s="30">
        <f t="shared" ca="1" si="71"/>
        <v>5.4252733705532255E-2</v>
      </c>
      <c r="M294" s="30">
        <f t="shared" ca="1" si="71"/>
        <v>4.8428184821062599E-2</v>
      </c>
      <c r="N294" s="30">
        <f t="shared" ca="1" si="69"/>
        <v>8.1276080488170074E-2</v>
      </c>
      <c r="O294" s="30">
        <f t="shared" ca="1" si="72"/>
        <v>3.881651811613307E-2</v>
      </c>
      <c r="P294" s="30">
        <f t="shared" ca="1" si="73"/>
        <v>6.9791440364979307E-2</v>
      </c>
      <c r="Q294" s="30">
        <f t="shared" ca="1" si="74"/>
        <v>0.10601381324049641</v>
      </c>
      <c r="R294" s="30">
        <f t="shared" ca="1" si="75"/>
        <v>0.11000281769512554</v>
      </c>
      <c r="S294" s="9" cm="1">
        <f t="array" aca="1" ref="S294" ca="1">_xll.BDH($E$6,"PX LAST",AG294)</f>
        <v>196.97</v>
      </c>
      <c r="T294" s="9" cm="1">
        <f t="array" aca="1" ref="T294" ca="1">_xll.BDH($E$6,"PX LAST",AH294)</f>
        <v>189.61</v>
      </c>
      <c r="U294" s="9" cm="1">
        <f t="array" aca="1" ref="U294" ca="1">_xll.BDH($E$6,"PX LAST",AI294)</f>
        <v>184.12</v>
      </c>
      <c r="V294" s="9" cm="1">
        <f t="array" aca="1" ref="V294" ca="1">_xll.BDH($E$6,"PX LAST",AJ294)</f>
        <v>178.09</v>
      </c>
      <c r="W294" s="9" cm="1">
        <f t="array" aca="1" ref="W294" ca="1">_xll.BDH($E$6,"PX LAST",AK294)</f>
        <v>177.45</v>
      </c>
      <c r="X294" s="24">
        <f t="shared" ca="1" si="76"/>
        <v>2.8370177027887911E-2</v>
      </c>
      <c r="Y294" s="24">
        <f t="shared" ca="1" si="77"/>
        <v>3.5484673457403471E-2</v>
      </c>
      <c r="Z294" s="24">
        <f t="shared" ca="1" si="78"/>
        <v>3.1675055008978381E-2</v>
      </c>
      <c r="AA294" s="24">
        <f t="shared" ca="1" si="79"/>
        <v>5.3159628631326727E-2</v>
      </c>
      <c r="AB294" s="9" cm="1">
        <f t="array" aca="1" ref="AB294" ca="1">_xll.BDH($E$8,"PX LAST",AG294)</f>
        <v>6118.71</v>
      </c>
      <c r="AC294" s="9" cm="1">
        <f t="array" aca="1" ref="AC294" ca="1">_xll.BDH($E$8,"PX LAST",AH294)</f>
        <v>5949.91</v>
      </c>
      <c r="AD294" s="9" cm="1">
        <f t="array" aca="1" ref="AD294" ca="1">_xll.BDH($E$8,"PX LAST",AI294)</f>
        <v>5909.03</v>
      </c>
      <c r="AE294" s="9" cm="1">
        <f t="array" aca="1" ref="AE294" ca="1">_xll.BDH($E$8,"PX LAST",AJ294)</f>
        <v>5930.85</v>
      </c>
      <c r="AF294" s="9" cm="1">
        <f t="array" aca="1" ref="AF294" ca="1">_xll.BDH($E$8,"PX LAST",AK294)</f>
        <v>5809.86</v>
      </c>
      <c r="AG294" s="20">
        <f t="shared" ca="1" si="85"/>
        <v>45680</v>
      </c>
      <c r="AH294" s="22">
        <f t="shared" ca="1" si="80"/>
        <v>45672</v>
      </c>
      <c r="AI294" s="22">
        <f t="shared" ca="1" si="81"/>
        <v>45664</v>
      </c>
      <c r="AJ294" s="22">
        <f t="shared" ca="1" si="82"/>
        <v>45646</v>
      </c>
      <c r="AK294" s="22">
        <f t="shared" ca="1" si="83"/>
        <v>45589</v>
      </c>
      <c r="AL294" s="22">
        <f t="shared" ca="1" si="84"/>
        <v>45504</v>
      </c>
    </row>
    <row r="295" spans="4:38" x14ac:dyDescent="0.25">
      <c r="D295" s="6">
        <f ca="1"/>
        <v>45679</v>
      </c>
      <c r="E295" s="28">
        <f ca="1"/>
        <v>199.21</v>
      </c>
      <c r="F295" s="29" cm="1">
        <f t="array" aca="1" ref="F295" ca="1">_xll.FDS($E$7,"P_BETA_LOCIDX("&amp;$AG295&amp;","&amp;$AL295&amp;",,"""&amp;$E$9&amp;""")")</f>
        <v>1.5378605000000001</v>
      </c>
      <c r="G295" s="30">
        <f t="shared" ca="1" si="70"/>
        <v>-9.1088675991539414E-3</v>
      </c>
      <c r="H295" s="30">
        <f t="shared" ca="1" si="70"/>
        <v>5.5394013365045E-2</v>
      </c>
      <c r="I295" s="30">
        <f t="shared" ca="1" si="70"/>
        <v>7.995330783538146E-2</v>
      </c>
      <c r="J295" s="30">
        <f t="shared" ca="1" si="68"/>
        <v>6.3779496904336208E-2</v>
      </c>
      <c r="K295" s="30">
        <f t="shared" ca="1" si="71"/>
        <v>6.407894650610732E-2</v>
      </c>
      <c r="L295" s="30">
        <f t="shared" ca="1" si="71"/>
        <v>2.8565068145456798E-2</v>
      </c>
      <c r="M295" s="30">
        <f t="shared" ca="1" si="71"/>
        <v>5.7479602978824373E-2</v>
      </c>
      <c r="N295" s="30">
        <f t="shared" ca="1" si="69"/>
        <v>7.6648714682565566E-2</v>
      </c>
      <c r="O295" s="30">
        <f t="shared" ca="1" si="72"/>
        <v>5.4970078906953379E-2</v>
      </c>
      <c r="P295" s="30">
        <f t="shared" ca="1" si="73"/>
        <v>8.3959081510501798E-2</v>
      </c>
      <c r="Q295" s="30">
        <f t="shared" ca="1" si="74"/>
        <v>0.13743291081420583</v>
      </c>
      <c r="R295" s="30">
        <f t="shared" ca="1" si="75"/>
        <v>0.14042821158690177</v>
      </c>
      <c r="S295" s="9" cm="1">
        <f t="array" aca="1" ref="S295" ca="1">_xll.BDH($E$6,"PX LAST",AG295)</f>
        <v>199.21</v>
      </c>
      <c r="T295" s="9" cm="1">
        <f t="array" aca="1" ref="T295" ca="1">_xll.BDH($E$6,"PX LAST",AH295)</f>
        <v>188.83</v>
      </c>
      <c r="U295" s="9" cm="1">
        <f t="array" aca="1" ref="U295" ca="1">_xll.BDH($E$6,"PX LAST",AI295)</f>
        <v>183.78</v>
      </c>
      <c r="V295" s="9" cm="1">
        <f t="array" aca="1" ref="V295" ca="1">_xll.BDH($E$6,"PX LAST",AJ295)</f>
        <v>175.14</v>
      </c>
      <c r="W295" s="9" cm="1">
        <f t="array" aca="1" ref="W295" ca="1">_xll.BDH($E$6,"PX LAST",AK295)</f>
        <v>174.68</v>
      </c>
      <c r="X295" s="24">
        <f t="shared" ca="1" si="76"/>
        <v>4.1667593716144813E-2</v>
      </c>
      <c r="Y295" s="24">
        <f t="shared" ca="1" si="77"/>
        <v>1.8574550907222598E-2</v>
      </c>
      <c r="Z295" s="24">
        <f t="shared" ca="1" si="78"/>
        <v>3.7376343939404366E-2</v>
      </c>
      <c r="AA295" s="24">
        <f t="shared" ca="1" si="79"/>
        <v>4.9841136229564098E-2</v>
      </c>
      <c r="AB295" s="9" cm="1">
        <f t="array" aca="1" ref="AB295" ca="1">_xll.BDH($E$8,"PX LAST",AG295)</f>
        <v>6086.37</v>
      </c>
      <c r="AC295" s="9" cm="1">
        <f t="array" aca="1" ref="AC295" ca="1">_xll.BDH($E$8,"PX LAST",AH295)</f>
        <v>5842.91</v>
      </c>
      <c r="AD295" s="9" cm="1">
        <f t="array" aca="1" ref="AD295" ca="1">_xll.BDH($E$8,"PX LAST",AI295)</f>
        <v>5975.38</v>
      </c>
      <c r="AE295" s="9" cm="1">
        <f t="array" aca="1" ref="AE295" ca="1">_xll.BDH($E$8,"PX LAST",AJ295)</f>
        <v>5867.08</v>
      </c>
      <c r="AF295" s="9" cm="1">
        <f t="array" aca="1" ref="AF295" ca="1">_xll.BDH($E$8,"PX LAST",AK295)</f>
        <v>5797.42</v>
      </c>
      <c r="AG295" s="20">
        <f t="shared" ca="1" si="85"/>
        <v>45679</v>
      </c>
      <c r="AH295" s="22">
        <f t="shared" ca="1" si="80"/>
        <v>45671</v>
      </c>
      <c r="AI295" s="22">
        <f t="shared" ca="1" si="81"/>
        <v>45663</v>
      </c>
      <c r="AJ295" s="22">
        <f t="shared" ca="1" si="82"/>
        <v>45645</v>
      </c>
      <c r="AK295" s="22">
        <f t="shared" ca="1" si="83"/>
        <v>45588</v>
      </c>
      <c r="AL295" s="22">
        <f t="shared" ca="1" si="84"/>
        <v>45503</v>
      </c>
    </row>
    <row r="296" spans="4:38" x14ac:dyDescent="0.25">
      <c r="D296" s="6">
        <f ca="1"/>
        <v>45678</v>
      </c>
      <c r="E296" s="28">
        <f ca="1"/>
        <v>198.54</v>
      </c>
      <c r="F296" s="29" cm="1">
        <f t="array" aca="1" ref="F296" ca="1">_xll.FDS($E$7,"P_BETA_LOCIDX("&amp;$AG296&amp;","&amp;$AL296&amp;",,"""&amp;$E$9&amp;""")")</f>
        <v>1.5410546000000001</v>
      </c>
      <c r="G296" s="30">
        <f t="shared" ca="1" si="70"/>
        <v>3.547094777367673E-2</v>
      </c>
      <c r="H296" s="30">
        <f t="shared" ca="1" si="70"/>
        <v>6.6617790355244233E-2</v>
      </c>
      <c r="I296" s="30">
        <f t="shared" ca="1" si="70"/>
        <v>8.3522490858228673E-2</v>
      </c>
      <c r="J296" s="30">
        <f t="shared" ca="1" si="68"/>
        <v>8.326401481278925E-2</v>
      </c>
      <c r="K296" s="30">
        <f t="shared" ca="1" si="71"/>
        <v>5.624795687825327E-2</v>
      </c>
      <c r="L296" s="30">
        <f t="shared" ca="1" si="71"/>
        <v>2.7688553689290844E-2</v>
      </c>
      <c r="M296" s="30">
        <f t="shared" ca="1" si="71"/>
        <v>4.6471817622135633E-2</v>
      </c>
      <c r="N296" s="30">
        <f t="shared" ca="1" si="69"/>
        <v>5.2158609000547002E-2</v>
      </c>
      <c r="O296" s="30">
        <f t="shared" ca="1" si="72"/>
        <v>9.171890465193E-2</v>
      </c>
      <c r="P296" s="30">
        <f t="shared" ca="1" si="73"/>
        <v>9.4306344044535084E-2</v>
      </c>
      <c r="Q296" s="30">
        <f t="shared" ca="1" si="74"/>
        <v>0.12999430848036431</v>
      </c>
      <c r="R296" s="30">
        <f t="shared" ca="1" si="75"/>
        <v>0.13542262381333625</v>
      </c>
      <c r="S296" s="9" cm="1">
        <f t="array" aca="1" ref="S296" ca="1">_xll.BDH($E$6,"PX LAST",AG296)</f>
        <v>198.54</v>
      </c>
      <c r="T296" s="9" cm="1">
        <f t="array" aca="1" ref="T296" ca="1">_xll.BDH($E$6,"PX LAST",AH296)</f>
        <v>181.86</v>
      </c>
      <c r="U296" s="9" cm="1">
        <f t="array" aca="1" ref="U296" ca="1">_xll.BDH($E$6,"PX LAST",AI296)</f>
        <v>181.43</v>
      </c>
      <c r="V296" s="9" cm="1">
        <f t="array" aca="1" ref="V296" ca="1">_xll.BDH($E$6,"PX LAST",AJ296)</f>
        <v>175.7</v>
      </c>
      <c r="W296" s="9" cm="1">
        <f t="array" aca="1" ref="W296" ca="1">_xll.BDH($E$6,"PX LAST",AK296)</f>
        <v>174.86</v>
      </c>
      <c r="X296" s="24">
        <f t="shared" ca="1" si="76"/>
        <v>3.649965217212503E-2</v>
      </c>
      <c r="Y296" s="24">
        <f t="shared" ca="1" si="77"/>
        <v>1.7967276233620044E-2</v>
      </c>
      <c r="Z296" s="24">
        <f t="shared" ca="1" si="78"/>
        <v>3.0155854063921961E-2</v>
      </c>
      <c r="AA296" s="24">
        <f t="shared" ca="1" si="79"/>
        <v>3.3846048673776385E-2</v>
      </c>
      <c r="AB296" s="9" cm="1">
        <f t="array" aca="1" ref="AB296" ca="1">_xll.BDH($E$8,"PX LAST",AG296)</f>
        <v>6049.24</v>
      </c>
      <c r="AC296" s="9" cm="1">
        <f t="array" aca="1" ref="AC296" ca="1">_xll.BDH($E$8,"PX LAST",AH296)</f>
        <v>5836.22</v>
      </c>
      <c r="AD296" s="9" cm="1">
        <f t="array" aca="1" ref="AD296" ca="1">_xll.BDH($E$8,"PX LAST",AI296)</f>
        <v>5942.47</v>
      </c>
      <c r="AE296" s="9" cm="1">
        <f t="array" aca="1" ref="AE296" ca="1">_xll.BDH($E$8,"PX LAST",AJ296)</f>
        <v>5872.16</v>
      </c>
      <c r="AF296" s="9" cm="1">
        <f t="array" aca="1" ref="AF296" ca="1">_xll.BDH($E$8,"PX LAST",AK296)</f>
        <v>5851.2</v>
      </c>
      <c r="AG296" s="20">
        <f t="shared" ca="1" si="85"/>
        <v>45678</v>
      </c>
      <c r="AH296" s="22">
        <f t="shared" ca="1" si="80"/>
        <v>45670</v>
      </c>
      <c r="AI296" s="22">
        <f t="shared" ca="1" si="81"/>
        <v>45660</v>
      </c>
      <c r="AJ296" s="22">
        <f t="shared" ca="1" si="82"/>
        <v>45644</v>
      </c>
      <c r="AK296" s="22">
        <f t="shared" ca="1" si="83"/>
        <v>45587</v>
      </c>
      <c r="AL296" s="22">
        <f t="shared" ca="1" si="84"/>
        <v>45502</v>
      </c>
    </row>
    <row r="297" spans="4:38" x14ac:dyDescent="0.25">
      <c r="D297" s="6">
        <f ca="1"/>
        <v>45674</v>
      </c>
      <c r="E297" s="28">
        <f ca="1"/>
        <v>191.61</v>
      </c>
      <c r="F297" s="29" cm="1">
        <f t="array" aca="1" ref="F297" ca="1">_xll.FDS($E$7,"P_BETA_LOCIDX("&amp;$AG297&amp;","&amp;$AL297&amp;",,"""&amp;$E$9&amp;""")")</f>
        <v>1.5214089</v>
      </c>
      <c r="G297" s="30">
        <f t="shared" ca="1" si="70"/>
        <v>3.1811071998395363E-2</v>
      </c>
      <c r="H297" s="30">
        <f t="shared" ca="1" si="70"/>
        <v>4.3127496575350074E-2</v>
      </c>
      <c r="I297" s="30">
        <f t="shared" ca="1" si="70"/>
        <v>4.3007364056083047E-2</v>
      </c>
      <c r="J297" s="30">
        <f t="shared" ca="1" si="68"/>
        <v>4.2168201697779205E-2</v>
      </c>
      <c r="K297" s="30">
        <f t="shared" ca="1" si="71"/>
        <v>4.428687251469024E-2</v>
      </c>
      <c r="L297" s="30">
        <f t="shared" ca="1" si="71"/>
        <v>3.3212240532840123E-2</v>
      </c>
      <c r="M297" s="30">
        <f t="shared" ca="1" si="71"/>
        <v>-1.3565576058446965E-2</v>
      </c>
      <c r="N297" s="30">
        <f t="shared" ca="1" si="69"/>
        <v>3.7081544838212833E-2</v>
      </c>
      <c r="O297" s="30">
        <f t="shared" ca="1" si="72"/>
        <v>7.6097944513085602E-2</v>
      </c>
      <c r="P297" s="30">
        <f t="shared" ca="1" si="73"/>
        <v>7.6339737108190198E-2</v>
      </c>
      <c r="Q297" s="30">
        <f t="shared" ca="1" si="74"/>
        <v>2.9441787997636082E-2</v>
      </c>
      <c r="R297" s="30">
        <f t="shared" ca="1" si="75"/>
        <v>7.9249746535992038E-2</v>
      </c>
      <c r="S297" s="9" cm="1">
        <f t="array" aca="1" ref="S297" ca="1">_xll.BDH($E$6,"PX LAST",AG297)</f>
        <v>191.61</v>
      </c>
      <c r="T297" s="9" cm="1">
        <f t="array" aca="1" ref="T297" ca="1">_xll.BDH($E$6,"PX LAST",AH297)</f>
        <v>178.06</v>
      </c>
      <c r="U297" s="9" cm="1">
        <f t="array" aca="1" ref="U297" ca="1">_xll.BDH($E$6,"PX LAST",AI297)</f>
        <v>178.02</v>
      </c>
      <c r="V297" s="9" cm="1">
        <f t="array" aca="1" ref="V297" ca="1">_xll.BDH($E$6,"PX LAST",AJ297)</f>
        <v>186.13</v>
      </c>
      <c r="W297" s="9" cm="1">
        <f t="array" aca="1" ref="W297" ca="1">_xll.BDH($E$6,"PX LAST",AK297)</f>
        <v>177.54</v>
      </c>
      <c r="X297" s="24">
        <f t="shared" ca="1" si="76"/>
        <v>2.9109118866525785E-2</v>
      </c>
      <c r="Y297" s="24">
        <f t="shared" ca="1" si="77"/>
        <v>2.1829923916469873E-2</v>
      </c>
      <c r="Z297" s="24">
        <f t="shared" ca="1" si="78"/>
        <v>-8.916456357292879E-3</v>
      </c>
      <c r="AA297" s="24">
        <f t="shared" ca="1" si="79"/>
        <v>2.4373161507214025E-2</v>
      </c>
      <c r="AB297" s="9" cm="1">
        <f t="array" aca="1" ref="AB297" ca="1">_xll.BDH($E$8,"PX LAST",AG297)</f>
        <v>5996.66</v>
      </c>
      <c r="AC297" s="9" cm="1">
        <f t="array" aca="1" ref="AC297" ca="1">_xll.BDH($E$8,"PX LAST",AH297)</f>
        <v>5827.04</v>
      </c>
      <c r="AD297" s="9" cm="1">
        <f t="array" aca="1" ref="AD297" ca="1">_xll.BDH($E$8,"PX LAST",AI297)</f>
        <v>5868.55</v>
      </c>
      <c r="AE297" s="9" cm="1">
        <f t="array" aca="1" ref="AE297" ca="1">_xll.BDH($E$8,"PX LAST",AJ297)</f>
        <v>6050.61</v>
      </c>
      <c r="AF297" s="9" cm="1">
        <f t="array" aca="1" ref="AF297" ca="1">_xll.BDH($E$8,"PX LAST",AK297)</f>
        <v>5853.98</v>
      </c>
      <c r="AG297" s="20">
        <f t="shared" ca="1" si="85"/>
        <v>45674</v>
      </c>
      <c r="AH297" s="22">
        <f t="shared" ca="1" si="80"/>
        <v>45667</v>
      </c>
      <c r="AI297" s="22">
        <f t="shared" ca="1" si="81"/>
        <v>45659</v>
      </c>
      <c r="AJ297" s="22">
        <f t="shared" ca="1" si="82"/>
        <v>45643</v>
      </c>
      <c r="AK297" s="22">
        <f t="shared" ca="1" si="83"/>
        <v>45586</v>
      </c>
      <c r="AL297" s="22">
        <f t="shared" ca="1" si="84"/>
        <v>45499</v>
      </c>
    </row>
    <row r="298" spans="4:38" x14ac:dyDescent="0.25">
      <c r="D298" s="6">
        <f ca="1"/>
        <v>45673</v>
      </c>
      <c r="E298" s="28">
        <f ca="1"/>
        <v>193.65</v>
      </c>
      <c r="F298" s="29" cm="1">
        <f t="array" aca="1" ref="F298" ca="1">_xll.FDS($E$7,"P_BETA_LOCIDX("&amp;$AG298&amp;","&amp;$AL298&amp;",,"""&amp;$E$9&amp;""")")</f>
        <v>1.5287355</v>
      </c>
      <c r="G298" s="30">
        <f t="shared" ca="1" si="70"/>
        <v>5.0784963777745669E-2</v>
      </c>
      <c r="H298" s="30">
        <f t="shared" ca="1" si="70"/>
        <v>5.5646019806196226E-2</v>
      </c>
      <c r="I298" s="30">
        <f t="shared" ca="1" si="70"/>
        <v>5.6045148593483751E-2</v>
      </c>
      <c r="J298" s="30">
        <f t="shared" ca="1" si="68"/>
        <v>5.6771020164010193E-2</v>
      </c>
      <c r="K298" s="30">
        <f t="shared" ca="1" si="71"/>
        <v>4.93111319984806E-3</v>
      </c>
      <c r="L298" s="30">
        <f t="shared" ca="1" si="71"/>
        <v>1.4479974888763944E-2</v>
      </c>
      <c r="M298" s="30">
        <f t="shared" ca="1" si="71"/>
        <v>-3.4414971859112797E-2</v>
      </c>
      <c r="N298" s="30">
        <f t="shared" ca="1" si="69"/>
        <v>1.8942789412703394E-2</v>
      </c>
      <c r="O298" s="30">
        <f t="shared" ca="1" si="72"/>
        <v>5.5716076977593731E-2</v>
      </c>
      <c r="P298" s="30">
        <f t="shared" ca="1" si="73"/>
        <v>7.012599469496017E-2</v>
      </c>
      <c r="Q298" s="30">
        <f t="shared" ca="1" si="74"/>
        <v>2.1630176734370954E-2</v>
      </c>
      <c r="R298" s="30">
        <f t="shared" ca="1" si="75"/>
        <v>7.5713809576713587E-2</v>
      </c>
      <c r="S298" s="9" cm="1">
        <f t="array" aca="1" ref="S298" ca="1">_xll.BDH($E$6,"PX LAST",AG298)</f>
        <v>193.65</v>
      </c>
      <c r="T298" s="9" cm="1">
        <f t="array" aca="1" ref="T298" ca="1">_xll.BDH($E$6,"PX LAST",AH298)</f>
        <v>183.43</v>
      </c>
      <c r="U298" s="9" cm="1">
        <f t="array" aca="1" ref="U298" ca="1">_xll.BDH($E$6,"PX LAST",AI298)</f>
        <v>180.96</v>
      </c>
      <c r="V298" s="9" cm="1">
        <f t="array" aca="1" ref="V298" ca="1">_xll.BDH($E$6,"PX LAST",AJ298)</f>
        <v>189.55</v>
      </c>
      <c r="W298" s="9" cm="1">
        <f t="array" aca="1" ref="W298" ca="1">_xll.BDH($E$6,"PX LAST",AK298)</f>
        <v>180.02</v>
      </c>
      <c r="X298" s="24">
        <f t="shared" ca="1" si="76"/>
        <v>3.2256156803109892E-3</v>
      </c>
      <c r="Y298" s="24">
        <f t="shared" ca="1" si="77"/>
        <v>9.4718640920969932E-3</v>
      </c>
      <c r="Z298" s="24">
        <f t="shared" ca="1" si="78"/>
        <v>-2.2512051207754902E-2</v>
      </c>
      <c r="AA298" s="24">
        <f t="shared" ca="1" si="79"/>
        <v>1.239114903310834E-2</v>
      </c>
      <c r="AB298" s="9" cm="1">
        <f t="array" aca="1" ref="AB298" ca="1">_xll.BDH($E$8,"PX LAST",AG298)</f>
        <v>5937.34</v>
      </c>
      <c r="AC298" s="9" cm="1">
        <f t="array" aca="1" ref="AC298" ca="1">_xll.BDH($E$8,"PX LAST",AH298)</f>
        <v>5918.25</v>
      </c>
      <c r="AD298" s="9" cm="1">
        <f t="array" aca="1" ref="AD298" ca="1">_xll.BDH($E$8,"PX LAST",AI298)</f>
        <v>5881.63</v>
      </c>
      <c r="AE298" s="9" cm="1">
        <f t="array" aca="1" ref="AE298" ca="1">_xll.BDH($E$8,"PX LAST",AJ298)</f>
        <v>6074.08</v>
      </c>
      <c r="AF298" s="9" cm="1">
        <f t="array" aca="1" ref="AF298" ca="1">_xll.BDH($E$8,"PX LAST",AK298)</f>
        <v>5864.67</v>
      </c>
      <c r="AG298" s="20">
        <f t="shared" ca="1" si="85"/>
        <v>45673</v>
      </c>
      <c r="AH298" s="22">
        <f t="shared" ca="1" si="80"/>
        <v>45665</v>
      </c>
      <c r="AI298" s="22">
        <f t="shared" ca="1" si="81"/>
        <v>45657</v>
      </c>
      <c r="AJ298" s="22">
        <f t="shared" ca="1" si="82"/>
        <v>45642</v>
      </c>
      <c r="AK298" s="22">
        <f t="shared" ca="1" si="83"/>
        <v>45583</v>
      </c>
      <c r="AL298" s="22">
        <f t="shared" ca="1" si="84"/>
        <v>45498</v>
      </c>
    </row>
    <row r="299" spans="4:38" x14ac:dyDescent="0.25">
      <c r="D299" s="6">
        <f ca="1"/>
        <v>45672</v>
      </c>
      <c r="E299" s="28">
        <f ca="1"/>
        <v>189.61</v>
      </c>
      <c r="F299" s="29" cm="1">
        <f t="array" aca="1" ref="F299" ca="1">_xll.FDS($E$7,"P_BETA_LOCIDX("&amp;$AG299&amp;","&amp;$AL299&amp;",,"""&amp;$E$9&amp;""")")</f>
        <v>1.5470740000000001</v>
      </c>
      <c r="G299" s="30">
        <f t="shared" ca="1" si="70"/>
        <v>1.9114504052677023E-2</v>
      </c>
      <c r="H299" s="30">
        <f t="shared" ca="1" si="70"/>
        <v>4.8611666203443288E-2</v>
      </c>
      <c r="I299" s="30">
        <f t="shared" ca="1" si="70"/>
        <v>1.9683743292916285E-2</v>
      </c>
      <c r="J299" s="30">
        <f t="shared" ca="1" si="68"/>
        <v>1.5618356008837403E-2</v>
      </c>
      <c r="K299" s="30">
        <f t="shared" ca="1" si="71"/>
        <v>1.0703006266679953E-2</v>
      </c>
      <c r="L299" s="30">
        <f t="shared" ca="1" si="71"/>
        <v>1.1254180638367889E-2</v>
      </c>
      <c r="M299" s="30">
        <f t="shared" ca="1" si="71"/>
        <v>-2.5868553817576752E-2</v>
      </c>
      <c r="N299" s="30">
        <f t="shared" ca="1" si="69"/>
        <v>2.8719603894225038E-2</v>
      </c>
      <c r="O299" s="30">
        <f t="shared" ca="1" si="72"/>
        <v>2.9817510319356977E-2</v>
      </c>
      <c r="P299" s="30">
        <f t="shared" ca="1" si="73"/>
        <v>5.9865846841811177E-2</v>
      </c>
      <c r="Q299" s="30">
        <f t="shared" ca="1" si="74"/>
        <v>-6.1848105246604668E-3</v>
      </c>
      <c r="R299" s="30">
        <f t="shared" ca="1" si="75"/>
        <v>4.4337959903062441E-2</v>
      </c>
      <c r="S299" s="9" cm="1">
        <f t="array" aca="1" ref="S299" ca="1">_xll.BDH($E$6,"PX LAST",AG299)</f>
        <v>189.61</v>
      </c>
      <c r="T299" s="9" cm="1">
        <f t="array" aca="1" ref="T299" ca="1">_xll.BDH($E$6,"PX LAST",AH299)</f>
        <v>184.12</v>
      </c>
      <c r="U299" s="9" cm="1">
        <f t="array" aca="1" ref="U299" ca="1">_xll.BDH($E$6,"PX LAST",AI299)</f>
        <v>178.9</v>
      </c>
      <c r="V299" s="9" cm="1">
        <f t="array" aca="1" ref="V299" ca="1">_xll.BDH($E$6,"PX LAST",AJ299)</f>
        <v>190.79</v>
      </c>
      <c r="W299" s="9" cm="1">
        <f t="array" aca="1" ref="W299" ca="1">_xll.BDH($E$6,"PX LAST",AK299)</f>
        <v>181.56</v>
      </c>
      <c r="X299" s="24">
        <f t="shared" ca="1" si="76"/>
        <v>6.9182251570900632E-3</v>
      </c>
      <c r="Y299" s="24">
        <f t="shared" ca="1" si="77"/>
        <v>7.2744940696876093E-3</v>
      </c>
      <c r="Z299" s="24">
        <f t="shared" ca="1" si="78"/>
        <v>-1.6720954406561517E-2</v>
      </c>
      <c r="AA299" s="24">
        <f t="shared" ca="1" si="79"/>
        <v>1.8563820408219023E-2</v>
      </c>
      <c r="AB299" s="9" cm="1">
        <f t="array" aca="1" ref="AB299" ca="1">_xll.BDH($E$8,"PX LAST",AG299)</f>
        <v>5949.91</v>
      </c>
      <c r="AC299" s="9" cm="1">
        <f t="array" aca="1" ref="AC299" ca="1">_xll.BDH($E$8,"PX LAST",AH299)</f>
        <v>5909.03</v>
      </c>
      <c r="AD299" s="9" cm="1">
        <f t="array" aca="1" ref="AD299" ca="1">_xll.BDH($E$8,"PX LAST",AI299)</f>
        <v>5906.94</v>
      </c>
      <c r="AE299" s="9" cm="1">
        <f t="array" aca="1" ref="AE299" ca="1">_xll.BDH($E$8,"PX LAST",AJ299)</f>
        <v>6051.09</v>
      </c>
      <c r="AF299" s="9" cm="1">
        <f t="array" aca="1" ref="AF299" ca="1">_xll.BDH($E$8,"PX LAST",AK299)</f>
        <v>5841.47</v>
      </c>
      <c r="AG299" s="20">
        <f t="shared" ca="1" si="85"/>
        <v>45672</v>
      </c>
      <c r="AH299" s="22">
        <f t="shared" ca="1" si="80"/>
        <v>45664</v>
      </c>
      <c r="AI299" s="22">
        <f t="shared" ca="1" si="81"/>
        <v>45656</v>
      </c>
      <c r="AJ299" s="22">
        <f t="shared" ca="1" si="82"/>
        <v>45639</v>
      </c>
      <c r="AK299" s="22">
        <f t="shared" ca="1" si="83"/>
        <v>45582</v>
      </c>
      <c r="AL299" s="22">
        <f t="shared" ca="1" si="84"/>
        <v>45497</v>
      </c>
    </row>
    <row r="300" spans="4:38" x14ac:dyDescent="0.25">
      <c r="D300" s="6">
        <f ca="1"/>
        <v>45671</v>
      </c>
      <c r="E300" s="28">
        <f ca="1"/>
        <v>188.83</v>
      </c>
      <c r="F300" s="29" cm="1">
        <f t="array" aca="1" ref="F300" ca="1">_xll.FDS($E$7,"P_BETA_LOCIDX("&amp;$AG300&amp;","&amp;$AL300&amp;",,"""&amp;$E$9&amp;""")")</f>
        <v>1.5905597</v>
      </c>
      <c r="G300" s="30">
        <f t="shared" ca="1" si="70"/>
        <v>6.2740104241317485E-2</v>
      </c>
      <c r="H300" s="30">
        <f t="shared" ca="1" si="70"/>
        <v>9.1535467366002349E-2</v>
      </c>
      <c r="I300" s="30">
        <f t="shared" ca="1" si="70"/>
        <v>3.3662762763949021E-2</v>
      </c>
      <c r="J300" s="30">
        <f t="shared" ca="1" si="68"/>
        <v>5.1389290707802605E-2</v>
      </c>
      <c r="K300" s="30">
        <f t="shared" ca="1" si="71"/>
        <v>-3.5261597330881078E-2</v>
      </c>
      <c r="L300" s="30">
        <f t="shared" ca="1" si="71"/>
        <v>-3.4079007714325003E-2</v>
      </c>
      <c r="M300" s="30">
        <f t="shared" ca="1" si="71"/>
        <v>-5.4761777797645177E-2</v>
      </c>
      <c r="N300" s="30">
        <f t="shared" ca="1" si="69"/>
        <v>1.1978602680031534E-4</v>
      </c>
      <c r="O300" s="30">
        <f t="shared" ca="1" si="72"/>
        <v>2.7478506910436407E-2</v>
      </c>
      <c r="P300" s="30">
        <f t="shared" ca="1" si="73"/>
        <v>5.7456459651677338E-2</v>
      </c>
      <c r="Q300" s="30">
        <f t="shared" ca="1" si="74"/>
        <v>-2.1099015033696156E-2</v>
      </c>
      <c r="R300" s="30">
        <f t="shared" ca="1" si="75"/>
        <v>5.1509076734602921E-2</v>
      </c>
      <c r="S300" s="9" cm="1">
        <f t="array" aca="1" ref="S300" ca="1">_xll.BDH($E$6,"PX LAST",AG300)</f>
        <v>188.83</v>
      </c>
      <c r="T300" s="9" cm="1">
        <f t="array" aca="1" ref="T300" ca="1">_xll.BDH($E$6,"PX LAST",AH300)</f>
        <v>183.78</v>
      </c>
      <c r="U300" s="9" cm="1">
        <f t="array" aca="1" ref="U300" ca="1">_xll.BDH($E$6,"PX LAST",AI300)</f>
        <v>178.57</v>
      </c>
      <c r="V300" s="9" cm="1">
        <f t="array" aca="1" ref="V300" ca="1">_xll.BDH($E$6,"PX LAST",AJ300)</f>
        <v>192.9</v>
      </c>
      <c r="W300" s="9" cm="1">
        <f t="array" aca="1" ref="W300" ca="1">_xll.BDH($E$6,"PX LAST",AK300)</f>
        <v>179.58</v>
      </c>
      <c r="X300" s="24">
        <f t="shared" ca="1" si="76"/>
        <v>-2.2169301366607663E-2</v>
      </c>
      <c r="Y300" s="24">
        <f t="shared" ca="1" si="77"/>
        <v>-2.1425796035398736E-2</v>
      </c>
      <c r="Z300" s="24">
        <f t="shared" ca="1" si="78"/>
        <v>-3.4429250154926705E-2</v>
      </c>
      <c r="AA300" s="24">
        <f t="shared" ca="1" si="79"/>
        <v>7.5310613490531253E-5</v>
      </c>
      <c r="AB300" s="9" cm="1">
        <f t="array" aca="1" ref="AB300" ca="1">_xll.BDH($E$8,"PX LAST",AG300)</f>
        <v>5842.91</v>
      </c>
      <c r="AC300" s="9" cm="1">
        <f t="array" aca="1" ref="AC300" ca="1">_xll.BDH($E$8,"PX LAST",AH300)</f>
        <v>5975.38</v>
      </c>
      <c r="AD300" s="9" cm="1">
        <f t="array" aca="1" ref="AD300" ca="1">_xll.BDH($E$8,"PX LAST",AI300)</f>
        <v>5970.84</v>
      </c>
      <c r="AE300" s="9" cm="1">
        <f t="array" aca="1" ref="AE300" ca="1">_xll.BDH($E$8,"PX LAST",AJ300)</f>
        <v>6051.25</v>
      </c>
      <c r="AF300" s="9" cm="1">
        <f t="array" aca="1" ref="AF300" ca="1">_xll.BDH($E$8,"PX LAST",AK300)</f>
        <v>5842.47</v>
      </c>
      <c r="AG300" s="20">
        <f t="shared" ca="1" si="85"/>
        <v>45671</v>
      </c>
      <c r="AH300" s="22">
        <f t="shared" ca="1" si="80"/>
        <v>45663</v>
      </c>
      <c r="AI300" s="22">
        <f t="shared" ca="1" si="81"/>
        <v>45653</v>
      </c>
      <c r="AJ300" s="22">
        <f t="shared" ca="1" si="82"/>
        <v>45638</v>
      </c>
      <c r="AK300" s="22">
        <f t="shared" ca="1" si="83"/>
        <v>45581</v>
      </c>
      <c r="AL300" s="22">
        <f t="shared" ca="1" si="84"/>
        <v>45496</v>
      </c>
    </row>
    <row r="301" spans="4:38" x14ac:dyDescent="0.25">
      <c r="D301" s="6">
        <f ca="1"/>
        <v>45670</v>
      </c>
      <c r="E301" s="28">
        <f ca="1"/>
        <v>181.86</v>
      </c>
      <c r="F301" s="29" cm="1">
        <f t="array" aca="1" ref="F301" ca="1">_xll.FDS($E$7,"P_BETA_LOCIDX("&amp;$AG301&amp;","&amp;$AL301&amp;",,"""&amp;$E$9&amp;""")")</f>
        <v>1.5874196</v>
      </c>
      <c r="G301" s="30">
        <f t="shared" ca="1" si="70"/>
        <v>3.0752758266057868E-2</v>
      </c>
      <c r="H301" s="30">
        <f t="shared" ca="1" si="70"/>
        <v>6.3109721129779237E-2</v>
      </c>
      <c r="I301" s="30">
        <f t="shared" ca="1" si="70"/>
        <v>-7.4452658099107699E-3</v>
      </c>
      <c r="J301" s="30">
        <f t="shared" ca="1" si="68"/>
        <v>4.8844988625288431E-2</v>
      </c>
      <c r="K301" s="30">
        <f t="shared" ca="1" si="71"/>
        <v>-2.8382698187790635E-2</v>
      </c>
      <c r="L301" s="30">
        <f t="shared" ca="1" si="71"/>
        <v>-5.2944748625196533E-2</v>
      </c>
      <c r="M301" s="30">
        <f t="shared" ca="1" si="71"/>
        <v>-6.4697591332946294E-2</v>
      </c>
      <c r="N301" s="30">
        <f t="shared" ca="1" si="69"/>
        <v>5.7215524010962642E-3</v>
      </c>
      <c r="O301" s="30">
        <f t="shared" ca="1" si="72"/>
        <v>2.3700600782672332E-3</v>
      </c>
      <c r="P301" s="30">
        <f t="shared" ca="1" si="73"/>
        <v>1.0164972504582703E-2</v>
      </c>
      <c r="Q301" s="30">
        <f t="shared" ca="1" si="74"/>
        <v>-7.2142857142857064E-2</v>
      </c>
      <c r="R301" s="30">
        <f t="shared" ca="1" si="75"/>
        <v>5.4566541026384696E-2</v>
      </c>
      <c r="S301" s="9" cm="1">
        <f t="array" aca="1" ref="S301" ca="1">_xll.BDH($E$6,"PX LAST",AG301)</f>
        <v>181.86</v>
      </c>
      <c r="T301" s="9" cm="1">
        <f t="array" aca="1" ref="T301" ca="1">_xll.BDH($E$6,"PX LAST",AH301)</f>
        <v>181.43</v>
      </c>
      <c r="U301" s="9" cm="1">
        <f t="array" aca="1" ref="U301" ca="1">_xll.BDH($E$6,"PX LAST",AI301)</f>
        <v>180.03</v>
      </c>
      <c r="V301" s="9" cm="1">
        <f t="array" aca="1" ref="V301" ca="1">_xll.BDH($E$6,"PX LAST",AJ301)</f>
        <v>196</v>
      </c>
      <c r="W301" s="9" cm="1">
        <f t="array" aca="1" ref="W301" ca="1">_xll.BDH($E$6,"PX LAST",AK301)</f>
        <v>172.45</v>
      </c>
      <c r="X301" s="24">
        <f t="shared" ca="1" si="76"/>
        <v>-1.7879770533128503E-2</v>
      </c>
      <c r="Y301" s="24">
        <f t="shared" ca="1" si="77"/>
        <v>-3.3352711926447509E-2</v>
      </c>
      <c r="Z301" s="24">
        <f t="shared" ca="1" si="78"/>
        <v>-4.0756452379034691E-2</v>
      </c>
      <c r="AA301" s="24">
        <f t="shared" ca="1" si="79"/>
        <v>3.6043100394478333E-3</v>
      </c>
      <c r="AB301" s="9" cm="1">
        <f t="array" aca="1" ref="AB301" ca="1">_xll.BDH($E$8,"PX LAST",AG301)</f>
        <v>5836.22</v>
      </c>
      <c r="AC301" s="9" cm="1">
        <f t="array" aca="1" ref="AC301" ca="1">_xll.BDH($E$8,"PX LAST",AH301)</f>
        <v>5942.47</v>
      </c>
      <c r="AD301" s="9" cm="1">
        <f t="array" aca="1" ref="AD301" ca="1">_xll.BDH($E$8,"PX LAST",AI301)</f>
        <v>6037.59</v>
      </c>
      <c r="AE301" s="9" cm="1">
        <f t="array" aca="1" ref="AE301" ca="1">_xll.BDH($E$8,"PX LAST",AJ301)</f>
        <v>6084.19</v>
      </c>
      <c r="AF301" s="9" cm="1">
        <f t="array" aca="1" ref="AF301" ca="1">_xll.BDH($E$8,"PX LAST",AK301)</f>
        <v>5815.26</v>
      </c>
      <c r="AG301" s="20">
        <f t="shared" ca="1" si="85"/>
        <v>45670</v>
      </c>
      <c r="AH301" s="22">
        <f t="shared" ca="1" si="80"/>
        <v>45660</v>
      </c>
      <c r="AI301" s="22">
        <f t="shared" ca="1" si="81"/>
        <v>45652</v>
      </c>
      <c r="AJ301" s="22">
        <f t="shared" ca="1" si="82"/>
        <v>45637</v>
      </c>
      <c r="AK301" s="22">
        <f t="shared" ca="1" si="83"/>
        <v>45580</v>
      </c>
      <c r="AL301" s="22">
        <f t="shared" ca="1" si="84"/>
        <v>45495</v>
      </c>
    </row>
    <row r="302" spans="4:38" x14ac:dyDescent="0.25">
      <c r="D302" s="6">
        <f ca="1"/>
        <v>45667</v>
      </c>
      <c r="E302" s="28">
        <f ca="1"/>
        <v>178.06</v>
      </c>
      <c r="F302" s="29" cm="1">
        <f t="array" aca="1" ref="F302" ca="1">_xll.FDS($E$7,"P_BETA_LOCIDX("&amp;$AG302&amp;","&amp;$AL302&amp;",,"""&amp;$E$9&amp;""")")</f>
        <v>1.5850588000000001</v>
      </c>
      <c r="G302" s="30">
        <f t="shared" ca="1" si="70"/>
        <v>1.1436286290233329E-2</v>
      </c>
      <c r="H302" s="30">
        <f t="shared" ca="1" si="70"/>
        <v>4.3308537899342595E-2</v>
      </c>
      <c r="I302" s="30">
        <f t="shared" ca="1" si="70"/>
        <v>-4.4563473711612595E-2</v>
      </c>
      <c r="J302" s="30">
        <f t="shared" ca="1" si="68"/>
        <v>2.3693125707521391E-2</v>
      </c>
      <c r="K302" s="30">
        <f t="shared" ca="1" si="71"/>
        <v>-1.1211592435610237E-2</v>
      </c>
      <c r="L302" s="30">
        <f t="shared" ca="1" si="71"/>
        <v>-5.5896570949861182E-2</v>
      </c>
      <c r="M302" s="30">
        <f t="shared" ca="1" si="71"/>
        <v>-5.4596700324611197E-2</v>
      </c>
      <c r="N302" s="30">
        <f t="shared" ca="1" si="69"/>
        <v>-8.8749335269674781E-3</v>
      </c>
      <c r="O302" s="30">
        <f t="shared" ca="1" si="72"/>
        <v>2.2469385462309255E-4</v>
      </c>
      <c r="P302" s="30">
        <f t="shared" ca="1" si="73"/>
        <v>-1.2588033050518588E-2</v>
      </c>
      <c r="Q302" s="30">
        <f t="shared" ca="1" si="74"/>
        <v>-9.9160174036223792E-2</v>
      </c>
      <c r="R302" s="30">
        <f t="shared" ca="1" si="75"/>
        <v>1.4818192180553913E-2</v>
      </c>
      <c r="S302" s="9" cm="1">
        <f t="array" aca="1" ref="S302" ca="1">_xll.BDH($E$6,"PX LAST",AG302)</f>
        <v>178.06</v>
      </c>
      <c r="T302" s="9" cm="1">
        <f t="array" aca="1" ref="T302" ca="1">_xll.BDH($E$6,"PX LAST",AH302)</f>
        <v>178.02</v>
      </c>
      <c r="U302" s="9" cm="1">
        <f t="array" aca="1" ref="U302" ca="1">_xll.BDH($E$6,"PX LAST",AI302)</f>
        <v>180.33</v>
      </c>
      <c r="V302" s="9" cm="1">
        <f t="array" aca="1" ref="V302" ca="1">_xll.BDH($E$6,"PX LAST",AJ302)</f>
        <v>197.66</v>
      </c>
      <c r="W302" s="9" cm="1">
        <f t="array" aca="1" ref="W302" ca="1">_xll.BDH($E$6,"PX LAST",AK302)</f>
        <v>175.46</v>
      </c>
      <c r="X302" s="24">
        <f t="shared" ca="1" si="76"/>
        <v>-7.073297492566355E-3</v>
      </c>
      <c r="Y302" s="24">
        <f t="shared" ca="1" si="77"/>
        <v>-3.5264667121409743E-2</v>
      </c>
      <c r="Z302" s="24">
        <f t="shared" ca="1" si="78"/>
        <v>-3.4444589894463973E-2</v>
      </c>
      <c r="AA302" s="24">
        <f t="shared" ca="1" si="79"/>
        <v>-5.5991194313848025E-3</v>
      </c>
      <c r="AB302" s="9" cm="1">
        <f t="array" aca="1" ref="AB302" ca="1">_xll.BDH($E$8,"PX LAST",AG302)</f>
        <v>5827.04</v>
      </c>
      <c r="AC302" s="9" cm="1">
        <f t="array" aca="1" ref="AC302" ca="1">_xll.BDH($E$8,"PX LAST",AH302)</f>
        <v>5868.55</v>
      </c>
      <c r="AD302" s="9" cm="1">
        <f t="array" aca="1" ref="AD302" ca="1">_xll.BDH($E$8,"PX LAST",AI302)</f>
        <v>6040.04</v>
      </c>
      <c r="AE302" s="9" cm="1">
        <f t="array" aca="1" ref="AE302" ca="1">_xll.BDH($E$8,"PX LAST",AJ302)</f>
        <v>6034.91</v>
      </c>
      <c r="AF302" s="9" cm="1">
        <f t="array" aca="1" ref="AF302" ca="1">_xll.BDH($E$8,"PX LAST",AK302)</f>
        <v>5859.85</v>
      </c>
      <c r="AG302" s="20">
        <f t="shared" ca="1" si="85"/>
        <v>45667</v>
      </c>
      <c r="AH302" s="22">
        <f t="shared" ca="1" si="80"/>
        <v>45659</v>
      </c>
      <c r="AI302" s="22">
        <f t="shared" ca="1" si="81"/>
        <v>45650</v>
      </c>
      <c r="AJ302" s="22">
        <f t="shared" ca="1" si="82"/>
        <v>45636</v>
      </c>
      <c r="AK302" s="22">
        <f t="shared" ca="1" si="83"/>
        <v>45579</v>
      </c>
      <c r="AL302" s="22">
        <f t="shared" ca="1" si="84"/>
        <v>45492</v>
      </c>
    </row>
    <row r="303" spans="4:38" x14ac:dyDescent="0.25">
      <c r="D303" s="6">
        <f ca="1"/>
        <v>45665</v>
      </c>
      <c r="E303" s="28">
        <f ca="1"/>
        <v>183.43</v>
      </c>
      <c r="F303" s="29" cm="1">
        <f t="array" aca="1" ref="F303" ca="1">_xll.FDS($E$7,"P_BETA_LOCIDX("&amp;$AG303&amp;","&amp;$AL303&amp;",,"""&amp;$E$9&amp;""")")</f>
        <v>1.5881547</v>
      </c>
      <c r="G303" s="30">
        <f t="shared" ca="1" si="70"/>
        <v>3.7613117688248734E-3</v>
      </c>
      <c r="H303" s="30">
        <f t="shared" ca="1" si="70"/>
        <v>3.9473381999701164E-2</v>
      </c>
      <c r="I303" s="30">
        <f t="shared" ca="1" si="70"/>
        <v>-6.1265430240761941E-2</v>
      </c>
      <c r="J303" s="30">
        <f t="shared" ca="1" si="68"/>
        <v>2.1660565813204847E-2</v>
      </c>
      <c r="K303" s="30">
        <f t="shared" ca="1" si="71"/>
        <v>9.8881135185313693E-3</v>
      </c>
      <c r="L303" s="30">
        <f t="shared" ca="1" si="71"/>
        <v>-1.4839262906862419E-2</v>
      </c>
      <c r="M303" s="30">
        <f t="shared" ca="1" si="71"/>
        <v>-3.5316524053958222E-2</v>
      </c>
      <c r="N303" s="30">
        <f t="shared" ca="1" si="69"/>
        <v>2.8190624662985619E-2</v>
      </c>
      <c r="O303" s="30">
        <f t="shared" ca="1" si="72"/>
        <v>1.3649425287356243E-2</v>
      </c>
      <c r="P303" s="30">
        <f t="shared" ca="1" si="73"/>
        <v>2.4634119092838747E-2</v>
      </c>
      <c r="Q303" s="30">
        <f t="shared" ca="1" si="74"/>
        <v>-9.6581954294720163E-2</v>
      </c>
      <c r="R303" s="30">
        <f t="shared" ca="1" si="75"/>
        <v>4.9851190476190466E-2</v>
      </c>
      <c r="S303" s="9" cm="1">
        <f t="array" aca="1" ref="S303" ca="1">_xll.BDH($E$6,"PX LAST",AG303)</f>
        <v>183.43</v>
      </c>
      <c r="T303" s="9" cm="1">
        <f t="array" aca="1" ref="T303" ca="1">_xll.BDH($E$6,"PX LAST",AH303)</f>
        <v>180.96</v>
      </c>
      <c r="U303" s="9" cm="1">
        <f t="array" aca="1" ref="U303" ca="1">_xll.BDH($E$6,"PX LAST",AI303)</f>
        <v>179.02</v>
      </c>
      <c r="V303" s="9" cm="1">
        <f t="array" aca="1" ref="V303" ca="1">_xll.BDH($E$6,"PX LAST",AJ303)</f>
        <v>203.04</v>
      </c>
      <c r="W303" s="9" cm="1">
        <f t="array" aca="1" ref="W303" ca="1">_xll.BDH($E$6,"PX LAST",AK303)</f>
        <v>174.72</v>
      </c>
      <c r="X303" s="24">
        <f t="shared" ca="1" si="76"/>
        <v>6.2261651957025155E-3</v>
      </c>
      <c r="Y303" s="24">
        <f t="shared" ca="1" si="77"/>
        <v>-9.3437137495877565E-3</v>
      </c>
      <c r="Z303" s="24">
        <f t="shared" ca="1" si="78"/>
        <v>-2.2237458387371345E-2</v>
      </c>
      <c r="AA303" s="24">
        <f t="shared" ca="1" si="79"/>
        <v>1.775055330754971E-2</v>
      </c>
      <c r="AB303" s="9" cm="1">
        <f t="array" aca="1" ref="AB303" ca="1">_xll.BDH($E$8,"PX LAST",AG303)</f>
        <v>5918.25</v>
      </c>
      <c r="AC303" s="9" cm="1">
        <f t="array" aca="1" ref="AC303" ca="1">_xll.BDH($E$8,"PX LAST",AH303)</f>
        <v>5881.63</v>
      </c>
      <c r="AD303" s="9" cm="1">
        <f t="array" aca="1" ref="AD303" ca="1">_xll.BDH($E$8,"PX LAST",AI303)</f>
        <v>5974.07</v>
      </c>
      <c r="AE303" s="9" cm="1">
        <f t="array" aca="1" ref="AE303" ca="1">_xll.BDH($E$8,"PX LAST",AJ303)</f>
        <v>6052.85</v>
      </c>
      <c r="AF303" s="9" cm="1">
        <f t="array" aca="1" ref="AF303" ca="1">_xll.BDH($E$8,"PX LAST",AK303)</f>
        <v>5815.03</v>
      </c>
      <c r="AG303" s="20">
        <f t="shared" ca="1" si="85"/>
        <v>45665</v>
      </c>
      <c r="AH303" s="22">
        <f t="shared" ca="1" si="80"/>
        <v>45657</v>
      </c>
      <c r="AI303" s="22">
        <f t="shared" ca="1" si="81"/>
        <v>45649</v>
      </c>
      <c r="AJ303" s="22">
        <f t="shared" ca="1" si="82"/>
        <v>45635</v>
      </c>
      <c r="AK303" s="22">
        <f t="shared" ca="1" si="83"/>
        <v>45576</v>
      </c>
      <c r="AL303" s="22">
        <f t="shared" ca="1" si="84"/>
        <v>45491</v>
      </c>
    </row>
    <row r="304" spans="4:38" x14ac:dyDescent="0.25">
      <c r="D304" s="6">
        <f ca="1"/>
        <v>45664</v>
      </c>
      <c r="E304" s="28">
        <f ca="1"/>
        <v>184.12</v>
      </c>
      <c r="F304" s="29" cm="1">
        <f t="array" aca="1" ref="F304" ca="1">_xll.FDS($E$7,"P_BETA_LOCIDX("&amp;$AG304&amp;","&amp;$AL304&amp;",,"""&amp;$E$9&amp;""")")</f>
        <v>1.6146754999999999</v>
      </c>
      <c r="G304" s="30">
        <f t="shared" ca="1" si="70"/>
        <v>2.8607005646845114E-2</v>
      </c>
      <c r="H304" s="30">
        <f t="shared" ca="1" si="70"/>
        <v>3.9799785471886576E-2</v>
      </c>
      <c r="I304" s="30">
        <f t="shared" ca="1" si="70"/>
        <v>-6.1060106613305895E-2</v>
      </c>
      <c r="J304" s="30">
        <f t="shared" ca="1" si="68"/>
        <v>6.8136939495063525E-2</v>
      </c>
      <c r="K304" s="30">
        <f t="shared" ca="1" si="71"/>
        <v>5.7130625924776707E-4</v>
      </c>
      <c r="L304" s="30">
        <f t="shared" ca="1" si="71"/>
        <v>-5.9405008405204627E-3</v>
      </c>
      <c r="M304" s="30">
        <f t="shared" ca="1" si="71"/>
        <v>-4.8051036755349344E-2</v>
      </c>
      <c r="N304" s="30">
        <f t="shared" ca="1" si="69"/>
        <v>3.603097654691554E-2</v>
      </c>
      <c r="O304" s="30">
        <f t="shared" ca="1" si="72"/>
        <v>2.917831190609288E-2</v>
      </c>
      <c r="P304" s="30">
        <f t="shared" ca="1" si="73"/>
        <v>3.3859284631366116E-2</v>
      </c>
      <c r="Q304" s="30">
        <f t="shared" ca="1" si="74"/>
        <v>-0.10911114336865524</v>
      </c>
      <c r="R304" s="30">
        <f t="shared" ca="1" si="75"/>
        <v>0.10416791604197906</v>
      </c>
      <c r="S304" s="9" cm="1">
        <f t="array" aca="1" ref="S304" ca="1">_xll.BDH($E$6,"PX LAST",AG304)</f>
        <v>184.12</v>
      </c>
      <c r="T304" s="9" cm="1">
        <f t="array" aca="1" ref="T304" ca="1">_xll.BDH($E$6,"PX LAST",AH304)</f>
        <v>178.9</v>
      </c>
      <c r="U304" s="9" cm="1">
        <f t="array" aca="1" ref="U304" ca="1">_xll.BDH($E$6,"PX LAST",AI304)</f>
        <v>178.09</v>
      </c>
      <c r="V304" s="9" cm="1">
        <f t="array" aca="1" ref="V304" ca="1">_xll.BDH($E$6,"PX LAST",AJ304)</f>
        <v>206.67</v>
      </c>
      <c r="W304" s="9" cm="1">
        <f t="array" aca="1" ref="W304" ca="1">_xll.BDH($E$6,"PX LAST",AK304)</f>
        <v>166.75</v>
      </c>
      <c r="X304" s="24">
        <f t="shared" ca="1" si="76"/>
        <v>3.5382109857229338E-4</v>
      </c>
      <c r="Y304" s="24">
        <f t="shared" ca="1" si="77"/>
        <v>-3.6790679244965707E-3</v>
      </c>
      <c r="Z304" s="24">
        <f t="shared" ca="1" si="78"/>
        <v>-2.9758943363759061E-2</v>
      </c>
      <c r="AA304" s="24">
        <f t="shared" ca="1" si="79"/>
        <v>2.2314685859118777E-2</v>
      </c>
      <c r="AB304" s="9" cm="1">
        <f t="array" aca="1" ref="AB304" ca="1">_xll.BDH($E$8,"PX LAST",AG304)</f>
        <v>5909.03</v>
      </c>
      <c r="AC304" s="9" cm="1">
        <f t="array" aca="1" ref="AC304" ca="1">_xll.BDH($E$8,"PX LAST",AH304)</f>
        <v>5906.94</v>
      </c>
      <c r="AD304" s="9" cm="1">
        <f t="array" aca="1" ref="AD304" ca="1">_xll.BDH($E$8,"PX LAST",AI304)</f>
        <v>5930.85</v>
      </c>
      <c r="AE304" s="9" cm="1">
        <f t="array" aca="1" ref="AE304" ca="1">_xll.BDH($E$8,"PX LAST",AJ304)</f>
        <v>6090.27</v>
      </c>
      <c r="AF304" s="9" cm="1">
        <f t="array" aca="1" ref="AF304" ca="1">_xll.BDH($E$8,"PX LAST",AK304)</f>
        <v>5780.05</v>
      </c>
      <c r="AG304" s="20">
        <f t="shared" ca="1" si="85"/>
        <v>45664</v>
      </c>
      <c r="AH304" s="22">
        <f t="shared" ca="1" si="80"/>
        <v>45656</v>
      </c>
      <c r="AI304" s="22">
        <f t="shared" ca="1" si="81"/>
        <v>45646</v>
      </c>
      <c r="AJ304" s="22">
        <f t="shared" ca="1" si="82"/>
        <v>45632</v>
      </c>
      <c r="AK304" s="22">
        <f t="shared" ca="1" si="83"/>
        <v>45575</v>
      </c>
      <c r="AL304" s="22">
        <f t="shared" ca="1" si="84"/>
        <v>45490</v>
      </c>
    </row>
    <row r="305" spans="4:38" x14ac:dyDescent="0.25">
      <c r="D305" s="6">
        <f ca="1"/>
        <v>45663</v>
      </c>
      <c r="E305" s="28">
        <f ca="1"/>
        <v>183.78</v>
      </c>
      <c r="F305" s="29" cm="1">
        <f t="array" aca="1" ref="F305" ca="1">_xll.FDS($E$7,"P_BETA_LOCIDX("&amp;$AG305&amp;","&amp;$AL305&amp;",,"""&amp;$E$9&amp;""")")</f>
        <v>1.6616337000000001</v>
      </c>
      <c r="G305" s="30">
        <f t="shared" ca="1" si="70"/>
        <v>2.7912790243076621E-2</v>
      </c>
      <c r="H305" s="30">
        <f t="shared" ca="1" si="70"/>
        <v>1.8659988235045253E-2</v>
      </c>
      <c r="I305" s="30">
        <f t="shared" ca="1" si="70"/>
        <v>-9.2085998673420516E-2</v>
      </c>
      <c r="J305" s="30">
        <f t="shared" ca="1" si="68"/>
        <v>5.0524249418246861E-2</v>
      </c>
      <c r="K305" s="30">
        <f t="shared" ca="1" si="71"/>
        <v>1.2634431667906806E-3</v>
      </c>
      <c r="L305" s="30">
        <f t="shared" ca="1" si="71"/>
        <v>3.067197476598257E-2</v>
      </c>
      <c r="M305" s="30">
        <f t="shared" ca="1" si="71"/>
        <v>-2.7277650758751638E-2</v>
      </c>
      <c r="N305" s="30">
        <f t="shared" ca="1" si="69"/>
        <v>5.2596999081152881E-2</v>
      </c>
      <c r="O305" s="30">
        <f t="shared" ca="1" si="72"/>
        <v>2.9176233409867303E-2</v>
      </c>
      <c r="P305" s="30">
        <f t="shared" ca="1" si="73"/>
        <v>4.9331963001027823E-2</v>
      </c>
      <c r="Q305" s="30">
        <f t="shared" ca="1" si="74"/>
        <v>-0.11936364943217215</v>
      </c>
      <c r="R305" s="30">
        <f t="shared" ca="1" si="75"/>
        <v>0.10312124849939974</v>
      </c>
      <c r="S305" s="9" cm="1">
        <f t="array" aca="1" ref="S305" ca="1">_xll.BDH($E$6,"PX LAST",AG305)</f>
        <v>183.78</v>
      </c>
      <c r="T305" s="9" cm="1">
        <f t="array" aca="1" ref="T305" ca="1">_xll.BDH($E$6,"PX LAST",AH305)</f>
        <v>178.57</v>
      </c>
      <c r="U305" s="9" cm="1">
        <f t="array" aca="1" ref="U305" ca="1">_xll.BDH($E$6,"PX LAST",AI305)</f>
        <v>175.14</v>
      </c>
      <c r="V305" s="9" cm="1">
        <f t="array" aca="1" ref="V305" ca="1">_xll.BDH($E$6,"PX LAST",AJ305)</f>
        <v>208.69</v>
      </c>
      <c r="W305" s="9" cm="1">
        <f t="array" aca="1" ref="W305" ca="1">_xll.BDH($E$6,"PX LAST",AK305)</f>
        <v>166.6</v>
      </c>
      <c r="X305" s="24">
        <f t="shared" ca="1" si="76"/>
        <v>7.6036202611362569E-4</v>
      </c>
      <c r="Y305" s="24">
        <f t="shared" ca="1" si="77"/>
        <v>1.8458926757433103E-2</v>
      </c>
      <c r="Z305" s="24">
        <f t="shared" ca="1" si="78"/>
        <v>-1.6416163657941962E-2</v>
      </c>
      <c r="AA305" s="24">
        <f t="shared" ca="1" si="79"/>
        <v>3.1653786921361116E-2</v>
      </c>
      <c r="AB305" s="9" cm="1">
        <f t="array" aca="1" ref="AB305" ca="1">_xll.BDH($E$8,"PX LAST",AG305)</f>
        <v>5975.38</v>
      </c>
      <c r="AC305" s="9" cm="1">
        <f t="array" aca="1" ref="AC305" ca="1">_xll.BDH($E$8,"PX LAST",AH305)</f>
        <v>5970.84</v>
      </c>
      <c r="AD305" s="9" cm="1">
        <f t="array" aca="1" ref="AD305" ca="1">_xll.BDH($E$8,"PX LAST",AI305)</f>
        <v>5867.08</v>
      </c>
      <c r="AE305" s="9" cm="1">
        <f t="array" aca="1" ref="AE305" ca="1">_xll.BDH($E$8,"PX LAST",AJ305)</f>
        <v>6075.11</v>
      </c>
      <c r="AF305" s="9" cm="1">
        <f t="array" aca="1" ref="AF305" ca="1">_xll.BDH($E$8,"PX LAST",AK305)</f>
        <v>5792.04</v>
      </c>
      <c r="AG305" s="20">
        <f t="shared" ca="1" si="85"/>
        <v>45663</v>
      </c>
      <c r="AH305" s="22">
        <f t="shared" ca="1" si="80"/>
        <v>45653</v>
      </c>
      <c r="AI305" s="22">
        <f t="shared" ca="1" si="81"/>
        <v>45645</v>
      </c>
      <c r="AJ305" s="22">
        <f t="shared" ca="1" si="82"/>
        <v>45631</v>
      </c>
      <c r="AK305" s="22">
        <f t="shared" ca="1" si="83"/>
        <v>45574</v>
      </c>
      <c r="AL305" s="22">
        <f t="shared" ca="1" si="84"/>
        <v>45489</v>
      </c>
    </row>
    <row r="306" spans="4:38" x14ac:dyDescent="0.25">
      <c r="D306" s="6">
        <f ca="1"/>
        <v>45660</v>
      </c>
      <c r="E306" s="28">
        <f ca="1"/>
        <v>181.43</v>
      </c>
      <c r="F306" s="29" cm="1">
        <f t="array" aca="1" ref="F306" ca="1">_xll.FDS($E$7,"P_BETA_LOCIDX("&amp;$AG306&amp;","&amp;$AL306&amp;",,"""&amp;$E$9&amp;""")")</f>
        <v>1.6639036</v>
      </c>
      <c r="G306" s="30">
        <f t="shared" ca="1" si="70"/>
        <v>3.3990668224238123E-2</v>
      </c>
      <c r="H306" s="30">
        <f t="shared" ca="1" si="70"/>
        <v>1.2689744963420367E-2</v>
      </c>
      <c r="I306" s="30">
        <f t="shared" ca="1" si="70"/>
        <v>-0.10101493008216414</v>
      </c>
      <c r="J306" s="30">
        <f t="shared" ca="1" si="68"/>
        <v>4.628747055970836E-2</v>
      </c>
      <c r="K306" s="30">
        <f t="shared" ca="1" si="71"/>
        <v>-2.6214186526743337E-2</v>
      </c>
      <c r="L306" s="30">
        <f t="shared" ca="1" si="71"/>
        <v>1.9922662549385663E-2</v>
      </c>
      <c r="M306" s="30">
        <f t="shared" ca="1" si="71"/>
        <v>-3.9371689836342399E-2</v>
      </c>
      <c r="N306" s="30">
        <f t="shared" ca="1" si="69"/>
        <v>5.5358045257888483E-2</v>
      </c>
      <c r="O306" s="30">
        <f t="shared" ca="1" si="72"/>
        <v>7.7764816974947859E-3</v>
      </c>
      <c r="P306" s="30">
        <f t="shared" ca="1" si="73"/>
        <v>3.261240751280603E-2</v>
      </c>
      <c r="Q306" s="30">
        <f t="shared" ca="1" si="74"/>
        <v>-0.14038661991850654</v>
      </c>
      <c r="R306" s="30">
        <f t="shared" ca="1" si="75"/>
        <v>0.10164551581759684</v>
      </c>
      <c r="S306" s="9" cm="1">
        <f t="array" aca="1" ref="S306" ca="1">_xll.BDH($E$6,"PX LAST",AG306)</f>
        <v>181.43</v>
      </c>
      <c r="T306" s="9" cm="1">
        <f t="array" aca="1" ref="T306" ca="1">_xll.BDH($E$6,"PX LAST",AH306)</f>
        <v>180.03</v>
      </c>
      <c r="U306" s="9" cm="1">
        <f t="array" aca="1" ref="U306" ca="1">_xll.BDH($E$6,"PX LAST",AI306)</f>
        <v>175.7</v>
      </c>
      <c r="V306" s="9" cm="1">
        <f t="array" aca="1" ref="V306" ca="1">_xll.BDH($E$6,"PX LAST",AJ306)</f>
        <v>211.06</v>
      </c>
      <c r="W306" s="9" cm="1">
        <f t="array" aca="1" ref="W306" ca="1">_xll.BDH($E$6,"PX LAST",AK306)</f>
        <v>164.69</v>
      </c>
      <c r="X306" s="24">
        <f t="shared" ca="1" si="76"/>
        <v>-1.5754630572794803E-2</v>
      </c>
      <c r="Y306" s="24">
        <f t="shared" ca="1" si="77"/>
        <v>1.1973447589983977E-2</v>
      </c>
      <c r="Z306" s="24">
        <f t="shared" ca="1" si="78"/>
        <v>-2.3662242113270504E-2</v>
      </c>
      <c r="AA306" s="24">
        <f t="shared" ca="1" si="79"/>
        <v>3.3269983464119246E-2</v>
      </c>
      <c r="AB306" s="9" cm="1">
        <f t="array" aca="1" ref="AB306" ca="1">_xll.BDH($E$8,"PX LAST",AG306)</f>
        <v>5942.47</v>
      </c>
      <c r="AC306" s="9" cm="1">
        <f t="array" aca="1" ref="AC306" ca="1">_xll.BDH($E$8,"PX LAST",AH306)</f>
        <v>6037.59</v>
      </c>
      <c r="AD306" s="9" cm="1">
        <f t="array" aca="1" ref="AD306" ca="1">_xll.BDH($E$8,"PX LAST",AI306)</f>
        <v>5872.16</v>
      </c>
      <c r="AE306" s="9" cm="1">
        <f t="array" aca="1" ref="AE306" ca="1">_xll.BDH($E$8,"PX LAST",AJ306)</f>
        <v>6086.49</v>
      </c>
      <c r="AF306" s="9" cm="1">
        <f t="array" aca="1" ref="AF306" ca="1">_xll.BDH($E$8,"PX LAST",AK306)</f>
        <v>5751.13</v>
      </c>
      <c r="AG306" s="20">
        <f t="shared" ca="1" si="85"/>
        <v>45660</v>
      </c>
      <c r="AH306" s="22">
        <f t="shared" ca="1" si="80"/>
        <v>45652</v>
      </c>
      <c r="AI306" s="22">
        <f t="shared" ca="1" si="81"/>
        <v>45644</v>
      </c>
      <c r="AJ306" s="22">
        <f t="shared" ca="1" si="82"/>
        <v>45630</v>
      </c>
      <c r="AK306" s="22">
        <f t="shared" ca="1" si="83"/>
        <v>45573</v>
      </c>
      <c r="AL306" s="22">
        <f t="shared" ca="1" si="84"/>
        <v>45488</v>
      </c>
    </row>
    <row r="307" spans="4:38" x14ac:dyDescent="0.25">
      <c r="D307" s="6">
        <f ca="1"/>
        <v>45659</v>
      </c>
      <c r="E307" s="28">
        <f ca="1"/>
        <v>178.02</v>
      </c>
      <c r="F307" s="29" cm="1">
        <f t="array" aca="1" ref="F307" ca="1">_xll.FDS($E$7,"P_BETA_LOCIDX("&amp;$AG307&amp;","&amp;$AL307&amp;",,"""&amp;$E$9&amp;""")")</f>
        <v>1.6760261000000001</v>
      </c>
      <c r="G307" s="30">
        <f t="shared" ca="1" si="70"/>
        <v>3.4776213052453285E-2</v>
      </c>
      <c r="H307" s="30">
        <f t="shared" ca="1" si="70"/>
        <v>6.8591373374546488E-3</v>
      </c>
      <c r="I307" s="30">
        <f t="shared" ca="1" si="70"/>
        <v>-0.10666799138070406</v>
      </c>
      <c r="J307" s="30">
        <f t="shared" ca="1" si="68"/>
        <v>3.3969857943103962E-2</v>
      </c>
      <c r="K307" s="30">
        <f t="shared" ca="1" si="71"/>
        <v>-4.7586061663333366E-2</v>
      </c>
      <c r="L307" s="30">
        <f t="shared" ca="1" si="71"/>
        <v>-5.0430834538335703E-2</v>
      </c>
      <c r="M307" s="30">
        <f t="shared" ca="1" si="71"/>
        <v>-5.0234684442170704E-2</v>
      </c>
      <c r="N307" s="30">
        <f t="shared" ca="1" si="69"/>
        <v>5.0790363859345503E-2</v>
      </c>
      <c r="O307" s="30">
        <f t="shared" ca="1" si="72"/>
        <v>-1.2809848610880081E-2</v>
      </c>
      <c r="P307" s="30">
        <f t="shared" ca="1" si="73"/>
        <v>-4.3571697200881054E-2</v>
      </c>
      <c r="Q307" s="30">
        <f t="shared" ca="1" si="74"/>
        <v>-0.15690267582287476</v>
      </c>
      <c r="R307" s="30">
        <f t="shared" ca="1" si="75"/>
        <v>8.4760221802449465E-2</v>
      </c>
      <c r="S307" s="9" cm="1">
        <f t="array" aca="1" ref="S307" ca="1">_xll.BDH($E$6,"PX LAST",AG307)</f>
        <v>178.02</v>
      </c>
      <c r="T307" s="9" cm="1">
        <f t="array" aca="1" ref="T307" ca="1">_xll.BDH($E$6,"PX LAST",AH307)</f>
        <v>180.33</v>
      </c>
      <c r="U307" s="9" cm="1">
        <f t="array" aca="1" ref="U307" ca="1">_xll.BDH($E$6,"PX LAST",AI307)</f>
        <v>186.13</v>
      </c>
      <c r="V307" s="9" cm="1">
        <f t="array" aca="1" ref="V307" ca="1">_xll.BDH($E$6,"PX LAST",AJ307)</f>
        <v>211.15</v>
      </c>
      <c r="W307" s="9" cm="1">
        <f t="array" aca="1" ref="W307" ca="1">_xll.BDH($E$6,"PX LAST",AK307)</f>
        <v>164.11</v>
      </c>
      <c r="X307" s="24">
        <f t="shared" ca="1" si="76"/>
        <v>-2.8392196078171672E-2</v>
      </c>
      <c r="Y307" s="24">
        <f t="shared" ca="1" si="77"/>
        <v>-3.0089528163276036E-2</v>
      </c>
      <c r="Z307" s="24">
        <f t="shared" ca="1" si="78"/>
        <v>-2.9972495322221238E-2</v>
      </c>
      <c r="AA307" s="24">
        <f t="shared" ca="1" si="79"/>
        <v>3.0304041124028736E-2</v>
      </c>
      <c r="AB307" s="9" cm="1">
        <f t="array" aca="1" ref="AB307" ca="1">_xll.BDH($E$8,"PX LAST",AG307)</f>
        <v>5868.55</v>
      </c>
      <c r="AC307" s="9" cm="1">
        <f t="array" aca="1" ref="AC307" ca="1">_xll.BDH($E$8,"PX LAST",AH307)</f>
        <v>6040.04</v>
      </c>
      <c r="AD307" s="9" cm="1">
        <f t="array" aca="1" ref="AD307" ca="1">_xll.BDH($E$8,"PX LAST",AI307)</f>
        <v>6050.61</v>
      </c>
      <c r="AE307" s="9" cm="1">
        <f t="array" aca="1" ref="AE307" ca="1">_xll.BDH($E$8,"PX LAST",AJ307)</f>
        <v>6049.88</v>
      </c>
      <c r="AF307" s="9" cm="1">
        <f t="array" aca="1" ref="AF307" ca="1">_xll.BDH($E$8,"PX LAST",AK307)</f>
        <v>5695.94</v>
      </c>
      <c r="AG307" s="20">
        <f t="shared" ca="1" si="85"/>
        <v>45659</v>
      </c>
      <c r="AH307" s="22">
        <f t="shared" ca="1" si="80"/>
        <v>45650</v>
      </c>
      <c r="AI307" s="22">
        <f t="shared" ca="1" si="81"/>
        <v>45643</v>
      </c>
      <c r="AJ307" s="22">
        <f t="shared" ca="1" si="82"/>
        <v>45629</v>
      </c>
      <c r="AK307" s="22">
        <f t="shared" ca="1" si="83"/>
        <v>45572</v>
      </c>
      <c r="AL307" s="22">
        <f t="shared" ca="1" si="84"/>
        <v>45485</v>
      </c>
    </row>
    <row r="308" spans="4:38" x14ac:dyDescent="0.25">
      <c r="D308" s="6">
        <f ca="1"/>
        <v>45657</v>
      </c>
      <c r="E308" s="28">
        <f ca="1"/>
        <v>180.96</v>
      </c>
      <c r="F308" s="29" cm="1">
        <f t="array" aca="1" ref="F308" ca="1">_xll.FDS($E$7,"P_BETA_LOCIDX("&amp;$AG308&amp;","&amp;$AL308&amp;",,"""&amp;$E$9&amp;""")")</f>
        <v>1.6216953999999999</v>
      </c>
      <c r="G308" s="30">
        <f t="shared" ca="1" si="70"/>
        <v>3.5930143638070053E-2</v>
      </c>
      <c r="H308" s="30">
        <f t="shared" ca="1" si="70"/>
        <v>6.0636317423278935E-3</v>
      </c>
      <c r="I308" s="30">
        <f t="shared" ca="1" si="70"/>
        <v>-0.10230849341246337</v>
      </c>
      <c r="J308" s="30">
        <f t="shared" ca="1" si="68"/>
        <v>6.117612083773083E-2</v>
      </c>
      <c r="K308" s="30">
        <f t="shared" ca="1" si="71"/>
        <v>-2.5093365624440242E-2</v>
      </c>
      <c r="L308" s="30">
        <f t="shared" ca="1" si="71"/>
        <v>-5.1381489827265939E-2</v>
      </c>
      <c r="M308" s="30">
        <f t="shared" ca="1" si="71"/>
        <v>-4.4388351968778585E-2</v>
      </c>
      <c r="N308" s="30">
        <f t="shared" ca="1" si="69"/>
        <v>3.6815505883948774E-2</v>
      </c>
      <c r="O308" s="30">
        <f t="shared" ca="1" si="72"/>
        <v>1.0836778013629811E-2</v>
      </c>
      <c r="P308" s="30">
        <f t="shared" ca="1" si="73"/>
        <v>-4.5317858084938045E-2</v>
      </c>
      <c r="Q308" s="30">
        <f t="shared" ca="1" si="74"/>
        <v>-0.14669684538124195</v>
      </c>
      <c r="R308" s="30">
        <f t="shared" ca="1" si="75"/>
        <v>9.7991626721679603E-2</v>
      </c>
      <c r="S308" s="9" cm="1">
        <f t="array" aca="1" ref="S308" ca="1">_xll.BDH($E$6,"PX LAST",AG308)</f>
        <v>180.96</v>
      </c>
      <c r="T308" s="9" cm="1">
        <f t="array" aca="1" ref="T308" ca="1">_xll.BDH($E$6,"PX LAST",AH308)</f>
        <v>179.02</v>
      </c>
      <c r="U308" s="9" cm="1">
        <f t="array" aca="1" ref="U308" ca="1">_xll.BDH($E$6,"PX LAST",AI308)</f>
        <v>189.55</v>
      </c>
      <c r="V308" s="9" cm="1">
        <f t="array" aca="1" ref="V308" ca="1">_xll.BDH($E$6,"PX LAST",AJ308)</f>
        <v>212.07</v>
      </c>
      <c r="W308" s="9" cm="1">
        <f t="array" aca="1" ref="W308" ca="1">_xll.BDH($E$6,"PX LAST",AK308)</f>
        <v>164.81</v>
      </c>
      <c r="X308" s="24">
        <f t="shared" ca="1" si="76"/>
        <v>-1.5473538140664544E-2</v>
      </c>
      <c r="Y308" s="24">
        <f t="shared" ca="1" si="77"/>
        <v>-3.1683810552379899E-2</v>
      </c>
      <c r="Z308" s="24">
        <f t="shared" ca="1" si="78"/>
        <v>-2.7371571732138222E-2</v>
      </c>
      <c r="AA308" s="24">
        <f t="shared" ca="1" si="79"/>
        <v>2.2701862436033782E-2</v>
      </c>
      <c r="AB308" s="9" cm="1">
        <f t="array" aca="1" ref="AB308" ca="1">_xll.BDH($E$8,"PX LAST",AG308)</f>
        <v>5881.63</v>
      </c>
      <c r="AC308" s="9" cm="1">
        <f t="array" aca="1" ref="AC308" ca="1">_xll.BDH($E$8,"PX LAST",AH308)</f>
        <v>5974.07</v>
      </c>
      <c r="AD308" s="9" cm="1">
        <f t="array" aca="1" ref="AD308" ca="1">_xll.BDH($E$8,"PX LAST",AI308)</f>
        <v>6074.08</v>
      </c>
      <c r="AE308" s="9" cm="1">
        <f t="array" aca="1" ref="AE308" ca="1">_xll.BDH($E$8,"PX LAST",AJ308)</f>
        <v>6047.15</v>
      </c>
      <c r="AF308" s="9" cm="1">
        <f t="array" aca="1" ref="AF308" ca="1">_xll.BDH($E$8,"PX LAST",AK308)</f>
        <v>5751.07</v>
      </c>
      <c r="AG308" s="20">
        <f t="shared" ca="1" si="85"/>
        <v>45657</v>
      </c>
      <c r="AH308" s="22">
        <f t="shared" ca="1" si="80"/>
        <v>45649</v>
      </c>
      <c r="AI308" s="22">
        <f t="shared" ca="1" si="81"/>
        <v>45642</v>
      </c>
      <c r="AJ308" s="22">
        <f t="shared" ca="1" si="82"/>
        <v>45628</v>
      </c>
      <c r="AK308" s="22">
        <f t="shared" ca="1" si="83"/>
        <v>45569</v>
      </c>
      <c r="AL308" s="22">
        <f t="shared" ca="1" si="84"/>
        <v>45484</v>
      </c>
    </row>
    <row r="309" spans="4:38" x14ac:dyDescent="0.25">
      <c r="D309" s="6">
        <f ca="1"/>
        <v>45656</v>
      </c>
      <c r="E309" s="28">
        <f ca="1"/>
        <v>178.9</v>
      </c>
      <c r="F309" s="29" cm="1">
        <f t="array" aca="1" ref="F309" ca="1">_xll.FDS($E$7,"P_BETA_LOCIDX("&amp;$AG309&amp;","&amp;$AL309&amp;",,"""&amp;$E$9&amp;""")")</f>
        <v>1.6424574000000001</v>
      </c>
      <c r="G309" s="30">
        <f t="shared" ca="1" si="70"/>
        <v>1.1169767705596859E-2</v>
      </c>
      <c r="H309" s="30">
        <f t="shared" ca="1" si="70"/>
        <v>-2.3192954377834155E-2</v>
      </c>
      <c r="I309" s="30">
        <f t="shared" ca="1" si="70"/>
        <v>-0.12026298616476203</v>
      </c>
      <c r="J309" s="30">
        <f t="shared" ca="1" si="68"/>
        <v>2.7493703128405447E-2</v>
      </c>
      <c r="K309" s="30">
        <f t="shared" ca="1" si="71"/>
        <v>-6.6215055909357749E-3</v>
      </c>
      <c r="L309" s="30">
        <f t="shared" ca="1" si="71"/>
        <v>-3.9126873705398621E-2</v>
      </c>
      <c r="M309" s="30">
        <f t="shared" ca="1" si="71"/>
        <v>-3.4153991667633811E-2</v>
      </c>
      <c r="N309" s="30">
        <f t="shared" ca="1" si="69"/>
        <v>5.9647765029105446E-2</v>
      </c>
      <c r="O309" s="30">
        <f t="shared" ca="1" si="72"/>
        <v>4.5482621146610835E-3</v>
      </c>
      <c r="P309" s="30">
        <f t="shared" ca="1" si="73"/>
        <v>-6.2319828083232776E-2</v>
      </c>
      <c r="Q309" s="30">
        <f t="shared" ca="1" si="74"/>
        <v>-0.15441697783239583</v>
      </c>
      <c r="R309" s="30">
        <f t="shared" ca="1" si="75"/>
        <v>8.7141468157510893E-2</v>
      </c>
      <c r="S309" s="9" cm="1">
        <f t="array" aca="1" ref="S309" ca="1">_xll.BDH($E$6,"PX LAST",AG309)</f>
        <v>178.9</v>
      </c>
      <c r="T309" s="9" cm="1">
        <f t="array" aca="1" ref="T309" ca="1">_xll.BDH($E$6,"PX LAST",AH309)</f>
        <v>178.09</v>
      </c>
      <c r="U309" s="9" cm="1">
        <f t="array" aca="1" ref="U309" ca="1">_xll.BDH($E$6,"PX LAST",AI309)</f>
        <v>190.79</v>
      </c>
      <c r="V309" s="9" cm="1">
        <f t="array" aca="1" ref="V309" ca="1">_xll.BDH($E$6,"PX LAST",AJ309)</f>
        <v>211.57</v>
      </c>
      <c r="W309" s="9" cm="1">
        <f t="array" aca="1" ref="W309" ca="1">_xll.BDH($E$6,"PX LAST",AK309)</f>
        <v>164.56</v>
      </c>
      <c r="X309" s="24">
        <f t="shared" ca="1" si="76"/>
        <v>-4.0314626065405257E-3</v>
      </c>
      <c r="Y309" s="24">
        <f t="shared" ca="1" si="77"/>
        <v>-2.3822154355661596E-2</v>
      </c>
      <c r="Z309" s="24">
        <f t="shared" ca="1" si="78"/>
        <v>-2.0794445973231213E-2</v>
      </c>
      <c r="AA309" s="24">
        <f t="shared" ca="1" si="79"/>
        <v>3.6316171749176229E-2</v>
      </c>
      <c r="AB309" s="9" cm="1">
        <f t="array" aca="1" ref="AB309" ca="1">_xll.BDH($E$8,"PX LAST",AG309)</f>
        <v>5906.94</v>
      </c>
      <c r="AC309" s="9" cm="1">
        <f t="array" aca="1" ref="AC309" ca="1">_xll.BDH($E$8,"PX LAST",AH309)</f>
        <v>5930.85</v>
      </c>
      <c r="AD309" s="9" cm="1">
        <f t="array" aca="1" ref="AD309" ca="1">_xll.BDH($E$8,"PX LAST",AI309)</f>
        <v>6051.09</v>
      </c>
      <c r="AE309" s="9" cm="1">
        <f t="array" aca="1" ref="AE309" ca="1">_xll.BDH($E$8,"PX LAST",AJ309)</f>
        <v>6032.38</v>
      </c>
      <c r="AF309" s="9" cm="1">
        <f t="array" aca="1" ref="AF309" ca="1">_xll.BDH($E$8,"PX LAST",AK309)</f>
        <v>5699.94</v>
      </c>
      <c r="AG309" s="20">
        <f t="shared" ca="1" si="85"/>
        <v>45656</v>
      </c>
      <c r="AH309" s="22">
        <f t="shared" ca="1" si="80"/>
        <v>45646</v>
      </c>
      <c r="AI309" s="22">
        <f t="shared" ca="1" si="81"/>
        <v>45639</v>
      </c>
      <c r="AJ309" s="22">
        <f t="shared" ca="1" si="82"/>
        <v>45625</v>
      </c>
      <c r="AK309" s="22">
        <f t="shared" ca="1" si="83"/>
        <v>45568</v>
      </c>
      <c r="AL309" s="22">
        <f t="shared" ca="1" si="84"/>
        <v>45483</v>
      </c>
    </row>
    <row r="310" spans="4:38" x14ac:dyDescent="0.25">
      <c r="D310" s="6">
        <f ca="1"/>
        <v>45653</v>
      </c>
      <c r="E310" s="28">
        <f ca="1"/>
        <v>178.57</v>
      </c>
      <c r="F310" s="29" cm="1">
        <f t="array" aca="1" ref="F310" ca="1">_xll.FDS($E$7,"P_BETA_LOCIDX("&amp;$AG310&amp;","&amp;$AL310&amp;",,"""&amp;$E$9&amp;""")")</f>
        <v>1.6632111999999999</v>
      </c>
      <c r="G310" s="30">
        <f t="shared" ca="1" si="70"/>
        <v>-9.8297531972597052E-3</v>
      </c>
      <c r="H310" s="30">
        <f t="shared" ca="1" si="70"/>
        <v>-5.2186172906838274E-2</v>
      </c>
      <c r="I310" s="30">
        <f t="shared" ca="1" si="70"/>
        <v>-0.13511472905769498</v>
      </c>
      <c r="J310" s="30">
        <f t="shared" ca="1" si="68"/>
        <v>-9.8371780470171838E-3</v>
      </c>
      <c r="K310" s="30">
        <f t="shared" ca="1" si="71"/>
        <v>2.9414085731232553E-2</v>
      </c>
      <c r="L310" s="30">
        <f t="shared" ca="1" si="71"/>
        <v>-2.2101022531212575E-2</v>
      </c>
      <c r="M310" s="30">
        <f t="shared" ca="1" si="71"/>
        <v>-7.7355565468748165E-3</v>
      </c>
      <c r="N310" s="30">
        <f t="shared" ca="1" si="69"/>
        <v>7.6117705902752422E-2</v>
      </c>
      <c r="O310" s="30">
        <f t="shared" ca="1" si="72"/>
        <v>1.9584332533972848E-2</v>
      </c>
      <c r="P310" s="30">
        <f t="shared" ca="1" si="73"/>
        <v>-7.4287195438050846E-2</v>
      </c>
      <c r="Q310" s="30">
        <f t="shared" ca="1" si="74"/>
        <v>-0.1428502856045698</v>
      </c>
      <c r="R310" s="30">
        <f t="shared" ca="1" si="75"/>
        <v>6.6280527855735238E-2</v>
      </c>
      <c r="S310" s="9" cm="1">
        <f t="array" aca="1" ref="S310" ca="1">_xll.BDH($E$6,"PX LAST",AG310)</f>
        <v>178.57</v>
      </c>
      <c r="T310" s="9" cm="1">
        <f t="array" aca="1" ref="T310" ca="1">_xll.BDH($E$6,"PX LAST",AH310)</f>
        <v>175.14</v>
      </c>
      <c r="U310" s="9" cm="1">
        <f t="array" aca="1" ref="U310" ca="1">_xll.BDH($E$6,"PX LAST",AI310)</f>
        <v>192.9</v>
      </c>
      <c r="V310" s="9" cm="1">
        <f t="array" aca="1" ref="V310" ca="1">_xll.BDH($E$6,"PX LAST",AJ310)</f>
        <v>208.33</v>
      </c>
      <c r="W310" s="9" cm="1">
        <f t="array" aca="1" ref="W310" ca="1">_xll.BDH($E$6,"PX LAST",AK310)</f>
        <v>167.47</v>
      </c>
      <c r="X310" s="24">
        <f t="shared" ca="1" si="76"/>
        <v>1.768511763943903E-2</v>
      </c>
      <c r="Y310" s="24">
        <f t="shared" ca="1" si="77"/>
        <v>-1.3288163602561465E-2</v>
      </c>
      <c r="Z310" s="24">
        <f t="shared" ca="1" si="78"/>
        <v>-4.6509767051080564E-3</v>
      </c>
      <c r="AA310" s="24">
        <f t="shared" ca="1" si="79"/>
        <v>4.5765508254605569E-2</v>
      </c>
      <c r="AB310" s="9" cm="1">
        <f t="array" aca="1" ref="AB310" ca="1">_xll.BDH($E$8,"PX LAST",AG310)</f>
        <v>5970.84</v>
      </c>
      <c r="AC310" s="9" cm="1">
        <f t="array" aca="1" ref="AC310" ca="1">_xll.BDH($E$8,"PX LAST",AH310)</f>
        <v>5867.08</v>
      </c>
      <c r="AD310" s="9" cm="1">
        <f t="array" aca="1" ref="AD310" ca="1">_xll.BDH($E$8,"PX LAST",AI310)</f>
        <v>6051.25</v>
      </c>
      <c r="AE310" s="9" cm="1">
        <f t="array" aca="1" ref="AE310" ca="1">_xll.BDH($E$8,"PX LAST",AJ310)</f>
        <v>5998.74</v>
      </c>
      <c r="AF310" s="9" cm="1">
        <f t="array" aca="1" ref="AF310" ca="1">_xll.BDH($E$8,"PX LAST",AK310)</f>
        <v>5709.54</v>
      </c>
      <c r="AG310" s="20">
        <f t="shared" ca="1" si="85"/>
        <v>45653</v>
      </c>
      <c r="AH310" s="22">
        <f t="shared" ca="1" si="80"/>
        <v>45645</v>
      </c>
      <c r="AI310" s="22">
        <f t="shared" ca="1" si="81"/>
        <v>45638</v>
      </c>
      <c r="AJ310" s="22">
        <f t="shared" ca="1" si="82"/>
        <v>45623</v>
      </c>
      <c r="AK310" s="22">
        <f t="shared" ca="1" si="83"/>
        <v>45567</v>
      </c>
      <c r="AL310" s="22">
        <f t="shared" ca="1" si="84"/>
        <v>45482</v>
      </c>
    </row>
    <row r="311" spans="4:38" x14ac:dyDescent="0.25">
      <c r="D311" s="6">
        <f ca="1"/>
        <v>45652</v>
      </c>
      <c r="E311" s="28">
        <f ca="1"/>
        <v>180.03</v>
      </c>
      <c r="F311" s="29" cm="1">
        <f t="array" aca="1" ref="F311" ca="1">_xll.FDS($E$7,"P_BETA_LOCIDX("&amp;$AG311&amp;","&amp;$AL311&amp;",,"""&amp;$E$9&amp;""")")</f>
        <v>1.6752688</v>
      </c>
      <c r="G311" s="30">
        <f t="shared" ca="1" si="70"/>
        <v>-2.2551252385070303E-2</v>
      </c>
      <c r="H311" s="30">
        <f t="shared" ca="1" si="70"/>
        <v>-6.8648380766732187E-2</v>
      </c>
      <c r="I311" s="30">
        <f t="shared" ca="1" si="70"/>
        <v>-0.15117702022914403</v>
      </c>
      <c r="J311" s="30">
        <f t="shared" ca="1" si="68"/>
        <v>-1.5044059961714026E-2</v>
      </c>
      <c r="K311" s="30">
        <f t="shared" ca="1" si="71"/>
        <v>4.7195532407836499E-2</v>
      </c>
      <c r="L311" s="30">
        <f t="shared" ca="1" si="71"/>
        <v>-1.2831211070002518E-2</v>
      </c>
      <c r="M311" s="30">
        <f t="shared" ca="1" si="71"/>
        <v>4.4402080579510842E-3</v>
      </c>
      <c r="N311" s="30">
        <f t="shared" ca="1" si="69"/>
        <v>9.6500178181213078E-2</v>
      </c>
      <c r="O311" s="30">
        <f t="shared" ca="1" si="72"/>
        <v>2.4644280022766196E-2</v>
      </c>
      <c r="P311" s="30">
        <f t="shared" ca="1" si="73"/>
        <v>-8.1479591836734699E-2</v>
      </c>
      <c r="Q311" s="30">
        <f t="shared" ca="1" si="74"/>
        <v>-0.14673681217119294</v>
      </c>
      <c r="R311" s="30">
        <f t="shared" ca="1" si="75"/>
        <v>8.1456118219499052E-2</v>
      </c>
      <c r="S311" s="9" cm="1">
        <f t="array" aca="1" ref="S311" ca="1">_xll.BDH($E$6,"PX LAST",AG311)</f>
        <v>180.03</v>
      </c>
      <c r="T311" s="9" cm="1">
        <f t="array" aca="1" ref="T311" ca="1">_xll.BDH($E$6,"PX LAST",AH311)</f>
        <v>175.7</v>
      </c>
      <c r="U311" s="9" cm="1">
        <f t="array" aca="1" ref="U311" ca="1">_xll.BDH($E$6,"PX LAST",AI311)</f>
        <v>196</v>
      </c>
      <c r="V311" s="9" cm="1">
        <f t="array" aca="1" ref="V311" ca="1">_xll.BDH($E$6,"PX LAST",AJ311)</f>
        <v>210.99</v>
      </c>
      <c r="W311" s="9" cm="1">
        <f t="array" aca="1" ref="W311" ca="1">_xll.BDH($E$6,"PX LAST",AK311)</f>
        <v>166.47</v>
      </c>
      <c r="X311" s="24">
        <f t="shared" ca="1" si="76"/>
        <v>2.8171916296558797E-2</v>
      </c>
      <c r="Y311" s="24">
        <f t="shared" ca="1" si="77"/>
        <v>-7.6591953900189136E-3</v>
      </c>
      <c r="Z311" s="24">
        <f t="shared" ca="1" si="78"/>
        <v>2.6504451452513678E-3</v>
      </c>
      <c r="AA311" s="24">
        <f t="shared" ca="1" si="79"/>
        <v>5.7602802715130297E-2</v>
      </c>
      <c r="AB311" s="9" cm="1">
        <f t="array" aca="1" ref="AB311" ca="1">_xll.BDH($E$8,"PX LAST",AG311)</f>
        <v>6037.59</v>
      </c>
      <c r="AC311" s="9" cm="1">
        <f t="array" aca="1" ref="AC311" ca="1">_xll.BDH($E$8,"PX LAST",AH311)</f>
        <v>5872.16</v>
      </c>
      <c r="AD311" s="9" cm="1">
        <f t="array" aca="1" ref="AD311" ca="1">_xll.BDH($E$8,"PX LAST",AI311)</f>
        <v>6084.19</v>
      </c>
      <c r="AE311" s="9" cm="1">
        <f t="array" aca="1" ref="AE311" ca="1">_xll.BDH($E$8,"PX LAST",AJ311)</f>
        <v>6021.63</v>
      </c>
      <c r="AF311" s="9" cm="1">
        <f t="array" aca="1" ref="AF311" ca="1">_xll.BDH($E$8,"PX LAST",AK311)</f>
        <v>5708.75</v>
      </c>
      <c r="AG311" s="20">
        <f t="shared" ca="1" si="85"/>
        <v>45652</v>
      </c>
      <c r="AH311" s="22">
        <f t="shared" ca="1" si="80"/>
        <v>45644</v>
      </c>
      <c r="AI311" s="22">
        <f t="shared" ca="1" si="81"/>
        <v>45637</v>
      </c>
      <c r="AJ311" s="22">
        <f t="shared" ca="1" si="82"/>
        <v>45622</v>
      </c>
      <c r="AK311" s="22">
        <f t="shared" ca="1" si="83"/>
        <v>45566</v>
      </c>
      <c r="AL311" s="22">
        <f t="shared" ca="1" si="84"/>
        <v>45481</v>
      </c>
    </row>
    <row r="312" spans="4:38" x14ac:dyDescent="0.25">
      <c r="D312" s="6">
        <f ca="1"/>
        <v>45650</v>
      </c>
      <c r="E312" s="28">
        <f ca="1"/>
        <v>180.33</v>
      </c>
      <c r="F312" s="29" cm="1">
        <f t="array" aca="1" ref="F312" ca="1">_xll.FDS($E$7,"P_BETA_LOCIDX("&amp;$AG312&amp;","&amp;$AL312&amp;",,"""&amp;$E$9&amp;""")")</f>
        <v>1.656507</v>
      </c>
      <c r="G312" s="30">
        <f t="shared" ca="1" si="70"/>
        <v>-2.8267212564988358E-2</v>
      </c>
      <c r="H312" s="30">
        <f t="shared" ca="1" si="70"/>
        <v>-8.9083927511361488E-2</v>
      </c>
      <c r="I312" s="30">
        <f t="shared" ca="1" si="70"/>
        <v>-0.16870685409425454</v>
      </c>
      <c r="J312" s="30">
        <f t="shared" ca="1" si="68"/>
        <v>-6.2679204260265298E-3</v>
      </c>
      <c r="K312" s="30">
        <f t="shared" ca="1" si="71"/>
        <v>-2.8938039288599234E-3</v>
      </c>
      <c r="L312" s="30">
        <f t="shared" ca="1" si="71"/>
        <v>1.408120570149359E-3</v>
      </c>
      <c r="M312" s="30">
        <f t="shared" ca="1" si="71"/>
        <v>1.4572044769239329E-2</v>
      </c>
      <c r="N312" s="30">
        <f t="shared" ca="1" si="69"/>
        <v>7.9788577647124326E-2</v>
      </c>
      <c r="O312" s="30">
        <f t="shared" ca="1" si="72"/>
        <v>-3.1161016493848281E-2</v>
      </c>
      <c r="P312" s="30">
        <f t="shared" ca="1" si="73"/>
        <v>-8.7675806941212131E-2</v>
      </c>
      <c r="Q312" s="30">
        <f t="shared" ca="1" si="74"/>
        <v>-0.15413480932501522</v>
      </c>
      <c r="R312" s="30">
        <f t="shared" ca="1" si="75"/>
        <v>7.3520657221097796E-2</v>
      </c>
      <c r="S312" s="9" cm="1">
        <f t="array" aca="1" ref="S312" ca="1">_xll.BDH($E$6,"PX LAST",AG312)</f>
        <v>180.33</v>
      </c>
      <c r="T312" s="9" cm="1">
        <f t="array" aca="1" ref="T312" ca="1">_xll.BDH($E$6,"PX LAST",AH312)</f>
        <v>186.13</v>
      </c>
      <c r="U312" s="9" cm="1">
        <f t="array" aca="1" ref="U312" ca="1">_xll.BDH($E$6,"PX LAST",AI312)</f>
        <v>197.66</v>
      </c>
      <c r="V312" s="9" cm="1">
        <f t="array" aca="1" ref="V312" ca="1">_xll.BDH($E$6,"PX LAST",AJ312)</f>
        <v>213.19</v>
      </c>
      <c r="W312" s="9" cm="1">
        <f t="array" aca="1" ref="W312" ca="1">_xll.BDH($E$6,"PX LAST",AK312)</f>
        <v>167.98</v>
      </c>
      <c r="X312" s="24">
        <f t="shared" ca="1" si="76"/>
        <v>-1.7469313011414522E-3</v>
      </c>
      <c r="Y312" s="24">
        <f t="shared" ca="1" si="77"/>
        <v>8.500541018838792E-4</v>
      </c>
      <c r="Z312" s="24">
        <f t="shared" ca="1" si="78"/>
        <v>8.7968507040654398E-3</v>
      </c>
      <c r="AA312" s="24">
        <f t="shared" ca="1" si="79"/>
        <v>4.8166761533228852E-2</v>
      </c>
      <c r="AB312" s="9" cm="1">
        <f t="array" aca="1" ref="AB312" ca="1">_xll.BDH($E$8,"PX LAST",AG312)</f>
        <v>6040.04</v>
      </c>
      <c r="AC312" s="9" cm="1">
        <f t="array" aca="1" ref="AC312" ca="1">_xll.BDH($E$8,"PX LAST",AH312)</f>
        <v>6050.61</v>
      </c>
      <c r="AD312" s="9" cm="1">
        <f t="array" aca="1" ref="AD312" ca="1">_xll.BDH($E$8,"PX LAST",AI312)</f>
        <v>6034.91</v>
      </c>
      <c r="AE312" s="9" cm="1">
        <f t="array" aca="1" ref="AE312" ca="1">_xll.BDH($E$8,"PX LAST",AJ312)</f>
        <v>5987.37</v>
      </c>
      <c r="AF312" s="9" cm="1">
        <f t="array" aca="1" ref="AF312" ca="1">_xll.BDH($E$8,"PX LAST",AK312)</f>
        <v>5762.48</v>
      </c>
      <c r="AG312" s="20">
        <f t="shared" ca="1" si="85"/>
        <v>45650</v>
      </c>
      <c r="AH312" s="22">
        <f t="shared" ca="1" si="80"/>
        <v>45643</v>
      </c>
      <c r="AI312" s="22">
        <f t="shared" ca="1" si="81"/>
        <v>45636</v>
      </c>
      <c r="AJ312" s="22">
        <f t="shared" ca="1" si="82"/>
        <v>45621</v>
      </c>
      <c r="AK312" s="22">
        <f t="shared" ca="1" si="83"/>
        <v>45565</v>
      </c>
      <c r="AL312" s="22">
        <f t="shared" ca="1" si="84"/>
        <v>45478</v>
      </c>
    </row>
    <row r="313" spans="4:38" x14ac:dyDescent="0.25">
      <c r="D313" s="6">
        <f ca="1"/>
        <v>45649</v>
      </c>
      <c r="E313" s="28">
        <f ca="1"/>
        <v>179.02</v>
      </c>
      <c r="F313" s="29" cm="1">
        <f t="array" aca="1" ref="F313" ca="1">_xll.FDS($E$7,"P_BETA_LOCIDX("&amp;$AG313&amp;","&amp;$AL313&amp;",,"""&amp;$E$9&amp;""")")</f>
        <v>1.6695180999999999</v>
      </c>
      <c r="G313" s="30">
        <f t="shared" ca="1" si="70"/>
        <v>-2.806393413914916E-2</v>
      </c>
      <c r="H313" s="30">
        <f t="shared" ca="1" si="70"/>
        <v>-9.6572439359064219E-2</v>
      </c>
      <c r="I313" s="30">
        <f t="shared" ca="1" si="70"/>
        <v>-0.14827800970376573</v>
      </c>
      <c r="J313" s="30">
        <f t="shared" ca="1" si="68"/>
        <v>-2.5273306638589482E-2</v>
      </c>
      <c r="K313" s="30">
        <f t="shared" ca="1" si="71"/>
        <v>-2.748869049814966E-2</v>
      </c>
      <c r="L313" s="30">
        <f t="shared" ca="1" si="71"/>
        <v>-2.172937309168434E-2</v>
      </c>
      <c r="M313" s="30">
        <f t="shared" ca="1" si="71"/>
        <v>1.3228967713346026E-3</v>
      </c>
      <c r="N313" s="30">
        <f t="shared" ca="1" si="69"/>
        <v>6.8635003806091416E-2</v>
      </c>
      <c r="O313" s="30">
        <f t="shared" ca="1" si="72"/>
        <v>-5.555262463729882E-2</v>
      </c>
      <c r="P313" s="30">
        <f t="shared" ca="1" si="73"/>
        <v>-0.11830181245074856</v>
      </c>
      <c r="Q313" s="30">
        <f t="shared" ca="1" si="74"/>
        <v>-0.14695511293243113</v>
      </c>
      <c r="R313" s="30">
        <f t="shared" ca="1" si="75"/>
        <v>4.3361697167501934E-2</v>
      </c>
      <c r="S313" s="9" cm="1">
        <f t="array" aca="1" ref="S313" ca="1">_xll.BDH($E$6,"PX LAST",AG313)</f>
        <v>179.02</v>
      </c>
      <c r="T313" s="9" cm="1">
        <f t="array" aca="1" ref="T313" ca="1">_xll.BDH($E$6,"PX LAST",AH313)</f>
        <v>189.55</v>
      </c>
      <c r="U313" s="9" cm="1">
        <f t="array" aca="1" ref="U313" ca="1">_xll.BDH($E$6,"PX LAST",AI313)</f>
        <v>203.04</v>
      </c>
      <c r="V313" s="9" cm="1">
        <f t="array" aca="1" ref="V313" ca="1">_xll.BDH($E$6,"PX LAST",AJ313)</f>
        <v>209.86</v>
      </c>
      <c r="W313" s="9" cm="1">
        <f t="array" aca="1" ref="W313" ca="1">_xll.BDH($E$6,"PX LAST",AK313)</f>
        <v>171.58</v>
      </c>
      <c r="X313" s="24">
        <f t="shared" ca="1" si="76"/>
        <v>-1.6465044912151394E-2</v>
      </c>
      <c r="Y313" s="24">
        <f t="shared" ca="1" si="77"/>
        <v>-1.3015356402356071E-2</v>
      </c>
      <c r="Z313" s="24">
        <f t="shared" ca="1" si="78"/>
        <v>7.9238240743517707E-4</v>
      </c>
      <c r="AA313" s="24">
        <f t="shared" ca="1" si="79"/>
        <v>4.1110667686736324E-2</v>
      </c>
      <c r="AB313" s="9" cm="1">
        <f t="array" aca="1" ref="AB313" ca="1">_xll.BDH($E$8,"PX LAST",AG313)</f>
        <v>5974.07</v>
      </c>
      <c r="AC313" s="9" cm="1">
        <f t="array" aca="1" ref="AC313" ca="1">_xll.BDH($E$8,"PX LAST",AH313)</f>
        <v>6074.08</v>
      </c>
      <c r="AD313" s="9" cm="1">
        <f t="array" aca="1" ref="AD313" ca="1">_xll.BDH($E$8,"PX LAST",AI313)</f>
        <v>6052.85</v>
      </c>
      <c r="AE313" s="9" cm="1">
        <f t="array" aca="1" ref="AE313" ca="1">_xll.BDH($E$8,"PX LAST",AJ313)</f>
        <v>5969.34</v>
      </c>
      <c r="AF313" s="9" cm="1">
        <f t="array" aca="1" ref="AF313" ca="1">_xll.BDH($E$8,"PX LAST",AK313)</f>
        <v>5738.17</v>
      </c>
      <c r="AG313" s="20">
        <f t="shared" ca="1" si="85"/>
        <v>45649</v>
      </c>
      <c r="AH313" s="22">
        <f t="shared" ca="1" si="80"/>
        <v>45642</v>
      </c>
      <c r="AI313" s="22">
        <f t="shared" ca="1" si="81"/>
        <v>45635</v>
      </c>
      <c r="AJ313" s="22">
        <f t="shared" ca="1" si="82"/>
        <v>45618</v>
      </c>
      <c r="AK313" s="22">
        <f t="shared" ca="1" si="83"/>
        <v>45562</v>
      </c>
      <c r="AL313" s="22">
        <f t="shared" ca="1" si="84"/>
        <v>45476</v>
      </c>
    </row>
    <row r="314" spans="4:38" x14ac:dyDescent="0.25">
      <c r="D314" s="6">
        <f ca="1"/>
        <v>45646</v>
      </c>
      <c r="E314" s="28">
        <f ca="1"/>
        <v>178.09</v>
      </c>
      <c r="F314" s="29" cm="1">
        <f t="array" aca="1" ref="F314" ca="1">_xll.FDS($E$7,"P_BETA_LOCIDX("&amp;$AG314&amp;","&amp;$AL314&amp;",,"""&amp;$E$9&amp;""")")</f>
        <v>1.6764536999999999</v>
      </c>
      <c r="G314" s="30">
        <f t="shared" ca="1" si="70"/>
        <v>-3.3252857201515482E-2</v>
      </c>
      <c r="H314" s="30">
        <f t="shared" ca="1" si="70"/>
        <v>-9.4404939352053435E-2</v>
      </c>
      <c r="I314" s="30">
        <f t="shared" ca="1" si="70"/>
        <v>-0.13632924876680361</v>
      </c>
      <c r="J314" s="30">
        <f t="shared" ca="1" si="68"/>
        <v>-1.9376381580687205E-2</v>
      </c>
      <c r="K314" s="30">
        <f t="shared" ca="1" si="71"/>
        <v>-3.3312476411357275E-2</v>
      </c>
      <c r="L314" s="30">
        <f t="shared" ca="1" si="71"/>
        <v>-4.3883152775492797E-2</v>
      </c>
      <c r="M314" s="30">
        <f t="shared" ca="1" si="71"/>
        <v>-5.0332699159985434E-3</v>
      </c>
      <c r="N314" s="30">
        <f t="shared" ca="1" si="69"/>
        <v>5.4121602660229237E-2</v>
      </c>
      <c r="O314" s="30">
        <f t="shared" ca="1" si="72"/>
        <v>-6.6565333612872757E-2</v>
      </c>
      <c r="P314" s="30">
        <f t="shared" ca="1" si="73"/>
        <v>-0.13828809212754622</v>
      </c>
      <c r="Q314" s="30">
        <f t="shared" ca="1" si="74"/>
        <v>-0.14136251868280214</v>
      </c>
      <c r="R314" s="30">
        <f t="shared" ca="1" si="75"/>
        <v>3.4745221079542032E-2</v>
      </c>
      <c r="S314" s="9" cm="1">
        <f t="array" aca="1" ref="S314" ca="1">_xll.BDH($E$6,"PX LAST",AG314)</f>
        <v>178.09</v>
      </c>
      <c r="T314" s="9" cm="1">
        <f t="array" aca="1" ref="T314" ca="1">_xll.BDH($E$6,"PX LAST",AH314)</f>
        <v>190.79</v>
      </c>
      <c r="U314" s="9" cm="1">
        <f t="array" aca="1" ref="U314" ca="1">_xll.BDH($E$6,"PX LAST",AI314)</f>
        <v>206.67</v>
      </c>
      <c r="V314" s="9" cm="1">
        <f t="array" aca="1" ref="V314" ca="1">_xll.BDH($E$6,"PX LAST",AJ314)</f>
        <v>207.41</v>
      </c>
      <c r="W314" s="9" cm="1">
        <f t="array" aca="1" ref="W314" ca="1">_xll.BDH($E$6,"PX LAST",AK314)</f>
        <v>172.11</v>
      </c>
      <c r="X314" s="24">
        <f t="shared" ca="1" si="76"/>
        <v>-1.9870800136834843E-2</v>
      </c>
      <c r="Y314" s="24">
        <f t="shared" ca="1" si="77"/>
        <v>-2.6176179381209752E-2</v>
      </c>
      <c r="Z314" s="24">
        <f t="shared" ca="1" si="78"/>
        <v>-3.0023315979430532E-3</v>
      </c>
      <c r="AA314" s="24">
        <f t="shared" ca="1" si="79"/>
        <v>3.2283386448566542E-2</v>
      </c>
      <c r="AB314" s="9" cm="1">
        <f t="array" aca="1" ref="AB314" ca="1">_xll.BDH($E$8,"PX LAST",AG314)</f>
        <v>5930.85</v>
      </c>
      <c r="AC314" s="9" cm="1">
        <f t="array" aca="1" ref="AC314" ca="1">_xll.BDH($E$8,"PX LAST",AH314)</f>
        <v>6051.09</v>
      </c>
      <c r="AD314" s="9" cm="1">
        <f t="array" aca="1" ref="AD314" ca="1">_xll.BDH($E$8,"PX LAST",AI314)</f>
        <v>6090.27</v>
      </c>
      <c r="AE314" s="9" cm="1">
        <f t="array" aca="1" ref="AE314" ca="1">_xll.BDH($E$8,"PX LAST",AJ314)</f>
        <v>5948.71</v>
      </c>
      <c r="AF314" s="9" cm="1">
        <f t="array" aca="1" ref="AF314" ca="1">_xll.BDH($E$8,"PX LAST",AK314)</f>
        <v>5745.37</v>
      </c>
      <c r="AG314" s="20">
        <f t="shared" ca="1" si="85"/>
        <v>45646</v>
      </c>
      <c r="AH314" s="22">
        <f t="shared" ca="1" si="80"/>
        <v>45639</v>
      </c>
      <c r="AI314" s="22">
        <f t="shared" ca="1" si="81"/>
        <v>45632</v>
      </c>
      <c r="AJ314" s="22">
        <f t="shared" ca="1" si="82"/>
        <v>45617</v>
      </c>
      <c r="AK314" s="22">
        <f t="shared" ca="1" si="83"/>
        <v>45561</v>
      </c>
      <c r="AL314" s="22">
        <f t="shared" ca="1" si="84"/>
        <v>45475</v>
      </c>
    </row>
    <row r="315" spans="4:38" x14ac:dyDescent="0.25">
      <c r="D315" s="6">
        <f ca="1"/>
        <v>45645</v>
      </c>
      <c r="E315" s="28">
        <f ca="1"/>
        <v>175.14</v>
      </c>
      <c r="F315" s="29" cm="1">
        <f t="array" aca="1" ref="F315" ca="1">_xll.FDS($E$7,"P_BETA_LOCIDX("&amp;$AG315&amp;","&amp;$AL315&amp;",,"""&amp;$E$9&amp;""")")</f>
        <v>1.6727718</v>
      </c>
      <c r="G315" s="30">
        <f t="shared" ca="1" si="70"/>
        <v>-4.1157562490415772E-2</v>
      </c>
      <c r="H315" s="30">
        <f t="shared" ca="1" si="70"/>
        <v>-0.10348404368800891</v>
      </c>
      <c r="I315" s="30">
        <f t="shared" ca="1" si="70"/>
        <v>-0.11813947482277543</v>
      </c>
      <c r="J315" s="30">
        <f t="shared" ca="1" si="68"/>
        <v>3.0629714698775498E-2</v>
      </c>
      <c r="K315" s="30">
        <f t="shared" ca="1" si="71"/>
        <v>-5.0910866747531452E-2</v>
      </c>
      <c r="L315" s="30">
        <f t="shared" ca="1" si="71"/>
        <v>-5.7280727024531228E-2</v>
      </c>
      <c r="M315" s="30">
        <f t="shared" ca="1" si="71"/>
        <v>-1.4143521610042727E-2</v>
      </c>
      <c r="N315" s="30">
        <f t="shared" ca="1" si="69"/>
        <v>4.2334813880529745E-2</v>
      </c>
      <c r="O315" s="30">
        <f t="shared" ca="1" si="72"/>
        <v>-9.2068429237947225E-2</v>
      </c>
      <c r="P315" s="30">
        <f t="shared" ca="1" si="73"/>
        <v>-0.16076477071254014</v>
      </c>
      <c r="Q315" s="30">
        <f t="shared" ca="1" si="74"/>
        <v>-0.13228299643281816</v>
      </c>
      <c r="R315" s="30">
        <f t="shared" ca="1" si="75"/>
        <v>7.2964528579305243E-2</v>
      </c>
      <c r="S315" s="9" cm="1">
        <f t="array" aca="1" ref="S315" ca="1">_xll.BDH($E$6,"PX LAST",AG315)</f>
        <v>175.14</v>
      </c>
      <c r="T315" s="9" cm="1">
        <f t="array" aca="1" ref="T315" ca="1">_xll.BDH($E$6,"PX LAST",AH315)</f>
        <v>192.9</v>
      </c>
      <c r="U315" s="9" cm="1">
        <f t="array" aca="1" ref="U315" ca="1">_xll.BDH($E$6,"PX LAST",AI315)</f>
        <v>208.69</v>
      </c>
      <c r="V315" s="9" cm="1">
        <f t="array" aca="1" ref="V315" ca="1">_xll.BDH($E$6,"PX LAST",AJ315)</f>
        <v>201.84</v>
      </c>
      <c r="W315" s="9" cm="1">
        <f t="array" aca="1" ref="W315" ca="1">_xll.BDH($E$6,"PX LAST",AK315)</f>
        <v>163.22999999999999</v>
      </c>
      <c r="X315" s="24">
        <f t="shared" ca="1" si="76"/>
        <v>-3.0435034083866941E-2</v>
      </c>
      <c r="Y315" s="24">
        <f t="shared" ca="1" si="77"/>
        <v>-3.4243001361292214E-2</v>
      </c>
      <c r="Z315" s="24">
        <f t="shared" ca="1" si="78"/>
        <v>-8.4551411077367078E-3</v>
      </c>
      <c r="AA315" s="24">
        <f t="shared" ca="1" si="79"/>
        <v>2.530818243141697E-2</v>
      </c>
      <c r="AB315" s="9" cm="1">
        <f t="array" aca="1" ref="AB315" ca="1">_xll.BDH($E$8,"PX LAST",AG315)</f>
        <v>5867.08</v>
      </c>
      <c r="AC315" s="9" cm="1">
        <f t="array" aca="1" ref="AC315" ca="1">_xll.BDH($E$8,"PX LAST",AH315)</f>
        <v>6051.25</v>
      </c>
      <c r="AD315" s="9" cm="1">
        <f t="array" aca="1" ref="AD315" ca="1">_xll.BDH($E$8,"PX LAST",AI315)</f>
        <v>6075.11</v>
      </c>
      <c r="AE315" s="9" cm="1">
        <f t="array" aca="1" ref="AE315" ca="1">_xll.BDH($E$8,"PX LAST",AJ315)</f>
        <v>5917.11</v>
      </c>
      <c r="AF315" s="9" cm="1">
        <f t="array" aca="1" ref="AF315" ca="1">_xll.BDH($E$8,"PX LAST",AK315)</f>
        <v>5722.26</v>
      </c>
      <c r="AG315" s="20">
        <f t="shared" ca="1" si="85"/>
        <v>45645</v>
      </c>
      <c r="AH315" s="22">
        <f t="shared" ca="1" si="80"/>
        <v>45638</v>
      </c>
      <c r="AI315" s="22">
        <f t="shared" ca="1" si="81"/>
        <v>45631</v>
      </c>
      <c r="AJ315" s="22">
        <f t="shared" ca="1" si="82"/>
        <v>45616</v>
      </c>
      <c r="AK315" s="22">
        <f t="shared" ca="1" si="83"/>
        <v>45560</v>
      </c>
      <c r="AL315" s="22">
        <f t="shared" ca="1" si="84"/>
        <v>45474</v>
      </c>
    </row>
    <row r="316" spans="4:38" x14ac:dyDescent="0.25">
      <c r="D316" s="6">
        <f ca="1"/>
        <v>45644</v>
      </c>
      <c r="E316" s="28">
        <f ca="1"/>
        <v>175.7</v>
      </c>
      <c r="F316" s="29" cm="1">
        <f t="array" aca="1" ref="F316" ca="1">_xll.FDS($E$7,"P_BETA_LOCIDX("&amp;$AG316&amp;","&amp;$AL316&amp;",,"""&amp;$E$9&amp;""")")</f>
        <v>1.6686049999999999</v>
      </c>
      <c r="G316" s="30">
        <f t="shared" ca="1" si="70"/>
        <v>-4.542164722830825E-2</v>
      </c>
      <c r="H316" s="30">
        <f t="shared" ca="1" si="70"/>
        <v>-0.108776948026339</v>
      </c>
      <c r="I316" s="30">
        <f t="shared" ca="1" si="70"/>
        <v>-0.12827594786089019</v>
      </c>
      <c r="J316" s="30">
        <f t="shared" ca="1" si="68"/>
        <v>5.1228516429681556E-3</v>
      </c>
      <c r="K316" s="30">
        <f t="shared" ca="1" si="71"/>
        <v>-5.8149781343120398E-2</v>
      </c>
      <c r="L316" s="30">
        <f t="shared" ca="1" si="71"/>
        <v>-5.8758349993181601E-2</v>
      </c>
      <c r="M316" s="30">
        <f t="shared" ca="1" si="71"/>
        <v>-1.2639366044840452E-2</v>
      </c>
      <c r="N316" s="30">
        <f t="shared" ca="1" si="69"/>
        <v>4.0523759081307294E-2</v>
      </c>
      <c r="O316" s="30">
        <f t="shared" ca="1" si="72"/>
        <v>-0.10357142857142865</v>
      </c>
      <c r="P316" s="30">
        <f t="shared" ca="1" si="73"/>
        <v>-0.16753529801952061</v>
      </c>
      <c r="Q316" s="30">
        <f t="shared" ca="1" si="74"/>
        <v>-0.14091531390573064</v>
      </c>
      <c r="R316" s="30">
        <f t="shared" ca="1" si="75"/>
        <v>4.5646610724275449E-2</v>
      </c>
      <c r="S316" s="9" cm="1">
        <f t="array" aca="1" ref="S316" ca="1">_xll.BDH($E$6,"PX LAST",AG316)</f>
        <v>175.7</v>
      </c>
      <c r="T316" s="9" cm="1">
        <f t="array" aca="1" ref="T316" ca="1">_xll.BDH($E$6,"PX LAST",AH316)</f>
        <v>196</v>
      </c>
      <c r="U316" s="9" cm="1">
        <f t="array" aca="1" ref="U316" ca="1">_xll.BDH($E$6,"PX LAST",AI316)</f>
        <v>211.06</v>
      </c>
      <c r="V316" s="9" cm="1">
        <f t="array" aca="1" ref="V316" ca="1">_xll.BDH($E$6,"PX LAST",AJ316)</f>
        <v>204.52</v>
      </c>
      <c r="W316" s="9" cm="1">
        <f t="array" aca="1" ref="W316" ca="1">_xll.BDH($E$6,"PX LAST",AK316)</f>
        <v>168.03</v>
      </c>
      <c r="X316" s="24">
        <f t="shared" ca="1" si="76"/>
        <v>-3.4849339024586645E-2</v>
      </c>
      <c r="Y316" s="24">
        <f t="shared" ca="1" si="77"/>
        <v>-3.5214056048724296E-2</v>
      </c>
      <c r="Z316" s="24">
        <f t="shared" ca="1" si="78"/>
        <v>-7.5748101227315345E-3</v>
      </c>
      <c r="AA316" s="24">
        <f t="shared" ca="1" si="79"/>
        <v>2.4286010818202808E-2</v>
      </c>
      <c r="AB316" s="9" cm="1">
        <f t="array" aca="1" ref="AB316" ca="1">_xll.BDH($E$8,"PX LAST",AG316)</f>
        <v>5872.16</v>
      </c>
      <c r="AC316" s="9" cm="1">
        <f t="array" aca="1" ref="AC316" ca="1">_xll.BDH($E$8,"PX LAST",AH316)</f>
        <v>6084.19</v>
      </c>
      <c r="AD316" s="9" cm="1">
        <f t="array" aca="1" ref="AD316" ca="1">_xll.BDH($E$8,"PX LAST",AI316)</f>
        <v>6086.49</v>
      </c>
      <c r="AE316" s="9" cm="1">
        <f t="array" aca="1" ref="AE316" ca="1">_xll.BDH($E$8,"PX LAST",AJ316)</f>
        <v>5916.98</v>
      </c>
      <c r="AF316" s="9" cm="1">
        <f t="array" aca="1" ref="AF316" ca="1">_xll.BDH($E$8,"PX LAST",AK316)</f>
        <v>5732.93</v>
      </c>
      <c r="AG316" s="20">
        <f t="shared" ca="1" si="85"/>
        <v>45644</v>
      </c>
      <c r="AH316" s="22">
        <f t="shared" ca="1" si="80"/>
        <v>45637</v>
      </c>
      <c r="AI316" s="22">
        <f t="shared" ca="1" si="81"/>
        <v>45630</v>
      </c>
      <c r="AJ316" s="22">
        <f t="shared" ca="1" si="82"/>
        <v>45615</v>
      </c>
      <c r="AK316" s="22">
        <f t="shared" ca="1" si="83"/>
        <v>45559</v>
      </c>
      <c r="AL316" s="22">
        <f t="shared" ca="1" si="84"/>
        <v>45471</v>
      </c>
    </row>
    <row r="317" spans="4:38" x14ac:dyDescent="0.25">
      <c r="D317" s="6">
        <f ca="1"/>
        <v>45643</v>
      </c>
      <c r="E317" s="28">
        <f ca="1"/>
        <v>186.13</v>
      </c>
      <c r="F317" s="29" cm="1">
        <f t="array" aca="1" ref="F317" ca="1">_xll.FDS($E$7,"P_BETA_LOCIDX("&amp;$AG317&amp;","&amp;$AL317&amp;",,"""&amp;$E$9&amp;""")")</f>
        <v>1.6446430999999999</v>
      </c>
      <c r="G317" s="30">
        <f t="shared" ca="1" si="70"/>
        <v>-6.261107865867846E-2</v>
      </c>
      <c r="H317" s="30">
        <f t="shared" ca="1" si="70"/>
        <v>-0.11869241011415221</v>
      </c>
      <c r="I317" s="30">
        <f t="shared" ca="1" si="70"/>
        <v>-0.12862541650655068</v>
      </c>
      <c r="J317" s="30">
        <f t="shared" ca="1" si="68"/>
        <v>1.3941856521785381E-2</v>
      </c>
      <c r="K317" s="30">
        <f t="shared" ca="1" si="71"/>
        <v>4.2785885241039328E-3</v>
      </c>
      <c r="L317" s="30">
        <f t="shared" ca="1" si="71"/>
        <v>1.9844847550665279E-4</v>
      </c>
      <c r="M317" s="30">
        <f t="shared" ca="1" si="71"/>
        <v>4.3808817037576345E-2</v>
      </c>
      <c r="N317" s="30">
        <f t="shared" ca="1" si="69"/>
        <v>9.549368022495118E-2</v>
      </c>
      <c r="O317" s="30">
        <f t="shared" ca="1" si="72"/>
        <v>-5.8332490134574533E-2</v>
      </c>
      <c r="P317" s="30">
        <f t="shared" ca="1" si="73"/>
        <v>-0.11849396163864556</v>
      </c>
      <c r="Q317" s="30">
        <f t="shared" ca="1" si="74"/>
        <v>-8.4816599468974352E-2</v>
      </c>
      <c r="R317" s="30">
        <f t="shared" ca="1" si="75"/>
        <v>0.10943553674673656</v>
      </c>
      <c r="S317" s="9" cm="1">
        <f t="array" aca="1" ref="S317" ca="1">_xll.BDH($E$6,"PX LAST",AG317)</f>
        <v>186.13</v>
      </c>
      <c r="T317" s="9" cm="1">
        <f t="array" aca="1" ref="T317" ca="1">_xll.BDH($E$6,"PX LAST",AH317)</f>
        <v>197.66</v>
      </c>
      <c r="U317" s="9" cm="1">
        <f t="array" aca="1" ref="U317" ca="1">_xll.BDH($E$6,"PX LAST",AI317)</f>
        <v>211.15</v>
      </c>
      <c r="V317" s="9" cm="1">
        <f t="array" aca="1" ref="V317" ca="1">_xll.BDH($E$6,"PX LAST",AJ317)</f>
        <v>203.38</v>
      </c>
      <c r="W317" s="9" cm="1">
        <f t="array" aca="1" ref="W317" ca="1">_xll.BDH($E$6,"PX LAST",AK317)</f>
        <v>167.77</v>
      </c>
      <c r="X317" s="24">
        <f t="shared" ca="1" si="76"/>
        <v>2.6015300973833977E-3</v>
      </c>
      <c r="Y317" s="24">
        <f t="shared" ca="1" si="77"/>
        <v>1.2066355035122989E-4</v>
      </c>
      <c r="Z317" s="24">
        <f t="shared" ca="1" si="78"/>
        <v>2.6637278955887966E-2</v>
      </c>
      <c r="AA317" s="24">
        <f t="shared" ca="1" si="79"/>
        <v>5.8063466915679873E-2</v>
      </c>
      <c r="AB317" s="9" cm="1">
        <f t="array" aca="1" ref="AB317" ca="1">_xll.BDH($E$8,"PX LAST",AG317)</f>
        <v>6050.61</v>
      </c>
      <c r="AC317" s="9" cm="1">
        <f t="array" aca="1" ref="AC317" ca="1">_xll.BDH($E$8,"PX LAST",AH317)</f>
        <v>6034.91</v>
      </c>
      <c r="AD317" s="9" cm="1">
        <f t="array" aca="1" ref="AD317" ca="1">_xll.BDH($E$8,"PX LAST",AI317)</f>
        <v>6049.88</v>
      </c>
      <c r="AE317" s="9" cm="1">
        <f t="array" aca="1" ref="AE317" ca="1">_xll.BDH($E$8,"PX LAST",AJ317)</f>
        <v>5893.62</v>
      </c>
      <c r="AF317" s="9" cm="1">
        <f t="array" aca="1" ref="AF317" ca="1">_xll.BDH($E$8,"PX LAST",AK317)</f>
        <v>5718.57</v>
      </c>
      <c r="AG317" s="20">
        <f t="shared" ca="1" si="85"/>
        <v>45643</v>
      </c>
      <c r="AH317" s="22">
        <f t="shared" ca="1" si="80"/>
        <v>45636</v>
      </c>
      <c r="AI317" s="22">
        <f t="shared" ca="1" si="81"/>
        <v>45629</v>
      </c>
      <c r="AJ317" s="22">
        <f t="shared" ca="1" si="82"/>
        <v>45614</v>
      </c>
      <c r="AK317" s="22">
        <f t="shared" ca="1" si="83"/>
        <v>45558</v>
      </c>
      <c r="AL317" s="22">
        <f t="shared" ca="1" si="84"/>
        <v>45470</v>
      </c>
    </row>
    <row r="318" spans="4:38" x14ac:dyDescent="0.25">
      <c r="D318" s="6">
        <f ca="1"/>
        <v>45642</v>
      </c>
      <c r="E318" s="28">
        <f ca="1"/>
        <v>189.55</v>
      </c>
      <c r="F318" s="29" cm="1">
        <f t="array" aca="1" ref="F318" ca="1">_xll.FDS($E$7,"P_BETA_LOCIDX("&amp;$AG318&amp;","&amp;$AL318&amp;",,"""&amp;$E$9&amp;""")")</f>
        <v>1.6367098</v>
      </c>
      <c r="G318" s="30">
        <f t="shared" ca="1" si="70"/>
        <v>-7.2180769525613406E-2</v>
      </c>
      <c r="H318" s="30">
        <f t="shared" ca="1" si="70"/>
        <v>-0.11348017307810843</v>
      </c>
      <c r="I318" s="30">
        <f t="shared" ca="1" si="70"/>
        <v>-0.12869461180497299</v>
      </c>
      <c r="J318" s="30">
        <f t="shared" ca="1" si="68"/>
        <v>2.1975516705712864E-2</v>
      </c>
      <c r="K318" s="30">
        <f t="shared" ca="1" si="71"/>
        <v>5.7406592025244637E-3</v>
      </c>
      <c r="L318" s="30">
        <f t="shared" ca="1" si="71"/>
        <v>7.2888211660040508E-3</v>
      </c>
      <c r="M318" s="30">
        <f t="shared" ca="1" si="71"/>
        <v>5.6723987569966897E-2</v>
      </c>
      <c r="N318" s="30">
        <f t="shared" ca="1" si="69"/>
        <v>0.10663418856371264</v>
      </c>
      <c r="O318" s="30">
        <f t="shared" ca="1" si="72"/>
        <v>-6.6440110323088941E-2</v>
      </c>
      <c r="P318" s="30">
        <f t="shared" ca="1" si="73"/>
        <v>-0.10619135191210438</v>
      </c>
      <c r="Q318" s="30">
        <f t="shared" ca="1" si="74"/>
        <v>-7.1970624235006109E-2</v>
      </c>
      <c r="R318" s="30">
        <f t="shared" ca="1" si="75"/>
        <v>0.1286097052694255</v>
      </c>
      <c r="S318" s="9" cm="1">
        <f t="array" aca="1" ref="S318" ca="1">_xll.BDH($E$6,"PX LAST",AG318)</f>
        <v>189.55</v>
      </c>
      <c r="T318" s="9" cm="1">
        <f t="array" aca="1" ref="T318" ca="1">_xll.BDH($E$6,"PX LAST",AH318)</f>
        <v>203.04</v>
      </c>
      <c r="U318" s="9" cm="1">
        <f t="array" aca="1" ref="U318" ca="1">_xll.BDH($E$6,"PX LAST",AI318)</f>
        <v>212.07</v>
      </c>
      <c r="V318" s="9" cm="1">
        <f t="array" aca="1" ref="V318" ca="1">_xll.BDH($E$6,"PX LAST",AJ318)</f>
        <v>204.25</v>
      </c>
      <c r="W318" s="9" cm="1">
        <f t="array" aca="1" ref="W318" ca="1">_xll.BDH($E$6,"PX LAST",AK318)</f>
        <v>167.95</v>
      </c>
      <c r="X318" s="24">
        <f t="shared" ca="1" si="76"/>
        <v>3.507438644605454E-3</v>
      </c>
      <c r="Y318" s="24">
        <f t="shared" ca="1" si="77"/>
        <v>4.4533375226347705E-3</v>
      </c>
      <c r="Z318" s="24">
        <f t="shared" ca="1" si="78"/>
        <v>3.4657327505442259E-2</v>
      </c>
      <c r="AA318" s="24">
        <f t="shared" ca="1" si="79"/>
        <v>6.5151555006093709E-2</v>
      </c>
      <c r="AB318" s="9" cm="1">
        <f t="array" aca="1" ref="AB318" ca="1">_xll.BDH($E$8,"PX LAST",AG318)</f>
        <v>6074.08</v>
      </c>
      <c r="AC318" s="9" cm="1">
        <f t="array" aca="1" ref="AC318" ca="1">_xll.BDH($E$8,"PX LAST",AH318)</f>
        <v>6052.85</v>
      </c>
      <c r="AD318" s="9" cm="1">
        <f t="array" aca="1" ref="AD318" ca="1">_xll.BDH($E$8,"PX LAST",AI318)</f>
        <v>6047.15</v>
      </c>
      <c r="AE318" s="9" cm="1">
        <f t="array" aca="1" ref="AE318" ca="1">_xll.BDH($E$8,"PX LAST",AJ318)</f>
        <v>5870.62</v>
      </c>
      <c r="AF318" s="9" cm="1">
        <f t="array" aca="1" ref="AF318" ca="1">_xll.BDH($E$8,"PX LAST",AK318)</f>
        <v>5702.55</v>
      </c>
      <c r="AG318" s="20">
        <f t="shared" ca="1" si="85"/>
        <v>45642</v>
      </c>
      <c r="AH318" s="22">
        <f t="shared" ca="1" si="80"/>
        <v>45635</v>
      </c>
      <c r="AI318" s="22">
        <f t="shared" ca="1" si="81"/>
        <v>45628</v>
      </c>
      <c r="AJ318" s="22">
        <f t="shared" ca="1" si="82"/>
        <v>45611</v>
      </c>
      <c r="AK318" s="22">
        <f t="shared" ca="1" si="83"/>
        <v>45555</v>
      </c>
      <c r="AL318" s="22">
        <f t="shared" ca="1" si="84"/>
        <v>45469</v>
      </c>
    </row>
    <row r="319" spans="4:38" x14ac:dyDescent="0.25">
      <c r="D319" s="6">
        <f ca="1"/>
        <v>45639</v>
      </c>
      <c r="E319" s="28">
        <f ca="1"/>
        <v>190.79</v>
      </c>
      <c r="F319" s="29" cm="1">
        <f t="array" aca="1" ref="F319" ca="1">_xll.FDS($E$7,"P_BETA_LOCIDX("&amp;$AG319&amp;","&amp;$AL319&amp;",,"""&amp;$E$9&amp;""")")</f>
        <v>1.6311483</v>
      </c>
      <c r="G319" s="30">
        <f t="shared" ca="1" si="70"/>
        <v>-6.6343947023036559E-2</v>
      </c>
      <c r="H319" s="30">
        <f t="shared" ca="1" si="70"/>
        <v>-0.10327724535654983</v>
      </c>
      <c r="I319" s="30">
        <f t="shared" ca="1" si="70"/>
        <v>-0.11015539992018998</v>
      </c>
      <c r="J319" s="30">
        <f t="shared" ca="1" si="68"/>
        <v>8.4757811060232613E-3</v>
      </c>
      <c r="K319" s="30">
        <f t="shared" ca="1" si="71"/>
        <v>-1.049352334034462E-2</v>
      </c>
      <c r="L319" s="30">
        <f t="shared" ca="1" si="71"/>
        <v>5.0591615072327614E-3</v>
      </c>
      <c r="M319" s="30">
        <f t="shared" ca="1" si="71"/>
        <v>2.7944509021594635E-2</v>
      </c>
      <c r="N319" s="30">
        <f t="shared" ca="1" si="69"/>
        <v>9.6336309924146268E-2</v>
      </c>
      <c r="O319" s="30">
        <f t="shared" ca="1" si="72"/>
        <v>-7.6837470363381177E-2</v>
      </c>
      <c r="P319" s="30">
        <f t="shared" ca="1" si="73"/>
        <v>-9.8218083849317073E-2</v>
      </c>
      <c r="Q319" s="30">
        <f t="shared" ca="1" si="74"/>
        <v>-8.2210890898595346E-2</v>
      </c>
      <c r="R319" s="30">
        <f t="shared" ca="1" si="75"/>
        <v>0.10481209103016953</v>
      </c>
      <c r="S319" s="9" cm="1">
        <f t="array" aca="1" ref="S319" ca="1">_xll.BDH($E$6,"PX LAST",AG319)</f>
        <v>190.79</v>
      </c>
      <c r="T319" s="9" cm="1">
        <f t="array" aca="1" ref="T319" ca="1">_xll.BDH($E$6,"PX LAST",AH319)</f>
        <v>206.67</v>
      </c>
      <c r="U319" s="9" cm="1">
        <f t="array" aca="1" ref="U319" ca="1">_xll.BDH($E$6,"PX LAST",AI319)</f>
        <v>211.57</v>
      </c>
      <c r="V319" s="9" cm="1">
        <f t="array" aca="1" ref="V319" ca="1">_xll.BDH($E$6,"PX LAST",AJ319)</f>
        <v>207.88</v>
      </c>
      <c r="W319" s="9" cm="1">
        <f t="array" aca="1" ref="W319" ca="1">_xll.BDH($E$6,"PX LAST",AK319)</f>
        <v>172.69</v>
      </c>
      <c r="X319" s="24">
        <f t="shared" ca="1" si="76"/>
        <v>-6.4332123206360947E-3</v>
      </c>
      <c r="Y319" s="24">
        <f t="shared" ca="1" si="77"/>
        <v>3.1015950586668062E-3</v>
      </c>
      <c r="Z319" s="24">
        <f t="shared" ca="1" si="78"/>
        <v>1.7131801579043815E-2</v>
      </c>
      <c r="AA319" s="24">
        <f t="shared" ca="1" si="79"/>
        <v>5.906042382789245E-2</v>
      </c>
      <c r="AB319" s="9" cm="1">
        <f t="array" aca="1" ref="AB319" ca="1">_xll.BDH($E$8,"PX LAST",AG319)</f>
        <v>6051.09</v>
      </c>
      <c r="AC319" s="9" cm="1">
        <f t="array" aca="1" ref="AC319" ca="1">_xll.BDH($E$8,"PX LAST",AH319)</f>
        <v>6090.27</v>
      </c>
      <c r="AD319" s="9" cm="1">
        <f t="array" aca="1" ref="AD319" ca="1">_xll.BDH($E$8,"PX LAST",AI319)</f>
        <v>6032.38</v>
      </c>
      <c r="AE319" s="9" cm="1">
        <f t="array" aca="1" ref="AE319" ca="1">_xll.BDH($E$8,"PX LAST",AJ319)</f>
        <v>5949.17</v>
      </c>
      <c r="AF319" s="9" cm="1">
        <f t="array" aca="1" ref="AF319" ca="1">_xll.BDH($E$8,"PX LAST",AK319)</f>
        <v>5713.64</v>
      </c>
      <c r="AG319" s="20">
        <f t="shared" ca="1" si="85"/>
        <v>45639</v>
      </c>
      <c r="AH319" s="22">
        <f t="shared" ca="1" si="80"/>
        <v>45632</v>
      </c>
      <c r="AI319" s="22">
        <f t="shared" ca="1" si="81"/>
        <v>45625</v>
      </c>
      <c r="AJ319" s="22">
        <f t="shared" ca="1" si="82"/>
        <v>45610</v>
      </c>
      <c r="AK319" s="22">
        <f t="shared" ca="1" si="83"/>
        <v>45554</v>
      </c>
      <c r="AL319" s="22">
        <f t="shared" ca="1" si="84"/>
        <v>45468</v>
      </c>
    </row>
    <row r="320" spans="4:38" x14ac:dyDescent="0.25">
      <c r="D320" s="6">
        <f ca="1"/>
        <v>45638</v>
      </c>
      <c r="E320" s="28">
        <f ca="1"/>
        <v>192.9</v>
      </c>
      <c r="F320" s="29" cm="1">
        <f t="array" aca="1" ref="F320" ca="1">_xll.FDS($E$7,"P_BETA_LOCIDX("&amp;$AG320&amp;","&amp;$AL320&amp;",,"""&amp;$E$9&amp;""")")</f>
        <v>1.6286343000000001</v>
      </c>
      <c r="G320" s="30">
        <f t="shared" ca="1" si="70"/>
        <v>-6.9266003177445426E-2</v>
      </c>
      <c r="H320" s="30">
        <f t="shared" ca="1" si="70"/>
        <v>-8.8321443372710071E-2</v>
      </c>
      <c r="I320" s="30">
        <f t="shared" ca="1" si="70"/>
        <v>-8.6264343925367776E-2</v>
      </c>
      <c r="J320" s="30">
        <f t="shared" ca="1" si="68"/>
        <v>3.1721836564746503E-2</v>
      </c>
      <c r="K320" s="30">
        <f t="shared" ca="1" si="71"/>
        <v>-6.3964626810048466E-3</v>
      </c>
      <c r="L320" s="30">
        <f t="shared" ca="1" si="71"/>
        <v>1.4256258329749406E-2</v>
      </c>
      <c r="M320" s="30">
        <f t="shared" ca="1" si="71"/>
        <v>1.7923363485860346E-2</v>
      </c>
      <c r="N320" s="30">
        <f t="shared" ca="1" si="69"/>
        <v>0.125516150117118</v>
      </c>
      <c r="O320" s="30">
        <f t="shared" ca="1" si="72"/>
        <v>-7.5662465858450267E-2</v>
      </c>
      <c r="P320" s="30">
        <f t="shared" ca="1" si="73"/>
        <v>-7.4065185042960668E-2</v>
      </c>
      <c r="Q320" s="30">
        <f t="shared" ca="1" si="74"/>
        <v>-6.8340980439507426E-2</v>
      </c>
      <c r="R320" s="30">
        <f t="shared" ca="1" si="75"/>
        <v>0.15723798668186451</v>
      </c>
      <c r="S320" s="9" cm="1">
        <f t="array" aca="1" ref="S320" ca="1">_xll.BDH($E$6,"PX LAST",AG320)</f>
        <v>192.9</v>
      </c>
      <c r="T320" s="9" cm="1">
        <f t="array" aca="1" ref="T320" ca="1">_xll.BDH($E$6,"PX LAST",AH320)</f>
        <v>208.69</v>
      </c>
      <c r="U320" s="9" cm="1">
        <f t="array" aca="1" ref="U320" ca="1">_xll.BDH($E$6,"PX LAST",AI320)</f>
        <v>208.33</v>
      </c>
      <c r="V320" s="9" cm="1">
        <f t="array" aca="1" ref="V320" ca="1">_xll.BDH($E$6,"PX LAST",AJ320)</f>
        <v>207.05</v>
      </c>
      <c r="W320" s="9" cm="1">
        <f t="array" aca="1" ref="W320" ca="1">_xll.BDH($E$6,"PX LAST",AK320)</f>
        <v>166.69</v>
      </c>
      <c r="X320" s="24">
        <f t="shared" ca="1" si="76"/>
        <v>-3.9275009012181838E-3</v>
      </c>
      <c r="Y320" s="24">
        <f t="shared" ca="1" si="77"/>
        <v>8.7535049026963296E-3</v>
      </c>
      <c r="Z320" s="24">
        <f t="shared" ca="1" si="78"/>
        <v>1.1005149213583643E-2</v>
      </c>
      <c r="AA320" s="24">
        <f t="shared" ca="1" si="79"/>
        <v>7.7068345003613148E-2</v>
      </c>
      <c r="AB320" s="9" cm="1">
        <f t="array" aca="1" ref="AB320" ca="1">_xll.BDH($E$8,"PX LAST",AG320)</f>
        <v>6051.25</v>
      </c>
      <c r="AC320" s="9" cm="1">
        <f t="array" aca="1" ref="AC320" ca="1">_xll.BDH($E$8,"PX LAST",AH320)</f>
        <v>6075.11</v>
      </c>
      <c r="AD320" s="9" cm="1">
        <f t="array" aca="1" ref="AD320" ca="1">_xll.BDH($E$8,"PX LAST",AI320)</f>
        <v>5998.74</v>
      </c>
      <c r="AE320" s="9" cm="1">
        <f t="array" aca="1" ref="AE320" ca="1">_xll.BDH($E$8,"PX LAST",AJ320)</f>
        <v>5985.38</v>
      </c>
      <c r="AF320" s="9" cm="1">
        <f t="array" aca="1" ref="AF320" ca="1">_xll.BDH($E$8,"PX LAST",AK320)</f>
        <v>5618.26</v>
      </c>
      <c r="AG320" s="20">
        <f t="shared" ca="1" si="85"/>
        <v>45638</v>
      </c>
      <c r="AH320" s="22">
        <f t="shared" ca="1" si="80"/>
        <v>45631</v>
      </c>
      <c r="AI320" s="22">
        <f t="shared" ca="1" si="81"/>
        <v>45623</v>
      </c>
      <c r="AJ320" s="22">
        <f t="shared" ca="1" si="82"/>
        <v>45609</v>
      </c>
      <c r="AK320" s="22">
        <f t="shared" ca="1" si="83"/>
        <v>45553</v>
      </c>
      <c r="AL320" s="22">
        <f t="shared" ca="1" si="84"/>
        <v>45467</v>
      </c>
    </row>
    <row r="321" spans="4:38" x14ac:dyDescent="0.25">
      <c r="D321" s="6">
        <f ca="1"/>
        <v>45637</v>
      </c>
      <c r="E321" s="28">
        <f ca="1"/>
        <v>196</v>
      </c>
      <c r="F321" s="29" cm="1">
        <f t="array" aca="1" ref="F321" ca="1">_xll.FDS($E$7,"P_BETA_LOCIDX("&amp;$AG321&amp;","&amp;$AL321&amp;",,"""&amp;$E$9&amp;""")")</f>
        <v>1.6225738999999999</v>
      </c>
      <c r="G321" s="30">
        <f t="shared" ca="1" si="70"/>
        <v>-7.0740969181259356E-2</v>
      </c>
      <c r="H321" s="30">
        <f t="shared" ca="1" si="70"/>
        <v>-8.7903287889139398E-2</v>
      </c>
      <c r="I321" s="30">
        <f t="shared" ca="1" si="70"/>
        <v>-6.80307487960949E-2</v>
      </c>
      <c r="J321" s="30">
        <f t="shared" ca="1" si="68"/>
        <v>3.9768875700386536E-2</v>
      </c>
      <c r="K321" s="30">
        <f t="shared" ca="1" si="71"/>
        <v>-6.1314813135318722E-4</v>
      </c>
      <c r="L321" s="30">
        <f t="shared" ca="1" si="71"/>
        <v>1.6857266750696796E-2</v>
      </c>
      <c r="M321" s="30">
        <f t="shared" ca="1" si="71"/>
        <v>2.7169481362769716E-2</v>
      </c>
      <c r="N321" s="30">
        <f t="shared" ca="1" si="69"/>
        <v>0.12947290679677984</v>
      </c>
      <c r="O321" s="30">
        <f t="shared" ca="1" si="72"/>
        <v>-7.1354117312612542E-2</v>
      </c>
      <c r="P321" s="30">
        <f t="shared" ca="1" si="73"/>
        <v>-7.1046021138442605E-2</v>
      </c>
      <c r="Q321" s="30">
        <f t="shared" ca="1" si="74"/>
        <v>-4.0861267433325188E-2</v>
      </c>
      <c r="R321" s="30">
        <f t="shared" ca="1" si="75"/>
        <v>0.16924178249716637</v>
      </c>
      <c r="S321" s="9" cm="1">
        <f t="array" aca="1" ref="S321" ca="1">_xll.BDH($E$6,"PX LAST",AG321)</f>
        <v>196</v>
      </c>
      <c r="T321" s="9" cm="1">
        <f t="array" aca="1" ref="T321" ca="1">_xll.BDH($E$6,"PX LAST",AH321)</f>
        <v>211.06</v>
      </c>
      <c r="U321" s="9" cm="1">
        <f t="array" aca="1" ref="U321" ca="1">_xll.BDH($E$6,"PX LAST",AI321)</f>
        <v>210.99</v>
      </c>
      <c r="V321" s="9" cm="1">
        <f t="array" aca="1" ref="V321" ca="1">_xll.BDH($E$6,"PX LAST",AJ321)</f>
        <v>204.35</v>
      </c>
      <c r="W321" s="9" cm="1">
        <f t="array" aca="1" ref="W321" ca="1">_xll.BDH($E$6,"PX LAST",AK321)</f>
        <v>167.63</v>
      </c>
      <c r="X321" s="24">
        <f t="shared" ca="1" si="76"/>
        <v>-3.7788610512790033E-4</v>
      </c>
      <c r="Y321" s="24">
        <f t="shared" ca="1" si="77"/>
        <v>1.0389213551812215E-2</v>
      </c>
      <c r="Z321" s="24">
        <f t="shared" ca="1" si="78"/>
        <v>1.6744680388837585E-2</v>
      </c>
      <c r="AA321" s="24">
        <f t="shared" ca="1" si="79"/>
        <v>7.9794767311849313E-2</v>
      </c>
      <c r="AB321" s="9" cm="1">
        <f t="array" aca="1" ref="AB321" ca="1">_xll.BDH($E$8,"PX LAST",AG321)</f>
        <v>6084.19</v>
      </c>
      <c r="AC321" s="9" cm="1">
        <f t="array" aca="1" ref="AC321" ca="1">_xll.BDH($E$8,"PX LAST",AH321)</f>
        <v>6086.49</v>
      </c>
      <c r="AD321" s="9" cm="1">
        <f t="array" aca="1" ref="AD321" ca="1">_xll.BDH($E$8,"PX LAST",AI321)</f>
        <v>6021.63</v>
      </c>
      <c r="AE321" s="9" cm="1">
        <f t="array" aca="1" ref="AE321" ca="1">_xll.BDH($E$8,"PX LAST",AJ321)</f>
        <v>5983.99</v>
      </c>
      <c r="AF321" s="9" cm="1">
        <f t="array" aca="1" ref="AF321" ca="1">_xll.BDH($E$8,"PX LAST",AK321)</f>
        <v>5634.58</v>
      </c>
      <c r="AG321" s="20">
        <f t="shared" ca="1" si="85"/>
        <v>45637</v>
      </c>
      <c r="AH321" s="22">
        <f t="shared" ca="1" si="80"/>
        <v>45630</v>
      </c>
      <c r="AI321" s="22">
        <f t="shared" ca="1" si="81"/>
        <v>45622</v>
      </c>
      <c r="AJ321" s="22">
        <f t="shared" ca="1" si="82"/>
        <v>45608</v>
      </c>
      <c r="AK321" s="22">
        <f t="shared" ca="1" si="83"/>
        <v>45552</v>
      </c>
      <c r="AL321" s="22">
        <f t="shared" ca="1" si="84"/>
        <v>45464</v>
      </c>
    </row>
    <row r="322" spans="4:38" x14ac:dyDescent="0.25">
      <c r="D322" s="6">
        <f ca="1"/>
        <v>45636</v>
      </c>
      <c r="E322" s="28">
        <f ca="1"/>
        <v>197.66</v>
      </c>
      <c r="F322" s="29" cm="1">
        <f t="array" aca="1" ref="F322" ca="1">_xll.FDS($E$7,"P_BETA_LOCIDX("&amp;$AG322&amp;","&amp;$AL322&amp;",,"""&amp;$E$9&amp;""")")</f>
        <v>1.6387295</v>
      </c>
      <c r="G322" s="30">
        <f t="shared" ca="1" si="70"/>
        <v>-5.9833310916077256E-2</v>
      </c>
      <c r="H322" s="30">
        <f t="shared" ca="1" si="70"/>
        <v>-8.5857407751655304E-2</v>
      </c>
      <c r="I322" s="30">
        <f t="shared" ca="1" si="70"/>
        <v>-6.5183765692905196E-2</v>
      </c>
      <c r="J322" s="30">
        <f t="shared" ca="1" si="68"/>
        <v>8.8791030634474008E-2</v>
      </c>
      <c r="K322" s="30">
        <f t="shared" ca="1" si="71"/>
        <v>-4.0549201992436772E-3</v>
      </c>
      <c r="L322" s="30">
        <f t="shared" ca="1" si="71"/>
        <v>1.3011589467495598E-2</v>
      </c>
      <c r="M322" s="30">
        <f t="shared" ca="1" si="71"/>
        <v>9.1638984595130615E-3</v>
      </c>
      <c r="N322" s="30">
        <f t="shared" ca="1" si="69"/>
        <v>0.11689397607529796</v>
      </c>
      <c r="O322" s="30">
        <f t="shared" ca="1" si="72"/>
        <v>-6.3888231115320937E-2</v>
      </c>
      <c r="P322" s="30">
        <f t="shared" ca="1" si="73"/>
        <v>-7.2845818284159702E-2</v>
      </c>
      <c r="Q322" s="30">
        <f t="shared" ca="1" si="74"/>
        <v>-5.601986723339214E-2</v>
      </c>
      <c r="R322" s="30">
        <f t="shared" ca="1" si="75"/>
        <v>0.20568500670977197</v>
      </c>
      <c r="S322" s="9" cm="1">
        <f t="array" aca="1" ref="S322" ca="1">_xll.BDH($E$6,"PX LAST",AG322)</f>
        <v>197.66</v>
      </c>
      <c r="T322" s="9" cm="1">
        <f t="array" aca="1" ref="T322" ca="1">_xll.BDH($E$6,"PX LAST",AH322)</f>
        <v>211.15</v>
      </c>
      <c r="U322" s="9" cm="1">
        <f t="array" aca="1" ref="U322" ca="1">_xll.BDH($E$6,"PX LAST",AI322)</f>
        <v>213.19</v>
      </c>
      <c r="V322" s="9" cm="1">
        <f t="array" aca="1" ref="V322" ca="1">_xll.BDH($E$6,"PX LAST",AJ322)</f>
        <v>209.39</v>
      </c>
      <c r="W322" s="9" cm="1">
        <f t="array" aca="1" ref="W322" ca="1">_xll.BDH($E$6,"PX LAST",AK322)</f>
        <v>163.94</v>
      </c>
      <c r="X322" s="24">
        <f t="shared" ca="1" si="76"/>
        <v>-2.4744292448776184E-3</v>
      </c>
      <c r="Y322" s="24">
        <f t="shared" ca="1" si="77"/>
        <v>7.9400471325472566E-3</v>
      </c>
      <c r="Z322" s="24">
        <f t="shared" ca="1" si="78"/>
        <v>5.5920751164320048E-3</v>
      </c>
      <c r="AA322" s="24">
        <f t="shared" ca="1" si="79"/>
        <v>7.1332075290826191E-2</v>
      </c>
      <c r="AB322" s="9" cm="1">
        <f t="array" aca="1" ref="AB322" ca="1">_xll.BDH($E$8,"PX LAST",AG322)</f>
        <v>6034.91</v>
      </c>
      <c r="AC322" s="9" cm="1">
        <f t="array" aca="1" ref="AC322" ca="1">_xll.BDH($E$8,"PX LAST",AH322)</f>
        <v>6049.88</v>
      </c>
      <c r="AD322" s="9" cm="1">
        <f t="array" aca="1" ref="AD322" ca="1">_xll.BDH($E$8,"PX LAST",AI322)</f>
        <v>5987.37</v>
      </c>
      <c r="AE322" s="9" cm="1">
        <f t="array" aca="1" ref="AE322" ca="1">_xll.BDH($E$8,"PX LAST",AJ322)</f>
        <v>6001.35</v>
      </c>
      <c r="AF322" s="9" cm="1">
        <f t="array" aca="1" ref="AF322" ca="1">_xll.BDH($E$8,"PX LAST",AK322)</f>
        <v>5633.09</v>
      </c>
      <c r="AG322" s="20">
        <f t="shared" ca="1" si="85"/>
        <v>45636</v>
      </c>
      <c r="AH322" s="22">
        <f t="shared" ca="1" si="80"/>
        <v>45629</v>
      </c>
      <c r="AI322" s="22">
        <f t="shared" ca="1" si="81"/>
        <v>45621</v>
      </c>
      <c r="AJ322" s="22">
        <f t="shared" ca="1" si="82"/>
        <v>45607</v>
      </c>
      <c r="AK322" s="22">
        <f t="shared" ca="1" si="83"/>
        <v>45551</v>
      </c>
      <c r="AL322" s="22">
        <f t="shared" ca="1" si="84"/>
        <v>45463</v>
      </c>
    </row>
    <row r="323" spans="4:38" x14ac:dyDescent="0.25">
      <c r="D323" s="6">
        <f ca="1"/>
        <v>45635</v>
      </c>
      <c r="E323" s="28">
        <f ca="1"/>
        <v>203.04</v>
      </c>
      <c r="F323" s="29" cm="1">
        <f t="array" aca="1" ref="F323" ca="1">_xll.FDS($E$7,"P_BETA_LOCIDX("&amp;$AG323&amp;","&amp;$AL323&amp;",,"""&amp;$E$9&amp;""")")</f>
        <v>1.6262755</v>
      </c>
      <c r="G323" s="30">
        <f t="shared" ca="1" si="70"/>
        <v>-4.4113195659724755E-2</v>
      </c>
      <c r="H323" s="30">
        <f t="shared" ca="1" si="70"/>
        <v>-5.5249159375881825E-2</v>
      </c>
      <c r="I323" s="30">
        <f t="shared" ca="1" si="70"/>
        <v>-2.886038772774098E-2</v>
      </c>
      <c r="J323" s="30">
        <f t="shared" ca="1" si="68"/>
        <v>0.14736642005050146</v>
      </c>
      <c r="K323" s="30">
        <f t="shared" ca="1" si="71"/>
        <v>1.5329155635301185E-3</v>
      </c>
      <c r="L323" s="30">
        <f t="shared" ca="1" si="71"/>
        <v>2.2751303662549079E-2</v>
      </c>
      <c r="M323" s="30">
        <f t="shared" ca="1" si="71"/>
        <v>1.5545196747081947E-2</v>
      </c>
      <c r="N323" s="30">
        <f t="shared" ca="1" si="69"/>
        <v>0.12338085745607011</v>
      </c>
      <c r="O323" s="30">
        <f t="shared" ca="1" si="72"/>
        <v>-4.2580280096194634E-2</v>
      </c>
      <c r="P323" s="30">
        <f t="shared" ca="1" si="73"/>
        <v>-3.2497855713332746E-2</v>
      </c>
      <c r="Q323" s="30">
        <f t="shared" ca="1" si="74"/>
        <v>-1.3315190980659031E-2</v>
      </c>
      <c r="R323" s="30">
        <f t="shared" ca="1" si="75"/>
        <v>0.27074727750657157</v>
      </c>
      <c r="S323" s="9" cm="1">
        <f t="array" aca="1" ref="S323" ca="1">_xll.BDH($E$6,"PX LAST",AG323)</f>
        <v>203.04</v>
      </c>
      <c r="T323" s="9" cm="1">
        <f t="array" aca="1" ref="T323" ca="1">_xll.BDH($E$6,"PX LAST",AH323)</f>
        <v>212.07</v>
      </c>
      <c r="U323" s="9" cm="1">
        <f t="array" aca="1" ref="U323" ca="1">_xll.BDH($E$6,"PX LAST",AI323)</f>
        <v>209.86</v>
      </c>
      <c r="V323" s="9" cm="1">
        <f t="array" aca="1" ref="V323" ca="1">_xll.BDH($E$6,"PX LAST",AJ323)</f>
        <v>205.78</v>
      </c>
      <c r="W323" s="9" cm="1">
        <f t="array" aca="1" ref="W323" ca="1">_xll.BDH($E$6,"PX LAST",AK323)</f>
        <v>159.78</v>
      </c>
      <c r="X323" s="24">
        <f t="shared" ca="1" si="76"/>
        <v>9.4259279164576881E-4</v>
      </c>
      <c r="Y323" s="24">
        <f t="shared" ca="1" si="77"/>
        <v>1.3989821320280038E-2</v>
      </c>
      <c r="Z323" s="24">
        <f t="shared" ca="1" si="78"/>
        <v>9.5587720205352333E-3</v>
      </c>
      <c r="AA323" s="24">
        <f t="shared" ca="1" si="79"/>
        <v>7.5867131649016484E-2</v>
      </c>
      <c r="AB323" s="9" cm="1">
        <f t="array" aca="1" ref="AB323" ca="1">_xll.BDH($E$8,"PX LAST",AG323)</f>
        <v>6052.85</v>
      </c>
      <c r="AC323" s="9" cm="1">
        <f t="array" aca="1" ref="AC323" ca="1">_xll.BDH($E$8,"PX LAST",AH323)</f>
        <v>6047.15</v>
      </c>
      <c r="AD323" s="9" cm="1">
        <f t="array" aca="1" ref="AD323" ca="1">_xll.BDH($E$8,"PX LAST",AI323)</f>
        <v>5969.34</v>
      </c>
      <c r="AE323" s="9" cm="1">
        <f t="array" aca="1" ref="AE323" ca="1">_xll.BDH($E$8,"PX LAST",AJ323)</f>
        <v>5995.54</v>
      </c>
      <c r="AF323" s="9" cm="1">
        <f t="array" aca="1" ref="AF323" ca="1">_xll.BDH($E$8,"PX LAST",AK323)</f>
        <v>5626.02</v>
      </c>
      <c r="AG323" s="20">
        <f t="shared" ca="1" si="85"/>
        <v>45635</v>
      </c>
      <c r="AH323" s="22">
        <f t="shared" ca="1" si="80"/>
        <v>45628</v>
      </c>
      <c r="AI323" s="22">
        <f t="shared" ca="1" si="81"/>
        <v>45618</v>
      </c>
      <c r="AJ323" s="22">
        <f t="shared" ca="1" si="82"/>
        <v>45604</v>
      </c>
      <c r="AK323" s="22">
        <f t="shared" ca="1" si="83"/>
        <v>45548</v>
      </c>
      <c r="AL323" s="22">
        <f t="shared" ca="1" si="84"/>
        <v>45461</v>
      </c>
    </row>
    <row r="324" spans="4:38" x14ac:dyDescent="0.25">
      <c r="D324" s="6">
        <f ca="1"/>
        <v>45632</v>
      </c>
      <c r="E324" s="28">
        <f ca="1"/>
        <v>206.67</v>
      </c>
      <c r="F324" s="29" cm="1">
        <f t="array" aca="1" ref="F324" ca="1">_xll.FDS($E$7,"P_BETA_LOCIDX("&amp;$AG324&amp;","&amp;$AL324&amp;",,"""&amp;$E$9&amp;""")")</f>
        <v>1.6042042999999999</v>
      </c>
      <c r="G324" s="30">
        <f t="shared" ca="1" si="70"/>
        <v>-3.8555000515590243E-2</v>
      </c>
      <c r="H324" s="30">
        <f t="shared" ca="1" si="70"/>
        <v>-4.1742670742691987E-2</v>
      </c>
      <c r="I324" s="30">
        <f t="shared" ca="1" si="70"/>
        <v>-3.6667076127276876E-2</v>
      </c>
      <c r="J324" s="30">
        <f t="shared" ca="1" si="68"/>
        <v>0.18730035247276139</v>
      </c>
      <c r="K324" s="30">
        <f t="shared" ca="1" si="71"/>
        <v>1.5394817124750323E-2</v>
      </c>
      <c r="L324" s="30">
        <f t="shared" ca="1" si="71"/>
        <v>3.8174858197491654E-2</v>
      </c>
      <c r="M324" s="30">
        <f t="shared" ca="1" si="71"/>
        <v>3.1468520170598147E-2</v>
      </c>
      <c r="N324" s="30">
        <f t="shared" ca="1" si="69"/>
        <v>0.14176717164299407</v>
      </c>
      <c r="O324" s="30">
        <f t="shared" ca="1" si="72"/>
        <v>-2.3160183390839917E-2</v>
      </c>
      <c r="P324" s="30">
        <f t="shared" ca="1" si="73"/>
        <v>-3.5678125452003329E-3</v>
      </c>
      <c r="Q324" s="30">
        <f t="shared" ca="1" si="74"/>
        <v>-5.1985559566787298E-3</v>
      </c>
      <c r="R324" s="30">
        <f t="shared" ca="1" si="75"/>
        <v>0.32906752411575546</v>
      </c>
      <c r="S324" s="9" cm="1">
        <f t="array" aca="1" ref="S324" ca="1">_xll.BDH($E$6,"PX LAST",AG324)</f>
        <v>206.67</v>
      </c>
      <c r="T324" s="9" cm="1">
        <f t="array" aca="1" ref="T324" ca="1">_xll.BDH($E$6,"PX LAST",AH324)</f>
        <v>211.57</v>
      </c>
      <c r="U324" s="9" cm="1">
        <f t="array" aca="1" ref="U324" ca="1">_xll.BDH($E$6,"PX LAST",AI324)</f>
        <v>207.41</v>
      </c>
      <c r="V324" s="9" cm="1">
        <f t="array" aca="1" ref="V324" ca="1">_xll.BDH($E$6,"PX LAST",AJ324)</f>
        <v>207.75</v>
      </c>
      <c r="W324" s="9" cm="1">
        <f t="array" aca="1" ref="W324" ca="1">_xll.BDH($E$6,"PX LAST",AK324)</f>
        <v>155.5</v>
      </c>
      <c r="X324" s="24">
        <f t="shared" ca="1" si="76"/>
        <v>9.5965439842982114E-3</v>
      </c>
      <c r="Y324" s="24">
        <f t="shared" ca="1" si="77"/>
        <v>2.379675593532049E-2</v>
      </c>
      <c r="Z324" s="24">
        <f t="shared" ca="1" si="78"/>
        <v>1.9616279653781099E-2</v>
      </c>
      <c r="AA324" s="24">
        <f t="shared" ca="1" si="79"/>
        <v>8.8372267574020391E-2</v>
      </c>
      <c r="AB324" s="9" cm="1">
        <f t="array" aca="1" ref="AB324" ca="1">_xll.BDH($E$8,"PX LAST",AG324)</f>
        <v>6090.27</v>
      </c>
      <c r="AC324" s="9" cm="1">
        <f t="array" aca="1" ref="AC324" ca="1">_xll.BDH($E$8,"PX LAST",AH324)</f>
        <v>6032.38</v>
      </c>
      <c r="AD324" s="9" cm="1">
        <f t="array" aca="1" ref="AD324" ca="1">_xll.BDH($E$8,"PX LAST",AI324)</f>
        <v>5948.71</v>
      </c>
      <c r="AE324" s="9" cm="1">
        <f t="array" aca="1" ref="AE324" ca="1">_xll.BDH($E$8,"PX LAST",AJ324)</f>
        <v>5973.1</v>
      </c>
      <c r="AF324" s="9" cm="1">
        <f t="array" aca="1" ref="AF324" ca="1">_xll.BDH($E$8,"PX LAST",AK324)</f>
        <v>5595.76</v>
      </c>
      <c r="AG324" s="20">
        <f t="shared" ca="1" si="85"/>
        <v>45632</v>
      </c>
      <c r="AH324" s="22">
        <f t="shared" ca="1" si="80"/>
        <v>45625</v>
      </c>
      <c r="AI324" s="22">
        <f t="shared" ca="1" si="81"/>
        <v>45617</v>
      </c>
      <c r="AJ324" s="22">
        <f t="shared" ca="1" si="82"/>
        <v>45603</v>
      </c>
      <c r="AK324" s="22">
        <f t="shared" ca="1" si="83"/>
        <v>45547</v>
      </c>
      <c r="AL324" s="22">
        <f t="shared" ca="1" si="84"/>
        <v>45460</v>
      </c>
    </row>
    <row r="325" spans="4:38" x14ac:dyDescent="0.25">
      <c r="D325" s="6">
        <f ca="1"/>
        <v>45631</v>
      </c>
      <c r="E325" s="28">
        <f ca="1"/>
        <v>208.69</v>
      </c>
      <c r="F325" s="29" cm="1">
        <f t="array" aca="1" ref="F325" ca="1">_xll.FDS($E$7,"P_BETA_LOCIDX("&amp;$AG325&amp;","&amp;$AL325&amp;",,"""&amp;$E$9&amp;""")")</f>
        <v>1.6137706000000001</v>
      </c>
      <c r="G325" s="30">
        <f t="shared" ca="1" si="70"/>
        <v>-1.8816896906047501E-2</v>
      </c>
      <c r="H325" s="30">
        <f t="shared" ca="1" si="70"/>
        <v>-9.153492465674623E-3</v>
      </c>
      <c r="I325" s="30">
        <f t="shared" ca="1" si="70"/>
        <v>-5.7548190215243648E-2</v>
      </c>
      <c r="J325" s="30">
        <f t="shared" ca="1" si="68"/>
        <v>0.196841269434118</v>
      </c>
      <c r="K325" s="30">
        <f t="shared" ca="1" si="71"/>
        <v>2.0544924554489877E-2</v>
      </c>
      <c r="L325" s="30">
        <f t="shared" ca="1" si="71"/>
        <v>4.3091264958738468E-2</v>
      </c>
      <c r="M325" s="30">
        <f t="shared" ca="1" si="71"/>
        <v>3.9757443286265452E-2</v>
      </c>
      <c r="N325" s="30">
        <f t="shared" ca="1" si="69"/>
        <v>0.15137243946180562</v>
      </c>
      <c r="O325" s="30">
        <f t="shared" ca="1" si="72"/>
        <v>1.7280276484423762E-3</v>
      </c>
      <c r="P325" s="30">
        <f t="shared" ca="1" si="73"/>
        <v>3.3937772493063845E-2</v>
      </c>
      <c r="Q325" s="30">
        <f t="shared" ca="1" si="74"/>
        <v>-1.7790746928978196E-2</v>
      </c>
      <c r="R325" s="30">
        <f t="shared" ca="1" si="75"/>
        <v>0.34821370889592362</v>
      </c>
      <c r="S325" s="9" cm="1">
        <f t="array" aca="1" ref="S325" ca="1">_xll.BDH($E$6,"PX LAST",AG325)</f>
        <v>208.69</v>
      </c>
      <c r="T325" s="9" cm="1">
        <f t="array" aca="1" ref="T325" ca="1">_xll.BDH($E$6,"PX LAST",AH325)</f>
        <v>208.33</v>
      </c>
      <c r="U325" s="9" cm="1">
        <f t="array" aca="1" ref="U325" ca="1">_xll.BDH($E$6,"PX LAST",AI325)</f>
        <v>201.84</v>
      </c>
      <c r="V325" s="9" cm="1">
        <f t="array" aca="1" ref="V325" ca="1">_xll.BDH($E$6,"PX LAST",AJ325)</f>
        <v>212.47</v>
      </c>
      <c r="W325" s="9" cm="1">
        <f t="array" aca="1" ref="W325" ca="1">_xll.BDH($E$6,"PX LAST",AK325)</f>
        <v>154.79</v>
      </c>
      <c r="X325" s="24">
        <f t="shared" ca="1" si="76"/>
        <v>1.2731006844770798E-2</v>
      </c>
      <c r="Y325" s="24">
        <f t="shared" ca="1" si="77"/>
        <v>2.6702224565708699E-2</v>
      </c>
      <c r="Z325" s="24">
        <f t="shared" ca="1" si="78"/>
        <v>2.4636366089619832E-2</v>
      </c>
      <c r="AA325" s="24">
        <f t="shared" ca="1" si="79"/>
        <v>9.3800469200396641E-2</v>
      </c>
      <c r="AB325" s="9" cm="1">
        <f t="array" aca="1" ref="AB325" ca="1">_xll.BDH($E$8,"PX LAST",AG325)</f>
        <v>6075.11</v>
      </c>
      <c r="AC325" s="9" cm="1">
        <f t="array" aca="1" ref="AC325" ca="1">_xll.BDH($E$8,"PX LAST",AH325)</f>
        <v>5998.74</v>
      </c>
      <c r="AD325" s="9" cm="1">
        <f t="array" aca="1" ref="AD325" ca="1">_xll.BDH($E$8,"PX LAST",AI325)</f>
        <v>5917.11</v>
      </c>
      <c r="AE325" s="9" cm="1">
        <f t="array" aca="1" ref="AE325" ca="1">_xll.BDH($E$8,"PX LAST",AJ325)</f>
        <v>5929.04</v>
      </c>
      <c r="AF325" s="9" cm="1">
        <f t="array" aca="1" ref="AF325" ca="1">_xll.BDH($E$8,"PX LAST",AK325)</f>
        <v>5554.13</v>
      </c>
      <c r="AG325" s="20">
        <f t="shared" ca="1" si="85"/>
        <v>45631</v>
      </c>
      <c r="AH325" s="22">
        <f t="shared" ca="1" si="80"/>
        <v>45623</v>
      </c>
      <c r="AI325" s="22">
        <f t="shared" ca="1" si="81"/>
        <v>45616</v>
      </c>
      <c r="AJ325" s="22">
        <f t="shared" ca="1" si="82"/>
        <v>45602</v>
      </c>
      <c r="AK325" s="22">
        <f t="shared" ca="1" si="83"/>
        <v>45546</v>
      </c>
      <c r="AL325" s="22">
        <f t="shared" ca="1" si="84"/>
        <v>45457</v>
      </c>
    </row>
    <row r="326" spans="4:38" x14ac:dyDescent="0.25">
      <c r="D326" s="6">
        <f ca="1"/>
        <v>45630</v>
      </c>
      <c r="E326" s="28">
        <f ca="1"/>
        <v>211.06</v>
      </c>
      <c r="F326" s="29" cm="1">
        <f t="array" aca="1" ref="F326" ca="1">_xll.FDS($E$7,"P_BETA_LOCIDX("&amp;$AG326&amp;","&amp;$AL326&amp;",,"""&amp;$E$9&amp;""")")</f>
        <v>1.6074428999999999</v>
      </c>
      <c r="G326" s="30">
        <f t="shared" ca="1" si="70"/>
        <v>-1.6982271354354726E-2</v>
      </c>
      <c r="H326" s="30">
        <f t="shared" ca="1" si="70"/>
        <v>-1.4072808440881109E-2</v>
      </c>
      <c r="I326" s="30">
        <f t="shared" ca="1" si="70"/>
        <v>3.9367018852898755E-2</v>
      </c>
      <c r="J326" s="30">
        <f t="shared" ca="1" si="68"/>
        <v>0.20742997905249166</v>
      </c>
      <c r="K326" s="30">
        <f t="shared" ca="1" si="71"/>
        <v>1.7314040632519533E-2</v>
      </c>
      <c r="L326" s="30">
        <f t="shared" ca="1" si="71"/>
        <v>4.6050121173132237E-2</v>
      </c>
      <c r="M326" s="30">
        <f t="shared" ca="1" si="71"/>
        <v>8.4428306209664433E-2</v>
      </c>
      <c r="N326" s="30">
        <f t="shared" ca="1" si="69"/>
        <v>0.17285907987105825</v>
      </c>
      <c r="O326" s="30">
        <f t="shared" ca="1" si="72"/>
        <v>3.3176927816480628E-4</v>
      </c>
      <c r="P326" s="30">
        <f t="shared" ca="1" si="73"/>
        <v>3.1977312732251129E-2</v>
      </c>
      <c r="Q326" s="30">
        <f t="shared" ca="1" si="74"/>
        <v>0.12379532506256319</v>
      </c>
      <c r="R326" s="30">
        <f t="shared" ca="1" si="75"/>
        <v>0.38028905892354992</v>
      </c>
      <c r="S326" s="9" cm="1">
        <f t="array" aca="1" ref="S326" ca="1">_xll.BDH($E$6,"PX LAST",AG326)</f>
        <v>211.06</v>
      </c>
      <c r="T326" s="9" cm="1">
        <f t="array" aca="1" ref="T326" ca="1">_xll.BDH($E$6,"PX LAST",AH326)</f>
        <v>210.99</v>
      </c>
      <c r="U326" s="9" cm="1">
        <f t="array" aca="1" ref="U326" ca="1">_xll.BDH($E$6,"PX LAST",AI326)</f>
        <v>204.52</v>
      </c>
      <c r="V326" s="9" cm="1">
        <f t="array" aca="1" ref="V326" ca="1">_xll.BDH($E$6,"PX LAST",AJ326)</f>
        <v>187.81</v>
      </c>
      <c r="W326" s="9" cm="1">
        <f t="array" aca="1" ref="W326" ca="1">_xll.BDH($E$6,"PX LAST",AK326)</f>
        <v>152.91</v>
      </c>
      <c r="X326" s="24">
        <f t="shared" ca="1" si="76"/>
        <v>1.0771169932393576E-2</v>
      </c>
      <c r="Y326" s="24">
        <f t="shared" ca="1" si="77"/>
        <v>2.8648060328072766E-2</v>
      </c>
      <c r="Z326" s="24">
        <f t="shared" ca="1" si="78"/>
        <v>5.2523362546603947E-2</v>
      </c>
      <c r="AA326" s="24">
        <f t="shared" ca="1" si="79"/>
        <v>0.10753668442658726</v>
      </c>
      <c r="AB326" s="9" cm="1">
        <f t="array" aca="1" ref="AB326" ca="1">_xll.BDH($E$8,"PX LAST",AG326)</f>
        <v>6086.49</v>
      </c>
      <c r="AC326" s="9" cm="1">
        <f t="array" aca="1" ref="AC326" ca="1">_xll.BDH($E$8,"PX LAST",AH326)</f>
        <v>6021.63</v>
      </c>
      <c r="AD326" s="9" cm="1">
        <f t="array" aca="1" ref="AD326" ca="1">_xll.BDH($E$8,"PX LAST",AI326)</f>
        <v>5916.98</v>
      </c>
      <c r="AE326" s="9" cm="1">
        <f t="array" aca="1" ref="AE326" ca="1">_xll.BDH($E$8,"PX LAST",AJ326)</f>
        <v>5782.76</v>
      </c>
      <c r="AF326" s="9" cm="1">
        <f t="array" aca="1" ref="AF326" ca="1">_xll.BDH($E$8,"PX LAST",AK326)</f>
        <v>5495.52</v>
      </c>
      <c r="AG326" s="20">
        <f t="shared" ca="1" si="85"/>
        <v>45630</v>
      </c>
      <c r="AH326" s="22">
        <f t="shared" ca="1" si="80"/>
        <v>45622</v>
      </c>
      <c r="AI326" s="22">
        <f t="shared" ca="1" si="81"/>
        <v>45615</v>
      </c>
      <c r="AJ326" s="22">
        <f t="shared" ca="1" si="82"/>
        <v>45601</v>
      </c>
      <c r="AK326" s="22">
        <f t="shared" ca="1" si="83"/>
        <v>45545</v>
      </c>
      <c r="AL326" s="22">
        <f t="shared" ca="1" si="84"/>
        <v>45456</v>
      </c>
    </row>
    <row r="327" spans="4:38" x14ac:dyDescent="0.25">
      <c r="D327" s="6">
        <f ca="1"/>
        <v>45629</v>
      </c>
      <c r="E327" s="28">
        <f ca="1"/>
        <v>211.15</v>
      </c>
      <c r="F327" s="29" cm="1">
        <f t="array" aca="1" ref="F327" ca="1">_xll.FDS($E$7,"P_BETA_LOCIDX("&amp;$AG327&amp;","&amp;$AL327&amp;",,"""&amp;$E$9&amp;""")")</f>
        <v>1.6157714000000001</v>
      </c>
      <c r="G327" s="30">
        <f t="shared" ca="1" si="70"/>
        <v>-2.6438083730368052E-2</v>
      </c>
      <c r="H327" s="30">
        <f t="shared" ca="1" si="70"/>
        <v>-4.6352730730502625E-3</v>
      </c>
      <c r="I327" s="30">
        <f t="shared" ca="1" si="70"/>
        <v>4.8392051487848767E-2</v>
      </c>
      <c r="J327" s="30">
        <f t="shared" ca="1" si="68"/>
        <v>0.20947973500786465</v>
      </c>
      <c r="K327" s="30">
        <f t="shared" ca="1" si="71"/>
        <v>1.686915460611272E-2</v>
      </c>
      <c r="L327" s="30">
        <f t="shared" ca="1" si="71"/>
        <v>4.2839619616466575E-2</v>
      </c>
      <c r="M327" s="30">
        <f t="shared" ca="1" si="71"/>
        <v>9.5370474919171375E-2</v>
      </c>
      <c r="N327" s="30">
        <f t="shared" ca="1" si="69"/>
        <v>0.17094652022226076</v>
      </c>
      <c r="O327" s="30">
        <f t="shared" ca="1" si="72"/>
        <v>-9.568929124255332E-3</v>
      </c>
      <c r="P327" s="30">
        <f t="shared" ca="1" si="73"/>
        <v>3.8204346543416312E-2</v>
      </c>
      <c r="Q327" s="30">
        <f t="shared" ca="1" si="74"/>
        <v>0.14376252640702014</v>
      </c>
      <c r="R327" s="30">
        <f t="shared" ca="1" si="75"/>
        <v>0.38042625523012541</v>
      </c>
      <c r="S327" s="9" cm="1">
        <f t="array" aca="1" ref="S327" ca="1">_xll.BDH($E$6,"PX LAST",AG327)</f>
        <v>211.15</v>
      </c>
      <c r="T327" s="9" cm="1">
        <f t="array" aca="1" ref="T327" ca="1">_xll.BDH($E$6,"PX LAST",AH327)</f>
        <v>213.19</v>
      </c>
      <c r="U327" s="9" cm="1">
        <f t="array" aca="1" ref="U327" ca="1">_xll.BDH($E$6,"PX LAST",AI327)</f>
        <v>203.38</v>
      </c>
      <c r="V327" s="9" cm="1">
        <f t="array" aca="1" ref="V327" ca="1">_xll.BDH($E$6,"PX LAST",AJ327)</f>
        <v>184.61</v>
      </c>
      <c r="W327" s="9" cm="1">
        <f t="array" aca="1" ref="W327" ca="1">_xll.BDH($E$6,"PX LAST",AK327)</f>
        <v>152.96</v>
      </c>
      <c r="X327" s="24">
        <f t="shared" ca="1" si="76"/>
        <v>1.0440310186275559E-2</v>
      </c>
      <c r="Y327" s="24">
        <f t="shared" ca="1" si="77"/>
        <v>2.65134162026055E-2</v>
      </c>
      <c r="Z327" s="24">
        <f t="shared" ca="1" si="78"/>
        <v>5.902473265659447E-2</v>
      </c>
      <c r="AA327" s="24">
        <f t="shared" ca="1" si="79"/>
        <v>0.10579870408788072</v>
      </c>
      <c r="AB327" s="9" cm="1">
        <f t="array" aca="1" ref="AB327" ca="1">_xll.BDH($E$8,"PX LAST",AG327)</f>
        <v>6049.88</v>
      </c>
      <c r="AC327" s="9" cm="1">
        <f t="array" aca="1" ref="AC327" ca="1">_xll.BDH($E$8,"PX LAST",AH327)</f>
        <v>5987.37</v>
      </c>
      <c r="AD327" s="9" cm="1">
        <f t="array" aca="1" ref="AD327" ca="1">_xll.BDH($E$8,"PX LAST",AI327)</f>
        <v>5893.62</v>
      </c>
      <c r="AE327" s="9" cm="1">
        <f t="array" aca="1" ref="AE327" ca="1">_xll.BDH($E$8,"PX LAST",AJ327)</f>
        <v>5712.69</v>
      </c>
      <c r="AF327" s="9" cm="1">
        <f t="array" aca="1" ref="AF327" ca="1">_xll.BDH($E$8,"PX LAST",AK327)</f>
        <v>5471.05</v>
      </c>
      <c r="AG327" s="20">
        <f t="shared" ca="1" si="85"/>
        <v>45629</v>
      </c>
      <c r="AH327" s="22">
        <f t="shared" ca="1" si="80"/>
        <v>45621</v>
      </c>
      <c r="AI327" s="22">
        <f t="shared" ca="1" si="81"/>
        <v>45614</v>
      </c>
      <c r="AJ327" s="22">
        <f t="shared" ca="1" si="82"/>
        <v>45600</v>
      </c>
      <c r="AK327" s="22">
        <f t="shared" ca="1" si="83"/>
        <v>45544</v>
      </c>
      <c r="AL327" s="22">
        <f t="shared" ca="1" si="84"/>
        <v>45455</v>
      </c>
    </row>
    <row r="328" spans="4:38" x14ac:dyDescent="0.25">
      <c r="D328" s="6">
        <f ca="1"/>
        <v>45628</v>
      </c>
      <c r="E328" s="28">
        <f ca="1"/>
        <v>212.07</v>
      </c>
      <c r="F328" s="29" cm="1">
        <f t="array" aca="1" ref="F328" ca="1">_xll.FDS($E$7,"P_BETA_LOCIDX("&amp;$AG328&amp;","&amp;$AL328&amp;",,"""&amp;$E$9&amp;""")")</f>
        <v>1.6096318999999999</v>
      </c>
      <c r="G328" s="30">
        <f t="shared" ca="1" si="70"/>
        <v>-1.0450628197757373E-2</v>
      </c>
      <c r="H328" s="30">
        <f t="shared" ca="1" si="70"/>
        <v>-1.0115342716866267E-2</v>
      </c>
      <c r="I328" s="30">
        <f t="shared" ca="1" si="70"/>
        <v>3.7565398797027763E-2</v>
      </c>
      <c r="J328" s="30">
        <f t="shared" ca="1" si="68"/>
        <v>0.22493013889063665</v>
      </c>
      <c r="K328" s="30">
        <f t="shared" ca="1" si="71"/>
        <v>2.0981458274951615E-2</v>
      </c>
      <c r="L328" s="30">
        <f t="shared" ca="1" si="71"/>
        <v>4.8401756425556504E-2</v>
      </c>
      <c r="M328" s="30">
        <f t="shared" ca="1" si="71"/>
        <v>8.9447408770597356E-2</v>
      </c>
      <c r="N328" s="30">
        <f t="shared" ca="1" si="69"/>
        <v>0.19009621728471512</v>
      </c>
      <c r="O328" s="30">
        <f t="shared" ca="1" si="72"/>
        <v>1.0530830077194242E-2</v>
      </c>
      <c r="P328" s="30">
        <f t="shared" ca="1" si="73"/>
        <v>3.8286413708690237E-2</v>
      </c>
      <c r="Q328" s="30">
        <f t="shared" ca="1" si="74"/>
        <v>0.12701280756762512</v>
      </c>
      <c r="R328" s="30">
        <f t="shared" ca="1" si="75"/>
        <v>0.41502635617535177</v>
      </c>
      <c r="S328" s="9" cm="1">
        <f t="array" aca="1" ref="S328" ca="1">_xll.BDH($E$6,"PX LAST",AG328)</f>
        <v>212.07</v>
      </c>
      <c r="T328" s="9" cm="1">
        <f t="array" aca="1" ref="T328" ca="1">_xll.BDH($E$6,"PX LAST",AH328)</f>
        <v>209.86</v>
      </c>
      <c r="U328" s="9" cm="1">
        <f t="array" aca="1" ref="U328" ca="1">_xll.BDH($E$6,"PX LAST",AI328)</f>
        <v>204.25</v>
      </c>
      <c r="V328" s="9" cm="1">
        <f t="array" aca="1" ref="V328" ca="1">_xll.BDH($E$6,"PX LAST",AJ328)</f>
        <v>188.17</v>
      </c>
      <c r="W328" s="9" cm="1">
        <f t="array" aca="1" ref="W328" ca="1">_xll.BDH($E$6,"PX LAST",AK328)</f>
        <v>149.87</v>
      </c>
      <c r="X328" s="24">
        <f t="shared" ca="1" si="76"/>
        <v>1.3034941886372664E-2</v>
      </c>
      <c r="Y328" s="24">
        <f t="shared" ca="1" si="77"/>
        <v>3.007007777713433E-2</v>
      </c>
      <c r="Z328" s="24">
        <f t="shared" ca="1" si="78"/>
        <v>5.5570101941069483E-2</v>
      </c>
      <c r="AA328" s="24">
        <f t="shared" ca="1" si="79"/>
        <v>0.11809918608392089</v>
      </c>
      <c r="AB328" s="9" cm="1">
        <f t="array" aca="1" ref="AB328" ca="1">_xll.BDH($E$8,"PX LAST",AG328)</f>
        <v>6047.15</v>
      </c>
      <c r="AC328" s="9" cm="1">
        <f t="array" aca="1" ref="AC328" ca="1">_xll.BDH($E$8,"PX LAST",AH328)</f>
        <v>5969.34</v>
      </c>
      <c r="AD328" s="9" cm="1">
        <f t="array" aca="1" ref="AD328" ca="1">_xll.BDH($E$8,"PX LAST",AI328)</f>
        <v>5870.62</v>
      </c>
      <c r="AE328" s="9" cm="1">
        <f t="array" aca="1" ref="AE328" ca="1">_xll.BDH($E$8,"PX LAST",AJ328)</f>
        <v>5728.8</v>
      </c>
      <c r="AF328" s="9" cm="1">
        <f t="array" aca="1" ref="AF328" ca="1">_xll.BDH($E$8,"PX LAST",AK328)</f>
        <v>5408.42</v>
      </c>
      <c r="AG328" s="20">
        <f t="shared" ca="1" si="85"/>
        <v>45628</v>
      </c>
      <c r="AH328" s="22">
        <f t="shared" ca="1" si="80"/>
        <v>45618</v>
      </c>
      <c r="AI328" s="22">
        <f t="shared" ca="1" si="81"/>
        <v>45611</v>
      </c>
      <c r="AJ328" s="22">
        <f t="shared" ca="1" si="82"/>
        <v>45597</v>
      </c>
      <c r="AK328" s="22">
        <f t="shared" ca="1" si="83"/>
        <v>45541</v>
      </c>
      <c r="AL328" s="22">
        <f t="shared" ca="1" si="84"/>
        <v>45454</v>
      </c>
    </row>
    <row r="329" spans="4:38" x14ac:dyDescent="0.25">
      <c r="D329" s="6">
        <f ca="1"/>
        <v>45625</v>
      </c>
      <c r="E329" s="28">
        <f ca="1"/>
        <v>211.57</v>
      </c>
      <c r="F329" s="29" cm="1">
        <f t="array" aca="1" ref="F329" ca="1">_xll.FDS($E$7,"P_BETA_LOCIDX("&amp;$AG329&amp;","&amp;$AL329&amp;",,"""&amp;$E$9&amp;""")")</f>
        <v>1.6125020000000001</v>
      </c>
      <c r="G329" s="30">
        <f t="shared" ca="1" si="70"/>
        <v>-2.6233263114563178E-3</v>
      </c>
      <c r="H329" s="30">
        <f t="shared" ca="1" si="70"/>
        <v>-4.8031580106767391E-3</v>
      </c>
      <c r="I329" s="30">
        <f t="shared" ca="1" si="70"/>
        <v>9.7007412960401773E-3</v>
      </c>
      <c r="J329" s="30">
        <f t="shared" ca="1" si="68"/>
        <v>0.23673628720104295</v>
      </c>
      <c r="K329" s="30">
        <f t="shared" ca="1" si="71"/>
        <v>2.2680218457447252E-2</v>
      </c>
      <c r="L329" s="30">
        <f t="shared" ca="1" si="71"/>
        <v>2.2553783371461827E-2</v>
      </c>
      <c r="M329" s="30">
        <f t="shared" ca="1" si="71"/>
        <v>9.2398545050784903E-2</v>
      </c>
      <c r="N329" s="30">
        <f t="shared" ca="1" si="69"/>
        <v>0.15498848585513364</v>
      </c>
      <c r="O329" s="30">
        <f t="shared" ca="1" si="72"/>
        <v>2.0056892145990934E-2</v>
      </c>
      <c r="P329" s="30">
        <f t="shared" ca="1" si="73"/>
        <v>1.7750625360785088E-2</v>
      </c>
      <c r="Q329" s="30">
        <f t="shared" ca="1" si="74"/>
        <v>0.10209928634682508</v>
      </c>
      <c r="R329" s="30">
        <f t="shared" ca="1" si="75"/>
        <v>0.39172477305617659</v>
      </c>
      <c r="S329" s="9" cm="1">
        <f t="array" aca="1" ref="S329" ca="1">_xll.BDH($E$6,"PX LAST",AG329)</f>
        <v>211.57</v>
      </c>
      <c r="T329" s="9" cm="1">
        <f t="array" aca="1" ref="T329" ca="1">_xll.BDH($E$6,"PX LAST",AH329)</f>
        <v>207.41</v>
      </c>
      <c r="U329" s="9" cm="1">
        <f t="array" aca="1" ref="U329" ca="1">_xll.BDH($E$6,"PX LAST",AI329)</f>
        <v>207.88</v>
      </c>
      <c r="V329" s="9" cm="1">
        <f t="array" aca="1" ref="V329" ca="1">_xll.BDH($E$6,"PX LAST",AJ329)</f>
        <v>191.97</v>
      </c>
      <c r="W329" s="9" cm="1">
        <f t="array" aca="1" ref="W329" ca="1">_xll.BDH($E$6,"PX LAST",AK329)</f>
        <v>152.02000000000001</v>
      </c>
      <c r="X329" s="24">
        <f t="shared" ca="1" si="76"/>
        <v>1.4065234311304575E-2</v>
      </c>
      <c r="Y329" s="24">
        <f t="shared" ca="1" si="77"/>
        <v>1.3986825052906493E-2</v>
      </c>
      <c r="Z329" s="24">
        <f t="shared" ca="1" si="78"/>
        <v>5.7301352215863854E-2</v>
      </c>
      <c r="AA329" s="24">
        <f t="shared" ca="1" si="79"/>
        <v>9.6116771238196064E-2</v>
      </c>
      <c r="AB329" s="9" cm="1">
        <f t="array" aca="1" ref="AB329" ca="1">_xll.BDH($E$8,"PX LAST",AG329)</f>
        <v>6032.38</v>
      </c>
      <c r="AC329" s="9" cm="1">
        <f t="array" aca="1" ref="AC329" ca="1">_xll.BDH($E$8,"PX LAST",AH329)</f>
        <v>5948.71</v>
      </c>
      <c r="AD329" s="9" cm="1">
        <f t="array" aca="1" ref="AD329" ca="1">_xll.BDH($E$8,"PX LAST",AI329)</f>
        <v>5949.17</v>
      </c>
      <c r="AE329" s="9" cm="1">
        <f t="array" aca="1" ref="AE329" ca="1">_xll.BDH($E$8,"PX LAST",AJ329)</f>
        <v>5705.45</v>
      </c>
      <c r="AF329" s="9" cm="1">
        <f t="array" aca="1" ref="AF329" ca="1">_xll.BDH($E$8,"PX LAST",AK329)</f>
        <v>5503.41</v>
      </c>
      <c r="AG329" s="20">
        <f t="shared" ca="1" si="85"/>
        <v>45625</v>
      </c>
      <c r="AH329" s="22">
        <f t="shared" ca="1" si="80"/>
        <v>45617</v>
      </c>
      <c r="AI329" s="22">
        <f t="shared" ca="1" si="81"/>
        <v>45610</v>
      </c>
      <c r="AJ329" s="22">
        <f t="shared" ca="1" si="82"/>
        <v>45596</v>
      </c>
      <c r="AK329" s="22">
        <f t="shared" ca="1" si="83"/>
        <v>45540</v>
      </c>
      <c r="AL329" s="22">
        <f t="shared" ca="1" si="84"/>
        <v>45453</v>
      </c>
    </row>
    <row r="330" spans="4:38" x14ac:dyDescent="0.25">
      <c r="D330" s="6">
        <f ca="1"/>
        <v>45623</v>
      </c>
      <c r="E330" s="28">
        <f ca="1"/>
        <v>208.33</v>
      </c>
      <c r="F330" s="29" cm="1">
        <f t="array" aca="1" ref="F330" ca="1">_xll.FDS($E$7,"P_BETA_LOCIDX("&amp;$AG330&amp;","&amp;$AL330&amp;",,"""&amp;$E$9&amp;""")")</f>
        <v>1.6074337000000001</v>
      </c>
      <c r="G330" s="30">
        <f t="shared" ca="1" si="70"/>
        <v>9.9786916487156693E-3</v>
      </c>
      <c r="H330" s="30">
        <f t="shared" ca="1" si="70"/>
        <v>2.5941199174412911E-3</v>
      </c>
      <c r="I330" s="30">
        <f t="shared" ca="1" si="70"/>
        <v>0.12053939737280467</v>
      </c>
      <c r="J330" s="30">
        <f t="shared" ca="1" si="68"/>
        <v>0.21463536037509251</v>
      </c>
      <c r="K330" s="30">
        <f t="shared" ca="1" si="71"/>
        <v>2.2175489881208994E-2</v>
      </c>
      <c r="L330" s="30">
        <f t="shared" ca="1" si="71"/>
        <v>3.5879617053551404E-3</v>
      </c>
      <c r="M330" s="30">
        <f t="shared" ca="1" si="71"/>
        <v>5.1170388903910742E-2</v>
      </c>
      <c r="N330" s="30">
        <f t="shared" ca="1" si="69"/>
        <v>0.13938777754249482</v>
      </c>
      <c r="O330" s="30">
        <f t="shared" ca="1" si="72"/>
        <v>3.2154181529924664E-2</v>
      </c>
      <c r="P330" s="30">
        <f t="shared" ca="1" si="73"/>
        <v>6.1820816227964315E-3</v>
      </c>
      <c r="Q330" s="30">
        <f t="shared" ca="1" si="74"/>
        <v>0.1717097862767154</v>
      </c>
      <c r="R330" s="30">
        <f t="shared" ca="1" si="75"/>
        <v>0.35402313791758733</v>
      </c>
      <c r="S330" s="9" cm="1">
        <f t="array" aca="1" ref="S330" ca="1">_xll.BDH($E$6,"PX LAST",AG330)</f>
        <v>208.33</v>
      </c>
      <c r="T330" s="9" cm="1">
        <f t="array" aca="1" ref="T330" ca="1">_xll.BDH($E$6,"PX LAST",AH330)</f>
        <v>201.84</v>
      </c>
      <c r="U330" s="9" cm="1">
        <f t="array" aca="1" ref="U330" ca="1">_xll.BDH($E$6,"PX LAST",AI330)</f>
        <v>207.05</v>
      </c>
      <c r="V330" s="9" cm="1">
        <f t="array" aca="1" ref="V330" ca="1">_xll.BDH($E$6,"PX LAST",AJ330)</f>
        <v>177.8</v>
      </c>
      <c r="W330" s="9" cm="1">
        <f t="array" aca="1" ref="W330" ca="1">_xll.BDH($E$6,"PX LAST",AK330)</f>
        <v>153.86000000000001</v>
      </c>
      <c r="X330" s="24">
        <f t="shared" ca="1" si="76"/>
        <v>1.3795586020878492E-2</v>
      </c>
      <c r="Y330" s="24">
        <f t="shared" ca="1" si="77"/>
        <v>2.2321055638905296E-3</v>
      </c>
      <c r="Z330" s="24">
        <f t="shared" ca="1" si="78"/>
        <v>3.183359220595583E-2</v>
      </c>
      <c r="AA330" s="24">
        <f t="shared" ca="1" si="79"/>
        <v>8.6714480069999045E-2</v>
      </c>
      <c r="AB330" s="9" cm="1">
        <f t="array" aca="1" ref="AB330" ca="1">_xll.BDH($E$8,"PX LAST",AG330)</f>
        <v>5998.74</v>
      </c>
      <c r="AC330" s="9" cm="1">
        <f t="array" aca="1" ref="AC330" ca="1">_xll.BDH($E$8,"PX LAST",AH330)</f>
        <v>5917.11</v>
      </c>
      <c r="AD330" s="9" cm="1">
        <f t="array" aca="1" ref="AD330" ca="1">_xll.BDH($E$8,"PX LAST",AI330)</f>
        <v>5985.38</v>
      </c>
      <c r="AE330" s="9" cm="1">
        <f t="array" aca="1" ref="AE330" ca="1">_xll.BDH($E$8,"PX LAST",AJ330)</f>
        <v>5813.67</v>
      </c>
      <c r="AF330" s="9" cm="1">
        <f t="array" aca="1" ref="AF330" ca="1">_xll.BDH($E$8,"PX LAST",AK330)</f>
        <v>5520.07</v>
      </c>
      <c r="AG330" s="20">
        <f t="shared" ca="1" si="85"/>
        <v>45623</v>
      </c>
      <c r="AH330" s="22">
        <f t="shared" ca="1" si="80"/>
        <v>45616</v>
      </c>
      <c r="AI330" s="22">
        <f t="shared" ca="1" si="81"/>
        <v>45609</v>
      </c>
      <c r="AJ330" s="22">
        <f t="shared" ca="1" si="82"/>
        <v>45595</v>
      </c>
      <c r="AK330" s="22">
        <f t="shared" ca="1" si="83"/>
        <v>45539</v>
      </c>
      <c r="AL330" s="22">
        <f t="shared" ca="1" si="84"/>
        <v>45450</v>
      </c>
    </row>
    <row r="331" spans="4:38" x14ac:dyDescent="0.25">
      <c r="D331" s="6">
        <f ca="1"/>
        <v>45622</v>
      </c>
      <c r="E331" s="28">
        <f ca="1"/>
        <v>210.99</v>
      </c>
      <c r="F331" s="29" cm="1">
        <f t="array" aca="1" ref="F331" ca="1">_xll.FDS($E$7,"P_BETA_LOCIDX("&amp;$AG331&amp;","&amp;$AL331&amp;",,"""&amp;$E$9&amp;""")")</f>
        <v>1.6057532999999999</v>
      </c>
      <c r="G331" s="30">
        <f t="shared" ca="1" si="70"/>
        <v>3.2350731250348277E-3</v>
      </c>
      <c r="H331" s="30">
        <f t="shared" ca="1" si="70"/>
        <v>2.2392894473884296E-2</v>
      </c>
      <c r="I331" s="30">
        <f t="shared" ca="1" si="70"/>
        <v>0.13458668838638776</v>
      </c>
      <c r="J331" s="30">
        <f t="shared" ca="1" si="68"/>
        <v>0.21559012529446106</v>
      </c>
      <c r="K331" s="30">
        <f t="shared" ca="1" si="71"/>
        <v>2.8399974792039338E-2</v>
      </c>
      <c r="L331" s="30">
        <f t="shared" ca="1" si="71"/>
        <v>1.0100376874292848E-2</v>
      </c>
      <c r="M331" s="30">
        <f t="shared" ca="1" si="71"/>
        <v>5.1950259088586963E-2</v>
      </c>
      <c r="N331" s="30">
        <f t="shared" ca="1" si="69"/>
        <v>0.14309362768383763</v>
      </c>
      <c r="O331" s="30">
        <f t="shared" ca="1" si="72"/>
        <v>3.1635047917074166E-2</v>
      </c>
      <c r="P331" s="30">
        <f t="shared" ca="1" si="73"/>
        <v>3.2493271348177144E-2</v>
      </c>
      <c r="Q331" s="30">
        <f t="shared" ca="1" si="74"/>
        <v>0.18653694747497473</v>
      </c>
      <c r="R331" s="30">
        <f t="shared" ca="1" si="75"/>
        <v>0.35868375297829869</v>
      </c>
      <c r="S331" s="9" cm="1">
        <f t="array" aca="1" ref="S331" ca="1">_xll.BDH($E$6,"PX LAST",AG331)</f>
        <v>210.99</v>
      </c>
      <c r="T331" s="9" cm="1">
        <f t="array" aca="1" ref="T331" ca="1">_xll.BDH($E$6,"PX LAST",AH331)</f>
        <v>204.52</v>
      </c>
      <c r="U331" s="9" cm="1">
        <f t="array" aca="1" ref="U331" ca="1">_xll.BDH($E$6,"PX LAST",AI331)</f>
        <v>204.35</v>
      </c>
      <c r="V331" s="9" cm="1">
        <f t="array" aca="1" ref="V331" ca="1">_xll.BDH($E$6,"PX LAST",AJ331)</f>
        <v>177.82</v>
      </c>
      <c r="W331" s="9" cm="1">
        <f t="array" aca="1" ref="W331" ca="1">_xll.BDH($E$6,"PX LAST",AK331)</f>
        <v>155.29</v>
      </c>
      <c r="X331" s="24">
        <f t="shared" ca="1" si="76"/>
        <v>1.768638731244665E-2</v>
      </c>
      <c r="Y331" s="24">
        <f t="shared" ca="1" si="77"/>
        <v>6.2901174634315549E-3</v>
      </c>
      <c r="Z331" s="24">
        <f t="shared" ca="1" si="78"/>
        <v>3.2352578125535825E-2</v>
      </c>
      <c r="AA331" s="24">
        <f t="shared" ca="1" si="79"/>
        <v>8.9113083363327128E-2</v>
      </c>
      <c r="AB331" s="9" cm="1">
        <f t="array" aca="1" ref="AB331" ca="1">_xll.BDH($E$8,"PX LAST",AG331)</f>
        <v>6021.63</v>
      </c>
      <c r="AC331" s="9" cm="1">
        <f t="array" aca="1" ref="AC331" ca="1">_xll.BDH($E$8,"PX LAST",AH331)</f>
        <v>5916.98</v>
      </c>
      <c r="AD331" s="9" cm="1">
        <f t="array" aca="1" ref="AD331" ca="1">_xll.BDH($E$8,"PX LAST",AI331)</f>
        <v>5983.99</v>
      </c>
      <c r="AE331" s="9" cm="1">
        <f t="array" aca="1" ref="AE331" ca="1">_xll.BDH($E$8,"PX LAST",AJ331)</f>
        <v>5832.92</v>
      </c>
      <c r="AF331" s="9" cm="1">
        <f t="array" aca="1" ref="AF331" ca="1">_xll.BDH($E$8,"PX LAST",AK331)</f>
        <v>5528.93</v>
      </c>
      <c r="AG331" s="20">
        <f t="shared" ca="1" si="85"/>
        <v>45622</v>
      </c>
      <c r="AH331" s="22">
        <f t="shared" ca="1" si="80"/>
        <v>45615</v>
      </c>
      <c r="AI331" s="22">
        <f t="shared" ca="1" si="81"/>
        <v>45608</v>
      </c>
      <c r="AJ331" s="22">
        <f t="shared" ca="1" si="82"/>
        <v>45594</v>
      </c>
      <c r="AK331" s="22">
        <f t="shared" ca="1" si="83"/>
        <v>45538</v>
      </c>
      <c r="AL331" s="22">
        <f t="shared" ca="1" si="84"/>
        <v>45449</v>
      </c>
    </row>
    <row r="332" spans="4:38" x14ac:dyDescent="0.25">
      <c r="D332" s="6">
        <f ca="1"/>
        <v>45621</v>
      </c>
      <c r="E332" s="28">
        <f ca="1"/>
        <v>213.19</v>
      </c>
      <c r="F332" s="29" cm="1">
        <f t="array" aca="1" ref="F332" ca="1">_xll.FDS($E$7,"P_BETA_LOCIDX("&amp;$AG332&amp;","&amp;$AL332&amp;",,"""&amp;$E$9&amp;""")")</f>
        <v>1.6307187000000001</v>
      </c>
      <c r="G332" s="30">
        <f t="shared" ca="1" si="70"/>
        <v>2.2294937341915254E-2</v>
      </c>
      <c r="H332" s="30">
        <f t="shared" ca="1" si="70"/>
        <v>2.1946673438476876E-2</v>
      </c>
      <c r="I332" s="30">
        <f t="shared" ca="1" si="70"/>
        <v>0.14220340892302907</v>
      </c>
      <c r="J332" s="30">
        <f t="shared" ca="1" si="68"/>
        <v>0.19122961210869135</v>
      </c>
      <c r="K332" s="30">
        <f t="shared" ca="1" si="71"/>
        <v>2.5939894008266663E-2</v>
      </c>
      <c r="L332" s="30">
        <f t="shared" ca="1" si="71"/>
        <v>-3.7987198590317792E-3</v>
      </c>
      <c r="M332" s="30">
        <f t="shared" ca="1" si="71"/>
        <v>4.5881744888829998E-2</v>
      </c>
      <c r="N332" s="30">
        <f t="shared" ca="1" si="69"/>
        <v>9.7862176499362824E-2</v>
      </c>
      <c r="O332" s="30">
        <f t="shared" ca="1" si="72"/>
        <v>4.8234831350181917E-2</v>
      </c>
      <c r="P332" s="30">
        <f t="shared" ca="1" si="73"/>
        <v>1.8147953579445097E-2</v>
      </c>
      <c r="Q332" s="30">
        <f t="shared" ca="1" si="74"/>
        <v>0.18808515381185908</v>
      </c>
      <c r="R332" s="30">
        <f t="shared" ca="1" si="75"/>
        <v>0.28909178860805418</v>
      </c>
      <c r="S332" s="9" cm="1">
        <f t="array" aca="1" ref="S332" ca="1">_xll.BDH($E$6,"PX LAST",AG332)</f>
        <v>213.19</v>
      </c>
      <c r="T332" s="9" cm="1">
        <f t="array" aca="1" ref="T332" ca="1">_xll.BDH($E$6,"PX LAST",AH332)</f>
        <v>203.38</v>
      </c>
      <c r="U332" s="9" cm="1">
        <f t="array" aca="1" ref="U332" ca="1">_xll.BDH($E$6,"PX LAST",AI332)</f>
        <v>209.39</v>
      </c>
      <c r="V332" s="9" cm="1">
        <f t="array" aca="1" ref="V332" ca="1">_xll.BDH($E$6,"PX LAST",AJ332)</f>
        <v>179.44</v>
      </c>
      <c r="W332" s="9" cm="1">
        <f t="array" aca="1" ref="W332" ca="1">_xll.BDH($E$6,"PX LAST",AK332)</f>
        <v>165.38</v>
      </c>
      <c r="X332" s="24">
        <f t="shared" ca="1" si="76"/>
        <v>1.5907031671536398E-2</v>
      </c>
      <c r="Y332" s="24">
        <f t="shared" ca="1" si="77"/>
        <v>-2.3294758679297534E-3</v>
      </c>
      <c r="Z332" s="24">
        <f t="shared" ca="1" si="78"/>
        <v>2.8135904058026684E-2</v>
      </c>
      <c r="AA332" s="24">
        <f t="shared" ca="1" si="79"/>
        <v>6.0011684724877945E-2</v>
      </c>
      <c r="AB332" s="9" cm="1">
        <f t="array" aca="1" ref="AB332" ca="1">_xll.BDH($E$8,"PX LAST",AG332)</f>
        <v>5987.37</v>
      </c>
      <c r="AC332" s="9" cm="1">
        <f t="array" aca="1" ref="AC332" ca="1">_xll.BDH($E$8,"PX LAST",AH332)</f>
        <v>5893.62</v>
      </c>
      <c r="AD332" s="9" cm="1">
        <f t="array" aca="1" ref="AD332" ca="1">_xll.BDH($E$8,"PX LAST",AI332)</f>
        <v>6001.35</v>
      </c>
      <c r="AE332" s="9" cm="1">
        <f t="array" aca="1" ref="AE332" ca="1">_xll.BDH($E$8,"PX LAST",AJ332)</f>
        <v>5823.52</v>
      </c>
      <c r="AF332" s="9" cm="1">
        <f t="array" aca="1" ref="AF332" ca="1">_xll.BDH($E$8,"PX LAST",AK332)</f>
        <v>5648.4</v>
      </c>
      <c r="AG332" s="20">
        <f t="shared" ca="1" si="85"/>
        <v>45621</v>
      </c>
      <c r="AH332" s="22">
        <f t="shared" ca="1" si="80"/>
        <v>45614</v>
      </c>
      <c r="AI332" s="22">
        <f t="shared" ca="1" si="81"/>
        <v>45607</v>
      </c>
      <c r="AJ332" s="22">
        <f t="shared" ca="1" si="82"/>
        <v>45593</v>
      </c>
      <c r="AK332" s="22">
        <f t="shared" ca="1" si="83"/>
        <v>45534</v>
      </c>
      <c r="AL332" s="22">
        <f t="shared" ca="1" si="84"/>
        <v>45448</v>
      </c>
    </row>
    <row r="333" spans="4:38" x14ac:dyDescent="0.25">
      <c r="D333" s="6">
        <f ca="1"/>
        <v>45618</v>
      </c>
      <c r="E333" s="28">
        <f ca="1"/>
        <v>209.86</v>
      </c>
      <c r="F333" s="29" cm="1">
        <f t="array" aca="1" ref="F333" ca="1">_xll.FDS($E$7,"P_BETA_LOCIDX("&amp;$AG333&amp;","&amp;$AL333&amp;",,"""&amp;$E$9&amp;""")")</f>
        <v>1.6268849999999999</v>
      </c>
      <c r="G333" s="30">
        <f t="shared" ca="1" si="70"/>
        <v>1.0873797173501648E-4</v>
      </c>
      <c r="H333" s="30">
        <f t="shared" ca="1" si="70"/>
        <v>2.6936348824602861E-2</v>
      </c>
      <c r="I333" s="30">
        <f t="shared" ca="1" si="70"/>
        <v>0.14702457954707859</v>
      </c>
      <c r="J333" s="30">
        <f t="shared" ca="1" si="68"/>
        <v>0.17903659150561019</v>
      </c>
      <c r="K333" s="30">
        <f t="shared" ca="1" si="71"/>
        <v>2.7357602297542839E-2</v>
      </c>
      <c r="L333" s="30">
        <f t="shared" ca="1" si="71"/>
        <v>-7.1093491161762527E-3</v>
      </c>
      <c r="M333" s="30">
        <f t="shared" ca="1" si="71"/>
        <v>4.5158571052251087E-2</v>
      </c>
      <c r="N333" s="30">
        <f t="shared" ca="1" si="69"/>
        <v>0.10979224838875817</v>
      </c>
      <c r="O333" s="30">
        <f t="shared" ca="1" si="72"/>
        <v>2.7466340269277856E-2</v>
      </c>
      <c r="P333" s="30">
        <f t="shared" ca="1" si="73"/>
        <v>1.9826999708426607E-2</v>
      </c>
      <c r="Q333" s="30">
        <f t="shared" ca="1" si="74"/>
        <v>0.19218315059932967</v>
      </c>
      <c r="R333" s="30">
        <f t="shared" ca="1" si="75"/>
        <v>0.28882883989436836</v>
      </c>
      <c r="S333" s="9" cm="1">
        <f t="array" aca="1" ref="S333" ca="1">_xll.BDH($E$6,"PX LAST",AG333)</f>
        <v>209.86</v>
      </c>
      <c r="T333" s="9" cm="1">
        <f t="array" aca="1" ref="T333" ca="1">_xll.BDH($E$6,"PX LAST",AH333)</f>
        <v>204.25</v>
      </c>
      <c r="U333" s="9" cm="1">
        <f t="array" aca="1" ref="U333" ca="1">_xll.BDH($E$6,"PX LAST",AI333)</f>
        <v>205.78</v>
      </c>
      <c r="V333" s="9" cm="1">
        <f t="array" aca="1" ref="V333" ca="1">_xll.BDH($E$6,"PX LAST",AJ333)</f>
        <v>176.03</v>
      </c>
      <c r="W333" s="9" cm="1">
        <f t="array" aca="1" ref="W333" ca="1">_xll.BDH($E$6,"PX LAST",AK333)</f>
        <v>162.83000000000001</v>
      </c>
      <c r="X333" s="24">
        <f t="shared" ca="1" si="76"/>
        <v>1.6815941076070429E-2</v>
      </c>
      <c r="Y333" s="24">
        <f t="shared" ca="1" si="77"/>
        <v>-4.3699149701277307E-3</v>
      </c>
      <c r="Z333" s="24">
        <f t="shared" ca="1" si="78"/>
        <v>2.7757690956798475E-2</v>
      </c>
      <c r="AA333" s="24">
        <f t="shared" ca="1" si="79"/>
        <v>6.7486176582092883E-2</v>
      </c>
      <c r="AB333" s="9" cm="1">
        <f t="array" aca="1" ref="AB333" ca="1">_xll.BDH($E$8,"PX LAST",AG333)</f>
        <v>5969.34</v>
      </c>
      <c r="AC333" s="9" cm="1">
        <f t="array" aca="1" ref="AC333" ca="1">_xll.BDH($E$8,"PX LAST",AH333)</f>
        <v>5870.62</v>
      </c>
      <c r="AD333" s="9" cm="1">
        <f t="array" aca="1" ref="AD333" ca="1">_xll.BDH($E$8,"PX LAST",AI333)</f>
        <v>5995.54</v>
      </c>
      <c r="AE333" s="9" cm="1">
        <f t="array" aca="1" ref="AE333" ca="1">_xll.BDH($E$8,"PX LAST",AJ333)</f>
        <v>5808.12</v>
      </c>
      <c r="AF333" s="9" cm="1">
        <f t="array" aca="1" ref="AF333" ca="1">_xll.BDH($E$8,"PX LAST",AK333)</f>
        <v>5591.96</v>
      </c>
      <c r="AG333" s="20">
        <f t="shared" ca="1" si="85"/>
        <v>45618</v>
      </c>
      <c r="AH333" s="22">
        <f t="shared" ca="1" si="80"/>
        <v>45611</v>
      </c>
      <c r="AI333" s="22">
        <f t="shared" ca="1" si="81"/>
        <v>45604</v>
      </c>
      <c r="AJ333" s="22">
        <f t="shared" ca="1" si="82"/>
        <v>45590</v>
      </c>
      <c r="AK333" s="22">
        <f t="shared" ca="1" si="83"/>
        <v>45533</v>
      </c>
      <c r="AL333" s="22">
        <f t="shared" ca="1" si="84"/>
        <v>45447</v>
      </c>
    </row>
    <row r="334" spans="4:38" x14ac:dyDescent="0.25">
      <c r="D334" s="6">
        <f ca="1"/>
        <v>45617</v>
      </c>
      <c r="E334" s="28">
        <f ca="1"/>
        <v>207.41</v>
      </c>
      <c r="F334" s="29" cm="1">
        <f t="array" aca="1" ref="F334" ca="1">_xll.FDS($E$7,"P_BETA_LOCIDX("&amp;$AG334&amp;","&amp;$AL334&amp;",,"""&amp;$E$9&amp;""")")</f>
        <v>1.6250452</v>
      </c>
      <c r="G334" s="30">
        <f t="shared" ca="1" si="70"/>
        <v>-2.135268487021222E-3</v>
      </c>
      <c r="H334" s="30">
        <f t="shared" ca="1" si="70"/>
        <v>4.9989757262647984E-3</v>
      </c>
      <c r="I334" s="30">
        <f t="shared" ca="1" si="70"/>
        <v>0.12999929308363922</v>
      </c>
      <c r="J334" s="30">
        <f t="shared" ca="1" si="68"/>
        <v>0.16333051396078871</v>
      </c>
      <c r="K334" s="30">
        <f t="shared" ca="1" si="71"/>
        <v>-1.2565127437952605E-4</v>
      </c>
      <c r="L334" s="30">
        <f t="shared" ca="1" si="71"/>
        <v>-6.63555815707102E-3</v>
      </c>
      <c r="M334" s="30">
        <f t="shared" ca="1" si="71"/>
        <v>3.8836998829575933E-2</v>
      </c>
      <c r="N334" s="30">
        <f t="shared" ca="1" si="69"/>
        <v>0.10360492064919233</v>
      </c>
      <c r="O334" s="30">
        <f t="shared" ca="1" si="72"/>
        <v>-2.2609197614007481E-3</v>
      </c>
      <c r="P334" s="30">
        <f t="shared" ca="1" si="73"/>
        <v>-1.6365824308062216E-3</v>
      </c>
      <c r="Q334" s="30">
        <f t="shared" ca="1" si="74"/>
        <v>0.16883629191321514</v>
      </c>
      <c r="R334" s="30">
        <f t="shared" ca="1" si="75"/>
        <v>0.26693543460998104</v>
      </c>
      <c r="S334" s="9" cm="1">
        <f t="array" aca="1" ref="S334" ca="1">_xll.BDH($E$6,"PX LAST",AG334)</f>
        <v>207.41</v>
      </c>
      <c r="T334" s="9" cm="1">
        <f t="array" aca="1" ref="T334" ca="1">_xll.BDH($E$6,"PX LAST",AH334)</f>
        <v>207.88</v>
      </c>
      <c r="U334" s="9" cm="1">
        <f t="array" aca="1" ref="U334" ca="1">_xll.BDH($E$6,"PX LAST",AI334)</f>
        <v>207.75</v>
      </c>
      <c r="V334" s="9" cm="1">
        <f t="array" aca="1" ref="V334" ca="1">_xll.BDH($E$6,"PX LAST",AJ334)</f>
        <v>177.45</v>
      </c>
      <c r="W334" s="9" cm="1">
        <f t="array" aca="1" ref="W334" ca="1">_xll.BDH($E$6,"PX LAST",AK334)</f>
        <v>163.71</v>
      </c>
      <c r="X334" s="24">
        <f t="shared" ca="1" si="76"/>
        <v>-7.7321710423516876E-5</v>
      </c>
      <c r="Y334" s="24">
        <f t="shared" ca="1" si="77"/>
        <v>-4.0833068256015403E-3</v>
      </c>
      <c r="Z334" s="24">
        <f t="shared" ca="1" si="78"/>
        <v>2.3899026826808223E-2</v>
      </c>
      <c r="AA334" s="24">
        <f t="shared" ca="1" si="79"/>
        <v>6.3755100873004844E-2</v>
      </c>
      <c r="AB334" s="9" cm="1">
        <f t="array" aca="1" ref="AB334" ca="1">_xll.BDH($E$8,"PX LAST",AG334)</f>
        <v>5948.71</v>
      </c>
      <c r="AC334" s="9" cm="1">
        <f t="array" aca="1" ref="AC334" ca="1">_xll.BDH($E$8,"PX LAST",AH334)</f>
        <v>5949.17</v>
      </c>
      <c r="AD334" s="9" cm="1">
        <f t="array" aca="1" ref="AD334" ca="1">_xll.BDH($E$8,"PX LAST",AI334)</f>
        <v>5973.1</v>
      </c>
      <c r="AE334" s="9" cm="1">
        <f t="array" aca="1" ref="AE334" ca="1">_xll.BDH($E$8,"PX LAST",AJ334)</f>
        <v>5809.86</v>
      </c>
      <c r="AF334" s="9" cm="1">
        <f t="array" aca="1" ref="AF334" ca="1">_xll.BDH($E$8,"PX LAST",AK334)</f>
        <v>5592.18</v>
      </c>
      <c r="AG334" s="20">
        <f t="shared" ca="1" si="85"/>
        <v>45617</v>
      </c>
      <c r="AH334" s="22">
        <f t="shared" ca="1" si="80"/>
        <v>45610</v>
      </c>
      <c r="AI334" s="22">
        <f t="shared" ca="1" si="81"/>
        <v>45603</v>
      </c>
      <c r="AJ334" s="22">
        <f t="shared" ca="1" si="82"/>
        <v>45589</v>
      </c>
      <c r="AK334" s="22">
        <f t="shared" ca="1" si="83"/>
        <v>45532</v>
      </c>
      <c r="AL334" s="22">
        <f t="shared" ca="1" si="84"/>
        <v>45446</v>
      </c>
    </row>
    <row r="335" spans="4:38" x14ac:dyDescent="0.25">
      <c r="D335" s="6">
        <f ca="1"/>
        <v>45616</v>
      </c>
      <c r="E335" s="28">
        <f ca="1"/>
        <v>201.84</v>
      </c>
      <c r="F335" s="29" cm="1">
        <f t="array" aca="1" ref="F335" ca="1">_xll.FDS($E$7,"P_BETA_LOCIDX("&amp;$AG335&amp;","&amp;$AL335&amp;",,"""&amp;$E$9&amp;""")")</f>
        <v>1.6084627</v>
      </c>
      <c r="G335" s="30">
        <f t="shared" ca="1" si="70"/>
        <v>-6.8166754629967533E-3</v>
      </c>
      <c r="H335" s="30">
        <f t="shared" ca="1" si="70"/>
        <v>-4.6794156299638325E-2</v>
      </c>
      <c r="I335" s="30">
        <f t="shared" ca="1" si="70"/>
        <v>0.12227697357073922</v>
      </c>
      <c r="J335" s="30">
        <f t="shared" ca="1" si="68"/>
        <v>0.1509810056940285</v>
      </c>
      <c r="K335" s="30">
        <f t="shared" ca="1" si="71"/>
        <v>-1.8346328642291847E-2</v>
      </c>
      <c r="L335" s="30">
        <f t="shared" ca="1" si="71"/>
        <v>-3.236436254604591E-3</v>
      </c>
      <c r="M335" s="30">
        <f t="shared" ca="1" si="71"/>
        <v>3.3207340603751155E-2</v>
      </c>
      <c r="N335" s="30">
        <f t="shared" ca="1" si="69"/>
        <v>8.3287935784599379E-2</v>
      </c>
      <c r="O335" s="30">
        <f t="shared" ca="1" si="72"/>
        <v>-2.51630041052886E-2</v>
      </c>
      <c r="P335" s="30">
        <f t="shared" ca="1" si="73"/>
        <v>-5.0030592554242914E-2</v>
      </c>
      <c r="Q335" s="30">
        <f t="shared" ca="1" si="74"/>
        <v>0.15548431417449038</v>
      </c>
      <c r="R335" s="30">
        <f t="shared" ca="1" si="75"/>
        <v>0.23426894147862787</v>
      </c>
      <c r="S335" s="9" cm="1">
        <f t="array" aca="1" ref="S335" ca="1">_xll.BDH($E$6,"PX LAST",AG335)</f>
        <v>201.84</v>
      </c>
      <c r="T335" s="9" cm="1">
        <f t="array" aca="1" ref="T335" ca="1">_xll.BDH($E$6,"PX LAST",AH335)</f>
        <v>207.05</v>
      </c>
      <c r="U335" s="9" cm="1">
        <f t="array" aca="1" ref="U335" ca="1">_xll.BDH($E$6,"PX LAST",AI335)</f>
        <v>212.47</v>
      </c>
      <c r="V335" s="9" cm="1">
        <f t="array" aca="1" ref="V335" ca="1">_xll.BDH($E$6,"PX LAST",AJ335)</f>
        <v>174.68</v>
      </c>
      <c r="W335" s="9" cm="1">
        <f t="array" aca="1" ref="W335" ca="1">_xll.BDH($E$6,"PX LAST",AK335)</f>
        <v>163.53</v>
      </c>
      <c r="X335" s="24">
        <f t="shared" ca="1" si="76"/>
        <v>-1.1406126260989358E-2</v>
      </c>
      <c r="Y335" s="24">
        <f t="shared" ca="1" si="77"/>
        <v>-2.0121301256190716E-3</v>
      </c>
      <c r="Z335" s="24">
        <f t="shared" ca="1" si="78"/>
        <v>2.0645390535789954E-2</v>
      </c>
      <c r="AA335" s="24">
        <f t="shared" ca="1" si="79"/>
        <v>5.1781080024174253E-2</v>
      </c>
      <c r="AB335" s="9" cm="1">
        <f t="array" aca="1" ref="AB335" ca="1">_xll.BDH($E$8,"PX LAST",AG335)</f>
        <v>5917.11</v>
      </c>
      <c r="AC335" s="9" cm="1">
        <f t="array" aca="1" ref="AC335" ca="1">_xll.BDH($E$8,"PX LAST",AH335)</f>
        <v>5985.38</v>
      </c>
      <c r="AD335" s="9" cm="1">
        <f t="array" aca="1" ref="AD335" ca="1">_xll.BDH($E$8,"PX LAST",AI335)</f>
        <v>5929.04</v>
      </c>
      <c r="AE335" s="9" cm="1">
        <f t="array" aca="1" ref="AE335" ca="1">_xll.BDH($E$8,"PX LAST",AJ335)</f>
        <v>5797.42</v>
      </c>
      <c r="AF335" s="9" cm="1">
        <f t="array" aca="1" ref="AF335" ca="1">_xll.BDH($E$8,"PX LAST",AK335)</f>
        <v>5625.8</v>
      </c>
      <c r="AG335" s="20">
        <f t="shared" ca="1" si="85"/>
        <v>45616</v>
      </c>
      <c r="AH335" s="22">
        <f t="shared" ca="1" si="80"/>
        <v>45609</v>
      </c>
      <c r="AI335" s="22">
        <f t="shared" ca="1" si="81"/>
        <v>45602</v>
      </c>
      <c r="AJ335" s="22">
        <f t="shared" ca="1" si="82"/>
        <v>45588</v>
      </c>
      <c r="AK335" s="22">
        <f t="shared" ca="1" si="83"/>
        <v>45531</v>
      </c>
      <c r="AL335" s="22">
        <f t="shared" ca="1" si="84"/>
        <v>45443</v>
      </c>
    </row>
    <row r="336" spans="4:38" x14ac:dyDescent="0.25">
      <c r="D336" s="6">
        <f ca="1"/>
        <v>45615</v>
      </c>
      <c r="E336" s="28">
        <f ca="1"/>
        <v>204.52</v>
      </c>
      <c r="F336" s="29" cm="1">
        <f t="array" aca="1" ref="F336" ca="1">_xll.FDS($E$7,"P_BETA_LOCIDX("&amp;$AG336&amp;","&amp;$AL336&amp;",,"""&amp;$E$9&amp;""")")</f>
        <v>1.5904111000000001</v>
      </c>
      <c r="G336" s="30">
        <f t="shared" ca="1" si="70"/>
        <v>1.864166973149364E-2</v>
      </c>
      <c r="H336" s="30">
        <f t="shared" ca="1" si="70"/>
        <v>5.2058867844441865E-2</v>
      </c>
      <c r="I336" s="30">
        <f t="shared" ca="1" si="70"/>
        <v>0.15174178977176453</v>
      </c>
      <c r="J336" s="30">
        <f t="shared" ca="1" si="68"/>
        <v>0.15130850275263505</v>
      </c>
      <c r="K336" s="30">
        <f t="shared" ca="1" si="71"/>
        <v>-1.7809763687940763E-2</v>
      </c>
      <c r="L336" s="30">
        <f t="shared" ca="1" si="71"/>
        <v>3.6914030297297167E-2</v>
      </c>
      <c r="M336" s="30">
        <f t="shared" ca="1" si="71"/>
        <v>1.787962164308169E-2</v>
      </c>
      <c r="N336" s="30">
        <f t="shared" ca="1" si="69"/>
        <v>8.4984793505600981E-2</v>
      </c>
      <c r="O336" s="30">
        <f t="shared" ca="1" si="72"/>
        <v>8.3190604355287689E-4</v>
      </c>
      <c r="P336" s="30">
        <f t="shared" ca="1" si="73"/>
        <v>8.8972898141739032E-2</v>
      </c>
      <c r="Q336" s="30">
        <f t="shared" ca="1" si="74"/>
        <v>0.16962141141484621</v>
      </c>
      <c r="R336" s="30">
        <f t="shared" ca="1" si="75"/>
        <v>0.23629329625823603</v>
      </c>
      <c r="S336" s="9" cm="1">
        <f t="array" aca="1" ref="S336" ca="1">_xll.BDH($E$6,"PX LAST",AG336)</f>
        <v>204.52</v>
      </c>
      <c r="T336" s="9" cm="1">
        <f t="array" aca="1" ref="T336" ca="1">_xll.BDH($E$6,"PX LAST",AH336)</f>
        <v>204.35</v>
      </c>
      <c r="U336" s="9" cm="1">
        <f t="array" aca="1" ref="U336" ca="1">_xll.BDH($E$6,"PX LAST",AI336)</f>
        <v>187.81</v>
      </c>
      <c r="V336" s="9" cm="1">
        <f t="array" aca="1" ref="V336" ca="1">_xll.BDH($E$6,"PX LAST",AJ336)</f>
        <v>174.86</v>
      </c>
      <c r="W336" s="9" cm="1">
        <f t="array" aca="1" ref="W336" ca="1">_xll.BDH($E$6,"PX LAST",AK336)</f>
        <v>165.43</v>
      </c>
      <c r="X336" s="24">
        <f t="shared" ca="1" si="76"/>
        <v>-1.1198213900758591E-2</v>
      </c>
      <c r="Y336" s="24">
        <f t="shared" ca="1" si="77"/>
        <v>2.3210370134675973E-2</v>
      </c>
      <c r="Z336" s="24">
        <f t="shared" ca="1" si="78"/>
        <v>1.124213836477983E-2</v>
      </c>
      <c r="AA336" s="24">
        <f t="shared" ca="1" si="79"/>
        <v>5.3435739668568072E-2</v>
      </c>
      <c r="AB336" s="9" cm="1">
        <f t="array" aca="1" ref="AB336" ca="1">_xll.BDH($E$8,"PX LAST",AG336)</f>
        <v>5916.98</v>
      </c>
      <c r="AC336" s="9" cm="1">
        <f t="array" aca="1" ref="AC336" ca="1">_xll.BDH($E$8,"PX LAST",AH336)</f>
        <v>5983.99</v>
      </c>
      <c r="AD336" s="9" cm="1">
        <f t="array" aca="1" ref="AD336" ca="1">_xll.BDH($E$8,"PX LAST",AI336)</f>
        <v>5782.76</v>
      </c>
      <c r="AE336" s="9" cm="1">
        <f t="array" aca="1" ref="AE336" ca="1">_xll.BDH($E$8,"PX LAST",AJ336)</f>
        <v>5851.2</v>
      </c>
      <c r="AF336" s="9" cm="1">
        <f t="array" aca="1" ref="AF336" ca="1">_xll.BDH($E$8,"PX LAST",AK336)</f>
        <v>5616.84</v>
      </c>
      <c r="AG336" s="20">
        <f t="shared" ca="1" si="85"/>
        <v>45615</v>
      </c>
      <c r="AH336" s="22">
        <f t="shared" ca="1" si="80"/>
        <v>45608</v>
      </c>
      <c r="AI336" s="22">
        <f t="shared" ca="1" si="81"/>
        <v>45601</v>
      </c>
      <c r="AJ336" s="22">
        <f t="shared" ca="1" si="82"/>
        <v>45587</v>
      </c>
      <c r="AK336" s="22">
        <f t="shared" ca="1" si="83"/>
        <v>45530</v>
      </c>
      <c r="AL336" s="22">
        <f t="shared" ca="1" si="84"/>
        <v>45442</v>
      </c>
    </row>
    <row r="337" spans="4:38" x14ac:dyDescent="0.25">
      <c r="D337" s="6">
        <f ca="1"/>
        <v>45614</v>
      </c>
      <c r="E337" s="28">
        <f ca="1"/>
        <v>203.38</v>
      </c>
      <c r="F337" s="29" cm="1">
        <f t="array" aca="1" ref="F337" ca="1">_xll.FDS($E$7,"P_BETA_LOCIDX("&amp;$AG337&amp;","&amp;$AL337&amp;",,"""&amp;$E$9&amp;""")")</f>
        <v>1.6228062000000001</v>
      </c>
      <c r="G337" s="30">
        <f t="shared" ca="1" si="70"/>
        <v>4.2850954248663253E-4</v>
      </c>
      <c r="H337" s="30">
        <f t="shared" ca="1" si="70"/>
        <v>5.0276939237043537E-2</v>
      </c>
      <c r="I337" s="30">
        <f t="shared" ca="1" si="70"/>
        <v>0.13455589633866258</v>
      </c>
      <c r="J337" s="30">
        <f t="shared" ca="1" si="68"/>
        <v>0.15733744587801574</v>
      </c>
      <c r="K337" s="30">
        <f t="shared" ca="1" si="71"/>
        <v>-2.913093086155627E-2</v>
      </c>
      <c r="L337" s="30">
        <f t="shared" ca="1" si="71"/>
        <v>5.139685958208854E-2</v>
      </c>
      <c r="M337" s="30">
        <f t="shared" ca="1" si="71"/>
        <v>1.0988769652100066E-2</v>
      </c>
      <c r="N337" s="30">
        <f t="shared" ca="1" si="69"/>
        <v>7.4596650675379406E-2</v>
      </c>
      <c r="O337" s="30">
        <f t="shared" ca="1" si="72"/>
        <v>-2.8702421319069638E-2</v>
      </c>
      <c r="P337" s="30">
        <f t="shared" ca="1" si="73"/>
        <v>0.10167379881913208</v>
      </c>
      <c r="Q337" s="30">
        <f t="shared" ca="1" si="74"/>
        <v>0.14554466599076266</v>
      </c>
      <c r="R337" s="30">
        <f t="shared" ca="1" si="75"/>
        <v>0.23193409655339514</v>
      </c>
      <c r="S337" s="9" cm="1">
        <f t="array" aca="1" ref="S337" ca="1">_xll.BDH($E$6,"PX LAST",AG337)</f>
        <v>203.38</v>
      </c>
      <c r="T337" s="9" cm="1">
        <f t="array" aca="1" ref="T337" ca="1">_xll.BDH($E$6,"PX LAST",AH337)</f>
        <v>209.39</v>
      </c>
      <c r="U337" s="9" cm="1">
        <f t="array" aca="1" ref="U337" ca="1">_xll.BDH($E$6,"PX LAST",AI337)</f>
        <v>184.61</v>
      </c>
      <c r="V337" s="9" cm="1">
        <f t="array" aca="1" ref="V337" ca="1">_xll.BDH($E$6,"PX LAST",AJ337)</f>
        <v>177.54</v>
      </c>
      <c r="W337" s="9" cm="1">
        <f t="array" aca="1" ref="W337" ca="1">_xll.BDH($E$6,"PX LAST",AK337)</f>
        <v>165.09</v>
      </c>
      <c r="X337" s="24">
        <f t="shared" ca="1" si="76"/>
        <v>-1.7950961033767476E-2</v>
      </c>
      <c r="Y337" s="24">
        <f t="shared" ca="1" si="77"/>
        <v>3.1671594292706384E-2</v>
      </c>
      <c r="Z337" s="24">
        <f t="shared" ca="1" si="78"/>
        <v>6.7714614672411688E-3</v>
      </c>
      <c r="AA337" s="24">
        <f t="shared" ca="1" si="79"/>
        <v>4.5967688979361432E-2</v>
      </c>
      <c r="AB337" s="9" cm="1">
        <f t="array" aca="1" ref="AB337" ca="1">_xll.BDH($E$8,"PX LAST",AG337)</f>
        <v>5893.62</v>
      </c>
      <c r="AC337" s="9" cm="1">
        <f t="array" aca="1" ref="AC337" ca="1">_xll.BDH($E$8,"PX LAST",AH337)</f>
        <v>6001.35</v>
      </c>
      <c r="AD337" s="9" cm="1">
        <f t="array" aca="1" ref="AD337" ca="1">_xll.BDH($E$8,"PX LAST",AI337)</f>
        <v>5712.69</v>
      </c>
      <c r="AE337" s="9" cm="1">
        <f t="array" aca="1" ref="AE337" ca="1">_xll.BDH($E$8,"PX LAST",AJ337)</f>
        <v>5853.98</v>
      </c>
      <c r="AF337" s="9" cm="1">
        <f t="array" aca="1" ref="AF337" ca="1">_xll.BDH($E$8,"PX LAST",AK337)</f>
        <v>5634.61</v>
      </c>
      <c r="AG337" s="20">
        <f t="shared" ca="1" si="85"/>
        <v>45614</v>
      </c>
      <c r="AH337" s="22">
        <f t="shared" ca="1" si="80"/>
        <v>45607</v>
      </c>
      <c r="AI337" s="22">
        <f t="shared" ca="1" si="81"/>
        <v>45600</v>
      </c>
      <c r="AJ337" s="22">
        <f t="shared" ca="1" si="82"/>
        <v>45586</v>
      </c>
      <c r="AK337" s="22">
        <f t="shared" ca="1" si="83"/>
        <v>45527</v>
      </c>
      <c r="AL337" s="22">
        <f t="shared" ca="1" si="84"/>
        <v>45441</v>
      </c>
    </row>
    <row r="338" spans="4:38" x14ac:dyDescent="0.25">
      <c r="D338" s="6">
        <f ca="1"/>
        <v>45611</v>
      </c>
      <c r="E338" s="28">
        <f ca="1"/>
        <v>204.25</v>
      </c>
      <c r="F338" s="29" cm="1">
        <f t="array" aca="1" ref="F338" ca="1">_xll.FDS($E$7,"P_BETA_LOCIDX("&amp;$AG338&amp;","&amp;$AL338&amp;",,"""&amp;$E$9&amp;""")")</f>
        <v>1.6283478</v>
      </c>
      <c r="G338" s="30">
        <f t="shared" ca="1" si="70"/>
        <v>2.6492295687970187E-2</v>
      </c>
      <c r="H338" s="30">
        <f t="shared" ca="1" si="70"/>
        <v>4.5143881536449396E-2</v>
      </c>
      <c r="I338" s="30">
        <f t="shared" ca="1" si="70"/>
        <v>0.13294411598553321</v>
      </c>
      <c r="J338" s="30">
        <f t="shared" ca="1" si="68"/>
        <v>0.18807831492121252</v>
      </c>
      <c r="K338" s="30">
        <f t="shared" ca="1" si="71"/>
        <v>-3.3927420578630081E-2</v>
      </c>
      <c r="L338" s="30">
        <f t="shared" ca="1" si="71"/>
        <v>4.0310760542521848E-2</v>
      </c>
      <c r="M338" s="30">
        <f t="shared" ca="1" si="71"/>
        <v>1.6520399971352968E-3</v>
      </c>
      <c r="N338" s="30">
        <f t="shared" ca="1" si="69"/>
        <v>8.768683186204794E-2</v>
      </c>
      <c r="O338" s="30">
        <f t="shared" ca="1" si="72"/>
        <v>-7.4351248906598943E-3</v>
      </c>
      <c r="P338" s="30">
        <f t="shared" ca="1" si="73"/>
        <v>8.5454642078971244E-2</v>
      </c>
      <c r="Q338" s="30">
        <f t="shared" ca="1" si="74"/>
        <v>0.1345961559826685</v>
      </c>
      <c r="R338" s="30">
        <f t="shared" ca="1" si="75"/>
        <v>0.27576514678326047</v>
      </c>
      <c r="S338" s="9" cm="1">
        <f t="array" aca="1" ref="S338" ca="1">_xll.BDH($E$6,"PX LAST",AG338)</f>
        <v>204.25</v>
      </c>
      <c r="T338" s="9" cm="1">
        <f t="array" aca="1" ref="T338" ca="1">_xll.BDH($E$6,"PX LAST",AH338)</f>
        <v>205.78</v>
      </c>
      <c r="U338" s="9" cm="1">
        <f t="array" aca="1" ref="U338" ca="1">_xll.BDH($E$6,"PX LAST",AI338)</f>
        <v>188.17</v>
      </c>
      <c r="V338" s="9" cm="1">
        <f t="array" aca="1" ref="V338" ca="1">_xll.BDH($E$6,"PX LAST",AJ338)</f>
        <v>180.02</v>
      </c>
      <c r="W338" s="9" cm="1">
        <f t="array" aca="1" ref="W338" ca="1">_xll.BDH($E$6,"PX LAST",AK338)</f>
        <v>160.1</v>
      </c>
      <c r="X338" s="24">
        <f t="shared" ca="1" si="76"/>
        <v>-2.0835487712532963E-2</v>
      </c>
      <c r="Y338" s="24">
        <f t="shared" ca="1" si="77"/>
        <v>2.475562072336257E-2</v>
      </c>
      <c r="Z338" s="24">
        <f t="shared" ca="1" si="78"/>
        <v>1.0145498382687634E-3</v>
      </c>
      <c r="AA338" s="24">
        <f t="shared" ca="1" si="79"/>
        <v>5.3850185975040432E-2</v>
      </c>
      <c r="AB338" s="9" cm="1">
        <f t="array" aca="1" ref="AB338" ca="1">_xll.BDH($E$8,"PX LAST",AG338)</f>
        <v>5870.62</v>
      </c>
      <c r="AC338" s="9" cm="1">
        <f t="array" aca="1" ref="AC338" ca="1">_xll.BDH($E$8,"PX LAST",AH338)</f>
        <v>5995.54</v>
      </c>
      <c r="AD338" s="9" cm="1">
        <f t="array" aca="1" ref="AD338" ca="1">_xll.BDH($E$8,"PX LAST",AI338)</f>
        <v>5728.8</v>
      </c>
      <c r="AE338" s="9" cm="1">
        <f t="array" aca="1" ref="AE338" ca="1">_xll.BDH($E$8,"PX LAST",AJ338)</f>
        <v>5864.67</v>
      </c>
      <c r="AF338" s="9" cm="1">
        <f t="array" aca="1" ref="AF338" ca="1">_xll.BDH($E$8,"PX LAST",AK338)</f>
        <v>5570.64</v>
      </c>
      <c r="AG338" s="20">
        <f t="shared" ca="1" si="85"/>
        <v>45611</v>
      </c>
      <c r="AH338" s="22">
        <f t="shared" ca="1" si="80"/>
        <v>45604</v>
      </c>
      <c r="AI338" s="22">
        <f t="shared" ca="1" si="81"/>
        <v>45597</v>
      </c>
      <c r="AJ338" s="22">
        <f t="shared" ca="1" si="82"/>
        <v>45583</v>
      </c>
      <c r="AK338" s="22">
        <f t="shared" ca="1" si="83"/>
        <v>45526</v>
      </c>
      <c r="AL338" s="22">
        <f t="shared" ca="1" si="84"/>
        <v>45440</v>
      </c>
    </row>
    <row r="339" spans="4:38" x14ac:dyDescent="0.25">
      <c r="D339" s="6">
        <f ca="1"/>
        <v>45610</v>
      </c>
      <c r="E339" s="28">
        <f ca="1"/>
        <v>207.88</v>
      </c>
      <c r="F339" s="29" cm="1">
        <f t="array" aca="1" ref="F339" ca="1">_xll.FDS($E$7,"P_BETA_LOCIDX("&amp;$AG339&amp;","&amp;$AL339&amp;",,"""&amp;$E$9&amp;""")")</f>
        <v>1.6448845999999999</v>
      </c>
      <c r="G339" s="30">
        <f t="shared" ca="1" si="70"/>
        <v>7.2156448714622099E-3</v>
      </c>
      <c r="H339" s="30">
        <f t="shared" ca="1" si="70"/>
        <v>1.2612913204978884E-2</v>
      </c>
      <c r="I339" s="30">
        <f t="shared" ca="1" si="70"/>
        <v>0.11463888391023369</v>
      </c>
      <c r="J339" s="30">
        <f t="shared" ca="1" si="68"/>
        <v>0.19110315287877294</v>
      </c>
      <c r="K339" s="30">
        <f t="shared" ca="1" si="71"/>
        <v>-6.5898927655656612E-3</v>
      </c>
      <c r="L339" s="30">
        <f t="shared" ca="1" si="71"/>
        <v>7.0264619742877496E-2</v>
      </c>
      <c r="M339" s="30">
        <f t="shared" ca="1" si="71"/>
        <v>3.032696759890929E-2</v>
      </c>
      <c r="N339" s="30">
        <f t="shared" ca="1" si="69"/>
        <v>9.6079509659926773E-2</v>
      </c>
      <c r="O339" s="30">
        <f t="shared" ca="1" si="72"/>
        <v>6.2575210589654873E-4</v>
      </c>
      <c r="P339" s="30">
        <f t="shared" ca="1" si="73"/>
        <v>8.287753294785638E-2</v>
      </c>
      <c r="Q339" s="30">
        <f t="shared" ca="1" si="74"/>
        <v>0.14496585150914298</v>
      </c>
      <c r="R339" s="30">
        <f t="shared" ca="1" si="75"/>
        <v>0.28718266253869973</v>
      </c>
      <c r="S339" s="9" cm="1">
        <f t="array" aca="1" ref="S339" ca="1">_xll.BDH($E$6,"PX LAST",AG339)</f>
        <v>207.88</v>
      </c>
      <c r="T339" s="9" cm="1">
        <f t="array" aca="1" ref="T339" ca="1">_xll.BDH($E$6,"PX LAST",AH339)</f>
        <v>207.75</v>
      </c>
      <c r="U339" s="9" cm="1">
        <f t="array" aca="1" ref="U339" ca="1">_xll.BDH($E$6,"PX LAST",AI339)</f>
        <v>191.97</v>
      </c>
      <c r="V339" s="9" cm="1">
        <f t="array" aca="1" ref="V339" ca="1">_xll.BDH($E$6,"PX LAST",AJ339)</f>
        <v>181.56</v>
      </c>
      <c r="W339" s="9" cm="1">
        <f t="array" aca="1" ref="W339" ca="1">_xll.BDH($E$6,"PX LAST",AK339)</f>
        <v>161.5</v>
      </c>
      <c r="X339" s="24">
        <f t="shared" ca="1" si="76"/>
        <v>-4.0062948887512606E-3</v>
      </c>
      <c r="Y339" s="24">
        <f t="shared" ca="1" si="77"/>
        <v>4.2717051240480641E-2</v>
      </c>
      <c r="Z339" s="24">
        <f t="shared" ca="1" si="78"/>
        <v>1.8437139966481109E-2</v>
      </c>
      <c r="AA339" s="24">
        <f t="shared" ca="1" si="79"/>
        <v>5.841109440742942E-2</v>
      </c>
      <c r="AB339" s="9" cm="1">
        <f t="array" aca="1" ref="AB339" ca="1">_xll.BDH($E$8,"PX LAST",AG339)</f>
        <v>5949.17</v>
      </c>
      <c r="AC339" s="9" cm="1">
        <f t="array" aca="1" ref="AC339" ca="1">_xll.BDH($E$8,"PX LAST",AH339)</f>
        <v>5973.1</v>
      </c>
      <c r="AD339" s="9" cm="1">
        <f t="array" aca="1" ref="AD339" ca="1">_xll.BDH($E$8,"PX LAST",AI339)</f>
        <v>5705.45</v>
      </c>
      <c r="AE339" s="9" cm="1">
        <f t="array" aca="1" ref="AE339" ca="1">_xll.BDH($E$8,"PX LAST",AJ339)</f>
        <v>5841.47</v>
      </c>
      <c r="AF339" s="9" cm="1">
        <f t="array" aca="1" ref="AF339" ca="1">_xll.BDH($E$8,"PX LAST",AK339)</f>
        <v>5620.85</v>
      </c>
      <c r="AG339" s="20">
        <f t="shared" ca="1" si="85"/>
        <v>45610</v>
      </c>
      <c r="AH339" s="22">
        <f t="shared" ca="1" si="80"/>
        <v>45603</v>
      </c>
      <c r="AI339" s="22">
        <f t="shared" ca="1" si="81"/>
        <v>45596</v>
      </c>
      <c r="AJ339" s="22">
        <f t="shared" ca="1" si="82"/>
        <v>45582</v>
      </c>
      <c r="AK339" s="22">
        <f t="shared" ca="1" si="83"/>
        <v>45525</v>
      </c>
      <c r="AL339" s="22">
        <f t="shared" ca="1" si="84"/>
        <v>45436</v>
      </c>
    </row>
    <row r="340" spans="4:38" x14ac:dyDescent="0.25">
      <c r="D340" s="6">
        <f ca="1"/>
        <v>45609</v>
      </c>
      <c r="E340" s="28">
        <f ca="1"/>
        <v>207.05</v>
      </c>
      <c r="F340" s="29" cm="1">
        <f t="array" aca="1" ref="F340" ca="1">_xll.FDS($E$7,"P_BETA_LOCIDX("&amp;$AG340&amp;","&amp;$AL340&amp;",,"""&amp;$E$9&amp;""")")</f>
        <v>1.6507248999999999</v>
      </c>
      <c r="G340" s="30">
        <f t="shared" ca="1" si="70"/>
        <v>-4.1195301440725592E-2</v>
      </c>
      <c r="H340" s="30">
        <f t="shared" ca="1" si="70"/>
        <v>0.11575560158271715</v>
      </c>
      <c r="I340" s="30">
        <f t="shared" ca="1" si="70"/>
        <v>0.11259040592841094</v>
      </c>
      <c r="J340" s="30">
        <f t="shared" ca="1" si="68"/>
        <v>0.19759674503052707</v>
      </c>
      <c r="K340" s="30">
        <f t="shared" ca="1" si="71"/>
        <v>1.568581774891032E-2</v>
      </c>
      <c r="L340" s="30">
        <f t="shared" ca="1" si="71"/>
        <v>4.8755084581512217E-2</v>
      </c>
      <c r="M340" s="30">
        <f t="shared" ca="1" si="71"/>
        <v>4.0377630601269456E-2</v>
      </c>
      <c r="N340" s="30">
        <f t="shared" ca="1" si="69"/>
        <v>0.11450718399355395</v>
      </c>
      <c r="O340" s="30">
        <f t="shared" ca="1" si="72"/>
        <v>-2.5509483691815271E-2</v>
      </c>
      <c r="P340" s="30">
        <f t="shared" ca="1" si="73"/>
        <v>0.16451068616422937</v>
      </c>
      <c r="Q340" s="30">
        <f t="shared" ca="1" si="74"/>
        <v>0.15296803652968038</v>
      </c>
      <c r="R340" s="30">
        <f t="shared" ca="1" si="75"/>
        <v>0.31210392902408102</v>
      </c>
      <c r="S340" s="9" cm="1">
        <f t="array" aca="1" ref="S340" ca="1">_xll.BDH($E$6,"PX LAST",AG340)</f>
        <v>207.05</v>
      </c>
      <c r="T340" s="9" cm="1">
        <f t="array" aca="1" ref="T340" ca="1">_xll.BDH($E$6,"PX LAST",AH340)</f>
        <v>212.47</v>
      </c>
      <c r="U340" s="9" cm="1">
        <f t="array" aca="1" ref="U340" ca="1">_xll.BDH($E$6,"PX LAST",AI340)</f>
        <v>177.8</v>
      </c>
      <c r="V340" s="9" cm="1">
        <f t="array" aca="1" ref="V340" ca="1">_xll.BDH($E$6,"PX LAST",AJ340)</f>
        <v>179.58</v>
      </c>
      <c r="W340" s="9" cm="1">
        <f t="array" aca="1" ref="W340" ca="1">_xll.BDH($E$6,"PX LAST",AK340)</f>
        <v>157.80000000000001</v>
      </c>
      <c r="X340" s="24">
        <f t="shared" ca="1" si="76"/>
        <v>9.5023814985224497E-3</v>
      </c>
      <c r="Y340" s="24">
        <f t="shared" ca="1" si="77"/>
        <v>2.9535560153913121E-2</v>
      </c>
      <c r="Z340" s="24">
        <f t="shared" ca="1" si="78"/>
        <v>2.4460544940752671E-2</v>
      </c>
      <c r="AA340" s="24">
        <f t="shared" ca="1" si="79"/>
        <v>6.9367817734835135E-2</v>
      </c>
      <c r="AB340" s="9" cm="1">
        <f t="array" aca="1" ref="AB340" ca="1">_xll.BDH($E$8,"PX LAST",AG340)</f>
        <v>5985.38</v>
      </c>
      <c r="AC340" s="9" cm="1">
        <f t="array" aca="1" ref="AC340" ca="1">_xll.BDH($E$8,"PX LAST",AH340)</f>
        <v>5929.04</v>
      </c>
      <c r="AD340" s="9" cm="1">
        <f t="array" aca="1" ref="AD340" ca="1">_xll.BDH($E$8,"PX LAST",AI340)</f>
        <v>5813.67</v>
      </c>
      <c r="AE340" s="9" cm="1">
        <f t="array" aca="1" ref="AE340" ca="1">_xll.BDH($E$8,"PX LAST",AJ340)</f>
        <v>5842.47</v>
      </c>
      <c r="AF340" s="9" cm="1">
        <f t="array" aca="1" ref="AF340" ca="1">_xll.BDH($E$8,"PX LAST",AK340)</f>
        <v>5597.12</v>
      </c>
      <c r="AG340" s="20">
        <f t="shared" ca="1" si="85"/>
        <v>45609</v>
      </c>
      <c r="AH340" s="22">
        <f t="shared" ca="1" si="80"/>
        <v>45602</v>
      </c>
      <c r="AI340" s="22">
        <f t="shared" ca="1" si="81"/>
        <v>45595</v>
      </c>
      <c r="AJ340" s="22">
        <f t="shared" ca="1" si="82"/>
        <v>45581</v>
      </c>
      <c r="AK340" s="22">
        <f t="shared" ca="1" si="83"/>
        <v>45524</v>
      </c>
      <c r="AL340" s="22">
        <f t="shared" ca="1" si="84"/>
        <v>45435</v>
      </c>
    </row>
    <row r="341" spans="4:38" x14ac:dyDescent="0.25">
      <c r="D341" s="6">
        <f ca="1"/>
        <v>45608</v>
      </c>
      <c r="E341" s="28">
        <f ca="1"/>
        <v>204.35</v>
      </c>
      <c r="F341" s="29" cm="1">
        <f t="array" aca="1" ref="F341" ca="1">_xll.FDS($E$7,"P_BETA_LOCIDX("&amp;$AG341&amp;","&amp;$AL341&amp;",,"""&amp;$E$9&amp;""")")</f>
        <v>1.6507731999999999</v>
      </c>
      <c r="G341" s="30">
        <f t="shared" ca="1" si="70"/>
        <v>3.0623689011180732E-2</v>
      </c>
      <c r="H341" s="30">
        <f t="shared" ca="1" si="70"/>
        <v>0.10644153386331043</v>
      </c>
      <c r="I341" s="30">
        <f t="shared" ca="1" si="70"/>
        <v>0.13708390395749698</v>
      </c>
      <c r="J341" s="30">
        <f t="shared" ca="1" si="70"/>
        <v>0.17583569105236657</v>
      </c>
      <c r="K341" s="30">
        <f t="shared" ca="1" si="71"/>
        <v>5.7444039011821268E-2</v>
      </c>
      <c r="L341" s="30">
        <f t="shared" ca="1" si="71"/>
        <v>4.2754282130391029E-2</v>
      </c>
      <c r="M341" s="30">
        <f t="shared" ca="1" si="71"/>
        <v>4.7897250000171906E-2</v>
      </c>
      <c r="N341" s="30">
        <f t="shared" ca="1" si="71"/>
        <v>0.11059805147202757</v>
      </c>
      <c r="O341" s="30">
        <f t="shared" ca="1" si="72"/>
        <v>8.8067728023002001E-2</v>
      </c>
      <c r="P341" s="30">
        <f t="shared" ca="1" si="73"/>
        <v>0.14919581599370146</v>
      </c>
      <c r="Q341" s="30">
        <f t="shared" ca="1" si="74"/>
        <v>0.1849811539576689</v>
      </c>
      <c r="R341" s="30">
        <f t="shared" ca="1" si="75"/>
        <v>0.28643374252439413</v>
      </c>
      <c r="S341" s="9" cm="1">
        <f t="array" aca="1" ref="S341" ca="1">_xll.BDH($E$6,"PX LAST",AG341)</f>
        <v>204.35</v>
      </c>
      <c r="T341" s="9" cm="1">
        <f t="array" aca="1" ref="T341" ca="1">_xll.BDH($E$6,"PX LAST",AH341)</f>
        <v>187.81</v>
      </c>
      <c r="U341" s="9" cm="1">
        <f t="array" aca="1" ref="U341" ca="1">_xll.BDH($E$6,"PX LAST",AI341)</f>
        <v>177.82</v>
      </c>
      <c r="V341" s="9" cm="1">
        <f t="array" aca="1" ref="V341" ca="1">_xll.BDH($E$6,"PX LAST",AJ341)</f>
        <v>172.45</v>
      </c>
      <c r="W341" s="9" cm="1">
        <f t="array" aca="1" ref="W341" ca="1">_xll.BDH($E$6,"PX LAST",AK341)</f>
        <v>158.85</v>
      </c>
      <c r="X341" s="24">
        <f t="shared" ca="1" si="76"/>
        <v>3.4798262421404269E-2</v>
      </c>
      <c r="Y341" s="24">
        <f t="shared" ca="1" si="77"/>
        <v>2.5899549453789916E-2</v>
      </c>
      <c r="Z341" s="24">
        <f t="shared" ca="1" si="78"/>
        <v>2.9015039740269533E-2</v>
      </c>
      <c r="AA341" s="24">
        <f t="shared" ca="1" si="79"/>
        <v>6.6997726563544635E-2</v>
      </c>
      <c r="AB341" s="9" cm="1">
        <f t="array" aca="1" ref="AB341" ca="1">_xll.BDH($E$8,"PX LAST",AG341)</f>
        <v>5983.99</v>
      </c>
      <c r="AC341" s="9" cm="1">
        <f t="array" aca="1" ref="AC341" ca="1">_xll.BDH($E$8,"PX LAST",AH341)</f>
        <v>5782.76</v>
      </c>
      <c r="AD341" s="9" cm="1">
        <f t="array" aca="1" ref="AD341" ca="1">_xll.BDH($E$8,"PX LAST",AI341)</f>
        <v>5832.92</v>
      </c>
      <c r="AE341" s="9" cm="1">
        <f t="array" aca="1" ref="AE341" ca="1">_xll.BDH($E$8,"PX LAST",AJ341)</f>
        <v>5815.26</v>
      </c>
      <c r="AF341" s="9" cm="1">
        <f t="array" aca="1" ref="AF341" ca="1">_xll.BDH($E$8,"PX LAST",AK341)</f>
        <v>5608.25</v>
      </c>
      <c r="AG341" s="20">
        <f t="shared" ca="1" si="85"/>
        <v>45608</v>
      </c>
      <c r="AH341" s="22">
        <f t="shared" ca="1" si="80"/>
        <v>45601</v>
      </c>
      <c r="AI341" s="22">
        <f t="shared" ca="1" si="81"/>
        <v>45594</v>
      </c>
      <c r="AJ341" s="22">
        <f t="shared" ca="1" si="82"/>
        <v>45580</v>
      </c>
      <c r="AK341" s="22">
        <f t="shared" ca="1" si="83"/>
        <v>45523</v>
      </c>
      <c r="AL341" s="22">
        <f t="shared" ca="1" si="84"/>
        <v>45434</v>
      </c>
    </row>
    <row r="342" spans="4:38" x14ac:dyDescent="0.25">
      <c r="D342" s="6">
        <f ca="1"/>
        <v>45607</v>
      </c>
      <c r="E342" s="28">
        <f ca="1"/>
        <v>209.39</v>
      </c>
      <c r="F342" s="29" cm="1">
        <f t="array" aca="1" ref="F342" ca="1">_xll.FDS($E$7,"P_BETA_LOCIDX("&amp;$AG342&amp;","&amp;$AL342&amp;",,"""&amp;$E$9&amp;""")")</f>
        <v>1.6421341</v>
      </c>
      <c r="G342" s="30">
        <f t="shared" ref="G342:J405" ca="1" si="86">+O342-K342</f>
        <v>5.1252518722807547E-2</v>
      </c>
      <c r="H342" s="30">
        <f t="shared" ca="1" si="86"/>
        <v>0.11676310778409479</v>
      </c>
      <c r="I342" s="30">
        <f t="shared" ca="1" si="86"/>
        <v>0.1537241787524101</v>
      </c>
      <c r="J342" s="30">
        <f t="shared" ca="1" si="86"/>
        <v>0.2003193135826489</v>
      </c>
      <c r="K342" s="30">
        <f t="shared" ref="K342:N405" ca="1" si="87">+X342*$F342</f>
        <v>8.297639628721333E-2</v>
      </c>
      <c r="L342" s="30">
        <f t="shared" ca="1" si="87"/>
        <v>5.0145050931910497E-2</v>
      </c>
      <c r="M342" s="30">
        <f t="shared" ca="1" si="87"/>
        <v>3.9653229203819057E-2</v>
      </c>
      <c r="N342" s="30">
        <f t="shared" ca="1" si="87"/>
        <v>0.13218673198181594</v>
      </c>
      <c r="O342" s="30">
        <f t="shared" ref="O342:O405" ca="1" si="88">+S342/T342-1</f>
        <v>0.13422891501002088</v>
      </c>
      <c r="P342" s="30">
        <f t="shared" ref="P342:P405" ca="1" si="89">+S342/U342-1</f>
        <v>0.16690815871600528</v>
      </c>
      <c r="Q342" s="30">
        <f t="shared" ref="Q342:Q405" ca="1" si="90">+S342/V342-1</f>
        <v>0.19337740795622915</v>
      </c>
      <c r="R342" s="30">
        <f t="shared" ref="R342:R405" ca="1" si="91">+S342/W342-1</f>
        <v>0.33250604556446484</v>
      </c>
      <c r="S342" s="9" cm="1">
        <f t="array" aca="1" ref="S342" ca="1">_xll.BDH($E$6,"PX LAST",AG342)</f>
        <v>209.39</v>
      </c>
      <c r="T342" s="9" cm="1">
        <f t="array" aca="1" ref="T342" ca="1">_xll.BDH($E$6,"PX LAST",AH342)</f>
        <v>184.61</v>
      </c>
      <c r="U342" s="9" cm="1">
        <f t="array" aca="1" ref="U342" ca="1">_xll.BDH($E$6,"PX LAST",AI342)</f>
        <v>179.44</v>
      </c>
      <c r="V342" s="9" cm="1">
        <f t="array" aca="1" ref="V342" ca="1">_xll.BDH($E$6,"PX LAST",AJ342)</f>
        <v>175.46</v>
      </c>
      <c r="W342" s="9" cm="1">
        <f t="array" aca="1" ref="W342" ca="1">_xll.BDH($E$6,"PX LAST",AK342)</f>
        <v>157.13999999999999</v>
      </c>
      <c r="X342" s="24">
        <f t="shared" ref="X342:X405" ca="1" si="92">+AB342/AC342-1</f>
        <v>5.0529610393702518E-2</v>
      </c>
      <c r="Y342" s="24">
        <f t="shared" ref="Y342:Y405" ca="1" si="93">+AB342/AD342-1</f>
        <v>3.05365139984064E-2</v>
      </c>
      <c r="Z342" s="24">
        <f t="shared" ref="Z342:Z405" ca="1" si="94">+AB342/AE342-1</f>
        <v>2.4147375786069514E-2</v>
      </c>
      <c r="AA342" s="24">
        <f t="shared" ref="AA342:AA405" ca="1" si="95">+AB342/AF342-1</f>
        <v>8.0496916775442351E-2</v>
      </c>
      <c r="AB342" s="9" cm="1">
        <f t="array" aca="1" ref="AB342" ca="1">_xll.BDH($E$8,"PX LAST",AG342)</f>
        <v>6001.35</v>
      </c>
      <c r="AC342" s="9" cm="1">
        <f t="array" aca="1" ref="AC342" ca="1">_xll.BDH($E$8,"PX LAST",AH342)</f>
        <v>5712.69</v>
      </c>
      <c r="AD342" s="9" cm="1">
        <f t="array" aca="1" ref="AD342" ca="1">_xll.BDH($E$8,"PX LAST",AI342)</f>
        <v>5823.52</v>
      </c>
      <c r="AE342" s="9" cm="1">
        <f t="array" aca="1" ref="AE342" ca="1">_xll.BDH($E$8,"PX LAST",AJ342)</f>
        <v>5859.85</v>
      </c>
      <c r="AF342" s="9" cm="1">
        <f t="array" aca="1" ref="AF342" ca="1">_xll.BDH($E$8,"PX LAST",AK342)</f>
        <v>5554.25</v>
      </c>
      <c r="AG342" s="20">
        <f t="shared" ca="1" si="85"/>
        <v>45607</v>
      </c>
      <c r="AH342" s="22">
        <f t="shared" ref="AH342:AH405" ca="1" si="96">+WORKDAY($AG342, -5, $AN$2:$AN$100)</f>
        <v>45600</v>
      </c>
      <c r="AI342" s="22">
        <f t="shared" ref="AI342:AI405" ca="1" si="97">+WORKDAY($AG342, -10, $AN$2:$AN$100)</f>
        <v>45593</v>
      </c>
      <c r="AJ342" s="22">
        <f t="shared" ref="AJ342:AJ405" ca="1" si="98">+WORKDAY($AG342, -20, $AN$2:$AN$100)</f>
        <v>45579</v>
      </c>
      <c r="AK342" s="22">
        <f t="shared" ref="AK342:AK405" ca="1" si="99">+WORKDAY($AG342, -60, $AN$2:$AN$100)</f>
        <v>45520</v>
      </c>
      <c r="AL342" s="22">
        <f t="shared" ref="AL342:AL405" ca="1" si="100">+WORKDAY($AG342, -120, $AN$2:$AN$100)</f>
        <v>45433</v>
      </c>
    </row>
    <row r="343" spans="4:38" x14ac:dyDescent="0.25">
      <c r="D343" s="6">
        <f ca="1"/>
        <v>45604</v>
      </c>
      <c r="E343" s="28">
        <f ca="1"/>
        <v>205.78</v>
      </c>
      <c r="F343" s="29" cm="1">
        <f t="array" aca="1" ref="F343" ca="1">_xll.FDS($E$7,"P_BETA_LOCIDX("&amp;$AG343&amp;","&amp;$AL343&amp;",,"""&amp;$E$9&amp;""")")</f>
        <v>1.6420593000000001</v>
      </c>
      <c r="G343" s="30">
        <f t="shared" ca="1" si="86"/>
        <v>1.7129279428817062E-2</v>
      </c>
      <c r="H343" s="30">
        <f t="shared" ca="1" si="86"/>
        <v>0.11601830048236317</v>
      </c>
      <c r="I343" s="30">
        <f t="shared" ca="1" si="86"/>
        <v>0.1267973872664539</v>
      </c>
      <c r="J343" s="30">
        <f t="shared" ca="1" si="86"/>
        <v>0.1574622017463187</v>
      </c>
      <c r="K343" s="30">
        <f t="shared" ca="1" si="87"/>
        <v>7.6456308071847306E-2</v>
      </c>
      <c r="L343" s="30">
        <f t="shared" ca="1" si="87"/>
        <v>5.2986982708002055E-2</v>
      </c>
      <c r="M343" s="30">
        <f t="shared" ca="1" si="87"/>
        <v>5.0972759253692559E-2</v>
      </c>
      <c r="N343" s="30">
        <f t="shared" ca="1" si="87"/>
        <v>0.13399003874571097</v>
      </c>
      <c r="O343" s="30">
        <f t="shared" ca="1" si="88"/>
        <v>9.3585587500664369E-2</v>
      </c>
      <c r="P343" s="30">
        <f t="shared" ca="1" si="89"/>
        <v>0.16900528319036523</v>
      </c>
      <c r="Q343" s="30">
        <f t="shared" ca="1" si="90"/>
        <v>0.17777014652014644</v>
      </c>
      <c r="R343" s="30">
        <f t="shared" ca="1" si="91"/>
        <v>0.29145224049202967</v>
      </c>
      <c r="S343" s="9" cm="1">
        <f t="array" aca="1" ref="S343" ca="1">_xll.BDH($E$6,"PX LAST",AG343)</f>
        <v>205.78</v>
      </c>
      <c r="T343" s="9" cm="1">
        <f t="array" aca="1" ref="T343" ca="1">_xll.BDH($E$6,"PX LAST",AH343)</f>
        <v>188.17</v>
      </c>
      <c r="U343" s="9" cm="1">
        <f t="array" aca="1" ref="U343" ca="1">_xll.BDH($E$6,"PX LAST",AI343)</f>
        <v>176.03</v>
      </c>
      <c r="V343" s="9" cm="1">
        <f t="array" aca="1" ref="V343" ca="1">_xll.BDH($E$6,"PX LAST",AJ343)</f>
        <v>174.72</v>
      </c>
      <c r="W343" s="9" cm="1">
        <f t="array" aca="1" ref="W343" ca="1">_xll.BDH($E$6,"PX LAST",AK343)</f>
        <v>159.34</v>
      </c>
      <c r="X343" s="24">
        <f t="shared" ca="1" si="92"/>
        <v>4.6561234464460144E-2</v>
      </c>
      <c r="Y343" s="24">
        <f t="shared" ca="1" si="93"/>
        <v>3.2268617039592939E-2</v>
      </c>
      <c r="Z343" s="24">
        <f t="shared" ca="1" si="94"/>
        <v>3.1041972268414764E-2</v>
      </c>
      <c r="AA343" s="24">
        <f t="shared" ca="1" si="95"/>
        <v>8.159878193540937E-2</v>
      </c>
      <c r="AB343" s="9" cm="1">
        <f t="array" aca="1" ref="AB343" ca="1">_xll.BDH($E$8,"PX LAST",AG343)</f>
        <v>5995.54</v>
      </c>
      <c r="AC343" s="9" cm="1">
        <f t="array" aca="1" ref="AC343" ca="1">_xll.BDH($E$8,"PX LAST",AH343)</f>
        <v>5728.8</v>
      </c>
      <c r="AD343" s="9" cm="1">
        <f t="array" aca="1" ref="AD343" ca="1">_xll.BDH($E$8,"PX LAST",AI343)</f>
        <v>5808.12</v>
      </c>
      <c r="AE343" s="9" cm="1">
        <f t="array" aca="1" ref="AE343" ca="1">_xll.BDH($E$8,"PX LAST",AJ343)</f>
        <v>5815.03</v>
      </c>
      <c r="AF343" s="9" cm="1">
        <f t="array" aca="1" ref="AF343" ca="1">_xll.BDH($E$8,"PX LAST",AK343)</f>
        <v>5543.22</v>
      </c>
      <c r="AG343" s="20">
        <f t="shared" ref="AG343:AG406" ca="1" si="101">+WORKDAY(D343, 0, $AN$2:$AN$59)</f>
        <v>45604</v>
      </c>
      <c r="AH343" s="22">
        <f t="shared" ca="1" si="96"/>
        <v>45597</v>
      </c>
      <c r="AI343" s="22">
        <f t="shared" ca="1" si="97"/>
        <v>45590</v>
      </c>
      <c r="AJ343" s="22">
        <f t="shared" ca="1" si="98"/>
        <v>45576</v>
      </c>
      <c r="AK343" s="22">
        <f t="shared" ca="1" si="99"/>
        <v>45519</v>
      </c>
      <c r="AL343" s="22">
        <f t="shared" ca="1" si="100"/>
        <v>45432</v>
      </c>
    </row>
    <row r="344" spans="4:38" x14ac:dyDescent="0.25">
      <c r="D344" s="6">
        <f ca="1"/>
        <v>45603</v>
      </c>
      <c r="E344" s="28">
        <f ca="1"/>
        <v>207.75</v>
      </c>
      <c r="F344" s="29" cm="1">
        <f t="array" aca="1" ref="F344" ca="1">_xll.FDS($E$7,"P_BETA_LOCIDX("&amp;$AG344&amp;","&amp;$AL344&amp;",,"""&amp;$E$9&amp;""")")</f>
        <v>1.6469792000000001</v>
      </c>
      <c r="G344" s="30">
        <f t="shared" ca="1" si="86"/>
        <v>4.9384305663760647E-3</v>
      </c>
      <c r="H344" s="30">
        <f t="shared" ca="1" si="86"/>
        <v>0.12447704694841442</v>
      </c>
      <c r="I344" s="30">
        <f t="shared" ca="1" si="86"/>
        <v>0.19086900192652761</v>
      </c>
      <c r="J344" s="30">
        <f t="shared" ca="1" si="86"/>
        <v>0.17486290075757263</v>
      </c>
      <c r="K344" s="30">
        <f t="shared" ca="1" si="87"/>
        <v>7.7261913237343258E-2</v>
      </c>
      <c r="L344" s="30">
        <f t="shared" ca="1" si="87"/>
        <v>4.6275277650064131E-2</v>
      </c>
      <c r="M344" s="30">
        <f t="shared" ca="1" si="87"/>
        <v>5.5008059542737735E-2</v>
      </c>
      <c r="N344" s="30">
        <f t="shared" ca="1" si="87"/>
        <v>0.15635586125703702</v>
      </c>
      <c r="O344" s="30">
        <f t="shared" ca="1" si="88"/>
        <v>8.2200343803719322E-2</v>
      </c>
      <c r="P344" s="30">
        <f t="shared" ca="1" si="89"/>
        <v>0.17075232459847856</v>
      </c>
      <c r="Q344" s="30">
        <f t="shared" ca="1" si="90"/>
        <v>0.24587706146926536</v>
      </c>
      <c r="R344" s="30">
        <f t="shared" ca="1" si="91"/>
        <v>0.33121876201460965</v>
      </c>
      <c r="S344" s="9" cm="1">
        <f t="array" aca="1" ref="S344" ca="1">_xll.BDH($E$6,"PX LAST",AG344)</f>
        <v>207.75</v>
      </c>
      <c r="T344" s="9" cm="1">
        <f t="array" aca="1" ref="T344" ca="1">_xll.BDH($E$6,"PX LAST",AH344)</f>
        <v>191.97</v>
      </c>
      <c r="U344" s="9" cm="1">
        <f t="array" aca="1" ref="U344" ca="1">_xll.BDH($E$6,"PX LAST",AI344)</f>
        <v>177.45</v>
      </c>
      <c r="V344" s="9" cm="1">
        <f t="array" aca="1" ref="V344" ca="1">_xll.BDH($E$6,"PX LAST",AJ344)</f>
        <v>166.75</v>
      </c>
      <c r="W344" s="9" cm="1">
        <f t="array" aca="1" ref="W344" ca="1">_xll.BDH($E$6,"PX LAST",AK344)</f>
        <v>156.06</v>
      </c>
      <c r="X344" s="24">
        <f t="shared" ca="1" si="92"/>
        <v>4.6911286576869493E-2</v>
      </c>
      <c r="Y344" s="24">
        <f t="shared" ca="1" si="93"/>
        <v>2.8097062579821364E-2</v>
      </c>
      <c r="Z344" s="24">
        <f t="shared" ca="1" si="94"/>
        <v>3.3399365057395825E-2</v>
      </c>
      <c r="AA344" s="24">
        <f t="shared" ca="1" si="95"/>
        <v>9.4934933760570273E-2</v>
      </c>
      <c r="AB344" s="9" cm="1">
        <f t="array" aca="1" ref="AB344" ca="1">_xll.BDH($E$8,"PX LAST",AG344)</f>
        <v>5973.1</v>
      </c>
      <c r="AC344" s="9" cm="1">
        <f t="array" aca="1" ref="AC344" ca="1">_xll.BDH($E$8,"PX LAST",AH344)</f>
        <v>5705.45</v>
      </c>
      <c r="AD344" s="9" cm="1">
        <f t="array" aca="1" ref="AD344" ca="1">_xll.BDH($E$8,"PX LAST",AI344)</f>
        <v>5809.86</v>
      </c>
      <c r="AE344" s="9" cm="1">
        <f t="array" aca="1" ref="AE344" ca="1">_xll.BDH($E$8,"PX LAST",AJ344)</f>
        <v>5780.05</v>
      </c>
      <c r="AF344" s="9" cm="1">
        <f t="array" aca="1" ref="AF344" ca="1">_xll.BDH($E$8,"PX LAST",AK344)</f>
        <v>5455.21</v>
      </c>
      <c r="AG344" s="20">
        <f t="shared" ca="1" si="101"/>
        <v>45603</v>
      </c>
      <c r="AH344" s="22">
        <f t="shared" ca="1" si="96"/>
        <v>45596</v>
      </c>
      <c r="AI344" s="22">
        <f t="shared" ca="1" si="97"/>
        <v>45589</v>
      </c>
      <c r="AJ344" s="22">
        <f t="shared" ca="1" si="98"/>
        <v>45575</v>
      </c>
      <c r="AK344" s="22">
        <f t="shared" ca="1" si="99"/>
        <v>45518</v>
      </c>
      <c r="AL344" s="22">
        <f t="shared" ca="1" si="100"/>
        <v>45429</v>
      </c>
    </row>
    <row r="345" spans="4:38" x14ac:dyDescent="0.25">
      <c r="D345" s="6">
        <f ca="1"/>
        <v>45602</v>
      </c>
      <c r="E345" s="28">
        <f ca="1"/>
        <v>212.47</v>
      </c>
      <c r="F345" s="29" cm="1">
        <f t="array" aca="1" ref="F345" ca="1">_xll.FDS($E$7,"P_BETA_LOCIDX("&amp;$AG345&amp;","&amp;$AL345&amp;",,"""&amp;$E$9&amp;""")")</f>
        <v>1.6790042000000001</v>
      </c>
      <c r="G345" s="30">
        <f t="shared" ca="1" si="86"/>
        <v>0.16167519615655448</v>
      </c>
      <c r="H345" s="30">
        <f t="shared" ca="1" si="86"/>
        <v>0.17821967516460682</v>
      </c>
      <c r="I345" s="30">
        <f t="shared" ca="1" si="86"/>
        <v>0.23561639122920827</v>
      </c>
      <c r="J345" s="30">
        <f t="shared" ca="1" si="86"/>
        <v>0.20629900287649819</v>
      </c>
      <c r="K345" s="30">
        <f t="shared" ca="1" si="87"/>
        <v>3.3319179546482537E-2</v>
      </c>
      <c r="L345" s="30">
        <f t="shared" ca="1" si="87"/>
        <v>3.8118772282152963E-2</v>
      </c>
      <c r="M345" s="30">
        <f t="shared" ca="1" si="87"/>
        <v>3.9713740823612925E-2</v>
      </c>
      <c r="N345" s="30">
        <f t="shared" ca="1" si="87"/>
        <v>0.15281313171059316</v>
      </c>
      <c r="O345" s="30">
        <f t="shared" ca="1" si="88"/>
        <v>0.19499437570303702</v>
      </c>
      <c r="P345" s="30">
        <f t="shared" ca="1" si="89"/>
        <v>0.21633844744675979</v>
      </c>
      <c r="Q345" s="30">
        <f t="shared" ca="1" si="90"/>
        <v>0.2753301320528212</v>
      </c>
      <c r="R345" s="30">
        <f t="shared" ca="1" si="91"/>
        <v>0.35911213458709135</v>
      </c>
      <c r="S345" s="9" cm="1">
        <f t="array" aca="1" ref="S345" ca="1">_xll.BDH($E$6,"PX LAST",AG345)</f>
        <v>212.47</v>
      </c>
      <c r="T345" s="9" cm="1">
        <f t="array" aca="1" ref="T345" ca="1">_xll.BDH($E$6,"PX LAST",AH345)</f>
        <v>177.8</v>
      </c>
      <c r="U345" s="9" cm="1">
        <f t="array" aca="1" ref="U345" ca="1">_xll.BDH($E$6,"PX LAST",AI345)</f>
        <v>174.68</v>
      </c>
      <c r="V345" s="9" cm="1">
        <f t="array" aca="1" ref="V345" ca="1">_xll.BDH($E$6,"PX LAST",AJ345)</f>
        <v>166.6</v>
      </c>
      <c r="W345" s="9" cm="1">
        <f t="array" aca="1" ref="W345" ca="1">_xll.BDH($E$6,"PX LAST",AK345)</f>
        <v>156.33000000000001</v>
      </c>
      <c r="X345" s="24">
        <f t="shared" ca="1" si="92"/>
        <v>1.9844607623067612E-2</v>
      </c>
      <c r="Y345" s="24">
        <f t="shared" ca="1" si="93"/>
        <v>2.2703202459024796E-2</v>
      </c>
      <c r="Z345" s="24">
        <f t="shared" ca="1" si="94"/>
        <v>2.3653151566632724E-2</v>
      </c>
      <c r="AA345" s="24">
        <f t="shared" ca="1" si="95"/>
        <v>9.1014144997727309E-2</v>
      </c>
      <c r="AB345" s="9" cm="1">
        <f t="array" aca="1" ref="AB345" ca="1">_xll.BDH($E$8,"PX LAST",AG345)</f>
        <v>5929.04</v>
      </c>
      <c r="AC345" s="9" cm="1">
        <f t="array" aca="1" ref="AC345" ca="1">_xll.BDH($E$8,"PX LAST",AH345)</f>
        <v>5813.67</v>
      </c>
      <c r="AD345" s="9" cm="1">
        <f t="array" aca="1" ref="AD345" ca="1">_xll.BDH($E$8,"PX LAST",AI345)</f>
        <v>5797.42</v>
      </c>
      <c r="AE345" s="9" cm="1">
        <f t="array" aca="1" ref="AE345" ca="1">_xll.BDH($E$8,"PX LAST",AJ345)</f>
        <v>5792.04</v>
      </c>
      <c r="AF345" s="9" cm="1">
        <f t="array" aca="1" ref="AF345" ca="1">_xll.BDH($E$8,"PX LAST",AK345)</f>
        <v>5434.43</v>
      </c>
      <c r="AG345" s="20">
        <f t="shared" ca="1" si="101"/>
        <v>45602</v>
      </c>
      <c r="AH345" s="22">
        <f t="shared" ca="1" si="96"/>
        <v>45595</v>
      </c>
      <c r="AI345" s="22">
        <f t="shared" ca="1" si="97"/>
        <v>45588</v>
      </c>
      <c r="AJ345" s="22">
        <f t="shared" ca="1" si="98"/>
        <v>45574</v>
      </c>
      <c r="AK345" s="22">
        <f t="shared" ca="1" si="99"/>
        <v>45517</v>
      </c>
      <c r="AL345" s="22">
        <f t="shared" ca="1" si="100"/>
        <v>45428</v>
      </c>
    </row>
    <row r="346" spans="4:38" x14ac:dyDescent="0.25">
      <c r="D346" s="6">
        <f ca="1"/>
        <v>45601</v>
      </c>
      <c r="E346" s="28">
        <f ca="1"/>
        <v>187.81</v>
      </c>
      <c r="F346" s="29" cm="1">
        <f t="array" aca="1" ref="F346" ca="1">_xll.FDS($E$7,"P_BETA_LOCIDX("&amp;$AG346&amp;","&amp;$AL346&amp;",,"""&amp;$E$9&amp;""")")</f>
        <v>1.4407856000000001</v>
      </c>
      <c r="G346" s="30">
        <f t="shared" ca="1" si="86"/>
        <v>6.857039462029875E-2</v>
      </c>
      <c r="H346" s="30">
        <f t="shared" ca="1" si="86"/>
        <v>9.0911750553510196E-2</v>
      </c>
      <c r="I346" s="30">
        <f t="shared" ca="1" si="86"/>
        <v>0.1324609492775638</v>
      </c>
      <c r="J346" s="30">
        <f t="shared" ca="1" si="86"/>
        <v>0.10533844422443921</v>
      </c>
      <c r="K346" s="30">
        <f t="shared" ca="1" si="87"/>
        <v>-1.2389987466997555E-2</v>
      </c>
      <c r="L346" s="30">
        <f t="shared" ca="1" si="87"/>
        <v>-1.685250315559195E-2</v>
      </c>
      <c r="M346" s="30">
        <f t="shared" ca="1" si="87"/>
        <v>7.9240164155566367E-3</v>
      </c>
      <c r="N346" s="30">
        <f t="shared" ca="1" si="87"/>
        <v>0.118179471085007</v>
      </c>
      <c r="O346" s="30">
        <f t="shared" ca="1" si="88"/>
        <v>5.6180407153301193E-2</v>
      </c>
      <c r="P346" s="30">
        <f t="shared" ca="1" si="89"/>
        <v>7.4059247397918249E-2</v>
      </c>
      <c r="Q346" s="30">
        <f t="shared" ca="1" si="90"/>
        <v>0.14038496569312042</v>
      </c>
      <c r="R346" s="30">
        <f t="shared" ca="1" si="91"/>
        <v>0.2235179153094462</v>
      </c>
      <c r="S346" s="9" cm="1">
        <f t="array" aca="1" ref="S346" ca="1">_xll.BDH($E$6,"PX LAST",AG346)</f>
        <v>187.81</v>
      </c>
      <c r="T346" s="9" cm="1">
        <f t="array" aca="1" ref="T346" ca="1">_xll.BDH($E$6,"PX LAST",AH346)</f>
        <v>177.82</v>
      </c>
      <c r="U346" s="9" cm="1">
        <f t="array" aca="1" ref="U346" ca="1">_xll.BDH($E$6,"PX LAST",AI346)</f>
        <v>174.86</v>
      </c>
      <c r="V346" s="9" cm="1">
        <f t="array" aca="1" ref="V346" ca="1">_xll.BDH($E$6,"PX LAST",AJ346)</f>
        <v>164.69</v>
      </c>
      <c r="W346" s="9" cm="1">
        <f t="array" aca="1" ref="W346" ca="1">_xll.BDH($E$6,"PX LAST",AK346)</f>
        <v>153.5</v>
      </c>
      <c r="X346" s="24">
        <f t="shared" ca="1" si="92"/>
        <v>-8.5994664764816875E-3</v>
      </c>
      <c r="Y346" s="24">
        <f t="shared" ca="1" si="93"/>
        <v>-1.1696745966639277E-2</v>
      </c>
      <c r="Z346" s="24">
        <f t="shared" ca="1" si="94"/>
        <v>5.4997887371699417E-3</v>
      </c>
      <c r="AA346" s="24">
        <f t="shared" ca="1" si="95"/>
        <v>8.2024328314363348E-2</v>
      </c>
      <c r="AB346" s="9" cm="1">
        <f t="array" aca="1" ref="AB346" ca="1">_xll.BDH($E$8,"PX LAST",AG346)</f>
        <v>5782.76</v>
      </c>
      <c r="AC346" s="9" cm="1">
        <f t="array" aca="1" ref="AC346" ca="1">_xll.BDH($E$8,"PX LAST",AH346)</f>
        <v>5832.92</v>
      </c>
      <c r="AD346" s="9" cm="1">
        <f t="array" aca="1" ref="AD346" ca="1">_xll.BDH($E$8,"PX LAST",AI346)</f>
        <v>5851.2</v>
      </c>
      <c r="AE346" s="9" cm="1">
        <f t="array" aca="1" ref="AE346" ca="1">_xll.BDH($E$8,"PX LAST",AJ346)</f>
        <v>5751.13</v>
      </c>
      <c r="AF346" s="9" cm="1">
        <f t="array" aca="1" ref="AF346" ca="1">_xll.BDH($E$8,"PX LAST",AK346)</f>
        <v>5344.39</v>
      </c>
      <c r="AG346" s="20">
        <f t="shared" ca="1" si="101"/>
        <v>45601</v>
      </c>
      <c r="AH346" s="22">
        <f t="shared" ca="1" si="96"/>
        <v>45594</v>
      </c>
      <c r="AI346" s="22">
        <f t="shared" ca="1" si="97"/>
        <v>45587</v>
      </c>
      <c r="AJ346" s="22">
        <f t="shared" ca="1" si="98"/>
        <v>45573</v>
      </c>
      <c r="AK346" s="22">
        <f t="shared" ca="1" si="99"/>
        <v>45516</v>
      </c>
      <c r="AL346" s="22">
        <f t="shared" ca="1" si="100"/>
        <v>45427</v>
      </c>
    </row>
    <row r="347" spans="4:38" x14ac:dyDescent="0.25">
      <c r="D347" s="6">
        <f ca="1"/>
        <v>45600</v>
      </c>
      <c r="E347" s="28">
        <f ca="1"/>
        <v>184.61</v>
      </c>
      <c r="F347" s="29" cm="1">
        <f t="array" aca="1" ref="F347" ca="1">_xll.FDS($E$7,"P_BETA_LOCIDX("&amp;$AG347&amp;","&amp;$AL347&amp;",,"""&amp;$E$9&amp;""")")</f>
        <v>1.4422394999999999</v>
      </c>
      <c r="G347" s="30">
        <f t="shared" ca="1" si="86"/>
        <v>5.625976069310501E-2</v>
      </c>
      <c r="H347" s="30">
        <f t="shared" ca="1" si="86"/>
        <v>7.4631495224993225E-2</v>
      </c>
      <c r="I347" s="30">
        <f t="shared" ca="1" si="86"/>
        <v>0.12067503388854052</v>
      </c>
      <c r="J347" s="30">
        <f t="shared" ca="1" si="86"/>
        <v>8.2956140020225153E-2</v>
      </c>
      <c r="K347" s="30">
        <f t="shared" ca="1" si="87"/>
        <v>-2.7447901575851311E-2</v>
      </c>
      <c r="L347" s="30">
        <f t="shared" ca="1" si="87"/>
        <v>-3.48094832840221E-2</v>
      </c>
      <c r="M347" s="30">
        <f t="shared" ca="1" si="87"/>
        <v>4.2411808454794085E-3</v>
      </c>
      <c r="N347" s="30">
        <f t="shared" ca="1" si="87"/>
        <v>9.9455952466804901E-2</v>
      </c>
      <c r="O347" s="30">
        <f t="shared" ca="1" si="88"/>
        <v>2.8811859117253702E-2</v>
      </c>
      <c r="P347" s="30">
        <f t="shared" ca="1" si="89"/>
        <v>3.9822011940971125E-2</v>
      </c>
      <c r="Q347" s="30">
        <f t="shared" ca="1" si="90"/>
        <v>0.12491621473401993</v>
      </c>
      <c r="R347" s="30">
        <f t="shared" ca="1" si="91"/>
        <v>0.18241209248703005</v>
      </c>
      <c r="S347" s="9" cm="1">
        <f t="array" aca="1" ref="S347" ca="1">_xll.BDH($E$6,"PX LAST",AG347)</f>
        <v>184.61</v>
      </c>
      <c r="T347" s="9" cm="1">
        <f t="array" aca="1" ref="T347" ca="1">_xll.BDH($E$6,"PX LAST",AH347)</f>
        <v>179.44</v>
      </c>
      <c r="U347" s="9" cm="1">
        <f t="array" aca="1" ref="U347" ca="1">_xll.BDH($E$6,"PX LAST",AI347)</f>
        <v>177.54</v>
      </c>
      <c r="V347" s="9" cm="1">
        <f t="array" aca="1" ref="V347" ca="1">_xll.BDH($E$6,"PX LAST",AJ347)</f>
        <v>164.11</v>
      </c>
      <c r="W347" s="9" cm="1">
        <f t="array" aca="1" ref="W347" ca="1">_xll.BDH($E$6,"PX LAST",AK347)</f>
        <v>156.13</v>
      </c>
      <c r="X347" s="24">
        <f t="shared" ca="1" si="92"/>
        <v>-1.9031444899305083E-2</v>
      </c>
      <c r="Y347" s="24">
        <f t="shared" ca="1" si="93"/>
        <v>-2.4135716213584568E-2</v>
      </c>
      <c r="Z347" s="24">
        <f t="shared" ca="1" si="94"/>
        <v>2.9406910887403992E-3</v>
      </c>
      <c r="AA347" s="24">
        <f t="shared" ca="1" si="95"/>
        <v>6.8959387443489728E-2</v>
      </c>
      <c r="AB347" s="9" cm="1">
        <f t="array" aca="1" ref="AB347" ca="1">_xll.BDH($E$8,"PX LAST",AG347)</f>
        <v>5712.69</v>
      </c>
      <c r="AC347" s="9" cm="1">
        <f t="array" aca="1" ref="AC347" ca="1">_xll.BDH($E$8,"PX LAST",AH347)</f>
        <v>5823.52</v>
      </c>
      <c r="AD347" s="9" cm="1">
        <f t="array" aca="1" ref="AD347" ca="1">_xll.BDH($E$8,"PX LAST",AI347)</f>
        <v>5853.98</v>
      </c>
      <c r="AE347" s="9" cm="1">
        <f t="array" aca="1" ref="AE347" ca="1">_xll.BDH($E$8,"PX LAST",AJ347)</f>
        <v>5695.94</v>
      </c>
      <c r="AF347" s="9" cm="1">
        <f t="array" aca="1" ref="AF347" ca="1">_xll.BDH($E$8,"PX LAST",AK347)</f>
        <v>5344.16</v>
      </c>
      <c r="AG347" s="20">
        <f t="shared" ca="1" si="101"/>
        <v>45600</v>
      </c>
      <c r="AH347" s="22">
        <f t="shared" ca="1" si="96"/>
        <v>45593</v>
      </c>
      <c r="AI347" s="22">
        <f t="shared" ca="1" si="97"/>
        <v>45586</v>
      </c>
      <c r="AJ347" s="22">
        <f t="shared" ca="1" si="98"/>
        <v>45572</v>
      </c>
      <c r="AK347" s="22">
        <f t="shared" ca="1" si="99"/>
        <v>45513</v>
      </c>
      <c r="AL347" s="22">
        <f t="shared" ca="1" si="100"/>
        <v>45426</v>
      </c>
    </row>
    <row r="348" spans="4:38" x14ac:dyDescent="0.25">
      <c r="D348" s="6">
        <f ca="1"/>
        <v>45597</v>
      </c>
      <c r="E348" s="28">
        <f ca="1"/>
        <v>188.17</v>
      </c>
      <c r="F348" s="29" cm="1">
        <f t="array" aca="1" ref="F348" ca="1">_xll.FDS($E$7,"P_BETA_LOCIDX("&amp;$AG348&amp;","&amp;$AL348&amp;",,"""&amp;$E$9&amp;""")")</f>
        <v>1.4344026000000001</v>
      </c>
      <c r="G348" s="30">
        <f t="shared" ca="1" si="86"/>
        <v>8.8554784376355763E-2</v>
      </c>
      <c r="H348" s="30">
        <f t="shared" ca="1" si="86"/>
        <v>7.85043327555624E-2</v>
      </c>
      <c r="I348" s="30">
        <f t="shared" ca="1" si="86"/>
        <v>0.1472934421704572</v>
      </c>
      <c r="J348" s="30">
        <f t="shared" ca="1" si="86"/>
        <v>9.9907088914285999E-2</v>
      </c>
      <c r="K348" s="30">
        <f t="shared" ca="1" si="87"/>
        <v>-1.9589267134976541E-2</v>
      </c>
      <c r="L348" s="30">
        <f t="shared" ca="1" si="87"/>
        <v>-3.3231585283059417E-2</v>
      </c>
      <c r="M348" s="30">
        <f t="shared" ca="1" si="87"/>
        <v>-5.5544700207090288E-3</v>
      </c>
      <c r="N348" s="30">
        <f t="shared" ca="1" si="87"/>
        <v>0.11042287828195753</v>
      </c>
      <c r="O348" s="30">
        <f t="shared" ca="1" si="88"/>
        <v>6.8965517241379226E-2</v>
      </c>
      <c r="P348" s="30">
        <f t="shared" ca="1" si="89"/>
        <v>4.5272747472502983E-2</v>
      </c>
      <c r="Q348" s="30">
        <f t="shared" ca="1" si="90"/>
        <v>0.14173897214974818</v>
      </c>
      <c r="R348" s="30">
        <f t="shared" ca="1" si="91"/>
        <v>0.21032996719624353</v>
      </c>
      <c r="S348" s="9" cm="1">
        <f t="array" aca="1" ref="S348" ca="1">_xll.BDH($E$6,"PX LAST",AG348)</f>
        <v>188.17</v>
      </c>
      <c r="T348" s="9" cm="1">
        <f t="array" aca="1" ref="T348" ca="1">_xll.BDH($E$6,"PX LAST",AH348)</f>
        <v>176.03</v>
      </c>
      <c r="U348" s="9" cm="1">
        <f t="array" aca="1" ref="U348" ca="1">_xll.BDH($E$6,"PX LAST",AI348)</f>
        <v>180.02</v>
      </c>
      <c r="V348" s="9" cm="1">
        <f t="array" aca="1" ref="V348" ca="1">_xll.BDH($E$6,"PX LAST",AJ348)</f>
        <v>164.81</v>
      </c>
      <c r="W348" s="9" cm="1">
        <f t="array" aca="1" ref="W348" ca="1">_xll.BDH($E$6,"PX LAST",AK348)</f>
        <v>155.47</v>
      </c>
      <c r="X348" s="24">
        <f t="shared" ca="1" si="92"/>
        <v>-1.3656742629284513E-2</v>
      </c>
      <c r="Y348" s="24">
        <f t="shared" ca="1" si="93"/>
        <v>-2.3167543953879766E-2</v>
      </c>
      <c r="Z348" s="24">
        <f t="shared" ca="1" si="94"/>
        <v>-3.8723228894795847E-3</v>
      </c>
      <c r="AA348" s="24">
        <f t="shared" ca="1" si="95"/>
        <v>7.6981788991429267E-2</v>
      </c>
      <c r="AB348" s="9" cm="1">
        <f t="array" aca="1" ref="AB348" ca="1">_xll.BDH($E$8,"PX LAST",AG348)</f>
        <v>5728.8</v>
      </c>
      <c r="AC348" s="9" cm="1">
        <f t="array" aca="1" ref="AC348" ca="1">_xll.BDH($E$8,"PX LAST",AH348)</f>
        <v>5808.12</v>
      </c>
      <c r="AD348" s="9" cm="1">
        <f t="array" aca="1" ref="AD348" ca="1">_xll.BDH($E$8,"PX LAST",AI348)</f>
        <v>5864.67</v>
      </c>
      <c r="AE348" s="9" cm="1">
        <f t="array" aca="1" ref="AE348" ca="1">_xll.BDH($E$8,"PX LAST",AJ348)</f>
        <v>5751.07</v>
      </c>
      <c r="AF348" s="9" cm="1">
        <f t="array" aca="1" ref="AF348" ca="1">_xll.BDH($E$8,"PX LAST",AK348)</f>
        <v>5319.31</v>
      </c>
      <c r="AG348" s="20">
        <f t="shared" ca="1" si="101"/>
        <v>45597</v>
      </c>
      <c r="AH348" s="22">
        <f t="shared" ca="1" si="96"/>
        <v>45590</v>
      </c>
      <c r="AI348" s="22">
        <f t="shared" ca="1" si="97"/>
        <v>45583</v>
      </c>
      <c r="AJ348" s="22">
        <f t="shared" ca="1" si="98"/>
        <v>45569</v>
      </c>
      <c r="AK348" s="22">
        <f t="shared" ca="1" si="99"/>
        <v>45512</v>
      </c>
      <c r="AL348" s="22">
        <f t="shared" ca="1" si="100"/>
        <v>45425</v>
      </c>
    </row>
    <row r="349" spans="4:38" x14ac:dyDescent="0.25">
      <c r="D349" s="6">
        <f ca="1"/>
        <v>45596</v>
      </c>
      <c r="E349" s="28">
        <f ca="1"/>
        <v>191.97</v>
      </c>
      <c r="F349" s="29" cm="1">
        <f t="array" aca="1" ref="F349" ca="1">_xll.FDS($E$7,"P_BETA_LOCIDX("&amp;$AG349&amp;","&amp;$AL349&amp;",,"""&amp;$E$9&amp;""")")</f>
        <v>1.4448372</v>
      </c>
      <c r="G349" s="30">
        <f t="shared" ca="1" si="86"/>
        <v>0.10779128592674649</v>
      </c>
      <c r="H349" s="30">
        <f t="shared" ca="1" si="86"/>
        <v>9.097979103253967E-2</v>
      </c>
      <c r="I349" s="30">
        <f t="shared" ca="1" si="86"/>
        <v>0.16516869582316543</v>
      </c>
      <c r="J349" s="30">
        <f t="shared" ca="1" si="86"/>
        <v>0.14374459462329656</v>
      </c>
      <c r="K349" s="30">
        <f t="shared" ca="1" si="87"/>
        <v>-2.5965419485495255E-2</v>
      </c>
      <c r="L349" s="30">
        <f t="shared" ca="1" si="87"/>
        <v>-3.3643373319387104E-2</v>
      </c>
      <c r="M349" s="30">
        <f t="shared" ca="1" si="87"/>
        <v>1.3966906620071816E-3</v>
      </c>
      <c r="N349" s="30">
        <f t="shared" ca="1" si="87"/>
        <v>0.14059339962304054</v>
      </c>
      <c r="O349" s="30">
        <f t="shared" ca="1" si="88"/>
        <v>8.1825866441251227E-2</v>
      </c>
      <c r="P349" s="30">
        <f t="shared" ca="1" si="89"/>
        <v>5.7336417713152565E-2</v>
      </c>
      <c r="Q349" s="30">
        <f t="shared" ca="1" si="90"/>
        <v>0.16656538648517261</v>
      </c>
      <c r="R349" s="30">
        <f t="shared" ca="1" si="91"/>
        <v>0.2843379942463371</v>
      </c>
      <c r="S349" s="9" cm="1">
        <f t="array" aca="1" ref="S349" ca="1">_xll.BDH($E$6,"PX LAST",AG349)</f>
        <v>191.97</v>
      </c>
      <c r="T349" s="9" cm="1">
        <f t="array" aca="1" ref="T349" ca="1">_xll.BDH($E$6,"PX LAST",AH349)</f>
        <v>177.45</v>
      </c>
      <c r="U349" s="9" cm="1">
        <f t="array" aca="1" ref="U349" ca="1">_xll.BDH($E$6,"PX LAST",AI349)</f>
        <v>181.56</v>
      </c>
      <c r="V349" s="9" cm="1">
        <f t="array" aca="1" ref="V349" ca="1">_xll.BDH($E$6,"PX LAST",AJ349)</f>
        <v>164.56</v>
      </c>
      <c r="W349" s="9" cm="1">
        <f t="array" aca="1" ref="W349" ca="1">_xll.BDH($E$6,"PX LAST",AK349)</f>
        <v>149.47</v>
      </c>
      <c r="X349" s="24">
        <f t="shared" ca="1" si="92"/>
        <v>-1.7971173143586872E-2</v>
      </c>
      <c r="Y349" s="24">
        <f t="shared" ca="1" si="93"/>
        <v>-2.3285234709756297E-2</v>
      </c>
      <c r="Z349" s="24">
        <f t="shared" ca="1" si="94"/>
        <v>9.6667684221252159E-4</v>
      </c>
      <c r="AA349" s="24">
        <f t="shared" ca="1" si="95"/>
        <v>9.7307433407058275E-2</v>
      </c>
      <c r="AB349" s="9" cm="1">
        <f t="array" aca="1" ref="AB349" ca="1">_xll.BDH($E$8,"PX LAST",AG349)</f>
        <v>5705.45</v>
      </c>
      <c r="AC349" s="9" cm="1">
        <f t="array" aca="1" ref="AC349" ca="1">_xll.BDH($E$8,"PX LAST",AH349)</f>
        <v>5809.86</v>
      </c>
      <c r="AD349" s="9" cm="1">
        <f t="array" aca="1" ref="AD349" ca="1">_xll.BDH($E$8,"PX LAST",AI349)</f>
        <v>5841.47</v>
      </c>
      <c r="AE349" s="9" cm="1">
        <f t="array" aca="1" ref="AE349" ca="1">_xll.BDH($E$8,"PX LAST",AJ349)</f>
        <v>5699.94</v>
      </c>
      <c r="AF349" s="9" cm="1">
        <f t="array" aca="1" ref="AF349" ca="1">_xll.BDH($E$8,"PX LAST",AK349)</f>
        <v>5199.5</v>
      </c>
      <c r="AG349" s="20">
        <f t="shared" ca="1" si="101"/>
        <v>45596</v>
      </c>
      <c r="AH349" s="22">
        <f t="shared" ca="1" si="96"/>
        <v>45589</v>
      </c>
      <c r="AI349" s="22">
        <f t="shared" ca="1" si="97"/>
        <v>45582</v>
      </c>
      <c r="AJ349" s="22">
        <f t="shared" ca="1" si="98"/>
        <v>45568</v>
      </c>
      <c r="AK349" s="22">
        <f t="shared" ca="1" si="99"/>
        <v>45511</v>
      </c>
      <c r="AL349" s="22">
        <f t="shared" ca="1" si="100"/>
        <v>45422</v>
      </c>
    </row>
    <row r="350" spans="4:38" x14ac:dyDescent="0.25">
      <c r="D350" s="6">
        <f ca="1"/>
        <v>45595</v>
      </c>
      <c r="E350" s="28">
        <f ca="1"/>
        <v>177.8</v>
      </c>
      <c r="F350" s="29" cm="1">
        <f t="array" aca="1" ref="F350" ca="1">_xll.FDS($E$7,"P_BETA_LOCIDX("&amp;$AG350&amp;","&amp;$AL350&amp;",,"""&amp;$E$9&amp;""")")</f>
        <v>1.7129182000000001</v>
      </c>
      <c r="G350" s="30">
        <f t="shared" ca="1" si="86"/>
        <v>1.3059971966887622E-2</v>
      </c>
      <c r="H350" s="30">
        <f t="shared" ca="1" si="86"/>
        <v>-1.4683203137717069E-3</v>
      </c>
      <c r="I350" s="30">
        <f t="shared" ca="1" si="86"/>
        <v>3.04426644671267E-2</v>
      </c>
      <c r="J350" s="30">
        <f t="shared" ca="1" si="86"/>
        <v>-2.3676636062714196E-2</v>
      </c>
      <c r="K350" s="30">
        <f t="shared" ca="1" si="87"/>
        <v>4.8012600001378705E-3</v>
      </c>
      <c r="L350" s="30">
        <f t="shared" ca="1" si="87"/>
        <v>-8.4436966146167938E-3</v>
      </c>
      <c r="M350" s="30">
        <f t="shared" ca="1" si="87"/>
        <v>3.124002496978754E-2</v>
      </c>
      <c r="N350" s="30">
        <f t="shared" ca="1" si="87"/>
        <v>0.18751770433528081</v>
      </c>
      <c r="O350" s="30">
        <f t="shared" ca="1" si="88"/>
        <v>1.7861231967025493E-2</v>
      </c>
      <c r="P350" s="30">
        <f t="shared" ca="1" si="89"/>
        <v>-9.9120169283885007E-3</v>
      </c>
      <c r="Q350" s="30">
        <f t="shared" ca="1" si="90"/>
        <v>6.168268943691424E-2</v>
      </c>
      <c r="R350" s="30">
        <f t="shared" ca="1" si="91"/>
        <v>0.16384106827256661</v>
      </c>
      <c r="S350" s="9" cm="1">
        <f t="array" aca="1" ref="S350" ca="1">_xll.BDH($E$6,"PX LAST",AG350)</f>
        <v>177.8</v>
      </c>
      <c r="T350" s="9" cm="1">
        <f t="array" aca="1" ref="T350" ca="1">_xll.BDH($E$6,"PX LAST",AH350)</f>
        <v>174.68</v>
      </c>
      <c r="U350" s="9" cm="1">
        <f t="array" aca="1" ref="U350" ca="1">_xll.BDH($E$6,"PX LAST",AI350)</f>
        <v>179.58</v>
      </c>
      <c r="V350" s="9" cm="1">
        <f t="array" aca="1" ref="V350" ca="1">_xll.BDH($E$6,"PX LAST",AJ350)</f>
        <v>167.47</v>
      </c>
      <c r="W350" s="9" cm="1">
        <f t="array" aca="1" ref="W350" ca="1">_xll.BDH($E$6,"PX LAST",AK350)</f>
        <v>152.77000000000001</v>
      </c>
      <c r="X350" s="24">
        <f t="shared" ca="1" si="92"/>
        <v>2.8029709767447564E-3</v>
      </c>
      <c r="Y350" s="24">
        <f t="shared" ca="1" si="93"/>
        <v>-4.9294219739254297E-3</v>
      </c>
      <c r="Z350" s="24">
        <f t="shared" ca="1" si="94"/>
        <v>1.823789657310404E-2</v>
      </c>
      <c r="AA350" s="24">
        <f t="shared" ca="1" si="95"/>
        <v>0.1094726556909027</v>
      </c>
      <c r="AB350" s="9" cm="1">
        <f t="array" aca="1" ref="AB350" ca="1">_xll.BDH($E$8,"PX LAST",AG350)</f>
        <v>5813.67</v>
      </c>
      <c r="AC350" s="9" cm="1">
        <f t="array" aca="1" ref="AC350" ca="1">_xll.BDH($E$8,"PX LAST",AH350)</f>
        <v>5797.42</v>
      </c>
      <c r="AD350" s="9" cm="1">
        <f t="array" aca="1" ref="AD350" ca="1">_xll.BDH($E$8,"PX LAST",AI350)</f>
        <v>5842.47</v>
      </c>
      <c r="AE350" s="9" cm="1">
        <f t="array" aca="1" ref="AE350" ca="1">_xll.BDH($E$8,"PX LAST",AJ350)</f>
        <v>5709.54</v>
      </c>
      <c r="AF350" s="9" cm="1">
        <f t="array" aca="1" ref="AF350" ca="1">_xll.BDH($E$8,"PX LAST",AK350)</f>
        <v>5240.03</v>
      </c>
      <c r="AG350" s="20">
        <f t="shared" ca="1" si="101"/>
        <v>45595</v>
      </c>
      <c r="AH350" s="22">
        <f t="shared" ca="1" si="96"/>
        <v>45588</v>
      </c>
      <c r="AI350" s="22">
        <f t="shared" ca="1" si="97"/>
        <v>45581</v>
      </c>
      <c r="AJ350" s="22">
        <f t="shared" ca="1" si="98"/>
        <v>45567</v>
      </c>
      <c r="AK350" s="22">
        <f t="shared" ca="1" si="99"/>
        <v>45510</v>
      </c>
      <c r="AL350" s="22">
        <f t="shared" ca="1" si="100"/>
        <v>45421</v>
      </c>
    </row>
    <row r="351" spans="4:38" x14ac:dyDescent="0.25">
      <c r="D351" s="6">
        <f ca="1"/>
        <v>45594</v>
      </c>
      <c r="E351" s="28">
        <f ca="1"/>
        <v>177.82</v>
      </c>
      <c r="F351" s="29" cm="1">
        <f t="array" aca="1" ref="F351" ca="1">_xll.FDS($E$7,"P_BETA_LOCIDX("&amp;$AG351&amp;","&amp;$AL351&amp;",,"""&amp;$E$9&amp;""")")</f>
        <v>1.7213457000000001</v>
      </c>
      <c r="G351" s="30">
        <f t="shared" ca="1" si="86"/>
        <v>2.2305562355255791E-2</v>
      </c>
      <c r="H351" s="30">
        <f t="shared" ca="1" si="86"/>
        <v>2.5912013434538861E-2</v>
      </c>
      <c r="I351" s="30">
        <f t="shared" ca="1" si="86"/>
        <v>3.0739770548826796E-2</v>
      </c>
      <c r="J351" s="30">
        <f t="shared" ca="1" si="86"/>
        <v>-3.2289736928150653E-2</v>
      </c>
      <c r="K351" s="30">
        <f t="shared" ca="1" si="87"/>
        <v>-5.3777343785888715E-3</v>
      </c>
      <c r="L351" s="30">
        <f t="shared" ca="1" si="87"/>
        <v>5.2274472787113852E-3</v>
      </c>
      <c r="M351" s="30">
        <f t="shared" ca="1" si="87"/>
        <v>3.7440682385635936E-2</v>
      </c>
      <c r="N351" s="30">
        <f t="shared" ca="1" si="87"/>
        <v>0.21460356671538464</v>
      </c>
      <c r="O351" s="30">
        <f t="shared" ca="1" si="88"/>
        <v>1.692782797666692E-2</v>
      </c>
      <c r="P351" s="30">
        <f t="shared" ca="1" si="89"/>
        <v>3.1139460713250244E-2</v>
      </c>
      <c r="Q351" s="30">
        <f t="shared" ca="1" si="90"/>
        <v>6.8180452934462732E-2</v>
      </c>
      <c r="R351" s="30">
        <f t="shared" ca="1" si="91"/>
        <v>0.18231382978723398</v>
      </c>
      <c r="S351" s="9" cm="1">
        <f t="array" aca="1" ref="S351" ca="1">_xll.BDH($E$6,"PX LAST",AG351)</f>
        <v>177.82</v>
      </c>
      <c r="T351" s="9" cm="1">
        <f t="array" aca="1" ref="T351" ca="1">_xll.BDH($E$6,"PX LAST",AH351)</f>
        <v>174.86</v>
      </c>
      <c r="U351" s="9" cm="1">
        <f t="array" aca="1" ref="U351" ca="1">_xll.BDH($E$6,"PX LAST",AI351)</f>
        <v>172.45</v>
      </c>
      <c r="V351" s="9" cm="1">
        <f t="array" aca="1" ref="V351" ca="1">_xll.BDH($E$6,"PX LAST",AJ351)</f>
        <v>166.47</v>
      </c>
      <c r="W351" s="9" cm="1">
        <f t="array" aca="1" ref="W351" ca="1">_xll.BDH($E$6,"PX LAST",AK351)</f>
        <v>150.4</v>
      </c>
      <c r="X351" s="24">
        <f t="shared" ca="1" si="92"/>
        <v>-3.1241454744325159E-3</v>
      </c>
      <c r="Y351" s="24">
        <f t="shared" ca="1" si="93"/>
        <v>3.036837561863015E-3</v>
      </c>
      <c r="Z351" s="24">
        <f t="shared" ca="1" si="94"/>
        <v>2.1750821107948237E-2</v>
      </c>
      <c r="AA351" s="24">
        <f t="shared" ca="1" si="95"/>
        <v>0.1246719742091229</v>
      </c>
      <c r="AB351" s="9" cm="1">
        <f t="array" aca="1" ref="AB351" ca="1">_xll.BDH($E$8,"PX LAST",AG351)</f>
        <v>5832.92</v>
      </c>
      <c r="AC351" s="9" cm="1">
        <f t="array" aca="1" ref="AC351" ca="1">_xll.BDH($E$8,"PX LAST",AH351)</f>
        <v>5851.2</v>
      </c>
      <c r="AD351" s="9" cm="1">
        <f t="array" aca="1" ref="AD351" ca="1">_xll.BDH($E$8,"PX LAST",AI351)</f>
        <v>5815.26</v>
      </c>
      <c r="AE351" s="9" cm="1">
        <f t="array" aca="1" ref="AE351" ca="1">_xll.BDH($E$8,"PX LAST",AJ351)</f>
        <v>5708.75</v>
      </c>
      <c r="AF351" s="9" cm="1">
        <f t="array" aca="1" ref="AF351" ca="1">_xll.BDH($E$8,"PX LAST",AK351)</f>
        <v>5186.33</v>
      </c>
      <c r="AG351" s="20">
        <f t="shared" ca="1" si="101"/>
        <v>45594</v>
      </c>
      <c r="AH351" s="22">
        <f t="shared" ca="1" si="96"/>
        <v>45587</v>
      </c>
      <c r="AI351" s="22">
        <f t="shared" ca="1" si="97"/>
        <v>45580</v>
      </c>
      <c r="AJ351" s="22">
        <f t="shared" ca="1" si="98"/>
        <v>45566</v>
      </c>
      <c r="AK351" s="22">
        <f t="shared" ca="1" si="99"/>
        <v>45509</v>
      </c>
      <c r="AL351" s="22">
        <f t="shared" ca="1" si="100"/>
        <v>45420</v>
      </c>
    </row>
    <row r="352" spans="4:38" x14ac:dyDescent="0.25">
      <c r="D352" s="6">
        <f ca="1"/>
        <v>45593</v>
      </c>
      <c r="E352" s="28">
        <f ca="1"/>
        <v>179.44</v>
      </c>
      <c r="F352" s="29" cm="1">
        <f t="array" aca="1" ref="F352" ca="1">_xll.FDS($E$7,"P_BETA_LOCIDX("&amp;$AG352&amp;","&amp;$AL352&amp;",,"""&amp;$E$9&amp;""")")</f>
        <v>1.7240542000000001</v>
      </c>
      <c r="G352" s="30">
        <f t="shared" ca="1" si="86"/>
        <v>1.967258073205044E-2</v>
      </c>
      <c r="H352" s="30">
        <f t="shared" ca="1" si="86"/>
        <v>3.3372053875853548E-2</v>
      </c>
      <c r="I352" s="30">
        <f t="shared" ca="1" si="86"/>
        <v>4.9960084893325242E-2</v>
      </c>
      <c r="J352" s="30">
        <f t="shared" ca="1" si="86"/>
        <v>1.5799050154583438E-2</v>
      </c>
      <c r="K352" s="30">
        <f t="shared" ca="1" si="87"/>
        <v>-8.9707670562589568E-3</v>
      </c>
      <c r="L352" s="30">
        <f t="shared" ca="1" si="87"/>
        <v>-1.0688821230236326E-2</v>
      </c>
      <c r="M352" s="30">
        <f t="shared" ca="1" si="87"/>
        <v>1.8262322536130714E-2</v>
      </c>
      <c r="N352" s="30">
        <f t="shared" ca="1" si="87"/>
        <v>0.15380074126765614</v>
      </c>
      <c r="O352" s="30">
        <f t="shared" ca="1" si="88"/>
        <v>1.0701813675791483E-2</v>
      </c>
      <c r="P352" s="30">
        <f t="shared" ca="1" si="89"/>
        <v>2.2683232645617224E-2</v>
      </c>
      <c r="Q352" s="30">
        <f t="shared" ca="1" si="90"/>
        <v>6.8222407429455956E-2</v>
      </c>
      <c r="R352" s="30">
        <f t="shared" ca="1" si="91"/>
        <v>0.16959979142223958</v>
      </c>
      <c r="S352" s="9" cm="1">
        <f t="array" aca="1" ref="S352" ca="1">_xll.BDH($E$6,"PX LAST",AG352)</f>
        <v>179.44</v>
      </c>
      <c r="T352" s="9" cm="1">
        <f t="array" aca="1" ref="T352" ca="1">_xll.BDH($E$6,"PX LAST",AH352)</f>
        <v>177.54</v>
      </c>
      <c r="U352" s="9" cm="1">
        <f t="array" aca="1" ref="U352" ca="1">_xll.BDH($E$6,"PX LAST",AI352)</f>
        <v>175.46</v>
      </c>
      <c r="V352" s="9" cm="1">
        <f t="array" aca="1" ref="V352" ca="1">_xll.BDH($E$6,"PX LAST",AJ352)</f>
        <v>167.98</v>
      </c>
      <c r="W352" s="9" cm="1">
        <f t="array" aca="1" ref="W352" ca="1">_xll.BDH($E$6,"PX LAST",AK352)</f>
        <v>153.41999999999999</v>
      </c>
      <c r="X352" s="24">
        <f t="shared" ca="1" si="92"/>
        <v>-5.2032975855741403E-3</v>
      </c>
      <c r="Y352" s="24">
        <f t="shared" ca="1" si="93"/>
        <v>-6.1998174014693541E-3</v>
      </c>
      <c r="Z352" s="24">
        <f t="shared" ca="1" si="94"/>
        <v>1.0592661492968558E-2</v>
      </c>
      <c r="AA352" s="24">
        <f t="shared" ca="1" si="95"/>
        <v>8.9208762269571418E-2</v>
      </c>
      <c r="AB352" s="9" cm="1">
        <f t="array" aca="1" ref="AB352" ca="1">_xll.BDH($E$8,"PX LAST",AG352)</f>
        <v>5823.52</v>
      </c>
      <c r="AC352" s="9" cm="1">
        <f t="array" aca="1" ref="AC352" ca="1">_xll.BDH($E$8,"PX LAST",AH352)</f>
        <v>5853.98</v>
      </c>
      <c r="AD352" s="9" cm="1">
        <f t="array" aca="1" ref="AD352" ca="1">_xll.BDH($E$8,"PX LAST",AI352)</f>
        <v>5859.85</v>
      </c>
      <c r="AE352" s="9" cm="1">
        <f t="array" aca="1" ref="AE352" ca="1">_xll.BDH($E$8,"PX LAST",AJ352)</f>
        <v>5762.48</v>
      </c>
      <c r="AF352" s="9" cm="1">
        <f t="array" aca="1" ref="AF352" ca="1">_xll.BDH($E$8,"PX LAST",AK352)</f>
        <v>5346.56</v>
      </c>
      <c r="AG352" s="20">
        <f t="shared" ca="1" si="101"/>
        <v>45593</v>
      </c>
      <c r="AH352" s="22">
        <f t="shared" ca="1" si="96"/>
        <v>45586</v>
      </c>
      <c r="AI352" s="22">
        <f t="shared" ca="1" si="97"/>
        <v>45579</v>
      </c>
      <c r="AJ352" s="22">
        <f t="shared" ca="1" si="98"/>
        <v>45565</v>
      </c>
      <c r="AK352" s="22">
        <f t="shared" ca="1" si="99"/>
        <v>45506</v>
      </c>
      <c r="AL352" s="22">
        <f t="shared" ca="1" si="100"/>
        <v>45419</v>
      </c>
    </row>
    <row r="353" spans="4:38" x14ac:dyDescent="0.25">
      <c r="D353" s="6">
        <f ca="1"/>
        <v>45590</v>
      </c>
      <c r="E353" s="28">
        <f ca="1"/>
        <v>176.03</v>
      </c>
      <c r="F353" s="29" cm="1">
        <f t="array" aca="1" ref="F353" ca="1">_xll.FDS($E$7,"P_BETA_LOCIDX("&amp;$AG353&amp;","&amp;$AL353&amp;",,"""&amp;$E$9&amp;""")")</f>
        <v>1.7376183999999999</v>
      </c>
      <c r="G353" s="30">
        <f t="shared" ca="1" si="86"/>
        <v>-5.4092423989349492E-3</v>
      </c>
      <c r="H353" s="30">
        <f t="shared" ca="1" si="86"/>
        <v>9.5625225229071104E-3</v>
      </c>
      <c r="I353" s="30">
        <f t="shared" ca="1" si="86"/>
        <v>4.7533382915809323E-3</v>
      </c>
      <c r="J353" s="30">
        <f t="shared" ca="1" si="86"/>
        <v>-6.457425832579744E-3</v>
      </c>
      <c r="K353" s="30">
        <f t="shared" ca="1" si="87"/>
        <v>-1.6754961578400923E-2</v>
      </c>
      <c r="L353" s="30">
        <f t="shared" ca="1" si="87"/>
        <v>-2.0648119001965689E-3</v>
      </c>
      <c r="M353" s="30">
        <f t="shared" ca="1" si="87"/>
        <v>2.118208541747606E-2</v>
      </c>
      <c r="N353" s="30">
        <f t="shared" ca="1" si="87"/>
        <v>0.11530781953336716</v>
      </c>
      <c r="O353" s="30">
        <f t="shared" ca="1" si="88"/>
        <v>-2.2164203977335872E-2</v>
      </c>
      <c r="P353" s="30">
        <f t="shared" ca="1" si="89"/>
        <v>7.4977106227105406E-3</v>
      </c>
      <c r="Q353" s="30">
        <f t="shared" ca="1" si="90"/>
        <v>2.5935423709056993E-2</v>
      </c>
      <c r="R353" s="30">
        <f t="shared" ca="1" si="91"/>
        <v>0.10885039370078742</v>
      </c>
      <c r="S353" s="9" cm="1">
        <f t="array" aca="1" ref="S353" ca="1">_xll.BDH($E$6,"PX LAST",AG353)</f>
        <v>176.03</v>
      </c>
      <c r="T353" s="9" cm="1">
        <f t="array" aca="1" ref="T353" ca="1">_xll.BDH($E$6,"PX LAST",AH353)</f>
        <v>180.02</v>
      </c>
      <c r="U353" s="9" cm="1">
        <f t="array" aca="1" ref="U353" ca="1">_xll.BDH($E$6,"PX LAST",AI353)</f>
        <v>174.72</v>
      </c>
      <c r="V353" s="9" cm="1">
        <f t="array" aca="1" ref="V353" ca="1">_xll.BDH($E$6,"PX LAST",AJ353)</f>
        <v>171.58</v>
      </c>
      <c r="W353" s="9" cm="1">
        <f t="array" aca="1" ref="W353" ca="1">_xll.BDH($E$6,"PX LAST",AK353)</f>
        <v>158.75</v>
      </c>
      <c r="X353" s="24">
        <f t="shared" ca="1" si="92"/>
        <v>-9.6424862780003506E-3</v>
      </c>
      <c r="Y353" s="24">
        <f t="shared" ca="1" si="93"/>
        <v>-1.1882999743767497E-3</v>
      </c>
      <c r="Z353" s="24">
        <f t="shared" ca="1" si="94"/>
        <v>1.2190297603591249E-2</v>
      </c>
      <c r="AA353" s="24">
        <f t="shared" ca="1" si="95"/>
        <v>6.6359690673951865E-2</v>
      </c>
      <c r="AB353" s="9" cm="1">
        <f t="array" aca="1" ref="AB353" ca="1">_xll.BDH($E$8,"PX LAST",AG353)</f>
        <v>5808.12</v>
      </c>
      <c r="AC353" s="9" cm="1">
        <f t="array" aca="1" ref="AC353" ca="1">_xll.BDH($E$8,"PX LAST",AH353)</f>
        <v>5864.67</v>
      </c>
      <c r="AD353" s="9" cm="1">
        <f t="array" aca="1" ref="AD353" ca="1">_xll.BDH($E$8,"PX LAST",AI353)</f>
        <v>5815.03</v>
      </c>
      <c r="AE353" s="9" cm="1">
        <f t="array" aca="1" ref="AE353" ca="1">_xll.BDH($E$8,"PX LAST",AJ353)</f>
        <v>5738.17</v>
      </c>
      <c r="AF353" s="9" cm="1">
        <f t="array" aca="1" ref="AF353" ca="1">_xll.BDH($E$8,"PX LAST",AK353)</f>
        <v>5446.68</v>
      </c>
      <c r="AG353" s="20">
        <f t="shared" ca="1" si="101"/>
        <v>45590</v>
      </c>
      <c r="AH353" s="22">
        <f t="shared" ca="1" si="96"/>
        <v>45583</v>
      </c>
      <c r="AI353" s="22">
        <f t="shared" ca="1" si="97"/>
        <v>45576</v>
      </c>
      <c r="AJ353" s="22">
        <f t="shared" ca="1" si="98"/>
        <v>45562</v>
      </c>
      <c r="AK353" s="22">
        <f t="shared" ca="1" si="99"/>
        <v>45505</v>
      </c>
      <c r="AL353" s="22">
        <f t="shared" ca="1" si="100"/>
        <v>45418</v>
      </c>
    </row>
    <row r="354" spans="4:38" x14ac:dyDescent="0.25">
      <c r="D354" s="6">
        <f ca="1"/>
        <v>45589</v>
      </c>
      <c r="E354" s="28">
        <f ca="1"/>
        <v>177.45</v>
      </c>
      <c r="F354" s="29" cm="1">
        <f t="array" aca="1" ref="F354" ca="1">_xll.FDS($E$7,"P_BETA_LOCIDX("&amp;$AG354&amp;","&amp;$AL354&amp;",,"""&amp;$E$9&amp;""")")</f>
        <v>1.7296708000000001</v>
      </c>
      <c r="G354" s="30">
        <f t="shared" ca="1" si="86"/>
        <v>-1.327736133691019E-2</v>
      </c>
      <c r="H354" s="30">
        <f t="shared" ca="1" si="86"/>
        <v>5.5247320796609323E-2</v>
      </c>
      <c r="I354" s="30">
        <f t="shared" ca="1" si="86"/>
        <v>1.1611649611330811E-2</v>
      </c>
      <c r="J354" s="30">
        <f t="shared" ca="1" si="86"/>
        <v>-7.577849606253885E-2</v>
      </c>
      <c r="K354" s="30">
        <f t="shared" ca="1" si="87"/>
        <v>-9.3597834086284939E-3</v>
      </c>
      <c r="L354" s="30">
        <f t="shared" ca="1" si="87"/>
        <v>8.9205952453697019E-3</v>
      </c>
      <c r="M354" s="30">
        <f t="shared" ca="1" si="87"/>
        <v>1.9415019379430864E-2</v>
      </c>
      <c r="N354" s="30">
        <f t="shared" ca="1" si="87"/>
        <v>9.0068293147420278E-2</v>
      </c>
      <c r="O354" s="30">
        <f t="shared" ca="1" si="88"/>
        <v>-2.2637144745538684E-2</v>
      </c>
      <c r="P354" s="30">
        <f t="shared" ca="1" si="89"/>
        <v>6.4167916041979023E-2</v>
      </c>
      <c r="Q354" s="30">
        <f t="shared" ca="1" si="90"/>
        <v>3.1026668990761674E-2</v>
      </c>
      <c r="R354" s="30">
        <f t="shared" ca="1" si="91"/>
        <v>1.4289797084881428E-2</v>
      </c>
      <c r="S354" s="9" cm="1">
        <f t="array" aca="1" ref="S354" ca="1">_xll.BDH($E$6,"PX LAST",AG354)</f>
        <v>177.45</v>
      </c>
      <c r="T354" s="9" cm="1">
        <f t="array" aca="1" ref="T354" ca="1">_xll.BDH($E$6,"PX LAST",AH354)</f>
        <v>181.56</v>
      </c>
      <c r="U354" s="9" cm="1">
        <f t="array" aca="1" ref="U354" ca="1">_xll.BDH($E$6,"PX LAST",AI354)</f>
        <v>166.75</v>
      </c>
      <c r="V354" s="9" cm="1">
        <f t="array" aca="1" ref="V354" ca="1">_xll.BDH($E$6,"PX LAST",AJ354)</f>
        <v>172.11</v>
      </c>
      <c r="W354" s="9" cm="1">
        <f t="array" aca="1" ref="W354" ca="1">_xll.BDH($E$6,"PX LAST",AK354)</f>
        <v>174.95</v>
      </c>
      <c r="X354" s="24">
        <f t="shared" ca="1" si="92"/>
        <v>-5.4113091396515989E-3</v>
      </c>
      <c r="Y354" s="24">
        <f t="shared" ca="1" si="93"/>
        <v>5.1573948322245489E-3</v>
      </c>
      <c r="Z354" s="24">
        <f t="shared" ca="1" si="94"/>
        <v>1.1224690489907596E-2</v>
      </c>
      <c r="AA354" s="24">
        <f t="shared" ca="1" si="95"/>
        <v>5.2072506021041853E-2</v>
      </c>
      <c r="AB354" s="9" cm="1">
        <f t="array" aca="1" ref="AB354" ca="1">_xll.BDH($E$8,"PX LAST",AG354)</f>
        <v>5809.86</v>
      </c>
      <c r="AC354" s="9" cm="1">
        <f t="array" aca="1" ref="AC354" ca="1">_xll.BDH($E$8,"PX LAST",AH354)</f>
        <v>5841.47</v>
      </c>
      <c r="AD354" s="9" cm="1">
        <f t="array" aca="1" ref="AD354" ca="1">_xll.BDH($E$8,"PX LAST",AI354)</f>
        <v>5780.05</v>
      </c>
      <c r="AE354" s="9" cm="1">
        <f t="array" aca="1" ref="AE354" ca="1">_xll.BDH($E$8,"PX LAST",AJ354)</f>
        <v>5745.37</v>
      </c>
      <c r="AF354" s="9" cm="1">
        <f t="array" aca="1" ref="AF354" ca="1">_xll.BDH($E$8,"PX LAST",AK354)</f>
        <v>5522.3</v>
      </c>
      <c r="AG354" s="20">
        <f t="shared" ca="1" si="101"/>
        <v>45589</v>
      </c>
      <c r="AH354" s="22">
        <f t="shared" ca="1" si="96"/>
        <v>45582</v>
      </c>
      <c r="AI354" s="22">
        <f t="shared" ca="1" si="97"/>
        <v>45575</v>
      </c>
      <c r="AJ354" s="22">
        <f t="shared" ca="1" si="98"/>
        <v>45561</v>
      </c>
      <c r="AK354" s="22">
        <f t="shared" ca="1" si="99"/>
        <v>45504</v>
      </c>
      <c r="AL354" s="22">
        <f t="shared" ca="1" si="100"/>
        <v>45415</v>
      </c>
    </row>
    <row r="355" spans="4:38" x14ac:dyDescent="0.25">
      <c r="D355" s="6">
        <f ca="1"/>
        <v>45588</v>
      </c>
      <c r="E355" s="28">
        <f ca="1"/>
        <v>174.68</v>
      </c>
      <c r="F355" s="29" cm="1">
        <f t="array" aca="1" ref="F355" ca="1">_xll.FDS($E$7,"P_BETA_LOCIDX("&amp;$AG355&amp;","&amp;$AL355&amp;",,"""&amp;$E$9&amp;""")")</f>
        <v>1.7814882000000001</v>
      </c>
      <c r="G355" s="30">
        <f t="shared" ca="1" si="86"/>
        <v>-1.3549225966500341E-2</v>
      </c>
      <c r="H355" s="30">
        <f t="shared" ca="1" si="86"/>
        <v>4.6844644869399071E-2</v>
      </c>
      <c r="I355" s="30">
        <f t="shared" ca="1" si="86"/>
        <v>4.6747158536748254E-2</v>
      </c>
      <c r="J355" s="30">
        <f t="shared" ca="1" si="86"/>
        <v>-9.5514433151155861E-2</v>
      </c>
      <c r="K355" s="30">
        <f t="shared" ca="1" si="87"/>
        <v>-1.3736663330748836E-2</v>
      </c>
      <c r="L355" s="30">
        <f t="shared" ca="1" si="87"/>
        <v>1.6547548905050673E-3</v>
      </c>
      <c r="M355" s="30">
        <f t="shared" ca="1" si="87"/>
        <v>2.3399260626395982E-2</v>
      </c>
      <c r="N355" s="30">
        <f t="shared" ca="1" si="87"/>
        <v>0.11829094231445596</v>
      </c>
      <c r="O355" s="30">
        <f t="shared" ca="1" si="88"/>
        <v>-2.7285889297249177E-2</v>
      </c>
      <c r="P355" s="30">
        <f t="shared" ca="1" si="89"/>
        <v>4.8499399759904138E-2</v>
      </c>
      <c r="Q355" s="30">
        <f t="shared" ca="1" si="90"/>
        <v>7.0146419163144236E-2</v>
      </c>
      <c r="R355" s="30">
        <f t="shared" ca="1" si="91"/>
        <v>2.2776509163300096E-2</v>
      </c>
      <c r="S355" s="9" cm="1">
        <f t="array" aca="1" ref="S355" ca="1">_xll.BDH($E$6,"PX LAST",AG355)</f>
        <v>174.68</v>
      </c>
      <c r="T355" s="9" cm="1">
        <f t="array" aca="1" ref="T355" ca="1">_xll.BDH($E$6,"PX LAST",AH355)</f>
        <v>179.58</v>
      </c>
      <c r="U355" s="9" cm="1">
        <f t="array" aca="1" ref="U355" ca="1">_xll.BDH($E$6,"PX LAST",AI355)</f>
        <v>166.6</v>
      </c>
      <c r="V355" s="9" cm="1">
        <f t="array" aca="1" ref="V355" ca="1">_xll.BDH($E$6,"PX LAST",AJ355)</f>
        <v>163.22999999999999</v>
      </c>
      <c r="W355" s="9" cm="1">
        <f t="array" aca="1" ref="W355" ca="1">_xll.BDH($E$6,"PX LAST",AK355)</f>
        <v>170.79</v>
      </c>
      <c r="X355" s="24">
        <f t="shared" ca="1" si="92"/>
        <v>-7.710779858518757E-3</v>
      </c>
      <c r="Y355" s="24">
        <f t="shared" ca="1" si="93"/>
        <v>9.2886098852917875E-4</v>
      </c>
      <c r="Z355" s="24">
        <f t="shared" ca="1" si="94"/>
        <v>1.3134670567223505E-2</v>
      </c>
      <c r="AA355" s="24">
        <f t="shared" ca="1" si="95"/>
        <v>6.6400070634459407E-2</v>
      </c>
      <c r="AB355" s="9" cm="1">
        <f t="array" aca="1" ref="AB355" ca="1">_xll.BDH($E$8,"PX LAST",AG355)</f>
        <v>5797.42</v>
      </c>
      <c r="AC355" s="9" cm="1">
        <f t="array" aca="1" ref="AC355" ca="1">_xll.BDH($E$8,"PX LAST",AH355)</f>
        <v>5842.47</v>
      </c>
      <c r="AD355" s="9" cm="1">
        <f t="array" aca="1" ref="AD355" ca="1">_xll.BDH($E$8,"PX LAST",AI355)</f>
        <v>5792.04</v>
      </c>
      <c r="AE355" s="9" cm="1">
        <f t="array" aca="1" ref="AE355" ca="1">_xll.BDH($E$8,"PX LAST",AJ355)</f>
        <v>5722.26</v>
      </c>
      <c r="AF355" s="9" cm="1">
        <f t="array" aca="1" ref="AF355" ca="1">_xll.BDH($E$8,"PX LAST",AK355)</f>
        <v>5436.44</v>
      </c>
      <c r="AG355" s="20">
        <f t="shared" ca="1" si="101"/>
        <v>45588</v>
      </c>
      <c r="AH355" s="22">
        <f t="shared" ca="1" si="96"/>
        <v>45581</v>
      </c>
      <c r="AI355" s="22">
        <f t="shared" ca="1" si="97"/>
        <v>45574</v>
      </c>
      <c r="AJ355" s="22">
        <f t="shared" ca="1" si="98"/>
        <v>45560</v>
      </c>
      <c r="AK355" s="22">
        <f t="shared" ca="1" si="99"/>
        <v>45503</v>
      </c>
      <c r="AL355" s="22">
        <f t="shared" ca="1" si="100"/>
        <v>45414</v>
      </c>
    </row>
    <row r="356" spans="4:38" x14ac:dyDescent="0.25">
      <c r="D356" s="6">
        <f ca="1"/>
        <v>45587</v>
      </c>
      <c r="E356" s="28">
        <f ca="1"/>
        <v>174.86</v>
      </c>
      <c r="F356" s="29" cm="1">
        <f t="array" aca="1" ref="F356" ca="1">_xll.FDS($E$7,"P_BETA_LOCIDX("&amp;$AG356&amp;","&amp;$AL356&amp;",,"""&amp;$E$9&amp;""")")</f>
        <v>1.7922347000000001</v>
      </c>
      <c r="G356" s="30">
        <f t="shared" ca="1" si="86"/>
        <v>2.8985329543389921E-3</v>
      </c>
      <c r="H356" s="30">
        <f t="shared" ca="1" si="86"/>
        <v>3.0567394153998461E-2</v>
      </c>
      <c r="I356" s="30">
        <f t="shared" ca="1" si="86"/>
        <v>3.6738096966354161E-3</v>
      </c>
      <c r="J356" s="30">
        <f t="shared" ca="1" si="86"/>
        <v>-0.11189593715823987</v>
      </c>
      <c r="K356" s="30">
        <f t="shared" ca="1" si="87"/>
        <v>1.107653228196144E-2</v>
      </c>
      <c r="L356" s="30">
        <f t="shared" ca="1" si="87"/>
        <v>3.1184989111530882E-2</v>
      </c>
      <c r="M356" s="30">
        <f t="shared" ca="1" si="87"/>
        <v>3.6973693725372542E-2</v>
      </c>
      <c r="N356" s="30">
        <f t="shared" ca="1" si="87"/>
        <v>0.12716621527471206</v>
      </c>
      <c r="O356" s="30">
        <f t="shared" ca="1" si="88"/>
        <v>1.3975065236300432E-2</v>
      </c>
      <c r="P356" s="30">
        <f t="shared" ca="1" si="89"/>
        <v>6.1752383265529343E-2</v>
      </c>
      <c r="Q356" s="30">
        <f t="shared" ca="1" si="90"/>
        <v>4.0647503422007958E-2</v>
      </c>
      <c r="R356" s="30">
        <f t="shared" ca="1" si="91"/>
        <v>1.5270278116472191E-2</v>
      </c>
      <c r="S356" s="9" cm="1">
        <f t="array" aca="1" ref="S356" ca="1">_xll.BDH($E$6,"PX LAST",AG356)</f>
        <v>174.86</v>
      </c>
      <c r="T356" s="9" cm="1">
        <f t="array" aca="1" ref="T356" ca="1">_xll.BDH($E$6,"PX LAST",AH356)</f>
        <v>172.45</v>
      </c>
      <c r="U356" s="9" cm="1">
        <f t="array" aca="1" ref="U356" ca="1">_xll.BDH($E$6,"PX LAST",AI356)</f>
        <v>164.69</v>
      </c>
      <c r="V356" s="9" cm="1">
        <f t="array" aca="1" ref="V356" ca="1">_xll.BDH($E$6,"PX LAST",AJ356)</f>
        <v>168.03</v>
      </c>
      <c r="W356" s="9" cm="1">
        <f t="array" aca="1" ref="W356" ca="1">_xll.BDH($E$6,"PX LAST",AK356)</f>
        <v>172.23</v>
      </c>
      <c r="X356" s="24">
        <f t="shared" ca="1" si="92"/>
        <v>6.1802911649693204E-3</v>
      </c>
      <c r="Y356" s="24">
        <f t="shared" ca="1" si="93"/>
        <v>1.7400058771058768E-2</v>
      </c>
      <c r="Z356" s="24">
        <f t="shared" ca="1" si="94"/>
        <v>2.0629939664360109E-2</v>
      </c>
      <c r="AA356" s="24">
        <f t="shared" ca="1" si="95"/>
        <v>7.0953996859179247E-2</v>
      </c>
      <c r="AB356" s="9" cm="1">
        <f t="array" aca="1" ref="AB356" ca="1">_xll.BDH($E$8,"PX LAST",AG356)</f>
        <v>5851.2</v>
      </c>
      <c r="AC356" s="9" cm="1">
        <f t="array" aca="1" ref="AC356" ca="1">_xll.BDH($E$8,"PX LAST",AH356)</f>
        <v>5815.26</v>
      </c>
      <c r="AD356" s="9" cm="1">
        <f t="array" aca="1" ref="AD356" ca="1">_xll.BDH($E$8,"PX LAST",AI356)</f>
        <v>5751.13</v>
      </c>
      <c r="AE356" s="9" cm="1">
        <f t="array" aca="1" ref="AE356" ca="1">_xll.BDH($E$8,"PX LAST",AJ356)</f>
        <v>5732.93</v>
      </c>
      <c r="AF356" s="9" cm="1">
        <f t="array" aca="1" ref="AF356" ca="1">_xll.BDH($E$8,"PX LAST",AK356)</f>
        <v>5463.54</v>
      </c>
      <c r="AG356" s="20">
        <f t="shared" ca="1" si="101"/>
        <v>45587</v>
      </c>
      <c r="AH356" s="22">
        <f t="shared" ca="1" si="96"/>
        <v>45580</v>
      </c>
      <c r="AI356" s="22">
        <f t="shared" ca="1" si="97"/>
        <v>45573</v>
      </c>
      <c r="AJ356" s="22">
        <f t="shared" ca="1" si="98"/>
        <v>45559</v>
      </c>
      <c r="AK356" s="22">
        <f t="shared" ca="1" si="99"/>
        <v>45502</v>
      </c>
      <c r="AL356" s="22">
        <f t="shared" ca="1" si="100"/>
        <v>45413</v>
      </c>
    </row>
    <row r="357" spans="4:38" x14ac:dyDescent="0.25">
      <c r="D357" s="6">
        <f ca="1"/>
        <v>45586</v>
      </c>
      <c r="E357" s="28">
        <f ca="1"/>
        <v>177.54</v>
      </c>
      <c r="F357" s="29" cm="1">
        <f t="array" aca="1" ref="F357" ca="1">_xll.FDS($E$7,"P_BETA_LOCIDX("&amp;$AG357&amp;","&amp;$AL357&amp;",,"""&amp;$E$9&amp;""")")</f>
        <v>1.799979</v>
      </c>
      <c r="G357" s="30">
        <f t="shared" ca="1" si="86"/>
        <v>1.3657650535316725E-2</v>
      </c>
      <c r="H357" s="30">
        <f t="shared" ca="1" si="86"/>
        <v>3.1892995188465022E-2</v>
      </c>
      <c r="I357" s="30">
        <f t="shared" ca="1" si="86"/>
        <v>1.5612790940371241E-2</v>
      </c>
      <c r="J357" s="30">
        <f t="shared" ca="1" si="86"/>
        <v>-8.8909839995603257E-2</v>
      </c>
      <c r="K357" s="30">
        <f t="shared" ca="1" si="87"/>
        <v>-1.8030967908737282E-3</v>
      </c>
      <c r="L357" s="30">
        <f t="shared" ca="1" si="87"/>
        <v>4.9942359147041572E-2</v>
      </c>
      <c r="M357" s="30">
        <f t="shared" ca="1" si="87"/>
        <v>4.2621696751110966E-2</v>
      </c>
      <c r="N357" s="30">
        <f t="shared" ca="1" si="87"/>
        <v>0.13020016257624839</v>
      </c>
      <c r="O357" s="30">
        <f t="shared" ca="1" si="88"/>
        <v>1.1854553744442997E-2</v>
      </c>
      <c r="P357" s="30">
        <f t="shared" ca="1" si="89"/>
        <v>8.1835354335506594E-2</v>
      </c>
      <c r="Q357" s="30">
        <f t="shared" ca="1" si="90"/>
        <v>5.8234487691482206E-2</v>
      </c>
      <c r="R357" s="30">
        <f t="shared" ca="1" si="91"/>
        <v>4.1290322580645133E-2</v>
      </c>
      <c r="S357" s="9" cm="1">
        <f t="array" aca="1" ref="S357" ca="1">_xll.BDH($E$6,"PX LAST",AG357)</f>
        <v>177.54</v>
      </c>
      <c r="T357" s="9" cm="1">
        <f t="array" aca="1" ref="T357" ca="1">_xll.BDH($E$6,"PX LAST",AH357)</f>
        <v>175.46</v>
      </c>
      <c r="U357" s="9" cm="1">
        <f t="array" aca="1" ref="U357" ca="1">_xll.BDH($E$6,"PX LAST",AI357)</f>
        <v>164.11</v>
      </c>
      <c r="V357" s="9" cm="1">
        <f t="array" aca="1" ref="V357" ca="1">_xll.BDH($E$6,"PX LAST",AJ357)</f>
        <v>167.77</v>
      </c>
      <c r="W357" s="9" cm="1">
        <f t="array" aca="1" ref="W357" ca="1">_xll.BDH($E$6,"PX LAST",AK357)</f>
        <v>170.5</v>
      </c>
      <c r="X357" s="24">
        <f t="shared" ca="1" si="92"/>
        <v>-1.0017321262490997E-3</v>
      </c>
      <c r="Y357" s="24">
        <f t="shared" ca="1" si="93"/>
        <v>2.7746078785942263E-2</v>
      </c>
      <c r="Z357" s="24">
        <f t="shared" ca="1" si="94"/>
        <v>2.3678996672245045E-2</v>
      </c>
      <c r="AA357" s="24">
        <f t="shared" ca="1" si="95"/>
        <v>7.2334267553259446E-2</v>
      </c>
      <c r="AB357" s="9" cm="1">
        <f t="array" aca="1" ref="AB357" ca="1">_xll.BDH($E$8,"PX LAST",AG357)</f>
        <v>5853.98</v>
      </c>
      <c r="AC357" s="9" cm="1">
        <f t="array" aca="1" ref="AC357" ca="1">_xll.BDH($E$8,"PX LAST",AH357)</f>
        <v>5859.85</v>
      </c>
      <c r="AD357" s="9" cm="1">
        <f t="array" aca="1" ref="AD357" ca="1">_xll.BDH($E$8,"PX LAST",AI357)</f>
        <v>5695.94</v>
      </c>
      <c r="AE357" s="9" cm="1">
        <f t="array" aca="1" ref="AE357" ca="1">_xll.BDH($E$8,"PX LAST",AJ357)</f>
        <v>5718.57</v>
      </c>
      <c r="AF357" s="9" cm="1">
        <f t="array" aca="1" ref="AF357" ca="1">_xll.BDH($E$8,"PX LAST",AK357)</f>
        <v>5459.1</v>
      </c>
      <c r="AG357" s="20">
        <f t="shared" ca="1" si="101"/>
        <v>45586</v>
      </c>
      <c r="AH357" s="22">
        <f t="shared" ca="1" si="96"/>
        <v>45579</v>
      </c>
      <c r="AI357" s="22">
        <f t="shared" ca="1" si="97"/>
        <v>45572</v>
      </c>
      <c r="AJ357" s="22">
        <f t="shared" ca="1" si="98"/>
        <v>45558</v>
      </c>
      <c r="AK357" s="22">
        <f t="shared" ca="1" si="99"/>
        <v>45499</v>
      </c>
      <c r="AL357" s="22">
        <f t="shared" ca="1" si="100"/>
        <v>45412</v>
      </c>
    </row>
    <row r="358" spans="4:38" x14ac:dyDescent="0.25">
      <c r="D358" s="6">
        <f ca="1"/>
        <v>45583</v>
      </c>
      <c r="E358" s="28">
        <f ca="1"/>
        <v>180.02</v>
      </c>
      <c r="F358" s="29" cm="1">
        <f t="array" aca="1" ref="F358" ca="1">_xll.FDS($E$7,"P_BETA_LOCIDX("&amp;$AG358&amp;","&amp;$AL358&amp;",,"""&amp;$E$9&amp;""")")</f>
        <v>1.7988968000000001</v>
      </c>
      <c r="G358" s="30">
        <f t="shared" ca="1" si="86"/>
        <v>1.4977967663173004E-2</v>
      </c>
      <c r="H358" s="30">
        <f t="shared" ca="1" si="86"/>
        <v>5.6754757868820421E-2</v>
      </c>
      <c r="I358" s="30">
        <f t="shared" ca="1" si="86"/>
        <v>2.0725093936040037E-2</v>
      </c>
      <c r="J358" s="30">
        <f t="shared" ca="1" si="86"/>
        <v>-8.2891485449056279E-2</v>
      </c>
      <c r="K358" s="30">
        <f t="shared" ca="1" si="87"/>
        <v>1.5356281421076083E-2</v>
      </c>
      <c r="L358" s="30">
        <f t="shared" ca="1" si="87"/>
        <v>3.5533331446148481E-2</v>
      </c>
      <c r="M358" s="30">
        <f t="shared" ca="1" si="87"/>
        <v>5.1141533036273348E-2</v>
      </c>
      <c r="N358" s="30">
        <f t="shared" ca="1" si="87"/>
        <v>0.15507731034482769</v>
      </c>
      <c r="O358" s="30">
        <f t="shared" ca="1" si="88"/>
        <v>3.0334249084249088E-2</v>
      </c>
      <c r="P358" s="30">
        <f t="shared" ca="1" si="89"/>
        <v>9.2288089314968902E-2</v>
      </c>
      <c r="Q358" s="30">
        <f t="shared" ca="1" si="90"/>
        <v>7.1866626972313385E-2</v>
      </c>
      <c r="R358" s="30">
        <f t="shared" ca="1" si="91"/>
        <v>7.2185824895771411E-2</v>
      </c>
      <c r="S358" s="9" cm="1">
        <f t="array" aca="1" ref="S358" ca="1">_xll.BDH($E$6,"PX LAST",AG358)</f>
        <v>180.02</v>
      </c>
      <c r="T358" s="9" cm="1">
        <f t="array" aca="1" ref="T358" ca="1">_xll.BDH($E$6,"PX LAST",AH358)</f>
        <v>174.72</v>
      </c>
      <c r="U358" s="9" cm="1">
        <f t="array" aca="1" ref="U358" ca="1">_xll.BDH($E$6,"PX LAST",AI358)</f>
        <v>164.81</v>
      </c>
      <c r="V358" s="9" cm="1">
        <f t="array" aca="1" ref="V358" ca="1">_xll.BDH($E$6,"PX LAST",AJ358)</f>
        <v>167.95</v>
      </c>
      <c r="W358" s="9" cm="1">
        <f t="array" aca="1" ref="W358" ca="1">_xll.BDH($E$6,"PX LAST",AK358)</f>
        <v>167.9</v>
      </c>
      <c r="X358" s="24">
        <f t="shared" ca="1" si="92"/>
        <v>8.5364993817744761E-3</v>
      </c>
      <c r="Y358" s="24">
        <f t="shared" ca="1" si="93"/>
        <v>1.9752845992137225E-2</v>
      </c>
      <c r="Z358" s="24">
        <f t="shared" ca="1" si="94"/>
        <v>2.8429386853249916E-2</v>
      </c>
      <c r="AA358" s="24">
        <f t="shared" ca="1" si="95"/>
        <v>8.6206896551724199E-2</v>
      </c>
      <c r="AB358" s="9" cm="1">
        <f t="array" aca="1" ref="AB358" ca="1">_xll.BDH($E$8,"PX LAST",AG358)</f>
        <v>5864.67</v>
      </c>
      <c r="AC358" s="9" cm="1">
        <f t="array" aca="1" ref="AC358" ca="1">_xll.BDH($E$8,"PX LAST",AH358)</f>
        <v>5815.03</v>
      </c>
      <c r="AD358" s="9" cm="1">
        <f t="array" aca="1" ref="AD358" ca="1">_xll.BDH($E$8,"PX LAST",AI358)</f>
        <v>5751.07</v>
      </c>
      <c r="AE358" s="9" cm="1">
        <f t="array" aca="1" ref="AE358" ca="1">_xll.BDH($E$8,"PX LAST",AJ358)</f>
        <v>5702.55</v>
      </c>
      <c r="AF358" s="9" cm="1">
        <f t="array" aca="1" ref="AF358" ca="1">_xll.BDH($E$8,"PX LAST",AK358)</f>
        <v>5399.22</v>
      </c>
      <c r="AG358" s="20">
        <f t="shared" ca="1" si="101"/>
        <v>45583</v>
      </c>
      <c r="AH358" s="22">
        <f t="shared" ca="1" si="96"/>
        <v>45576</v>
      </c>
      <c r="AI358" s="22">
        <f t="shared" ca="1" si="97"/>
        <v>45569</v>
      </c>
      <c r="AJ358" s="22">
        <f t="shared" ca="1" si="98"/>
        <v>45555</v>
      </c>
      <c r="AK358" s="22">
        <f t="shared" ca="1" si="99"/>
        <v>45498</v>
      </c>
      <c r="AL358" s="22">
        <f t="shared" ca="1" si="100"/>
        <v>45411</v>
      </c>
    </row>
    <row r="359" spans="4:38" x14ac:dyDescent="0.25">
      <c r="D359" s="6">
        <f ca="1"/>
        <v>45582</v>
      </c>
      <c r="E359" s="28">
        <f ca="1"/>
        <v>181.56</v>
      </c>
      <c r="F359" s="29" cm="1">
        <f t="array" aca="1" ref="F359" ca="1">_xll.FDS($E$7,"P_BETA_LOCIDX("&amp;$AG359&amp;","&amp;$AL359&amp;",,"""&amp;$E$9&amp;""")")</f>
        <v>1.7745054</v>
      </c>
      <c r="G359" s="30">
        <f t="shared" ca="1" si="86"/>
        <v>6.9959332886417869E-2</v>
      </c>
      <c r="H359" s="30">
        <f t="shared" ca="1" si="86"/>
        <v>5.9244663557424103E-2</v>
      </c>
      <c r="I359" s="30">
        <f t="shared" ca="1" si="86"/>
        <v>1.1663099734132265E-2</v>
      </c>
      <c r="J359" s="30">
        <f t="shared" ca="1" si="86"/>
        <v>-3.2505840237030403E-2</v>
      </c>
      <c r="K359" s="30">
        <f t="shared" ca="1" si="87"/>
        <v>1.8856259317480143E-2</v>
      </c>
      <c r="L359" s="30">
        <f t="shared" ca="1" si="87"/>
        <v>4.4061121566542828E-2</v>
      </c>
      <c r="M359" s="30">
        <f t="shared" ca="1" si="87"/>
        <v>3.9700615593912136E-2</v>
      </c>
      <c r="N359" s="30">
        <f t="shared" ca="1" si="87"/>
        <v>0.13547649815574725</v>
      </c>
      <c r="O359" s="30">
        <f t="shared" ca="1" si="88"/>
        <v>8.8815592203898008E-2</v>
      </c>
      <c r="P359" s="30">
        <f t="shared" ca="1" si="89"/>
        <v>0.10330578512396693</v>
      </c>
      <c r="Q359" s="30">
        <f t="shared" ca="1" si="90"/>
        <v>5.1363715328044401E-2</v>
      </c>
      <c r="R359" s="30">
        <f t="shared" ca="1" si="91"/>
        <v>0.10297065791871685</v>
      </c>
      <c r="S359" s="9" cm="1">
        <f t="array" aca="1" ref="S359" ca="1">_xll.BDH($E$6,"PX LAST",AG359)</f>
        <v>181.56</v>
      </c>
      <c r="T359" s="9" cm="1">
        <f t="array" aca="1" ref="T359" ca="1">_xll.BDH($E$6,"PX LAST",AH359)</f>
        <v>166.75</v>
      </c>
      <c r="U359" s="9" cm="1">
        <f t="array" aca="1" ref="U359" ca="1">_xll.BDH($E$6,"PX LAST",AI359)</f>
        <v>164.56</v>
      </c>
      <c r="V359" s="9" cm="1">
        <f t="array" aca="1" ref="V359" ca="1">_xll.BDH($E$6,"PX LAST",AJ359)</f>
        <v>172.69</v>
      </c>
      <c r="W359" s="9" cm="1">
        <f t="array" aca="1" ref="W359" ca="1">_xll.BDH($E$6,"PX LAST",AK359)</f>
        <v>164.61</v>
      </c>
      <c r="X359" s="24">
        <f t="shared" ca="1" si="92"/>
        <v>1.0626205655660526E-2</v>
      </c>
      <c r="Y359" s="24">
        <f t="shared" ca="1" si="93"/>
        <v>2.4830085930729107E-2</v>
      </c>
      <c r="Z359" s="24">
        <f t="shared" ca="1" si="94"/>
        <v>2.2372778123928017E-2</v>
      </c>
      <c r="AA359" s="24">
        <f t="shared" ca="1" si="95"/>
        <v>7.6346061362082773E-2</v>
      </c>
      <c r="AB359" s="9" cm="1">
        <f t="array" aca="1" ref="AB359" ca="1">_xll.BDH($E$8,"PX LAST",AG359)</f>
        <v>5841.47</v>
      </c>
      <c r="AC359" s="9" cm="1">
        <f t="array" aca="1" ref="AC359" ca="1">_xll.BDH($E$8,"PX LAST",AH359)</f>
        <v>5780.05</v>
      </c>
      <c r="AD359" s="9" cm="1">
        <f t="array" aca="1" ref="AD359" ca="1">_xll.BDH($E$8,"PX LAST",AI359)</f>
        <v>5699.94</v>
      </c>
      <c r="AE359" s="9" cm="1">
        <f t="array" aca="1" ref="AE359" ca="1">_xll.BDH($E$8,"PX LAST",AJ359)</f>
        <v>5713.64</v>
      </c>
      <c r="AF359" s="9" cm="1">
        <f t="array" aca="1" ref="AF359" ca="1">_xll.BDH($E$8,"PX LAST",AK359)</f>
        <v>5427.13</v>
      </c>
      <c r="AG359" s="20">
        <f t="shared" ca="1" si="101"/>
        <v>45582</v>
      </c>
      <c r="AH359" s="22">
        <f t="shared" ca="1" si="96"/>
        <v>45575</v>
      </c>
      <c r="AI359" s="22">
        <f t="shared" ca="1" si="97"/>
        <v>45568</v>
      </c>
      <c r="AJ359" s="22">
        <f t="shared" ca="1" si="98"/>
        <v>45554</v>
      </c>
      <c r="AK359" s="22">
        <f t="shared" ca="1" si="99"/>
        <v>45497</v>
      </c>
      <c r="AL359" s="22">
        <f t="shared" ca="1" si="100"/>
        <v>45408</v>
      </c>
    </row>
    <row r="360" spans="4:38" x14ac:dyDescent="0.25">
      <c r="D360" s="6">
        <f ca="1"/>
        <v>45581</v>
      </c>
      <c r="E360" s="28">
        <f ca="1"/>
        <v>179.58</v>
      </c>
      <c r="F360" s="29" cm="1">
        <f t="array" aca="1" ref="F360" ca="1">_xll.FDS($E$7,"P_BETA_LOCIDX("&amp;$AG360&amp;","&amp;$AL360&amp;",,"""&amp;$E$9&amp;""")")</f>
        <v>1.7802893</v>
      </c>
      <c r="G360" s="30">
        <f t="shared" ca="1" si="86"/>
        <v>6.2410582736550965E-2</v>
      </c>
      <c r="H360" s="30">
        <f t="shared" ca="1" si="86"/>
        <v>3.0862610586744749E-2</v>
      </c>
      <c r="I360" s="30">
        <f t="shared" ca="1" si="86"/>
        <v>6.282503958583277E-3</v>
      </c>
      <c r="J360" s="30">
        <f t="shared" ca="1" si="86"/>
        <v>-4.4827522765030423E-2</v>
      </c>
      <c r="K360" s="30">
        <f t="shared" ca="1" si="87"/>
        <v>1.5500581729235425E-2</v>
      </c>
      <c r="L360" s="30">
        <f t="shared" ca="1" si="87"/>
        <v>4.1448848181990045E-2</v>
      </c>
      <c r="M360" s="30">
        <f t="shared" ca="1" si="87"/>
        <v>7.1046669957068584E-2</v>
      </c>
      <c r="N360" s="30">
        <f t="shared" ca="1" si="87"/>
        <v>9.188017275628467E-2</v>
      </c>
      <c r="O360" s="30">
        <f t="shared" ca="1" si="88"/>
        <v>7.7911164465786387E-2</v>
      </c>
      <c r="P360" s="30">
        <f t="shared" ca="1" si="89"/>
        <v>7.2311458768734793E-2</v>
      </c>
      <c r="Q360" s="30">
        <f t="shared" ca="1" si="90"/>
        <v>7.7329173915651861E-2</v>
      </c>
      <c r="R360" s="30">
        <f t="shared" ca="1" si="91"/>
        <v>4.7052649991254247E-2</v>
      </c>
      <c r="S360" s="9" cm="1">
        <f t="array" aca="1" ref="S360" ca="1">_xll.BDH($E$6,"PX LAST",AG360)</f>
        <v>179.58</v>
      </c>
      <c r="T360" s="9" cm="1">
        <f t="array" aca="1" ref="T360" ca="1">_xll.BDH($E$6,"PX LAST",AH360)</f>
        <v>166.6</v>
      </c>
      <c r="U360" s="9" cm="1">
        <f t="array" aca="1" ref="U360" ca="1">_xll.BDH($E$6,"PX LAST",AI360)</f>
        <v>167.47</v>
      </c>
      <c r="V360" s="9" cm="1">
        <f t="array" aca="1" ref="V360" ca="1">_xll.BDH($E$6,"PX LAST",AJ360)</f>
        <v>166.69</v>
      </c>
      <c r="W360" s="9" cm="1">
        <f t="array" aca="1" ref="W360" ca="1">_xll.BDH($E$6,"PX LAST",AK360)</f>
        <v>171.51</v>
      </c>
      <c r="X360" s="24">
        <f t="shared" ca="1" si="92"/>
        <v>8.706776886900025E-3</v>
      </c>
      <c r="Y360" s="24">
        <f t="shared" ca="1" si="93"/>
        <v>2.3282085772233785E-2</v>
      </c>
      <c r="Z360" s="24">
        <f t="shared" ca="1" si="94"/>
        <v>3.9907373457262585E-2</v>
      </c>
      <c r="AA360" s="24">
        <f t="shared" ca="1" si="95"/>
        <v>5.1609686558406365E-2</v>
      </c>
      <c r="AB360" s="9" cm="1">
        <f t="array" aca="1" ref="AB360" ca="1">_xll.BDH($E$8,"PX LAST",AG360)</f>
        <v>5842.47</v>
      </c>
      <c r="AC360" s="9" cm="1">
        <f t="array" aca="1" ref="AC360" ca="1">_xll.BDH($E$8,"PX LAST",AH360)</f>
        <v>5792.04</v>
      </c>
      <c r="AD360" s="9" cm="1">
        <f t="array" aca="1" ref="AD360" ca="1">_xll.BDH($E$8,"PX LAST",AI360)</f>
        <v>5709.54</v>
      </c>
      <c r="AE360" s="9" cm="1">
        <f t="array" aca="1" ref="AE360" ca="1">_xll.BDH($E$8,"PX LAST",AJ360)</f>
        <v>5618.26</v>
      </c>
      <c r="AF360" s="9" cm="1">
        <f t="array" aca="1" ref="AF360" ca="1">_xll.BDH($E$8,"PX LAST",AK360)</f>
        <v>5555.74</v>
      </c>
      <c r="AG360" s="20">
        <f t="shared" ca="1" si="101"/>
        <v>45581</v>
      </c>
      <c r="AH360" s="22">
        <f t="shared" ca="1" si="96"/>
        <v>45574</v>
      </c>
      <c r="AI360" s="22">
        <f t="shared" ca="1" si="97"/>
        <v>45567</v>
      </c>
      <c r="AJ360" s="22">
        <f t="shared" ca="1" si="98"/>
        <v>45553</v>
      </c>
      <c r="AK360" s="22">
        <f t="shared" ca="1" si="99"/>
        <v>45496</v>
      </c>
      <c r="AL360" s="22">
        <f t="shared" ca="1" si="100"/>
        <v>45407</v>
      </c>
    </row>
    <row r="361" spans="4:38" x14ac:dyDescent="0.25">
      <c r="D361" s="6">
        <f ca="1"/>
        <v>45580</v>
      </c>
      <c r="E361" s="28">
        <f ca="1"/>
        <v>172.45</v>
      </c>
      <c r="F361" s="29" cm="1">
        <f t="array" aca="1" ref="F361" ca="1">_xll.FDS($E$7,"P_BETA_LOCIDX("&amp;$AG361&amp;","&amp;$AL361&amp;",,"""&amp;$E$9&amp;""")")</f>
        <v>1.7657033</v>
      </c>
      <c r="G361" s="30">
        <f t="shared" ca="1" si="86"/>
        <v>2.7429732976529637E-2</v>
      </c>
      <c r="H361" s="30">
        <f t="shared" ca="1" si="86"/>
        <v>2.9790893628483875E-3</v>
      </c>
      <c r="I361" s="30">
        <f t="shared" ca="1" si="86"/>
        <v>-2.7865727140571991E-2</v>
      </c>
      <c r="J361" s="30">
        <f t="shared" ca="1" si="86"/>
        <v>-7.8438831681033522E-2</v>
      </c>
      <c r="K361" s="30">
        <f t="shared" ca="1" si="87"/>
        <v>1.968909633915426E-2</v>
      </c>
      <c r="L361" s="30">
        <f t="shared" ca="1" si="87"/>
        <v>3.2943299055485119E-2</v>
      </c>
      <c r="M361" s="30">
        <f t="shared" ca="1" si="87"/>
        <v>5.6619530159124784E-2</v>
      </c>
      <c r="N361" s="30">
        <f t="shared" ca="1" si="87"/>
        <v>7.9599934728929039E-2</v>
      </c>
      <c r="O361" s="30">
        <f t="shared" ca="1" si="88"/>
        <v>4.7118829315683897E-2</v>
      </c>
      <c r="P361" s="30">
        <f t="shared" ca="1" si="89"/>
        <v>3.5922388418333506E-2</v>
      </c>
      <c r="Q361" s="30">
        <f t="shared" ca="1" si="90"/>
        <v>2.8753803018552793E-2</v>
      </c>
      <c r="R361" s="30">
        <f t="shared" ca="1" si="91"/>
        <v>1.1611030478955175E-3</v>
      </c>
      <c r="S361" s="9" cm="1">
        <f t="array" aca="1" ref="S361" ca="1">_xll.BDH($E$6,"PX LAST",AG361)</f>
        <v>172.45</v>
      </c>
      <c r="T361" s="9" cm="1">
        <f t="array" aca="1" ref="T361" ca="1">_xll.BDH($E$6,"PX LAST",AH361)</f>
        <v>164.69</v>
      </c>
      <c r="U361" s="9" cm="1">
        <f t="array" aca="1" ref="U361" ca="1">_xll.BDH($E$6,"PX LAST",AI361)</f>
        <v>166.47</v>
      </c>
      <c r="V361" s="9" cm="1">
        <f t="array" aca="1" ref="V361" ca="1">_xll.BDH($E$6,"PX LAST",AJ361)</f>
        <v>167.63</v>
      </c>
      <c r="W361" s="9" cm="1">
        <f t="array" aca="1" ref="W361" ca="1">_xll.BDH($E$6,"PX LAST",AK361)</f>
        <v>172.25</v>
      </c>
      <c r="X361" s="24">
        <f t="shared" ca="1" si="92"/>
        <v>1.1150852093414709E-2</v>
      </c>
      <c r="Y361" s="24">
        <f t="shared" ca="1" si="93"/>
        <v>1.8657324282899124E-2</v>
      </c>
      <c r="Z361" s="24">
        <f t="shared" ca="1" si="94"/>
        <v>3.2066276457162868E-2</v>
      </c>
      <c r="AA361" s="24">
        <f t="shared" ca="1" si="95"/>
        <v>4.5081149663666054E-2</v>
      </c>
      <c r="AB361" s="9" cm="1">
        <f t="array" aca="1" ref="AB361" ca="1">_xll.BDH($E$8,"PX LAST",AG361)</f>
        <v>5815.26</v>
      </c>
      <c r="AC361" s="9" cm="1">
        <f t="array" aca="1" ref="AC361" ca="1">_xll.BDH($E$8,"PX LAST",AH361)</f>
        <v>5751.13</v>
      </c>
      <c r="AD361" s="9" cm="1">
        <f t="array" aca="1" ref="AD361" ca="1">_xll.BDH($E$8,"PX LAST",AI361)</f>
        <v>5708.75</v>
      </c>
      <c r="AE361" s="9" cm="1">
        <f t="array" aca="1" ref="AE361" ca="1">_xll.BDH($E$8,"PX LAST",AJ361)</f>
        <v>5634.58</v>
      </c>
      <c r="AF361" s="9" cm="1">
        <f t="array" aca="1" ref="AF361" ca="1">_xll.BDH($E$8,"PX LAST",AK361)</f>
        <v>5564.41</v>
      </c>
      <c r="AG361" s="20">
        <f t="shared" ca="1" si="101"/>
        <v>45580</v>
      </c>
      <c r="AH361" s="22">
        <f t="shared" ca="1" si="96"/>
        <v>45573</v>
      </c>
      <c r="AI361" s="22">
        <f t="shared" ca="1" si="97"/>
        <v>45566</v>
      </c>
      <c r="AJ361" s="22">
        <f t="shared" ca="1" si="98"/>
        <v>45552</v>
      </c>
      <c r="AK361" s="22">
        <f t="shared" ca="1" si="99"/>
        <v>45495</v>
      </c>
      <c r="AL361" s="22">
        <f t="shared" ca="1" si="100"/>
        <v>45406</v>
      </c>
    </row>
    <row r="362" spans="4:38" x14ac:dyDescent="0.25">
      <c r="D362" s="6">
        <f ca="1"/>
        <v>45579</v>
      </c>
      <c r="E362" s="28">
        <f ca="1"/>
        <v>175.46</v>
      </c>
      <c r="F362" s="29" cm="1">
        <f t="array" aca="1" ref="F362" ca="1">_xll.FDS($E$7,"P_BETA_LOCIDX("&amp;$AG362&amp;","&amp;$AL362&amp;",,"""&amp;$E$9&amp;""")")</f>
        <v>1.7632987</v>
      </c>
      <c r="G362" s="30">
        <f t="shared" ca="1" si="86"/>
        <v>1.8419121337583527E-2</v>
      </c>
      <c r="H362" s="30">
        <f t="shared" ca="1" si="86"/>
        <v>1.4734231594682401E-2</v>
      </c>
      <c r="I362" s="30">
        <f t="shared" ca="1" si="86"/>
        <v>-7.1196645596505181E-4</v>
      </c>
      <c r="J362" s="30">
        <f t="shared" ca="1" si="86"/>
        <v>-7.8132696736850069E-2</v>
      </c>
      <c r="K362" s="30">
        <f t="shared" ca="1" si="87"/>
        <v>5.0741807307837145E-2</v>
      </c>
      <c r="L362" s="30">
        <f t="shared" ca="1" si="87"/>
        <v>2.9794879013723408E-2</v>
      </c>
      <c r="M362" s="30">
        <f t="shared" ca="1" si="87"/>
        <v>7.098157728919674E-2</v>
      </c>
      <c r="N362" s="30">
        <f t="shared" ca="1" si="87"/>
        <v>0.11366149749227981</v>
      </c>
      <c r="O362" s="30">
        <f t="shared" ca="1" si="88"/>
        <v>6.9160928645420672E-2</v>
      </c>
      <c r="P362" s="30">
        <f t="shared" ca="1" si="89"/>
        <v>4.4529110608405809E-2</v>
      </c>
      <c r="Q362" s="30">
        <f t="shared" ca="1" si="90"/>
        <v>7.0269610833231688E-2</v>
      </c>
      <c r="R362" s="30">
        <f t="shared" ca="1" si="91"/>
        <v>3.5528800755429746E-2</v>
      </c>
      <c r="S362" s="9" cm="1">
        <f t="array" aca="1" ref="S362" ca="1">_xll.BDH($E$6,"PX LAST",AG362)</f>
        <v>175.46</v>
      </c>
      <c r="T362" s="9" cm="1">
        <f t="array" aca="1" ref="T362" ca="1">_xll.BDH($E$6,"PX LAST",AH362)</f>
        <v>164.11</v>
      </c>
      <c r="U362" s="9" cm="1">
        <f t="array" aca="1" ref="U362" ca="1">_xll.BDH($E$6,"PX LAST",AI362)</f>
        <v>167.98</v>
      </c>
      <c r="V362" s="9" cm="1">
        <f t="array" aca="1" ref="V362" ca="1">_xll.BDH($E$6,"PX LAST",AJ362)</f>
        <v>163.94</v>
      </c>
      <c r="W362" s="9" cm="1">
        <f t="array" aca="1" ref="W362" ca="1">_xll.BDH($E$6,"PX LAST",AK362)</f>
        <v>169.44</v>
      </c>
      <c r="X362" s="24">
        <f t="shared" ca="1" si="92"/>
        <v>2.8776637394354765E-2</v>
      </c>
      <c r="Y362" s="24">
        <f t="shared" ca="1" si="93"/>
        <v>1.689723868889792E-2</v>
      </c>
      <c r="Z362" s="24">
        <f t="shared" ca="1" si="94"/>
        <v>4.0254993263022731E-2</v>
      </c>
      <c r="AA362" s="24">
        <f t="shared" ca="1" si="95"/>
        <v>6.4459582198001852E-2</v>
      </c>
      <c r="AB362" s="9" cm="1">
        <f t="array" aca="1" ref="AB362" ca="1">_xll.BDH($E$8,"PX LAST",AG362)</f>
        <v>5859.85</v>
      </c>
      <c r="AC362" s="9" cm="1">
        <f t="array" aca="1" ref="AC362" ca="1">_xll.BDH($E$8,"PX LAST",AH362)</f>
        <v>5695.94</v>
      </c>
      <c r="AD362" s="9" cm="1">
        <f t="array" aca="1" ref="AD362" ca="1">_xll.BDH($E$8,"PX LAST",AI362)</f>
        <v>5762.48</v>
      </c>
      <c r="AE362" s="9" cm="1">
        <f t="array" aca="1" ref="AE362" ca="1">_xll.BDH($E$8,"PX LAST",AJ362)</f>
        <v>5633.09</v>
      </c>
      <c r="AF362" s="9" cm="1">
        <f t="array" aca="1" ref="AF362" ca="1">_xll.BDH($E$8,"PX LAST",AK362)</f>
        <v>5505</v>
      </c>
      <c r="AG362" s="20">
        <f t="shared" ca="1" si="101"/>
        <v>45579</v>
      </c>
      <c r="AH362" s="22">
        <f t="shared" ca="1" si="96"/>
        <v>45572</v>
      </c>
      <c r="AI362" s="22">
        <f t="shared" ca="1" si="97"/>
        <v>45565</v>
      </c>
      <c r="AJ362" s="22">
        <f t="shared" ca="1" si="98"/>
        <v>45551</v>
      </c>
      <c r="AK362" s="22">
        <f t="shared" ca="1" si="99"/>
        <v>45492</v>
      </c>
      <c r="AL362" s="22">
        <f t="shared" ca="1" si="100"/>
        <v>45405</v>
      </c>
    </row>
    <row r="363" spans="4:38" x14ac:dyDescent="0.25">
      <c r="D363" s="6">
        <f ca="1"/>
        <v>45576</v>
      </c>
      <c r="E363" s="28">
        <f ca="1"/>
        <v>174.72</v>
      </c>
      <c r="F363" s="29" cm="1">
        <f t="array" aca="1" ref="F363" ca="1">_xll.FDS($E$7,"P_BETA_LOCIDX("&amp;$AG363&amp;","&amp;$AL363&amp;",,"""&amp;$E$9&amp;""")")</f>
        <v>1.7682796999999999</v>
      </c>
      <c r="G363" s="30">
        <f t="shared" ca="1" si="86"/>
        <v>4.0464085229471092E-2</v>
      </c>
      <c r="H363" s="30">
        <f t="shared" ca="1" si="86"/>
        <v>-5.3847464668952717E-3</v>
      </c>
      <c r="I363" s="30">
        <f t="shared" ca="1" si="86"/>
        <v>3.4096998268030199E-2</v>
      </c>
      <c r="J363" s="30">
        <f t="shared" ca="1" si="86"/>
        <v>-6.6283705084186129E-2</v>
      </c>
      <c r="K363" s="30">
        <f t="shared" ca="1" si="87"/>
        <v>1.9665761260426292E-2</v>
      </c>
      <c r="L363" s="30">
        <f t="shared" ca="1" si="87"/>
        <v>2.3685247690814069E-2</v>
      </c>
      <c r="M363" s="30">
        <f t="shared" ca="1" si="87"/>
        <v>5.9406569137151866E-2</v>
      </c>
      <c r="N363" s="30">
        <f t="shared" ca="1" si="87"/>
        <v>8.6248678814483726E-2</v>
      </c>
      <c r="O363" s="30">
        <f t="shared" ca="1" si="88"/>
        <v>6.0129846489897387E-2</v>
      </c>
      <c r="P363" s="30">
        <f t="shared" ca="1" si="89"/>
        <v>1.8300501223918797E-2</v>
      </c>
      <c r="Q363" s="30">
        <f t="shared" ca="1" si="90"/>
        <v>9.3503567405182064E-2</v>
      </c>
      <c r="R363" s="30">
        <f t="shared" ca="1" si="91"/>
        <v>1.9964973730297597E-2</v>
      </c>
      <c r="S363" s="9" cm="1">
        <f t="array" aca="1" ref="S363" ca="1">_xll.BDH($E$6,"PX LAST",AG363)</f>
        <v>174.72</v>
      </c>
      <c r="T363" s="9" cm="1">
        <f t="array" aca="1" ref="T363" ca="1">_xll.BDH($E$6,"PX LAST",AH363)</f>
        <v>164.81</v>
      </c>
      <c r="U363" s="9" cm="1">
        <f t="array" aca="1" ref="U363" ca="1">_xll.BDH($E$6,"PX LAST",AI363)</f>
        <v>171.58</v>
      </c>
      <c r="V363" s="9" cm="1">
        <f t="array" aca="1" ref="V363" ca="1">_xll.BDH($E$6,"PX LAST",AJ363)</f>
        <v>159.78</v>
      </c>
      <c r="W363" s="9" cm="1">
        <f t="array" aca="1" ref="W363" ca="1">_xll.BDH($E$6,"PX LAST",AK363)</f>
        <v>171.3</v>
      </c>
      <c r="X363" s="24">
        <f t="shared" ca="1" si="92"/>
        <v>1.1121408711770142E-2</v>
      </c>
      <c r="Y363" s="24">
        <f t="shared" ca="1" si="93"/>
        <v>1.3394514278942449E-2</v>
      </c>
      <c r="Z363" s="24">
        <f t="shared" ca="1" si="94"/>
        <v>3.3595685760093197E-2</v>
      </c>
      <c r="AA363" s="24">
        <f t="shared" ca="1" si="95"/>
        <v>4.8775473028663807E-2</v>
      </c>
      <c r="AB363" s="9" cm="1">
        <f t="array" aca="1" ref="AB363" ca="1">_xll.BDH($E$8,"PX LAST",AG363)</f>
        <v>5815.03</v>
      </c>
      <c r="AC363" s="9" cm="1">
        <f t="array" aca="1" ref="AC363" ca="1">_xll.BDH($E$8,"PX LAST",AH363)</f>
        <v>5751.07</v>
      </c>
      <c r="AD363" s="9" cm="1">
        <f t="array" aca="1" ref="AD363" ca="1">_xll.BDH($E$8,"PX LAST",AI363)</f>
        <v>5738.17</v>
      </c>
      <c r="AE363" s="9" cm="1">
        <f t="array" aca="1" ref="AE363" ca="1">_xll.BDH($E$8,"PX LAST",AJ363)</f>
        <v>5626.02</v>
      </c>
      <c r="AF363" s="9" cm="1">
        <f t="array" aca="1" ref="AF363" ca="1">_xll.BDH($E$8,"PX LAST",AK363)</f>
        <v>5544.59</v>
      </c>
      <c r="AG363" s="20">
        <f t="shared" ca="1" si="101"/>
        <v>45576</v>
      </c>
      <c r="AH363" s="22">
        <f t="shared" ca="1" si="96"/>
        <v>45569</v>
      </c>
      <c r="AI363" s="22">
        <f t="shared" ca="1" si="97"/>
        <v>45562</v>
      </c>
      <c r="AJ363" s="22">
        <f t="shared" ca="1" si="98"/>
        <v>45548</v>
      </c>
      <c r="AK363" s="22">
        <f t="shared" ca="1" si="99"/>
        <v>45491</v>
      </c>
      <c r="AL363" s="22">
        <f t="shared" ca="1" si="100"/>
        <v>45404</v>
      </c>
    </row>
    <row r="364" spans="4:38" x14ac:dyDescent="0.25">
      <c r="D364" s="6">
        <f ca="1"/>
        <v>45575</v>
      </c>
      <c r="E364" s="28">
        <f ca="1"/>
        <v>166.75</v>
      </c>
      <c r="F364" s="29" cm="1">
        <f t="array" aca="1" ref="F364" ca="1">_xll.FDS($E$7,"P_BETA_LOCIDX("&amp;$AG364&amp;","&amp;$AL364&amp;",,"""&amp;$E$9&amp;""")")</f>
        <v>1.7228178999999999</v>
      </c>
      <c r="G364" s="30">
        <f t="shared" ca="1" si="86"/>
        <v>-1.0905186743458938E-2</v>
      </c>
      <c r="H364" s="30">
        <f t="shared" ca="1" si="86"/>
        <v>-4.1542086461255068E-2</v>
      </c>
      <c r="I364" s="30">
        <f t="shared" ca="1" si="86"/>
        <v>1.5608216101331368E-2</v>
      </c>
      <c r="J364" s="30">
        <f t="shared" ca="1" si="86"/>
        <v>-0.11033330808671951</v>
      </c>
      <c r="K364" s="30">
        <f t="shared" ca="1" si="87"/>
        <v>2.4213402591781806E-2</v>
      </c>
      <c r="L364" s="30">
        <f t="shared" ca="1" si="87"/>
        <v>1.0399212717718877E-2</v>
      </c>
      <c r="M364" s="30">
        <f t="shared" ca="1" si="87"/>
        <v>5.6739050779697625E-2</v>
      </c>
      <c r="N364" s="30">
        <f t="shared" ca="1" si="87"/>
        <v>5.9124204246036725E-2</v>
      </c>
      <c r="O364" s="30">
        <f t="shared" ca="1" si="88"/>
        <v>1.3308215848322869E-2</v>
      </c>
      <c r="P364" s="30">
        <f t="shared" ca="1" si="89"/>
        <v>-3.1142873743536192E-2</v>
      </c>
      <c r="Q364" s="30">
        <f t="shared" ca="1" si="90"/>
        <v>7.2347266881028993E-2</v>
      </c>
      <c r="R364" s="30">
        <f t="shared" ca="1" si="91"/>
        <v>-5.1209103840682779E-2</v>
      </c>
      <c r="S364" s="9" cm="1">
        <f t="array" aca="1" ref="S364" ca="1">_xll.BDH($E$6,"PX LAST",AG364)</f>
        <v>166.75</v>
      </c>
      <c r="T364" s="9" cm="1">
        <f t="array" aca="1" ref="T364" ca="1">_xll.BDH($E$6,"PX LAST",AH364)</f>
        <v>164.56</v>
      </c>
      <c r="U364" s="9" cm="1">
        <f t="array" aca="1" ref="U364" ca="1">_xll.BDH($E$6,"PX LAST",AI364)</f>
        <v>172.11</v>
      </c>
      <c r="V364" s="9" cm="1">
        <f t="array" aca="1" ref="V364" ca="1">_xll.BDH($E$6,"PX LAST",AJ364)</f>
        <v>155.5</v>
      </c>
      <c r="W364" s="9" cm="1">
        <f t="array" aca="1" ref="W364" ca="1">_xll.BDH($E$6,"PX LAST",AK364)</f>
        <v>175.75</v>
      </c>
      <c r="X364" s="24">
        <f t="shared" ca="1" si="92"/>
        <v>1.4054533907374545E-2</v>
      </c>
      <c r="Y364" s="24">
        <f t="shared" ca="1" si="93"/>
        <v>6.0361647726778767E-3</v>
      </c>
      <c r="Z364" s="24">
        <f t="shared" ca="1" si="94"/>
        <v>3.2933864211474484E-2</v>
      </c>
      <c r="AA364" s="24">
        <f t="shared" ca="1" si="95"/>
        <v>3.4318313181002313E-2</v>
      </c>
      <c r="AB364" s="9" cm="1">
        <f t="array" aca="1" ref="AB364" ca="1">_xll.BDH($E$8,"PX LAST",AG364)</f>
        <v>5780.05</v>
      </c>
      <c r="AC364" s="9" cm="1">
        <f t="array" aca="1" ref="AC364" ca="1">_xll.BDH($E$8,"PX LAST",AH364)</f>
        <v>5699.94</v>
      </c>
      <c r="AD364" s="9" cm="1">
        <f t="array" aca="1" ref="AD364" ca="1">_xll.BDH($E$8,"PX LAST",AI364)</f>
        <v>5745.37</v>
      </c>
      <c r="AE364" s="9" cm="1">
        <f t="array" aca="1" ref="AE364" ca="1">_xll.BDH($E$8,"PX LAST",AJ364)</f>
        <v>5595.76</v>
      </c>
      <c r="AF364" s="9" cm="1">
        <f t="array" aca="1" ref="AF364" ca="1">_xll.BDH($E$8,"PX LAST",AK364)</f>
        <v>5588.27</v>
      </c>
      <c r="AG364" s="20">
        <f t="shared" ca="1" si="101"/>
        <v>45575</v>
      </c>
      <c r="AH364" s="22">
        <f t="shared" ca="1" si="96"/>
        <v>45568</v>
      </c>
      <c r="AI364" s="22">
        <f t="shared" ca="1" si="97"/>
        <v>45561</v>
      </c>
      <c r="AJ364" s="22">
        <f t="shared" ca="1" si="98"/>
        <v>45547</v>
      </c>
      <c r="AK364" s="22">
        <f t="shared" ca="1" si="99"/>
        <v>45490</v>
      </c>
      <c r="AL364" s="22">
        <f t="shared" ca="1" si="100"/>
        <v>45401</v>
      </c>
    </row>
    <row r="365" spans="4:38" x14ac:dyDescent="0.25">
      <c r="D365" s="6">
        <f ca="1"/>
        <v>45574</v>
      </c>
      <c r="E365" s="28">
        <f ca="1"/>
        <v>166.6</v>
      </c>
      <c r="F365" s="29" cm="1">
        <f t="array" aca="1" ref="F365" ca="1">_xll.FDS($E$7,"P_BETA_LOCIDX("&amp;$AG365&amp;","&amp;$AL365&amp;",,"""&amp;$E$9&amp;""")")</f>
        <v>1.7205634000000001</v>
      </c>
      <c r="G365" s="30">
        <f t="shared" ca="1" si="86"/>
        <v>-3.0056241673082858E-2</v>
      </c>
      <c r="H365" s="30">
        <f t="shared" ca="1" si="86"/>
        <v>-3.3566580690213774E-4</v>
      </c>
      <c r="I365" s="30">
        <f t="shared" ca="1" si="86"/>
        <v>2.596944063245496E-3</v>
      </c>
      <c r="J365" s="30">
        <f t="shared" ca="1" si="86"/>
        <v>-0.12871132344350311</v>
      </c>
      <c r="K365" s="30">
        <f t="shared" ca="1" si="87"/>
        <v>2.4861281381687313E-2</v>
      </c>
      <c r="L365" s="30">
        <f t="shared" ca="1" si="87"/>
        <v>2.0981380442692262E-2</v>
      </c>
      <c r="M365" s="30">
        <f t="shared" ca="1" si="87"/>
        <v>7.369997434233623E-2</v>
      </c>
      <c r="N365" s="30">
        <f t="shared" ca="1" si="87"/>
        <v>3.7901456602202017E-2</v>
      </c>
      <c r="O365" s="30">
        <f t="shared" ca="1" si="88"/>
        <v>-5.194960291395545E-3</v>
      </c>
      <c r="P365" s="30">
        <f t="shared" ca="1" si="89"/>
        <v>2.0645714635790124E-2</v>
      </c>
      <c r="Q365" s="30">
        <f t="shared" ca="1" si="90"/>
        <v>7.6296918405581726E-2</v>
      </c>
      <c r="R365" s="30">
        <f t="shared" ca="1" si="91"/>
        <v>-9.0809866841301101E-2</v>
      </c>
      <c r="S365" s="9" cm="1">
        <f t="array" aca="1" ref="S365" ca="1">_xll.BDH($E$6,"PX LAST",AG365)</f>
        <v>166.6</v>
      </c>
      <c r="T365" s="9" cm="1">
        <f t="array" aca="1" ref="T365" ca="1">_xll.BDH($E$6,"PX LAST",AH365)</f>
        <v>167.47</v>
      </c>
      <c r="U365" s="9" cm="1">
        <f t="array" aca="1" ref="U365" ca="1">_xll.BDH($E$6,"PX LAST",AI365)</f>
        <v>163.22999999999999</v>
      </c>
      <c r="V365" s="9" cm="1">
        <f t="array" aca="1" ref="V365" ca="1">_xll.BDH($E$6,"PX LAST",AJ365)</f>
        <v>154.79</v>
      </c>
      <c r="W365" s="9" cm="1">
        <f t="array" aca="1" ref="W365" ca="1">_xll.BDH($E$6,"PX LAST",AK365)</f>
        <v>183.24</v>
      </c>
      <c r="X365" s="24">
        <f t="shared" ca="1" si="92"/>
        <v>1.4449500310007357E-2</v>
      </c>
      <c r="Y365" s="24">
        <f t="shared" ca="1" si="93"/>
        <v>1.2194482599532375E-2</v>
      </c>
      <c r="Z365" s="24">
        <f t="shared" ca="1" si="94"/>
        <v>4.2834791407475148E-2</v>
      </c>
      <c r="AA365" s="24">
        <f t="shared" ca="1" si="95"/>
        <v>2.2028514963297496E-2</v>
      </c>
      <c r="AB365" s="9" cm="1">
        <f t="array" aca="1" ref="AB365" ca="1">_xll.BDH($E$8,"PX LAST",AG365)</f>
        <v>5792.04</v>
      </c>
      <c r="AC365" s="9" cm="1">
        <f t="array" aca="1" ref="AC365" ca="1">_xll.BDH($E$8,"PX LAST",AH365)</f>
        <v>5709.54</v>
      </c>
      <c r="AD365" s="9" cm="1">
        <f t="array" aca="1" ref="AD365" ca="1">_xll.BDH($E$8,"PX LAST",AI365)</f>
        <v>5722.26</v>
      </c>
      <c r="AE365" s="9" cm="1">
        <f t="array" aca="1" ref="AE365" ca="1">_xll.BDH($E$8,"PX LAST",AJ365)</f>
        <v>5554.13</v>
      </c>
      <c r="AF365" s="9" cm="1">
        <f t="array" aca="1" ref="AF365" ca="1">_xll.BDH($E$8,"PX LAST",AK365)</f>
        <v>5667.2</v>
      </c>
      <c r="AG365" s="20">
        <f t="shared" ca="1" si="101"/>
        <v>45574</v>
      </c>
      <c r="AH365" s="22">
        <f t="shared" ca="1" si="96"/>
        <v>45567</v>
      </c>
      <c r="AI365" s="22">
        <f t="shared" ca="1" si="97"/>
        <v>45560</v>
      </c>
      <c r="AJ365" s="22">
        <f t="shared" ca="1" si="98"/>
        <v>45546</v>
      </c>
      <c r="AK365" s="22">
        <f t="shared" ca="1" si="99"/>
        <v>45489</v>
      </c>
      <c r="AL365" s="22">
        <f t="shared" ca="1" si="100"/>
        <v>45400</v>
      </c>
    </row>
    <row r="366" spans="4:38" x14ac:dyDescent="0.25">
      <c r="D366" s="6">
        <f ca="1"/>
        <v>45573</v>
      </c>
      <c r="E366" s="28">
        <f ca="1"/>
        <v>164.69</v>
      </c>
      <c r="F366" s="29" cm="1">
        <f t="array" aca="1" ref="F366" ca="1">_xll.FDS($E$7,"P_BETA_LOCIDX("&amp;$AG366&amp;","&amp;$AL366&amp;",,"""&amp;$E$9&amp;""")")</f>
        <v>1.7232130999999999</v>
      </c>
      <c r="G366" s="30">
        <f t="shared" ca="1" si="86"/>
        <v>-2.3485220078503323E-2</v>
      </c>
      <c r="H366" s="30">
        <f t="shared" ca="1" si="86"/>
        <v>-2.5347987418412394E-2</v>
      </c>
      <c r="I366" s="30">
        <f t="shared" ca="1" si="86"/>
        <v>-3.1120510574569882E-3</v>
      </c>
      <c r="J366" s="30">
        <f t="shared" ca="1" si="86"/>
        <v>-9.1177600206345022E-2</v>
      </c>
      <c r="K366" s="30">
        <f t="shared" ca="1" si="87"/>
        <v>1.2792602790103002E-2</v>
      </c>
      <c r="L366" s="30">
        <f t="shared" ca="1" si="87"/>
        <v>5.4705845736822308E-3</v>
      </c>
      <c r="M366" s="30">
        <f t="shared" ca="1" si="87"/>
        <v>8.0150832039734221E-2</v>
      </c>
      <c r="N366" s="30">
        <f t="shared" ca="1" si="87"/>
        <v>3.6693732942594821E-2</v>
      </c>
      <c r="O366" s="30">
        <f t="shared" ca="1" si="88"/>
        <v>-1.0692617288400319E-2</v>
      </c>
      <c r="P366" s="30">
        <f t="shared" ca="1" si="89"/>
        <v>-1.9877402844730163E-2</v>
      </c>
      <c r="Q366" s="30">
        <f t="shared" ca="1" si="90"/>
        <v>7.7038780982277233E-2</v>
      </c>
      <c r="R366" s="30">
        <f t="shared" ca="1" si="91"/>
        <v>-5.4483867263750207E-2</v>
      </c>
      <c r="S366" s="9" cm="1">
        <f t="array" aca="1" ref="S366" ca="1">_xll.BDH($E$6,"PX LAST",AG366)</f>
        <v>164.69</v>
      </c>
      <c r="T366" s="9" cm="1">
        <f t="array" aca="1" ref="T366" ca="1">_xll.BDH($E$6,"PX LAST",AH366)</f>
        <v>166.47</v>
      </c>
      <c r="U366" s="9" cm="1">
        <f t="array" aca="1" ref="U366" ca="1">_xll.BDH($E$6,"PX LAST",AI366)</f>
        <v>168.03</v>
      </c>
      <c r="V366" s="9" cm="1">
        <f t="array" aca="1" ref="V366" ca="1">_xll.BDH($E$6,"PX LAST",AJ366)</f>
        <v>152.91</v>
      </c>
      <c r="W366" s="9" cm="1">
        <f t="array" aca="1" ref="W366" ca="1">_xll.BDH($E$6,"PX LAST",AK366)</f>
        <v>174.18</v>
      </c>
      <c r="X366" s="24">
        <f t="shared" ca="1" si="92"/>
        <v>7.4236917013357218E-3</v>
      </c>
      <c r="Y366" s="24">
        <f t="shared" ca="1" si="93"/>
        <v>3.1746419370199952E-3</v>
      </c>
      <c r="Z366" s="24">
        <f t="shared" ca="1" si="94"/>
        <v>4.651243194456578E-2</v>
      </c>
      <c r="AA366" s="24">
        <f t="shared" ca="1" si="95"/>
        <v>2.1293787136712705E-2</v>
      </c>
      <c r="AB366" s="9" cm="1">
        <f t="array" aca="1" ref="AB366" ca="1">_xll.BDH($E$8,"PX LAST",AG366)</f>
        <v>5751.13</v>
      </c>
      <c r="AC366" s="9" cm="1">
        <f t="array" aca="1" ref="AC366" ca="1">_xll.BDH($E$8,"PX LAST",AH366)</f>
        <v>5708.75</v>
      </c>
      <c r="AD366" s="9" cm="1">
        <f t="array" aca="1" ref="AD366" ca="1">_xll.BDH($E$8,"PX LAST",AI366)</f>
        <v>5732.93</v>
      </c>
      <c r="AE366" s="9" cm="1">
        <f t="array" aca="1" ref="AE366" ca="1">_xll.BDH($E$8,"PX LAST",AJ366)</f>
        <v>5495.52</v>
      </c>
      <c r="AF366" s="9" cm="1">
        <f t="array" aca="1" ref="AF366" ca="1">_xll.BDH($E$8,"PX LAST",AK366)</f>
        <v>5631.22</v>
      </c>
      <c r="AG366" s="20">
        <f t="shared" ca="1" si="101"/>
        <v>45573</v>
      </c>
      <c r="AH366" s="22">
        <f t="shared" ca="1" si="96"/>
        <v>45566</v>
      </c>
      <c r="AI366" s="22">
        <f t="shared" ca="1" si="97"/>
        <v>45559</v>
      </c>
      <c r="AJ366" s="22">
        <f t="shared" ca="1" si="98"/>
        <v>45545</v>
      </c>
      <c r="AK366" s="22">
        <f t="shared" ca="1" si="99"/>
        <v>45488</v>
      </c>
      <c r="AL366" s="22">
        <f t="shared" ca="1" si="100"/>
        <v>45399</v>
      </c>
    </row>
    <row r="367" spans="4:38" x14ac:dyDescent="0.25">
      <c r="D367" s="6">
        <f ca="1"/>
        <v>45572</v>
      </c>
      <c r="E367" s="28">
        <f ca="1"/>
        <v>164.11</v>
      </c>
      <c r="F367" s="29" cm="1">
        <f t="array" aca="1" ref="F367" ca="1">_xll.FDS($E$7,"P_BETA_LOCIDX("&amp;$AG367&amp;","&amp;$AL367&amp;",,"""&amp;$E$9&amp;""")")</f>
        <v>1.7455696999999999</v>
      </c>
      <c r="G367" s="30">
        <f t="shared" ca="1" si="86"/>
        <v>-2.8821687224997034E-3</v>
      </c>
      <c r="H367" s="30">
        <f t="shared" ca="1" si="86"/>
        <v>-1.4907867508398009E-2</v>
      </c>
      <c r="I367" s="30">
        <f t="shared" ca="1" si="86"/>
        <v>1.1424375895530692E-3</v>
      </c>
      <c r="J367" s="30">
        <f t="shared" ca="1" si="86"/>
        <v>-6.1229784257379356E-2</v>
      </c>
      <c r="K367" s="30">
        <f t="shared" ca="1" si="87"/>
        <v>-2.0156288236661921E-2</v>
      </c>
      <c r="L367" s="30">
        <f t="shared" ca="1" si="87"/>
        <v>-6.9077133463435469E-3</v>
      </c>
      <c r="M367" s="30">
        <f t="shared" ca="1" si="87"/>
        <v>7.1752436887434434E-2</v>
      </c>
      <c r="N367" s="30">
        <f t="shared" ca="1" si="87"/>
        <v>2.5051949054466401E-2</v>
      </c>
      <c r="O367" s="30">
        <f t="shared" ca="1" si="88"/>
        <v>-2.3038456959161624E-2</v>
      </c>
      <c r="P367" s="30">
        <f t="shared" ca="1" si="89"/>
        <v>-2.1815580854741556E-2</v>
      </c>
      <c r="Q367" s="30">
        <f t="shared" ca="1" si="90"/>
        <v>7.2894874476987503E-2</v>
      </c>
      <c r="R367" s="30">
        <f t="shared" ca="1" si="91"/>
        <v>-3.6177835202912956E-2</v>
      </c>
      <c r="S367" s="9" cm="1">
        <f t="array" aca="1" ref="S367" ca="1">_xll.BDH($E$6,"PX LAST",AG367)</f>
        <v>164.11</v>
      </c>
      <c r="T367" s="9" cm="1">
        <f t="array" aca="1" ref="T367" ca="1">_xll.BDH($E$6,"PX LAST",AH367)</f>
        <v>167.98</v>
      </c>
      <c r="U367" s="9" cm="1">
        <f t="array" aca="1" ref="U367" ca="1">_xll.BDH($E$6,"PX LAST",AI367)</f>
        <v>167.77</v>
      </c>
      <c r="V367" s="9" cm="1">
        <f t="array" aca="1" ref="V367" ca="1">_xll.BDH($E$6,"PX LAST",AJ367)</f>
        <v>152.96</v>
      </c>
      <c r="W367" s="9" cm="1">
        <f t="array" aca="1" ref="W367" ca="1">_xll.BDH($E$6,"PX LAST",AK367)</f>
        <v>170.27</v>
      </c>
      <c r="X367" s="24">
        <f t="shared" ca="1" si="92"/>
        <v>-1.1547111660257348E-2</v>
      </c>
      <c r="Y367" s="24">
        <f t="shared" ca="1" si="93"/>
        <v>-3.9572830270504511E-3</v>
      </c>
      <c r="Z367" s="24">
        <f t="shared" ca="1" si="94"/>
        <v>4.1105455077178776E-2</v>
      </c>
      <c r="AA367" s="24">
        <f t="shared" ca="1" si="95"/>
        <v>1.4351732305198928E-2</v>
      </c>
      <c r="AB367" s="9" cm="1">
        <f t="array" aca="1" ref="AB367" ca="1">_xll.BDH($E$8,"PX LAST",AG367)</f>
        <v>5695.94</v>
      </c>
      <c r="AC367" s="9" cm="1">
        <f t="array" aca="1" ref="AC367" ca="1">_xll.BDH($E$8,"PX LAST",AH367)</f>
        <v>5762.48</v>
      </c>
      <c r="AD367" s="9" cm="1">
        <f t="array" aca="1" ref="AD367" ca="1">_xll.BDH($E$8,"PX LAST",AI367)</f>
        <v>5718.57</v>
      </c>
      <c r="AE367" s="9" cm="1">
        <f t="array" aca="1" ref="AE367" ca="1">_xll.BDH($E$8,"PX LAST",AJ367)</f>
        <v>5471.05</v>
      </c>
      <c r="AF367" s="9" cm="1">
        <f t="array" aca="1" ref="AF367" ca="1">_xll.BDH($E$8,"PX LAST",AK367)</f>
        <v>5615.35</v>
      </c>
      <c r="AG367" s="20">
        <f t="shared" ca="1" si="101"/>
        <v>45572</v>
      </c>
      <c r="AH367" s="22">
        <f t="shared" ca="1" si="96"/>
        <v>45565</v>
      </c>
      <c r="AI367" s="22">
        <f t="shared" ca="1" si="97"/>
        <v>45558</v>
      </c>
      <c r="AJ367" s="22">
        <f t="shared" ca="1" si="98"/>
        <v>45544</v>
      </c>
      <c r="AK367" s="22">
        <f t="shared" ca="1" si="99"/>
        <v>45485</v>
      </c>
      <c r="AL367" s="22">
        <f t="shared" ca="1" si="100"/>
        <v>45398</v>
      </c>
    </row>
    <row r="368" spans="4:38" x14ac:dyDescent="0.25">
      <c r="D368" s="6">
        <f ca="1"/>
        <v>45569</v>
      </c>
      <c r="E368" s="28">
        <f ca="1"/>
        <v>164.81</v>
      </c>
      <c r="F368" s="29" cm="1">
        <f t="array" aca="1" ref="F368" ca="1">_xll.FDS($E$7,"P_BETA_LOCIDX("&amp;$AG368&amp;","&amp;$AL368&amp;",,"""&amp;$E$9&amp;""")")</f>
        <v>1.7441622999999999</v>
      </c>
      <c r="G368" s="30">
        <f t="shared" ca="1" si="86"/>
        <v>-4.3377870501165254E-2</v>
      </c>
      <c r="H368" s="30">
        <f t="shared" ca="1" si="86"/>
        <v>-3.3536200556279927E-2</v>
      </c>
      <c r="I368" s="30">
        <f t="shared" ca="1" si="86"/>
        <v>-1.0814862810604522E-2</v>
      </c>
      <c r="J368" s="30">
        <f t="shared" ca="1" si="86"/>
        <v>-5.6059440491009513E-2</v>
      </c>
      <c r="K368" s="30">
        <f t="shared" ca="1" si="87"/>
        <v>3.9210573527795811E-3</v>
      </c>
      <c r="L368" s="30">
        <f t="shared" ca="1" si="87"/>
        <v>1.4840160068039452E-2</v>
      </c>
      <c r="M368" s="30">
        <f t="shared" ca="1" si="87"/>
        <v>0.11050125768616338</v>
      </c>
      <c r="N368" s="30">
        <f t="shared" ca="1" si="87"/>
        <v>5.2010612838121015E-2</v>
      </c>
      <c r="O368" s="30">
        <f t="shared" ca="1" si="88"/>
        <v>-3.9456813148385672E-2</v>
      </c>
      <c r="P368" s="30">
        <f t="shared" ca="1" si="89"/>
        <v>-1.8696040488240473E-2</v>
      </c>
      <c r="Q368" s="30">
        <f t="shared" ca="1" si="90"/>
        <v>9.9686394875558859E-2</v>
      </c>
      <c r="R368" s="30">
        <f t="shared" ca="1" si="91"/>
        <v>-4.0488276528884981E-3</v>
      </c>
      <c r="S368" s="9" cm="1">
        <f t="array" aca="1" ref="S368" ca="1">_xll.BDH($E$6,"PX LAST",AG368)</f>
        <v>164.81</v>
      </c>
      <c r="T368" s="9" cm="1">
        <f t="array" aca="1" ref="T368" ca="1">_xll.BDH($E$6,"PX LAST",AH368)</f>
        <v>171.58</v>
      </c>
      <c r="U368" s="9" cm="1">
        <f t="array" aca="1" ref="U368" ca="1">_xll.BDH($E$6,"PX LAST",AI368)</f>
        <v>167.95</v>
      </c>
      <c r="V368" s="9" cm="1">
        <f t="array" aca="1" ref="V368" ca="1">_xll.BDH($E$6,"PX LAST",AJ368)</f>
        <v>149.87</v>
      </c>
      <c r="W368" s="9" cm="1">
        <f t="array" aca="1" ref="W368" ca="1">_xll.BDH($E$6,"PX LAST",AK368)</f>
        <v>165.48</v>
      </c>
      <c r="X368" s="24">
        <f t="shared" ca="1" si="92"/>
        <v>2.2481034894399343E-3</v>
      </c>
      <c r="Y368" s="24">
        <f t="shared" ca="1" si="93"/>
        <v>8.5084742790504375E-3</v>
      </c>
      <c r="Z368" s="24">
        <f t="shared" ca="1" si="94"/>
        <v>6.3354916962809815E-2</v>
      </c>
      <c r="AA368" s="24">
        <f t="shared" ca="1" si="95"/>
        <v>2.9819824014153395E-2</v>
      </c>
      <c r="AB368" s="9" cm="1">
        <f t="array" aca="1" ref="AB368" ca="1">_xll.BDH($E$8,"PX LAST",AG368)</f>
        <v>5751.07</v>
      </c>
      <c r="AC368" s="9" cm="1">
        <f t="array" aca="1" ref="AC368" ca="1">_xll.BDH($E$8,"PX LAST",AH368)</f>
        <v>5738.17</v>
      </c>
      <c r="AD368" s="9" cm="1">
        <f t="array" aca="1" ref="AD368" ca="1">_xll.BDH($E$8,"PX LAST",AI368)</f>
        <v>5702.55</v>
      </c>
      <c r="AE368" s="9" cm="1">
        <f t="array" aca="1" ref="AE368" ca="1">_xll.BDH($E$8,"PX LAST",AJ368)</f>
        <v>5408.42</v>
      </c>
      <c r="AF368" s="9" cm="1">
        <f t="array" aca="1" ref="AF368" ca="1">_xll.BDH($E$8,"PX LAST",AK368)</f>
        <v>5584.54</v>
      </c>
      <c r="AG368" s="20">
        <f t="shared" ca="1" si="101"/>
        <v>45569</v>
      </c>
      <c r="AH368" s="22">
        <f t="shared" ca="1" si="96"/>
        <v>45562</v>
      </c>
      <c r="AI368" s="22">
        <f t="shared" ca="1" si="97"/>
        <v>45555</v>
      </c>
      <c r="AJ368" s="22">
        <f t="shared" ca="1" si="98"/>
        <v>45541</v>
      </c>
      <c r="AK368" s="22">
        <f t="shared" ca="1" si="99"/>
        <v>45484</v>
      </c>
      <c r="AL368" s="22">
        <f t="shared" ca="1" si="100"/>
        <v>45397</v>
      </c>
    </row>
    <row r="369" spans="4:38" x14ac:dyDescent="0.25">
      <c r="D369" s="6">
        <f ca="1"/>
        <v>45568</v>
      </c>
      <c r="E369" s="28">
        <f ca="1"/>
        <v>164.56</v>
      </c>
      <c r="F369" s="29" cm="1">
        <f t="array" aca="1" ref="F369" ca="1">_xll.FDS($E$7,"P_BETA_LOCIDX("&amp;$AG369&amp;","&amp;$AL369&amp;",,"""&amp;$E$9&amp;""")")</f>
        <v>1.7513529000000001</v>
      </c>
      <c r="G369" s="30">
        <f t="shared" ca="1" si="86"/>
        <v>-3.0018932405030375E-2</v>
      </c>
      <c r="H369" s="30">
        <f t="shared" ca="1" si="86"/>
        <v>-4.2879237011135427E-2</v>
      </c>
      <c r="I369" s="30">
        <f t="shared" ca="1" si="86"/>
        <v>1.9947306571526005E-2</v>
      </c>
      <c r="J369" s="30">
        <f t="shared" ca="1" si="86"/>
        <v>1.5680753315760153E-2</v>
      </c>
      <c r="K369" s="30">
        <f t="shared" ca="1" si="87"/>
        <v>-1.384836176730133E-2</v>
      </c>
      <c r="L369" s="30">
        <f t="shared" ca="1" si="87"/>
        <v>-4.1993431035208381E-3</v>
      </c>
      <c r="M369" s="30">
        <f t="shared" ca="1" si="87"/>
        <v>6.254183959345215E-2</v>
      </c>
      <c r="N369" s="30">
        <f t="shared" ca="1" si="87"/>
        <v>2.0526034669882988E-2</v>
      </c>
      <c r="O369" s="30">
        <f t="shared" ca="1" si="88"/>
        <v>-4.3867294172331706E-2</v>
      </c>
      <c r="P369" s="30">
        <f t="shared" ca="1" si="89"/>
        <v>-4.7078580114656265E-2</v>
      </c>
      <c r="Q369" s="30">
        <f t="shared" ca="1" si="90"/>
        <v>8.2489146164978155E-2</v>
      </c>
      <c r="R369" s="30">
        <f t="shared" ca="1" si="91"/>
        <v>3.6206787985643141E-2</v>
      </c>
      <c r="S369" s="9" cm="1">
        <f t="array" aca="1" ref="S369" ca="1">_xll.BDH($E$6,"PX LAST",AG369)</f>
        <v>164.56</v>
      </c>
      <c r="T369" s="9" cm="1">
        <f t="array" aca="1" ref="T369" ca="1">_xll.BDH($E$6,"PX LAST",AH369)</f>
        <v>172.11</v>
      </c>
      <c r="U369" s="9" cm="1">
        <f t="array" aca="1" ref="U369" ca="1">_xll.BDH($E$6,"PX LAST",AI369)</f>
        <v>172.69</v>
      </c>
      <c r="V369" s="9" cm="1">
        <f t="array" aca="1" ref="V369" ca="1">_xll.BDH($E$6,"PX LAST",AJ369)</f>
        <v>152.02000000000001</v>
      </c>
      <c r="W369" s="9" cm="1">
        <f t="array" aca="1" ref="W369" ca="1">_xll.BDH($E$6,"PX LAST",AK369)</f>
        <v>158.81</v>
      </c>
      <c r="X369" s="24">
        <f t="shared" ca="1" si="92"/>
        <v>-7.9072366096526459E-3</v>
      </c>
      <c r="Y369" s="24">
        <f t="shared" ca="1" si="93"/>
        <v>-2.3977709481172171E-3</v>
      </c>
      <c r="Z369" s="24">
        <f t="shared" ca="1" si="94"/>
        <v>3.5710586708967762E-2</v>
      </c>
      <c r="AA369" s="24">
        <f t="shared" ca="1" si="95"/>
        <v>1.172010202505902E-2</v>
      </c>
      <c r="AB369" s="9" cm="1">
        <f t="array" aca="1" ref="AB369" ca="1">_xll.BDH($E$8,"PX LAST",AG369)</f>
        <v>5699.94</v>
      </c>
      <c r="AC369" s="9" cm="1">
        <f t="array" aca="1" ref="AC369" ca="1">_xll.BDH($E$8,"PX LAST",AH369)</f>
        <v>5745.37</v>
      </c>
      <c r="AD369" s="9" cm="1">
        <f t="array" aca="1" ref="AD369" ca="1">_xll.BDH($E$8,"PX LAST",AI369)</f>
        <v>5713.64</v>
      </c>
      <c r="AE369" s="9" cm="1">
        <f t="array" aca="1" ref="AE369" ca="1">_xll.BDH($E$8,"PX LAST",AJ369)</f>
        <v>5503.41</v>
      </c>
      <c r="AF369" s="9" cm="1">
        <f t="array" aca="1" ref="AF369" ca="1">_xll.BDH($E$8,"PX LAST",AK369)</f>
        <v>5633.91</v>
      </c>
      <c r="AG369" s="20">
        <f t="shared" ca="1" si="101"/>
        <v>45568</v>
      </c>
      <c r="AH369" s="22">
        <f t="shared" ca="1" si="96"/>
        <v>45561</v>
      </c>
      <c r="AI369" s="22">
        <f t="shared" ca="1" si="97"/>
        <v>45554</v>
      </c>
      <c r="AJ369" s="22">
        <f t="shared" ca="1" si="98"/>
        <v>45540</v>
      </c>
      <c r="AK369" s="22">
        <f t="shared" ca="1" si="99"/>
        <v>45483</v>
      </c>
      <c r="AL369" s="22">
        <f t="shared" ca="1" si="100"/>
        <v>45394</v>
      </c>
    </row>
    <row r="370" spans="4:38" x14ac:dyDescent="0.25">
      <c r="D370" s="6">
        <f ca="1"/>
        <v>45567</v>
      </c>
      <c r="E370" s="28">
        <f ca="1"/>
        <v>167.47</v>
      </c>
      <c r="F370" s="29" cm="1">
        <f t="array" aca="1" ref="F370" ca="1">_xll.FDS($E$7,"P_BETA_LOCIDX("&amp;$AG370&amp;","&amp;$AL370&amp;",,"""&amp;$E$9&amp;""")")</f>
        <v>1.731663</v>
      </c>
      <c r="G370" s="30">
        <f t="shared" ca="1" si="86"/>
        <v>2.9824927352945136E-2</v>
      </c>
      <c r="H370" s="30">
        <f t="shared" ca="1" si="86"/>
        <v>-2.3455023870143529E-2</v>
      </c>
      <c r="I370" s="30">
        <f t="shared" ca="1" si="86"/>
        <v>2.9019714953942691E-2</v>
      </c>
      <c r="J370" s="30">
        <f t="shared" ca="1" si="86"/>
        <v>4.5460680381936069E-2</v>
      </c>
      <c r="K370" s="30">
        <f t="shared" ca="1" si="87"/>
        <v>-3.8493101257197231E-3</v>
      </c>
      <c r="L370" s="30">
        <f t="shared" ca="1" si="87"/>
        <v>2.8134368761858593E-2</v>
      </c>
      <c r="M370" s="30">
        <f t="shared" ca="1" si="87"/>
        <v>5.9437323912559112E-2</v>
      </c>
      <c r="N370" s="30">
        <f t="shared" ca="1" si="87"/>
        <v>4.1160134567454043E-2</v>
      </c>
      <c r="O370" s="30">
        <f t="shared" ca="1" si="88"/>
        <v>2.5975617227225412E-2</v>
      </c>
      <c r="P370" s="30">
        <f t="shared" ca="1" si="89"/>
        <v>4.6793448917150648E-3</v>
      </c>
      <c r="Q370" s="30">
        <f t="shared" ca="1" si="90"/>
        <v>8.8457038866501803E-2</v>
      </c>
      <c r="R370" s="30">
        <f t="shared" ca="1" si="91"/>
        <v>8.6620814949390113E-2</v>
      </c>
      <c r="S370" s="9" cm="1">
        <f t="array" aca="1" ref="S370" ca="1">_xll.BDH($E$6,"PX LAST",AG370)</f>
        <v>167.47</v>
      </c>
      <c r="T370" s="9" cm="1">
        <f t="array" aca="1" ref="T370" ca="1">_xll.BDH($E$6,"PX LAST",AH370)</f>
        <v>163.22999999999999</v>
      </c>
      <c r="U370" s="9" cm="1">
        <f t="array" aca="1" ref="U370" ca="1">_xll.BDH($E$6,"PX LAST",AI370)</f>
        <v>166.69</v>
      </c>
      <c r="V370" s="9" cm="1">
        <f t="array" aca="1" ref="V370" ca="1">_xll.BDH($E$6,"PX LAST",AJ370)</f>
        <v>153.86000000000001</v>
      </c>
      <c r="W370" s="9" cm="1">
        <f t="array" aca="1" ref="W370" ca="1">_xll.BDH($E$6,"PX LAST",AK370)</f>
        <v>154.12</v>
      </c>
      <c r="X370" s="24">
        <f t="shared" ca="1" si="92"/>
        <v>-2.2228979459165688E-3</v>
      </c>
      <c r="Y370" s="24">
        <f t="shared" ca="1" si="93"/>
        <v>1.6247023099678515E-2</v>
      </c>
      <c r="Z370" s="24">
        <f t="shared" ca="1" si="94"/>
        <v>3.4323840096230684E-2</v>
      </c>
      <c r="AA370" s="24">
        <f t="shared" ca="1" si="95"/>
        <v>2.376913670122538E-2</v>
      </c>
      <c r="AB370" s="9" cm="1">
        <f t="array" aca="1" ref="AB370" ca="1">_xll.BDH($E$8,"PX LAST",AG370)</f>
        <v>5709.54</v>
      </c>
      <c r="AC370" s="9" cm="1">
        <f t="array" aca="1" ref="AC370" ca="1">_xll.BDH($E$8,"PX LAST",AH370)</f>
        <v>5722.26</v>
      </c>
      <c r="AD370" s="9" cm="1">
        <f t="array" aca="1" ref="AD370" ca="1">_xll.BDH($E$8,"PX LAST",AI370)</f>
        <v>5618.26</v>
      </c>
      <c r="AE370" s="9" cm="1">
        <f t="array" aca="1" ref="AE370" ca="1">_xll.BDH($E$8,"PX LAST",AJ370)</f>
        <v>5520.07</v>
      </c>
      <c r="AF370" s="9" cm="1">
        <f t="array" aca="1" ref="AF370" ca="1">_xll.BDH($E$8,"PX LAST",AK370)</f>
        <v>5576.98</v>
      </c>
      <c r="AG370" s="20">
        <f t="shared" ca="1" si="101"/>
        <v>45567</v>
      </c>
      <c r="AH370" s="22">
        <f t="shared" ca="1" si="96"/>
        <v>45560</v>
      </c>
      <c r="AI370" s="22">
        <f t="shared" ca="1" si="97"/>
        <v>45553</v>
      </c>
      <c r="AJ370" s="22">
        <f t="shared" ca="1" si="98"/>
        <v>45539</v>
      </c>
      <c r="AK370" s="22">
        <f t="shared" ca="1" si="99"/>
        <v>45482</v>
      </c>
      <c r="AL370" s="22">
        <f t="shared" ca="1" si="100"/>
        <v>45393</v>
      </c>
    </row>
    <row r="371" spans="4:38" x14ac:dyDescent="0.25">
      <c r="D371" s="6">
        <f ca="1"/>
        <v>45566</v>
      </c>
      <c r="E371" s="28">
        <f ca="1"/>
        <v>166.47</v>
      </c>
      <c r="F371" s="29" cm="1">
        <f t="array" aca="1" ref="F371" ca="1">_xll.FDS($E$7,"P_BETA_LOCIDX("&amp;$AG371&amp;","&amp;$AL371&amp;",,"""&amp;$E$9&amp;""")")</f>
        <v>1.7505116000000001</v>
      </c>
      <c r="G371" s="30">
        <f t="shared" ca="1" si="86"/>
        <v>-1.9008561198710682E-3</v>
      </c>
      <c r="H371" s="30">
        <f t="shared" ca="1" si="86"/>
        <v>-2.9962615211298397E-2</v>
      </c>
      <c r="I371" s="30">
        <f t="shared" ca="1" si="86"/>
        <v>1.5061618189036556E-2</v>
      </c>
      <c r="J371" s="30">
        <f t="shared" ca="1" si="86"/>
        <v>1.9931559323054113E-2</v>
      </c>
      <c r="K371" s="30">
        <f t="shared" ca="1" si="87"/>
        <v>-7.3832002986256541E-3</v>
      </c>
      <c r="L371" s="30">
        <f t="shared" ca="1" si="87"/>
        <v>2.3042612825090684E-2</v>
      </c>
      <c r="M371" s="30">
        <f t="shared" ca="1" si="87"/>
        <v>5.6932714994040241E-2</v>
      </c>
      <c r="N371" s="30">
        <f t="shared" ca="1" si="87"/>
        <v>4.2688126621028735E-2</v>
      </c>
      <c r="O371" s="30">
        <f t="shared" ca="1" si="88"/>
        <v>-9.2840564184967223E-3</v>
      </c>
      <c r="P371" s="30">
        <f t="shared" ca="1" si="89"/>
        <v>-6.9200023862077131E-3</v>
      </c>
      <c r="Q371" s="30">
        <f t="shared" ca="1" si="90"/>
        <v>7.1994333183076797E-2</v>
      </c>
      <c r="R371" s="30">
        <f t="shared" ca="1" si="91"/>
        <v>6.2619685944082848E-2</v>
      </c>
      <c r="S371" s="9" cm="1">
        <f t="array" aca="1" ref="S371" ca="1">_xll.BDH($E$6,"PX LAST",AG371)</f>
        <v>166.47</v>
      </c>
      <c r="T371" s="9" cm="1">
        <f t="array" aca="1" ref="T371" ca="1">_xll.BDH($E$6,"PX LAST",AH371)</f>
        <v>168.03</v>
      </c>
      <c r="U371" s="9" cm="1">
        <f t="array" aca="1" ref="U371" ca="1">_xll.BDH($E$6,"PX LAST",AI371)</f>
        <v>167.63</v>
      </c>
      <c r="V371" s="9" cm="1">
        <f t="array" aca="1" ref="V371" ca="1">_xll.BDH($E$6,"PX LAST",AJ371)</f>
        <v>155.29</v>
      </c>
      <c r="W371" s="9" cm="1">
        <f t="array" aca="1" ref="W371" ca="1">_xll.BDH($E$6,"PX LAST",AK371)</f>
        <v>156.66</v>
      </c>
      <c r="X371" s="24">
        <f t="shared" ca="1" si="92"/>
        <v>-4.2177385734694095E-3</v>
      </c>
      <c r="Y371" s="24">
        <f t="shared" ca="1" si="93"/>
        <v>1.3163359114610085E-2</v>
      </c>
      <c r="Z371" s="24">
        <f t="shared" ca="1" si="94"/>
        <v>3.2523471991868114E-2</v>
      </c>
      <c r="AA371" s="24">
        <f t="shared" ca="1" si="95"/>
        <v>2.4386086113927341E-2</v>
      </c>
      <c r="AB371" s="9" cm="1">
        <f t="array" aca="1" ref="AB371" ca="1">_xll.BDH($E$8,"PX LAST",AG371)</f>
        <v>5708.75</v>
      </c>
      <c r="AC371" s="9" cm="1">
        <f t="array" aca="1" ref="AC371" ca="1">_xll.BDH($E$8,"PX LAST",AH371)</f>
        <v>5732.93</v>
      </c>
      <c r="AD371" s="9" cm="1">
        <f t="array" aca="1" ref="AD371" ca="1">_xll.BDH($E$8,"PX LAST",AI371)</f>
        <v>5634.58</v>
      </c>
      <c r="AE371" s="9" cm="1">
        <f t="array" aca="1" ref="AE371" ca="1">_xll.BDH($E$8,"PX LAST",AJ371)</f>
        <v>5528.93</v>
      </c>
      <c r="AF371" s="9" cm="1">
        <f t="array" aca="1" ref="AF371" ca="1">_xll.BDH($E$8,"PX LAST",AK371)</f>
        <v>5572.85</v>
      </c>
      <c r="AG371" s="20">
        <f t="shared" ca="1" si="101"/>
        <v>45566</v>
      </c>
      <c r="AH371" s="22">
        <f t="shared" ca="1" si="96"/>
        <v>45559</v>
      </c>
      <c r="AI371" s="22">
        <f t="shared" ca="1" si="97"/>
        <v>45552</v>
      </c>
      <c r="AJ371" s="22">
        <f t="shared" ca="1" si="98"/>
        <v>45538</v>
      </c>
      <c r="AK371" s="22">
        <f t="shared" ca="1" si="99"/>
        <v>45481</v>
      </c>
      <c r="AL371" s="22">
        <f t="shared" ca="1" si="100"/>
        <v>45392</v>
      </c>
    </row>
    <row r="372" spans="4:38" x14ac:dyDescent="0.25">
      <c r="D372" s="6">
        <f ca="1"/>
        <v>45565</v>
      </c>
      <c r="E372" s="28">
        <f ca="1"/>
        <v>167.98</v>
      </c>
      <c r="F372" s="29" cm="1">
        <f t="array" aca="1" ref="F372" ca="1">_xll.FDS($E$7,"P_BETA_LOCIDX("&amp;$AG372&amp;","&amp;$AL372&amp;",,"""&amp;$E$9&amp;""")")</f>
        <v>1.7607520000000001</v>
      </c>
      <c r="G372" s="30">
        <f t="shared" ca="1" si="86"/>
        <v>-1.226820833888486E-2</v>
      </c>
      <c r="H372" s="30">
        <f t="shared" ca="1" si="86"/>
        <v>-1.5800661999560629E-2</v>
      </c>
      <c r="I372" s="30">
        <f t="shared" ca="1" si="86"/>
        <v>-1.9840310119446862E-2</v>
      </c>
      <c r="J372" s="30">
        <f t="shared" ca="1" si="86"/>
        <v>2.5765794019556865E-2</v>
      </c>
      <c r="K372" s="30">
        <f t="shared" ca="1" si="87"/>
        <v>1.35199219944847E-2</v>
      </c>
      <c r="L372" s="30">
        <f t="shared" ca="1" si="87"/>
        <v>4.0443824132048035E-2</v>
      </c>
      <c r="M372" s="30">
        <f t="shared" ca="1" si="87"/>
        <v>3.5561679087883206E-2</v>
      </c>
      <c r="N372" s="30">
        <f t="shared" ca="1" si="87"/>
        <v>6.1764958278772653E-2</v>
      </c>
      <c r="O372" s="30">
        <f t="shared" ca="1" si="88"/>
        <v>1.2517136555998398E-3</v>
      </c>
      <c r="P372" s="30">
        <f t="shared" ca="1" si="89"/>
        <v>2.4643162132487406E-2</v>
      </c>
      <c r="Q372" s="30">
        <f t="shared" ca="1" si="90"/>
        <v>1.5721368968436344E-2</v>
      </c>
      <c r="R372" s="30">
        <f t="shared" ca="1" si="91"/>
        <v>8.7530752298329517E-2</v>
      </c>
      <c r="S372" s="9" cm="1">
        <f t="array" aca="1" ref="S372" ca="1">_xll.BDH($E$6,"PX LAST",AG372)</f>
        <v>167.98</v>
      </c>
      <c r="T372" s="9" cm="1">
        <f t="array" aca="1" ref="T372" ca="1">_xll.BDH($E$6,"PX LAST",AH372)</f>
        <v>167.77</v>
      </c>
      <c r="U372" s="9" cm="1">
        <f t="array" aca="1" ref="U372" ca="1">_xll.BDH($E$6,"PX LAST",AI372)</f>
        <v>163.94</v>
      </c>
      <c r="V372" s="9" cm="1">
        <f t="array" aca="1" ref="V372" ca="1">_xll.BDH($E$6,"PX LAST",AJ372)</f>
        <v>165.38</v>
      </c>
      <c r="W372" s="9" cm="1">
        <f t="array" aca="1" ref="W372" ca="1">_xll.BDH($E$6,"PX LAST",AK372)</f>
        <v>154.46</v>
      </c>
      <c r="X372" s="24">
        <f t="shared" ca="1" si="92"/>
        <v>7.6784930498359216E-3</v>
      </c>
      <c r="Y372" s="24">
        <f t="shared" ca="1" si="93"/>
        <v>2.2969631232591547E-2</v>
      </c>
      <c r="Z372" s="24">
        <f t="shared" ca="1" si="94"/>
        <v>2.0196869910062976E-2</v>
      </c>
      <c r="AA372" s="24">
        <f t="shared" ca="1" si="95"/>
        <v>3.507873810665707E-2</v>
      </c>
      <c r="AB372" s="9" cm="1">
        <f t="array" aca="1" ref="AB372" ca="1">_xll.BDH($E$8,"PX LAST",AG372)</f>
        <v>5762.48</v>
      </c>
      <c r="AC372" s="9" cm="1">
        <f t="array" aca="1" ref="AC372" ca="1">_xll.BDH($E$8,"PX LAST",AH372)</f>
        <v>5718.57</v>
      </c>
      <c r="AD372" s="9" cm="1">
        <f t="array" aca="1" ref="AD372" ca="1">_xll.BDH($E$8,"PX LAST",AI372)</f>
        <v>5633.09</v>
      </c>
      <c r="AE372" s="9" cm="1">
        <f t="array" aca="1" ref="AE372" ca="1">_xll.BDH($E$8,"PX LAST",AJ372)</f>
        <v>5648.4</v>
      </c>
      <c r="AF372" s="9" cm="1">
        <f t="array" aca="1" ref="AF372" ca="1">_xll.BDH($E$8,"PX LAST",AK372)</f>
        <v>5567.19</v>
      </c>
      <c r="AG372" s="20">
        <f t="shared" ca="1" si="101"/>
        <v>45565</v>
      </c>
      <c r="AH372" s="22">
        <f t="shared" ca="1" si="96"/>
        <v>45558</v>
      </c>
      <c r="AI372" s="22">
        <f t="shared" ca="1" si="97"/>
        <v>45551</v>
      </c>
      <c r="AJ372" s="22">
        <f t="shared" ca="1" si="98"/>
        <v>45534</v>
      </c>
      <c r="AK372" s="22">
        <f t="shared" ca="1" si="99"/>
        <v>45478</v>
      </c>
      <c r="AL372" s="22">
        <f t="shared" ca="1" si="100"/>
        <v>45391</v>
      </c>
    </row>
    <row r="373" spans="4:38" x14ac:dyDescent="0.25">
      <c r="D373" s="6">
        <f ca="1"/>
        <v>45562</v>
      </c>
      <c r="E373" s="28">
        <f ca="1"/>
        <v>171.58</v>
      </c>
      <c r="F373" s="29" cm="1">
        <f t="array" aca="1" ref="F373" ca="1">_xll.FDS($E$7,"P_BETA_LOCIDX("&amp;$AG373&amp;","&amp;$AL373&amp;",,"""&amp;$E$9&amp;""")")</f>
        <v>1.7703557000000001</v>
      </c>
      <c r="G373" s="30">
        <f t="shared" ca="1" si="86"/>
        <v>1.0555352387286018E-2</v>
      </c>
      <c r="H373" s="30">
        <f t="shared" ca="1" si="86"/>
        <v>3.8560986696088317E-2</v>
      </c>
      <c r="I373" s="30">
        <f t="shared" ca="1" si="86"/>
        <v>7.4484787000536901E-3</v>
      </c>
      <c r="J373" s="30">
        <f t="shared" ca="1" si="86"/>
        <v>1.317924664371882E-2</v>
      </c>
      <c r="K373" s="30">
        <f t="shared" ca="1" si="87"/>
        <v>1.1058223081603738E-2</v>
      </c>
      <c r="L373" s="30">
        <f t="shared" ca="1" si="87"/>
        <v>3.5290559179490755E-2</v>
      </c>
      <c r="M373" s="30">
        <f t="shared" ca="1" si="87"/>
        <v>4.6288547646442552E-2</v>
      </c>
      <c r="N373" s="30">
        <f t="shared" ca="1" si="87"/>
        <v>6.4313845544173645E-2</v>
      </c>
      <c r="O373" s="30">
        <f t="shared" ca="1" si="88"/>
        <v>2.1613575468889756E-2</v>
      </c>
      <c r="P373" s="30">
        <f t="shared" ca="1" si="89"/>
        <v>7.3851545875579072E-2</v>
      </c>
      <c r="Q373" s="30">
        <f t="shared" ca="1" si="90"/>
        <v>5.3737026346496242E-2</v>
      </c>
      <c r="R373" s="30">
        <f t="shared" ca="1" si="91"/>
        <v>7.7493092187892465E-2</v>
      </c>
      <c r="S373" s="9" cm="1">
        <f t="array" aca="1" ref="S373" ca="1">_xll.BDH($E$6,"PX LAST",AG373)</f>
        <v>171.58</v>
      </c>
      <c r="T373" s="9" cm="1">
        <f t="array" aca="1" ref="T373" ca="1">_xll.BDH($E$6,"PX LAST",AH373)</f>
        <v>167.95</v>
      </c>
      <c r="U373" s="9" cm="1">
        <f t="array" aca="1" ref="U373" ca="1">_xll.BDH($E$6,"PX LAST",AI373)</f>
        <v>159.78</v>
      </c>
      <c r="V373" s="9" cm="1">
        <f t="array" aca="1" ref="V373" ca="1">_xll.BDH($E$6,"PX LAST",AJ373)</f>
        <v>162.83000000000001</v>
      </c>
      <c r="W373" s="9" cm="1">
        <f t="array" aca="1" ref="W373" ca="1">_xll.BDH($E$6,"PX LAST",AK373)</f>
        <v>159.24</v>
      </c>
      <c r="X373" s="24">
        <f t="shared" ca="1" si="92"/>
        <v>6.2463283969451666E-3</v>
      </c>
      <c r="Y373" s="24">
        <f t="shared" ca="1" si="93"/>
        <v>1.9934163049544651E-2</v>
      </c>
      <c r="Z373" s="24">
        <f t="shared" ca="1" si="94"/>
        <v>2.6146467428236342E-2</v>
      </c>
      <c r="AA373" s="24">
        <f t="shared" ca="1" si="95"/>
        <v>3.6328205424578597E-2</v>
      </c>
      <c r="AB373" s="9" cm="1">
        <f t="array" aca="1" ref="AB373" ca="1">_xll.BDH($E$8,"PX LAST",AG373)</f>
        <v>5738.17</v>
      </c>
      <c r="AC373" s="9" cm="1">
        <f t="array" aca="1" ref="AC373" ca="1">_xll.BDH($E$8,"PX LAST",AH373)</f>
        <v>5702.55</v>
      </c>
      <c r="AD373" s="9" cm="1">
        <f t="array" aca="1" ref="AD373" ca="1">_xll.BDH($E$8,"PX LAST",AI373)</f>
        <v>5626.02</v>
      </c>
      <c r="AE373" s="9" cm="1">
        <f t="array" aca="1" ref="AE373" ca="1">_xll.BDH($E$8,"PX LAST",AJ373)</f>
        <v>5591.96</v>
      </c>
      <c r="AF373" s="9" cm="1">
        <f t="array" aca="1" ref="AF373" ca="1">_xll.BDH($E$8,"PX LAST",AK373)</f>
        <v>5537.02</v>
      </c>
      <c r="AG373" s="20">
        <f t="shared" ca="1" si="101"/>
        <v>45562</v>
      </c>
      <c r="AH373" s="22">
        <f t="shared" ca="1" si="96"/>
        <v>45555</v>
      </c>
      <c r="AI373" s="22">
        <f t="shared" ca="1" si="97"/>
        <v>45548</v>
      </c>
      <c r="AJ373" s="22">
        <f t="shared" ca="1" si="98"/>
        <v>45533</v>
      </c>
      <c r="AK373" s="22">
        <f t="shared" ca="1" si="99"/>
        <v>45476</v>
      </c>
      <c r="AL373" s="22">
        <f t="shared" ca="1" si="100"/>
        <v>45390</v>
      </c>
    </row>
    <row r="374" spans="4:38" x14ac:dyDescent="0.25">
      <c r="D374" s="6">
        <f ca="1"/>
        <v>45561</v>
      </c>
      <c r="E374" s="28">
        <f ca="1"/>
        <v>172.11</v>
      </c>
      <c r="F374" s="29" cm="1">
        <f t="array" aca="1" ref="F374" ca="1">_xll.FDS($E$7,"P_BETA_LOCIDX("&amp;$AG374&amp;","&amp;$AL374&amp;",,"""&amp;$E$9&amp;""")")</f>
        <v>1.7599435999999999</v>
      </c>
      <c r="G374" s="30">
        <f t="shared" ca="1" si="86"/>
        <v>-1.3132250736804964E-2</v>
      </c>
      <c r="H374" s="30">
        <f t="shared" ca="1" si="86"/>
        <v>5.9762314422102586E-2</v>
      </c>
      <c r="I374" s="30">
        <f t="shared" ca="1" si="86"/>
        <v>3.0990344843272524E-3</v>
      </c>
      <c r="J374" s="30">
        <f t="shared" ca="1" si="86"/>
        <v>1.8016558316885534E-2</v>
      </c>
      <c r="K374" s="30">
        <f t="shared" ca="1" si="87"/>
        <v>9.7736312452305091E-3</v>
      </c>
      <c r="L374" s="30">
        <f t="shared" ca="1" si="87"/>
        <v>4.7054405835132179E-2</v>
      </c>
      <c r="M374" s="30">
        <f t="shared" ca="1" si="87"/>
        <v>4.8211209239330415E-2</v>
      </c>
      <c r="N374" s="30">
        <f t="shared" ca="1" si="87"/>
        <v>7.5509078635907056E-2</v>
      </c>
      <c r="O374" s="30">
        <f t="shared" ca="1" si="88"/>
        <v>-3.3586194915744549E-3</v>
      </c>
      <c r="P374" s="30">
        <f t="shared" ca="1" si="89"/>
        <v>0.10681672025723477</v>
      </c>
      <c r="Q374" s="30">
        <f t="shared" ca="1" si="90"/>
        <v>5.1310243723657667E-2</v>
      </c>
      <c r="R374" s="30">
        <f t="shared" ca="1" si="91"/>
        <v>9.352563695279259E-2</v>
      </c>
      <c r="S374" s="9" cm="1">
        <f t="array" aca="1" ref="S374" ca="1">_xll.BDH($E$6,"PX LAST",AG374)</f>
        <v>172.11</v>
      </c>
      <c r="T374" s="9" cm="1">
        <f t="array" aca="1" ref="T374" ca="1">_xll.BDH($E$6,"PX LAST",AH374)</f>
        <v>172.69</v>
      </c>
      <c r="U374" s="9" cm="1">
        <f t="array" aca="1" ref="U374" ca="1">_xll.BDH($E$6,"PX LAST",AI374)</f>
        <v>155.5</v>
      </c>
      <c r="V374" s="9" cm="1">
        <f t="array" aca="1" ref="V374" ca="1">_xll.BDH($E$6,"PX LAST",AJ374)</f>
        <v>163.71</v>
      </c>
      <c r="W374" s="9" cm="1">
        <f t="array" aca="1" ref="W374" ca="1">_xll.BDH($E$6,"PX LAST",AK374)</f>
        <v>157.38999999999999</v>
      </c>
      <c r="X374" s="24">
        <f t="shared" ca="1" si="92"/>
        <v>5.5533775316609635E-3</v>
      </c>
      <c r="Y374" s="24">
        <f t="shared" ca="1" si="93"/>
        <v>2.6736314638226011E-2</v>
      </c>
      <c r="Z374" s="24">
        <f t="shared" ca="1" si="94"/>
        <v>2.7393610363042553E-2</v>
      </c>
      <c r="AA374" s="24">
        <f t="shared" ca="1" si="95"/>
        <v>4.2904260475112421E-2</v>
      </c>
      <c r="AB374" s="9" cm="1">
        <f t="array" aca="1" ref="AB374" ca="1">_xll.BDH($E$8,"PX LAST",AG374)</f>
        <v>5745.37</v>
      </c>
      <c r="AC374" s="9" cm="1">
        <f t="array" aca="1" ref="AC374" ca="1">_xll.BDH($E$8,"PX LAST",AH374)</f>
        <v>5713.64</v>
      </c>
      <c r="AD374" s="9" cm="1">
        <f t="array" aca="1" ref="AD374" ca="1">_xll.BDH($E$8,"PX LAST",AI374)</f>
        <v>5595.76</v>
      </c>
      <c r="AE374" s="9" cm="1">
        <f t="array" aca="1" ref="AE374" ca="1">_xll.BDH($E$8,"PX LAST",AJ374)</f>
        <v>5592.18</v>
      </c>
      <c r="AF374" s="9" cm="1">
        <f t="array" aca="1" ref="AF374" ca="1">_xll.BDH($E$8,"PX LAST",AK374)</f>
        <v>5509.01</v>
      </c>
      <c r="AG374" s="20">
        <f t="shared" ca="1" si="101"/>
        <v>45561</v>
      </c>
      <c r="AH374" s="22">
        <f t="shared" ca="1" si="96"/>
        <v>45554</v>
      </c>
      <c r="AI374" s="22">
        <f t="shared" ca="1" si="97"/>
        <v>45547</v>
      </c>
      <c r="AJ374" s="22">
        <f t="shared" ca="1" si="98"/>
        <v>45532</v>
      </c>
      <c r="AK374" s="22">
        <f t="shared" ca="1" si="99"/>
        <v>45475</v>
      </c>
      <c r="AL374" s="22">
        <f t="shared" ca="1" si="100"/>
        <v>45387</v>
      </c>
    </row>
    <row r="375" spans="4:38" x14ac:dyDescent="0.25">
      <c r="D375" s="6">
        <f ca="1"/>
        <v>45560</v>
      </c>
      <c r="E375" s="28">
        <f ca="1"/>
        <v>163.22999999999999</v>
      </c>
      <c r="F375" s="29" cm="1">
        <f t="array" aca="1" ref="F375" ca="1">_xll.FDS($E$7,"P_BETA_LOCIDX("&amp;$AG375&amp;","&amp;$AL375&amp;",,"""&amp;$E$9&amp;""")")</f>
        <v>1.7425107</v>
      </c>
      <c r="G375" s="30">
        <f t="shared" ca="1" si="86"/>
        <v>-5.3012830266819862E-2</v>
      </c>
      <c r="H375" s="30">
        <f t="shared" ca="1" si="86"/>
        <v>1.7776527300821313E-3</v>
      </c>
      <c r="I375" s="30">
        <f t="shared" ca="1" si="86"/>
        <v>-3.1711624520509962E-2</v>
      </c>
      <c r="J375" s="30">
        <f t="shared" ca="1" si="86"/>
        <v>-2.6586076902709324E-2</v>
      </c>
      <c r="K375" s="30">
        <f t="shared" ca="1" si="87"/>
        <v>3.2255736259980745E-2</v>
      </c>
      <c r="L375" s="30">
        <f t="shared" ca="1" si="87"/>
        <v>5.2747833412433602E-2</v>
      </c>
      <c r="M375" s="30">
        <f t="shared" ca="1" si="87"/>
        <v>2.9877098745422711E-2</v>
      </c>
      <c r="N375" s="30">
        <f t="shared" ca="1" si="87"/>
        <v>7.866471048311531E-2</v>
      </c>
      <c r="O375" s="30">
        <f t="shared" ca="1" si="88"/>
        <v>-2.0757094006839116E-2</v>
      </c>
      <c r="P375" s="30">
        <f t="shared" ca="1" si="89"/>
        <v>5.4525486142515733E-2</v>
      </c>
      <c r="Q375" s="30">
        <f t="shared" ca="1" si="90"/>
        <v>-1.8345257750872479E-3</v>
      </c>
      <c r="R375" s="30">
        <f t="shared" ca="1" si="91"/>
        <v>5.2078633580405986E-2</v>
      </c>
      <c r="S375" s="9" cm="1">
        <f t="array" aca="1" ref="S375" ca="1">_xll.BDH($E$6,"PX LAST",AG375)</f>
        <v>163.22999999999999</v>
      </c>
      <c r="T375" s="9" cm="1">
        <f t="array" aca="1" ref="T375" ca="1">_xll.BDH($E$6,"PX LAST",AH375)</f>
        <v>166.69</v>
      </c>
      <c r="U375" s="9" cm="1">
        <f t="array" aca="1" ref="U375" ca="1">_xll.BDH($E$6,"PX LAST",AI375)</f>
        <v>154.79</v>
      </c>
      <c r="V375" s="9" cm="1">
        <f t="array" aca="1" ref="V375" ca="1">_xll.BDH($E$6,"PX LAST",AJ375)</f>
        <v>163.53</v>
      </c>
      <c r="W375" s="9" cm="1">
        <f t="array" aca="1" ref="W375" ca="1">_xll.BDH($E$6,"PX LAST",AK375)</f>
        <v>155.15</v>
      </c>
      <c r="X375" s="24">
        <f t="shared" ca="1" si="92"/>
        <v>1.8511069263437374E-2</v>
      </c>
      <c r="Y375" s="24">
        <f t="shared" ca="1" si="93"/>
        <v>3.0271167581601421E-2</v>
      </c>
      <c r="Z375" s="24">
        <f t="shared" ca="1" si="94"/>
        <v>1.7146005901382821E-2</v>
      </c>
      <c r="AA375" s="24">
        <f t="shared" ca="1" si="95"/>
        <v>4.5144463378684163E-2</v>
      </c>
      <c r="AB375" s="9" cm="1">
        <f t="array" aca="1" ref="AB375" ca="1">_xll.BDH($E$8,"PX LAST",AG375)</f>
        <v>5722.26</v>
      </c>
      <c r="AC375" s="9" cm="1">
        <f t="array" aca="1" ref="AC375" ca="1">_xll.BDH($E$8,"PX LAST",AH375)</f>
        <v>5618.26</v>
      </c>
      <c r="AD375" s="9" cm="1">
        <f t="array" aca="1" ref="AD375" ca="1">_xll.BDH($E$8,"PX LAST",AI375)</f>
        <v>5554.13</v>
      </c>
      <c r="AE375" s="9" cm="1">
        <f t="array" aca="1" ref="AE375" ca="1">_xll.BDH($E$8,"PX LAST",AJ375)</f>
        <v>5625.8</v>
      </c>
      <c r="AF375" s="9" cm="1">
        <f t="array" aca="1" ref="AF375" ca="1">_xll.BDH($E$8,"PX LAST",AK375)</f>
        <v>5475.09</v>
      </c>
      <c r="AG375" s="20">
        <f t="shared" ca="1" si="101"/>
        <v>45560</v>
      </c>
      <c r="AH375" s="22">
        <f t="shared" ca="1" si="96"/>
        <v>45553</v>
      </c>
      <c r="AI375" s="22">
        <f t="shared" ca="1" si="97"/>
        <v>45546</v>
      </c>
      <c r="AJ375" s="22">
        <f t="shared" ca="1" si="98"/>
        <v>45531</v>
      </c>
      <c r="AK375" s="22">
        <f t="shared" ca="1" si="99"/>
        <v>45474</v>
      </c>
      <c r="AL375" s="22">
        <f t="shared" ca="1" si="100"/>
        <v>45386</v>
      </c>
    </row>
    <row r="376" spans="4:38" x14ac:dyDescent="0.25">
      <c r="D376" s="6">
        <f ca="1"/>
        <v>45559</v>
      </c>
      <c r="E376" s="28">
        <f ca="1"/>
        <v>168.03</v>
      </c>
      <c r="F376" s="29" cm="1">
        <f t="array" aca="1" ref="F376" ca="1">_xll.FDS($E$7,"P_BETA_LOCIDX("&amp;$AG376&amp;","&amp;$AL376&amp;",,"""&amp;$E$9&amp;""")")</f>
        <v>1.7358476</v>
      </c>
      <c r="G376" s="30">
        <f t="shared" ca="1" si="86"/>
        <v>-2.7912521105126924E-2</v>
      </c>
      <c r="H376" s="30">
        <f t="shared" ca="1" si="86"/>
        <v>2.3891961892803779E-2</v>
      </c>
      <c r="I376" s="30">
        <f t="shared" ca="1" si="86"/>
        <v>-2.0160236568354563E-2</v>
      </c>
      <c r="J376" s="30">
        <f t="shared" ca="1" si="86"/>
        <v>-2.6617479521509044E-2</v>
      </c>
      <c r="K376" s="30">
        <f t="shared" ca="1" si="87"/>
        <v>3.029872882450884E-2</v>
      </c>
      <c r="L376" s="30">
        <f t="shared" ca="1" si="87"/>
        <v>7.4989733221969737E-2</v>
      </c>
      <c r="M376" s="30">
        <f t="shared" ca="1" si="87"/>
        <v>3.5876853868723226E-2</v>
      </c>
      <c r="N376" s="30">
        <f t="shared" ca="1" si="87"/>
        <v>8.6609909498798862E-2</v>
      </c>
      <c r="O376" s="30">
        <f t="shared" ca="1" si="88"/>
        <v>2.3862077193819164E-3</v>
      </c>
      <c r="P376" s="30">
        <f t="shared" ca="1" si="89"/>
        <v>9.8881695114773516E-2</v>
      </c>
      <c r="Q376" s="30">
        <f t="shared" ca="1" si="90"/>
        <v>1.5716617300368663E-2</v>
      </c>
      <c r="R376" s="30">
        <f t="shared" ca="1" si="91"/>
        <v>5.9992429977289818E-2</v>
      </c>
      <c r="S376" s="9" cm="1">
        <f t="array" aca="1" ref="S376" ca="1">_xll.BDH($E$6,"PX LAST",AG376)</f>
        <v>168.03</v>
      </c>
      <c r="T376" s="9" cm="1">
        <f t="array" aca="1" ref="T376" ca="1">_xll.BDH($E$6,"PX LAST",AH376)</f>
        <v>167.63</v>
      </c>
      <c r="U376" s="9" cm="1">
        <f t="array" aca="1" ref="U376" ca="1">_xll.BDH($E$6,"PX LAST",AI376)</f>
        <v>152.91</v>
      </c>
      <c r="V376" s="9" cm="1">
        <f t="array" aca="1" ref="V376" ca="1">_xll.BDH($E$6,"PX LAST",AJ376)</f>
        <v>165.43</v>
      </c>
      <c r="W376" s="9" cm="1">
        <f t="array" aca="1" ref="W376" ca="1">_xll.BDH($E$6,"PX LAST",AK376)</f>
        <v>158.52000000000001</v>
      </c>
      <c r="X376" s="24">
        <f t="shared" ca="1" si="92"/>
        <v>1.7454717121773156E-2</v>
      </c>
      <c r="Y376" s="24">
        <f t="shared" ca="1" si="93"/>
        <v>4.3200643433196406E-2</v>
      </c>
      <c r="Z376" s="24">
        <f t="shared" ca="1" si="94"/>
        <v>2.0668204898127707E-2</v>
      </c>
      <c r="AA376" s="24">
        <f t="shared" ca="1" si="95"/>
        <v>4.9894881036099514E-2</v>
      </c>
      <c r="AB376" s="9" cm="1">
        <f t="array" aca="1" ref="AB376" ca="1">_xll.BDH($E$8,"PX LAST",AG376)</f>
        <v>5732.93</v>
      </c>
      <c r="AC376" s="9" cm="1">
        <f t="array" aca="1" ref="AC376" ca="1">_xll.BDH($E$8,"PX LAST",AH376)</f>
        <v>5634.58</v>
      </c>
      <c r="AD376" s="9" cm="1">
        <f t="array" aca="1" ref="AD376" ca="1">_xll.BDH($E$8,"PX LAST",AI376)</f>
        <v>5495.52</v>
      </c>
      <c r="AE376" s="9" cm="1">
        <f t="array" aca="1" ref="AE376" ca="1">_xll.BDH($E$8,"PX LAST",AJ376)</f>
        <v>5616.84</v>
      </c>
      <c r="AF376" s="9" cm="1">
        <f t="array" aca="1" ref="AF376" ca="1">_xll.BDH($E$8,"PX LAST",AK376)</f>
        <v>5460.48</v>
      </c>
      <c r="AG376" s="20">
        <f t="shared" ca="1" si="101"/>
        <v>45559</v>
      </c>
      <c r="AH376" s="22">
        <f t="shared" ca="1" si="96"/>
        <v>45552</v>
      </c>
      <c r="AI376" s="22">
        <f t="shared" ca="1" si="97"/>
        <v>45545</v>
      </c>
      <c r="AJ376" s="22">
        <f t="shared" ca="1" si="98"/>
        <v>45530</v>
      </c>
      <c r="AK376" s="22">
        <f t="shared" ca="1" si="99"/>
        <v>45471</v>
      </c>
      <c r="AL376" s="22">
        <f t="shared" ca="1" si="100"/>
        <v>45385</v>
      </c>
    </row>
    <row r="377" spans="4:38" x14ac:dyDescent="0.25">
      <c r="D377" s="6">
        <f ca="1"/>
        <v>45558</v>
      </c>
      <c r="E377" s="28">
        <f ca="1"/>
        <v>167.77</v>
      </c>
      <c r="F377" s="29" cm="1">
        <f t="array" aca="1" ref="F377" ca="1">_xll.FDS($E$7,"P_BETA_LOCIDX("&amp;$AG377&amp;","&amp;$AL377&amp;",,"""&amp;$E$9&amp;""")")</f>
        <v>1.7447648</v>
      </c>
      <c r="G377" s="30">
        <f t="shared" ca="1" si="86"/>
        <v>-3.1139370899177093E-3</v>
      </c>
      <c r="H377" s="30">
        <f t="shared" ca="1" si="86"/>
        <v>1.7886446417337318E-2</v>
      </c>
      <c r="I377" s="30">
        <f t="shared" ca="1" si="86"/>
        <v>-9.7647608590138192E-3</v>
      </c>
      <c r="J377" s="30">
        <f t="shared" ca="1" si="86"/>
        <v>-1.5181587344485922E-2</v>
      </c>
      <c r="K377" s="30">
        <f t="shared" ca="1" si="87"/>
        <v>2.6476142774924397E-2</v>
      </c>
      <c r="L377" s="30">
        <f t="shared" ca="1" si="87"/>
        <v>7.8936252327432468E-2</v>
      </c>
      <c r="M377" s="30">
        <f t="shared" ca="1" si="87"/>
        <v>2.5998330427128211E-2</v>
      </c>
      <c r="N377" s="30">
        <f t="shared" ca="1" si="87"/>
        <v>7.5004708001466289E-2</v>
      </c>
      <c r="O377" s="30">
        <f t="shared" ca="1" si="88"/>
        <v>2.3362205685006687E-2</v>
      </c>
      <c r="P377" s="30">
        <f t="shared" ca="1" si="89"/>
        <v>9.6822698744769786E-2</v>
      </c>
      <c r="Q377" s="30">
        <f t="shared" ca="1" si="90"/>
        <v>1.6233569568114392E-2</v>
      </c>
      <c r="R377" s="30">
        <f t="shared" ca="1" si="91"/>
        <v>5.9823120656980366E-2</v>
      </c>
      <c r="S377" s="9" cm="1">
        <f t="array" aca="1" ref="S377" ca="1">_xll.BDH($E$6,"PX LAST",AG377)</f>
        <v>167.77</v>
      </c>
      <c r="T377" s="9" cm="1">
        <f t="array" aca="1" ref="T377" ca="1">_xll.BDH($E$6,"PX LAST",AH377)</f>
        <v>163.94</v>
      </c>
      <c r="U377" s="9" cm="1">
        <f t="array" aca="1" ref="U377" ca="1">_xll.BDH($E$6,"PX LAST",AI377)</f>
        <v>152.96</v>
      </c>
      <c r="V377" s="9" cm="1">
        <f t="array" aca="1" ref="V377" ca="1">_xll.BDH($E$6,"PX LAST",AJ377)</f>
        <v>165.09</v>
      </c>
      <c r="W377" s="9" cm="1">
        <f t="array" aca="1" ref="W377" ca="1">_xll.BDH($E$6,"PX LAST",AK377)</f>
        <v>158.30000000000001</v>
      </c>
      <c r="X377" s="24">
        <f t="shared" ca="1" si="92"/>
        <v>1.5174619968791436E-2</v>
      </c>
      <c r="Y377" s="24">
        <f t="shared" ca="1" si="93"/>
        <v>4.5241772603065167E-2</v>
      </c>
      <c r="Z377" s="24">
        <f t="shared" ca="1" si="94"/>
        <v>1.4900765092881407E-2</v>
      </c>
      <c r="AA377" s="24">
        <f t="shared" ca="1" si="95"/>
        <v>4.2988434889027038E-2</v>
      </c>
      <c r="AB377" s="9" cm="1">
        <f t="array" aca="1" ref="AB377" ca="1">_xll.BDH($E$8,"PX LAST",AG377)</f>
        <v>5718.57</v>
      </c>
      <c r="AC377" s="9" cm="1">
        <f t="array" aca="1" ref="AC377" ca="1">_xll.BDH($E$8,"PX LAST",AH377)</f>
        <v>5633.09</v>
      </c>
      <c r="AD377" s="9" cm="1">
        <f t="array" aca="1" ref="AD377" ca="1">_xll.BDH($E$8,"PX LAST",AI377)</f>
        <v>5471.05</v>
      </c>
      <c r="AE377" s="9" cm="1">
        <f t="array" aca="1" ref="AE377" ca="1">_xll.BDH($E$8,"PX LAST",AJ377)</f>
        <v>5634.61</v>
      </c>
      <c r="AF377" s="9" cm="1">
        <f t="array" aca="1" ref="AF377" ca="1">_xll.BDH($E$8,"PX LAST",AK377)</f>
        <v>5482.87</v>
      </c>
      <c r="AG377" s="20">
        <f t="shared" ca="1" si="101"/>
        <v>45558</v>
      </c>
      <c r="AH377" s="22">
        <f t="shared" ca="1" si="96"/>
        <v>45551</v>
      </c>
      <c r="AI377" s="22">
        <f t="shared" ca="1" si="97"/>
        <v>45544</v>
      </c>
      <c r="AJ377" s="22">
        <f t="shared" ca="1" si="98"/>
        <v>45527</v>
      </c>
      <c r="AK377" s="22">
        <f t="shared" ca="1" si="99"/>
        <v>45470</v>
      </c>
      <c r="AL377" s="22">
        <f t="shared" ca="1" si="100"/>
        <v>45384</v>
      </c>
    </row>
    <row r="378" spans="4:38" x14ac:dyDescent="0.25">
      <c r="D378" s="6">
        <f ca="1"/>
        <v>45555</v>
      </c>
      <c r="E378" s="28">
        <f ca="1"/>
        <v>167.95</v>
      </c>
      <c r="F378" s="29" cm="1">
        <f t="array" aca="1" ref="F378" ca="1">_xll.FDS($E$7,"P_BETA_LOCIDX("&amp;$AG378&amp;","&amp;$AL378&amp;",,"""&amp;$E$9&amp;""")")</f>
        <v>1.7367338000000001</v>
      </c>
      <c r="G378" s="30">
        <f t="shared" ca="1" si="86"/>
        <v>2.7508249270110009E-2</v>
      </c>
      <c r="H378" s="30">
        <f t="shared" ca="1" si="86"/>
        <v>2.6187841128240699E-2</v>
      </c>
      <c r="I378" s="30">
        <f t="shared" ca="1" si="86"/>
        <v>7.9068576830890538E-3</v>
      </c>
      <c r="J378" s="30">
        <f t="shared" ca="1" si="86"/>
        <v>-5.5512831202684798E-3</v>
      </c>
      <c r="K378" s="30">
        <f t="shared" ca="1" si="87"/>
        <v>2.3624558340354228E-2</v>
      </c>
      <c r="L378" s="30">
        <f t="shared" ca="1" si="87"/>
        <v>9.4450045039771488E-2</v>
      </c>
      <c r="M378" s="30">
        <f t="shared" ca="1" si="87"/>
        <v>4.1124997407479345E-2</v>
      </c>
      <c r="N378" s="30">
        <f t="shared" ca="1" si="87"/>
        <v>7.1223871952755646E-2</v>
      </c>
      <c r="O378" s="30">
        <f t="shared" ca="1" si="88"/>
        <v>5.1132807610464237E-2</v>
      </c>
      <c r="P378" s="30">
        <f t="shared" ca="1" si="89"/>
        <v>0.12063788616801219</v>
      </c>
      <c r="Q378" s="30">
        <f t="shared" ca="1" si="90"/>
        <v>4.9031855090568399E-2</v>
      </c>
      <c r="R378" s="30">
        <f t="shared" ca="1" si="91"/>
        <v>6.5672588832487166E-2</v>
      </c>
      <c r="S378" s="9" cm="1">
        <f t="array" aca="1" ref="S378" ca="1">_xll.BDH($E$6,"PX LAST",AG378)</f>
        <v>167.95</v>
      </c>
      <c r="T378" s="9" cm="1">
        <f t="array" aca="1" ref="T378" ca="1">_xll.BDH($E$6,"PX LAST",AH378)</f>
        <v>159.78</v>
      </c>
      <c r="U378" s="9" cm="1">
        <f t="array" aca="1" ref="U378" ca="1">_xll.BDH($E$6,"PX LAST",AI378)</f>
        <v>149.87</v>
      </c>
      <c r="V378" s="9" cm="1">
        <f t="array" aca="1" ref="V378" ca="1">_xll.BDH($E$6,"PX LAST",AJ378)</f>
        <v>160.1</v>
      </c>
      <c r="W378" s="9" cm="1">
        <f t="array" aca="1" ref="W378" ca="1">_xll.BDH($E$6,"PX LAST",AK378)</f>
        <v>157.6</v>
      </c>
      <c r="X378" s="24">
        <f t="shared" ca="1" si="92"/>
        <v>1.3602866680175296E-2</v>
      </c>
      <c r="Y378" s="24">
        <f t="shared" ca="1" si="93"/>
        <v>5.4383720199244978E-2</v>
      </c>
      <c r="Z378" s="24">
        <f t="shared" ca="1" si="94"/>
        <v>2.367950540691921E-2</v>
      </c>
      <c r="AA378" s="24">
        <f t="shared" ca="1" si="95"/>
        <v>4.1010241150805982E-2</v>
      </c>
      <c r="AB378" s="9" cm="1">
        <f t="array" aca="1" ref="AB378" ca="1">_xll.BDH($E$8,"PX LAST",AG378)</f>
        <v>5702.55</v>
      </c>
      <c r="AC378" s="9" cm="1">
        <f t="array" aca="1" ref="AC378" ca="1">_xll.BDH($E$8,"PX LAST",AH378)</f>
        <v>5626.02</v>
      </c>
      <c r="AD378" s="9" cm="1">
        <f t="array" aca="1" ref="AD378" ca="1">_xll.BDH($E$8,"PX LAST",AI378)</f>
        <v>5408.42</v>
      </c>
      <c r="AE378" s="9" cm="1">
        <f t="array" aca="1" ref="AE378" ca="1">_xll.BDH($E$8,"PX LAST",AJ378)</f>
        <v>5570.64</v>
      </c>
      <c r="AF378" s="9" cm="1">
        <f t="array" aca="1" ref="AF378" ca="1">_xll.BDH($E$8,"PX LAST",AK378)</f>
        <v>5477.9</v>
      </c>
      <c r="AG378" s="20">
        <f t="shared" ca="1" si="101"/>
        <v>45555</v>
      </c>
      <c r="AH378" s="22">
        <f t="shared" ca="1" si="96"/>
        <v>45548</v>
      </c>
      <c r="AI378" s="22">
        <f t="shared" ca="1" si="97"/>
        <v>45541</v>
      </c>
      <c r="AJ378" s="22">
        <f t="shared" ca="1" si="98"/>
        <v>45526</v>
      </c>
      <c r="AK378" s="22">
        <f t="shared" ca="1" si="99"/>
        <v>45469</v>
      </c>
      <c r="AL378" s="22">
        <f t="shared" ca="1" si="100"/>
        <v>45383</v>
      </c>
    </row>
    <row r="379" spans="4:38" x14ac:dyDescent="0.25">
      <c r="D379" s="6">
        <f ca="1"/>
        <v>45554</v>
      </c>
      <c r="E379" s="28">
        <f ca="1"/>
        <v>172.69</v>
      </c>
      <c r="F379" s="29" cm="1">
        <f t="array" aca="1" ref="F379" ca="1">_xll.FDS($E$7,"P_BETA_LOCIDX("&amp;$AG379&amp;","&amp;$AL379&amp;",,"""&amp;$E$9&amp;""")")</f>
        <v>1.7299787</v>
      </c>
      <c r="G379" s="30">
        <f t="shared" ca="1" si="86"/>
        <v>7.4102979113954234E-2</v>
      </c>
      <c r="H379" s="30">
        <f t="shared" ca="1" si="86"/>
        <v>6.9883847472587968E-2</v>
      </c>
      <c r="I379" s="30">
        <f t="shared" ca="1" si="86"/>
        <v>4.072912701436663E-2</v>
      </c>
      <c r="J379" s="30">
        <f t="shared" ca="1" si="86"/>
        <v>7.3296156722232886E-5</v>
      </c>
      <c r="K379" s="30">
        <f t="shared" ca="1" si="87"/>
        <v>3.6443644680257861E-2</v>
      </c>
      <c r="L379" s="30">
        <f t="shared" ca="1" si="87"/>
        <v>6.6085103981168125E-2</v>
      </c>
      <c r="M379" s="30">
        <f t="shared" ca="1" si="87"/>
        <v>2.8558798682227736E-2</v>
      </c>
      <c r="N379" s="30">
        <f t="shared" ca="1" si="87"/>
        <v>7.7286489232260239E-2</v>
      </c>
      <c r="O379" s="30">
        <f t="shared" ca="1" si="88"/>
        <v>0.1105466237942121</v>
      </c>
      <c r="P379" s="30">
        <f t="shared" ca="1" si="89"/>
        <v>0.13596895145375609</v>
      </c>
      <c r="Q379" s="30">
        <f t="shared" ca="1" si="90"/>
        <v>6.9287925696594366E-2</v>
      </c>
      <c r="R379" s="30">
        <f t="shared" ca="1" si="91"/>
        <v>7.7359785388982472E-2</v>
      </c>
      <c r="S379" s="9" cm="1">
        <f t="array" aca="1" ref="S379" ca="1">_xll.BDH($E$6,"PX LAST",AG379)</f>
        <v>172.69</v>
      </c>
      <c r="T379" s="9" cm="1">
        <f t="array" aca="1" ref="T379" ca="1">_xll.BDH($E$6,"PX LAST",AH379)</f>
        <v>155.5</v>
      </c>
      <c r="U379" s="9" cm="1">
        <f t="array" aca="1" ref="U379" ca="1">_xll.BDH($E$6,"PX LAST",AI379)</f>
        <v>152.02000000000001</v>
      </c>
      <c r="V379" s="9" cm="1">
        <f t="array" aca="1" ref="V379" ca="1">_xll.BDH($E$6,"PX LAST",AJ379)</f>
        <v>161.5</v>
      </c>
      <c r="W379" s="9" cm="1">
        <f t="array" aca="1" ref="W379" ca="1">_xll.BDH($E$6,"PX LAST",AK379)</f>
        <v>160.29</v>
      </c>
      <c r="X379" s="24">
        <f t="shared" ca="1" si="92"/>
        <v>2.1065949933521066E-2</v>
      </c>
      <c r="Y379" s="24">
        <f t="shared" ca="1" si="93"/>
        <v>3.8199952393152659E-2</v>
      </c>
      <c r="Z379" s="24">
        <f t="shared" ca="1" si="94"/>
        <v>1.6508179367889175E-2</v>
      </c>
      <c r="AA379" s="24">
        <f t="shared" ca="1" si="95"/>
        <v>4.4674821275117571E-2</v>
      </c>
      <c r="AB379" s="9" cm="1">
        <f t="array" aca="1" ref="AB379" ca="1">_xll.BDH($E$8,"PX LAST",AG379)</f>
        <v>5713.64</v>
      </c>
      <c r="AC379" s="9" cm="1">
        <f t="array" aca="1" ref="AC379" ca="1">_xll.BDH($E$8,"PX LAST",AH379)</f>
        <v>5595.76</v>
      </c>
      <c r="AD379" s="9" cm="1">
        <f t="array" aca="1" ref="AD379" ca="1">_xll.BDH($E$8,"PX LAST",AI379)</f>
        <v>5503.41</v>
      </c>
      <c r="AE379" s="9" cm="1">
        <f t="array" aca="1" ref="AE379" ca="1">_xll.BDH($E$8,"PX LAST",AJ379)</f>
        <v>5620.85</v>
      </c>
      <c r="AF379" s="9" cm="1">
        <f t="array" aca="1" ref="AF379" ca="1">_xll.BDH($E$8,"PX LAST",AK379)</f>
        <v>5469.3</v>
      </c>
      <c r="AG379" s="20">
        <f t="shared" ca="1" si="101"/>
        <v>45554</v>
      </c>
      <c r="AH379" s="22">
        <f t="shared" ca="1" si="96"/>
        <v>45547</v>
      </c>
      <c r="AI379" s="22">
        <f t="shared" ca="1" si="97"/>
        <v>45540</v>
      </c>
      <c r="AJ379" s="22">
        <f t="shared" ca="1" si="98"/>
        <v>45525</v>
      </c>
      <c r="AK379" s="22">
        <f t="shared" ca="1" si="99"/>
        <v>45468</v>
      </c>
      <c r="AL379" s="22">
        <f t="shared" ca="1" si="100"/>
        <v>45379</v>
      </c>
    </row>
    <row r="380" spans="4:38" x14ac:dyDescent="0.25">
      <c r="D380" s="6">
        <f ca="1"/>
        <v>45553</v>
      </c>
      <c r="E380" s="28">
        <f ca="1"/>
        <v>166.69</v>
      </c>
      <c r="F380" s="29" cm="1">
        <f t="array" aca="1" ref="F380" ca="1">_xll.FDS($E$7,"P_BETA_LOCIDX("&amp;$AG380&amp;","&amp;$AL380&amp;",,"""&amp;$E$9&amp;""")")</f>
        <v>1.716143</v>
      </c>
      <c r="G380" s="30">
        <f t="shared" ca="1" si="86"/>
        <v>5.7063141625678257E-2</v>
      </c>
      <c r="H380" s="30">
        <f t="shared" ca="1" si="86"/>
        <v>5.2861055937167167E-2</v>
      </c>
      <c r="I380" s="30">
        <f t="shared" ca="1" si="86"/>
        <v>4.9855362306286108E-2</v>
      </c>
      <c r="J380" s="30">
        <f t="shared" ca="1" si="86"/>
        <v>-3.6590220193870267E-2</v>
      </c>
      <c r="K380" s="30">
        <f t="shared" ca="1" si="87"/>
        <v>1.98152096890062E-2</v>
      </c>
      <c r="L380" s="30">
        <f t="shared" ca="1" si="87"/>
        <v>3.0526439188271359E-2</v>
      </c>
      <c r="M380" s="30">
        <f t="shared" ca="1" si="87"/>
        <v>6.4817733084158854E-3</v>
      </c>
      <c r="N380" s="30">
        <f t="shared" ca="1" si="87"/>
        <v>5.3674850128582537E-2</v>
      </c>
      <c r="O380" s="30">
        <f t="shared" ca="1" si="88"/>
        <v>7.6878351314684457E-2</v>
      </c>
      <c r="P380" s="30">
        <f t="shared" ca="1" si="89"/>
        <v>8.3387495125438527E-2</v>
      </c>
      <c r="Q380" s="30">
        <f t="shared" ca="1" si="90"/>
        <v>5.6337135614701994E-2</v>
      </c>
      <c r="R380" s="30">
        <f t="shared" ca="1" si="91"/>
        <v>1.708462993471227E-2</v>
      </c>
      <c r="S380" s="9" cm="1">
        <f t="array" aca="1" ref="S380" ca="1">_xll.BDH($E$6,"PX LAST",AG380)</f>
        <v>166.69</v>
      </c>
      <c r="T380" s="9" cm="1">
        <f t="array" aca="1" ref="T380" ca="1">_xll.BDH($E$6,"PX LAST",AH380)</f>
        <v>154.79</v>
      </c>
      <c r="U380" s="9" cm="1">
        <f t="array" aca="1" ref="U380" ca="1">_xll.BDH($E$6,"PX LAST",AI380)</f>
        <v>153.86000000000001</v>
      </c>
      <c r="V380" s="9" cm="1">
        <f t="array" aca="1" ref="V380" ca="1">_xll.BDH($E$6,"PX LAST",AJ380)</f>
        <v>157.80000000000001</v>
      </c>
      <c r="W380" s="9" cm="1">
        <f t="array" aca="1" ref="W380" ca="1">_xll.BDH($E$6,"PX LAST",AK380)</f>
        <v>163.89</v>
      </c>
      <c r="X380" s="24">
        <f t="shared" ca="1" si="92"/>
        <v>1.1546362796693632E-2</v>
      </c>
      <c r="Y380" s="24">
        <f t="shared" ca="1" si="93"/>
        <v>1.7787817908106351E-2</v>
      </c>
      <c r="Z380" s="24">
        <f t="shared" ca="1" si="94"/>
        <v>3.7769424275342356E-3</v>
      </c>
      <c r="AA380" s="24">
        <f t="shared" ca="1" si="95"/>
        <v>3.1276443821163236E-2</v>
      </c>
      <c r="AB380" s="9" cm="1">
        <f t="array" aca="1" ref="AB380" ca="1">_xll.BDH($E$8,"PX LAST",AG380)</f>
        <v>5618.26</v>
      </c>
      <c r="AC380" s="9" cm="1">
        <f t="array" aca="1" ref="AC380" ca="1">_xll.BDH($E$8,"PX LAST",AH380)</f>
        <v>5554.13</v>
      </c>
      <c r="AD380" s="9" cm="1">
        <f t="array" aca="1" ref="AD380" ca="1">_xll.BDH($E$8,"PX LAST",AI380)</f>
        <v>5520.07</v>
      </c>
      <c r="AE380" s="9" cm="1">
        <f t="array" aca="1" ref="AE380" ca="1">_xll.BDH($E$8,"PX LAST",AJ380)</f>
        <v>5597.12</v>
      </c>
      <c r="AF380" s="9" cm="1">
        <f t="array" aca="1" ref="AF380" ca="1">_xll.BDH($E$8,"PX LAST",AK380)</f>
        <v>5447.87</v>
      </c>
      <c r="AG380" s="20">
        <f t="shared" ca="1" si="101"/>
        <v>45553</v>
      </c>
      <c r="AH380" s="22">
        <f t="shared" ca="1" si="96"/>
        <v>45546</v>
      </c>
      <c r="AI380" s="22">
        <f t="shared" ca="1" si="97"/>
        <v>45539</v>
      </c>
      <c r="AJ380" s="22">
        <f t="shared" ca="1" si="98"/>
        <v>45524</v>
      </c>
      <c r="AK380" s="22">
        <f t="shared" ca="1" si="99"/>
        <v>45467</v>
      </c>
      <c r="AL380" s="22">
        <f t="shared" ca="1" si="100"/>
        <v>45378</v>
      </c>
    </row>
    <row r="381" spans="4:38" x14ac:dyDescent="0.25">
      <c r="D381" s="6">
        <f ca="1"/>
        <v>45552</v>
      </c>
      <c r="E381" s="28">
        <f ca="1"/>
        <v>167.63</v>
      </c>
      <c r="F381" s="29" cm="1">
        <f t="array" aca="1" ref="F381" ca="1">_xll.FDS($E$7,"P_BETA_LOCIDX("&amp;$AG381&amp;","&amp;$AL381&amp;",,"""&amp;$E$9&amp;""")")</f>
        <v>1.7133483</v>
      </c>
      <c r="G381" s="30">
        <f t="shared" ca="1" si="86"/>
        <v>5.2910787263110388E-2</v>
      </c>
      <c r="H381" s="30">
        <f t="shared" ca="1" si="86"/>
        <v>4.672457553763578E-2</v>
      </c>
      <c r="I381" s="30">
        <f t="shared" ca="1" si="86"/>
        <v>4.7228323332353855E-2</v>
      </c>
      <c r="J381" s="30">
        <f t="shared" ca="1" si="86"/>
        <v>-3.2274845437188719E-2</v>
      </c>
      <c r="K381" s="30">
        <f t="shared" ca="1" si="87"/>
        <v>4.3354989991483898E-2</v>
      </c>
      <c r="L381" s="30">
        <f t="shared" ca="1" si="87"/>
        <v>3.2739652680536781E-2</v>
      </c>
      <c r="M381" s="30">
        <f t="shared" ca="1" si="87"/>
        <v>8.0439461042216241E-3</v>
      </c>
      <c r="N381" s="30">
        <f t="shared" ca="1" si="87"/>
        <v>5.3288367181615441E-2</v>
      </c>
      <c r="O381" s="30">
        <f t="shared" ca="1" si="88"/>
        <v>9.6265777254594287E-2</v>
      </c>
      <c r="P381" s="30">
        <f t="shared" ca="1" si="89"/>
        <v>7.9464228218172561E-2</v>
      </c>
      <c r="Q381" s="30">
        <f t="shared" ca="1" si="90"/>
        <v>5.5272269436575483E-2</v>
      </c>
      <c r="R381" s="30">
        <f t="shared" ca="1" si="91"/>
        <v>2.1013521744426722E-2</v>
      </c>
      <c r="S381" s="9" cm="1">
        <f t="array" aca="1" ref="S381" ca="1">_xll.BDH($E$6,"PX LAST",AG381)</f>
        <v>167.63</v>
      </c>
      <c r="T381" s="9" cm="1">
        <f t="array" aca="1" ref="T381" ca="1">_xll.BDH($E$6,"PX LAST",AH381)</f>
        <v>152.91</v>
      </c>
      <c r="U381" s="9" cm="1">
        <f t="array" aca="1" ref="U381" ca="1">_xll.BDH($E$6,"PX LAST",AI381)</f>
        <v>155.29</v>
      </c>
      <c r="V381" s="9" cm="1">
        <f t="array" aca="1" ref="V381" ca="1">_xll.BDH($E$6,"PX LAST",AJ381)</f>
        <v>158.85</v>
      </c>
      <c r="W381" s="9" cm="1">
        <f t="array" aca="1" ref="W381" ca="1">_xll.BDH($E$6,"PX LAST",AK381)</f>
        <v>164.18</v>
      </c>
      <c r="X381" s="24">
        <f t="shared" ca="1" si="92"/>
        <v>2.5304247823681791E-2</v>
      </c>
      <c r="Y381" s="24">
        <f t="shared" ca="1" si="93"/>
        <v>1.9108579779451018E-2</v>
      </c>
      <c r="Z381" s="24">
        <f t="shared" ca="1" si="94"/>
        <v>4.6948691659609576E-3</v>
      </c>
      <c r="AA381" s="24">
        <f t="shared" ca="1" si="95"/>
        <v>3.1101888145927736E-2</v>
      </c>
      <c r="AB381" s="9" cm="1">
        <f t="array" aca="1" ref="AB381" ca="1">_xll.BDH($E$8,"PX LAST",AG381)</f>
        <v>5634.58</v>
      </c>
      <c r="AC381" s="9" cm="1">
        <f t="array" aca="1" ref="AC381" ca="1">_xll.BDH($E$8,"PX LAST",AH381)</f>
        <v>5495.52</v>
      </c>
      <c r="AD381" s="9" cm="1">
        <f t="array" aca="1" ref="AD381" ca="1">_xll.BDH($E$8,"PX LAST",AI381)</f>
        <v>5528.93</v>
      </c>
      <c r="AE381" s="9" cm="1">
        <f t="array" aca="1" ref="AE381" ca="1">_xll.BDH($E$8,"PX LAST",AJ381)</f>
        <v>5608.25</v>
      </c>
      <c r="AF381" s="9" cm="1">
        <f t="array" aca="1" ref="AF381" ca="1">_xll.BDH($E$8,"PX LAST",AK381)</f>
        <v>5464.62</v>
      </c>
      <c r="AG381" s="20">
        <f t="shared" ca="1" si="101"/>
        <v>45552</v>
      </c>
      <c r="AH381" s="22">
        <f t="shared" ca="1" si="96"/>
        <v>45545</v>
      </c>
      <c r="AI381" s="22">
        <f t="shared" ca="1" si="97"/>
        <v>45538</v>
      </c>
      <c r="AJ381" s="22">
        <f t="shared" ca="1" si="98"/>
        <v>45523</v>
      </c>
      <c r="AK381" s="22">
        <f t="shared" ca="1" si="99"/>
        <v>45464</v>
      </c>
      <c r="AL381" s="22">
        <f t="shared" ca="1" si="100"/>
        <v>45377</v>
      </c>
    </row>
    <row r="382" spans="4:38" x14ac:dyDescent="0.25">
      <c r="D382" s="6">
        <f ca="1"/>
        <v>45551</v>
      </c>
      <c r="E382" s="28">
        <f ca="1"/>
        <v>163.94</v>
      </c>
      <c r="F382" s="29" cm="1">
        <f t="array" aca="1" ref="F382" ca="1">_xll.FDS($E$7,"P_BETA_LOCIDX("&amp;$AG382&amp;","&amp;$AL382&amp;",,"""&amp;$E$9&amp;""")")</f>
        <v>1.7141194</v>
      </c>
      <c r="G382" s="30">
        <f t="shared" ca="1" si="86"/>
        <v>2.1015172828753897E-2</v>
      </c>
      <c r="H382" s="30">
        <f t="shared" ca="1" si="86"/>
        <v>-4.0610955217199969E-3</v>
      </c>
      <c r="I382" s="30">
        <f t="shared" ca="1" si="86"/>
        <v>1.8942385019286745E-2</v>
      </c>
      <c r="J382" s="30">
        <f t="shared" ca="1" si="86"/>
        <v>-5.0694288584432486E-2</v>
      </c>
      <c r="K382" s="30">
        <f t="shared" ca="1" si="87"/>
        <v>5.0768299974593395E-2</v>
      </c>
      <c r="L382" s="30">
        <f t="shared" ca="1" si="87"/>
        <v>-4.6461242146446828E-3</v>
      </c>
      <c r="M382" s="30">
        <f t="shared" ca="1" si="87"/>
        <v>2.4331129044605493E-2</v>
      </c>
      <c r="N382" s="30">
        <f t="shared" ca="1" si="87"/>
        <v>5.0084681171606367E-2</v>
      </c>
      <c r="O382" s="30">
        <f t="shared" ca="1" si="88"/>
        <v>7.1783472803347292E-2</v>
      </c>
      <c r="P382" s="30">
        <f t="shared" ca="1" si="89"/>
        <v>-8.7072197363646797E-3</v>
      </c>
      <c r="Q382" s="30">
        <f t="shared" ca="1" si="90"/>
        <v>4.3273514063892238E-2</v>
      </c>
      <c r="R382" s="30">
        <f t="shared" ca="1" si="91"/>
        <v>-6.0960741282611863E-4</v>
      </c>
      <c r="S382" s="9" cm="1">
        <f t="array" aca="1" ref="S382" ca="1">_xll.BDH($E$6,"PX LAST",AG382)</f>
        <v>163.94</v>
      </c>
      <c r="T382" s="9" cm="1">
        <f t="array" aca="1" ref="T382" ca="1">_xll.BDH($E$6,"PX LAST",AH382)</f>
        <v>152.96</v>
      </c>
      <c r="U382" s="9" cm="1">
        <f t="array" aca="1" ref="U382" ca="1">_xll.BDH($E$6,"PX LAST",AI382)</f>
        <v>165.38</v>
      </c>
      <c r="V382" s="9" cm="1">
        <f t="array" aca="1" ref="V382" ca="1">_xll.BDH($E$6,"PX LAST",AJ382)</f>
        <v>157.13999999999999</v>
      </c>
      <c r="W382" s="9" cm="1">
        <f t="array" aca="1" ref="W382" ca="1">_xll.BDH($E$6,"PX LAST",AK382)</f>
        <v>164.04</v>
      </c>
      <c r="X382" s="24">
        <f t="shared" ca="1" si="92"/>
        <v>2.9617715063835925E-2</v>
      </c>
      <c r="Y382" s="24">
        <f t="shared" ca="1" si="93"/>
        <v>-2.7105020890870746E-3</v>
      </c>
      <c r="Z382" s="24">
        <f t="shared" ca="1" si="94"/>
        <v>1.4194535715893242E-2</v>
      </c>
      <c r="AA382" s="24">
        <f t="shared" ca="1" si="95"/>
        <v>2.9218898736929511E-2</v>
      </c>
      <c r="AB382" s="9" cm="1">
        <f t="array" aca="1" ref="AB382" ca="1">_xll.BDH($E$8,"PX LAST",AG382)</f>
        <v>5633.09</v>
      </c>
      <c r="AC382" s="9" cm="1">
        <f t="array" aca="1" ref="AC382" ca="1">_xll.BDH($E$8,"PX LAST",AH382)</f>
        <v>5471.05</v>
      </c>
      <c r="AD382" s="9" cm="1">
        <f t="array" aca="1" ref="AD382" ca="1">_xll.BDH($E$8,"PX LAST",AI382)</f>
        <v>5648.4</v>
      </c>
      <c r="AE382" s="9" cm="1">
        <f t="array" aca="1" ref="AE382" ca="1">_xll.BDH($E$8,"PX LAST",AJ382)</f>
        <v>5554.25</v>
      </c>
      <c r="AF382" s="9" cm="1">
        <f t="array" aca="1" ref="AF382" ca="1">_xll.BDH($E$8,"PX LAST",AK382)</f>
        <v>5473.17</v>
      </c>
      <c r="AG382" s="20">
        <f t="shared" ca="1" si="101"/>
        <v>45551</v>
      </c>
      <c r="AH382" s="22">
        <f t="shared" ca="1" si="96"/>
        <v>45544</v>
      </c>
      <c r="AI382" s="22">
        <f t="shared" ca="1" si="97"/>
        <v>45534</v>
      </c>
      <c r="AJ382" s="22">
        <f t="shared" ca="1" si="98"/>
        <v>45520</v>
      </c>
      <c r="AK382" s="22">
        <f t="shared" ca="1" si="99"/>
        <v>45463</v>
      </c>
      <c r="AL382" s="22">
        <f t="shared" ca="1" si="100"/>
        <v>45376</v>
      </c>
    </row>
    <row r="383" spans="4:38" x14ac:dyDescent="0.25">
      <c r="D383" s="6">
        <f ca="1"/>
        <v>45548</v>
      </c>
      <c r="E383" s="28">
        <f ca="1"/>
        <v>159.78</v>
      </c>
      <c r="F383" s="29" cm="1">
        <f t="array" aca="1" ref="F383" ca="1">_xll.FDS($E$7,"P_BETA_LOCIDX("&amp;$AG383&amp;","&amp;$AL383&amp;",,"""&amp;$E$9&amp;""")")</f>
        <v>1.7124577999999999</v>
      </c>
      <c r="G383" s="30">
        <f t="shared" ca="1" si="86"/>
        <v>-2.7743025170285374E-3</v>
      </c>
      <c r="H383" s="30">
        <f t="shared" ca="1" si="86"/>
        <v>-2.9161580074312781E-2</v>
      </c>
      <c r="I383" s="30">
        <f t="shared" ca="1" si="86"/>
        <v>-2.2817876519426704E-2</v>
      </c>
      <c r="J383" s="30">
        <f t="shared" ca="1" si="86"/>
        <v>-6.744313543449279E-2</v>
      </c>
      <c r="K383" s="30">
        <f t="shared" ca="1" si="87"/>
        <v>6.8898276627924637E-2</v>
      </c>
      <c r="L383" s="30">
        <f t="shared" ca="1" si="87"/>
        <v>1.0430388033534004E-2</v>
      </c>
      <c r="M383" s="30">
        <f t="shared" ca="1" si="87"/>
        <v>2.5579267256215864E-2</v>
      </c>
      <c r="N383" s="30">
        <f t="shared" ca="1" si="87"/>
        <v>4.337765778973348E-2</v>
      </c>
      <c r="O383" s="30">
        <f t="shared" ca="1" si="88"/>
        <v>6.61239741108961E-2</v>
      </c>
      <c r="P383" s="30">
        <f t="shared" ca="1" si="89"/>
        <v>-1.8731192040778777E-2</v>
      </c>
      <c r="Q383" s="30">
        <f t="shared" ca="1" si="90"/>
        <v>2.7613907367891599E-3</v>
      </c>
      <c r="R383" s="30">
        <f t="shared" ca="1" si="91"/>
        <v>-2.4065477644759303E-2</v>
      </c>
      <c r="S383" s="9" cm="1">
        <f t="array" aca="1" ref="S383" ca="1">_xll.BDH($E$6,"PX LAST",AG383)</f>
        <v>159.78</v>
      </c>
      <c r="T383" s="9" cm="1">
        <f t="array" aca="1" ref="T383" ca="1">_xll.BDH($E$6,"PX LAST",AH383)</f>
        <v>149.87</v>
      </c>
      <c r="U383" s="9" cm="1">
        <f t="array" aca="1" ref="U383" ca="1">_xll.BDH($E$6,"PX LAST",AI383)</f>
        <v>162.83000000000001</v>
      </c>
      <c r="V383" s="9" cm="1">
        <f t="array" aca="1" ref="V383" ca="1">_xll.BDH($E$6,"PX LAST",AJ383)</f>
        <v>159.34</v>
      </c>
      <c r="W383" s="9" cm="1">
        <f t="array" aca="1" ref="W383" ca="1">_xll.BDH($E$6,"PX LAST",AK383)</f>
        <v>163.72</v>
      </c>
      <c r="X383" s="24">
        <f t="shared" ca="1" si="92"/>
        <v>4.0233561742616164E-2</v>
      </c>
      <c r="Y383" s="24">
        <f t="shared" ca="1" si="93"/>
        <v>6.0908876315282079E-3</v>
      </c>
      <c r="Z383" s="24">
        <f t="shared" ca="1" si="94"/>
        <v>1.4937166484462194E-2</v>
      </c>
      <c r="AA383" s="24">
        <f t="shared" ca="1" si="95"/>
        <v>2.533064335350832E-2</v>
      </c>
      <c r="AB383" s="9" cm="1">
        <f t="array" aca="1" ref="AB383" ca="1">_xll.BDH($E$8,"PX LAST",AG383)</f>
        <v>5626.02</v>
      </c>
      <c r="AC383" s="9" cm="1">
        <f t="array" aca="1" ref="AC383" ca="1">_xll.BDH($E$8,"PX LAST",AH383)</f>
        <v>5408.42</v>
      </c>
      <c r="AD383" s="9" cm="1">
        <f t="array" aca="1" ref="AD383" ca="1">_xll.BDH($E$8,"PX LAST",AI383)</f>
        <v>5591.96</v>
      </c>
      <c r="AE383" s="9" cm="1">
        <f t="array" aca="1" ref="AE383" ca="1">_xll.BDH($E$8,"PX LAST",AJ383)</f>
        <v>5543.22</v>
      </c>
      <c r="AF383" s="9" cm="1">
        <f t="array" aca="1" ref="AF383" ca="1">_xll.BDH($E$8,"PX LAST",AK383)</f>
        <v>5487.03</v>
      </c>
      <c r="AG383" s="20">
        <f t="shared" ca="1" si="101"/>
        <v>45548</v>
      </c>
      <c r="AH383" s="22">
        <f t="shared" ca="1" si="96"/>
        <v>45541</v>
      </c>
      <c r="AI383" s="22">
        <f t="shared" ca="1" si="97"/>
        <v>45533</v>
      </c>
      <c r="AJ383" s="22">
        <f t="shared" ca="1" si="98"/>
        <v>45519</v>
      </c>
      <c r="AK383" s="22">
        <f t="shared" ca="1" si="99"/>
        <v>45461</v>
      </c>
      <c r="AL383" s="22">
        <f t="shared" ca="1" si="100"/>
        <v>45373</v>
      </c>
    </row>
    <row r="384" spans="4:38" x14ac:dyDescent="0.25">
      <c r="D384" s="6">
        <f ca="1"/>
        <v>45547</v>
      </c>
      <c r="E384" s="28">
        <f ca="1"/>
        <v>155.5</v>
      </c>
      <c r="F384" s="29" cm="1">
        <f t="array" aca="1" ref="F384" ca="1">_xll.FDS($E$7,"P_BETA_LOCIDX("&amp;$AG384&amp;","&amp;$AL384&amp;",,"""&amp;$E$9&amp;""")")</f>
        <v>1.7072761000000001</v>
      </c>
      <c r="G384" s="30">
        <f t="shared" ca="1" si="86"/>
        <v>-5.7572306627557863E-3</v>
      </c>
      <c r="H384" s="30">
        <f t="shared" ca="1" si="86"/>
        <v>-5.124261834401108E-2</v>
      </c>
      <c r="I384" s="30">
        <f t="shared" ca="1" si="86"/>
        <v>-4.7575241288755184E-2</v>
      </c>
      <c r="J384" s="30">
        <f t="shared" ca="1" si="86"/>
        <v>-9.801909267990068E-2</v>
      </c>
      <c r="K384" s="30">
        <f t="shared" ca="1" si="87"/>
        <v>2.8648955435811797E-2</v>
      </c>
      <c r="L384" s="30">
        <f t="shared" ca="1" si="87"/>
        <v>1.0929634664836494E-3</v>
      </c>
      <c r="M384" s="30">
        <f t="shared" ca="1" si="87"/>
        <v>4.3986877838800016E-2</v>
      </c>
      <c r="N384" s="30">
        <f t="shared" ca="1" si="87"/>
        <v>3.8221039593257025E-2</v>
      </c>
      <c r="O384" s="30">
        <f t="shared" ca="1" si="88"/>
        <v>2.289172477305601E-2</v>
      </c>
      <c r="P384" s="30">
        <f t="shared" ca="1" si="89"/>
        <v>-5.0149654877527428E-2</v>
      </c>
      <c r="Q384" s="30">
        <f t="shared" ca="1" si="90"/>
        <v>-3.5883634499551675E-3</v>
      </c>
      <c r="R384" s="30">
        <f t="shared" ca="1" si="91"/>
        <v>-5.9798053086643654E-2</v>
      </c>
      <c r="S384" s="9" cm="1">
        <f t="array" aca="1" ref="S384" ca="1">_xll.BDH($E$6,"PX LAST",AG384)</f>
        <v>155.5</v>
      </c>
      <c r="T384" s="9" cm="1">
        <f t="array" aca="1" ref="T384" ca="1">_xll.BDH($E$6,"PX LAST",AH384)</f>
        <v>152.02000000000001</v>
      </c>
      <c r="U384" s="9" cm="1">
        <f t="array" aca="1" ref="U384" ca="1">_xll.BDH($E$6,"PX LAST",AI384)</f>
        <v>163.71</v>
      </c>
      <c r="V384" s="9" cm="1">
        <f t="array" aca="1" ref="V384" ca="1">_xll.BDH($E$6,"PX LAST",AJ384)</f>
        <v>156.06</v>
      </c>
      <c r="W384" s="9" cm="1">
        <f t="array" aca="1" ref="W384" ca="1">_xll.BDH($E$6,"PX LAST",AK384)</f>
        <v>165.39</v>
      </c>
      <c r="X384" s="24">
        <f t="shared" ca="1" si="92"/>
        <v>1.6780505177699023E-2</v>
      </c>
      <c r="Y384" s="24">
        <f t="shared" ca="1" si="93"/>
        <v>6.4017967948104548E-4</v>
      </c>
      <c r="Z384" s="24">
        <f t="shared" ca="1" si="94"/>
        <v>2.5764361042013073E-2</v>
      </c>
      <c r="AA384" s="24">
        <f t="shared" ca="1" si="95"/>
        <v>2.2387146164148275E-2</v>
      </c>
      <c r="AB384" s="9" cm="1">
        <f t="array" aca="1" ref="AB384" ca="1">_xll.BDH($E$8,"PX LAST",AG384)</f>
        <v>5595.76</v>
      </c>
      <c r="AC384" s="9" cm="1">
        <f t="array" aca="1" ref="AC384" ca="1">_xll.BDH($E$8,"PX LAST",AH384)</f>
        <v>5503.41</v>
      </c>
      <c r="AD384" s="9" cm="1">
        <f t="array" aca="1" ref="AD384" ca="1">_xll.BDH($E$8,"PX LAST",AI384)</f>
        <v>5592.18</v>
      </c>
      <c r="AE384" s="9" cm="1">
        <f t="array" aca="1" ref="AE384" ca="1">_xll.BDH($E$8,"PX LAST",AJ384)</f>
        <v>5455.21</v>
      </c>
      <c r="AF384" s="9" cm="1">
        <f t="array" aca="1" ref="AF384" ca="1">_xll.BDH($E$8,"PX LAST",AK384)</f>
        <v>5473.23</v>
      </c>
      <c r="AG384" s="20">
        <f t="shared" ca="1" si="101"/>
        <v>45547</v>
      </c>
      <c r="AH384" s="22">
        <f t="shared" ca="1" si="96"/>
        <v>45540</v>
      </c>
      <c r="AI384" s="22">
        <f t="shared" ca="1" si="97"/>
        <v>45532</v>
      </c>
      <c r="AJ384" s="22">
        <f t="shared" ca="1" si="98"/>
        <v>45518</v>
      </c>
      <c r="AK384" s="22">
        <f t="shared" ca="1" si="99"/>
        <v>45460</v>
      </c>
      <c r="AL384" s="22">
        <f t="shared" ca="1" si="100"/>
        <v>45372</v>
      </c>
    </row>
    <row r="385" spans="4:38" x14ac:dyDescent="0.25">
      <c r="D385" s="6">
        <f ca="1"/>
        <v>45546</v>
      </c>
      <c r="E385" s="28">
        <f ca="1"/>
        <v>154.79</v>
      </c>
      <c r="F385" s="29" cm="1">
        <f t="array" aca="1" ref="F385" ca="1">_xll.FDS($E$7,"P_BETA_LOCIDX("&amp;$AG385&amp;","&amp;$AL385&amp;",,"""&amp;$E$9&amp;""")")</f>
        <v>1.7104124999999999</v>
      </c>
      <c r="G385" s="30">
        <f t="shared" ca="1" si="86"/>
        <v>-4.5091510658056087E-3</v>
      </c>
      <c r="H385" s="30">
        <f t="shared" ca="1" si="86"/>
        <v>-3.1656014113217147E-2</v>
      </c>
      <c r="I385" s="30">
        <f t="shared" ca="1" si="86"/>
        <v>-4.7524893825435101E-2</v>
      </c>
      <c r="J385" s="30">
        <f t="shared" ca="1" si="86"/>
        <v>-0.10941731743566711</v>
      </c>
      <c r="K385" s="30">
        <f t="shared" ca="1" si="87"/>
        <v>1.0553607064765472E-2</v>
      </c>
      <c r="L385" s="30">
        <f t="shared" ca="1" si="87"/>
        <v>-2.1789836800988248E-2</v>
      </c>
      <c r="M385" s="30">
        <f t="shared" ca="1" si="87"/>
        <v>3.7673937515065849E-2</v>
      </c>
      <c r="N385" s="30">
        <f t="shared" ca="1" si="87"/>
        <v>3.8584734447492483E-2</v>
      </c>
      <c r="O385" s="30">
        <f t="shared" ca="1" si="88"/>
        <v>6.0444559989598634E-3</v>
      </c>
      <c r="P385" s="30">
        <f t="shared" ca="1" si="89"/>
        <v>-5.3445850914205395E-2</v>
      </c>
      <c r="Q385" s="30">
        <f t="shared" ca="1" si="90"/>
        <v>-9.8509563103692521E-3</v>
      </c>
      <c r="R385" s="30">
        <f t="shared" ca="1" si="91"/>
        <v>-7.0832582988174631E-2</v>
      </c>
      <c r="S385" s="9" cm="1">
        <f t="array" aca="1" ref="S385" ca="1">_xll.BDH($E$6,"PX LAST",AG385)</f>
        <v>154.79</v>
      </c>
      <c r="T385" s="9" cm="1">
        <f t="array" aca="1" ref="T385" ca="1">_xll.BDH($E$6,"PX LAST",AH385)</f>
        <v>153.86000000000001</v>
      </c>
      <c r="U385" s="9" cm="1">
        <f t="array" aca="1" ref="U385" ca="1">_xll.BDH($E$6,"PX LAST",AI385)</f>
        <v>163.53</v>
      </c>
      <c r="V385" s="9" cm="1">
        <f t="array" aca="1" ref="V385" ca="1">_xll.BDH($E$6,"PX LAST",AJ385)</f>
        <v>156.33000000000001</v>
      </c>
      <c r="W385" s="9" cm="1">
        <f t="array" aca="1" ref="W385" ca="1">_xll.BDH($E$6,"PX LAST",AK385)</f>
        <v>166.59</v>
      </c>
      <c r="X385" s="24">
        <f t="shared" ca="1" si="92"/>
        <v>6.1702116096353787E-3</v>
      </c>
      <c r="Y385" s="24">
        <f t="shared" ca="1" si="93"/>
        <v>-1.2739521490276906E-2</v>
      </c>
      <c r="Z385" s="24">
        <f t="shared" ca="1" si="94"/>
        <v>2.2026229061741454E-2</v>
      </c>
      <c r="AA385" s="24">
        <f t="shared" ca="1" si="95"/>
        <v>2.2558730392517878E-2</v>
      </c>
      <c r="AB385" s="9" cm="1">
        <f t="array" aca="1" ref="AB385" ca="1">_xll.BDH($E$8,"PX LAST",AG385)</f>
        <v>5554.13</v>
      </c>
      <c r="AC385" s="9" cm="1">
        <f t="array" aca="1" ref="AC385" ca="1">_xll.BDH($E$8,"PX LAST",AH385)</f>
        <v>5520.07</v>
      </c>
      <c r="AD385" s="9" cm="1">
        <f t="array" aca="1" ref="AD385" ca="1">_xll.BDH($E$8,"PX LAST",AI385)</f>
        <v>5625.8</v>
      </c>
      <c r="AE385" s="9" cm="1">
        <f t="array" aca="1" ref="AE385" ca="1">_xll.BDH($E$8,"PX LAST",AJ385)</f>
        <v>5434.43</v>
      </c>
      <c r="AF385" s="9" cm="1">
        <f t="array" aca="1" ref="AF385" ca="1">_xll.BDH($E$8,"PX LAST",AK385)</f>
        <v>5431.6</v>
      </c>
      <c r="AG385" s="20">
        <f t="shared" ca="1" si="101"/>
        <v>45546</v>
      </c>
      <c r="AH385" s="22">
        <f t="shared" ca="1" si="96"/>
        <v>45539</v>
      </c>
      <c r="AI385" s="22">
        <f t="shared" ca="1" si="97"/>
        <v>45531</v>
      </c>
      <c r="AJ385" s="22">
        <f t="shared" ca="1" si="98"/>
        <v>45517</v>
      </c>
      <c r="AK385" s="22">
        <f t="shared" ca="1" si="99"/>
        <v>45457</v>
      </c>
      <c r="AL385" s="22">
        <f t="shared" ca="1" si="100"/>
        <v>45371</v>
      </c>
    </row>
    <row r="386" spans="4:38" x14ac:dyDescent="0.25">
      <c r="D386" s="6">
        <f ca="1"/>
        <v>45545</v>
      </c>
      <c r="E386" s="28">
        <f ca="1"/>
        <v>152.91</v>
      </c>
      <c r="F386" s="29" cm="1">
        <f t="array" aca="1" ref="F386" ca="1">_xll.FDS($E$7,"P_BETA_LOCIDX("&amp;$AG386&amp;","&amp;$AL386&amp;",,"""&amp;$E$9&amp;""")")</f>
        <v>1.7188445000000001</v>
      </c>
      <c r="G386" s="30">
        <f t="shared" ca="1" si="86"/>
        <v>-4.9395982424003931E-3</v>
      </c>
      <c r="H386" s="30">
        <f t="shared" ca="1" si="86"/>
        <v>-3.8555661679047663E-2</v>
      </c>
      <c r="I386" s="30">
        <f t="shared" ca="1" si="86"/>
        <v>-5.2449563810623955E-2</v>
      </c>
      <c r="J386" s="30">
        <f t="shared" ca="1" si="86"/>
        <v>-0.14392000307869832</v>
      </c>
      <c r="K386" s="30">
        <f t="shared" ca="1" si="87"/>
        <v>-1.0386565708916525E-2</v>
      </c>
      <c r="L386" s="30">
        <f t="shared" ca="1" si="87"/>
        <v>-3.7125895475035649E-2</v>
      </c>
      <c r="M386" s="30">
        <f t="shared" ca="1" si="87"/>
        <v>4.8605915602154902E-2</v>
      </c>
      <c r="N386" s="30">
        <f t="shared" ca="1" si="87"/>
        <v>1.9542748311476153E-2</v>
      </c>
      <c r="O386" s="30">
        <f t="shared" ca="1" si="88"/>
        <v>-1.5326163951316918E-2</v>
      </c>
      <c r="P386" s="30">
        <f t="shared" ca="1" si="89"/>
        <v>-7.5681557154083312E-2</v>
      </c>
      <c r="Q386" s="30">
        <f t="shared" ca="1" si="90"/>
        <v>-3.8436482084690526E-3</v>
      </c>
      <c r="R386" s="30">
        <f t="shared" ca="1" si="91"/>
        <v>-0.12437725476722217</v>
      </c>
      <c r="S386" s="9" cm="1">
        <f t="array" aca="1" ref="S386" ca="1">_xll.BDH($E$6,"PX LAST",AG386)</f>
        <v>152.91</v>
      </c>
      <c r="T386" s="9" cm="1">
        <f t="array" aca="1" ref="T386" ca="1">_xll.BDH($E$6,"PX LAST",AH386)</f>
        <v>155.29</v>
      </c>
      <c r="U386" s="9" cm="1">
        <f t="array" aca="1" ref="U386" ca="1">_xll.BDH($E$6,"PX LAST",AI386)</f>
        <v>165.43</v>
      </c>
      <c r="V386" s="9" cm="1">
        <f t="array" aca="1" ref="V386" ca="1">_xll.BDH($E$6,"PX LAST",AJ386)</f>
        <v>153.5</v>
      </c>
      <c r="W386" s="9" cm="1">
        <f t="array" aca="1" ref="W386" ca="1">_xll.BDH($E$6,"PX LAST",AK386)</f>
        <v>174.63</v>
      </c>
      <c r="X386" s="24">
        <f t="shared" ca="1" si="92"/>
        <v>-6.0427605341358825E-3</v>
      </c>
      <c r="Y386" s="24">
        <f t="shared" ca="1" si="93"/>
        <v>-2.1599333433033441E-2</v>
      </c>
      <c r="Z386" s="24">
        <f t="shared" ca="1" si="94"/>
        <v>2.8278250651617931E-2</v>
      </c>
      <c r="AA386" s="24">
        <f t="shared" ca="1" si="95"/>
        <v>1.1369701163471246E-2</v>
      </c>
      <c r="AB386" s="9" cm="1">
        <f t="array" aca="1" ref="AB386" ca="1">_xll.BDH($E$8,"PX LAST",AG386)</f>
        <v>5495.52</v>
      </c>
      <c r="AC386" s="9" cm="1">
        <f t="array" aca="1" ref="AC386" ca="1">_xll.BDH($E$8,"PX LAST",AH386)</f>
        <v>5528.93</v>
      </c>
      <c r="AD386" s="9" cm="1">
        <f t="array" aca="1" ref="AD386" ca="1">_xll.BDH($E$8,"PX LAST",AI386)</f>
        <v>5616.84</v>
      </c>
      <c r="AE386" s="9" cm="1">
        <f t="array" aca="1" ref="AE386" ca="1">_xll.BDH($E$8,"PX LAST",AJ386)</f>
        <v>5344.39</v>
      </c>
      <c r="AF386" s="9" cm="1">
        <f t="array" aca="1" ref="AF386" ca="1">_xll.BDH($E$8,"PX LAST",AK386)</f>
        <v>5433.74</v>
      </c>
      <c r="AG386" s="20">
        <f t="shared" ca="1" si="101"/>
        <v>45545</v>
      </c>
      <c r="AH386" s="22">
        <f t="shared" ca="1" si="96"/>
        <v>45538</v>
      </c>
      <c r="AI386" s="22">
        <f t="shared" ca="1" si="97"/>
        <v>45530</v>
      </c>
      <c r="AJ386" s="22">
        <f t="shared" ca="1" si="98"/>
        <v>45516</v>
      </c>
      <c r="AK386" s="22">
        <f t="shared" ca="1" si="99"/>
        <v>45456</v>
      </c>
      <c r="AL386" s="22">
        <f t="shared" ca="1" si="100"/>
        <v>45370</v>
      </c>
    </row>
    <row r="387" spans="4:38" x14ac:dyDescent="0.25">
      <c r="D387" s="6">
        <f ca="1"/>
        <v>45544</v>
      </c>
      <c r="E387" s="28">
        <f ca="1"/>
        <v>152.96</v>
      </c>
      <c r="F387" s="29" cm="1">
        <f t="array" aca="1" ref="F387" ca="1">_xll.FDS($E$7,"P_BETA_LOCIDX("&amp;$AG387&amp;","&amp;$AL387&amp;",,"""&amp;$E$9&amp;""")")</f>
        <v>1.7230909999999999</v>
      </c>
      <c r="G387" s="30">
        <f t="shared" ca="1" si="86"/>
        <v>-2.0997690194632615E-2</v>
      </c>
      <c r="H387" s="30">
        <f t="shared" ca="1" si="86"/>
        <v>-2.3457634847673998E-2</v>
      </c>
      <c r="I387" s="30">
        <f t="shared" ca="1" si="86"/>
        <v>-6.1216106443205867E-2</v>
      </c>
      <c r="J387" s="30">
        <f t="shared" ca="1" si="86"/>
        <v>-0.15671797339857754</v>
      </c>
      <c r="K387" s="30">
        <f t="shared" ca="1" si="87"/>
        <v>-5.4102080031513164E-2</v>
      </c>
      <c r="L387" s="30">
        <f t="shared" ca="1" si="87"/>
        <v>-5.0017439354276431E-2</v>
      </c>
      <c r="M387" s="30">
        <f t="shared" ca="1" si="87"/>
        <v>4.0912513283659427E-2</v>
      </c>
      <c r="N387" s="30">
        <f t="shared" ca="1" si="87"/>
        <v>1.5899010302470231E-2</v>
      </c>
      <c r="O387" s="30">
        <f t="shared" ca="1" si="88"/>
        <v>-7.5099770226145779E-2</v>
      </c>
      <c r="P387" s="30">
        <f t="shared" ca="1" si="89"/>
        <v>-7.347507420195043E-2</v>
      </c>
      <c r="Q387" s="30">
        <f t="shared" ca="1" si="90"/>
        <v>-2.030359315954644E-2</v>
      </c>
      <c r="R387" s="30">
        <f t="shared" ca="1" si="91"/>
        <v>-0.14081896309610731</v>
      </c>
      <c r="S387" s="9" cm="1">
        <f t="array" aca="1" ref="S387" ca="1">_xll.BDH($E$6,"PX LAST",AG387)</f>
        <v>152.96</v>
      </c>
      <c r="T387" s="9" cm="1">
        <f t="array" aca="1" ref="T387" ca="1">_xll.BDH($E$6,"PX LAST",AH387)</f>
        <v>165.38</v>
      </c>
      <c r="U387" s="9" cm="1">
        <f t="array" aca="1" ref="U387" ca="1">_xll.BDH($E$6,"PX LAST",AI387)</f>
        <v>165.09</v>
      </c>
      <c r="V387" s="9" cm="1">
        <f t="array" aca="1" ref="V387" ca="1">_xll.BDH($E$6,"PX LAST",AJ387)</f>
        <v>156.13</v>
      </c>
      <c r="W387" s="9" cm="1">
        <f t="array" aca="1" ref="W387" ca="1">_xll.BDH($E$6,"PX LAST",AK387)</f>
        <v>178.03</v>
      </c>
      <c r="X387" s="24">
        <f t="shared" ca="1" si="92"/>
        <v>-3.1398272077048262E-2</v>
      </c>
      <c r="Y387" s="24">
        <f t="shared" ca="1" si="93"/>
        <v>-2.9027741050400957E-2</v>
      </c>
      <c r="Z387" s="24">
        <f t="shared" ca="1" si="94"/>
        <v>2.3743675339061854E-2</v>
      </c>
      <c r="AA387" s="24">
        <f t="shared" ca="1" si="95"/>
        <v>9.2270288118678767E-3</v>
      </c>
      <c r="AB387" s="9" cm="1">
        <f t="array" aca="1" ref="AB387" ca="1">_xll.BDH($E$8,"PX LAST",AG387)</f>
        <v>5471.05</v>
      </c>
      <c r="AC387" s="9" cm="1">
        <f t="array" aca="1" ref="AC387" ca="1">_xll.BDH($E$8,"PX LAST",AH387)</f>
        <v>5648.4</v>
      </c>
      <c r="AD387" s="9" cm="1">
        <f t="array" aca="1" ref="AD387" ca="1">_xll.BDH($E$8,"PX LAST",AI387)</f>
        <v>5634.61</v>
      </c>
      <c r="AE387" s="9" cm="1">
        <f t="array" aca="1" ref="AE387" ca="1">_xll.BDH($E$8,"PX LAST",AJ387)</f>
        <v>5344.16</v>
      </c>
      <c r="AF387" s="9" cm="1">
        <f t="array" aca="1" ref="AF387" ca="1">_xll.BDH($E$8,"PX LAST",AK387)</f>
        <v>5421.03</v>
      </c>
      <c r="AG387" s="20">
        <f t="shared" ca="1" si="101"/>
        <v>45544</v>
      </c>
      <c r="AH387" s="22">
        <f t="shared" ca="1" si="96"/>
        <v>45534</v>
      </c>
      <c r="AI387" s="22">
        <f t="shared" ca="1" si="97"/>
        <v>45527</v>
      </c>
      <c r="AJ387" s="22">
        <f t="shared" ca="1" si="98"/>
        <v>45513</v>
      </c>
      <c r="AK387" s="22">
        <f t="shared" ca="1" si="99"/>
        <v>45455</v>
      </c>
      <c r="AL387" s="22">
        <f t="shared" ca="1" si="100"/>
        <v>45369</v>
      </c>
    </row>
    <row r="388" spans="4:38" x14ac:dyDescent="0.25">
      <c r="D388" s="6">
        <f ca="1"/>
        <v>45541</v>
      </c>
      <c r="E388" s="28">
        <f ca="1"/>
        <v>149.87</v>
      </c>
      <c r="F388" s="29" cm="1">
        <f t="array" aca="1" ref="F388" ca="1">_xll.FDS($E$7,"P_BETA_LOCIDX("&amp;$AG388&amp;","&amp;$AL388&amp;",,"""&amp;$E$9&amp;""")")</f>
        <v>1.7080529</v>
      </c>
      <c r="G388" s="30">
        <f t="shared" ca="1" si="86"/>
        <v>-2.3530290036404548E-2</v>
      </c>
      <c r="H388" s="30">
        <f t="shared" ca="1" si="86"/>
        <v>-1.4158155007004743E-2</v>
      </c>
      <c r="I388" s="30">
        <f t="shared" ca="1" si="86"/>
        <v>-6.463340813304029E-2</v>
      </c>
      <c r="J388" s="30">
        <f t="shared" ca="1" si="86"/>
        <v>-0.15465577233364314</v>
      </c>
      <c r="K388" s="30">
        <f t="shared" ca="1" si="87"/>
        <v>-5.6061922700806073E-2</v>
      </c>
      <c r="L388" s="30">
        <f t="shared" ca="1" si="87"/>
        <v>-4.9739409015481177E-2</v>
      </c>
      <c r="M388" s="30">
        <f t="shared" ca="1" si="87"/>
        <v>2.8613597237047584E-2</v>
      </c>
      <c r="N388" s="30">
        <f t="shared" ca="1" si="87"/>
        <v>1.0517801915049028E-2</v>
      </c>
      <c r="O388" s="30">
        <f t="shared" ca="1" si="88"/>
        <v>-7.9592212737210621E-2</v>
      </c>
      <c r="P388" s="30">
        <f t="shared" ca="1" si="89"/>
        <v>-6.389756402248592E-2</v>
      </c>
      <c r="Q388" s="30">
        <f t="shared" ca="1" si="90"/>
        <v>-3.601981089599271E-2</v>
      </c>
      <c r="R388" s="30">
        <f t="shared" ca="1" si="91"/>
        <v>-0.14413797041859411</v>
      </c>
      <c r="S388" s="9" cm="1">
        <f t="array" aca="1" ref="S388" ca="1">_xll.BDH($E$6,"PX LAST",AG388)</f>
        <v>149.87</v>
      </c>
      <c r="T388" s="9" cm="1">
        <f t="array" aca="1" ref="T388" ca="1">_xll.BDH($E$6,"PX LAST",AH388)</f>
        <v>162.83000000000001</v>
      </c>
      <c r="U388" s="9" cm="1">
        <f t="array" aca="1" ref="U388" ca="1">_xll.BDH($E$6,"PX LAST",AI388)</f>
        <v>160.1</v>
      </c>
      <c r="V388" s="9" cm="1">
        <f t="array" aca="1" ref="V388" ca="1">_xll.BDH($E$6,"PX LAST",AJ388)</f>
        <v>155.47</v>
      </c>
      <c r="W388" s="9" cm="1">
        <f t="array" aca="1" ref="W388" ca="1">_xll.BDH($E$6,"PX LAST",AK388)</f>
        <v>175.11</v>
      </c>
      <c r="X388" s="24">
        <f t="shared" ca="1" si="92"/>
        <v>-3.2822123191152963E-2</v>
      </c>
      <c r="Y388" s="24">
        <f t="shared" ca="1" si="93"/>
        <v>-2.9120531931699056E-2</v>
      </c>
      <c r="Z388" s="24">
        <f t="shared" ca="1" si="94"/>
        <v>1.6752172744209259E-2</v>
      </c>
      <c r="AA388" s="24">
        <f t="shared" ca="1" si="95"/>
        <v>6.1577729325883457E-3</v>
      </c>
      <c r="AB388" s="9" cm="1">
        <f t="array" aca="1" ref="AB388" ca="1">_xll.BDH($E$8,"PX LAST",AG388)</f>
        <v>5408.42</v>
      </c>
      <c r="AC388" s="9" cm="1">
        <f t="array" aca="1" ref="AC388" ca="1">_xll.BDH($E$8,"PX LAST",AH388)</f>
        <v>5591.96</v>
      </c>
      <c r="AD388" s="9" cm="1">
        <f t="array" aca="1" ref="AD388" ca="1">_xll.BDH($E$8,"PX LAST",AI388)</f>
        <v>5570.64</v>
      </c>
      <c r="AE388" s="9" cm="1">
        <f t="array" aca="1" ref="AE388" ca="1">_xll.BDH($E$8,"PX LAST",AJ388)</f>
        <v>5319.31</v>
      </c>
      <c r="AF388" s="9" cm="1">
        <f t="array" aca="1" ref="AF388" ca="1">_xll.BDH($E$8,"PX LAST",AK388)</f>
        <v>5375.32</v>
      </c>
      <c r="AG388" s="20">
        <f t="shared" ca="1" si="101"/>
        <v>45541</v>
      </c>
      <c r="AH388" s="22">
        <f t="shared" ca="1" si="96"/>
        <v>45533</v>
      </c>
      <c r="AI388" s="22">
        <f t="shared" ca="1" si="97"/>
        <v>45526</v>
      </c>
      <c r="AJ388" s="22">
        <f t="shared" ca="1" si="98"/>
        <v>45512</v>
      </c>
      <c r="AK388" s="22">
        <f t="shared" ca="1" si="99"/>
        <v>45454</v>
      </c>
      <c r="AL388" s="22">
        <f t="shared" ca="1" si="100"/>
        <v>45366</v>
      </c>
    </row>
    <row r="389" spans="4:38" x14ac:dyDescent="0.25">
      <c r="D389" s="6">
        <f ca="1"/>
        <v>45540</v>
      </c>
      <c r="E389" s="28">
        <f ca="1"/>
        <v>152.02000000000001</v>
      </c>
      <c r="F389" s="29" cm="1">
        <f t="array" aca="1" ref="F389" ca="1">_xll.FDS($E$7,"P_BETA_LOCIDX("&amp;$AG389&amp;","&amp;$AL389&amp;",,"""&amp;$E$9&amp;""")")</f>
        <v>1.7495551</v>
      </c>
      <c r="G389" s="30">
        <f t="shared" ca="1" si="86"/>
        <v>-4.3634401198691872E-2</v>
      </c>
      <c r="H389" s="30">
        <f t="shared" ca="1" si="86"/>
        <v>-2.2145121085736227E-2</v>
      </c>
      <c r="I389" s="30">
        <f t="shared" ca="1" si="86"/>
        <v>-8.5200955164144582E-2</v>
      </c>
      <c r="J389" s="30">
        <f t="shared" ca="1" si="86"/>
        <v>-0.20076843362174174</v>
      </c>
      <c r="K389" s="30">
        <f t="shared" ca="1" si="87"/>
        <v>-2.7772354650065011E-2</v>
      </c>
      <c r="L389" s="30">
        <f t="shared" ca="1" si="87"/>
        <v>-3.6554569316740462E-2</v>
      </c>
      <c r="M389" s="30">
        <f t="shared" ca="1" si="87"/>
        <v>0.10226123481892488</v>
      </c>
      <c r="N389" s="30">
        <f t="shared" ca="1" si="87"/>
        <v>4.6545667403871518E-2</v>
      </c>
      <c r="O389" s="30">
        <f t="shared" ca="1" si="88"/>
        <v>-7.1406755848756887E-2</v>
      </c>
      <c r="P389" s="30">
        <f t="shared" ca="1" si="89"/>
        <v>-5.869969040247669E-2</v>
      </c>
      <c r="Q389" s="30">
        <f t="shared" ca="1" si="90"/>
        <v>1.7060279654780297E-2</v>
      </c>
      <c r="R389" s="30">
        <f t="shared" ca="1" si="91"/>
        <v>-0.15422276621787023</v>
      </c>
      <c r="S389" s="9" cm="1">
        <f t="array" aca="1" ref="S389" ca="1">_xll.BDH($E$6,"PX LAST",AG389)</f>
        <v>152.02000000000001</v>
      </c>
      <c r="T389" s="9" cm="1">
        <f t="array" aca="1" ref="T389" ca="1">_xll.BDH($E$6,"PX LAST",AH389)</f>
        <v>163.71</v>
      </c>
      <c r="U389" s="9" cm="1">
        <f t="array" aca="1" ref="U389" ca="1">_xll.BDH($E$6,"PX LAST",AI389)</f>
        <v>161.5</v>
      </c>
      <c r="V389" s="9" cm="1">
        <f t="array" aca="1" ref="V389" ca="1">_xll.BDH($E$6,"PX LAST",AJ389)</f>
        <v>149.47</v>
      </c>
      <c r="W389" s="9" cm="1">
        <f t="array" aca="1" ref="W389" ca="1">_xll.BDH($E$6,"PX LAST",AK389)</f>
        <v>179.74</v>
      </c>
      <c r="X389" s="24">
        <f t="shared" ca="1" si="92"/>
        <v>-1.5873952555175319E-2</v>
      </c>
      <c r="Y389" s="24">
        <f t="shared" ca="1" si="93"/>
        <v>-2.089363708335934E-2</v>
      </c>
      <c r="Z389" s="24">
        <f t="shared" ca="1" si="94"/>
        <v>5.844985094720645E-2</v>
      </c>
      <c r="AA389" s="24">
        <f t="shared" ca="1" si="95"/>
        <v>2.6604287800865212E-2</v>
      </c>
      <c r="AB389" s="9" cm="1">
        <f t="array" aca="1" ref="AB389" ca="1">_xll.BDH($E$8,"PX LAST",AG389)</f>
        <v>5503.41</v>
      </c>
      <c r="AC389" s="9" cm="1">
        <f t="array" aca="1" ref="AC389" ca="1">_xll.BDH($E$8,"PX LAST",AH389)</f>
        <v>5592.18</v>
      </c>
      <c r="AD389" s="9" cm="1">
        <f t="array" aca="1" ref="AD389" ca="1">_xll.BDH($E$8,"PX LAST",AI389)</f>
        <v>5620.85</v>
      </c>
      <c r="AE389" s="9" cm="1">
        <f t="array" aca="1" ref="AE389" ca="1">_xll.BDH($E$8,"PX LAST",AJ389)</f>
        <v>5199.5</v>
      </c>
      <c r="AF389" s="9" cm="1">
        <f t="array" aca="1" ref="AF389" ca="1">_xll.BDH($E$8,"PX LAST",AK389)</f>
        <v>5360.79</v>
      </c>
      <c r="AG389" s="20">
        <f t="shared" ca="1" si="101"/>
        <v>45540</v>
      </c>
      <c r="AH389" s="22">
        <f t="shared" ca="1" si="96"/>
        <v>45532</v>
      </c>
      <c r="AI389" s="22">
        <f t="shared" ca="1" si="97"/>
        <v>45525</v>
      </c>
      <c r="AJ389" s="22">
        <f t="shared" ca="1" si="98"/>
        <v>45511</v>
      </c>
      <c r="AK389" s="22">
        <f t="shared" ca="1" si="99"/>
        <v>45453</v>
      </c>
      <c r="AL389" s="22">
        <f t="shared" ca="1" si="100"/>
        <v>45365</v>
      </c>
    </row>
    <row r="390" spans="4:38" x14ac:dyDescent="0.25">
      <c r="D390" s="6">
        <f ca="1"/>
        <v>45539</v>
      </c>
      <c r="E390" s="28">
        <f ca="1"/>
        <v>153.86000000000001</v>
      </c>
      <c r="F390" s="29" cm="1">
        <f t="array" aca="1" ref="F390" ca="1">_xll.FDS($E$7,"P_BETA_LOCIDX("&amp;$AG390&amp;","&amp;$AL390&amp;",,"""&amp;$E$9&amp;""")")</f>
        <v>1.7436351999999999</v>
      </c>
      <c r="G390" s="30">
        <f t="shared" ca="1" si="86"/>
        <v>-2.6363399197294517E-2</v>
      </c>
      <c r="H390" s="30">
        <f t="shared" ca="1" si="86"/>
        <v>-9.6541780371702315E-4</v>
      </c>
      <c r="I390" s="30">
        <f t="shared" ca="1" si="86"/>
        <v>-8.6049214574102598E-2</v>
      </c>
      <c r="J390" s="30">
        <f t="shared" ca="1" si="86"/>
        <v>-0.18411967276653146</v>
      </c>
      <c r="K390" s="30">
        <f t="shared" ca="1" si="87"/>
        <v>-3.2769481619680914E-2</v>
      </c>
      <c r="L390" s="30">
        <f t="shared" ca="1" si="87"/>
        <v>-2.4002896518209454E-2</v>
      </c>
      <c r="M390" s="30">
        <f t="shared" ca="1" si="87"/>
        <v>9.318412326036303E-2</v>
      </c>
      <c r="N390" s="30">
        <f t="shared" ca="1" si="87"/>
        <v>5.6440797610618224E-2</v>
      </c>
      <c r="O390" s="30">
        <f t="shared" ca="1" si="88"/>
        <v>-5.9132880816975431E-2</v>
      </c>
      <c r="P390" s="30">
        <f t="shared" ca="1" si="89"/>
        <v>-2.4968314321926477E-2</v>
      </c>
      <c r="Q390" s="30">
        <f t="shared" ca="1" si="90"/>
        <v>7.1349086862604327E-3</v>
      </c>
      <c r="R390" s="30">
        <f t="shared" ca="1" si="91"/>
        <v>-0.12767887515591325</v>
      </c>
      <c r="S390" s="9" cm="1">
        <f t="array" aca="1" ref="S390" ca="1">_xll.BDH($E$6,"PX LAST",AG390)</f>
        <v>153.86000000000001</v>
      </c>
      <c r="T390" s="9" cm="1">
        <f t="array" aca="1" ref="T390" ca="1">_xll.BDH($E$6,"PX LAST",AH390)</f>
        <v>163.53</v>
      </c>
      <c r="U390" s="9" cm="1">
        <f t="array" aca="1" ref="U390" ca="1">_xll.BDH($E$6,"PX LAST",AI390)</f>
        <v>157.80000000000001</v>
      </c>
      <c r="V390" s="9" cm="1">
        <f t="array" aca="1" ref="V390" ca="1">_xll.BDH($E$6,"PX LAST",AJ390)</f>
        <v>152.77000000000001</v>
      </c>
      <c r="W390" s="9" cm="1">
        <f t="array" aca="1" ref="W390" ca="1">_xll.BDH($E$6,"PX LAST",AK390)</f>
        <v>176.38</v>
      </c>
      <c r="X390" s="24">
        <f t="shared" ca="1" si="92"/>
        <v>-1.8793771552490401E-2</v>
      </c>
      <c r="Y390" s="24">
        <f t="shared" ca="1" si="93"/>
        <v>-1.3766008232805493E-2</v>
      </c>
      <c r="Z390" s="24">
        <f t="shared" ca="1" si="94"/>
        <v>5.3442442123422973E-2</v>
      </c>
      <c r="AA390" s="24">
        <f t="shared" ca="1" si="95"/>
        <v>3.2369613558282273E-2</v>
      </c>
      <c r="AB390" s="9" cm="1">
        <f t="array" aca="1" ref="AB390" ca="1">_xll.BDH($E$8,"PX LAST",AG390)</f>
        <v>5520.07</v>
      </c>
      <c r="AC390" s="9" cm="1">
        <f t="array" aca="1" ref="AC390" ca="1">_xll.BDH($E$8,"PX LAST",AH390)</f>
        <v>5625.8</v>
      </c>
      <c r="AD390" s="9" cm="1">
        <f t="array" aca="1" ref="AD390" ca="1">_xll.BDH($E$8,"PX LAST",AI390)</f>
        <v>5597.12</v>
      </c>
      <c r="AE390" s="9" cm="1">
        <f t="array" aca="1" ref="AE390" ca="1">_xll.BDH($E$8,"PX LAST",AJ390)</f>
        <v>5240.03</v>
      </c>
      <c r="AF390" s="9" cm="1">
        <f t="array" aca="1" ref="AF390" ca="1">_xll.BDH($E$8,"PX LAST",AK390)</f>
        <v>5346.99</v>
      </c>
      <c r="AG390" s="20">
        <f t="shared" ca="1" si="101"/>
        <v>45539</v>
      </c>
      <c r="AH390" s="22">
        <f t="shared" ca="1" si="96"/>
        <v>45531</v>
      </c>
      <c r="AI390" s="22">
        <f t="shared" ca="1" si="97"/>
        <v>45524</v>
      </c>
      <c r="AJ390" s="22">
        <f t="shared" ca="1" si="98"/>
        <v>45510</v>
      </c>
      <c r="AK390" s="22">
        <f t="shared" ca="1" si="99"/>
        <v>45450</v>
      </c>
      <c r="AL390" s="22">
        <f t="shared" ca="1" si="100"/>
        <v>45364</v>
      </c>
    </row>
    <row r="391" spans="4:38" x14ac:dyDescent="0.25">
      <c r="D391" s="6">
        <f ca="1"/>
        <v>45538</v>
      </c>
      <c r="E391" s="28">
        <f ca="1"/>
        <v>155.29</v>
      </c>
      <c r="F391" s="29" cm="1">
        <f t="array" aca="1" ref="F391" ca="1">_xll.FDS($E$7,"P_BETA_LOCIDX("&amp;$AG391&amp;","&amp;$AL391&amp;",,"""&amp;$E$9&amp;""")")</f>
        <v>1.7550656</v>
      </c>
      <c r="G391" s="30">
        <f t="shared" ca="1" si="86"/>
        <v>-3.3826014182684966E-2</v>
      </c>
      <c r="H391" s="30">
        <f t="shared" ca="1" si="86"/>
        <v>2.4116018418772374E-3</v>
      </c>
      <c r="I391" s="30">
        <f t="shared" ca="1" si="86"/>
        <v>-8.3423303647424271E-2</v>
      </c>
      <c r="J391" s="30">
        <f t="shared" ca="1" si="86"/>
        <v>-0.17229671973110136</v>
      </c>
      <c r="K391" s="30">
        <f t="shared" ca="1" si="87"/>
        <v>-2.7468793288753148E-2</v>
      </c>
      <c r="L391" s="30">
        <f t="shared" ca="1" si="87"/>
        <v>-2.482268147675289E-2</v>
      </c>
      <c r="M391" s="30">
        <f t="shared" ca="1" si="87"/>
        <v>0.11593660151976463</v>
      </c>
      <c r="N391" s="30">
        <f t="shared" ca="1" si="87"/>
        <v>5.7694975047824143E-2</v>
      </c>
      <c r="O391" s="30">
        <f t="shared" ca="1" si="88"/>
        <v>-6.1294807471438117E-2</v>
      </c>
      <c r="P391" s="30">
        <f t="shared" ca="1" si="89"/>
        <v>-2.2411079634875652E-2</v>
      </c>
      <c r="Q391" s="30">
        <f t="shared" ca="1" si="90"/>
        <v>3.2513297872340363E-2</v>
      </c>
      <c r="R391" s="30">
        <f t="shared" ca="1" si="91"/>
        <v>-0.11460174468327722</v>
      </c>
      <c r="S391" s="9" cm="1">
        <f t="array" aca="1" ref="S391" ca="1">_xll.BDH($E$6,"PX LAST",AG391)</f>
        <v>155.29</v>
      </c>
      <c r="T391" s="9" cm="1">
        <f t="array" aca="1" ref="T391" ca="1">_xll.BDH($E$6,"PX LAST",AH391)</f>
        <v>165.43</v>
      </c>
      <c r="U391" s="9" cm="1">
        <f t="array" aca="1" ref="U391" ca="1">_xll.BDH($E$6,"PX LAST",AI391)</f>
        <v>158.85</v>
      </c>
      <c r="V391" s="9" cm="1">
        <f t="array" aca="1" ref="V391" ca="1">_xll.BDH($E$6,"PX LAST",AJ391)</f>
        <v>150.4</v>
      </c>
      <c r="W391" s="9" cm="1">
        <f t="array" aca="1" ref="W391" ca="1">_xll.BDH($E$6,"PX LAST",AK391)</f>
        <v>175.39</v>
      </c>
      <c r="X391" s="24">
        <f t="shared" ca="1" si="92"/>
        <v>-1.5651149044658585E-2</v>
      </c>
      <c r="Y391" s="24">
        <f t="shared" ca="1" si="93"/>
        <v>-1.4143449382605922E-2</v>
      </c>
      <c r="Z391" s="24">
        <f t="shared" ca="1" si="94"/>
        <v>6.6058272419996511E-2</v>
      </c>
      <c r="AA391" s="24">
        <f t="shared" ca="1" si="95"/>
        <v>3.2873400884744219E-2</v>
      </c>
      <c r="AB391" s="9" cm="1">
        <f t="array" aca="1" ref="AB391" ca="1">_xll.BDH($E$8,"PX LAST",AG391)</f>
        <v>5528.93</v>
      </c>
      <c r="AC391" s="9" cm="1">
        <f t="array" aca="1" ref="AC391" ca="1">_xll.BDH($E$8,"PX LAST",AH391)</f>
        <v>5616.84</v>
      </c>
      <c r="AD391" s="9" cm="1">
        <f t="array" aca="1" ref="AD391" ca="1">_xll.BDH($E$8,"PX LAST",AI391)</f>
        <v>5608.25</v>
      </c>
      <c r="AE391" s="9" cm="1">
        <f t="array" aca="1" ref="AE391" ca="1">_xll.BDH($E$8,"PX LAST",AJ391)</f>
        <v>5186.33</v>
      </c>
      <c r="AF391" s="9" cm="1">
        <f t="array" aca="1" ref="AF391" ca="1">_xll.BDH($E$8,"PX LAST",AK391)</f>
        <v>5352.96</v>
      </c>
      <c r="AG391" s="20">
        <f t="shared" ca="1" si="101"/>
        <v>45538</v>
      </c>
      <c r="AH391" s="22">
        <f t="shared" ca="1" si="96"/>
        <v>45530</v>
      </c>
      <c r="AI391" s="22">
        <f t="shared" ca="1" si="97"/>
        <v>45523</v>
      </c>
      <c r="AJ391" s="22">
        <f t="shared" ca="1" si="98"/>
        <v>45509</v>
      </c>
      <c r="AK391" s="22">
        <f t="shared" ca="1" si="99"/>
        <v>45449</v>
      </c>
      <c r="AL391" s="22">
        <f t="shared" ca="1" si="100"/>
        <v>45363</v>
      </c>
    </row>
    <row r="392" spans="4:38" x14ac:dyDescent="0.25">
      <c r="D392" s="6">
        <f ca="1"/>
        <v>45534</v>
      </c>
      <c r="E392" s="28">
        <f ca="1"/>
        <v>165.38</v>
      </c>
      <c r="F392" s="29" cm="1">
        <f t="array" aca="1" ref="F392" ca="1">_xll.FDS($E$7,"P_BETA_LOCIDX("&amp;$AG392&amp;","&amp;$AL392&amp;",,"""&amp;$E$9&amp;""")")</f>
        <v>1.6951757999999999</v>
      </c>
      <c r="G392" s="30">
        <f t="shared" ca="1" si="86"/>
        <v>-2.3921121732763629E-3</v>
      </c>
      <c r="H392" s="30">
        <f t="shared" ca="1" si="86"/>
        <v>2.3702420058737357E-2</v>
      </c>
      <c r="I392" s="30">
        <f t="shared" ca="1" si="86"/>
        <v>-1.7745197636633389E-2</v>
      </c>
      <c r="J392" s="30">
        <f t="shared" ca="1" si="86"/>
        <v>-0.16399695619205648</v>
      </c>
      <c r="K392" s="30">
        <f t="shared" ca="1" si="87"/>
        <v>4.1487297757962461E-3</v>
      </c>
      <c r="L392" s="30">
        <f t="shared" ca="1" si="87"/>
        <v>2.8734896983390816E-2</v>
      </c>
      <c r="M392" s="30">
        <f t="shared" ca="1" si="87"/>
        <v>9.5701135584749672E-2</v>
      </c>
      <c r="N392" s="30">
        <f t="shared" ca="1" si="87"/>
        <v>9.320248490314767E-2</v>
      </c>
      <c r="O392" s="30">
        <f t="shared" ca="1" si="88"/>
        <v>1.7566176025198832E-3</v>
      </c>
      <c r="P392" s="30">
        <f t="shared" ca="1" si="89"/>
        <v>5.2437317042128173E-2</v>
      </c>
      <c r="Q392" s="30">
        <f t="shared" ca="1" si="90"/>
        <v>7.7955937948116283E-2</v>
      </c>
      <c r="R392" s="30">
        <f t="shared" ca="1" si="91"/>
        <v>-7.0794471288908811E-2</v>
      </c>
      <c r="S392" s="9" cm="1">
        <f t="array" aca="1" ref="S392" ca="1">_xll.BDH($E$6,"PX LAST",AG392)</f>
        <v>165.38</v>
      </c>
      <c r="T392" s="9" cm="1">
        <f t="array" aca="1" ref="T392" ca="1">_xll.BDH($E$6,"PX LAST",AH392)</f>
        <v>165.09</v>
      </c>
      <c r="U392" s="9" cm="1">
        <f t="array" aca="1" ref="U392" ca="1">_xll.BDH($E$6,"PX LAST",AI392)</f>
        <v>157.13999999999999</v>
      </c>
      <c r="V392" s="9" cm="1">
        <f t="array" aca="1" ref="V392" ca="1">_xll.BDH($E$6,"PX LAST",AJ392)</f>
        <v>153.41999999999999</v>
      </c>
      <c r="W392" s="9" cm="1">
        <f t="array" aca="1" ref="W392" ca="1">_xll.BDH($E$6,"PX LAST",AK392)</f>
        <v>177.98</v>
      </c>
      <c r="X392" s="24">
        <f t="shared" ca="1" si="92"/>
        <v>2.4473743524395797E-3</v>
      </c>
      <c r="Y392" s="24">
        <f t="shared" ca="1" si="93"/>
        <v>1.6950983481117898E-2</v>
      </c>
      <c r="Z392" s="24">
        <f t="shared" ca="1" si="94"/>
        <v>5.6454991620780381E-2</v>
      </c>
      <c r="AA392" s="24">
        <f t="shared" ca="1" si="95"/>
        <v>5.4981014301376696E-2</v>
      </c>
      <c r="AB392" s="9" cm="1">
        <f t="array" aca="1" ref="AB392" ca="1">_xll.BDH($E$8,"PX LAST",AG392)</f>
        <v>5648.4</v>
      </c>
      <c r="AC392" s="9" cm="1">
        <f t="array" aca="1" ref="AC392" ca="1">_xll.BDH($E$8,"PX LAST",AH392)</f>
        <v>5634.61</v>
      </c>
      <c r="AD392" s="9" cm="1">
        <f t="array" aca="1" ref="AD392" ca="1">_xll.BDH($E$8,"PX LAST",AI392)</f>
        <v>5554.25</v>
      </c>
      <c r="AE392" s="9" cm="1">
        <f t="array" aca="1" ref="AE392" ca="1">_xll.BDH($E$8,"PX LAST",AJ392)</f>
        <v>5346.56</v>
      </c>
      <c r="AF392" s="9" cm="1">
        <f t="array" aca="1" ref="AF392" ca="1">_xll.BDH($E$8,"PX LAST",AK392)</f>
        <v>5354.03</v>
      </c>
      <c r="AG392" s="20">
        <f t="shared" ca="1" si="101"/>
        <v>45534</v>
      </c>
      <c r="AH392" s="22">
        <f t="shared" ca="1" si="96"/>
        <v>45527</v>
      </c>
      <c r="AI392" s="22">
        <f t="shared" ca="1" si="97"/>
        <v>45520</v>
      </c>
      <c r="AJ392" s="22">
        <f t="shared" ca="1" si="98"/>
        <v>45506</v>
      </c>
      <c r="AK392" s="22">
        <f t="shared" ca="1" si="99"/>
        <v>45448</v>
      </c>
      <c r="AL392" s="22">
        <f t="shared" ca="1" si="100"/>
        <v>45362</v>
      </c>
    </row>
    <row r="393" spans="4:38" x14ac:dyDescent="0.25">
      <c r="D393" s="6">
        <f ca="1"/>
        <v>45533</v>
      </c>
      <c r="E393" s="28">
        <f ca="1"/>
        <v>162.83000000000001</v>
      </c>
      <c r="F393" s="29" cm="1">
        <f t="array" aca="1" ref="F393" ca="1">_xll.FDS($E$7,"P_BETA_LOCIDX("&amp;$AG393&amp;","&amp;$AL393&amp;",,"""&amp;$E$9&amp;""")")</f>
        <v>1.6879297</v>
      </c>
      <c r="G393" s="30">
        <f t="shared" ca="1" si="86"/>
        <v>1.059178393294458E-2</v>
      </c>
      <c r="H393" s="30">
        <f t="shared" ca="1" si="86"/>
        <v>7.0613503449538043E-3</v>
      </c>
      <c r="I393" s="30">
        <f t="shared" ca="1" si="86"/>
        <v>-1.9321579768150556E-2</v>
      </c>
      <c r="J393" s="30">
        <f t="shared" ca="1" si="86"/>
        <v>-0.15250220587048935</v>
      </c>
      <c r="K393" s="30">
        <f t="shared" ca="1" si="87"/>
        <v>6.4600586654315314E-3</v>
      </c>
      <c r="L393" s="30">
        <f t="shared" ca="1" si="87"/>
        <v>1.4841498908215628E-2</v>
      </c>
      <c r="M393" s="30">
        <f t="shared" ca="1" si="87"/>
        <v>4.5022367169725443E-2</v>
      </c>
      <c r="N393" s="30">
        <f t="shared" ca="1" si="87"/>
        <v>9.5897339126572848E-2</v>
      </c>
      <c r="O393" s="30">
        <f t="shared" ca="1" si="88"/>
        <v>1.705184259837611E-2</v>
      </c>
      <c r="P393" s="30">
        <f t="shared" ca="1" si="89"/>
        <v>2.1902849253169432E-2</v>
      </c>
      <c r="Q393" s="30">
        <f t="shared" ca="1" si="90"/>
        <v>2.5700787401574887E-2</v>
      </c>
      <c r="R393" s="30">
        <f t="shared" ca="1" si="91"/>
        <v>-5.6604866743916515E-2</v>
      </c>
      <c r="S393" s="9" cm="1">
        <f t="array" aca="1" ref="S393" ca="1">_xll.BDH($E$6,"PX LAST",AG393)</f>
        <v>162.83000000000001</v>
      </c>
      <c r="T393" s="9" cm="1">
        <f t="array" aca="1" ref="T393" ca="1">_xll.BDH($E$6,"PX LAST",AH393)</f>
        <v>160.1</v>
      </c>
      <c r="U393" s="9" cm="1">
        <f t="array" aca="1" ref="U393" ca="1">_xll.BDH($E$6,"PX LAST",AI393)</f>
        <v>159.34</v>
      </c>
      <c r="V393" s="9" cm="1">
        <f t="array" aca="1" ref="V393" ca="1">_xll.BDH($E$6,"PX LAST",AJ393)</f>
        <v>158.75</v>
      </c>
      <c r="W393" s="9" cm="1">
        <f t="array" aca="1" ref="W393" ca="1">_xll.BDH($E$6,"PX LAST",AK393)</f>
        <v>172.6</v>
      </c>
      <c r="X393" s="24">
        <f t="shared" ca="1" si="92"/>
        <v>3.8272083638504206E-3</v>
      </c>
      <c r="Y393" s="24">
        <f t="shared" ca="1" si="93"/>
        <v>8.7927233629550017E-3</v>
      </c>
      <c r="Z393" s="24">
        <f t="shared" ca="1" si="94"/>
        <v>2.6673129319144895E-2</v>
      </c>
      <c r="AA393" s="24">
        <f t="shared" ca="1" si="95"/>
        <v>5.6813585972551373E-2</v>
      </c>
      <c r="AB393" s="9" cm="1">
        <f t="array" aca="1" ref="AB393" ca="1">_xll.BDH($E$8,"PX LAST",AG393)</f>
        <v>5591.96</v>
      </c>
      <c r="AC393" s="9" cm="1">
        <f t="array" aca="1" ref="AC393" ca="1">_xll.BDH($E$8,"PX LAST",AH393)</f>
        <v>5570.64</v>
      </c>
      <c r="AD393" s="9" cm="1">
        <f t="array" aca="1" ref="AD393" ca="1">_xll.BDH($E$8,"PX LAST",AI393)</f>
        <v>5543.22</v>
      </c>
      <c r="AE393" s="9" cm="1">
        <f t="array" aca="1" ref="AE393" ca="1">_xll.BDH($E$8,"PX LAST",AJ393)</f>
        <v>5446.68</v>
      </c>
      <c r="AF393" s="9" cm="1">
        <f t="array" aca="1" ref="AF393" ca="1">_xll.BDH($E$8,"PX LAST",AK393)</f>
        <v>5291.34</v>
      </c>
      <c r="AG393" s="20">
        <f t="shared" ca="1" si="101"/>
        <v>45533</v>
      </c>
      <c r="AH393" s="22">
        <f t="shared" ca="1" si="96"/>
        <v>45526</v>
      </c>
      <c r="AI393" s="22">
        <f t="shared" ca="1" si="97"/>
        <v>45519</v>
      </c>
      <c r="AJ393" s="22">
        <f t="shared" ca="1" si="98"/>
        <v>45505</v>
      </c>
      <c r="AK393" s="22">
        <f t="shared" ca="1" si="99"/>
        <v>45447</v>
      </c>
      <c r="AL393" s="22">
        <f t="shared" ca="1" si="100"/>
        <v>45359</v>
      </c>
    </row>
    <row r="394" spans="4:38" x14ac:dyDescent="0.25">
      <c r="D394" s="6">
        <f ca="1"/>
        <v>45532</v>
      </c>
      <c r="E394" s="28">
        <f ca="1"/>
        <v>163.71</v>
      </c>
      <c r="F394" s="29" cm="1">
        <f t="array" aca="1" ref="F394" ca="1">_xll.FDS($E$7,"P_BETA_LOCIDX("&amp;$AG394&amp;","&amp;$AL394&amp;",,"""&amp;$E$9&amp;""")")</f>
        <v>1.7091242</v>
      </c>
      <c r="G394" s="30">
        <f t="shared" ca="1" si="86"/>
        <v>2.2401858357871497E-2</v>
      </c>
      <c r="H394" s="30">
        <f t="shared" ca="1" si="86"/>
        <v>6.1067334214374783E-3</v>
      </c>
      <c r="I394" s="30">
        <f t="shared" ca="1" si="86"/>
        <v>-8.5874437806441786E-2</v>
      </c>
      <c r="J394" s="30">
        <f t="shared" ca="1" si="86"/>
        <v>-0.17585930476266251</v>
      </c>
      <c r="K394" s="30">
        <f t="shared" ca="1" si="87"/>
        <v>-8.7176478315557533E-3</v>
      </c>
      <c r="L394" s="30">
        <f t="shared" ca="1" si="87"/>
        <v>4.2912874421699825E-2</v>
      </c>
      <c r="M394" s="30">
        <f t="shared" ca="1" si="87"/>
        <v>2.1627510112815176E-2</v>
      </c>
      <c r="N394" s="30">
        <f t="shared" ca="1" si="87"/>
        <v>9.988707470113975E-2</v>
      </c>
      <c r="O394" s="30">
        <f t="shared" ca="1" si="88"/>
        <v>1.3684210526315743E-2</v>
      </c>
      <c r="P394" s="30">
        <f t="shared" ca="1" si="89"/>
        <v>4.9019607843137303E-2</v>
      </c>
      <c r="Q394" s="30">
        <f t="shared" ca="1" si="90"/>
        <v>-6.424692769362661E-2</v>
      </c>
      <c r="R394" s="30">
        <f t="shared" ca="1" si="91"/>
        <v>-7.5972230061522761E-2</v>
      </c>
      <c r="S394" s="9" cm="1">
        <f t="array" aca="1" ref="S394" ca="1">_xll.BDH($E$6,"PX LAST",AG394)</f>
        <v>163.71</v>
      </c>
      <c r="T394" s="9" cm="1">
        <f t="array" aca="1" ref="T394" ca="1">_xll.BDH($E$6,"PX LAST",AH394)</f>
        <v>161.5</v>
      </c>
      <c r="U394" s="9" cm="1">
        <f t="array" aca="1" ref="U394" ca="1">_xll.BDH($E$6,"PX LAST",AI394)</f>
        <v>156.06</v>
      </c>
      <c r="V394" s="9" cm="1">
        <f t="array" aca="1" ref="V394" ca="1">_xll.BDH($E$6,"PX LAST",AJ394)</f>
        <v>174.95</v>
      </c>
      <c r="W394" s="9" cm="1">
        <f t="array" aca="1" ref="W394" ca="1">_xll.BDH($E$6,"PX LAST",AK394)</f>
        <v>177.17</v>
      </c>
      <c r="X394" s="24">
        <f t="shared" ca="1" si="92"/>
        <v>-5.1006520366136954E-3</v>
      </c>
      <c r="Y394" s="24">
        <f t="shared" ca="1" si="93"/>
        <v>2.5108107662216606E-2</v>
      </c>
      <c r="Z394" s="24">
        <f t="shared" ca="1" si="94"/>
        <v>1.2654147728301535E-2</v>
      </c>
      <c r="AA394" s="24">
        <f t="shared" ca="1" si="95"/>
        <v>5.8443426581368252E-2</v>
      </c>
      <c r="AB394" s="9" cm="1">
        <f t="array" aca="1" ref="AB394" ca="1">_xll.BDH($E$8,"PX LAST",AG394)</f>
        <v>5592.18</v>
      </c>
      <c r="AC394" s="9" cm="1">
        <f t="array" aca="1" ref="AC394" ca="1">_xll.BDH($E$8,"PX LAST",AH394)</f>
        <v>5620.85</v>
      </c>
      <c r="AD394" s="9" cm="1">
        <f t="array" aca="1" ref="AD394" ca="1">_xll.BDH($E$8,"PX LAST",AI394)</f>
        <v>5455.21</v>
      </c>
      <c r="AE394" s="9" cm="1">
        <f t="array" aca="1" ref="AE394" ca="1">_xll.BDH($E$8,"PX LAST",AJ394)</f>
        <v>5522.3</v>
      </c>
      <c r="AF394" s="9" cm="1">
        <f t="array" aca="1" ref="AF394" ca="1">_xll.BDH($E$8,"PX LAST",AK394)</f>
        <v>5283.4</v>
      </c>
      <c r="AG394" s="20">
        <f t="shared" ca="1" si="101"/>
        <v>45532</v>
      </c>
      <c r="AH394" s="22">
        <f t="shared" ca="1" si="96"/>
        <v>45525</v>
      </c>
      <c r="AI394" s="22">
        <f t="shared" ca="1" si="97"/>
        <v>45518</v>
      </c>
      <c r="AJ394" s="22">
        <f t="shared" ca="1" si="98"/>
        <v>45504</v>
      </c>
      <c r="AK394" s="22">
        <f t="shared" ca="1" si="99"/>
        <v>45446</v>
      </c>
      <c r="AL394" s="22">
        <f t="shared" ca="1" si="100"/>
        <v>45358</v>
      </c>
    </row>
    <row r="395" spans="4:38" x14ac:dyDescent="0.25">
      <c r="D395" s="6">
        <f ca="1"/>
        <v>45531</v>
      </c>
      <c r="E395" s="28">
        <f ca="1"/>
        <v>163.53</v>
      </c>
      <c r="F395" s="29" cm="1">
        <f t="array" aca="1" ref="F395" ca="1">_xll.FDS($E$7,"P_BETA_LOCIDX("&amp;$AG395&amp;","&amp;$AL395&amp;",,"""&amp;$E$9&amp;""")")</f>
        <v>1.7158466999999999</v>
      </c>
      <c r="G395" s="30">
        <f t="shared" ca="1" si="86"/>
        <v>2.7519679103144866E-2</v>
      </c>
      <c r="H395" s="30">
        <f t="shared" ca="1" si="86"/>
        <v>-1.4366032363374109E-2</v>
      </c>
      <c r="I395" s="30">
        <f t="shared" ca="1" si="86"/>
        <v>-0.10227405995157823</v>
      </c>
      <c r="J395" s="30">
        <f t="shared" ca="1" si="86"/>
        <v>-0.20215614221835018</v>
      </c>
      <c r="K395" s="30">
        <f t="shared" ca="1" si="87"/>
        <v>8.7921079690984946E-3</v>
      </c>
      <c r="L395" s="30">
        <f t="shared" ca="1" si="87"/>
        <v>6.0422451476787958E-2</v>
      </c>
      <c r="M395" s="30">
        <f t="shared" ca="1" si="87"/>
        <v>5.9765716371743445E-2</v>
      </c>
      <c r="N395" s="30">
        <f t="shared" ca="1" si="87"/>
        <v>0.11323753951067836</v>
      </c>
      <c r="O395" s="30">
        <f t="shared" ca="1" si="88"/>
        <v>3.6311787072243362E-2</v>
      </c>
      <c r="P395" s="30">
        <f t="shared" ca="1" si="89"/>
        <v>4.6056419113413849E-2</v>
      </c>
      <c r="Q395" s="30">
        <f t="shared" ca="1" si="90"/>
        <v>-4.2508343579834795E-2</v>
      </c>
      <c r="R395" s="30">
        <f t="shared" ca="1" si="91"/>
        <v>-8.8918602707671823E-2</v>
      </c>
      <c r="S395" s="9" cm="1">
        <f t="array" aca="1" ref="S395" ca="1">_xll.BDH($E$6,"PX LAST",AG395)</f>
        <v>163.53</v>
      </c>
      <c r="T395" s="9" cm="1">
        <f t="array" aca="1" ref="T395" ca="1">_xll.BDH($E$6,"PX LAST",AH395)</f>
        <v>157.80000000000001</v>
      </c>
      <c r="U395" s="9" cm="1">
        <f t="array" aca="1" ref="U395" ca="1">_xll.BDH($E$6,"PX LAST",AI395)</f>
        <v>156.33000000000001</v>
      </c>
      <c r="V395" s="9" cm="1">
        <f t="array" aca="1" ref="V395" ca="1">_xll.BDH($E$6,"PX LAST",AJ395)</f>
        <v>170.79</v>
      </c>
      <c r="W395" s="9" cm="1">
        <f t="array" aca="1" ref="W395" ca="1">_xll.BDH($E$6,"PX LAST",AK395)</f>
        <v>179.49</v>
      </c>
      <c r="X395" s="24">
        <f t="shared" ca="1" si="92"/>
        <v>5.1240638042422404E-3</v>
      </c>
      <c r="Y395" s="24">
        <f t="shared" ca="1" si="93"/>
        <v>3.5214364707982337E-2</v>
      </c>
      <c r="Z395" s="24">
        <f t="shared" ca="1" si="94"/>
        <v>3.4831617749851107E-2</v>
      </c>
      <c r="AA395" s="24">
        <f t="shared" ca="1" si="95"/>
        <v>6.5995137858573472E-2</v>
      </c>
      <c r="AB395" s="9" cm="1">
        <f t="array" aca="1" ref="AB395" ca="1">_xll.BDH($E$8,"PX LAST",AG395)</f>
        <v>5625.8</v>
      </c>
      <c r="AC395" s="9" cm="1">
        <f t="array" aca="1" ref="AC395" ca="1">_xll.BDH($E$8,"PX LAST",AH395)</f>
        <v>5597.12</v>
      </c>
      <c r="AD395" s="9" cm="1">
        <f t="array" aca="1" ref="AD395" ca="1">_xll.BDH($E$8,"PX LAST",AI395)</f>
        <v>5434.43</v>
      </c>
      <c r="AE395" s="9" cm="1">
        <f t="array" aca="1" ref="AE395" ca="1">_xll.BDH($E$8,"PX LAST",AJ395)</f>
        <v>5436.44</v>
      </c>
      <c r="AF395" s="9" cm="1">
        <f t="array" aca="1" ref="AF395" ca="1">_xll.BDH($E$8,"PX LAST",AK395)</f>
        <v>5277.51</v>
      </c>
      <c r="AG395" s="20">
        <f t="shared" ca="1" si="101"/>
        <v>45531</v>
      </c>
      <c r="AH395" s="22">
        <f t="shared" ca="1" si="96"/>
        <v>45524</v>
      </c>
      <c r="AI395" s="22">
        <f t="shared" ca="1" si="97"/>
        <v>45517</v>
      </c>
      <c r="AJ395" s="22">
        <f t="shared" ca="1" si="98"/>
        <v>45503</v>
      </c>
      <c r="AK395" s="22">
        <f t="shared" ca="1" si="99"/>
        <v>45443</v>
      </c>
      <c r="AL395" s="22">
        <f t="shared" ca="1" si="100"/>
        <v>45357</v>
      </c>
    </row>
    <row r="396" spans="4:38" x14ac:dyDescent="0.25">
      <c r="D396" s="6">
        <f ca="1"/>
        <v>45530</v>
      </c>
      <c r="E396" s="28">
        <f ca="1"/>
        <v>165.43</v>
      </c>
      <c r="F396" s="29" cm="1">
        <f t="array" aca="1" ref="F396" ca="1">_xll.FDS($E$7,"P_BETA_LOCIDX("&amp;$AG396&amp;","&amp;$AL396&amp;",,"""&amp;$E$9&amp;""")")</f>
        <v>1.658755</v>
      </c>
      <c r="G396" s="30">
        <f t="shared" ca="1" si="86"/>
        <v>3.8882057103969442E-2</v>
      </c>
      <c r="H396" s="30">
        <f t="shared" ca="1" si="86"/>
        <v>-6.8412868984969316E-3</v>
      </c>
      <c r="I396" s="30">
        <f t="shared" ca="1" si="86"/>
        <v>-8.6024648498290432E-2</v>
      </c>
      <c r="J396" s="30">
        <f t="shared" ca="1" si="86"/>
        <v>-0.19591279372174825</v>
      </c>
      <c r="K396" s="30">
        <f t="shared" ca="1" si="87"/>
        <v>2.5406687380200286E-3</v>
      </c>
      <c r="L396" s="30">
        <f t="shared" ca="1" si="87"/>
        <v>8.4561156605337348E-2</v>
      </c>
      <c r="M396" s="30">
        <f t="shared" ca="1" si="87"/>
        <v>4.6542560592583035E-2</v>
      </c>
      <c r="N396" s="30">
        <f t="shared" ca="1" si="87"/>
        <v>0.12082613376423952</v>
      </c>
      <c r="O396" s="30">
        <f t="shared" ca="1" si="88"/>
        <v>4.1422725841989472E-2</v>
      </c>
      <c r="P396" s="30">
        <f t="shared" ca="1" si="89"/>
        <v>7.7719869706840417E-2</v>
      </c>
      <c r="Q396" s="30">
        <f t="shared" ca="1" si="90"/>
        <v>-3.9482087905707397E-2</v>
      </c>
      <c r="R396" s="30">
        <f t="shared" ca="1" si="91"/>
        <v>-7.5086659957508739E-2</v>
      </c>
      <c r="S396" s="9" cm="1">
        <f t="array" aca="1" ref="S396" ca="1">_xll.BDH($E$6,"PX LAST",AG396)</f>
        <v>165.43</v>
      </c>
      <c r="T396" s="9" cm="1">
        <f t="array" aca="1" ref="T396" ca="1">_xll.BDH($E$6,"PX LAST",AH396)</f>
        <v>158.85</v>
      </c>
      <c r="U396" s="9" cm="1">
        <f t="array" aca="1" ref="U396" ca="1">_xll.BDH($E$6,"PX LAST",AI396)</f>
        <v>153.5</v>
      </c>
      <c r="V396" s="9" cm="1">
        <f t="array" aca="1" ref="V396" ca="1">_xll.BDH($E$6,"PX LAST",AJ396)</f>
        <v>172.23</v>
      </c>
      <c r="W396" s="9" cm="1">
        <f t="array" aca="1" ref="W396" ca="1">_xll.BDH($E$6,"PX LAST",AK396)</f>
        <v>178.86</v>
      </c>
      <c r="X396" s="24">
        <f t="shared" ca="1" si="92"/>
        <v>1.5316720902243119E-3</v>
      </c>
      <c r="Y396" s="24">
        <f t="shared" ca="1" si="93"/>
        <v>5.0978689803700572E-2</v>
      </c>
      <c r="Z396" s="24">
        <f t="shared" ca="1" si="94"/>
        <v>2.805873115232993E-2</v>
      </c>
      <c r="AA396" s="24">
        <f t="shared" ca="1" si="95"/>
        <v>7.2841458662816105E-2</v>
      </c>
      <c r="AB396" s="9" cm="1">
        <f t="array" aca="1" ref="AB396" ca="1">_xll.BDH($E$8,"PX LAST",AG396)</f>
        <v>5616.84</v>
      </c>
      <c r="AC396" s="9" cm="1">
        <f t="array" aca="1" ref="AC396" ca="1">_xll.BDH($E$8,"PX LAST",AH396)</f>
        <v>5608.25</v>
      </c>
      <c r="AD396" s="9" cm="1">
        <f t="array" aca="1" ref="AD396" ca="1">_xll.BDH($E$8,"PX LAST",AI396)</f>
        <v>5344.39</v>
      </c>
      <c r="AE396" s="9" cm="1">
        <f t="array" aca="1" ref="AE396" ca="1">_xll.BDH($E$8,"PX LAST",AJ396)</f>
        <v>5463.54</v>
      </c>
      <c r="AF396" s="9" cm="1">
        <f t="array" aca="1" ref="AF396" ca="1">_xll.BDH($E$8,"PX LAST",AK396)</f>
        <v>5235.4799999999996</v>
      </c>
      <c r="AG396" s="20">
        <f t="shared" ca="1" si="101"/>
        <v>45530</v>
      </c>
      <c r="AH396" s="22">
        <f t="shared" ca="1" si="96"/>
        <v>45523</v>
      </c>
      <c r="AI396" s="22">
        <f t="shared" ca="1" si="97"/>
        <v>45516</v>
      </c>
      <c r="AJ396" s="22">
        <f t="shared" ca="1" si="98"/>
        <v>45502</v>
      </c>
      <c r="AK396" s="22">
        <f t="shared" ca="1" si="99"/>
        <v>45442</v>
      </c>
      <c r="AL396" s="22">
        <f t="shared" ca="1" si="100"/>
        <v>45356</v>
      </c>
    </row>
    <row r="397" spans="4:38" x14ac:dyDescent="0.25">
      <c r="D397" s="6">
        <f ca="1"/>
        <v>45527</v>
      </c>
      <c r="E397" s="28">
        <f ca="1"/>
        <v>165.09</v>
      </c>
      <c r="F397" s="29" cm="1">
        <f t="array" aca="1" ref="F397" ca="1">_xll.FDS($E$7,"P_BETA_LOCIDX("&amp;$AG397&amp;","&amp;$AL397&amp;",,"""&amp;$E$9&amp;""")")</f>
        <v>1.6639003999999999</v>
      </c>
      <c r="G397" s="30">
        <f t="shared" ca="1" si="86"/>
        <v>2.6518185130128942E-2</v>
      </c>
      <c r="H397" s="30">
        <f t="shared" ca="1" si="86"/>
        <v>-3.3043326063175366E-2</v>
      </c>
      <c r="I397" s="30">
        <f t="shared" ca="1" si="86"/>
        <v>-8.5224583326988568E-2</v>
      </c>
      <c r="J397" s="30">
        <f t="shared" ca="1" si="86"/>
        <v>-0.18264577421547645</v>
      </c>
      <c r="K397" s="30">
        <f t="shared" ca="1" si="87"/>
        <v>2.4073643812215655E-2</v>
      </c>
      <c r="L397" s="30">
        <f t="shared" ca="1" si="87"/>
        <v>9.04314001040388E-2</v>
      </c>
      <c r="M397" s="30">
        <f t="shared" ca="1" si="87"/>
        <v>5.3494378048396185E-2</v>
      </c>
      <c r="N397" s="30">
        <f t="shared" ca="1" si="87"/>
        <v>0.11614874283294895</v>
      </c>
      <c r="O397" s="30">
        <f t="shared" ca="1" si="88"/>
        <v>5.0591828942344597E-2</v>
      </c>
      <c r="P397" s="30">
        <f t="shared" ca="1" si="89"/>
        <v>5.7388074040863435E-2</v>
      </c>
      <c r="Q397" s="30">
        <f t="shared" ca="1" si="90"/>
        <v>-3.1730205278592383E-2</v>
      </c>
      <c r="R397" s="30">
        <f t="shared" ca="1" si="91"/>
        <v>-6.6497031382527494E-2</v>
      </c>
      <c r="S397" s="9" cm="1">
        <f t="array" aca="1" ref="S397" ca="1">_xll.BDH($E$6,"PX LAST",AG397)</f>
        <v>165.09</v>
      </c>
      <c r="T397" s="9" cm="1">
        <f t="array" aca="1" ref="T397" ca="1">_xll.BDH($E$6,"PX LAST",AH397)</f>
        <v>157.13999999999999</v>
      </c>
      <c r="U397" s="9" cm="1">
        <f t="array" aca="1" ref="U397" ca="1">_xll.BDH($E$6,"PX LAST",AI397)</f>
        <v>156.13</v>
      </c>
      <c r="V397" s="9" cm="1">
        <f t="array" aca="1" ref="V397" ca="1">_xll.BDH($E$6,"PX LAST",AJ397)</f>
        <v>170.5</v>
      </c>
      <c r="W397" s="9" cm="1">
        <f t="array" aca="1" ref="W397" ca="1">_xll.BDH($E$6,"PX LAST",AK397)</f>
        <v>176.85</v>
      </c>
      <c r="X397" s="24">
        <f t="shared" ca="1" si="92"/>
        <v>1.4468200027006217E-2</v>
      </c>
      <c r="Y397" s="24">
        <f t="shared" ca="1" si="93"/>
        <v>5.434904643573546E-2</v>
      </c>
      <c r="Z397" s="24">
        <f t="shared" ca="1" si="94"/>
        <v>3.2149988093275406E-2</v>
      </c>
      <c r="AA397" s="24">
        <f t="shared" ca="1" si="95"/>
        <v>6.9805105421543834E-2</v>
      </c>
      <c r="AB397" s="9" cm="1">
        <f t="array" aca="1" ref="AB397" ca="1">_xll.BDH($E$8,"PX LAST",AG397)</f>
        <v>5634.61</v>
      </c>
      <c r="AC397" s="9" cm="1">
        <f t="array" aca="1" ref="AC397" ca="1">_xll.BDH($E$8,"PX LAST",AH397)</f>
        <v>5554.25</v>
      </c>
      <c r="AD397" s="9" cm="1">
        <f t="array" aca="1" ref="AD397" ca="1">_xll.BDH($E$8,"PX LAST",AI397)</f>
        <v>5344.16</v>
      </c>
      <c r="AE397" s="9" cm="1">
        <f t="array" aca="1" ref="AE397" ca="1">_xll.BDH($E$8,"PX LAST",AJ397)</f>
        <v>5459.1</v>
      </c>
      <c r="AF397" s="9" cm="1">
        <f t="array" aca="1" ref="AF397" ca="1">_xll.BDH($E$8,"PX LAST",AK397)</f>
        <v>5266.95</v>
      </c>
      <c r="AG397" s="20">
        <f t="shared" ca="1" si="101"/>
        <v>45527</v>
      </c>
      <c r="AH397" s="22">
        <f t="shared" ca="1" si="96"/>
        <v>45520</v>
      </c>
      <c r="AI397" s="22">
        <f t="shared" ca="1" si="97"/>
        <v>45513</v>
      </c>
      <c r="AJ397" s="22">
        <f t="shared" ca="1" si="98"/>
        <v>45499</v>
      </c>
      <c r="AK397" s="22">
        <f t="shared" ca="1" si="99"/>
        <v>45441</v>
      </c>
      <c r="AL397" s="22">
        <f t="shared" ca="1" si="100"/>
        <v>45355</v>
      </c>
    </row>
    <row r="398" spans="4:38" x14ac:dyDescent="0.25">
      <c r="D398" s="6">
        <f ca="1"/>
        <v>45526</v>
      </c>
      <c r="E398" s="28">
        <f ca="1"/>
        <v>160.1</v>
      </c>
      <c r="F398" s="29" cm="1">
        <f t="array" aca="1" ref="F398" ca="1">_xll.FDS($E$7,"P_BETA_LOCIDX("&amp;$AG398&amp;","&amp;$AL398&amp;",,"""&amp;$E$9&amp;""")")</f>
        <v>1.6513054</v>
      </c>
      <c r="G398" s="30">
        <f t="shared" ca="1" si="86"/>
        <v>-3.3986449606792212E-3</v>
      </c>
      <c r="H398" s="30">
        <f t="shared" ca="1" si="86"/>
        <v>-4.8241218619497803E-2</v>
      </c>
      <c r="I398" s="30">
        <f t="shared" ca="1" si="86"/>
        <v>-9.8883569312709835E-2</v>
      </c>
      <c r="J398" s="30">
        <f t="shared" ca="1" si="86"/>
        <v>-0.21936706625749461</v>
      </c>
      <c r="K398" s="30">
        <f t="shared" ca="1" si="87"/>
        <v>8.1683198696788206E-3</v>
      </c>
      <c r="L398" s="30">
        <f t="shared" ca="1" si="87"/>
        <v>7.8021883699577618E-2</v>
      </c>
      <c r="M398" s="30">
        <f t="shared" ca="1" si="87"/>
        <v>5.2427345369886601E-2</v>
      </c>
      <c r="N398" s="30">
        <f t="shared" ca="1" si="87"/>
        <v>8.234679890087529E-2</v>
      </c>
      <c r="O398" s="30">
        <f t="shared" ca="1" si="88"/>
        <v>4.7696749089995993E-3</v>
      </c>
      <c r="P398" s="30">
        <f t="shared" ca="1" si="89"/>
        <v>2.9780665080079816E-2</v>
      </c>
      <c r="Q398" s="30">
        <f t="shared" ca="1" si="90"/>
        <v>-4.6456223942823227E-2</v>
      </c>
      <c r="R398" s="30">
        <f t="shared" ca="1" si="91"/>
        <v>-0.13702026735661932</v>
      </c>
      <c r="S398" s="9" cm="1">
        <f t="array" aca="1" ref="S398" ca="1">_xll.BDH($E$6,"PX LAST",AG398)</f>
        <v>160.1</v>
      </c>
      <c r="T398" s="9" cm="1">
        <f t="array" aca="1" ref="T398" ca="1">_xll.BDH($E$6,"PX LAST",AH398)</f>
        <v>159.34</v>
      </c>
      <c r="U398" s="9" cm="1">
        <f t="array" aca="1" ref="U398" ca="1">_xll.BDH($E$6,"PX LAST",AI398)</f>
        <v>155.47</v>
      </c>
      <c r="V398" s="9" cm="1">
        <f t="array" aca="1" ref="V398" ca="1">_xll.BDH($E$6,"PX LAST",AJ398)</f>
        <v>167.9</v>
      </c>
      <c r="W398" s="9" cm="1">
        <f t="array" aca="1" ref="W398" ca="1">_xll.BDH($E$6,"PX LAST",AK398)</f>
        <v>185.52</v>
      </c>
      <c r="X398" s="24">
        <f t="shared" ca="1" si="92"/>
        <v>4.946583393767634E-3</v>
      </c>
      <c r="Y398" s="24">
        <f t="shared" ca="1" si="93"/>
        <v>4.7248609312110057E-2</v>
      </c>
      <c r="Z398" s="24">
        <f t="shared" ca="1" si="94"/>
        <v>3.1749030415504365E-2</v>
      </c>
      <c r="AA398" s="24">
        <f t="shared" ca="1" si="95"/>
        <v>4.9867697944229628E-2</v>
      </c>
      <c r="AB398" s="9" cm="1">
        <f t="array" aca="1" ref="AB398" ca="1">_xll.BDH($E$8,"PX LAST",AG398)</f>
        <v>5570.64</v>
      </c>
      <c r="AC398" s="9" cm="1">
        <f t="array" aca="1" ref="AC398" ca="1">_xll.BDH($E$8,"PX LAST",AH398)</f>
        <v>5543.22</v>
      </c>
      <c r="AD398" s="9" cm="1">
        <f t="array" aca="1" ref="AD398" ca="1">_xll.BDH($E$8,"PX LAST",AI398)</f>
        <v>5319.31</v>
      </c>
      <c r="AE398" s="9" cm="1">
        <f t="array" aca="1" ref="AE398" ca="1">_xll.BDH($E$8,"PX LAST",AJ398)</f>
        <v>5399.22</v>
      </c>
      <c r="AF398" s="9" cm="1">
        <f t="array" aca="1" ref="AF398" ca="1">_xll.BDH($E$8,"PX LAST",AK398)</f>
        <v>5306.04</v>
      </c>
      <c r="AG398" s="20">
        <f t="shared" ca="1" si="101"/>
        <v>45526</v>
      </c>
      <c r="AH398" s="22">
        <f t="shared" ca="1" si="96"/>
        <v>45519</v>
      </c>
      <c r="AI398" s="22">
        <f t="shared" ca="1" si="97"/>
        <v>45512</v>
      </c>
      <c r="AJ398" s="22">
        <f t="shared" ca="1" si="98"/>
        <v>45498</v>
      </c>
      <c r="AK398" s="22">
        <f t="shared" ca="1" si="99"/>
        <v>45440</v>
      </c>
      <c r="AL398" s="22">
        <f t="shared" ca="1" si="100"/>
        <v>45352</v>
      </c>
    </row>
    <row r="399" spans="4:38" x14ac:dyDescent="0.25">
      <c r="D399" s="6">
        <f ca="1"/>
        <v>45525</v>
      </c>
      <c r="E399" s="28">
        <f ca="1"/>
        <v>161.5</v>
      </c>
      <c r="F399" s="29" cm="1">
        <f t="array" aca="1" ref="F399" ca="1">_xll.FDS($E$7,"P_BETA_LOCIDX("&amp;$AG399&amp;","&amp;$AL399&amp;",,"""&amp;$E$9&amp;""")")</f>
        <v>1.6676226000000001</v>
      </c>
      <c r="G399" s="30">
        <f t="shared" ca="1" si="86"/>
        <v>-1.5776694527972153E-2</v>
      </c>
      <c r="H399" s="30">
        <f t="shared" ca="1" si="86"/>
        <v>-5.4654151051340999E-2</v>
      </c>
      <c r="I399" s="30">
        <f t="shared" ca="1" si="86"/>
        <v>-7.8418498242197765E-2</v>
      </c>
      <c r="J399" s="30">
        <f t="shared" ca="1" si="86"/>
        <v>-0.25462682822025318</v>
      </c>
      <c r="K399" s="30">
        <f t="shared" ca="1" si="87"/>
        <v>5.0635082327536447E-2</v>
      </c>
      <c r="L399" s="30">
        <f t="shared" ca="1" si="87"/>
        <v>0.13513852918742189</v>
      </c>
      <c r="M399" s="30">
        <f t="shared" ca="1" si="87"/>
        <v>5.9525356877760567E-2</v>
      </c>
      <c r="N399" s="30">
        <f t="shared" ca="1" si="87"/>
        <v>9.9380463537754954E-2</v>
      </c>
      <c r="O399" s="30">
        <f t="shared" ca="1" si="88"/>
        <v>3.4858387799564294E-2</v>
      </c>
      <c r="P399" s="30">
        <f t="shared" ca="1" si="89"/>
        <v>8.0484378136080892E-2</v>
      </c>
      <c r="Q399" s="30">
        <f t="shared" ca="1" si="90"/>
        <v>-1.8893141364437205E-2</v>
      </c>
      <c r="R399" s="30">
        <f t="shared" ca="1" si="91"/>
        <v>-0.15524636468249819</v>
      </c>
      <c r="S399" s="9" cm="1">
        <f t="array" aca="1" ref="S399" ca="1">_xll.BDH($E$6,"PX LAST",AG399)</f>
        <v>161.5</v>
      </c>
      <c r="T399" s="9" cm="1">
        <f t="array" aca="1" ref="T399" ca="1">_xll.BDH($E$6,"PX LAST",AH399)</f>
        <v>156.06</v>
      </c>
      <c r="U399" s="9" cm="1">
        <f t="array" aca="1" ref="U399" ca="1">_xll.BDH($E$6,"PX LAST",AI399)</f>
        <v>149.47</v>
      </c>
      <c r="V399" s="9" cm="1">
        <f t="array" aca="1" ref="V399" ca="1">_xll.BDH($E$6,"PX LAST",AJ399)</f>
        <v>164.61</v>
      </c>
      <c r="W399" s="9" cm="1">
        <f t="array" aca="1" ref="W399" ca="1">_xll.BDH($E$6,"PX LAST",AK399)</f>
        <v>191.18</v>
      </c>
      <c r="X399" s="24">
        <f t="shared" ca="1" si="92"/>
        <v>3.0363634030587283E-2</v>
      </c>
      <c r="Y399" s="24">
        <f t="shared" ca="1" si="93"/>
        <v>8.1036638138282546E-2</v>
      </c>
      <c r="Z399" s="24">
        <f t="shared" ca="1" si="94"/>
        <v>3.569474105097914E-2</v>
      </c>
      <c r="AA399" s="24">
        <f t="shared" ca="1" si="95"/>
        <v>5.9594097332187124E-2</v>
      </c>
      <c r="AB399" s="9" cm="1">
        <f t="array" aca="1" ref="AB399" ca="1">_xll.BDH($E$8,"PX LAST",AG399)</f>
        <v>5620.85</v>
      </c>
      <c r="AC399" s="9" cm="1">
        <f t="array" aca="1" ref="AC399" ca="1">_xll.BDH($E$8,"PX LAST",AH399)</f>
        <v>5455.21</v>
      </c>
      <c r="AD399" s="9" cm="1">
        <f t="array" aca="1" ref="AD399" ca="1">_xll.BDH($E$8,"PX LAST",AI399)</f>
        <v>5199.5</v>
      </c>
      <c r="AE399" s="9" cm="1">
        <f t="array" aca="1" ref="AE399" ca="1">_xll.BDH($E$8,"PX LAST",AJ399)</f>
        <v>5427.13</v>
      </c>
      <c r="AF399" s="9" cm="1">
        <f t="array" aca="1" ref="AF399" ca="1">_xll.BDH($E$8,"PX LAST",AK399)</f>
        <v>5304.72</v>
      </c>
      <c r="AG399" s="20">
        <f t="shared" ca="1" si="101"/>
        <v>45525</v>
      </c>
      <c r="AH399" s="22">
        <f t="shared" ca="1" si="96"/>
        <v>45518</v>
      </c>
      <c r="AI399" s="22">
        <f t="shared" ca="1" si="97"/>
        <v>45511</v>
      </c>
      <c r="AJ399" s="22">
        <f t="shared" ca="1" si="98"/>
        <v>45497</v>
      </c>
      <c r="AK399" s="22">
        <f t="shared" ca="1" si="99"/>
        <v>45436</v>
      </c>
      <c r="AL399" s="22">
        <f t="shared" ca="1" si="100"/>
        <v>45351</v>
      </c>
    </row>
    <row r="400" spans="4:38" x14ac:dyDescent="0.25">
      <c r="D400" s="6">
        <f ca="1"/>
        <v>45524</v>
      </c>
      <c r="E400" s="28">
        <f ca="1"/>
        <v>157.80000000000001</v>
      </c>
      <c r="F400" s="29" cm="1">
        <f t="array" aca="1" ref="F400" ca="1">_xll.FDS($E$7,"P_BETA_LOCIDX("&amp;$AG400&amp;","&amp;$AL400&amp;",,"""&amp;$E$9&amp;""")")</f>
        <v>1.6558979</v>
      </c>
      <c r="G400" s="30">
        <f t="shared" ca="1" si="86"/>
        <v>-4.0169268092388639E-2</v>
      </c>
      <c r="H400" s="30">
        <f t="shared" ca="1" si="86"/>
        <v>-7.9918427094894828E-2</v>
      </c>
      <c r="I400" s="30">
        <f t="shared" ca="1" si="86"/>
        <v>-9.2270410360921359E-2</v>
      </c>
      <c r="J400" s="30">
        <f t="shared" ca="1" si="86"/>
        <v>-0.25793765739764052</v>
      </c>
      <c r="K400" s="30">
        <f t="shared" ca="1" si="87"/>
        <v>4.957245366137731E-2</v>
      </c>
      <c r="L400" s="30">
        <f t="shared" ca="1" si="87"/>
        <v>0.11284373965626149</v>
      </c>
      <c r="M400" s="30">
        <f t="shared" ca="1" si="87"/>
        <v>1.2333380450129142E-2</v>
      </c>
      <c r="N400" s="30">
        <f t="shared" ca="1" si="87"/>
        <v>0.10350619238853112</v>
      </c>
      <c r="O400" s="30">
        <f t="shared" ca="1" si="88"/>
        <v>9.4031855689886701E-3</v>
      </c>
      <c r="P400" s="30">
        <f t="shared" ca="1" si="89"/>
        <v>3.292531256136666E-2</v>
      </c>
      <c r="Q400" s="30">
        <f t="shared" ca="1" si="90"/>
        <v>-7.9937029910792212E-2</v>
      </c>
      <c r="R400" s="30">
        <f t="shared" ca="1" si="91"/>
        <v>-0.15443146500910943</v>
      </c>
      <c r="S400" s="9" cm="1">
        <f t="array" aca="1" ref="S400" ca="1">_xll.BDH($E$6,"PX LAST",AG400)</f>
        <v>157.80000000000001</v>
      </c>
      <c r="T400" s="9" cm="1">
        <f t="array" aca="1" ref="T400" ca="1">_xll.BDH($E$6,"PX LAST",AH400)</f>
        <v>156.33000000000001</v>
      </c>
      <c r="U400" s="9" cm="1">
        <f t="array" aca="1" ref="U400" ca="1">_xll.BDH($E$6,"PX LAST",AI400)</f>
        <v>152.77000000000001</v>
      </c>
      <c r="V400" s="9" cm="1">
        <f t="array" aca="1" ref="V400" ca="1">_xll.BDH($E$6,"PX LAST",AJ400)</f>
        <v>171.51</v>
      </c>
      <c r="W400" s="9" cm="1">
        <f t="array" aca="1" ref="W400" ca="1">_xll.BDH($E$6,"PX LAST",AK400)</f>
        <v>186.62</v>
      </c>
      <c r="X400" s="24">
        <f t="shared" ca="1" si="92"/>
        <v>2.993690230622148E-2</v>
      </c>
      <c r="Y400" s="24">
        <f t="shared" ca="1" si="93"/>
        <v>6.814655641284495E-2</v>
      </c>
      <c r="Z400" s="24">
        <f t="shared" ca="1" si="94"/>
        <v>7.4481527213297039E-3</v>
      </c>
      <c r="AA400" s="24">
        <f t="shared" ca="1" si="95"/>
        <v>6.2507593245049176E-2</v>
      </c>
      <c r="AB400" s="9" cm="1">
        <f t="array" aca="1" ref="AB400" ca="1">_xll.BDH($E$8,"PX LAST",AG400)</f>
        <v>5597.12</v>
      </c>
      <c r="AC400" s="9" cm="1">
        <f t="array" aca="1" ref="AC400" ca="1">_xll.BDH($E$8,"PX LAST",AH400)</f>
        <v>5434.43</v>
      </c>
      <c r="AD400" s="9" cm="1">
        <f t="array" aca="1" ref="AD400" ca="1">_xll.BDH($E$8,"PX LAST",AI400)</f>
        <v>5240.03</v>
      </c>
      <c r="AE400" s="9" cm="1">
        <f t="array" aca="1" ref="AE400" ca="1">_xll.BDH($E$8,"PX LAST",AJ400)</f>
        <v>5555.74</v>
      </c>
      <c r="AF400" s="9" cm="1">
        <f t="array" aca="1" ref="AF400" ca="1">_xll.BDH($E$8,"PX LAST",AK400)</f>
        <v>5267.84</v>
      </c>
      <c r="AG400" s="20">
        <f t="shared" ca="1" si="101"/>
        <v>45524</v>
      </c>
      <c r="AH400" s="22">
        <f t="shared" ca="1" si="96"/>
        <v>45517</v>
      </c>
      <c r="AI400" s="22">
        <f t="shared" ca="1" si="97"/>
        <v>45510</v>
      </c>
      <c r="AJ400" s="22">
        <f t="shared" ca="1" si="98"/>
        <v>45496</v>
      </c>
      <c r="AK400" s="22">
        <f t="shared" ca="1" si="99"/>
        <v>45435</v>
      </c>
      <c r="AL400" s="22">
        <f t="shared" ca="1" si="100"/>
        <v>45350</v>
      </c>
    </row>
    <row r="401" spans="4:38" x14ac:dyDescent="0.25">
      <c r="D401" s="6">
        <f ca="1"/>
        <v>45523</v>
      </c>
      <c r="E401" s="28">
        <f ca="1"/>
        <v>158.85</v>
      </c>
      <c r="F401" s="29" cm="1">
        <f t="array" aca="1" ref="F401" ca="1">_xll.FDS($E$7,"P_BETA_LOCIDX("&amp;$AG401&amp;","&amp;$AL401&amp;",,"""&amp;$E$9&amp;""")")</f>
        <v>1.6544143</v>
      </c>
      <c r="G401" s="30">
        <f t="shared" ca="1" si="86"/>
        <v>-4.6827324884541235E-2</v>
      </c>
      <c r="H401" s="30">
        <f t="shared" ca="1" si="86"/>
        <v>-7.8406937994165038E-2</v>
      </c>
      <c r="I401" s="30">
        <f t="shared" ca="1" si="86"/>
        <v>-9.0828443883824883E-2</v>
      </c>
      <c r="J401" s="30">
        <f t="shared" ca="1" si="86"/>
        <v>-0.2483324619530129</v>
      </c>
      <c r="K401" s="30">
        <f t="shared" ca="1" si="87"/>
        <v>8.1680745079981035E-2</v>
      </c>
      <c r="L401" s="30">
        <f t="shared" ca="1" si="87"/>
        <v>0.13459044863246278</v>
      </c>
      <c r="M401" s="30">
        <f t="shared" ca="1" si="87"/>
        <v>1.3034539674826314E-2</v>
      </c>
      <c r="N401" s="30">
        <f t="shared" ca="1" si="87"/>
        <v>9.390895508619708E-2</v>
      </c>
      <c r="O401" s="30">
        <f t="shared" ca="1" si="88"/>
        <v>3.4853420195439799E-2</v>
      </c>
      <c r="P401" s="30">
        <f t="shared" ca="1" si="89"/>
        <v>5.618351063829774E-2</v>
      </c>
      <c r="Q401" s="30">
        <f t="shared" ca="1" si="90"/>
        <v>-7.7793904208998566E-2</v>
      </c>
      <c r="R401" s="30">
        <f t="shared" ca="1" si="91"/>
        <v>-0.15442350686681583</v>
      </c>
      <c r="S401" s="9" cm="1">
        <f t="array" aca="1" ref="S401" ca="1">_xll.BDH($E$6,"PX LAST",AG401)</f>
        <v>158.85</v>
      </c>
      <c r="T401" s="9" cm="1">
        <f t="array" aca="1" ref="T401" ca="1">_xll.BDH($E$6,"PX LAST",AH401)</f>
        <v>153.5</v>
      </c>
      <c r="U401" s="9" cm="1">
        <f t="array" aca="1" ref="U401" ca="1">_xll.BDH($E$6,"PX LAST",AI401)</f>
        <v>150.4</v>
      </c>
      <c r="V401" s="9" cm="1">
        <f t="array" aca="1" ref="V401" ca="1">_xll.BDH($E$6,"PX LAST",AJ401)</f>
        <v>172.25</v>
      </c>
      <c r="W401" s="9" cm="1">
        <f t="array" aca="1" ref="W401" ca="1">_xll.BDH($E$6,"PX LAST",AK401)</f>
        <v>187.86</v>
      </c>
      <c r="X401" s="24">
        <f t="shared" ca="1" si="92"/>
        <v>4.9371396922754496E-2</v>
      </c>
      <c r="Y401" s="24">
        <f t="shared" ca="1" si="93"/>
        <v>8.1352324283260113E-2</v>
      </c>
      <c r="Z401" s="24">
        <f t="shared" ca="1" si="94"/>
        <v>7.8786430187567369E-3</v>
      </c>
      <c r="AA401" s="24">
        <f t="shared" ca="1" si="95"/>
        <v>5.6762659199812937E-2</v>
      </c>
      <c r="AB401" s="9" cm="1">
        <f t="array" aca="1" ref="AB401" ca="1">_xll.BDH($E$8,"PX LAST",AG401)</f>
        <v>5608.25</v>
      </c>
      <c r="AC401" s="9" cm="1">
        <f t="array" aca="1" ref="AC401" ca="1">_xll.BDH($E$8,"PX LAST",AH401)</f>
        <v>5344.39</v>
      </c>
      <c r="AD401" s="9" cm="1">
        <f t="array" aca="1" ref="AD401" ca="1">_xll.BDH($E$8,"PX LAST",AI401)</f>
        <v>5186.33</v>
      </c>
      <c r="AE401" s="9" cm="1">
        <f t="array" aca="1" ref="AE401" ca="1">_xll.BDH($E$8,"PX LAST",AJ401)</f>
        <v>5564.41</v>
      </c>
      <c r="AF401" s="9" cm="1">
        <f t="array" aca="1" ref="AF401" ca="1">_xll.BDH($E$8,"PX LAST",AK401)</f>
        <v>5307.01</v>
      </c>
      <c r="AG401" s="20">
        <f t="shared" ca="1" si="101"/>
        <v>45523</v>
      </c>
      <c r="AH401" s="22">
        <f t="shared" ca="1" si="96"/>
        <v>45516</v>
      </c>
      <c r="AI401" s="22">
        <f t="shared" ca="1" si="97"/>
        <v>45509</v>
      </c>
      <c r="AJ401" s="22">
        <f t="shared" ca="1" si="98"/>
        <v>45495</v>
      </c>
      <c r="AK401" s="22">
        <f t="shared" ca="1" si="99"/>
        <v>45434</v>
      </c>
      <c r="AL401" s="22">
        <f t="shared" ca="1" si="100"/>
        <v>45349</v>
      </c>
    </row>
    <row r="402" spans="4:38" x14ac:dyDescent="0.25">
      <c r="D402" s="6">
        <f ca="1"/>
        <v>45520</v>
      </c>
      <c r="E402" s="28">
        <f ca="1"/>
        <v>157.13999999999999</v>
      </c>
      <c r="F402" s="29" cm="1">
        <f t="array" aca="1" ref="F402" ca="1">_xll.FDS($E$7,"P_BETA_LOCIDX("&amp;$AG402&amp;","&amp;$AL402&amp;",,"""&amp;$E$9&amp;""")")</f>
        <v>1.6594905</v>
      </c>
      <c r="G402" s="30">
        <f t="shared" ca="1" si="86"/>
        <v>-5.876904101349717E-2</v>
      </c>
      <c r="H402" s="30">
        <f t="shared" ca="1" si="86"/>
        <v>-4.021663674117737E-2</v>
      </c>
      <c r="I402" s="30">
        <f t="shared" ca="1" si="86"/>
        <v>-8.7438554296570659E-2</v>
      </c>
      <c r="J402" s="30">
        <f t="shared" ca="1" si="86"/>
        <v>-0.23809215471313724</v>
      </c>
      <c r="K402" s="30">
        <f t="shared" ca="1" si="87"/>
        <v>6.5238009181049883E-2</v>
      </c>
      <c r="L402" s="30">
        <f t="shared" ca="1" si="87"/>
        <v>6.4463801387246944E-2</v>
      </c>
      <c r="M402" s="30">
        <f t="shared" ca="1" si="87"/>
        <v>1.484648630790208E-2</v>
      </c>
      <c r="N402" s="30">
        <f t="shared" ca="1" si="87"/>
        <v>7.2611538674900306E-2</v>
      </c>
      <c r="O402" s="30">
        <f t="shared" ca="1" si="88"/>
        <v>6.4689681675527133E-3</v>
      </c>
      <c r="P402" s="30">
        <f t="shared" ca="1" si="89"/>
        <v>2.4247164646069574E-2</v>
      </c>
      <c r="Q402" s="30">
        <f t="shared" ca="1" si="90"/>
        <v>-7.2592067988668574E-2</v>
      </c>
      <c r="R402" s="30">
        <f t="shared" ca="1" si="91"/>
        <v>-0.16548061603823694</v>
      </c>
      <c r="S402" s="9" cm="1">
        <f t="array" aca="1" ref="S402" ca="1">_xll.BDH($E$6,"PX LAST",AG402)</f>
        <v>157.13999999999999</v>
      </c>
      <c r="T402" s="9" cm="1">
        <f t="array" aca="1" ref="T402" ca="1">_xll.BDH($E$6,"PX LAST",AH402)</f>
        <v>156.13</v>
      </c>
      <c r="U402" s="9" cm="1">
        <f t="array" aca="1" ref="U402" ca="1">_xll.BDH($E$6,"PX LAST",AI402)</f>
        <v>153.41999999999999</v>
      </c>
      <c r="V402" s="9" cm="1">
        <f t="array" aca="1" ref="V402" ca="1">_xll.BDH($E$6,"PX LAST",AJ402)</f>
        <v>169.44</v>
      </c>
      <c r="W402" s="9" cm="1">
        <f t="array" aca="1" ref="W402" ca="1">_xll.BDH($E$6,"PX LAST",AK402)</f>
        <v>188.3</v>
      </c>
      <c r="X402" s="24">
        <f t="shared" ca="1" si="92"/>
        <v>3.9312071494865375E-2</v>
      </c>
      <c r="Y402" s="24">
        <f t="shared" ca="1" si="93"/>
        <v>3.8845538065597207E-2</v>
      </c>
      <c r="Z402" s="24">
        <f t="shared" ca="1" si="94"/>
        <v>8.9464123524070072E-3</v>
      </c>
      <c r="AA402" s="24">
        <f t="shared" ca="1" si="95"/>
        <v>4.3755320488366944E-2</v>
      </c>
      <c r="AB402" s="9" cm="1">
        <f t="array" aca="1" ref="AB402" ca="1">_xll.BDH($E$8,"PX LAST",AG402)</f>
        <v>5554.25</v>
      </c>
      <c r="AC402" s="9" cm="1">
        <f t="array" aca="1" ref="AC402" ca="1">_xll.BDH($E$8,"PX LAST",AH402)</f>
        <v>5344.16</v>
      </c>
      <c r="AD402" s="9" cm="1">
        <f t="array" aca="1" ref="AD402" ca="1">_xll.BDH($E$8,"PX LAST",AI402)</f>
        <v>5346.56</v>
      </c>
      <c r="AE402" s="9" cm="1">
        <f t="array" aca="1" ref="AE402" ca="1">_xll.BDH($E$8,"PX LAST",AJ402)</f>
        <v>5505</v>
      </c>
      <c r="AF402" s="9" cm="1">
        <f t="array" aca="1" ref="AF402" ca="1">_xll.BDH($E$8,"PX LAST",AK402)</f>
        <v>5321.41</v>
      </c>
      <c r="AG402" s="20">
        <f t="shared" ca="1" si="101"/>
        <v>45520</v>
      </c>
      <c r="AH402" s="22">
        <f t="shared" ca="1" si="96"/>
        <v>45513</v>
      </c>
      <c r="AI402" s="22">
        <f t="shared" ca="1" si="97"/>
        <v>45506</v>
      </c>
      <c r="AJ402" s="22">
        <f t="shared" ca="1" si="98"/>
        <v>45492</v>
      </c>
      <c r="AK402" s="22">
        <f t="shared" ca="1" si="99"/>
        <v>45433</v>
      </c>
      <c r="AL402" s="22">
        <f t="shared" ca="1" si="100"/>
        <v>45348</v>
      </c>
    </row>
    <row r="403" spans="4:38" x14ac:dyDescent="0.25">
      <c r="D403" s="6">
        <f ca="1"/>
        <v>45519</v>
      </c>
      <c r="E403" s="28">
        <f ca="1"/>
        <v>159.34</v>
      </c>
      <c r="F403" s="29" cm="1">
        <f t="array" aca="1" ref="F403" ca="1">_xll.FDS($E$7,"P_BETA_LOCIDX("&amp;$AG403&amp;","&amp;$AL403&amp;",,"""&amp;$E$9&amp;""")")</f>
        <v>1.6617987999999999</v>
      </c>
      <c r="G403" s="30">
        <f t="shared" ca="1" si="86"/>
        <v>-4.5059173127676613E-2</v>
      </c>
      <c r="H403" s="30">
        <f t="shared" ca="1" si="86"/>
        <v>-2.5738115134247262E-2</v>
      </c>
      <c r="I403" s="30">
        <f t="shared" ca="1" si="86"/>
        <v>-6.9408420893682571E-2</v>
      </c>
      <c r="J403" s="30">
        <f t="shared" ca="1" si="86"/>
        <v>-0.22604566157037892</v>
      </c>
      <c r="K403" s="30">
        <f t="shared" ca="1" si="87"/>
        <v>6.9951435300443135E-2</v>
      </c>
      <c r="L403" s="30">
        <f t="shared" ca="1" si="87"/>
        <v>2.9454650567318084E-2</v>
      </c>
      <c r="M403" s="30">
        <f t="shared" ca="1" si="87"/>
        <v>-4.1061004618906039E-4</v>
      </c>
      <c r="N403" s="30">
        <f t="shared" ca="1" si="87"/>
        <v>7.3598853059740621E-2</v>
      </c>
      <c r="O403" s="30">
        <f t="shared" ca="1" si="88"/>
        <v>2.4892262172766522E-2</v>
      </c>
      <c r="P403" s="30">
        <f t="shared" ca="1" si="89"/>
        <v>3.7165354330708222E-3</v>
      </c>
      <c r="Q403" s="30">
        <f t="shared" ca="1" si="90"/>
        <v>-6.9819030939871629E-2</v>
      </c>
      <c r="R403" s="30">
        <f t="shared" ca="1" si="91"/>
        <v>-0.1524468085106383</v>
      </c>
      <c r="S403" s="9" cm="1">
        <f t="array" aca="1" ref="S403" ca="1">_xll.BDH($E$6,"PX LAST",AG403)</f>
        <v>159.34</v>
      </c>
      <c r="T403" s="9" cm="1">
        <f t="array" aca="1" ref="T403" ca="1">_xll.BDH($E$6,"PX LAST",AH403)</f>
        <v>155.47</v>
      </c>
      <c r="U403" s="9" cm="1">
        <f t="array" aca="1" ref="U403" ca="1">_xll.BDH($E$6,"PX LAST",AI403)</f>
        <v>158.75</v>
      </c>
      <c r="V403" s="9" cm="1">
        <f t="array" aca="1" ref="V403" ca="1">_xll.BDH($E$6,"PX LAST",AJ403)</f>
        <v>171.3</v>
      </c>
      <c r="W403" s="9" cm="1">
        <f t="array" aca="1" ref="W403" ca="1">_xll.BDH($E$6,"PX LAST",AK403)</f>
        <v>188</v>
      </c>
      <c r="X403" s="24">
        <f t="shared" ca="1" si="92"/>
        <v>4.2093805399572526E-2</v>
      </c>
      <c r="Y403" s="24">
        <f t="shared" ca="1" si="93"/>
        <v>1.7724558813809521E-2</v>
      </c>
      <c r="Z403" s="24">
        <f t="shared" ca="1" si="94"/>
        <v>-2.4708770170556171E-4</v>
      </c>
      <c r="AA403" s="24">
        <f t="shared" ca="1" si="95"/>
        <v>4.4288666630244666E-2</v>
      </c>
      <c r="AB403" s="9" cm="1">
        <f t="array" aca="1" ref="AB403" ca="1">_xll.BDH($E$8,"PX LAST",AG403)</f>
        <v>5543.22</v>
      </c>
      <c r="AC403" s="9" cm="1">
        <f t="array" aca="1" ref="AC403" ca="1">_xll.BDH($E$8,"PX LAST",AH403)</f>
        <v>5319.31</v>
      </c>
      <c r="AD403" s="9" cm="1">
        <f t="array" aca="1" ref="AD403" ca="1">_xll.BDH($E$8,"PX LAST",AI403)</f>
        <v>5446.68</v>
      </c>
      <c r="AE403" s="9" cm="1">
        <f t="array" aca="1" ref="AE403" ca="1">_xll.BDH($E$8,"PX LAST",AJ403)</f>
        <v>5544.59</v>
      </c>
      <c r="AF403" s="9" cm="1">
        <f t="array" aca="1" ref="AF403" ca="1">_xll.BDH($E$8,"PX LAST",AK403)</f>
        <v>5308.13</v>
      </c>
      <c r="AG403" s="20">
        <f t="shared" ca="1" si="101"/>
        <v>45519</v>
      </c>
      <c r="AH403" s="22">
        <f t="shared" ca="1" si="96"/>
        <v>45512</v>
      </c>
      <c r="AI403" s="22">
        <f t="shared" ca="1" si="97"/>
        <v>45505</v>
      </c>
      <c r="AJ403" s="22">
        <f t="shared" ca="1" si="98"/>
        <v>45491</v>
      </c>
      <c r="AK403" s="22">
        <f t="shared" ca="1" si="99"/>
        <v>45432</v>
      </c>
      <c r="AL403" s="22">
        <f t="shared" ca="1" si="100"/>
        <v>45345</v>
      </c>
    </row>
    <row r="404" spans="4:38" x14ac:dyDescent="0.25">
      <c r="D404" s="6">
        <f ca="1"/>
        <v>45518</v>
      </c>
      <c r="E404" s="28">
        <f ca="1"/>
        <v>156.06</v>
      </c>
      <c r="F404" s="29" cm="1">
        <f t="array" aca="1" ref="F404" ca="1">_xll.FDS($E$7,"P_BETA_LOCIDX("&amp;$AG404&amp;","&amp;$AL404&amp;",,"""&amp;$E$9&amp;""")")</f>
        <v>1.6196071999999999</v>
      </c>
      <c r="G404" s="30">
        <f t="shared" ca="1" si="86"/>
        <v>-3.5562728018497414E-2</v>
      </c>
      <c r="H404" s="30">
        <f t="shared" ca="1" si="86"/>
        <v>-8.8297222872090561E-2</v>
      </c>
      <c r="I404" s="30">
        <f t="shared" ca="1" si="86"/>
        <v>-7.3470338077284314E-2</v>
      </c>
      <c r="J404" s="30">
        <f t="shared" ca="1" si="86"/>
        <v>-0.2030625097897667</v>
      </c>
      <c r="K404" s="30">
        <f t="shared" ca="1" si="87"/>
        <v>7.9651842891047153E-2</v>
      </c>
      <c r="L404" s="30">
        <f t="shared" ca="1" si="87"/>
        <v>-1.9676483901273148E-2</v>
      </c>
      <c r="M404" s="30">
        <f t="shared" ca="1" si="87"/>
        <v>-3.8563801325276155E-2</v>
      </c>
      <c r="N404" s="30">
        <f t="shared" ca="1" si="87"/>
        <v>4.6402147725459711E-2</v>
      </c>
      <c r="O404" s="30">
        <f t="shared" ca="1" si="88"/>
        <v>4.4089114872549739E-2</v>
      </c>
      <c r="P404" s="30">
        <f t="shared" ca="1" si="89"/>
        <v>-0.10797370677336371</v>
      </c>
      <c r="Q404" s="30">
        <f t="shared" ca="1" si="90"/>
        <v>-0.11203413940256046</v>
      </c>
      <c r="R404" s="30">
        <f t="shared" ca="1" si="91"/>
        <v>-0.156660362064307</v>
      </c>
      <c r="S404" s="9" cm="1">
        <f t="array" aca="1" ref="S404" ca="1">_xll.BDH($E$6,"PX LAST",AG404)</f>
        <v>156.06</v>
      </c>
      <c r="T404" s="9" cm="1">
        <f t="array" aca="1" ref="T404" ca="1">_xll.BDH($E$6,"PX LAST",AH404)</f>
        <v>149.47</v>
      </c>
      <c r="U404" s="9" cm="1">
        <f t="array" aca="1" ref="U404" ca="1">_xll.BDH($E$6,"PX LAST",AI404)</f>
        <v>174.95</v>
      </c>
      <c r="V404" s="9" cm="1">
        <f t="array" aca="1" ref="V404" ca="1">_xll.BDH($E$6,"PX LAST",AJ404)</f>
        <v>175.75</v>
      </c>
      <c r="W404" s="9" cm="1">
        <f t="array" aca="1" ref="W404" ca="1">_xll.BDH($E$6,"PX LAST",AK404)</f>
        <v>185.05</v>
      </c>
      <c r="X404" s="24">
        <f t="shared" ca="1" si="92"/>
        <v>4.9179728820078816E-2</v>
      </c>
      <c r="Y404" s="24">
        <f t="shared" ca="1" si="93"/>
        <v>-1.2148923455806537E-2</v>
      </c>
      <c r="Z404" s="24">
        <f t="shared" ca="1" si="94"/>
        <v>-2.3810588965816004E-2</v>
      </c>
      <c r="AA404" s="24">
        <f t="shared" ca="1" si="95"/>
        <v>2.8650247865939171E-2</v>
      </c>
      <c r="AB404" s="9" cm="1">
        <f t="array" aca="1" ref="AB404" ca="1">_xll.BDH($E$8,"PX LAST",AG404)</f>
        <v>5455.21</v>
      </c>
      <c r="AC404" s="9" cm="1">
        <f t="array" aca="1" ref="AC404" ca="1">_xll.BDH($E$8,"PX LAST",AH404)</f>
        <v>5199.5</v>
      </c>
      <c r="AD404" s="9" cm="1">
        <f t="array" aca="1" ref="AD404" ca="1">_xll.BDH($E$8,"PX LAST",AI404)</f>
        <v>5522.3</v>
      </c>
      <c r="AE404" s="9" cm="1">
        <f t="array" aca="1" ref="AE404" ca="1">_xll.BDH($E$8,"PX LAST",AJ404)</f>
        <v>5588.27</v>
      </c>
      <c r="AF404" s="9" cm="1">
        <f t="array" aca="1" ref="AF404" ca="1">_xll.BDH($E$8,"PX LAST",AK404)</f>
        <v>5303.27</v>
      </c>
      <c r="AG404" s="20">
        <f t="shared" ca="1" si="101"/>
        <v>45518</v>
      </c>
      <c r="AH404" s="22">
        <f t="shared" ca="1" si="96"/>
        <v>45511</v>
      </c>
      <c r="AI404" s="22">
        <f t="shared" ca="1" si="97"/>
        <v>45504</v>
      </c>
      <c r="AJ404" s="22">
        <f t="shared" ca="1" si="98"/>
        <v>45490</v>
      </c>
      <c r="AK404" s="22">
        <f t="shared" ca="1" si="99"/>
        <v>45429</v>
      </c>
      <c r="AL404" s="22">
        <f t="shared" ca="1" si="100"/>
        <v>45344</v>
      </c>
    </row>
    <row r="405" spans="4:38" x14ac:dyDescent="0.25">
      <c r="D405" s="6">
        <f ca="1"/>
        <v>45517</v>
      </c>
      <c r="E405" s="28">
        <f ca="1"/>
        <v>156.33000000000001</v>
      </c>
      <c r="F405" s="29" cm="1">
        <f t="array" aca="1" ref="F405" ca="1">_xll.FDS($E$7,"P_BETA_LOCIDX("&amp;$AG405&amp;","&amp;$AL405&amp;",,"""&amp;$E$9&amp;""")")</f>
        <v>1.6213298</v>
      </c>
      <c r="G405" s="30">
        <f t="shared" ca="1" si="86"/>
        <v>-3.6846749038252691E-2</v>
      </c>
      <c r="H405" s="30">
        <f t="shared" ca="1" si="86"/>
        <v>-8.4065928730023678E-2</v>
      </c>
      <c r="I405" s="30">
        <f t="shared" ca="1" si="86"/>
        <v>-8.0263389560014026E-2</v>
      </c>
      <c r="J405" s="30">
        <f t="shared" ref="J405:J468" ca="1" si="102">+R405-N405</f>
        <v>-0.1827472573426227</v>
      </c>
      <c r="K405" s="30">
        <f t="shared" ca="1" si="87"/>
        <v>6.0149753554846308E-2</v>
      </c>
      <c r="L405" s="30">
        <f t="shared" ca="1" si="87"/>
        <v>-5.9944980501928284E-4</v>
      </c>
      <c r="M405" s="30">
        <f t="shared" ca="1" si="87"/>
        <v>-6.6593191972402405E-2</v>
      </c>
      <c r="N405" s="30">
        <f t="shared" ref="N405:N468" ca="1" si="103">+AA405*$F405</f>
        <v>4.2033796121273843E-2</v>
      </c>
      <c r="O405" s="30">
        <f t="shared" ca="1" si="88"/>
        <v>2.3303004516593617E-2</v>
      </c>
      <c r="P405" s="30">
        <f t="shared" ca="1" si="89"/>
        <v>-8.4665378535042968E-2</v>
      </c>
      <c r="Q405" s="30">
        <f t="shared" ca="1" si="90"/>
        <v>-0.14685658153241643</v>
      </c>
      <c r="R405" s="30">
        <f t="shared" ca="1" si="91"/>
        <v>-0.14071346122134887</v>
      </c>
      <c r="S405" s="9" cm="1">
        <f t="array" aca="1" ref="S405" ca="1">_xll.BDH($E$6,"PX LAST",AG405)</f>
        <v>156.33000000000001</v>
      </c>
      <c r="T405" s="9" cm="1">
        <f t="array" aca="1" ref="T405" ca="1">_xll.BDH($E$6,"PX LAST",AH405)</f>
        <v>152.77000000000001</v>
      </c>
      <c r="U405" s="9" cm="1">
        <f t="array" aca="1" ref="U405" ca="1">_xll.BDH($E$6,"PX LAST",AI405)</f>
        <v>170.79</v>
      </c>
      <c r="V405" s="9" cm="1">
        <f t="array" aca="1" ref="V405" ca="1">_xll.BDH($E$6,"PX LAST",AJ405)</f>
        <v>183.24</v>
      </c>
      <c r="W405" s="9" cm="1">
        <f t="array" aca="1" ref="W405" ca="1">_xll.BDH($E$6,"PX LAST",AK405)</f>
        <v>181.93</v>
      </c>
      <c r="X405" s="24">
        <f t="shared" ca="1" si="92"/>
        <v>3.7099024242227774E-2</v>
      </c>
      <c r="Y405" s="24">
        <f t="shared" ca="1" si="93"/>
        <v>-3.6972724797834644E-4</v>
      </c>
      <c r="Z405" s="24">
        <f t="shared" ca="1" si="94"/>
        <v>-4.1073193111236472E-2</v>
      </c>
      <c r="AA405" s="24">
        <f t="shared" ca="1" si="95"/>
        <v>2.5925506409167243E-2</v>
      </c>
      <c r="AB405" s="9" cm="1">
        <f t="array" aca="1" ref="AB405" ca="1">_xll.BDH($E$8,"PX LAST",AG405)</f>
        <v>5434.43</v>
      </c>
      <c r="AC405" s="9" cm="1">
        <f t="array" aca="1" ref="AC405" ca="1">_xll.BDH($E$8,"PX LAST",AH405)</f>
        <v>5240.03</v>
      </c>
      <c r="AD405" s="9" cm="1">
        <f t="array" aca="1" ref="AD405" ca="1">_xll.BDH($E$8,"PX LAST",AI405)</f>
        <v>5436.44</v>
      </c>
      <c r="AE405" s="9" cm="1">
        <f t="array" aca="1" ref="AE405" ca="1">_xll.BDH($E$8,"PX LAST",AJ405)</f>
        <v>5667.2</v>
      </c>
      <c r="AF405" s="9" cm="1">
        <f t="array" aca="1" ref="AF405" ca="1">_xll.BDH($E$8,"PX LAST",AK405)</f>
        <v>5297.1</v>
      </c>
      <c r="AG405" s="20">
        <f t="shared" ca="1" si="101"/>
        <v>45517</v>
      </c>
      <c r="AH405" s="22">
        <f t="shared" ca="1" si="96"/>
        <v>45510</v>
      </c>
      <c r="AI405" s="22">
        <f t="shared" ca="1" si="97"/>
        <v>45503</v>
      </c>
      <c r="AJ405" s="22">
        <f t="shared" ca="1" si="98"/>
        <v>45489</v>
      </c>
      <c r="AK405" s="22">
        <f t="shared" ca="1" si="99"/>
        <v>45428</v>
      </c>
      <c r="AL405" s="22">
        <f t="shared" ca="1" si="100"/>
        <v>45343</v>
      </c>
    </row>
    <row r="406" spans="4:38" x14ac:dyDescent="0.25">
      <c r="D406" s="6">
        <f ca="1"/>
        <v>45516</v>
      </c>
      <c r="E406" s="28">
        <f ca="1"/>
        <v>153.5</v>
      </c>
      <c r="F406" s="29" cm="1">
        <f t="array" aca="1" ref="F406" ca="1">_xll.FDS($E$7,"P_BETA_LOCIDX("&amp;$AG406&amp;","&amp;$AL406&amp;",,"""&amp;$E$9&amp;""")")</f>
        <v>1.634206</v>
      </c>
      <c r="G406" s="30">
        <f t="shared" ref="G406:J469" ca="1" si="104">+O406-K406</f>
        <v>-2.9192803247046935E-2</v>
      </c>
      <c r="H406" s="30">
        <f t="shared" ca="1" si="104"/>
        <v>-7.3110828065805239E-2</v>
      </c>
      <c r="I406" s="30">
        <f t="shared" ca="1" si="104"/>
        <v>-3.5488364812881368E-2</v>
      </c>
      <c r="J406" s="30">
        <f t="shared" ca="1" si="102"/>
        <v>-0.18726145448477352</v>
      </c>
      <c r="K406" s="30">
        <f t="shared" ref="K406:N469" ca="1" si="105">+X406*$F406</f>
        <v>4.9804505374706438E-2</v>
      </c>
      <c r="L406" s="30">
        <f t="shared" ca="1" si="105"/>
        <v>-3.5639099356827207E-2</v>
      </c>
      <c r="M406" s="30">
        <f t="shared" ca="1" si="105"/>
        <v>-8.3239388086418231E-2</v>
      </c>
      <c r="N406" s="30">
        <f t="shared" ca="1" si="103"/>
        <v>1.1157112259450187E-2</v>
      </c>
      <c r="O406" s="30">
        <f t="shared" ref="O406:O469" ca="1" si="106">+S406/T406-1</f>
        <v>2.0611702127659504E-2</v>
      </c>
      <c r="P406" s="30">
        <f t="shared" ref="P406:P469" ca="1" si="107">+S406/U406-1</f>
        <v>-0.10874992742263245</v>
      </c>
      <c r="Q406" s="30">
        <f t="shared" ref="Q406:Q469" ca="1" si="108">+S406/V406-1</f>
        <v>-0.1187277528992996</v>
      </c>
      <c r="R406" s="30">
        <f t="shared" ref="R406:R469" ca="1" si="109">+S406/W406-1</f>
        <v>-0.17610434222532334</v>
      </c>
      <c r="S406" s="9" cm="1">
        <f t="array" aca="1" ref="S406" ca="1">_xll.BDH($E$6,"PX LAST",AG406)</f>
        <v>153.5</v>
      </c>
      <c r="T406" s="9" cm="1">
        <f t="array" aca="1" ref="T406" ca="1">_xll.BDH($E$6,"PX LAST",AH406)</f>
        <v>150.4</v>
      </c>
      <c r="U406" s="9" cm="1">
        <f t="array" aca="1" ref="U406" ca="1">_xll.BDH($E$6,"PX LAST",AI406)</f>
        <v>172.23</v>
      </c>
      <c r="V406" s="9" cm="1">
        <f t="array" aca="1" ref="V406" ca="1">_xll.BDH($E$6,"PX LAST",AJ406)</f>
        <v>174.18</v>
      </c>
      <c r="W406" s="9" cm="1">
        <f t="array" aca="1" ref="W406" ca="1">_xll.BDH($E$6,"PX LAST",AK406)</f>
        <v>186.31</v>
      </c>
      <c r="X406" s="24">
        <f t="shared" ref="X406:X469" ca="1" si="110">+AB406/AC406-1</f>
        <v>3.0476271274678002E-2</v>
      </c>
      <c r="Y406" s="24">
        <f t="shared" ref="Y406:Y469" ca="1" si="111">+AB406/AD406-1</f>
        <v>-2.1808204936725972E-2</v>
      </c>
      <c r="Z406" s="24">
        <f t="shared" ref="Z406:Z469" ca="1" si="112">+AB406/AE406-1</f>
        <v>-5.0935676460873491E-2</v>
      </c>
      <c r="AA406" s="24">
        <f t="shared" ref="AA406:AA469" ca="1" si="113">+AB406/AF406-1</f>
        <v>6.8272373614159942E-3</v>
      </c>
      <c r="AB406" s="9" cm="1">
        <f t="array" aca="1" ref="AB406" ca="1">_xll.BDH($E$8,"PX LAST",AG406)</f>
        <v>5344.39</v>
      </c>
      <c r="AC406" s="9" cm="1">
        <f t="array" aca="1" ref="AC406" ca="1">_xll.BDH($E$8,"PX LAST",AH406)</f>
        <v>5186.33</v>
      </c>
      <c r="AD406" s="9" cm="1">
        <f t="array" aca="1" ref="AD406" ca="1">_xll.BDH($E$8,"PX LAST",AI406)</f>
        <v>5463.54</v>
      </c>
      <c r="AE406" s="9" cm="1">
        <f t="array" aca="1" ref="AE406" ca="1">_xll.BDH($E$8,"PX LAST",AJ406)</f>
        <v>5631.22</v>
      </c>
      <c r="AF406" s="9" cm="1">
        <f t="array" aca="1" ref="AF406" ca="1">_xll.BDH($E$8,"PX LAST",AK406)</f>
        <v>5308.15</v>
      </c>
      <c r="AG406" s="20">
        <f t="shared" ca="1" si="101"/>
        <v>45516</v>
      </c>
      <c r="AH406" s="22">
        <f t="shared" ref="AH406:AH469" ca="1" si="114">+WORKDAY($AG406, -5, $AN$2:$AN$100)</f>
        <v>45509</v>
      </c>
      <c r="AI406" s="22">
        <f t="shared" ref="AI406:AI469" ca="1" si="115">+WORKDAY($AG406, -10, $AN$2:$AN$100)</f>
        <v>45502</v>
      </c>
      <c r="AJ406" s="22">
        <f t="shared" ref="AJ406:AJ469" ca="1" si="116">+WORKDAY($AG406, -20, $AN$2:$AN$100)</f>
        <v>45488</v>
      </c>
      <c r="AK406" s="22">
        <f t="shared" ref="AK406:AK469" ca="1" si="117">+WORKDAY($AG406, -60, $AN$2:$AN$100)</f>
        <v>45427</v>
      </c>
      <c r="AL406" s="22">
        <f t="shared" ref="AL406:AL469" ca="1" si="118">+WORKDAY($AG406, -120, $AN$2:$AN$100)</f>
        <v>45342</v>
      </c>
    </row>
    <row r="407" spans="4:38" x14ac:dyDescent="0.25">
      <c r="D407" s="6">
        <f ca="1"/>
        <v>45513</v>
      </c>
      <c r="E407" s="28">
        <f ca="1"/>
        <v>156.13</v>
      </c>
      <c r="F407" s="29" cm="1">
        <f t="array" aca="1" ref="F407" ca="1">_xll.FDS($E$7,"P_BETA_LOCIDX("&amp;$AG407&amp;","&amp;$AL407&amp;",,"""&amp;$E$9&amp;""")")</f>
        <v>1.6357622999999999</v>
      </c>
      <c r="G407" s="30">
        <f t="shared" ca="1" si="104"/>
        <v>1.8398201123901708E-2</v>
      </c>
      <c r="H407" s="30">
        <f t="shared" ca="1" si="104"/>
        <v>-4.9840954363406485E-2</v>
      </c>
      <c r="I407" s="30">
        <f t="shared" ca="1" si="104"/>
        <v>-4.0464055083851425E-3</v>
      </c>
      <c r="J407" s="30">
        <f t="shared" ca="1" si="102"/>
        <v>-0.16107071750555396</v>
      </c>
      <c r="K407" s="30">
        <f t="shared" ca="1" si="105"/>
        <v>-7.3427204034008382E-4</v>
      </c>
      <c r="L407" s="30">
        <f t="shared" ca="1" si="105"/>
        <v>-3.4440570563279795E-2</v>
      </c>
      <c r="M407" s="30">
        <f t="shared" ca="1" si="105"/>
        <v>-7.8998170752847152E-2</v>
      </c>
      <c r="N407" s="30">
        <f t="shared" ca="1" si="103"/>
        <v>3.0391430200431498E-2</v>
      </c>
      <c r="O407" s="30">
        <f t="shared" ca="1" si="106"/>
        <v>1.7663929083561625E-2</v>
      </c>
      <c r="P407" s="30">
        <f t="shared" ca="1" si="107"/>
        <v>-8.428152492668628E-2</v>
      </c>
      <c r="Q407" s="30">
        <f t="shared" ca="1" si="108"/>
        <v>-8.3044576261232295E-2</v>
      </c>
      <c r="R407" s="30">
        <f t="shared" ca="1" si="109"/>
        <v>-0.13067928730512246</v>
      </c>
      <c r="S407" s="9" cm="1">
        <f t="array" aca="1" ref="S407" ca="1">_xll.BDH($E$6,"PX LAST",AG407)</f>
        <v>156.13</v>
      </c>
      <c r="T407" s="9" cm="1">
        <f t="array" aca="1" ref="T407" ca="1">_xll.BDH($E$6,"PX LAST",AH407)</f>
        <v>153.41999999999999</v>
      </c>
      <c r="U407" s="9" cm="1">
        <f t="array" aca="1" ref="U407" ca="1">_xll.BDH($E$6,"PX LAST",AI407)</f>
        <v>170.5</v>
      </c>
      <c r="V407" s="9" cm="1">
        <f t="array" aca="1" ref="V407" ca="1">_xll.BDH($E$6,"PX LAST",AJ407)</f>
        <v>170.27</v>
      </c>
      <c r="W407" s="9" cm="1">
        <f t="array" aca="1" ref="W407" ca="1">_xll.BDH($E$6,"PX LAST",AK407)</f>
        <v>179.6</v>
      </c>
      <c r="X407" s="24">
        <f t="shared" ca="1" si="110"/>
        <v>-4.4888676083321144E-4</v>
      </c>
      <c r="Y407" s="24">
        <f t="shared" ca="1" si="111"/>
        <v>-2.1054752614899974E-2</v>
      </c>
      <c r="Z407" s="24">
        <f t="shared" ca="1" si="112"/>
        <v>-4.8294407294291575E-2</v>
      </c>
      <c r="AA407" s="24">
        <f t="shared" ca="1" si="113"/>
        <v>1.8579368286230524E-2</v>
      </c>
      <c r="AB407" s="9" cm="1">
        <f t="array" aca="1" ref="AB407" ca="1">_xll.BDH($E$8,"PX LAST",AG407)</f>
        <v>5344.16</v>
      </c>
      <c r="AC407" s="9" cm="1">
        <f t="array" aca="1" ref="AC407" ca="1">_xll.BDH($E$8,"PX LAST",AH407)</f>
        <v>5346.56</v>
      </c>
      <c r="AD407" s="9" cm="1">
        <f t="array" aca="1" ref="AD407" ca="1">_xll.BDH($E$8,"PX LAST",AI407)</f>
        <v>5459.1</v>
      </c>
      <c r="AE407" s="9" cm="1">
        <f t="array" aca="1" ref="AE407" ca="1">_xll.BDH($E$8,"PX LAST",AJ407)</f>
        <v>5615.35</v>
      </c>
      <c r="AF407" s="9" cm="1">
        <f t="array" aca="1" ref="AF407" ca="1">_xll.BDH($E$8,"PX LAST",AK407)</f>
        <v>5246.68</v>
      </c>
      <c r="AG407" s="20">
        <f t="shared" ref="AG407:AG470" ca="1" si="119">+WORKDAY(D407, 0, $AN$2:$AN$59)</f>
        <v>45513</v>
      </c>
      <c r="AH407" s="22">
        <f t="shared" ca="1" si="114"/>
        <v>45506</v>
      </c>
      <c r="AI407" s="22">
        <f t="shared" ca="1" si="115"/>
        <v>45499</v>
      </c>
      <c r="AJ407" s="22">
        <f t="shared" ca="1" si="116"/>
        <v>45485</v>
      </c>
      <c r="AK407" s="22">
        <f t="shared" ca="1" si="117"/>
        <v>45426</v>
      </c>
      <c r="AL407" s="22">
        <f t="shared" ca="1" si="118"/>
        <v>45338</v>
      </c>
    </row>
    <row r="408" spans="4:38" x14ac:dyDescent="0.25">
      <c r="D408" s="6">
        <f ca="1"/>
        <v>45512</v>
      </c>
      <c r="E408" s="28">
        <f ca="1"/>
        <v>155.47</v>
      </c>
      <c r="F408" s="29" cm="1">
        <f t="array" aca="1" ref="F408" ca="1">_xll.FDS($E$7,"P_BETA_LOCIDX("&amp;$AG408&amp;","&amp;$AL408&amp;",,"""&amp;$E$9&amp;""")")</f>
        <v>1.6516047</v>
      </c>
      <c r="G408" s="30">
        <f t="shared" ca="1" si="104"/>
        <v>1.7961173069661357E-2</v>
      </c>
      <c r="H408" s="30">
        <f t="shared" ca="1" si="104"/>
        <v>-4.9587940136366374E-2</v>
      </c>
      <c r="I408" s="30">
        <f t="shared" ca="1" si="104"/>
        <v>1.7949986169932097E-2</v>
      </c>
      <c r="J408" s="30">
        <f t="shared" ca="1" si="102"/>
        <v>-0.15670197542621425</v>
      </c>
      <c r="K408" s="30">
        <f t="shared" ca="1" si="105"/>
        <v>-3.862259039249602E-2</v>
      </c>
      <c r="L408" s="30">
        <f t="shared" ca="1" si="105"/>
        <v>-2.4444221864824853E-2</v>
      </c>
      <c r="M408" s="30">
        <f t="shared" ca="1" si="105"/>
        <v>-7.8440679909356714E-2</v>
      </c>
      <c r="N408" s="30">
        <f t="shared" ca="1" si="103"/>
        <v>3.0963910982644536E-2</v>
      </c>
      <c r="O408" s="30">
        <f t="shared" ca="1" si="106"/>
        <v>-2.0661417322834663E-2</v>
      </c>
      <c r="P408" s="30">
        <f t="shared" ca="1" si="107"/>
        <v>-7.4032162001191226E-2</v>
      </c>
      <c r="Q408" s="30">
        <f t="shared" ca="1" si="108"/>
        <v>-6.0490693739424617E-2</v>
      </c>
      <c r="R408" s="30">
        <f t="shared" ca="1" si="109"/>
        <v>-0.12573806444356972</v>
      </c>
      <c r="S408" s="9" cm="1">
        <f t="array" aca="1" ref="S408" ca="1">_xll.BDH($E$6,"PX LAST",AG408)</f>
        <v>155.47</v>
      </c>
      <c r="T408" s="9" cm="1">
        <f t="array" aca="1" ref="T408" ca="1">_xll.BDH($E$6,"PX LAST",AH408)</f>
        <v>158.75</v>
      </c>
      <c r="U408" s="9" cm="1">
        <f t="array" aca="1" ref="U408" ca="1">_xll.BDH($E$6,"PX LAST",AI408)</f>
        <v>167.9</v>
      </c>
      <c r="V408" s="9" cm="1">
        <f t="array" aca="1" ref="V408" ca="1">_xll.BDH($E$6,"PX LAST",AJ408)</f>
        <v>165.48</v>
      </c>
      <c r="W408" s="9" cm="1">
        <f t="array" aca="1" ref="W408" ca="1">_xll.BDH($E$6,"PX LAST",AK408)</f>
        <v>177.83</v>
      </c>
      <c r="X408" s="24">
        <f t="shared" ca="1" si="110"/>
        <v>-2.33848876746936E-2</v>
      </c>
      <c r="Y408" s="24">
        <f t="shared" ca="1" si="111"/>
        <v>-1.4800285967232263E-2</v>
      </c>
      <c r="Z408" s="24">
        <f t="shared" ca="1" si="112"/>
        <v>-4.7493616305013364E-2</v>
      </c>
      <c r="AA408" s="24">
        <f t="shared" ca="1" si="113"/>
        <v>1.8747773594156358E-2</v>
      </c>
      <c r="AB408" s="9" cm="1">
        <f t="array" aca="1" ref="AB408" ca="1">_xll.BDH($E$8,"PX LAST",AG408)</f>
        <v>5319.31</v>
      </c>
      <c r="AC408" s="9" cm="1">
        <f t="array" aca="1" ref="AC408" ca="1">_xll.BDH($E$8,"PX LAST",AH408)</f>
        <v>5446.68</v>
      </c>
      <c r="AD408" s="9" cm="1">
        <f t="array" aca="1" ref="AD408" ca="1">_xll.BDH($E$8,"PX LAST",AI408)</f>
        <v>5399.22</v>
      </c>
      <c r="AE408" s="9" cm="1">
        <f t="array" aca="1" ref="AE408" ca="1">_xll.BDH($E$8,"PX LAST",AJ408)</f>
        <v>5584.54</v>
      </c>
      <c r="AF408" s="9" cm="1">
        <f t="array" aca="1" ref="AF408" ca="1">_xll.BDH($E$8,"PX LAST",AK408)</f>
        <v>5221.42</v>
      </c>
      <c r="AG408" s="20">
        <f t="shared" ca="1" si="119"/>
        <v>45512</v>
      </c>
      <c r="AH408" s="22">
        <f t="shared" ca="1" si="114"/>
        <v>45505</v>
      </c>
      <c r="AI408" s="22">
        <f t="shared" ca="1" si="115"/>
        <v>45498</v>
      </c>
      <c r="AJ408" s="22">
        <f t="shared" ca="1" si="116"/>
        <v>45484</v>
      </c>
      <c r="AK408" s="22">
        <f t="shared" ca="1" si="117"/>
        <v>45425</v>
      </c>
      <c r="AL408" s="22">
        <f t="shared" ca="1" si="118"/>
        <v>45337</v>
      </c>
    </row>
    <row r="409" spans="4:38" x14ac:dyDescent="0.25">
      <c r="D409" s="6">
        <f ca="1"/>
        <v>45511</v>
      </c>
      <c r="E409" s="28">
        <f ca="1"/>
        <v>149.47</v>
      </c>
      <c r="F409" s="29" cm="1">
        <f t="array" aca="1" ref="F409" ca="1">_xll.FDS($E$7,"P_BETA_LOCIDX("&amp;$AG409&amp;","&amp;$AL409&amp;",,"""&amp;$E$9&amp;""")")</f>
        <v>1.7221613</v>
      </c>
      <c r="G409" s="30">
        <f t="shared" ca="1" si="104"/>
        <v>-4.4974558733723038E-2</v>
      </c>
      <c r="H409" s="30">
        <f t="shared" ca="1" si="104"/>
        <v>-1.97423957829055E-2</v>
      </c>
      <c r="I409" s="30">
        <f t="shared" ca="1" si="104"/>
        <v>7.3977082359804491E-2</v>
      </c>
      <c r="J409" s="30">
        <f t="shared" ca="1" si="102"/>
        <v>-0.14251567181434074</v>
      </c>
      <c r="K409" s="30">
        <f t="shared" ca="1" si="105"/>
        <v>-0.10066705315538814</v>
      </c>
      <c r="L409" s="30">
        <f t="shared" ca="1" si="105"/>
        <v>-7.2232575361010451E-2</v>
      </c>
      <c r="M409" s="30">
        <f t="shared" ca="1" si="105"/>
        <v>-0.13278949971387544</v>
      </c>
      <c r="N409" s="30">
        <f t="shared" ca="1" si="103"/>
        <v>-7.6435276398325851E-3</v>
      </c>
      <c r="O409" s="30">
        <f t="shared" ca="1" si="106"/>
        <v>-0.14564161188911118</v>
      </c>
      <c r="P409" s="30">
        <f t="shared" ca="1" si="107"/>
        <v>-9.1974971143915951E-2</v>
      </c>
      <c r="Q409" s="30">
        <f t="shared" ca="1" si="108"/>
        <v>-5.8812417354070945E-2</v>
      </c>
      <c r="R409" s="30">
        <f t="shared" ca="1" si="109"/>
        <v>-0.15015919945417333</v>
      </c>
      <c r="S409" s="9" cm="1">
        <f t="array" aca="1" ref="S409" ca="1">_xll.BDH($E$6,"PX LAST",AG409)</f>
        <v>149.47</v>
      </c>
      <c r="T409" s="9" cm="1">
        <f t="array" aca="1" ref="T409" ca="1">_xll.BDH($E$6,"PX LAST",AH409)</f>
        <v>174.95</v>
      </c>
      <c r="U409" s="9" cm="1">
        <f t="array" aca="1" ref="U409" ca="1">_xll.BDH($E$6,"PX LAST",AI409)</f>
        <v>164.61</v>
      </c>
      <c r="V409" s="9" cm="1">
        <f t="array" aca="1" ref="V409" ca="1">_xll.BDH($E$6,"PX LAST",AJ409)</f>
        <v>158.81</v>
      </c>
      <c r="W409" s="9" cm="1">
        <f t="array" aca="1" ref="W409" ca="1">_xll.BDH($E$6,"PX LAST",AK409)</f>
        <v>175.88</v>
      </c>
      <c r="X409" s="24">
        <f t="shared" ca="1" si="110"/>
        <v>-5.845390507578363E-2</v>
      </c>
      <c r="Y409" s="24">
        <f t="shared" ca="1" si="111"/>
        <v>-4.1942979069968911E-2</v>
      </c>
      <c r="Z409" s="24">
        <f t="shared" ca="1" si="112"/>
        <v>-7.7106308052489303E-2</v>
      </c>
      <c r="AA409" s="24">
        <f t="shared" ca="1" si="113"/>
        <v>-4.4383343417556675E-3</v>
      </c>
      <c r="AB409" s="9" cm="1">
        <f t="array" aca="1" ref="AB409" ca="1">_xll.BDH($E$8,"PX LAST",AG409)</f>
        <v>5199.5</v>
      </c>
      <c r="AC409" s="9" cm="1">
        <f t="array" aca="1" ref="AC409" ca="1">_xll.BDH($E$8,"PX LAST",AH409)</f>
        <v>5522.3</v>
      </c>
      <c r="AD409" s="9" cm="1">
        <f t="array" aca="1" ref="AD409" ca="1">_xll.BDH($E$8,"PX LAST",AI409)</f>
        <v>5427.13</v>
      </c>
      <c r="AE409" s="9" cm="1">
        <f t="array" aca="1" ref="AE409" ca="1">_xll.BDH($E$8,"PX LAST",AJ409)</f>
        <v>5633.91</v>
      </c>
      <c r="AF409" s="9" cm="1">
        <f t="array" aca="1" ref="AF409" ca="1">_xll.BDH($E$8,"PX LAST",AK409)</f>
        <v>5222.68</v>
      </c>
      <c r="AG409" s="20">
        <f t="shared" ca="1" si="119"/>
        <v>45511</v>
      </c>
      <c r="AH409" s="22">
        <f t="shared" ca="1" si="114"/>
        <v>45504</v>
      </c>
      <c r="AI409" s="22">
        <f t="shared" ca="1" si="115"/>
        <v>45497</v>
      </c>
      <c r="AJ409" s="22">
        <f t="shared" ca="1" si="116"/>
        <v>45483</v>
      </c>
      <c r="AK409" s="22">
        <f t="shared" ca="1" si="117"/>
        <v>45422</v>
      </c>
      <c r="AL409" s="22">
        <f t="shared" ca="1" si="118"/>
        <v>45336</v>
      </c>
    </row>
    <row r="410" spans="4:38" x14ac:dyDescent="0.25">
      <c r="D410" s="6">
        <f ca="1"/>
        <v>45510</v>
      </c>
      <c r="E410" s="28">
        <f ca="1"/>
        <v>152.77000000000001</v>
      </c>
      <c r="F410" s="29" cm="1">
        <f t="array" aca="1" ref="F410" ca="1">_xll.FDS($E$7,"P_BETA_LOCIDX("&amp;$AG410&amp;","&amp;$AL410&amp;",,"""&amp;$E$9&amp;""")")</f>
        <v>2.2424726000000001</v>
      </c>
      <c r="G410" s="30">
        <f t="shared" ca="1" si="104"/>
        <v>-2.4492693226967871E-2</v>
      </c>
      <c r="H410" s="30">
        <f t="shared" ca="1" si="104"/>
        <v>1.8165787821033674E-2</v>
      </c>
      <c r="I410" s="30">
        <f t="shared" ca="1" si="104"/>
        <v>0.12672631028432238</v>
      </c>
      <c r="J410" s="30">
        <f t="shared" ca="1" si="102"/>
        <v>-0.13943447577972809</v>
      </c>
      <c r="K410" s="30">
        <f t="shared" ca="1" si="105"/>
        <v>-8.1016997035927935E-2</v>
      </c>
      <c r="L410" s="30">
        <f t="shared" ca="1" si="105"/>
        <v>-0.12743055372389639</v>
      </c>
      <c r="M410" s="30">
        <f t="shared" ca="1" si="105"/>
        <v>-0.1354857185376315</v>
      </c>
      <c r="N410" s="30">
        <f t="shared" ca="1" si="103"/>
        <v>1.1160581343208948E-2</v>
      </c>
      <c r="O410" s="30">
        <f t="shared" ca="1" si="106"/>
        <v>-0.10550969026289581</v>
      </c>
      <c r="P410" s="30">
        <f t="shared" ca="1" si="107"/>
        <v>-0.10926476590286271</v>
      </c>
      <c r="Q410" s="30">
        <f t="shared" ca="1" si="108"/>
        <v>-8.75940825330912E-3</v>
      </c>
      <c r="R410" s="30">
        <f t="shared" ca="1" si="109"/>
        <v>-0.12827389443651915</v>
      </c>
      <c r="S410" s="9" cm="1">
        <f t="array" aca="1" ref="S410" ca="1">_xll.BDH($E$6,"PX LAST",AG410)</f>
        <v>152.77000000000001</v>
      </c>
      <c r="T410" s="9" cm="1">
        <f t="array" aca="1" ref="T410" ca="1">_xll.BDH($E$6,"PX LAST",AH410)</f>
        <v>170.79</v>
      </c>
      <c r="U410" s="9" cm="1">
        <f t="array" aca="1" ref="U410" ca="1">_xll.BDH($E$6,"PX LAST",AI410)</f>
        <v>171.51</v>
      </c>
      <c r="V410" s="9" cm="1">
        <f t="array" aca="1" ref="V410" ca="1">_xll.BDH($E$6,"PX LAST",AJ410)</f>
        <v>154.12</v>
      </c>
      <c r="W410" s="9" cm="1">
        <f t="array" aca="1" ref="W410" ca="1">_xll.BDH($E$6,"PX LAST",AK410)</f>
        <v>175.25</v>
      </c>
      <c r="X410" s="24">
        <f t="shared" ca="1" si="110"/>
        <v>-3.6128422276342609E-2</v>
      </c>
      <c r="Y410" s="24">
        <f t="shared" ca="1" si="111"/>
        <v>-5.6825913379675796E-2</v>
      </c>
      <c r="Z410" s="24">
        <f t="shared" ca="1" si="112"/>
        <v>-6.0418004009338389E-2</v>
      </c>
      <c r="AA410" s="24">
        <f t="shared" ca="1" si="113"/>
        <v>4.9769086780409033E-3</v>
      </c>
      <c r="AB410" s="9" cm="1">
        <f t="array" aca="1" ref="AB410" ca="1">_xll.BDH($E$8,"PX LAST",AG410)</f>
        <v>5240.03</v>
      </c>
      <c r="AC410" s="9" cm="1">
        <f t="array" aca="1" ref="AC410" ca="1">_xll.BDH($E$8,"PX LAST",AH410)</f>
        <v>5436.44</v>
      </c>
      <c r="AD410" s="9" cm="1">
        <f t="array" aca="1" ref="AD410" ca="1">_xll.BDH($E$8,"PX LAST",AI410)</f>
        <v>5555.74</v>
      </c>
      <c r="AE410" s="9" cm="1">
        <f t="array" aca="1" ref="AE410" ca="1">_xll.BDH($E$8,"PX LAST",AJ410)</f>
        <v>5576.98</v>
      </c>
      <c r="AF410" s="9" cm="1">
        <f t="array" aca="1" ref="AF410" ca="1">_xll.BDH($E$8,"PX LAST",AK410)</f>
        <v>5214.08</v>
      </c>
      <c r="AG410" s="20">
        <f t="shared" ca="1" si="119"/>
        <v>45510</v>
      </c>
      <c r="AH410" s="22">
        <f t="shared" ca="1" si="114"/>
        <v>45503</v>
      </c>
      <c r="AI410" s="22">
        <f t="shared" ca="1" si="115"/>
        <v>45496</v>
      </c>
      <c r="AJ410" s="22">
        <f t="shared" ca="1" si="116"/>
        <v>45482</v>
      </c>
      <c r="AK410" s="22">
        <f t="shared" ca="1" si="117"/>
        <v>45421</v>
      </c>
      <c r="AL410" s="22">
        <f t="shared" ca="1" si="118"/>
        <v>45335</v>
      </c>
    </row>
    <row r="411" spans="4:38" x14ac:dyDescent="0.25">
      <c r="D411" s="6">
        <f ca="1"/>
        <v>45509</v>
      </c>
      <c r="E411" s="28">
        <f ca="1"/>
        <v>150.4</v>
      </c>
      <c r="F411" s="29" cm="1">
        <f t="array" aca="1" ref="F411" ca="1">_xll.FDS($E$7,"P_BETA_LOCIDX("&amp;$AG411&amp;","&amp;$AL411&amp;",,"""&amp;$E$9&amp;""")")</f>
        <v>2.2502084</v>
      </c>
      <c r="G411" s="30">
        <f t="shared" ca="1" si="104"/>
        <v>-1.2577667003065049E-2</v>
      </c>
      <c r="H411" s="30">
        <f t="shared" ca="1" si="104"/>
        <v>2.6042393847439699E-2</v>
      </c>
      <c r="I411" s="30">
        <f t="shared" ca="1" si="104"/>
        <v>0.11611010834797322</v>
      </c>
      <c r="J411" s="30">
        <f t="shared" ca="1" si="102"/>
        <v>-0.13345837347762221</v>
      </c>
      <c r="K411" s="30">
        <f t="shared" ca="1" si="105"/>
        <v>-0.11417144755305166</v>
      </c>
      <c r="L411" s="30">
        <f t="shared" ca="1" si="105"/>
        <v>-0.15289290183002316</v>
      </c>
      <c r="M411" s="30">
        <f t="shared" ca="1" si="105"/>
        <v>-0.15606925554572629</v>
      </c>
      <c r="N411" s="30">
        <f t="shared" ca="1" si="103"/>
        <v>-5.812396039070279E-4</v>
      </c>
      <c r="O411" s="30">
        <f t="shared" ca="1" si="106"/>
        <v>-0.1267491145561167</v>
      </c>
      <c r="P411" s="30">
        <f t="shared" ca="1" si="107"/>
        <v>-0.12685050798258346</v>
      </c>
      <c r="Q411" s="30">
        <f t="shared" ca="1" si="108"/>
        <v>-3.9959147197753064E-2</v>
      </c>
      <c r="R411" s="30">
        <f t="shared" ca="1" si="109"/>
        <v>-0.13403961308152923</v>
      </c>
      <c r="S411" s="9" cm="1">
        <f t="array" aca="1" ref="S411" ca="1">_xll.BDH($E$6,"PX LAST",AG411)</f>
        <v>150.4</v>
      </c>
      <c r="T411" s="9" cm="1">
        <f t="array" aca="1" ref="T411" ca="1">_xll.BDH($E$6,"PX LAST",AH411)</f>
        <v>172.23</v>
      </c>
      <c r="U411" s="9" cm="1">
        <f t="array" aca="1" ref="U411" ca="1">_xll.BDH($E$6,"PX LAST",AI411)</f>
        <v>172.25</v>
      </c>
      <c r="V411" s="9" cm="1">
        <f t="array" aca="1" ref="V411" ca="1">_xll.BDH($E$6,"PX LAST",AJ411)</f>
        <v>156.66</v>
      </c>
      <c r="W411" s="9" cm="1">
        <f t="array" aca="1" ref="W411" ca="1">_xll.BDH($E$6,"PX LAST",AK411)</f>
        <v>173.68</v>
      </c>
      <c r="X411" s="24">
        <f t="shared" ca="1" si="110"/>
        <v>-5.0738166097438642E-2</v>
      </c>
      <c r="Y411" s="24">
        <f t="shared" ca="1" si="111"/>
        <v>-6.7946107493876196E-2</v>
      </c>
      <c r="Z411" s="24">
        <f t="shared" ca="1" si="112"/>
        <v>-6.9357689512547505E-2</v>
      </c>
      <c r="AA411" s="24">
        <f t="shared" ca="1" si="113"/>
        <v>-2.5830478808408497E-4</v>
      </c>
      <c r="AB411" s="9" cm="1">
        <f t="array" aca="1" ref="AB411" ca="1">_xll.BDH($E$8,"PX LAST",AG411)</f>
        <v>5186.33</v>
      </c>
      <c r="AC411" s="9" cm="1">
        <f t="array" aca="1" ref="AC411" ca="1">_xll.BDH($E$8,"PX LAST",AH411)</f>
        <v>5463.54</v>
      </c>
      <c r="AD411" s="9" cm="1">
        <f t="array" aca="1" ref="AD411" ca="1">_xll.BDH($E$8,"PX LAST",AI411)</f>
        <v>5564.41</v>
      </c>
      <c r="AE411" s="9" cm="1">
        <f t="array" aca="1" ref="AE411" ca="1">_xll.BDH($E$8,"PX LAST",AJ411)</f>
        <v>5572.85</v>
      </c>
      <c r="AF411" s="9" cm="1">
        <f t="array" aca="1" ref="AF411" ca="1">_xll.BDH($E$8,"PX LAST",AK411)</f>
        <v>5187.67</v>
      </c>
      <c r="AG411" s="20">
        <f t="shared" ca="1" si="119"/>
        <v>45509</v>
      </c>
      <c r="AH411" s="22">
        <f t="shared" ca="1" si="114"/>
        <v>45502</v>
      </c>
      <c r="AI411" s="22">
        <f t="shared" ca="1" si="115"/>
        <v>45495</v>
      </c>
      <c r="AJ411" s="22">
        <f t="shared" ca="1" si="116"/>
        <v>45481</v>
      </c>
      <c r="AK411" s="22">
        <f t="shared" ca="1" si="117"/>
        <v>45420</v>
      </c>
      <c r="AL411" s="22">
        <f t="shared" ca="1" si="118"/>
        <v>45334</v>
      </c>
    </row>
    <row r="412" spans="4:38" x14ac:dyDescent="0.25">
      <c r="D412" s="6">
        <f ca="1"/>
        <v>45506</v>
      </c>
      <c r="E412" s="28">
        <f ca="1"/>
        <v>153.41999999999999</v>
      </c>
      <c r="F412" s="29" cm="1">
        <f t="array" aca="1" ref="F412" ca="1">_xll.FDS($E$7,"P_BETA_LOCIDX("&amp;$AG412&amp;","&amp;$AL412&amp;",,"""&amp;$E$9&amp;""")")</f>
        <v>2.481865</v>
      </c>
      <c r="G412" s="30">
        <f t="shared" ca="1" si="104"/>
        <v>-4.9012009004148295E-2</v>
      </c>
      <c r="H412" s="30">
        <f t="shared" ca="1" si="104"/>
        <v>-2.3115917395826191E-2</v>
      </c>
      <c r="I412" s="30">
        <f t="shared" ca="1" si="104"/>
        <v>9.1624182804309728E-2</v>
      </c>
      <c r="J412" s="30">
        <f t="shared" ca="1" si="102"/>
        <v>-0.22593425738541129</v>
      </c>
      <c r="K412" s="30">
        <f t="shared" ca="1" si="105"/>
        <v>-5.116394407503063E-2</v>
      </c>
      <c r="L412" s="30">
        <f t="shared" ca="1" si="105"/>
        <v>-7.1430824813805582E-2</v>
      </c>
      <c r="M412" s="30">
        <f t="shared" ca="1" si="105"/>
        <v>-9.8357317596489025E-2</v>
      </c>
      <c r="N412" s="30">
        <f t="shared" ca="1" si="103"/>
        <v>7.6000746747113421E-2</v>
      </c>
      <c r="O412" s="30">
        <f t="shared" ca="1" si="106"/>
        <v>-0.10017595307917893</v>
      </c>
      <c r="P412" s="30">
        <f t="shared" ca="1" si="107"/>
        <v>-9.4546742209631773E-2</v>
      </c>
      <c r="Q412" s="30">
        <f t="shared" ca="1" si="108"/>
        <v>-6.7331347921792961E-3</v>
      </c>
      <c r="R412" s="30">
        <f t="shared" ca="1" si="109"/>
        <v>-0.14993351063829785</v>
      </c>
      <c r="S412" s="9" cm="1">
        <f t="array" aca="1" ref="S412" ca="1">_xll.BDH($E$6,"PX LAST",AG412)</f>
        <v>153.41999999999999</v>
      </c>
      <c r="T412" s="9" cm="1">
        <f t="array" aca="1" ref="T412" ca="1">_xll.BDH($E$6,"PX LAST",AH412)</f>
        <v>170.5</v>
      </c>
      <c r="U412" s="9" cm="1">
        <f t="array" aca="1" ref="U412" ca="1">_xll.BDH($E$6,"PX LAST",AI412)</f>
        <v>169.44</v>
      </c>
      <c r="V412" s="9" cm="1">
        <f t="array" aca="1" ref="V412" ca="1">_xll.BDH($E$6,"PX LAST",AJ412)</f>
        <v>154.46</v>
      </c>
      <c r="W412" s="9" cm="1">
        <f t="array" aca="1" ref="W412" ca="1">_xll.BDH($E$6,"PX LAST",AK412)</f>
        <v>180.48</v>
      </c>
      <c r="X412" s="24">
        <f t="shared" ca="1" si="110"/>
        <v>-2.0615119708376817E-2</v>
      </c>
      <c r="Y412" s="24">
        <f t="shared" ca="1" si="111"/>
        <v>-2.8781108083560381E-2</v>
      </c>
      <c r="Z412" s="24">
        <f t="shared" ca="1" si="112"/>
        <v>-3.9630406003746788E-2</v>
      </c>
      <c r="AA412" s="24">
        <f t="shared" ca="1" si="113"/>
        <v>3.0622433833876306E-2</v>
      </c>
      <c r="AB412" s="9" cm="1">
        <f t="array" aca="1" ref="AB412" ca="1">_xll.BDH($E$8,"PX LAST",AG412)</f>
        <v>5346.56</v>
      </c>
      <c r="AC412" s="9" cm="1">
        <f t="array" aca="1" ref="AC412" ca="1">_xll.BDH($E$8,"PX LAST",AH412)</f>
        <v>5459.1</v>
      </c>
      <c r="AD412" s="9" cm="1">
        <f t="array" aca="1" ref="AD412" ca="1">_xll.BDH($E$8,"PX LAST",AI412)</f>
        <v>5505</v>
      </c>
      <c r="AE412" s="9" cm="1">
        <f t="array" aca="1" ref="AE412" ca="1">_xll.BDH($E$8,"PX LAST",AJ412)</f>
        <v>5567.19</v>
      </c>
      <c r="AF412" s="9" cm="1">
        <f t="array" aca="1" ref="AF412" ca="1">_xll.BDH($E$8,"PX LAST",AK412)</f>
        <v>5187.7</v>
      </c>
      <c r="AG412" s="20">
        <f t="shared" ca="1" si="119"/>
        <v>45506</v>
      </c>
      <c r="AH412" s="22">
        <f t="shared" ca="1" si="114"/>
        <v>45499</v>
      </c>
      <c r="AI412" s="22">
        <f t="shared" ca="1" si="115"/>
        <v>45492</v>
      </c>
      <c r="AJ412" s="22">
        <f t="shared" ca="1" si="116"/>
        <v>45478</v>
      </c>
      <c r="AK412" s="22">
        <f t="shared" ca="1" si="117"/>
        <v>45419</v>
      </c>
      <c r="AL412" s="22">
        <f t="shared" ca="1" si="118"/>
        <v>45331</v>
      </c>
    </row>
    <row r="413" spans="4:38" x14ac:dyDescent="0.25">
      <c r="D413" s="6">
        <f ca="1"/>
        <v>45505</v>
      </c>
      <c r="E413" s="28">
        <f ca="1"/>
        <v>158.75</v>
      </c>
      <c r="F413" s="29" cm="1">
        <f t="array" aca="1" ref="F413" ca="1">_xll.FDS($E$7,"P_BETA_LOCIDX("&amp;$AG413&amp;","&amp;$AL413&amp;",,"""&amp;$E$9&amp;""")")</f>
        <v>2.5255356</v>
      </c>
      <c r="G413" s="30">
        <f t="shared" ca="1" si="104"/>
        <v>-7.6696582660168933E-2</v>
      </c>
      <c r="H413" s="30">
        <f t="shared" ca="1" si="104"/>
        <v>-2.8665719820800038E-2</v>
      </c>
      <c r="I413" s="30">
        <f t="shared" ca="1" si="104"/>
        <v>3.8128601954676329E-2</v>
      </c>
      <c r="J413" s="30">
        <f t="shared" ca="1" si="102"/>
        <v>-0.21142799914059271</v>
      </c>
      <c r="K413" s="30">
        <f t="shared" ca="1" si="105"/>
        <v>2.2199858419549474E-2</v>
      </c>
      <c r="L413" s="30">
        <f t="shared" ca="1" si="105"/>
        <v>-4.4597560973128815E-2</v>
      </c>
      <c r="M413" s="30">
        <f t="shared" ca="1" si="105"/>
        <v>-4.1205718257113007E-2</v>
      </c>
      <c r="N413" s="30">
        <f t="shared" ca="1" si="103"/>
        <v>0.12964189236750009</v>
      </c>
      <c r="O413" s="30">
        <f t="shared" ca="1" si="106"/>
        <v>-5.4496724240619465E-2</v>
      </c>
      <c r="P413" s="30">
        <f t="shared" ca="1" si="107"/>
        <v>-7.3263280793928853E-2</v>
      </c>
      <c r="Q413" s="30">
        <f t="shared" ca="1" si="108"/>
        <v>-3.0771163024366777E-3</v>
      </c>
      <c r="R413" s="30">
        <f t="shared" ca="1" si="109"/>
        <v>-8.1786106773092615E-2</v>
      </c>
      <c r="S413" s="9" cm="1">
        <f t="array" aca="1" ref="S413" ca="1">_xll.BDH($E$6,"PX LAST",AG413)</f>
        <v>158.75</v>
      </c>
      <c r="T413" s="9" cm="1">
        <f t="array" aca="1" ref="T413" ca="1">_xll.BDH($E$6,"PX LAST",AH413)</f>
        <v>167.9</v>
      </c>
      <c r="U413" s="9" cm="1">
        <f t="array" aca="1" ref="U413" ca="1">_xll.BDH($E$6,"PX LAST",AI413)</f>
        <v>171.3</v>
      </c>
      <c r="V413" s="9" cm="1">
        <f t="array" aca="1" ref="V413" ca="1">_xll.BDH($E$6,"PX LAST",AJ413)</f>
        <v>159.24</v>
      </c>
      <c r="W413" s="9" cm="1">
        <f t="array" aca="1" ref="W413" ca="1">_xll.BDH($E$6,"PX LAST",AK413)</f>
        <v>172.89</v>
      </c>
      <c r="X413" s="24">
        <f t="shared" ca="1" si="110"/>
        <v>8.7901585784613268E-3</v>
      </c>
      <c r="Y413" s="24">
        <f t="shared" ca="1" si="111"/>
        <v>-1.765865465255323E-2</v>
      </c>
      <c r="Z413" s="24">
        <f t="shared" ca="1" si="112"/>
        <v>-1.6315635486236268E-2</v>
      </c>
      <c r="AA413" s="24">
        <f t="shared" ca="1" si="113"/>
        <v>5.1332435134749277E-2</v>
      </c>
      <c r="AB413" s="9" cm="1">
        <f t="array" aca="1" ref="AB413" ca="1">_xll.BDH($E$8,"PX LAST",AG413)</f>
        <v>5446.68</v>
      </c>
      <c r="AC413" s="9" cm="1">
        <f t="array" aca="1" ref="AC413" ca="1">_xll.BDH($E$8,"PX LAST",AH413)</f>
        <v>5399.22</v>
      </c>
      <c r="AD413" s="9" cm="1">
        <f t="array" aca="1" ref="AD413" ca="1">_xll.BDH($E$8,"PX LAST",AI413)</f>
        <v>5544.59</v>
      </c>
      <c r="AE413" s="9" cm="1">
        <f t="array" aca="1" ref="AE413" ca="1">_xll.BDH($E$8,"PX LAST",AJ413)</f>
        <v>5537.02</v>
      </c>
      <c r="AF413" s="9" cm="1">
        <f t="array" aca="1" ref="AF413" ca="1">_xll.BDH($E$8,"PX LAST",AK413)</f>
        <v>5180.74</v>
      </c>
      <c r="AG413" s="20">
        <f t="shared" ca="1" si="119"/>
        <v>45505</v>
      </c>
      <c r="AH413" s="22">
        <f t="shared" ca="1" si="114"/>
        <v>45498</v>
      </c>
      <c r="AI413" s="22">
        <f t="shared" ca="1" si="115"/>
        <v>45491</v>
      </c>
      <c r="AJ413" s="22">
        <f t="shared" ca="1" si="116"/>
        <v>45476</v>
      </c>
      <c r="AK413" s="22">
        <f t="shared" ca="1" si="117"/>
        <v>45418</v>
      </c>
      <c r="AL413" s="22">
        <f t="shared" ca="1" si="118"/>
        <v>45330</v>
      </c>
    </row>
    <row r="414" spans="4:38" x14ac:dyDescent="0.25">
      <c r="D414" s="6">
        <f ca="1"/>
        <v>45504</v>
      </c>
      <c r="E414" s="28">
        <f ca="1"/>
        <v>174.95</v>
      </c>
      <c r="F414" s="29" cm="1">
        <f t="array" aca="1" ref="F414" ca="1">_xll.FDS($E$7,"P_BETA_LOCIDX("&amp;$AG414&amp;","&amp;$AL414&amp;",,"""&amp;$E$9&amp;""")")</f>
        <v>2.3947842000000001</v>
      </c>
      <c r="G414" s="30">
        <f t="shared" ca="1" si="104"/>
        <v>2.0820270012315019E-2</v>
      </c>
      <c r="H414" s="30">
        <f t="shared" ca="1" si="104"/>
        <v>2.3718709687935373E-2</v>
      </c>
      <c r="I414" s="30">
        <f t="shared" ca="1" si="104"/>
        <v>0.1057927800415574</v>
      </c>
      <c r="J414" s="30">
        <f t="shared" ca="1" si="102"/>
        <v>-0.14101238411788225</v>
      </c>
      <c r="K414" s="30">
        <f t="shared" ca="1" si="105"/>
        <v>4.1994868800636624E-2</v>
      </c>
      <c r="L414" s="30">
        <f t="shared" ca="1" si="105"/>
        <v>-2.827063002932944E-2</v>
      </c>
      <c r="M414" s="30">
        <f t="shared" ca="1" si="105"/>
        <v>5.777205345061813E-3</v>
      </c>
      <c r="N414" s="30">
        <f t="shared" ca="1" si="103"/>
        <v>0.18424434595449529</v>
      </c>
      <c r="O414" s="30">
        <f t="shared" ca="1" si="106"/>
        <v>6.2815138812951643E-2</v>
      </c>
      <c r="P414" s="30">
        <f t="shared" ca="1" si="107"/>
        <v>-4.5519203413940668E-3</v>
      </c>
      <c r="Q414" s="30">
        <f t="shared" ca="1" si="108"/>
        <v>0.11156998538661922</v>
      </c>
      <c r="R414" s="30">
        <f t="shared" ca="1" si="109"/>
        <v>4.3231961836613042E-2</v>
      </c>
      <c r="S414" s="9" cm="1">
        <f t="array" aca="1" ref="S414" ca="1">_xll.BDH($E$6,"PX LAST",AG414)</f>
        <v>174.95</v>
      </c>
      <c r="T414" s="9" cm="1">
        <f t="array" aca="1" ref="T414" ca="1">_xll.BDH($E$6,"PX LAST",AH414)</f>
        <v>164.61</v>
      </c>
      <c r="U414" s="9" cm="1">
        <f t="array" aca="1" ref="U414" ca="1">_xll.BDH($E$6,"PX LAST",AI414)</f>
        <v>175.75</v>
      </c>
      <c r="V414" s="9" cm="1">
        <f t="array" aca="1" ref="V414" ca="1">_xll.BDH($E$6,"PX LAST",AJ414)</f>
        <v>157.38999999999999</v>
      </c>
      <c r="W414" s="9" cm="1">
        <f t="array" aca="1" ref="W414" ca="1">_xll.BDH($E$6,"PX LAST",AK414)</f>
        <v>167.7</v>
      </c>
      <c r="X414" s="24">
        <f t="shared" ca="1" si="110"/>
        <v>1.7535972051526239E-2</v>
      </c>
      <c r="Y414" s="24">
        <f t="shared" ca="1" si="111"/>
        <v>-1.1805084578948466E-2</v>
      </c>
      <c r="Z414" s="24">
        <f t="shared" ca="1" si="112"/>
        <v>2.4124116674320017E-3</v>
      </c>
      <c r="AA414" s="24">
        <f t="shared" ca="1" si="113"/>
        <v>7.693567794312961E-2</v>
      </c>
      <c r="AB414" s="9" cm="1">
        <f t="array" aca="1" ref="AB414" ca="1">_xll.BDH($E$8,"PX LAST",AG414)</f>
        <v>5522.3</v>
      </c>
      <c r="AC414" s="9" cm="1">
        <f t="array" aca="1" ref="AC414" ca="1">_xll.BDH($E$8,"PX LAST",AH414)</f>
        <v>5427.13</v>
      </c>
      <c r="AD414" s="9" cm="1">
        <f t="array" aca="1" ref="AD414" ca="1">_xll.BDH($E$8,"PX LAST",AI414)</f>
        <v>5588.27</v>
      </c>
      <c r="AE414" s="9" cm="1">
        <f t="array" aca="1" ref="AE414" ca="1">_xll.BDH($E$8,"PX LAST",AJ414)</f>
        <v>5509.01</v>
      </c>
      <c r="AF414" s="9" cm="1">
        <f t="array" aca="1" ref="AF414" ca="1">_xll.BDH($E$8,"PX LAST",AK414)</f>
        <v>5127.79</v>
      </c>
      <c r="AG414" s="20">
        <f t="shared" ca="1" si="119"/>
        <v>45504</v>
      </c>
      <c r="AH414" s="22">
        <f t="shared" ca="1" si="114"/>
        <v>45497</v>
      </c>
      <c r="AI414" s="22">
        <f t="shared" ca="1" si="115"/>
        <v>45490</v>
      </c>
      <c r="AJ414" s="22">
        <f t="shared" ca="1" si="116"/>
        <v>45475</v>
      </c>
      <c r="AK414" s="22">
        <f t="shared" ca="1" si="117"/>
        <v>45415</v>
      </c>
      <c r="AL414" s="22">
        <f t="shared" ca="1" si="118"/>
        <v>45329</v>
      </c>
    </row>
    <row r="415" spans="4:38" x14ac:dyDescent="0.25">
      <c r="D415" s="6">
        <f ca="1"/>
        <v>45503</v>
      </c>
      <c r="E415" s="28">
        <f ca="1"/>
        <v>170.79</v>
      </c>
      <c r="F415" s="29" cm="1">
        <f t="array" aca="1" ref="F415" ca="1">_xll.FDS($E$7,"P_BETA_LOCIDX("&amp;$AG415&amp;","&amp;$AL415&amp;",,"""&amp;$E$9&amp;""")")</f>
        <v>2.4281820000000001</v>
      </c>
      <c r="G415" s="30">
        <f t="shared" ca="1" si="104"/>
        <v>4.7943043237992131E-2</v>
      </c>
      <c r="H415" s="30">
        <f t="shared" ca="1" si="104"/>
        <v>3.0928298392283393E-2</v>
      </c>
      <c r="I415" s="30">
        <f t="shared" ca="1" si="104"/>
        <v>0.11794680281590977</v>
      </c>
      <c r="J415" s="30">
        <f t="shared" ca="1" si="102"/>
        <v>-0.14389229988021729</v>
      </c>
      <c r="K415" s="30">
        <f t="shared" ca="1" si="105"/>
        <v>-5.2141049185167251E-2</v>
      </c>
      <c r="L415" s="30">
        <f t="shared" ca="1" si="105"/>
        <v>-9.8871978811405969E-2</v>
      </c>
      <c r="M415" s="30">
        <f t="shared" ca="1" si="105"/>
        <v>-1.714113088551996E-2</v>
      </c>
      <c r="N415" s="30">
        <f t="shared" ca="1" si="103"/>
        <v>0.17848158992140922</v>
      </c>
      <c r="O415" s="30">
        <f t="shared" ca="1" si="106"/>
        <v>-4.1980059471751208E-3</v>
      </c>
      <c r="P415" s="30">
        <f t="shared" ca="1" si="107"/>
        <v>-6.7943680419122576E-2</v>
      </c>
      <c r="Q415" s="30">
        <f t="shared" ca="1" si="108"/>
        <v>0.10080567193038981</v>
      </c>
      <c r="R415" s="30">
        <f t="shared" ca="1" si="109"/>
        <v>3.4589290041191934E-2</v>
      </c>
      <c r="S415" s="9" cm="1">
        <f t="array" aca="1" ref="S415" ca="1">_xll.BDH($E$6,"PX LAST",AG415)</f>
        <v>170.79</v>
      </c>
      <c r="T415" s="9" cm="1">
        <f t="array" aca="1" ref="T415" ca="1">_xll.BDH($E$6,"PX LAST",AH415)</f>
        <v>171.51</v>
      </c>
      <c r="U415" s="9" cm="1">
        <f t="array" aca="1" ref="U415" ca="1">_xll.BDH($E$6,"PX LAST",AI415)</f>
        <v>183.24</v>
      </c>
      <c r="V415" s="9" cm="1">
        <f t="array" aca="1" ref="V415" ca="1">_xll.BDH($E$6,"PX LAST",AJ415)</f>
        <v>155.15</v>
      </c>
      <c r="W415" s="9" cm="1">
        <f t="array" aca="1" ref="W415" ca="1">_xll.BDH($E$6,"PX LAST",AK415)</f>
        <v>165.08</v>
      </c>
      <c r="X415" s="24">
        <f t="shared" ca="1" si="110"/>
        <v>-2.1473287086868798E-2</v>
      </c>
      <c r="Y415" s="24">
        <f t="shared" ca="1" si="111"/>
        <v>-4.0718520609824949E-2</v>
      </c>
      <c r="Z415" s="24">
        <f t="shared" ca="1" si="112"/>
        <v>-7.0592446882152826E-3</v>
      </c>
      <c r="AA415" s="24">
        <f t="shared" ca="1" si="113"/>
        <v>7.3504205995023941E-2</v>
      </c>
      <c r="AB415" s="9" cm="1">
        <f t="array" aca="1" ref="AB415" ca="1">_xll.BDH($E$8,"PX LAST",AG415)</f>
        <v>5436.44</v>
      </c>
      <c r="AC415" s="9" cm="1">
        <f t="array" aca="1" ref="AC415" ca="1">_xll.BDH($E$8,"PX LAST",AH415)</f>
        <v>5555.74</v>
      </c>
      <c r="AD415" s="9" cm="1">
        <f t="array" aca="1" ref="AD415" ca="1">_xll.BDH($E$8,"PX LAST",AI415)</f>
        <v>5667.2</v>
      </c>
      <c r="AE415" s="9" cm="1">
        <f t="array" aca="1" ref="AE415" ca="1">_xll.BDH($E$8,"PX LAST",AJ415)</f>
        <v>5475.09</v>
      </c>
      <c r="AF415" s="9" cm="1">
        <f t="array" aca="1" ref="AF415" ca="1">_xll.BDH($E$8,"PX LAST",AK415)</f>
        <v>5064.2</v>
      </c>
      <c r="AG415" s="20">
        <f t="shared" ca="1" si="119"/>
        <v>45503</v>
      </c>
      <c r="AH415" s="22">
        <f t="shared" ca="1" si="114"/>
        <v>45496</v>
      </c>
      <c r="AI415" s="22">
        <f t="shared" ca="1" si="115"/>
        <v>45489</v>
      </c>
      <c r="AJ415" s="22">
        <f t="shared" ca="1" si="116"/>
        <v>45474</v>
      </c>
      <c r="AK415" s="22">
        <f t="shared" ca="1" si="117"/>
        <v>45414</v>
      </c>
      <c r="AL415" s="22">
        <f t="shared" ca="1" si="118"/>
        <v>45328</v>
      </c>
    </row>
    <row r="416" spans="4:38" x14ac:dyDescent="0.25">
      <c r="D416" s="6">
        <f ca="1"/>
        <v>45502</v>
      </c>
      <c r="E416" s="28">
        <f ca="1"/>
        <v>172.23</v>
      </c>
      <c r="F416" s="29" cm="1">
        <f t="array" aca="1" ref="F416" ca="1">_xll.FDS($E$7,"P_BETA_LOCIDX("&amp;$AG416&amp;","&amp;$AL416&amp;",,"""&amp;$E$9&amp;""")")</f>
        <v>2.4386032000000002</v>
      </c>
      <c r="G416" s="30">
        <f t="shared" ca="1" si="104"/>
        <v>4.4090176576299309E-2</v>
      </c>
      <c r="H416" s="30">
        <f t="shared" ca="1" si="104"/>
        <v>6.1418609424798778E-2</v>
      </c>
      <c r="I416" s="30">
        <f t="shared" ca="1" si="104"/>
        <v>8.5120939895017192E-2</v>
      </c>
      <c r="J416" s="30">
        <f t="shared" ca="1" si="102"/>
        <v>-0.10083396817762302</v>
      </c>
      <c r="K416" s="30">
        <f t="shared" ca="1" si="105"/>
        <v>-4.4206286881088949E-2</v>
      </c>
      <c r="L416" s="30">
        <f t="shared" ca="1" si="105"/>
        <v>-7.2613924615980444E-2</v>
      </c>
      <c r="M416" s="30">
        <f t="shared" ca="1" si="105"/>
        <v>1.3665695675109508E-3</v>
      </c>
      <c r="N416" s="30">
        <f t="shared" ca="1" si="103"/>
        <v>0.21631324278902186</v>
      </c>
      <c r="O416" s="30">
        <f t="shared" ca="1" si="106"/>
        <v>-1.1611030478964057E-4</v>
      </c>
      <c r="P416" s="30">
        <f t="shared" ca="1" si="107"/>
        <v>-1.1195315191181665E-2</v>
      </c>
      <c r="Q416" s="30">
        <f t="shared" ca="1" si="108"/>
        <v>8.6487509462528145E-2</v>
      </c>
      <c r="R416" s="30">
        <f t="shared" ca="1" si="109"/>
        <v>0.11547927461139884</v>
      </c>
      <c r="S416" s="9" cm="1">
        <f t="array" aca="1" ref="S416" ca="1">_xll.BDH($E$6,"PX LAST",AG416)</f>
        <v>172.23</v>
      </c>
      <c r="T416" s="9" cm="1">
        <f t="array" aca="1" ref="T416" ca="1">_xll.BDH($E$6,"PX LAST",AH416)</f>
        <v>172.25</v>
      </c>
      <c r="U416" s="9" cm="1">
        <f t="array" aca="1" ref="U416" ca="1">_xll.BDH($E$6,"PX LAST",AI416)</f>
        <v>174.18</v>
      </c>
      <c r="V416" s="9" cm="1">
        <f t="array" aca="1" ref="V416" ca="1">_xll.BDH($E$6,"PX LAST",AJ416)</f>
        <v>158.52000000000001</v>
      </c>
      <c r="W416" s="9" cm="1">
        <f t="array" aca="1" ref="W416" ca="1">_xll.BDH($E$6,"PX LAST",AK416)</f>
        <v>154.4</v>
      </c>
      <c r="X416" s="24">
        <f t="shared" ca="1" si="110"/>
        <v>-1.8127708058895742E-2</v>
      </c>
      <c r="Y416" s="24">
        <f t="shared" ca="1" si="111"/>
        <v>-2.9776851197431564E-2</v>
      </c>
      <c r="Z416" s="24">
        <f t="shared" ca="1" si="112"/>
        <v>5.6039029535881468E-4</v>
      </c>
      <c r="AA416" s="24">
        <f t="shared" ca="1" si="113"/>
        <v>8.8703747616267314E-2</v>
      </c>
      <c r="AB416" s="9" cm="1">
        <f t="array" aca="1" ref="AB416" ca="1">_xll.BDH($E$8,"PX LAST",AG416)</f>
        <v>5463.54</v>
      </c>
      <c r="AC416" s="9" cm="1">
        <f t="array" aca="1" ref="AC416" ca="1">_xll.BDH($E$8,"PX LAST",AH416)</f>
        <v>5564.41</v>
      </c>
      <c r="AD416" s="9" cm="1">
        <f t="array" aca="1" ref="AD416" ca="1">_xll.BDH($E$8,"PX LAST",AI416)</f>
        <v>5631.22</v>
      </c>
      <c r="AE416" s="9" cm="1">
        <f t="array" aca="1" ref="AE416" ca="1">_xll.BDH($E$8,"PX LAST",AJ416)</f>
        <v>5460.48</v>
      </c>
      <c r="AF416" s="9" cm="1">
        <f t="array" aca="1" ref="AF416" ca="1">_xll.BDH($E$8,"PX LAST",AK416)</f>
        <v>5018.3900000000003</v>
      </c>
      <c r="AG416" s="20">
        <f t="shared" ca="1" si="119"/>
        <v>45502</v>
      </c>
      <c r="AH416" s="22">
        <f t="shared" ca="1" si="114"/>
        <v>45495</v>
      </c>
      <c r="AI416" s="22">
        <f t="shared" ca="1" si="115"/>
        <v>45488</v>
      </c>
      <c r="AJ416" s="22">
        <f t="shared" ca="1" si="116"/>
        <v>45471</v>
      </c>
      <c r="AK416" s="22">
        <f t="shared" ca="1" si="117"/>
        <v>45413</v>
      </c>
      <c r="AL416" s="22">
        <f t="shared" ca="1" si="118"/>
        <v>45327</v>
      </c>
    </row>
    <row r="417" spans="4:38" x14ac:dyDescent="0.25">
      <c r="D417" s="6">
        <f ca="1"/>
        <v>45499</v>
      </c>
      <c r="E417" s="28">
        <f ca="1"/>
        <v>170.5</v>
      </c>
      <c r="F417" s="29" cm="1">
        <f t="array" aca="1" ref="F417" ca="1">_xll.FDS($E$7,"P_BETA_LOCIDX("&amp;$AG417&amp;","&amp;$AL417&amp;",,"""&amp;$E$9&amp;""")")</f>
        <v>2.4722265999999999</v>
      </c>
      <c r="G417" s="30">
        <f t="shared" ca="1" si="104"/>
        <v>2.6869017314581339E-2</v>
      </c>
      <c r="H417" s="30">
        <f t="shared" ca="1" si="104"/>
        <v>7.0141771646819812E-2</v>
      </c>
      <c r="I417" s="30">
        <f t="shared" ca="1" si="104"/>
        <v>8.7786751842750449E-2</v>
      </c>
      <c r="J417" s="30">
        <f t="shared" ca="1" si="102"/>
        <v>-9.1666375732563143E-2</v>
      </c>
      <c r="K417" s="30">
        <f t="shared" ca="1" si="105"/>
        <v>-2.0613115520435859E-2</v>
      </c>
      <c r="L417" s="30">
        <f t="shared" ca="1" si="105"/>
        <v>-6.8790975851905883E-2</v>
      </c>
      <c r="M417" s="30">
        <f t="shared" ca="1" si="105"/>
        <v>-1.0717895241360714E-2</v>
      </c>
      <c r="N417" s="30">
        <f t="shared" ca="1" si="103"/>
        <v>0.20786932172274325</v>
      </c>
      <c r="O417" s="30">
        <f t="shared" ca="1" si="106"/>
        <v>6.2559017941454798E-3</v>
      </c>
      <c r="P417" s="30">
        <f t="shared" ca="1" si="107"/>
        <v>1.3507957949139282E-3</v>
      </c>
      <c r="Q417" s="30">
        <f t="shared" ca="1" si="108"/>
        <v>7.7068856601389735E-2</v>
      </c>
      <c r="R417" s="30">
        <f t="shared" ca="1" si="109"/>
        <v>0.11620294599018011</v>
      </c>
      <c r="S417" s="9" cm="1">
        <f t="array" aca="1" ref="S417" ca="1">_xll.BDH($E$6,"PX LAST",AG417)</f>
        <v>170.5</v>
      </c>
      <c r="T417" s="9" cm="1">
        <f t="array" aca="1" ref="T417" ca="1">_xll.BDH($E$6,"PX LAST",AH417)</f>
        <v>169.44</v>
      </c>
      <c r="U417" s="9" cm="1">
        <f t="array" aca="1" ref="U417" ca="1">_xll.BDH($E$6,"PX LAST",AI417)</f>
        <v>170.27</v>
      </c>
      <c r="V417" s="9" cm="1">
        <f t="array" aca="1" ref="V417" ca="1">_xll.BDH($E$6,"PX LAST",AJ417)</f>
        <v>158.30000000000001</v>
      </c>
      <c r="W417" s="9" cm="1">
        <f t="array" aca="1" ref="W417" ca="1">_xll.BDH($E$6,"PX LAST",AK417)</f>
        <v>152.75</v>
      </c>
      <c r="X417" s="24">
        <f t="shared" ca="1" si="110"/>
        <v>-8.3378746594005015E-3</v>
      </c>
      <c r="Y417" s="24">
        <f t="shared" ca="1" si="111"/>
        <v>-2.7825513992894457E-2</v>
      </c>
      <c r="Z417" s="24">
        <f t="shared" ca="1" si="112"/>
        <v>-4.3353207353082901E-3</v>
      </c>
      <c r="AA417" s="24">
        <f t="shared" ca="1" si="113"/>
        <v>8.4081823940711287E-2</v>
      </c>
      <c r="AB417" s="9" cm="1">
        <f t="array" aca="1" ref="AB417" ca="1">_xll.BDH($E$8,"PX LAST",AG417)</f>
        <v>5459.1</v>
      </c>
      <c r="AC417" s="9" cm="1">
        <f t="array" aca="1" ref="AC417" ca="1">_xll.BDH($E$8,"PX LAST",AH417)</f>
        <v>5505</v>
      </c>
      <c r="AD417" s="9" cm="1">
        <f t="array" aca="1" ref="AD417" ca="1">_xll.BDH($E$8,"PX LAST",AI417)</f>
        <v>5615.35</v>
      </c>
      <c r="AE417" s="9" cm="1">
        <f t="array" aca="1" ref="AE417" ca="1">_xll.BDH($E$8,"PX LAST",AJ417)</f>
        <v>5482.87</v>
      </c>
      <c r="AF417" s="9" cm="1">
        <f t="array" aca="1" ref="AF417" ca="1">_xll.BDH($E$8,"PX LAST",AK417)</f>
        <v>5035.6899999999996</v>
      </c>
      <c r="AG417" s="20">
        <f t="shared" ca="1" si="119"/>
        <v>45499</v>
      </c>
      <c r="AH417" s="22">
        <f t="shared" ca="1" si="114"/>
        <v>45492</v>
      </c>
      <c r="AI417" s="22">
        <f t="shared" ca="1" si="115"/>
        <v>45485</v>
      </c>
      <c r="AJ417" s="22">
        <f t="shared" ca="1" si="116"/>
        <v>45470</v>
      </c>
      <c r="AK417" s="22">
        <f t="shared" ca="1" si="117"/>
        <v>45412</v>
      </c>
      <c r="AL417" s="22">
        <f t="shared" ca="1" si="118"/>
        <v>45324</v>
      </c>
    </row>
    <row r="418" spans="4:38" x14ac:dyDescent="0.25">
      <c r="D418" s="6">
        <f ca="1"/>
        <v>45498</v>
      </c>
      <c r="E418" s="28">
        <f ca="1"/>
        <v>167.9</v>
      </c>
      <c r="F418" s="29" cm="1">
        <f t="array" aca="1" ref="F418" ca="1">_xll.FDS($E$7,"P_BETA_LOCIDX("&amp;$AG418&amp;","&amp;$AL418&amp;",,"""&amp;$E$9&amp;""")")</f>
        <v>2.4635600000000002</v>
      </c>
      <c r="G418" s="30">
        <f t="shared" ca="1" si="104"/>
        <v>4.4742258283087338E-2</v>
      </c>
      <c r="H418" s="30">
        <f t="shared" ca="1" si="104"/>
        <v>9.6376056633000709E-2</v>
      </c>
      <c r="I418" s="30">
        <f t="shared" ca="1" si="104"/>
        <v>0.10073985701252916</v>
      </c>
      <c r="J418" s="30">
        <f t="shared" ca="1" si="102"/>
        <v>-7.4645111307714812E-2</v>
      </c>
      <c r="K418" s="30">
        <f t="shared" ca="1" si="105"/>
        <v>-6.4590477781044126E-2</v>
      </c>
      <c r="L418" s="30">
        <f t="shared" ca="1" si="105"/>
        <v>-8.175193287182099E-2</v>
      </c>
      <c r="M418" s="30">
        <f t="shared" ca="1" si="105"/>
        <v>-3.5384527063290504E-2</v>
      </c>
      <c r="N418" s="30">
        <f t="shared" ca="1" si="103"/>
        <v>0.13629544327104073</v>
      </c>
      <c r="O418" s="30">
        <f t="shared" ca="1" si="106"/>
        <v>-1.9848219497956787E-2</v>
      </c>
      <c r="P418" s="30">
        <f t="shared" ca="1" si="107"/>
        <v>1.4624123761179719E-2</v>
      </c>
      <c r="Q418" s="30">
        <f t="shared" ca="1" si="108"/>
        <v>6.535532994923865E-2</v>
      </c>
      <c r="R418" s="30">
        <f t="shared" ca="1" si="109"/>
        <v>6.1650331963325922E-2</v>
      </c>
      <c r="S418" s="9" cm="1">
        <f t="array" aca="1" ref="S418" ca="1">_xll.BDH($E$6,"PX LAST",AG418)</f>
        <v>167.9</v>
      </c>
      <c r="T418" s="9" cm="1">
        <f t="array" aca="1" ref="T418" ca="1">_xll.BDH($E$6,"PX LAST",AH418)</f>
        <v>171.3</v>
      </c>
      <c r="U418" s="9" cm="1">
        <f t="array" aca="1" ref="U418" ca="1">_xll.BDH($E$6,"PX LAST",AI418)</f>
        <v>165.48</v>
      </c>
      <c r="V418" s="9" cm="1">
        <f t="array" aca="1" ref="V418" ca="1">_xll.BDH($E$6,"PX LAST",AJ418)</f>
        <v>157.6</v>
      </c>
      <c r="W418" s="9" cm="1">
        <f t="array" aca="1" ref="W418" ca="1">_xll.BDH($E$6,"PX LAST",AK418)</f>
        <v>158.15</v>
      </c>
      <c r="X418" s="24">
        <f t="shared" ca="1" si="110"/>
        <v>-2.6218349778793337E-2</v>
      </c>
      <c r="Y418" s="24">
        <f t="shared" ca="1" si="111"/>
        <v>-3.3184469983203568E-2</v>
      </c>
      <c r="Z418" s="24">
        <f t="shared" ca="1" si="112"/>
        <v>-1.4363168367440005E-2</v>
      </c>
      <c r="AA418" s="24">
        <f t="shared" ca="1" si="113"/>
        <v>5.5324588510546002E-2</v>
      </c>
      <c r="AB418" s="9" cm="1">
        <f t="array" aca="1" ref="AB418" ca="1">_xll.BDH($E$8,"PX LAST",AG418)</f>
        <v>5399.22</v>
      </c>
      <c r="AC418" s="9" cm="1">
        <f t="array" aca="1" ref="AC418" ca="1">_xll.BDH($E$8,"PX LAST",AH418)</f>
        <v>5544.59</v>
      </c>
      <c r="AD418" s="9" cm="1">
        <f t="array" aca="1" ref="AD418" ca="1">_xll.BDH($E$8,"PX LAST",AI418)</f>
        <v>5584.54</v>
      </c>
      <c r="AE418" s="9" cm="1">
        <f t="array" aca="1" ref="AE418" ca="1">_xll.BDH($E$8,"PX LAST",AJ418)</f>
        <v>5477.9</v>
      </c>
      <c r="AF418" s="9" cm="1">
        <f t="array" aca="1" ref="AF418" ca="1">_xll.BDH($E$8,"PX LAST",AK418)</f>
        <v>5116.17</v>
      </c>
      <c r="AG418" s="20">
        <f t="shared" ca="1" si="119"/>
        <v>45498</v>
      </c>
      <c r="AH418" s="22">
        <f t="shared" ca="1" si="114"/>
        <v>45491</v>
      </c>
      <c r="AI418" s="22">
        <f t="shared" ca="1" si="115"/>
        <v>45484</v>
      </c>
      <c r="AJ418" s="22">
        <f t="shared" ca="1" si="116"/>
        <v>45469</v>
      </c>
      <c r="AK418" s="22">
        <f t="shared" ca="1" si="117"/>
        <v>45411</v>
      </c>
      <c r="AL418" s="22">
        <f t="shared" ca="1" si="118"/>
        <v>45323</v>
      </c>
    </row>
    <row r="419" spans="4:38" x14ac:dyDescent="0.25">
      <c r="D419" s="6">
        <f ca="1"/>
        <v>45497</v>
      </c>
      <c r="E419" s="28">
        <f ca="1"/>
        <v>164.61</v>
      </c>
      <c r="F419" s="29" cm="1">
        <f t="array" aca="1" ref="F419" ca="1">_xll.FDS($E$7,"P_BETA_LOCIDX("&amp;$AG419&amp;","&amp;$AL419&amp;",,"""&amp;$E$9&amp;""")")</f>
        <v>2.4166056999999999</v>
      </c>
      <c r="G419" s="30">
        <f t="shared" ca="1" si="104"/>
        <v>6.2983009200769241E-3</v>
      </c>
      <c r="H419" s="30">
        <f t="shared" ca="1" si="104"/>
        <v>0.12521770865706217</v>
      </c>
      <c r="I419" s="30">
        <f t="shared" ca="1" si="104"/>
        <v>4.5583930803794449E-2</v>
      </c>
      <c r="J419" s="30">
        <f t="shared" ca="1" si="102"/>
        <v>-9.8481985846517878E-2</v>
      </c>
      <c r="K419" s="30">
        <f t="shared" ca="1" si="105"/>
        <v>-6.9683791673988679E-2</v>
      </c>
      <c r="L419" s="30">
        <f t="shared" ca="1" si="105"/>
        <v>-8.8696079036761119E-2</v>
      </c>
      <c r="M419" s="30">
        <f t="shared" ca="1" si="105"/>
        <v>-1.86327797650521E-2</v>
      </c>
      <c r="N419" s="30">
        <f t="shared" ca="1" si="103"/>
        <v>0.15502884078875154</v>
      </c>
      <c r="O419" s="30">
        <f t="shared" ca="1" si="106"/>
        <v>-6.3385490753911755E-2</v>
      </c>
      <c r="P419" s="30">
        <f t="shared" ca="1" si="107"/>
        <v>3.6521629620301033E-2</v>
      </c>
      <c r="Q419" s="30">
        <f t="shared" ca="1" si="108"/>
        <v>2.6951151038742349E-2</v>
      </c>
      <c r="R419" s="30">
        <f t="shared" ca="1" si="109"/>
        <v>5.654685494223366E-2</v>
      </c>
      <c r="S419" s="9" cm="1">
        <f t="array" aca="1" ref="S419" ca="1">_xll.BDH($E$6,"PX LAST",AG419)</f>
        <v>164.61</v>
      </c>
      <c r="T419" s="9" cm="1">
        <f t="array" aca="1" ref="T419" ca="1">_xll.BDH($E$6,"PX LAST",AH419)</f>
        <v>175.75</v>
      </c>
      <c r="U419" s="9" cm="1">
        <f t="array" aca="1" ref="U419" ca="1">_xll.BDH($E$6,"PX LAST",AI419)</f>
        <v>158.81</v>
      </c>
      <c r="V419" s="9" cm="1">
        <f t="array" aca="1" ref="V419" ca="1">_xll.BDH($E$6,"PX LAST",AJ419)</f>
        <v>160.29</v>
      </c>
      <c r="W419" s="9" cm="1">
        <f t="array" aca="1" ref="W419" ca="1">_xll.BDH($E$6,"PX LAST",AK419)</f>
        <v>155.80000000000001</v>
      </c>
      <c r="X419" s="24">
        <f t="shared" ca="1" si="110"/>
        <v>-2.8835399864358791E-2</v>
      </c>
      <c r="Y419" s="24">
        <f t="shared" ca="1" si="111"/>
        <v>-3.6702751730148253E-2</v>
      </c>
      <c r="Z419" s="24">
        <f t="shared" ca="1" si="112"/>
        <v>-7.7103102773663501E-3</v>
      </c>
      <c r="AA419" s="24">
        <f t="shared" ca="1" si="113"/>
        <v>6.4151483541047494E-2</v>
      </c>
      <c r="AB419" s="9" cm="1">
        <f t="array" aca="1" ref="AB419" ca="1">_xll.BDH($E$8,"PX LAST",AG419)</f>
        <v>5427.13</v>
      </c>
      <c r="AC419" s="9" cm="1">
        <f t="array" aca="1" ref="AC419" ca="1">_xll.BDH($E$8,"PX LAST",AH419)</f>
        <v>5588.27</v>
      </c>
      <c r="AD419" s="9" cm="1">
        <f t="array" aca="1" ref="AD419" ca="1">_xll.BDH($E$8,"PX LAST",AI419)</f>
        <v>5633.91</v>
      </c>
      <c r="AE419" s="9" cm="1">
        <f t="array" aca="1" ref="AE419" ca="1">_xll.BDH($E$8,"PX LAST",AJ419)</f>
        <v>5469.3</v>
      </c>
      <c r="AF419" s="9" cm="1">
        <f t="array" aca="1" ref="AF419" ca="1">_xll.BDH($E$8,"PX LAST",AK419)</f>
        <v>5099.96</v>
      </c>
      <c r="AG419" s="20">
        <f t="shared" ca="1" si="119"/>
        <v>45497</v>
      </c>
      <c r="AH419" s="22">
        <f t="shared" ca="1" si="114"/>
        <v>45490</v>
      </c>
      <c r="AI419" s="22">
        <f t="shared" ca="1" si="115"/>
        <v>45483</v>
      </c>
      <c r="AJ419" s="22">
        <f t="shared" ca="1" si="116"/>
        <v>45468</v>
      </c>
      <c r="AK419" s="22">
        <f t="shared" ca="1" si="117"/>
        <v>45408</v>
      </c>
      <c r="AL419" s="22">
        <f t="shared" ca="1" si="118"/>
        <v>45322</v>
      </c>
    </row>
    <row r="420" spans="4:38" x14ac:dyDescent="0.25">
      <c r="D420" s="6">
        <f ca="1"/>
        <v>45496</v>
      </c>
      <c r="E420" s="28">
        <f ca="1"/>
        <v>171.51</v>
      </c>
      <c r="F420" s="29" cm="1">
        <f t="array" aca="1" ref="F420" ca="1">_xll.FDS($E$7,"P_BETA_LOCIDX("&amp;$AG420&amp;","&amp;$AL420&amp;",,"""&amp;$E$9&amp;""")")</f>
        <v>2.4875414</v>
      </c>
      <c r="G420" s="30">
        <f t="shared" ca="1" si="104"/>
        <v>-1.5090535855958785E-2</v>
      </c>
      <c r="H420" s="30">
        <f t="shared" ca="1" si="104"/>
        <v>0.12230798859313437</v>
      </c>
      <c r="I420" s="30">
        <f t="shared" ca="1" si="104"/>
        <v>-2.759712349331582E-3</v>
      </c>
      <c r="J420" s="30">
        <f t="shared" ca="1" si="102"/>
        <v>-0.15963820554937364</v>
      </c>
      <c r="K420" s="30">
        <f t="shared" ca="1" si="105"/>
        <v>-4.8923871478684357E-2</v>
      </c>
      <c r="L420" s="30">
        <f t="shared" ca="1" si="105"/>
        <v>-9.4738333893970763E-3</v>
      </c>
      <c r="M420" s="30">
        <f t="shared" ca="1" si="105"/>
        <v>4.9254312385941572E-2</v>
      </c>
      <c r="N420" s="30">
        <f t="shared" ca="1" si="103"/>
        <v>0.2499751413408548</v>
      </c>
      <c r="O420" s="30">
        <f t="shared" ca="1" si="106"/>
        <v>-6.4014407334643142E-2</v>
      </c>
      <c r="P420" s="30">
        <f t="shared" ca="1" si="107"/>
        <v>0.1128341552037373</v>
      </c>
      <c r="Q420" s="30">
        <f t="shared" ca="1" si="108"/>
        <v>4.649460003660999E-2</v>
      </c>
      <c r="R420" s="30">
        <f t="shared" ca="1" si="109"/>
        <v>9.0336935791481165E-2</v>
      </c>
      <c r="S420" s="9" cm="1">
        <f t="array" aca="1" ref="S420" ca="1">_xll.BDH($E$6,"PX LAST",AG420)</f>
        <v>171.51</v>
      </c>
      <c r="T420" s="9" cm="1">
        <f t="array" aca="1" ref="T420" ca="1">_xll.BDH($E$6,"PX LAST",AH420)</f>
        <v>183.24</v>
      </c>
      <c r="U420" s="9" cm="1">
        <f t="array" aca="1" ref="U420" ca="1">_xll.BDH($E$6,"PX LAST",AI420)</f>
        <v>154.12</v>
      </c>
      <c r="V420" s="9" cm="1">
        <f t="array" aca="1" ref="V420" ca="1">_xll.BDH($E$6,"PX LAST",AJ420)</f>
        <v>163.89</v>
      </c>
      <c r="W420" s="9" cm="1">
        <f t="array" aca="1" ref="W420" ca="1">_xll.BDH($E$6,"PX LAST",AK420)</f>
        <v>157.30000000000001</v>
      </c>
      <c r="X420" s="24">
        <f t="shared" ca="1" si="110"/>
        <v>-1.9667560700169395E-2</v>
      </c>
      <c r="Y420" s="24">
        <f t="shared" ca="1" si="111"/>
        <v>-3.8085128510412236E-3</v>
      </c>
      <c r="Z420" s="24">
        <f t="shared" ca="1" si="112"/>
        <v>1.9800399055043494E-2</v>
      </c>
      <c r="AA420" s="24">
        <f t="shared" ca="1" si="113"/>
        <v>0.10049084664112717</v>
      </c>
      <c r="AB420" s="9" cm="1">
        <f t="array" aca="1" ref="AB420" ca="1">_xll.BDH($E$8,"PX LAST",AG420)</f>
        <v>5555.74</v>
      </c>
      <c r="AC420" s="9" cm="1">
        <f t="array" aca="1" ref="AC420" ca="1">_xll.BDH($E$8,"PX LAST",AH420)</f>
        <v>5667.2</v>
      </c>
      <c r="AD420" s="9" cm="1">
        <f t="array" aca="1" ref="AD420" ca="1">_xll.BDH($E$8,"PX LAST",AI420)</f>
        <v>5576.98</v>
      </c>
      <c r="AE420" s="9" cm="1">
        <f t="array" aca="1" ref="AE420" ca="1">_xll.BDH($E$8,"PX LAST",AJ420)</f>
        <v>5447.87</v>
      </c>
      <c r="AF420" s="9" cm="1">
        <f t="array" aca="1" ref="AF420" ca="1">_xll.BDH($E$8,"PX LAST",AK420)</f>
        <v>5048.42</v>
      </c>
      <c r="AG420" s="20">
        <f t="shared" ca="1" si="119"/>
        <v>45496</v>
      </c>
      <c r="AH420" s="22">
        <f t="shared" ca="1" si="114"/>
        <v>45489</v>
      </c>
      <c r="AI420" s="22">
        <f t="shared" ca="1" si="115"/>
        <v>45482</v>
      </c>
      <c r="AJ420" s="22">
        <f t="shared" ca="1" si="116"/>
        <v>45467</v>
      </c>
      <c r="AK420" s="22">
        <f t="shared" ca="1" si="117"/>
        <v>45407</v>
      </c>
      <c r="AL420" s="22">
        <f t="shared" ca="1" si="118"/>
        <v>45321</v>
      </c>
    </row>
    <row r="421" spans="4:38" x14ac:dyDescent="0.25">
      <c r="D421" s="6">
        <f ca="1"/>
        <v>45495</v>
      </c>
      <c r="E421" s="28">
        <f ca="1"/>
        <v>172.25</v>
      </c>
      <c r="F421" s="29" cm="1">
        <f t="array" aca="1" ref="F421" ca="1">_xll.FDS($E$7,"P_BETA_LOCIDX("&amp;$AG421&amp;","&amp;$AL421&amp;",,"""&amp;$E$9&amp;""")")</f>
        <v>2.4878572999999999</v>
      </c>
      <c r="G421" s="30">
        <f t="shared" ca="1" si="104"/>
        <v>1.8435980333663896E-2</v>
      </c>
      <c r="H421" s="30">
        <f t="shared" ca="1" si="104"/>
        <v>0.10328269654868809</v>
      </c>
      <c r="I421" s="30">
        <f t="shared" ca="1" si="104"/>
        <v>3.7223446942541288E-3</v>
      </c>
      <c r="J421" s="30">
        <f t="shared" ca="1" si="102"/>
        <v>-0.16240195797380244</v>
      </c>
      <c r="K421" s="30">
        <f t="shared" ca="1" si="105"/>
        <v>-2.9516471779294843E-2</v>
      </c>
      <c r="L421" s="30">
        <f t="shared" ca="1" si="105"/>
        <v>-3.767823575370127E-3</v>
      </c>
      <c r="M421" s="30">
        <f t="shared" ca="1" si="105"/>
        <v>4.5431023560100883E-2</v>
      </c>
      <c r="N421" s="30">
        <f t="shared" ca="1" si="103"/>
        <v>0.24173023668800755</v>
      </c>
      <c r="O421" s="30">
        <f t="shared" ca="1" si="106"/>
        <v>-1.1080491445630947E-2</v>
      </c>
      <c r="P421" s="30">
        <f t="shared" ca="1" si="107"/>
        <v>9.9514872973317958E-2</v>
      </c>
      <c r="Q421" s="30">
        <f t="shared" ca="1" si="108"/>
        <v>4.9153368254355012E-2</v>
      </c>
      <c r="R421" s="30">
        <f t="shared" ca="1" si="109"/>
        <v>7.9328278714205114E-2</v>
      </c>
      <c r="S421" s="9" cm="1">
        <f t="array" aca="1" ref="S421" ca="1">_xll.BDH($E$6,"PX LAST",AG421)</f>
        <v>172.25</v>
      </c>
      <c r="T421" s="9" cm="1">
        <f t="array" aca="1" ref="T421" ca="1">_xll.BDH($E$6,"PX LAST",AH421)</f>
        <v>174.18</v>
      </c>
      <c r="U421" s="9" cm="1">
        <f t="array" aca="1" ref="U421" ca="1">_xll.BDH($E$6,"PX LAST",AI421)</f>
        <v>156.66</v>
      </c>
      <c r="V421" s="9" cm="1">
        <f t="array" aca="1" ref="V421" ca="1">_xll.BDH($E$6,"PX LAST",AJ421)</f>
        <v>164.18</v>
      </c>
      <c r="W421" s="9" cm="1">
        <f t="array" aca="1" ref="W421" ca="1">_xll.BDH($E$6,"PX LAST",AK421)</f>
        <v>159.59</v>
      </c>
      <c r="X421" s="24">
        <f t="shared" ca="1" si="110"/>
        <v>-1.1864214148976648E-2</v>
      </c>
      <c r="Y421" s="24">
        <f t="shared" ca="1" si="111"/>
        <v>-1.5144854069283342E-3</v>
      </c>
      <c r="Z421" s="24">
        <f t="shared" ca="1" si="112"/>
        <v>1.8261105072264749E-2</v>
      </c>
      <c r="AA421" s="24">
        <f t="shared" ca="1" si="113"/>
        <v>9.7164028132967095E-2</v>
      </c>
      <c r="AB421" s="9" cm="1">
        <f t="array" aca="1" ref="AB421" ca="1">_xll.BDH($E$8,"PX LAST",AG421)</f>
        <v>5564.41</v>
      </c>
      <c r="AC421" s="9" cm="1">
        <f t="array" aca="1" ref="AC421" ca="1">_xll.BDH($E$8,"PX LAST",AH421)</f>
        <v>5631.22</v>
      </c>
      <c r="AD421" s="9" cm="1">
        <f t="array" aca="1" ref="AD421" ca="1">_xll.BDH($E$8,"PX LAST",AI421)</f>
        <v>5572.85</v>
      </c>
      <c r="AE421" s="9" cm="1">
        <f t="array" aca="1" ref="AE421" ca="1">_xll.BDH($E$8,"PX LAST",AJ421)</f>
        <v>5464.62</v>
      </c>
      <c r="AF421" s="9" cm="1">
        <f t="array" aca="1" ref="AF421" ca="1">_xll.BDH($E$8,"PX LAST",AK421)</f>
        <v>5071.63</v>
      </c>
      <c r="AG421" s="20">
        <f t="shared" ca="1" si="119"/>
        <v>45495</v>
      </c>
      <c r="AH421" s="22">
        <f t="shared" ca="1" si="114"/>
        <v>45488</v>
      </c>
      <c r="AI421" s="22">
        <f t="shared" ca="1" si="115"/>
        <v>45481</v>
      </c>
      <c r="AJ421" s="22">
        <f t="shared" ca="1" si="116"/>
        <v>45464</v>
      </c>
      <c r="AK421" s="22">
        <f t="shared" ca="1" si="117"/>
        <v>45406</v>
      </c>
      <c r="AL421" s="22">
        <f t="shared" ca="1" si="118"/>
        <v>45320</v>
      </c>
    </row>
    <row r="422" spans="4:38" x14ac:dyDescent="0.25">
      <c r="D422" s="6">
        <f ca="1"/>
        <v>45492</v>
      </c>
      <c r="E422" s="28">
        <f ca="1"/>
        <v>169.44</v>
      </c>
      <c r="F422" s="29" cm="1">
        <f t="array" aca="1" ref="F422" ca="1">_xll.FDS($E$7,"P_BETA_LOCIDX("&amp;$AG422&amp;","&amp;$AL422&amp;",,"""&amp;$E$9&amp;""")")</f>
        <v>2.5045964999999999</v>
      </c>
      <c r="G422" s="30">
        <f t="shared" ca="1" si="104"/>
        <v>4.4344444672166083E-2</v>
      </c>
      <c r="H422" s="30">
        <f t="shared" ca="1" si="104"/>
        <v>0.12496139953456147</v>
      </c>
      <c r="I422" s="30">
        <f t="shared" ca="1" si="104"/>
        <v>1.8352962470106229E-2</v>
      </c>
      <c r="J422" s="30">
        <f t="shared" ca="1" si="102"/>
        <v>-0.15000734146159078</v>
      </c>
      <c r="K422" s="30">
        <f t="shared" ca="1" si="105"/>
        <v>-4.921905558424694E-2</v>
      </c>
      <c r="L422" s="30">
        <f t="shared" ca="1" si="105"/>
        <v>-2.797836185490336E-2</v>
      </c>
      <c r="M422" s="30">
        <f t="shared" ca="1" si="105"/>
        <v>1.4565837822505288E-2</v>
      </c>
      <c r="N422" s="30">
        <f t="shared" ca="1" si="103"/>
        <v>0.21459643419845942</v>
      </c>
      <c r="O422" s="30">
        <f t="shared" ca="1" si="106"/>
        <v>-4.8746109120808567E-3</v>
      </c>
      <c r="P422" s="30">
        <f t="shared" ca="1" si="107"/>
        <v>9.6983037679658102E-2</v>
      </c>
      <c r="Q422" s="30">
        <f t="shared" ca="1" si="108"/>
        <v>3.2918800292611516E-2</v>
      </c>
      <c r="R422" s="30">
        <f t="shared" ca="1" si="109"/>
        <v>6.4589092736868636E-2</v>
      </c>
      <c r="S422" s="9" cm="1">
        <f t="array" aca="1" ref="S422" ca="1">_xll.BDH($E$6,"PX LAST",AG422)</f>
        <v>169.44</v>
      </c>
      <c r="T422" s="9" cm="1">
        <f t="array" aca="1" ref="T422" ca="1">_xll.BDH($E$6,"PX LAST",AH422)</f>
        <v>170.27</v>
      </c>
      <c r="U422" s="9" cm="1">
        <f t="array" aca="1" ref="U422" ca="1">_xll.BDH($E$6,"PX LAST",AI422)</f>
        <v>154.46</v>
      </c>
      <c r="V422" s="9" cm="1">
        <f t="array" aca="1" ref="V422" ca="1">_xll.BDH($E$6,"PX LAST",AJ422)</f>
        <v>164.04</v>
      </c>
      <c r="W422" s="9" cm="1">
        <f t="array" aca="1" ref="W422" ca="1">_xll.BDH($E$6,"PX LAST",AK422)</f>
        <v>159.16</v>
      </c>
      <c r="X422" s="24">
        <f t="shared" ca="1" si="110"/>
        <v>-1.965149100234187E-2</v>
      </c>
      <c r="Y422" s="24">
        <f t="shared" ca="1" si="111"/>
        <v>-1.1170806097869801E-2</v>
      </c>
      <c r="Z422" s="24">
        <f t="shared" ca="1" si="112"/>
        <v>5.8156424887223501E-3</v>
      </c>
      <c r="AA422" s="24">
        <f t="shared" ca="1" si="113"/>
        <v>8.5681040518286844E-2</v>
      </c>
      <c r="AB422" s="9" cm="1">
        <f t="array" aca="1" ref="AB422" ca="1">_xll.BDH($E$8,"PX LAST",AG422)</f>
        <v>5505</v>
      </c>
      <c r="AC422" s="9" cm="1">
        <f t="array" aca="1" ref="AC422" ca="1">_xll.BDH($E$8,"PX LAST",AH422)</f>
        <v>5615.35</v>
      </c>
      <c r="AD422" s="9" cm="1">
        <f t="array" aca="1" ref="AD422" ca="1">_xll.BDH($E$8,"PX LAST",AI422)</f>
        <v>5567.19</v>
      </c>
      <c r="AE422" s="9" cm="1">
        <f t="array" aca="1" ref="AE422" ca="1">_xll.BDH($E$8,"PX LAST",AJ422)</f>
        <v>5473.17</v>
      </c>
      <c r="AF422" s="9" cm="1">
        <f t="array" aca="1" ref="AF422" ca="1">_xll.BDH($E$8,"PX LAST",AK422)</f>
        <v>5070.55</v>
      </c>
      <c r="AG422" s="20">
        <f t="shared" ca="1" si="119"/>
        <v>45492</v>
      </c>
      <c r="AH422" s="22">
        <f t="shared" ca="1" si="114"/>
        <v>45485</v>
      </c>
      <c r="AI422" s="22">
        <f t="shared" ca="1" si="115"/>
        <v>45478</v>
      </c>
      <c r="AJ422" s="22">
        <f t="shared" ca="1" si="116"/>
        <v>45463</v>
      </c>
      <c r="AK422" s="22">
        <f t="shared" ca="1" si="117"/>
        <v>45405</v>
      </c>
      <c r="AL422" s="22">
        <f t="shared" ca="1" si="118"/>
        <v>45317</v>
      </c>
    </row>
    <row r="423" spans="4:38" x14ac:dyDescent="0.25">
      <c r="D423" s="6">
        <f ca="1"/>
        <v>45491</v>
      </c>
      <c r="E423" s="28">
        <f ca="1"/>
        <v>171.3</v>
      </c>
      <c r="F423" s="29" cm="1">
        <f t="array" aca="1" ref="F423" ca="1">_xll.FDS($E$7,"P_BETA_LOCIDX("&amp;$AG423&amp;","&amp;$AL423&amp;",,"""&amp;$E$9&amp;""")")</f>
        <v>2.5208707000000001</v>
      </c>
      <c r="G423" s="30">
        <f t="shared" ca="1" si="104"/>
        <v>5.3203910186968087E-2</v>
      </c>
      <c r="H423" s="30">
        <f t="shared" ca="1" si="104"/>
        <v>7.228830290648261E-2</v>
      </c>
      <c r="I423" s="30">
        <f t="shared" ca="1" si="104"/>
        <v>1.9854140041883954E-2</v>
      </c>
      <c r="J423" s="30">
        <f t="shared" ca="1" si="102"/>
        <v>-0.17050708455130936</v>
      </c>
      <c r="K423" s="30">
        <f t="shared" ca="1" si="105"/>
        <v>-1.8033496843965671E-2</v>
      </c>
      <c r="L423" s="30">
        <f t="shared" ca="1" si="105"/>
        <v>3.4464371085890259E-3</v>
      </c>
      <c r="M423" s="30">
        <f t="shared" ca="1" si="105"/>
        <v>2.644441847265306E-2</v>
      </c>
      <c r="N423" s="30">
        <f t="shared" ca="1" si="103"/>
        <v>0.26865440168702326</v>
      </c>
      <c r="O423" s="30">
        <f t="shared" ca="1" si="106"/>
        <v>3.5170413343002416E-2</v>
      </c>
      <c r="P423" s="30">
        <f t="shared" ca="1" si="107"/>
        <v>7.5734740015071633E-2</v>
      </c>
      <c r="Q423" s="30">
        <f t="shared" ca="1" si="108"/>
        <v>4.6298558514537014E-2</v>
      </c>
      <c r="R423" s="30">
        <f t="shared" ca="1" si="109"/>
        <v>9.8147317135713896E-2</v>
      </c>
      <c r="S423" s="9" cm="1">
        <f t="array" aca="1" ref="S423" ca="1">_xll.BDH($E$6,"PX LAST",AG423)</f>
        <v>171.3</v>
      </c>
      <c r="T423" s="9" cm="1">
        <f t="array" aca="1" ref="T423" ca="1">_xll.BDH($E$6,"PX LAST",AH423)</f>
        <v>165.48</v>
      </c>
      <c r="U423" s="9" cm="1">
        <f t="array" aca="1" ref="U423" ca="1">_xll.BDH($E$6,"PX LAST",AI423)</f>
        <v>159.24</v>
      </c>
      <c r="V423" s="9" cm="1">
        <f t="array" aca="1" ref="V423" ca="1">_xll.BDH($E$6,"PX LAST",AJ423)</f>
        <v>163.72</v>
      </c>
      <c r="W423" s="9" cm="1">
        <f t="array" aca="1" ref="W423" ca="1">_xll.BDH($E$6,"PX LAST",AK423)</f>
        <v>155.99</v>
      </c>
      <c r="X423" s="24">
        <f t="shared" ca="1" si="110"/>
        <v>-7.1536778320148153E-3</v>
      </c>
      <c r="Y423" s="24">
        <f t="shared" ca="1" si="111"/>
        <v>1.3671613972858765E-3</v>
      </c>
      <c r="Z423" s="24">
        <f t="shared" ca="1" si="112"/>
        <v>1.0490192326267689E-2</v>
      </c>
      <c r="AA423" s="24">
        <f t="shared" ca="1" si="113"/>
        <v>0.10657206721749879</v>
      </c>
      <c r="AB423" s="9" cm="1">
        <f t="array" aca="1" ref="AB423" ca="1">_xll.BDH($E$8,"PX LAST",AG423)</f>
        <v>5544.59</v>
      </c>
      <c r="AC423" s="9" cm="1">
        <f t="array" aca="1" ref="AC423" ca="1">_xll.BDH($E$8,"PX LAST",AH423)</f>
        <v>5584.54</v>
      </c>
      <c r="AD423" s="9" cm="1">
        <f t="array" aca="1" ref="AD423" ca="1">_xll.BDH($E$8,"PX LAST",AI423)</f>
        <v>5537.02</v>
      </c>
      <c r="AE423" s="9" cm="1">
        <f t="array" aca="1" ref="AE423" ca="1">_xll.BDH($E$8,"PX LAST",AJ423)</f>
        <v>5487.03</v>
      </c>
      <c r="AF423" s="9" cm="1">
        <f t="array" aca="1" ref="AF423" ca="1">_xll.BDH($E$8,"PX LAST",AK423)</f>
        <v>5010.6000000000004</v>
      </c>
      <c r="AG423" s="20">
        <f t="shared" ca="1" si="119"/>
        <v>45491</v>
      </c>
      <c r="AH423" s="22">
        <f t="shared" ca="1" si="114"/>
        <v>45484</v>
      </c>
      <c r="AI423" s="22">
        <f t="shared" ca="1" si="115"/>
        <v>45476</v>
      </c>
      <c r="AJ423" s="22">
        <f t="shared" ca="1" si="116"/>
        <v>45461</v>
      </c>
      <c r="AK423" s="22">
        <f t="shared" ca="1" si="117"/>
        <v>45404</v>
      </c>
      <c r="AL423" s="22">
        <f t="shared" ca="1" si="118"/>
        <v>45316</v>
      </c>
    </row>
    <row r="424" spans="4:38" x14ac:dyDescent="0.25">
      <c r="D424" s="6">
        <f ca="1"/>
        <v>45490</v>
      </c>
      <c r="E424" s="28">
        <f ca="1"/>
        <v>175.75</v>
      </c>
      <c r="F424" s="29" cm="1">
        <f t="array" aca="1" ref="F424" ca="1">_xll.FDS($E$7,"P_BETA_LOCIDX("&amp;$AG424&amp;","&amp;$AL424&amp;",,"""&amp;$E$9&amp;""")")</f>
        <v>2.5157764</v>
      </c>
      <c r="G424" s="30">
        <f t="shared" ca="1" si="104"/>
        <v>0.12704851428338607</v>
      </c>
      <c r="H424" s="30">
        <f t="shared" ca="1" si="104"/>
        <v>8.0457569977211624E-2</v>
      </c>
      <c r="I424" s="30">
        <f t="shared" ca="1" si="104"/>
        <v>9.7615540722762462E-3</v>
      </c>
      <c r="J424" s="30">
        <f t="shared" ca="1" si="102"/>
        <v>-0.17338139222313675</v>
      </c>
      <c r="K424" s="30">
        <f t="shared" ca="1" si="105"/>
        <v>-2.0380168461334652E-2</v>
      </c>
      <c r="L424" s="30">
        <f t="shared" ca="1" si="105"/>
        <v>3.619533046118998E-2</v>
      </c>
      <c r="M424" s="30">
        <f t="shared" ca="1" si="105"/>
        <v>5.2878266956806586E-2</v>
      </c>
      <c r="N424" s="30">
        <f t="shared" ca="1" si="103"/>
        <v>0.31454105717995773</v>
      </c>
      <c r="O424" s="30">
        <f t="shared" ca="1" si="106"/>
        <v>0.10666834582205142</v>
      </c>
      <c r="P424" s="30">
        <f t="shared" ca="1" si="107"/>
        <v>0.1166529004384016</v>
      </c>
      <c r="Q424" s="30">
        <f t="shared" ca="1" si="108"/>
        <v>6.2639821029082832E-2</v>
      </c>
      <c r="R424" s="30">
        <f t="shared" ca="1" si="109"/>
        <v>0.14115966495682097</v>
      </c>
      <c r="S424" s="9" cm="1">
        <f t="array" aca="1" ref="S424" ca="1">_xll.BDH($E$6,"PX LAST",AG424)</f>
        <v>175.75</v>
      </c>
      <c r="T424" s="9" cm="1">
        <f t="array" aca="1" ref="T424" ca="1">_xll.BDH($E$6,"PX LAST",AH424)</f>
        <v>158.81</v>
      </c>
      <c r="U424" s="9" cm="1">
        <f t="array" aca="1" ref="U424" ca="1">_xll.BDH($E$6,"PX LAST",AI424)</f>
        <v>157.38999999999999</v>
      </c>
      <c r="V424" s="9" cm="1">
        <f t="array" aca="1" ref="V424" ca="1">_xll.BDH($E$6,"PX LAST",AJ424)</f>
        <v>165.39</v>
      </c>
      <c r="W424" s="9" cm="1">
        <f t="array" aca="1" ref="W424" ca="1">_xll.BDH($E$6,"PX LAST",AK424)</f>
        <v>154.01</v>
      </c>
      <c r="X424" s="24">
        <f t="shared" ca="1" si="110"/>
        <v>-8.1009458795044953E-3</v>
      </c>
      <c r="Y424" s="24">
        <f t="shared" ca="1" si="111"/>
        <v>1.43873400120893E-2</v>
      </c>
      <c r="Z424" s="24">
        <f t="shared" ca="1" si="112"/>
        <v>2.1018667222097553E-2</v>
      </c>
      <c r="AA424" s="24">
        <f t="shared" ca="1" si="113"/>
        <v>0.12502742977474379</v>
      </c>
      <c r="AB424" s="9" cm="1">
        <f t="array" aca="1" ref="AB424" ca="1">_xll.BDH($E$8,"PX LAST",AG424)</f>
        <v>5588.27</v>
      </c>
      <c r="AC424" s="9" cm="1">
        <f t="array" aca="1" ref="AC424" ca="1">_xll.BDH($E$8,"PX LAST",AH424)</f>
        <v>5633.91</v>
      </c>
      <c r="AD424" s="9" cm="1">
        <f t="array" aca="1" ref="AD424" ca="1">_xll.BDH($E$8,"PX LAST",AI424)</f>
        <v>5509.01</v>
      </c>
      <c r="AE424" s="9" cm="1">
        <f t="array" aca="1" ref="AE424" ca="1">_xll.BDH($E$8,"PX LAST",AJ424)</f>
        <v>5473.23</v>
      </c>
      <c r="AF424" s="9" cm="1">
        <f t="array" aca="1" ref="AF424" ca="1">_xll.BDH($E$8,"PX LAST",AK424)</f>
        <v>4967.2299999999996</v>
      </c>
      <c r="AG424" s="20">
        <f t="shared" ca="1" si="119"/>
        <v>45490</v>
      </c>
      <c r="AH424" s="22">
        <f t="shared" ca="1" si="114"/>
        <v>45483</v>
      </c>
      <c r="AI424" s="22">
        <f t="shared" ca="1" si="115"/>
        <v>45475</v>
      </c>
      <c r="AJ424" s="22">
        <f t="shared" ca="1" si="116"/>
        <v>45460</v>
      </c>
      <c r="AK424" s="22">
        <f t="shared" ca="1" si="117"/>
        <v>45401</v>
      </c>
      <c r="AL424" s="22">
        <f t="shared" ca="1" si="118"/>
        <v>45315</v>
      </c>
    </row>
    <row r="425" spans="4:38" x14ac:dyDescent="0.25">
      <c r="D425" s="6">
        <f ca="1"/>
        <v>45489</v>
      </c>
      <c r="E425" s="28">
        <f ca="1"/>
        <v>183.24</v>
      </c>
      <c r="F425" s="29" cm="1">
        <f t="array" aca="1" ref="F425" ca="1">_xll.FDS($E$7,"P_BETA_LOCIDX("&amp;$AG425&amp;","&amp;$AL425&amp;",,"""&amp;$E$9&amp;""")")</f>
        <v>2.4984367000000001</v>
      </c>
      <c r="G425" s="30">
        <f t="shared" ca="1" si="104"/>
        <v>0.14852593461011873</v>
      </c>
      <c r="H425" s="30">
        <f t="shared" ca="1" si="104"/>
        <v>9.338543006534776E-2</v>
      </c>
      <c r="I425" s="30">
        <f t="shared" ca="1" si="104"/>
        <v>-8.4257176344053331E-3</v>
      </c>
      <c r="J425" s="30">
        <f t="shared" ca="1" si="102"/>
        <v>-0.13289466162196334</v>
      </c>
      <c r="K425" s="30">
        <f t="shared" ca="1" si="105"/>
        <v>4.0417745639037689E-2</v>
      </c>
      <c r="L425" s="30">
        <f t="shared" ca="1" si="105"/>
        <v>8.7665166131880648E-2</v>
      </c>
      <c r="M425" s="30">
        <f t="shared" ca="1" si="105"/>
        <v>0.10837169278297362</v>
      </c>
      <c r="N425" s="30">
        <f t="shared" ca="1" si="103"/>
        <v>0.32710738320694782</v>
      </c>
      <c r="O425" s="30">
        <f t="shared" ca="1" si="106"/>
        <v>0.18894368024915642</v>
      </c>
      <c r="P425" s="30">
        <f t="shared" ca="1" si="107"/>
        <v>0.18105059619722841</v>
      </c>
      <c r="Q425" s="30">
        <f t="shared" ca="1" si="108"/>
        <v>9.9945975148568289E-2</v>
      </c>
      <c r="R425" s="30">
        <f t="shared" ca="1" si="109"/>
        <v>0.19421272158498448</v>
      </c>
      <c r="S425" s="9" cm="1">
        <f t="array" aca="1" ref="S425" ca="1">_xll.BDH($E$6,"PX LAST",AG425)</f>
        <v>183.24</v>
      </c>
      <c r="T425" s="9" cm="1">
        <f t="array" aca="1" ref="T425" ca="1">_xll.BDH($E$6,"PX LAST",AH425)</f>
        <v>154.12</v>
      </c>
      <c r="U425" s="9" cm="1">
        <f t="array" aca="1" ref="U425" ca="1">_xll.BDH($E$6,"PX LAST",AI425)</f>
        <v>155.15</v>
      </c>
      <c r="V425" s="9" cm="1">
        <f t="array" aca="1" ref="V425" ca="1">_xll.BDH($E$6,"PX LAST",AJ425)</f>
        <v>166.59</v>
      </c>
      <c r="W425" s="9" cm="1">
        <f t="array" aca="1" ref="W425" ca="1">_xll.BDH($E$6,"PX LAST",AK425)</f>
        <v>153.44</v>
      </c>
      <c r="X425" s="24">
        <f t="shared" ca="1" si="110"/>
        <v>1.6177214191193112E-2</v>
      </c>
      <c r="Y425" s="24">
        <f t="shared" ca="1" si="111"/>
        <v>3.5088007685718292E-2</v>
      </c>
      <c r="Z425" s="24">
        <f t="shared" ca="1" si="112"/>
        <v>4.3375800868988845E-2</v>
      </c>
      <c r="AA425" s="24">
        <f t="shared" ca="1" si="113"/>
        <v>0.1309248231932183</v>
      </c>
      <c r="AB425" s="9" cm="1">
        <f t="array" aca="1" ref="AB425" ca="1">_xll.BDH($E$8,"PX LAST",AG425)</f>
        <v>5667.2</v>
      </c>
      <c r="AC425" s="9" cm="1">
        <f t="array" aca="1" ref="AC425" ca="1">_xll.BDH($E$8,"PX LAST",AH425)</f>
        <v>5576.98</v>
      </c>
      <c r="AD425" s="9" cm="1">
        <f t="array" aca="1" ref="AD425" ca="1">_xll.BDH($E$8,"PX LAST",AI425)</f>
        <v>5475.09</v>
      </c>
      <c r="AE425" s="9" cm="1">
        <f t="array" aca="1" ref="AE425" ca="1">_xll.BDH($E$8,"PX LAST",AJ425)</f>
        <v>5431.6</v>
      </c>
      <c r="AF425" s="9" cm="1">
        <f t="array" aca="1" ref="AF425" ca="1">_xll.BDH($E$8,"PX LAST",AK425)</f>
        <v>5011.12</v>
      </c>
      <c r="AG425" s="20">
        <f t="shared" ca="1" si="119"/>
        <v>45489</v>
      </c>
      <c r="AH425" s="22">
        <f t="shared" ca="1" si="114"/>
        <v>45482</v>
      </c>
      <c r="AI425" s="22">
        <f t="shared" ca="1" si="115"/>
        <v>45474</v>
      </c>
      <c r="AJ425" s="22">
        <f t="shared" ca="1" si="116"/>
        <v>45457</v>
      </c>
      <c r="AK425" s="22">
        <f t="shared" ca="1" si="117"/>
        <v>45400</v>
      </c>
      <c r="AL425" s="22">
        <f t="shared" ca="1" si="118"/>
        <v>45314</v>
      </c>
    </row>
    <row r="426" spans="4:38" x14ac:dyDescent="0.25">
      <c r="D426" s="6">
        <f ca="1"/>
        <v>45488</v>
      </c>
      <c r="E426" s="28">
        <f ca="1"/>
        <v>174.18</v>
      </c>
      <c r="F426" s="29" cm="1">
        <f t="array" aca="1" ref="F426" ca="1">_xll.FDS($E$7,"P_BETA_LOCIDX("&amp;$AG426&amp;","&amp;$AL426&amp;",,"""&amp;$E$9&amp;""")")</f>
        <v>2.4617714999999998</v>
      </c>
      <c r="G426" s="30">
        <f t="shared" ca="1" si="104"/>
        <v>8.6049965109781079E-2</v>
      </c>
      <c r="H426" s="30">
        <f t="shared" ca="1" si="104"/>
        <v>2.1813353564657259E-2</v>
      </c>
      <c r="I426" s="30">
        <f t="shared" ca="1" si="104"/>
        <v>-9.2045757526241681E-2</v>
      </c>
      <c r="J426" s="30">
        <f t="shared" ca="1" si="102"/>
        <v>-0.15650849253411231</v>
      </c>
      <c r="K426" s="30">
        <f t="shared" ca="1" si="105"/>
        <v>2.5784581041118963E-2</v>
      </c>
      <c r="L426" s="30">
        <f t="shared" ca="1" si="105"/>
        <v>7.6975442801731894E-2</v>
      </c>
      <c r="M426" s="30">
        <f t="shared" ca="1" si="105"/>
        <v>8.9468880700953948E-2</v>
      </c>
      <c r="N426" s="30">
        <f t="shared" ca="1" si="103"/>
        <v>0.29852265461121702</v>
      </c>
      <c r="O426" s="30">
        <f t="shared" ca="1" si="106"/>
        <v>0.11183454615090005</v>
      </c>
      <c r="P426" s="30">
        <f t="shared" ca="1" si="107"/>
        <v>9.8788796366389153E-2</v>
      </c>
      <c r="Q426" s="30">
        <f t="shared" ca="1" si="108"/>
        <v>-2.5768768252877328E-3</v>
      </c>
      <c r="R426" s="30">
        <f t="shared" ca="1" si="109"/>
        <v>0.14201416207710471</v>
      </c>
      <c r="S426" s="9" cm="1">
        <f t="array" aca="1" ref="S426" ca="1">_xll.BDH($E$6,"PX LAST",AG426)</f>
        <v>174.18</v>
      </c>
      <c r="T426" s="9" cm="1">
        <f t="array" aca="1" ref="T426" ca="1">_xll.BDH($E$6,"PX LAST",AH426)</f>
        <v>156.66</v>
      </c>
      <c r="U426" s="9" cm="1">
        <f t="array" aca="1" ref="U426" ca="1">_xll.BDH($E$6,"PX LAST",AI426)</f>
        <v>158.52000000000001</v>
      </c>
      <c r="V426" s="9" cm="1">
        <f t="array" aca="1" ref="V426" ca="1">_xll.BDH($E$6,"PX LAST",AJ426)</f>
        <v>174.63</v>
      </c>
      <c r="W426" s="9" cm="1">
        <f t="array" aca="1" ref="W426" ca="1">_xll.BDH($E$6,"PX LAST",AK426)</f>
        <v>152.52000000000001</v>
      </c>
      <c r="X426" s="24">
        <f t="shared" ca="1" si="110"/>
        <v>1.047399445526076E-2</v>
      </c>
      <c r="Y426" s="24">
        <f t="shared" ca="1" si="111"/>
        <v>3.1268313408345128E-2</v>
      </c>
      <c r="Z426" s="24">
        <f t="shared" ca="1" si="112"/>
        <v>3.6343292097156032E-2</v>
      </c>
      <c r="AA426" s="24">
        <f t="shared" ca="1" si="113"/>
        <v>0.12126334820726337</v>
      </c>
      <c r="AB426" s="9" cm="1">
        <f t="array" aca="1" ref="AB426" ca="1">_xll.BDH($E$8,"PX LAST",AG426)</f>
        <v>5631.22</v>
      </c>
      <c r="AC426" s="9" cm="1">
        <f t="array" aca="1" ref="AC426" ca="1">_xll.BDH($E$8,"PX LAST",AH426)</f>
        <v>5572.85</v>
      </c>
      <c r="AD426" s="9" cm="1">
        <f t="array" aca="1" ref="AD426" ca="1">_xll.BDH($E$8,"PX LAST",AI426)</f>
        <v>5460.48</v>
      </c>
      <c r="AE426" s="9" cm="1">
        <f t="array" aca="1" ref="AE426" ca="1">_xll.BDH($E$8,"PX LAST",AJ426)</f>
        <v>5433.74</v>
      </c>
      <c r="AF426" s="9" cm="1">
        <f t="array" aca="1" ref="AF426" ca="1">_xll.BDH($E$8,"PX LAST",AK426)</f>
        <v>5022.21</v>
      </c>
      <c r="AG426" s="20">
        <f t="shared" ca="1" si="119"/>
        <v>45488</v>
      </c>
      <c r="AH426" s="22">
        <f t="shared" ca="1" si="114"/>
        <v>45481</v>
      </c>
      <c r="AI426" s="22">
        <f t="shared" ca="1" si="115"/>
        <v>45471</v>
      </c>
      <c r="AJ426" s="22">
        <f t="shared" ca="1" si="116"/>
        <v>45456</v>
      </c>
      <c r="AK426" s="22">
        <f t="shared" ca="1" si="117"/>
        <v>45399</v>
      </c>
      <c r="AL426" s="22">
        <f t="shared" ca="1" si="118"/>
        <v>45313</v>
      </c>
    </row>
    <row r="427" spans="4:38" x14ac:dyDescent="0.25">
      <c r="D427" s="6">
        <f ca="1"/>
        <v>45485</v>
      </c>
      <c r="E427" s="28">
        <f ca="1"/>
        <v>170.27</v>
      </c>
      <c r="F427" s="29" cm="1">
        <f t="array" aca="1" ref="F427" ca="1">_xll.FDS($E$7,"P_BETA_LOCIDX("&amp;$AG427&amp;","&amp;$AL427&amp;",,"""&amp;$E$9&amp;""")")</f>
        <v>2.4309487000000001</v>
      </c>
      <c r="G427" s="30">
        <f t="shared" ca="1" si="104"/>
        <v>8.132722878997907E-2</v>
      </c>
      <c r="H427" s="30">
        <f t="shared" ca="1" si="104"/>
        <v>1.6878053064163789E-2</v>
      </c>
      <c r="I427" s="30">
        <f t="shared" ca="1" si="104"/>
        <v>-0.13072694129872567</v>
      </c>
      <c r="J427" s="30">
        <f t="shared" ca="1" si="102"/>
        <v>-0.17138493527991555</v>
      </c>
      <c r="K427" s="30">
        <f t="shared" ca="1" si="105"/>
        <v>2.1029368387283569E-2</v>
      </c>
      <c r="L427" s="30">
        <f t="shared" ca="1" si="105"/>
        <v>5.8737866076708056E-2</v>
      </c>
      <c r="M427" s="30">
        <f t="shared" ca="1" si="105"/>
        <v>8.7138781999731157E-2</v>
      </c>
      <c r="N427" s="30">
        <f t="shared" ca="1" si="103"/>
        <v>0.2713913956455723</v>
      </c>
      <c r="O427" s="30">
        <f t="shared" ca="1" si="106"/>
        <v>0.10235659717726264</v>
      </c>
      <c r="P427" s="30">
        <f t="shared" ca="1" si="107"/>
        <v>7.5615919140871846E-2</v>
      </c>
      <c r="Q427" s="30">
        <f t="shared" ca="1" si="108"/>
        <v>-4.3588159298994511E-2</v>
      </c>
      <c r="R427" s="30">
        <f t="shared" ca="1" si="109"/>
        <v>0.10000646036565675</v>
      </c>
      <c r="S427" s="9" cm="1">
        <f t="array" aca="1" ref="S427" ca="1">_xll.BDH($E$6,"PX LAST",AG427)</f>
        <v>170.27</v>
      </c>
      <c r="T427" s="9" cm="1">
        <f t="array" aca="1" ref="T427" ca="1">_xll.BDH($E$6,"PX LAST",AH427)</f>
        <v>154.46</v>
      </c>
      <c r="U427" s="9" cm="1">
        <f t="array" aca="1" ref="U427" ca="1">_xll.BDH($E$6,"PX LAST",AI427)</f>
        <v>158.30000000000001</v>
      </c>
      <c r="V427" s="9" cm="1">
        <f t="array" aca="1" ref="V427" ca="1">_xll.BDH($E$6,"PX LAST",AJ427)</f>
        <v>178.03</v>
      </c>
      <c r="W427" s="9" cm="1">
        <f t="array" aca="1" ref="W427" ca="1">_xll.BDH($E$6,"PX LAST",AK427)</f>
        <v>154.79</v>
      </c>
      <c r="X427" s="24">
        <f t="shared" ca="1" si="110"/>
        <v>8.6506837381157276E-3</v>
      </c>
      <c r="Y427" s="24">
        <f t="shared" ca="1" si="111"/>
        <v>2.4162528019084917E-2</v>
      </c>
      <c r="Z427" s="24">
        <f t="shared" ca="1" si="112"/>
        <v>3.5845586539827501E-2</v>
      </c>
      <c r="AA427" s="24">
        <f t="shared" ca="1" si="113"/>
        <v>0.11164011632395709</v>
      </c>
      <c r="AB427" s="9" cm="1">
        <f t="array" aca="1" ref="AB427" ca="1">_xll.BDH($E$8,"PX LAST",AG427)</f>
        <v>5615.35</v>
      </c>
      <c r="AC427" s="9" cm="1">
        <f t="array" aca="1" ref="AC427" ca="1">_xll.BDH($E$8,"PX LAST",AH427)</f>
        <v>5567.19</v>
      </c>
      <c r="AD427" s="9" cm="1">
        <f t="array" aca="1" ref="AD427" ca="1">_xll.BDH($E$8,"PX LAST",AI427)</f>
        <v>5482.87</v>
      </c>
      <c r="AE427" s="9" cm="1">
        <f t="array" aca="1" ref="AE427" ca="1">_xll.BDH($E$8,"PX LAST",AJ427)</f>
        <v>5421.03</v>
      </c>
      <c r="AF427" s="9" cm="1">
        <f t="array" aca="1" ref="AF427" ca="1">_xll.BDH($E$8,"PX LAST",AK427)</f>
        <v>5051.41</v>
      </c>
      <c r="AG427" s="20">
        <f t="shared" ca="1" si="119"/>
        <v>45485</v>
      </c>
      <c r="AH427" s="22">
        <f t="shared" ca="1" si="114"/>
        <v>45478</v>
      </c>
      <c r="AI427" s="22">
        <f t="shared" ca="1" si="115"/>
        <v>45470</v>
      </c>
      <c r="AJ427" s="22">
        <f t="shared" ca="1" si="116"/>
        <v>45455</v>
      </c>
      <c r="AK427" s="22">
        <f t="shared" ca="1" si="117"/>
        <v>45398</v>
      </c>
      <c r="AL427" s="22">
        <f t="shared" ca="1" si="118"/>
        <v>45310</v>
      </c>
    </row>
    <row r="428" spans="4:38" x14ac:dyDescent="0.25">
      <c r="D428" s="6">
        <f ca="1"/>
        <v>45484</v>
      </c>
      <c r="E428" s="28">
        <f ca="1"/>
        <v>165.48</v>
      </c>
      <c r="F428" s="29" cm="1">
        <f t="array" aca="1" ref="F428" ca="1">_xll.FDS($E$7,"P_BETA_LOCIDX("&amp;$AG428&amp;","&amp;$AL428&amp;",,"""&amp;$E$9&amp;""")")</f>
        <v>2.4145338999999999</v>
      </c>
      <c r="G428" s="30">
        <f t="shared" ca="1" si="104"/>
        <v>1.8464039774479964E-2</v>
      </c>
      <c r="H428" s="30">
        <f t="shared" ca="1" si="104"/>
        <v>2.9955101232222517E-3</v>
      </c>
      <c r="I428" s="30">
        <f t="shared" ca="1" si="104"/>
        <v>-0.14897329850090846</v>
      </c>
      <c r="J428" s="30">
        <f t="shared" ca="1" si="102"/>
        <v>-0.21457478181542264</v>
      </c>
      <c r="K428" s="30">
        <f t="shared" ca="1" si="105"/>
        <v>2.0722094362671365E-2</v>
      </c>
      <c r="L428" s="30">
        <f t="shared" ca="1" si="105"/>
        <v>4.7004489876777793E-2</v>
      </c>
      <c r="M428" s="30">
        <f t="shared" ca="1" si="105"/>
        <v>9.3979294731848864E-2</v>
      </c>
      <c r="N428" s="30">
        <f t="shared" ca="1" si="103"/>
        <v>0.24934216550726848</v>
      </c>
      <c r="O428" s="30">
        <f t="shared" ca="1" si="106"/>
        <v>3.9186134137151329E-2</v>
      </c>
      <c r="P428" s="30">
        <f t="shared" ca="1" si="107"/>
        <v>5.0000000000000044E-2</v>
      </c>
      <c r="Q428" s="30">
        <f t="shared" ca="1" si="108"/>
        <v>-5.4994003769059607E-2</v>
      </c>
      <c r="R428" s="30">
        <f t="shared" ca="1" si="109"/>
        <v>3.4767383691845843E-2</v>
      </c>
      <c r="S428" s="9" cm="1">
        <f t="array" aca="1" ref="S428" ca="1">_xll.BDH($E$6,"PX LAST",AG428)</f>
        <v>165.48</v>
      </c>
      <c r="T428" s="9" cm="1">
        <f t="array" aca="1" ref="T428" ca="1">_xll.BDH($E$6,"PX LAST",AH428)</f>
        <v>159.24</v>
      </c>
      <c r="U428" s="9" cm="1">
        <f t="array" aca="1" ref="U428" ca="1">_xll.BDH($E$6,"PX LAST",AI428)</f>
        <v>157.6</v>
      </c>
      <c r="V428" s="9" cm="1">
        <f t="array" aca="1" ref="V428" ca="1">_xll.BDH($E$6,"PX LAST",AJ428)</f>
        <v>175.11</v>
      </c>
      <c r="W428" s="9" cm="1">
        <f t="array" aca="1" ref="W428" ca="1">_xll.BDH($E$6,"PX LAST",AK428)</f>
        <v>159.91999999999999</v>
      </c>
      <c r="X428" s="24">
        <f t="shared" ca="1" si="110"/>
        <v>8.5822337647325497E-3</v>
      </c>
      <c r="Y428" s="24">
        <f t="shared" ca="1" si="111"/>
        <v>1.9467314116723644E-2</v>
      </c>
      <c r="Z428" s="24">
        <f t="shared" ca="1" si="112"/>
        <v>3.8922333926166397E-2</v>
      </c>
      <c r="AA428" s="24">
        <f t="shared" ca="1" si="113"/>
        <v>0.10326720428620551</v>
      </c>
      <c r="AB428" s="9" cm="1">
        <f t="array" aca="1" ref="AB428" ca="1">_xll.BDH($E$8,"PX LAST",AG428)</f>
        <v>5584.54</v>
      </c>
      <c r="AC428" s="9" cm="1">
        <f t="array" aca="1" ref="AC428" ca="1">_xll.BDH($E$8,"PX LAST",AH428)</f>
        <v>5537.02</v>
      </c>
      <c r="AD428" s="9" cm="1">
        <f t="array" aca="1" ref="AD428" ca="1">_xll.BDH($E$8,"PX LAST",AI428)</f>
        <v>5477.9</v>
      </c>
      <c r="AE428" s="9" cm="1">
        <f t="array" aca="1" ref="AE428" ca="1">_xll.BDH($E$8,"PX LAST",AJ428)</f>
        <v>5375.32</v>
      </c>
      <c r="AF428" s="9" cm="1">
        <f t="array" aca="1" ref="AF428" ca="1">_xll.BDH($E$8,"PX LAST",AK428)</f>
        <v>5061.82</v>
      </c>
      <c r="AG428" s="20">
        <f t="shared" ca="1" si="119"/>
        <v>45484</v>
      </c>
      <c r="AH428" s="22">
        <f t="shared" ca="1" si="114"/>
        <v>45476</v>
      </c>
      <c r="AI428" s="22">
        <f t="shared" ca="1" si="115"/>
        <v>45469</v>
      </c>
      <c r="AJ428" s="22">
        <f t="shared" ca="1" si="116"/>
        <v>45454</v>
      </c>
      <c r="AK428" s="22">
        <f t="shared" ca="1" si="117"/>
        <v>45397</v>
      </c>
      <c r="AL428" s="22">
        <f t="shared" ca="1" si="118"/>
        <v>45309</v>
      </c>
    </row>
    <row r="429" spans="4:38" x14ac:dyDescent="0.25">
      <c r="D429" s="6">
        <f ca="1"/>
        <v>45483</v>
      </c>
      <c r="E429" s="28">
        <f ca="1"/>
        <v>158.81</v>
      </c>
      <c r="F429" s="29" cm="1">
        <f t="array" aca="1" ref="F429" ca="1">_xll.FDS($E$7,"P_BETA_LOCIDX("&amp;$AG429&amp;","&amp;$AL429&amp;",,"""&amp;$E$9&amp;""")")</f>
        <v>2.5208729999999999</v>
      </c>
      <c r="G429" s="30">
        <f t="shared" ca="1" si="104"/>
        <v>-4.8130932729706671E-2</v>
      </c>
      <c r="H429" s="30">
        <f t="shared" ca="1" si="104"/>
        <v>-8.5104199659173624E-2</v>
      </c>
      <c r="I429" s="30">
        <f t="shared" ca="1" si="104"/>
        <v>-0.24487869616343871</v>
      </c>
      <c r="J429" s="30">
        <f t="shared" ca="1" si="102"/>
        <v>-0.2682030121882284</v>
      </c>
      <c r="K429" s="30">
        <f t="shared" ca="1" si="105"/>
        <v>5.7153106946620097E-2</v>
      </c>
      <c r="L429" s="30">
        <f t="shared" ca="1" si="105"/>
        <v>7.5870934951456387E-2</v>
      </c>
      <c r="M429" s="30">
        <f t="shared" ca="1" si="105"/>
        <v>0.12843271864034977</v>
      </c>
      <c r="N429" s="30">
        <f t="shared" ca="1" si="103"/>
        <v>0.25118147220308351</v>
      </c>
      <c r="O429" s="30">
        <f t="shared" ca="1" si="106"/>
        <v>9.0221742169134256E-3</v>
      </c>
      <c r="P429" s="30">
        <f t="shared" ca="1" si="107"/>
        <v>-9.233264707717237E-3</v>
      </c>
      <c r="Q429" s="30">
        <f t="shared" ca="1" si="108"/>
        <v>-0.11644597752308894</v>
      </c>
      <c r="R429" s="30">
        <f t="shared" ca="1" si="109"/>
        <v>-1.7021539985144885E-2</v>
      </c>
      <c r="S429" s="9" cm="1">
        <f t="array" aca="1" ref="S429" ca="1">_xll.BDH($E$6,"PX LAST",AG429)</f>
        <v>158.81</v>
      </c>
      <c r="T429" s="9" cm="1">
        <f t="array" aca="1" ref="T429" ca="1">_xll.BDH($E$6,"PX LAST",AH429)</f>
        <v>157.38999999999999</v>
      </c>
      <c r="U429" s="9" cm="1">
        <f t="array" aca="1" ref="U429" ca="1">_xll.BDH($E$6,"PX LAST",AI429)</f>
        <v>160.29</v>
      </c>
      <c r="V429" s="9" cm="1">
        <f t="array" aca="1" ref="V429" ca="1">_xll.BDH($E$6,"PX LAST",AJ429)</f>
        <v>179.74</v>
      </c>
      <c r="W429" s="9" cm="1">
        <f t="array" aca="1" ref="W429" ca="1">_xll.BDH($E$6,"PX LAST",AK429)</f>
        <v>161.56</v>
      </c>
      <c r="X429" s="24">
        <f t="shared" ca="1" si="110"/>
        <v>2.2671950132600927E-2</v>
      </c>
      <c r="Y429" s="24">
        <f t="shared" ca="1" si="111"/>
        <v>3.0097087378640808E-2</v>
      </c>
      <c r="Z429" s="24">
        <f t="shared" ca="1" si="112"/>
        <v>5.0947714795767096E-2</v>
      </c>
      <c r="AA429" s="24">
        <f t="shared" ca="1" si="113"/>
        <v>9.9640669007555527E-2</v>
      </c>
      <c r="AB429" s="9" cm="1">
        <f t="array" aca="1" ref="AB429" ca="1">_xll.BDH($E$8,"PX LAST",AG429)</f>
        <v>5633.91</v>
      </c>
      <c r="AC429" s="9" cm="1">
        <f t="array" aca="1" ref="AC429" ca="1">_xll.BDH($E$8,"PX LAST",AH429)</f>
        <v>5509.01</v>
      </c>
      <c r="AD429" s="9" cm="1">
        <f t="array" aca="1" ref="AD429" ca="1">_xll.BDH($E$8,"PX LAST",AI429)</f>
        <v>5469.3</v>
      </c>
      <c r="AE429" s="9" cm="1">
        <f t="array" aca="1" ref="AE429" ca="1">_xll.BDH($E$8,"PX LAST",AJ429)</f>
        <v>5360.79</v>
      </c>
      <c r="AF429" s="9" cm="1">
        <f t="array" aca="1" ref="AF429" ca="1">_xll.BDH($E$8,"PX LAST",AK429)</f>
        <v>5123.41</v>
      </c>
      <c r="AG429" s="20">
        <f t="shared" ca="1" si="119"/>
        <v>45483</v>
      </c>
      <c r="AH429" s="22">
        <f t="shared" ca="1" si="114"/>
        <v>45475</v>
      </c>
      <c r="AI429" s="22">
        <f t="shared" ca="1" si="115"/>
        <v>45468</v>
      </c>
      <c r="AJ429" s="22">
        <f t="shared" ca="1" si="116"/>
        <v>45453</v>
      </c>
      <c r="AK429" s="22">
        <f t="shared" ca="1" si="117"/>
        <v>45394</v>
      </c>
      <c r="AL429" s="22">
        <f t="shared" ca="1" si="118"/>
        <v>45308</v>
      </c>
    </row>
    <row r="430" spans="4:38" x14ac:dyDescent="0.25">
      <c r="D430" s="6">
        <f ca="1"/>
        <v>45482</v>
      </c>
      <c r="E430" s="28">
        <f ca="1"/>
        <v>154.12</v>
      </c>
      <c r="F430" s="29" cm="1">
        <f t="array" aca="1" ref="F430" ca="1">_xll.FDS($E$7,"P_BETA_LOCIDX("&amp;$AG430&amp;","&amp;$AL430&amp;",,"""&amp;$E$9&amp;""")")</f>
        <v>2.496356</v>
      </c>
      <c r="G430" s="30">
        <f t="shared" ca="1" si="104"/>
        <v>-5.3095272186195031E-2</v>
      </c>
      <c r="H430" s="30">
        <f t="shared" ca="1" si="104"/>
        <v>-0.11877472164148868</v>
      </c>
      <c r="I430" s="30">
        <f t="shared" ca="1" si="104"/>
        <v>-0.23358050799515034</v>
      </c>
      <c r="J430" s="30">
        <f t="shared" ca="1" si="102"/>
        <v>-0.25027786952209297</v>
      </c>
      <c r="K430" s="30">
        <f t="shared" ca="1" si="105"/>
        <v>4.6456535479781902E-2</v>
      </c>
      <c r="L430" s="30">
        <f t="shared" ca="1" si="105"/>
        <v>5.9161566476439068E-2</v>
      </c>
      <c r="M430" s="30">
        <f t="shared" ca="1" si="105"/>
        <v>0.10737572287212055</v>
      </c>
      <c r="N430" s="30">
        <f t="shared" ca="1" si="103"/>
        <v>0.18146027541901769</v>
      </c>
      <c r="O430" s="30">
        <f t="shared" ca="1" si="106"/>
        <v>-6.6387367064131286E-3</v>
      </c>
      <c r="P430" s="30">
        <f t="shared" ca="1" si="107"/>
        <v>-5.9613155165049614E-2</v>
      </c>
      <c r="Q430" s="30">
        <f t="shared" ca="1" si="108"/>
        <v>-0.12620478512302979</v>
      </c>
      <c r="R430" s="30">
        <f t="shared" ca="1" si="109"/>
        <v>-6.8817594103075308E-2</v>
      </c>
      <c r="S430" s="9" cm="1">
        <f t="array" aca="1" ref="S430" ca="1">_xll.BDH($E$6,"PX LAST",AG430)</f>
        <v>154.12</v>
      </c>
      <c r="T430" s="9" cm="1">
        <f t="array" aca="1" ref="T430" ca="1">_xll.BDH($E$6,"PX LAST",AH430)</f>
        <v>155.15</v>
      </c>
      <c r="U430" s="9" cm="1">
        <f t="array" aca="1" ref="U430" ca="1">_xll.BDH($E$6,"PX LAST",AI430)</f>
        <v>163.89</v>
      </c>
      <c r="V430" s="9" cm="1">
        <f t="array" aca="1" ref="V430" ca="1">_xll.BDH($E$6,"PX LAST",AJ430)</f>
        <v>176.38</v>
      </c>
      <c r="W430" s="9" cm="1">
        <f t="array" aca="1" ref="W430" ca="1">_xll.BDH($E$6,"PX LAST",AK430)</f>
        <v>165.51</v>
      </c>
      <c r="X430" s="24">
        <f t="shared" ca="1" si="110"/>
        <v>1.8609739748570275E-2</v>
      </c>
      <c r="Y430" s="24">
        <f t="shared" ca="1" si="111"/>
        <v>2.3699170501498612E-2</v>
      </c>
      <c r="Z430" s="24">
        <f t="shared" ca="1" si="112"/>
        <v>4.30129848756029E-2</v>
      </c>
      <c r="AA430" s="24">
        <f t="shared" ca="1" si="113"/>
        <v>7.2690063203732835E-2</v>
      </c>
      <c r="AB430" s="9" cm="1">
        <f t="array" aca="1" ref="AB430" ca="1">_xll.BDH($E$8,"PX LAST",AG430)</f>
        <v>5576.98</v>
      </c>
      <c r="AC430" s="9" cm="1">
        <f t="array" aca="1" ref="AC430" ca="1">_xll.BDH($E$8,"PX LAST",AH430)</f>
        <v>5475.09</v>
      </c>
      <c r="AD430" s="9" cm="1">
        <f t="array" aca="1" ref="AD430" ca="1">_xll.BDH($E$8,"PX LAST",AI430)</f>
        <v>5447.87</v>
      </c>
      <c r="AE430" s="9" cm="1">
        <f t="array" aca="1" ref="AE430" ca="1">_xll.BDH($E$8,"PX LAST",AJ430)</f>
        <v>5346.99</v>
      </c>
      <c r="AF430" s="9" cm="1">
        <f t="array" aca="1" ref="AF430" ca="1">_xll.BDH($E$8,"PX LAST",AK430)</f>
        <v>5199.0600000000004</v>
      </c>
      <c r="AG430" s="20">
        <f t="shared" ca="1" si="119"/>
        <v>45482</v>
      </c>
      <c r="AH430" s="22">
        <f t="shared" ca="1" si="114"/>
        <v>45474</v>
      </c>
      <c r="AI430" s="22">
        <f t="shared" ca="1" si="115"/>
        <v>45467</v>
      </c>
      <c r="AJ430" s="22">
        <f t="shared" ca="1" si="116"/>
        <v>45450</v>
      </c>
      <c r="AK430" s="22">
        <f t="shared" ca="1" si="117"/>
        <v>45393</v>
      </c>
      <c r="AL430" s="22">
        <f t="shared" ca="1" si="118"/>
        <v>45307</v>
      </c>
    </row>
    <row r="431" spans="4:38" x14ac:dyDescent="0.25">
      <c r="D431" s="6">
        <f ca="1"/>
        <v>45481</v>
      </c>
      <c r="E431" s="28">
        <f ca="1"/>
        <v>156.66</v>
      </c>
      <c r="F431" s="29" cm="1">
        <f t="array" aca="1" ref="F431" ca="1">_xll.FDS($E$7,"P_BETA_LOCIDX("&amp;$AG431&amp;","&amp;$AL431&amp;",,"""&amp;$E$9&amp;""")")</f>
        <v>2.4964373000000002</v>
      </c>
      <c r="G431" s="30">
        <f t="shared" ca="1" si="104"/>
        <v>-6.3107161585283164E-2</v>
      </c>
      <c r="H431" s="30">
        <f t="shared" ca="1" si="104"/>
        <v>-9.5246789541099344E-2</v>
      </c>
      <c r="I431" s="30">
        <f t="shared" ca="1" si="104"/>
        <v>-0.20933974965593513</v>
      </c>
      <c r="J431" s="30">
        <f t="shared" ca="1" si="102"/>
        <v>-0.26143330585162239</v>
      </c>
      <c r="K431" s="30">
        <f t="shared" ca="1" si="105"/>
        <v>5.1373626384677448E-2</v>
      </c>
      <c r="L431" s="30">
        <f t="shared" ca="1" si="105"/>
        <v>4.9443403014116663E-2</v>
      </c>
      <c r="M431" s="30">
        <f t="shared" ca="1" si="105"/>
        <v>0.10254916866500072</v>
      </c>
      <c r="N431" s="30">
        <f t="shared" ca="1" si="103"/>
        <v>0.19940480627073376</v>
      </c>
      <c r="O431" s="30">
        <f t="shared" ca="1" si="106"/>
        <v>-1.1733535200605716E-2</v>
      </c>
      <c r="P431" s="30">
        <f t="shared" ca="1" si="107"/>
        <v>-4.5803386526982681E-2</v>
      </c>
      <c r="Q431" s="30">
        <f t="shared" ca="1" si="108"/>
        <v>-0.10679058099093441</v>
      </c>
      <c r="R431" s="30">
        <f t="shared" ca="1" si="109"/>
        <v>-6.202849958088863E-2</v>
      </c>
      <c r="S431" s="9" cm="1">
        <f t="array" aca="1" ref="S431" ca="1">_xll.BDH($E$6,"PX LAST",AG431)</f>
        <v>156.66</v>
      </c>
      <c r="T431" s="9" cm="1">
        <f t="array" aca="1" ref="T431" ca="1">_xll.BDH($E$6,"PX LAST",AH431)</f>
        <v>158.52000000000001</v>
      </c>
      <c r="U431" s="9" cm="1">
        <f t="array" aca="1" ref="U431" ca="1">_xll.BDH($E$6,"PX LAST",AI431)</f>
        <v>164.18</v>
      </c>
      <c r="V431" s="9" cm="1">
        <f t="array" aca="1" ref="V431" ca="1">_xll.BDH($E$6,"PX LAST",AJ431)</f>
        <v>175.39</v>
      </c>
      <c r="W431" s="9" cm="1">
        <f t="array" aca="1" ref="W431" ca="1">_xll.BDH($E$6,"PX LAST",AK431)</f>
        <v>167.02</v>
      </c>
      <c r="X431" s="24">
        <f t="shared" ca="1" si="110"/>
        <v>2.0578776957337341E-2</v>
      </c>
      <c r="Y431" s="24">
        <f t="shared" ca="1" si="111"/>
        <v>1.9805585749786969E-2</v>
      </c>
      <c r="Z431" s="24">
        <f t="shared" ca="1" si="112"/>
        <v>4.1078207197513317E-2</v>
      </c>
      <c r="AA431" s="24">
        <f t="shared" ca="1" si="113"/>
        <v>7.987575184473239E-2</v>
      </c>
      <c r="AB431" s="9" cm="1">
        <f t="array" aca="1" ref="AB431" ca="1">_xll.BDH($E$8,"PX LAST",AG431)</f>
        <v>5572.85</v>
      </c>
      <c r="AC431" s="9" cm="1">
        <f t="array" aca="1" ref="AC431" ca="1">_xll.BDH($E$8,"PX LAST",AH431)</f>
        <v>5460.48</v>
      </c>
      <c r="AD431" s="9" cm="1">
        <f t="array" aca="1" ref="AD431" ca="1">_xll.BDH($E$8,"PX LAST",AI431)</f>
        <v>5464.62</v>
      </c>
      <c r="AE431" s="9" cm="1">
        <f t="array" aca="1" ref="AE431" ca="1">_xll.BDH($E$8,"PX LAST",AJ431)</f>
        <v>5352.96</v>
      </c>
      <c r="AF431" s="9" cm="1">
        <f t="array" aca="1" ref="AF431" ca="1">_xll.BDH($E$8,"PX LAST",AK431)</f>
        <v>5160.6400000000003</v>
      </c>
      <c r="AG431" s="20">
        <f t="shared" ca="1" si="119"/>
        <v>45481</v>
      </c>
      <c r="AH431" s="22">
        <f t="shared" ca="1" si="114"/>
        <v>45471</v>
      </c>
      <c r="AI431" s="22">
        <f t="shared" ca="1" si="115"/>
        <v>45464</v>
      </c>
      <c r="AJ431" s="22">
        <f t="shared" ca="1" si="116"/>
        <v>45449</v>
      </c>
      <c r="AK431" s="22">
        <f t="shared" ca="1" si="117"/>
        <v>45392</v>
      </c>
      <c r="AL431" s="22">
        <f t="shared" ca="1" si="118"/>
        <v>45303</v>
      </c>
    </row>
    <row r="432" spans="4:38" x14ac:dyDescent="0.25">
      <c r="D432" s="6">
        <f ca="1"/>
        <v>45478</v>
      </c>
      <c r="E432" s="28">
        <f ca="1"/>
        <v>154.46</v>
      </c>
      <c r="F432" s="29" cm="1">
        <f t="array" aca="1" ref="F432" ca="1">_xll.FDS($E$7,"P_BETA_LOCIDX("&amp;$AG432&amp;","&amp;$AL432&amp;",,"""&amp;$E$9&amp;""")")</f>
        <v>2.4952415999999999</v>
      </c>
      <c r="G432" s="30">
        <f t="shared" ca="1" si="104"/>
        <v>-6.2631577667152744E-2</v>
      </c>
      <c r="H432" s="30">
        <f t="shared" ca="1" si="104"/>
        <v>-0.10126451007047099</v>
      </c>
      <c r="I432" s="30">
        <f t="shared" ca="1" si="104"/>
        <v>-0.23149273524253439</v>
      </c>
      <c r="J432" s="30">
        <f t="shared" ca="1" si="102"/>
        <v>-0.27714697472832062</v>
      </c>
      <c r="K432" s="30">
        <f t="shared" ca="1" si="105"/>
        <v>3.8373839195895619E-2</v>
      </c>
      <c r="L432" s="30">
        <f t="shared" ca="1" si="105"/>
        <v>4.2864119921726902E-2</v>
      </c>
      <c r="M432" s="30">
        <f t="shared" ca="1" si="105"/>
        <v>9.9343055503237923E-2</v>
      </c>
      <c r="N432" s="30">
        <f t="shared" ca="1" si="103"/>
        <v>0.17111618412755672</v>
      </c>
      <c r="O432" s="30">
        <f t="shared" ca="1" si="106"/>
        <v>-2.4257738471257118E-2</v>
      </c>
      <c r="P432" s="30">
        <f t="shared" ca="1" si="107"/>
        <v>-5.8400390148744097E-2</v>
      </c>
      <c r="Q432" s="30">
        <f t="shared" ca="1" si="108"/>
        <v>-0.13214967973929648</v>
      </c>
      <c r="R432" s="30">
        <f t="shared" ca="1" si="109"/>
        <v>-0.10603079060076392</v>
      </c>
      <c r="S432" s="9" cm="1">
        <f t="array" aca="1" ref="S432" ca="1">_xll.BDH($E$6,"PX LAST",AG432)</f>
        <v>154.46</v>
      </c>
      <c r="T432" s="9" cm="1">
        <f t="array" aca="1" ref="T432" ca="1">_xll.BDH($E$6,"PX LAST",AH432)</f>
        <v>158.30000000000001</v>
      </c>
      <c r="U432" s="9" cm="1">
        <f t="array" aca="1" ref="U432" ca="1">_xll.BDH($E$6,"PX LAST",AI432)</f>
        <v>164.04</v>
      </c>
      <c r="V432" s="9" cm="1">
        <f t="array" aca="1" ref="V432" ca="1">_xll.BDH($E$6,"PX LAST",AJ432)</f>
        <v>177.98</v>
      </c>
      <c r="W432" s="9" cm="1">
        <f t="array" aca="1" ref="W432" ca="1">_xll.BDH($E$6,"PX LAST",AK432)</f>
        <v>172.78</v>
      </c>
      <c r="X432" s="24">
        <f t="shared" ca="1" si="110"/>
        <v>1.5378807084610813E-2</v>
      </c>
      <c r="Y432" s="24">
        <f t="shared" ca="1" si="111"/>
        <v>1.7178344542559287E-2</v>
      </c>
      <c r="Z432" s="24">
        <f t="shared" ca="1" si="112"/>
        <v>3.9813000674258525E-2</v>
      </c>
      <c r="AA432" s="24">
        <f t="shared" ca="1" si="113"/>
        <v>6.8577000370447783E-2</v>
      </c>
      <c r="AB432" s="9" cm="1">
        <f t="array" aca="1" ref="AB432" ca="1">_xll.BDH($E$8,"PX LAST",AG432)</f>
        <v>5567.19</v>
      </c>
      <c r="AC432" s="9" cm="1">
        <f t="array" aca="1" ref="AC432" ca="1">_xll.BDH($E$8,"PX LAST",AH432)</f>
        <v>5482.87</v>
      </c>
      <c r="AD432" s="9" cm="1">
        <f t="array" aca="1" ref="AD432" ca="1">_xll.BDH($E$8,"PX LAST",AI432)</f>
        <v>5473.17</v>
      </c>
      <c r="AE432" s="9" cm="1">
        <f t="array" aca="1" ref="AE432" ca="1">_xll.BDH($E$8,"PX LAST",AJ432)</f>
        <v>5354.03</v>
      </c>
      <c r="AF432" s="9" cm="1">
        <f t="array" aca="1" ref="AF432" ca="1">_xll.BDH($E$8,"PX LAST",AK432)</f>
        <v>5209.91</v>
      </c>
      <c r="AG432" s="20">
        <f t="shared" ca="1" si="119"/>
        <v>45478</v>
      </c>
      <c r="AH432" s="22">
        <f t="shared" ca="1" si="114"/>
        <v>45470</v>
      </c>
      <c r="AI432" s="22">
        <f t="shared" ca="1" si="115"/>
        <v>45463</v>
      </c>
      <c r="AJ432" s="22">
        <f t="shared" ca="1" si="116"/>
        <v>45448</v>
      </c>
      <c r="AK432" s="22">
        <f t="shared" ca="1" si="117"/>
        <v>45391</v>
      </c>
      <c r="AL432" s="22">
        <f t="shared" ca="1" si="118"/>
        <v>45302</v>
      </c>
    </row>
    <row r="433" spans="4:38" x14ac:dyDescent="0.25">
      <c r="D433" s="6">
        <f ca="1"/>
        <v>45476</v>
      </c>
      <c r="E433" s="28">
        <f ca="1"/>
        <v>159.24</v>
      </c>
      <c r="F433" s="29" cm="1">
        <f t="array" aca="1" ref="F433" ca="1">_xll.FDS($E$7,"P_BETA_LOCIDX("&amp;$AG433&amp;","&amp;$AL433&amp;",,"""&amp;$E$9&amp;""")")</f>
        <v>2.5163848</v>
      </c>
      <c r="G433" s="30">
        <f t="shared" ca="1" si="104"/>
        <v>-1.6751883286883634E-2</v>
      </c>
      <c r="H433" s="30">
        <f t="shared" ca="1" si="104"/>
        <v>-5.0289505049240638E-2</v>
      </c>
      <c r="I433" s="30">
        <f t="shared" ca="1" si="104"/>
        <v>-0.19424161606090923</v>
      </c>
      <c r="J433" s="30">
        <f t="shared" ca="1" si="102"/>
        <v>-0.23894338264694109</v>
      </c>
      <c r="K433" s="30">
        <f t="shared" ca="1" si="105"/>
        <v>2.7157974657442002E-2</v>
      </c>
      <c r="L433" s="30">
        <f t="shared" ca="1" si="105"/>
        <v>2.2925713209514378E-2</v>
      </c>
      <c r="M433" s="30">
        <f t="shared" ca="1" si="105"/>
        <v>0.1168372128164134</v>
      </c>
      <c r="N433" s="30">
        <f t="shared" ca="1" si="103"/>
        <v>0.16185980782371184</v>
      </c>
      <c r="O433" s="30">
        <f t="shared" ca="1" si="106"/>
        <v>1.0406091370558368E-2</v>
      </c>
      <c r="P433" s="30">
        <f t="shared" ca="1" si="107"/>
        <v>-2.7363791839726259E-2</v>
      </c>
      <c r="Q433" s="30">
        <f t="shared" ca="1" si="108"/>
        <v>-7.7404403244495823E-2</v>
      </c>
      <c r="R433" s="30">
        <f t="shared" ca="1" si="109"/>
        <v>-7.7083574823229251E-2</v>
      </c>
      <c r="S433" s="9" cm="1">
        <f t="array" aca="1" ref="S433" ca="1">_xll.BDH($E$6,"PX LAST",AG433)</f>
        <v>159.24</v>
      </c>
      <c r="T433" s="9" cm="1">
        <f t="array" aca="1" ref="T433" ca="1">_xll.BDH($E$6,"PX LAST",AH433)</f>
        <v>157.6</v>
      </c>
      <c r="U433" s="9" cm="1">
        <f t="array" aca="1" ref="U433" ca="1">_xll.BDH($E$6,"PX LAST",AI433)</f>
        <v>163.72</v>
      </c>
      <c r="V433" s="9" cm="1">
        <f t="array" aca="1" ref="V433" ca="1">_xll.BDH($E$6,"PX LAST",AJ433)</f>
        <v>172.6</v>
      </c>
      <c r="W433" s="9" cm="1">
        <f t="array" aca="1" ref="W433" ca="1">_xll.BDH($E$6,"PX LAST",AK433)</f>
        <v>172.54</v>
      </c>
      <c r="X433" s="24">
        <f t="shared" ca="1" si="110"/>
        <v>1.0792456963435004E-2</v>
      </c>
      <c r="Y433" s="24">
        <f t="shared" ca="1" si="111"/>
        <v>9.1105753021216707E-3</v>
      </c>
      <c r="Z433" s="24">
        <f t="shared" ca="1" si="112"/>
        <v>4.6430582801332054E-2</v>
      </c>
      <c r="AA433" s="24">
        <f t="shared" ca="1" si="113"/>
        <v>6.4322359530907924E-2</v>
      </c>
      <c r="AB433" s="9" cm="1">
        <f t="array" aca="1" ref="AB433" ca="1">_xll.BDH($E$8,"PX LAST",AG433)</f>
        <v>5537.02</v>
      </c>
      <c r="AC433" s="9" cm="1">
        <f t="array" aca="1" ref="AC433" ca="1">_xll.BDH($E$8,"PX LAST",AH433)</f>
        <v>5477.9</v>
      </c>
      <c r="AD433" s="9" cm="1">
        <f t="array" aca="1" ref="AD433" ca="1">_xll.BDH($E$8,"PX LAST",AI433)</f>
        <v>5487.03</v>
      </c>
      <c r="AE433" s="9" cm="1">
        <f t="array" aca="1" ref="AE433" ca="1">_xll.BDH($E$8,"PX LAST",AJ433)</f>
        <v>5291.34</v>
      </c>
      <c r="AF433" s="9" cm="1">
        <f t="array" aca="1" ref="AF433" ca="1">_xll.BDH($E$8,"PX LAST",AK433)</f>
        <v>5202.3900000000003</v>
      </c>
      <c r="AG433" s="20">
        <f t="shared" ca="1" si="119"/>
        <v>45476</v>
      </c>
      <c r="AH433" s="22">
        <f t="shared" ca="1" si="114"/>
        <v>45469</v>
      </c>
      <c r="AI433" s="22">
        <f t="shared" ca="1" si="115"/>
        <v>45461</v>
      </c>
      <c r="AJ433" s="22">
        <f t="shared" ca="1" si="116"/>
        <v>45447</v>
      </c>
      <c r="AK433" s="22">
        <f t="shared" ca="1" si="117"/>
        <v>45390</v>
      </c>
      <c r="AL433" s="22">
        <f t="shared" ca="1" si="118"/>
        <v>45301</v>
      </c>
    </row>
    <row r="434" spans="4:38" x14ac:dyDescent="0.25">
      <c r="D434" s="6">
        <f ca="1"/>
        <v>45475</v>
      </c>
      <c r="E434" s="28">
        <f ca="1"/>
        <v>157.38999999999999</v>
      </c>
      <c r="F434" s="29" cm="1">
        <f t="array" aca="1" ref="F434" ca="1">_xll.FDS($E$7,"P_BETA_LOCIDX("&amp;$AG434&amp;","&amp;$AL434&amp;",,"""&amp;$E$9&amp;""")")</f>
        <v>2.5108777999999998</v>
      </c>
      <c r="G434" s="30">
        <f t="shared" ca="1" si="104"/>
        <v>-3.6322503786417874E-2</v>
      </c>
      <c r="H434" s="30">
        <f t="shared" ca="1" si="104"/>
        <v>-6.4784812412977677E-2</v>
      </c>
      <c r="I434" s="30">
        <f t="shared" ca="1" si="104"/>
        <v>-0.21886285722061299</v>
      </c>
      <c r="J434" s="30">
        <f t="shared" ca="1" si="102"/>
        <v>-0.23081388799549582</v>
      </c>
      <c r="K434" s="30">
        <f t="shared" ca="1" si="105"/>
        <v>1.8230295913188026E-2</v>
      </c>
      <c r="L434" s="30">
        <f t="shared" ca="1" si="105"/>
        <v>1.6414294243801753E-2</v>
      </c>
      <c r="M434" s="30">
        <f t="shared" ca="1" si="105"/>
        <v>0.10721867366809285</v>
      </c>
      <c r="N434" s="30">
        <f t="shared" ca="1" si="103"/>
        <v>0.14699061539522804</v>
      </c>
      <c r="O434" s="30">
        <f t="shared" ca="1" si="106"/>
        <v>-1.8092207873229849E-2</v>
      </c>
      <c r="P434" s="30">
        <f t="shared" ca="1" si="107"/>
        <v>-4.8370518169175925E-2</v>
      </c>
      <c r="Q434" s="30">
        <f t="shared" ca="1" si="108"/>
        <v>-0.11164418355252015</v>
      </c>
      <c r="R434" s="30">
        <f t="shared" ca="1" si="109"/>
        <v>-8.3823272600267784E-2</v>
      </c>
      <c r="S434" s="9" cm="1">
        <f t="array" aca="1" ref="S434" ca="1">_xll.BDH($E$6,"PX LAST",AG434)</f>
        <v>157.38999999999999</v>
      </c>
      <c r="T434" s="9" cm="1">
        <f t="array" aca="1" ref="T434" ca="1">_xll.BDH($E$6,"PX LAST",AH434)</f>
        <v>160.29</v>
      </c>
      <c r="U434" s="9" cm="1">
        <f t="array" aca="1" ref="U434" ca="1">_xll.BDH($E$6,"PX LAST",AI434)</f>
        <v>165.39</v>
      </c>
      <c r="V434" s="9" cm="1">
        <f t="array" aca="1" ref="V434" ca="1">_xll.BDH($E$6,"PX LAST",AJ434)</f>
        <v>177.17</v>
      </c>
      <c r="W434" s="9" cm="1">
        <f t="array" aca="1" ref="W434" ca="1">_xll.BDH($E$6,"PX LAST",AK434)</f>
        <v>171.79</v>
      </c>
      <c r="X434" s="24">
        <f t="shared" ca="1" si="110"/>
        <v>7.2605269412904239E-3</v>
      </c>
      <c r="Y434" s="24">
        <f t="shared" ca="1" si="111"/>
        <v>6.5372732371928866E-3</v>
      </c>
      <c r="Z434" s="24">
        <f t="shared" ca="1" si="112"/>
        <v>4.270166937956632E-2</v>
      </c>
      <c r="AA434" s="24">
        <f t="shared" ca="1" si="113"/>
        <v>5.85415249580159E-2</v>
      </c>
      <c r="AB434" s="9" cm="1">
        <f t="array" aca="1" ref="AB434" ca="1">_xll.BDH($E$8,"PX LAST",AG434)</f>
        <v>5509.01</v>
      </c>
      <c r="AC434" s="9" cm="1">
        <f t="array" aca="1" ref="AC434" ca="1">_xll.BDH($E$8,"PX LAST",AH434)</f>
        <v>5469.3</v>
      </c>
      <c r="AD434" s="9" cm="1">
        <f t="array" aca="1" ref="AD434" ca="1">_xll.BDH($E$8,"PX LAST",AI434)</f>
        <v>5473.23</v>
      </c>
      <c r="AE434" s="9" cm="1">
        <f t="array" aca="1" ref="AE434" ca="1">_xll.BDH($E$8,"PX LAST",AJ434)</f>
        <v>5283.4</v>
      </c>
      <c r="AF434" s="9" cm="1">
        <f t="array" aca="1" ref="AF434" ca="1">_xll.BDH($E$8,"PX LAST",AK434)</f>
        <v>5204.34</v>
      </c>
      <c r="AG434" s="20">
        <f t="shared" ca="1" si="119"/>
        <v>45475</v>
      </c>
      <c r="AH434" s="22">
        <f t="shared" ca="1" si="114"/>
        <v>45468</v>
      </c>
      <c r="AI434" s="22">
        <f t="shared" ca="1" si="115"/>
        <v>45460</v>
      </c>
      <c r="AJ434" s="22">
        <f t="shared" ca="1" si="116"/>
        <v>45446</v>
      </c>
      <c r="AK434" s="22">
        <f t="shared" ca="1" si="117"/>
        <v>45387</v>
      </c>
      <c r="AL434" s="22">
        <f t="shared" ca="1" si="118"/>
        <v>45300</v>
      </c>
    </row>
    <row r="435" spans="4:38" x14ac:dyDescent="0.25">
      <c r="D435" s="6">
        <f ca="1"/>
        <v>45474</v>
      </c>
      <c r="E435" s="28">
        <f ca="1"/>
        <v>155.15</v>
      </c>
      <c r="F435" s="29" cm="1">
        <f t="array" aca="1" ref="F435" ca="1">_xll.FDS($E$7,"P_BETA_LOCIDX("&amp;$AG435&amp;","&amp;$AL435&amp;",,"""&amp;$E$9&amp;""")")</f>
        <v>2.4878179999999999</v>
      </c>
      <c r="G435" s="30">
        <f t="shared" ca="1" si="104"/>
        <v>-6.5758705661922032E-2</v>
      </c>
      <c r="H435" s="30">
        <f t="shared" ca="1" si="104"/>
        <v>-8.8591171525355422E-2</v>
      </c>
      <c r="I435" s="30">
        <f t="shared" ca="1" si="104"/>
        <v>-0.22874564445846574</v>
      </c>
      <c r="J435" s="30">
        <f t="shared" ca="1" si="102"/>
        <v>-0.2469007046202214</v>
      </c>
      <c r="K435" s="30">
        <f t="shared" ca="1" si="105"/>
        <v>1.2430253651427288E-2</v>
      </c>
      <c r="L435" s="30">
        <f t="shared" ca="1" si="105"/>
        <v>1.9919582594447226E-2</v>
      </c>
      <c r="M435" s="30">
        <f t="shared" ca="1" si="105"/>
        <v>9.3139203988244532E-2</v>
      </c>
      <c r="N435" s="30">
        <f t="shared" ca="1" si="103"/>
        <v>0.15847532271657871</v>
      </c>
      <c r="O435" s="30">
        <f t="shared" ca="1" si="106"/>
        <v>-5.3328452010494742E-2</v>
      </c>
      <c r="P435" s="30">
        <f t="shared" ca="1" si="107"/>
        <v>-6.8671588930908189E-2</v>
      </c>
      <c r="Q435" s="30">
        <f t="shared" ca="1" si="108"/>
        <v>-0.13560644047022119</v>
      </c>
      <c r="R435" s="30">
        <f t="shared" ca="1" si="109"/>
        <v>-8.8425381903642686E-2</v>
      </c>
      <c r="S435" s="9" cm="1">
        <f t="array" aca="1" ref="S435" ca="1">_xll.BDH($E$6,"PX LAST",AG435)</f>
        <v>155.15</v>
      </c>
      <c r="T435" s="9" cm="1">
        <f t="array" aca="1" ref="T435" ca="1">_xll.BDH($E$6,"PX LAST",AH435)</f>
        <v>163.89</v>
      </c>
      <c r="U435" s="9" cm="1">
        <f t="array" aca="1" ref="U435" ca="1">_xll.BDH($E$6,"PX LAST",AI435)</f>
        <v>166.59</v>
      </c>
      <c r="V435" s="9" cm="1">
        <f t="array" aca="1" ref="V435" ca="1">_xll.BDH($E$6,"PX LAST",AJ435)</f>
        <v>179.49</v>
      </c>
      <c r="W435" s="9" cm="1">
        <f t="array" aca="1" ref="W435" ca="1">_xll.BDH($E$6,"PX LAST",AK435)</f>
        <v>170.2</v>
      </c>
      <c r="X435" s="24">
        <f t="shared" ca="1" si="110"/>
        <v>4.9964481531314942E-3</v>
      </c>
      <c r="Y435" s="24">
        <f t="shared" ca="1" si="111"/>
        <v>8.0068488106634916E-3</v>
      </c>
      <c r="Z435" s="24">
        <f t="shared" ca="1" si="112"/>
        <v>3.7438110017792514E-2</v>
      </c>
      <c r="AA435" s="24">
        <f t="shared" ca="1" si="113"/>
        <v>6.3700529024461883E-2</v>
      </c>
      <c r="AB435" s="9" cm="1">
        <f t="array" aca="1" ref="AB435" ca="1">_xll.BDH($E$8,"PX LAST",AG435)</f>
        <v>5475.09</v>
      </c>
      <c r="AC435" s="9" cm="1">
        <f t="array" aca="1" ref="AC435" ca="1">_xll.BDH($E$8,"PX LAST",AH435)</f>
        <v>5447.87</v>
      </c>
      <c r="AD435" s="9" cm="1">
        <f t="array" aca="1" ref="AD435" ca="1">_xll.BDH($E$8,"PX LAST",AI435)</f>
        <v>5431.6</v>
      </c>
      <c r="AE435" s="9" cm="1">
        <f t="array" aca="1" ref="AE435" ca="1">_xll.BDH($E$8,"PX LAST",AJ435)</f>
        <v>5277.51</v>
      </c>
      <c r="AF435" s="9" cm="1">
        <f t="array" aca="1" ref="AF435" ca="1">_xll.BDH($E$8,"PX LAST",AK435)</f>
        <v>5147.21</v>
      </c>
      <c r="AG435" s="20">
        <f t="shared" ca="1" si="119"/>
        <v>45474</v>
      </c>
      <c r="AH435" s="22">
        <f t="shared" ca="1" si="114"/>
        <v>45467</v>
      </c>
      <c r="AI435" s="22">
        <f t="shared" ca="1" si="115"/>
        <v>45457</v>
      </c>
      <c r="AJ435" s="22">
        <f t="shared" ca="1" si="116"/>
        <v>45443</v>
      </c>
      <c r="AK435" s="22">
        <f t="shared" ca="1" si="117"/>
        <v>45386</v>
      </c>
      <c r="AL435" s="22">
        <f t="shared" ca="1" si="118"/>
        <v>45299</v>
      </c>
    </row>
    <row r="436" spans="4:38" x14ac:dyDescent="0.25">
      <c r="D436" s="6">
        <f ca="1"/>
        <v>45471</v>
      </c>
      <c r="E436" s="28">
        <f ca="1"/>
        <v>158.52000000000001</v>
      </c>
      <c r="F436" s="29" cm="1">
        <f t="array" aca="1" ref="F436" ca="1">_xll.FDS($E$7,"P_BETA_LOCIDX("&amp;$AG436&amp;","&amp;$AL436&amp;",,"""&amp;$E$9&amp;""")")</f>
        <v>2.494084</v>
      </c>
      <c r="G436" s="30">
        <f t="shared" ca="1" si="104"/>
        <v>-3.2584837599690268E-2</v>
      </c>
      <c r="H436" s="30">
        <f t="shared" ca="1" si="104"/>
        <v>-0.10452583725516465</v>
      </c>
      <c r="I436" s="30">
        <f t="shared" ca="1" si="104"/>
        <v>-0.220905987583283</v>
      </c>
      <c r="J436" s="30">
        <f t="shared" ca="1" si="102"/>
        <v>-0.2092238748463508</v>
      </c>
      <c r="K436" s="30">
        <f t="shared" ca="1" si="105"/>
        <v>-1.8895198129055873E-3</v>
      </c>
      <c r="L436" s="30">
        <f t="shared" ca="1" si="105"/>
        <v>1.2273646909863245E-2</v>
      </c>
      <c r="M436" s="30">
        <f t="shared" ca="1" si="105"/>
        <v>0.10718575947191096</v>
      </c>
      <c r="N436" s="30">
        <f t="shared" ca="1" si="103"/>
        <v>0.11916015864177017</v>
      </c>
      <c r="O436" s="30">
        <f t="shared" ca="1" si="106"/>
        <v>-3.4474357412595857E-2</v>
      </c>
      <c r="P436" s="30">
        <f t="shared" ca="1" si="107"/>
        <v>-9.225219034530141E-2</v>
      </c>
      <c r="Q436" s="30">
        <f t="shared" ca="1" si="108"/>
        <v>-0.11372022811137206</v>
      </c>
      <c r="R436" s="30">
        <f t="shared" ca="1" si="109"/>
        <v>-9.0063716204580646E-2</v>
      </c>
      <c r="S436" s="9" cm="1">
        <f t="array" aca="1" ref="S436" ca="1">_xll.BDH($E$6,"PX LAST",AG436)</f>
        <v>158.52000000000001</v>
      </c>
      <c r="T436" s="9" cm="1">
        <f t="array" aca="1" ref="T436" ca="1">_xll.BDH($E$6,"PX LAST",AH436)</f>
        <v>164.18</v>
      </c>
      <c r="U436" s="9" cm="1">
        <f t="array" aca="1" ref="U436" ca="1">_xll.BDH($E$6,"PX LAST",AI436)</f>
        <v>174.63</v>
      </c>
      <c r="V436" s="9" cm="1">
        <f t="array" aca="1" ref="V436" ca="1">_xll.BDH($E$6,"PX LAST",AJ436)</f>
        <v>178.86</v>
      </c>
      <c r="W436" s="9" cm="1">
        <f t="array" aca="1" ref="W436" ca="1">_xll.BDH($E$6,"PX LAST",AK436)</f>
        <v>174.21</v>
      </c>
      <c r="X436" s="24">
        <f t="shared" ca="1" si="110"/>
        <v>-7.5760071148589514E-4</v>
      </c>
      <c r="Y436" s="24">
        <f t="shared" ca="1" si="111"/>
        <v>4.9211040646037763E-3</v>
      </c>
      <c r="Z436" s="24">
        <f t="shared" ca="1" si="112"/>
        <v>4.2976002200371344E-2</v>
      </c>
      <c r="AA436" s="24">
        <f t="shared" ca="1" si="113"/>
        <v>4.7777123241145913E-2</v>
      </c>
      <c r="AB436" s="9" cm="1">
        <f t="array" aca="1" ref="AB436" ca="1">_xll.BDH($E$8,"PX LAST",AG436)</f>
        <v>5460.48</v>
      </c>
      <c r="AC436" s="9" cm="1">
        <f t="array" aca="1" ref="AC436" ca="1">_xll.BDH($E$8,"PX LAST",AH436)</f>
        <v>5464.62</v>
      </c>
      <c r="AD436" s="9" cm="1">
        <f t="array" aca="1" ref="AD436" ca="1">_xll.BDH($E$8,"PX LAST",AI436)</f>
        <v>5433.74</v>
      </c>
      <c r="AE436" s="9" cm="1">
        <f t="array" aca="1" ref="AE436" ca="1">_xll.BDH($E$8,"PX LAST",AJ436)</f>
        <v>5235.4799999999996</v>
      </c>
      <c r="AF436" s="9" cm="1">
        <f t="array" aca="1" ref="AF436" ca="1">_xll.BDH($E$8,"PX LAST",AK436)</f>
        <v>5211.49</v>
      </c>
      <c r="AG436" s="20">
        <f t="shared" ca="1" si="119"/>
        <v>45471</v>
      </c>
      <c r="AH436" s="22">
        <f t="shared" ca="1" si="114"/>
        <v>45464</v>
      </c>
      <c r="AI436" s="22">
        <f t="shared" ca="1" si="115"/>
        <v>45456</v>
      </c>
      <c r="AJ436" s="22">
        <f t="shared" ca="1" si="116"/>
        <v>45442</v>
      </c>
      <c r="AK436" s="22">
        <f t="shared" ca="1" si="117"/>
        <v>45385</v>
      </c>
      <c r="AL436" s="22">
        <f t="shared" ca="1" si="118"/>
        <v>45296</v>
      </c>
    </row>
    <row r="437" spans="4:38" x14ac:dyDescent="0.25">
      <c r="D437" s="6">
        <f ca="1"/>
        <v>45470</v>
      </c>
      <c r="E437" s="28">
        <f ca="1"/>
        <v>158.30000000000001</v>
      </c>
      <c r="F437" s="29" cm="1">
        <f t="array" aca="1" ref="F437" ca="1">_xll.FDS($E$7,"P_BETA_LOCIDX("&amp;$AG437&amp;","&amp;$AL437&amp;",,"""&amp;$E$9&amp;""")")</f>
        <v>2.498046</v>
      </c>
      <c r="G437" s="30">
        <f t="shared" ca="1" si="104"/>
        <v>-3.9418707149595063E-2</v>
      </c>
      <c r="H437" s="30">
        <f t="shared" ca="1" si="104"/>
        <v>-0.13932029397297244</v>
      </c>
      <c r="I437" s="30">
        <f t="shared" ca="1" si="104"/>
        <v>-0.20729920323162315</v>
      </c>
      <c r="J437" s="30">
        <f t="shared" ca="1" si="102"/>
        <v>-0.20959415755554375</v>
      </c>
      <c r="K437" s="30">
        <f t="shared" ca="1" si="105"/>
        <v>4.4272416533747191E-3</v>
      </c>
      <c r="L437" s="30">
        <f t="shared" ca="1" si="105"/>
        <v>2.849627554911131E-2</v>
      </c>
      <c r="M437" s="30">
        <f t="shared" ca="1" si="105"/>
        <v>0.10240805253894587</v>
      </c>
      <c r="N437" s="30">
        <f t="shared" ca="1" si="103"/>
        <v>0.13294926721489983</v>
      </c>
      <c r="O437" s="30">
        <f t="shared" ca="1" si="106"/>
        <v>-3.4991465496220342E-2</v>
      </c>
      <c r="P437" s="30">
        <f t="shared" ca="1" si="107"/>
        <v>-0.11082401842386114</v>
      </c>
      <c r="Q437" s="30">
        <f t="shared" ca="1" si="108"/>
        <v>-0.10489115069267729</v>
      </c>
      <c r="R437" s="30">
        <f t="shared" ca="1" si="109"/>
        <v>-7.6644890340643923E-2</v>
      </c>
      <c r="S437" s="9" cm="1">
        <f t="array" aca="1" ref="S437" ca="1">_xll.BDH($E$6,"PX LAST",AG437)</f>
        <v>158.30000000000001</v>
      </c>
      <c r="T437" s="9" cm="1">
        <f t="array" aca="1" ref="T437" ca="1">_xll.BDH($E$6,"PX LAST",AH437)</f>
        <v>164.04</v>
      </c>
      <c r="U437" s="9" cm="1">
        <f t="array" aca="1" ref="U437" ca="1">_xll.BDH($E$6,"PX LAST",AI437)</f>
        <v>178.03</v>
      </c>
      <c r="V437" s="9" cm="1">
        <f t="array" aca="1" ref="V437" ca="1">_xll.BDH($E$6,"PX LAST",AJ437)</f>
        <v>176.85</v>
      </c>
      <c r="W437" s="9" cm="1">
        <f t="array" aca="1" ref="W437" ca="1">_xll.BDH($E$6,"PX LAST",AK437)</f>
        <v>171.44</v>
      </c>
      <c r="X437" s="24">
        <f t="shared" ca="1" si="110"/>
        <v>1.7722818768648452E-3</v>
      </c>
      <c r="Y437" s="24">
        <f t="shared" ca="1" si="111"/>
        <v>1.1407426264012477E-2</v>
      </c>
      <c r="Z437" s="24">
        <f t="shared" ca="1" si="112"/>
        <v>4.0995262913071207E-2</v>
      </c>
      <c r="AA437" s="24">
        <f t="shared" ca="1" si="113"/>
        <v>5.3221304657680379E-2</v>
      </c>
      <c r="AB437" s="9" cm="1">
        <f t="array" aca="1" ref="AB437" ca="1">_xll.BDH($E$8,"PX LAST",AG437)</f>
        <v>5482.87</v>
      </c>
      <c r="AC437" s="9" cm="1">
        <f t="array" aca="1" ref="AC437" ca="1">_xll.BDH($E$8,"PX LAST",AH437)</f>
        <v>5473.17</v>
      </c>
      <c r="AD437" s="9" cm="1">
        <f t="array" aca="1" ref="AD437" ca="1">_xll.BDH($E$8,"PX LAST",AI437)</f>
        <v>5421.03</v>
      </c>
      <c r="AE437" s="9" cm="1">
        <f t="array" aca="1" ref="AE437" ca="1">_xll.BDH($E$8,"PX LAST",AJ437)</f>
        <v>5266.95</v>
      </c>
      <c r="AF437" s="9" cm="1">
        <f t="array" aca="1" ref="AF437" ca="1">_xll.BDH($E$8,"PX LAST",AK437)</f>
        <v>5205.8100000000004</v>
      </c>
      <c r="AG437" s="20">
        <f t="shared" ca="1" si="119"/>
        <v>45470</v>
      </c>
      <c r="AH437" s="22">
        <f t="shared" ca="1" si="114"/>
        <v>45463</v>
      </c>
      <c r="AI437" s="22">
        <f t="shared" ca="1" si="115"/>
        <v>45455</v>
      </c>
      <c r="AJ437" s="22">
        <f t="shared" ca="1" si="116"/>
        <v>45441</v>
      </c>
      <c r="AK437" s="22">
        <f t="shared" ca="1" si="117"/>
        <v>45384</v>
      </c>
      <c r="AL437" s="22">
        <f t="shared" ca="1" si="118"/>
        <v>45295</v>
      </c>
    </row>
    <row r="438" spans="4:38" x14ac:dyDescent="0.25">
      <c r="D438" s="6">
        <f ca="1"/>
        <v>45469</v>
      </c>
      <c r="E438" s="28">
        <f ca="1"/>
        <v>157.6</v>
      </c>
      <c r="F438" s="29" cm="1">
        <f t="array" aca="1" ref="F438" ca="1">_xll.FDS($E$7,"P_BETA_LOCIDX("&amp;$AG438&amp;","&amp;$AL438&amp;",,"""&amp;$E$9&amp;""")")</f>
        <v>2.5071845000000001</v>
      </c>
      <c r="G438" s="30">
        <f t="shared" ca="1" si="104"/>
        <v>-3.3209130161498089E-2</v>
      </c>
      <c r="H438" s="30">
        <f t="shared" ca="1" si="104"/>
        <v>-0.14784018238744068</v>
      </c>
      <c r="I438" s="30">
        <f t="shared" ca="1" si="104"/>
        <v>-0.23170236400060551</v>
      </c>
      <c r="J438" s="30">
        <f t="shared" ca="1" si="102"/>
        <v>-0.21439829909492858</v>
      </c>
      <c r="K438" s="30">
        <f t="shared" ca="1" si="105"/>
        <v>-4.171764048128114E-3</v>
      </c>
      <c r="L438" s="30">
        <f t="shared" ca="1" si="105"/>
        <v>4.7845893083574446E-2</v>
      </c>
      <c r="M438" s="30">
        <f t="shared" ca="1" si="105"/>
        <v>8.1206460593964622E-2</v>
      </c>
      <c r="N438" s="30">
        <f t="shared" ca="1" si="103"/>
        <v>0.11194371739893216</v>
      </c>
      <c r="O438" s="30">
        <f t="shared" ca="1" si="106"/>
        <v>-3.7380894209626203E-2</v>
      </c>
      <c r="P438" s="30">
        <f t="shared" ca="1" si="107"/>
        <v>-9.9994289303866224E-2</v>
      </c>
      <c r="Q438" s="30">
        <f t="shared" ca="1" si="108"/>
        <v>-0.15049590340664087</v>
      </c>
      <c r="R438" s="30">
        <f t="shared" ca="1" si="109"/>
        <v>-0.10245458169599642</v>
      </c>
      <c r="S438" s="9" cm="1">
        <f t="array" aca="1" ref="S438" ca="1">_xll.BDH($E$6,"PX LAST",AG438)</f>
        <v>157.6</v>
      </c>
      <c r="T438" s="9" cm="1">
        <f t="array" aca="1" ref="T438" ca="1">_xll.BDH($E$6,"PX LAST",AH438)</f>
        <v>163.72</v>
      </c>
      <c r="U438" s="9" cm="1">
        <f t="array" aca="1" ref="U438" ca="1">_xll.BDH($E$6,"PX LAST",AI438)</f>
        <v>175.11</v>
      </c>
      <c r="V438" s="9" cm="1">
        <f t="array" aca="1" ref="V438" ca="1">_xll.BDH($E$6,"PX LAST",AJ438)</f>
        <v>185.52</v>
      </c>
      <c r="W438" s="9" cm="1">
        <f t="array" aca="1" ref="W438" ca="1">_xll.BDH($E$6,"PX LAST",AK438)</f>
        <v>175.59</v>
      </c>
      <c r="X438" s="24">
        <f t="shared" ca="1" si="110"/>
        <v>-1.663923834934411E-3</v>
      </c>
      <c r="Y438" s="24">
        <f t="shared" ca="1" si="111"/>
        <v>1.9083515027942477E-2</v>
      </c>
      <c r="Z438" s="24">
        <f t="shared" ca="1" si="112"/>
        <v>3.2389503283051013E-2</v>
      </c>
      <c r="AA438" s="24">
        <f t="shared" ca="1" si="113"/>
        <v>4.4649174162863625E-2</v>
      </c>
      <c r="AB438" s="9" cm="1">
        <f t="array" aca="1" ref="AB438" ca="1">_xll.BDH($E$8,"PX LAST",AG438)</f>
        <v>5477.9</v>
      </c>
      <c r="AC438" s="9" cm="1">
        <f t="array" aca="1" ref="AC438" ca="1">_xll.BDH($E$8,"PX LAST",AH438)</f>
        <v>5487.03</v>
      </c>
      <c r="AD438" s="9" cm="1">
        <f t="array" aca="1" ref="AD438" ca="1">_xll.BDH($E$8,"PX LAST",AI438)</f>
        <v>5375.32</v>
      </c>
      <c r="AE438" s="9" cm="1">
        <f t="array" aca="1" ref="AE438" ca="1">_xll.BDH($E$8,"PX LAST",AJ438)</f>
        <v>5306.04</v>
      </c>
      <c r="AF438" s="9" cm="1">
        <f t="array" aca="1" ref="AF438" ca="1">_xll.BDH($E$8,"PX LAST",AK438)</f>
        <v>5243.77</v>
      </c>
      <c r="AG438" s="20">
        <f t="shared" ca="1" si="119"/>
        <v>45469</v>
      </c>
      <c r="AH438" s="22">
        <f t="shared" ca="1" si="114"/>
        <v>45461</v>
      </c>
      <c r="AI438" s="22">
        <f t="shared" ca="1" si="115"/>
        <v>45454</v>
      </c>
      <c r="AJ438" s="22">
        <f t="shared" ca="1" si="116"/>
        <v>45440</v>
      </c>
      <c r="AK438" s="22">
        <f t="shared" ca="1" si="117"/>
        <v>45383</v>
      </c>
      <c r="AL438" s="22">
        <f t="shared" ca="1" si="118"/>
        <v>45294</v>
      </c>
    </row>
    <row r="439" spans="4:38" x14ac:dyDescent="0.25">
      <c r="D439" s="6">
        <f ca="1"/>
        <v>45468</v>
      </c>
      <c r="E439" s="28">
        <f ca="1"/>
        <v>160.29</v>
      </c>
      <c r="F439" s="29" cm="1">
        <f t="array" aca="1" ref="F439" ca="1">_xll.FDS($E$7,"P_BETA_LOCIDX("&amp;$AG439&amp;","&amp;$AL439&amp;",,"""&amp;$E$9&amp;""")")</f>
        <v>2.4897366000000001</v>
      </c>
      <c r="G439" s="30">
        <f t="shared" ca="1" si="104"/>
        <v>-2.9048473986277586E-2</v>
      </c>
      <c r="H439" s="30">
        <f t="shared" ca="1" si="104"/>
        <v>-0.15860766489525643</v>
      </c>
      <c r="I439" s="30">
        <f t="shared" ca="1" si="104"/>
        <v>-0.23882005506449594</v>
      </c>
      <c r="J439" s="30">
        <f t="shared" ca="1" si="102"/>
        <v>-0.16601647991750446</v>
      </c>
      <c r="K439" s="30">
        <f t="shared" ca="1" si="105"/>
        <v>-1.7877313465720006E-3</v>
      </c>
      <c r="L439" s="30">
        <f t="shared" ca="1" si="105"/>
        <v>5.0395803317421752E-2</v>
      </c>
      <c r="M439" s="30">
        <f t="shared" ca="1" si="105"/>
        <v>7.7244576457947065E-2</v>
      </c>
      <c r="N439" s="30">
        <f t="shared" ca="1" si="103"/>
        <v>0.10185253783436567</v>
      </c>
      <c r="O439" s="30">
        <f t="shared" ca="1" si="106"/>
        <v>-3.0836205332849587E-2</v>
      </c>
      <c r="P439" s="30">
        <f t="shared" ca="1" si="107"/>
        <v>-0.10821186157783469</v>
      </c>
      <c r="Q439" s="30">
        <f t="shared" ca="1" si="108"/>
        <v>-0.16157547860654886</v>
      </c>
      <c r="R439" s="30">
        <f t="shared" ca="1" si="109"/>
        <v>-6.4163942083138803E-2</v>
      </c>
      <c r="S439" s="9" cm="1">
        <f t="array" aca="1" ref="S439" ca="1">_xll.BDH($E$6,"PX LAST",AG439)</f>
        <v>160.29</v>
      </c>
      <c r="T439" s="9" cm="1">
        <f t="array" aca="1" ref="T439" ca="1">_xll.BDH($E$6,"PX LAST",AH439)</f>
        <v>165.39</v>
      </c>
      <c r="U439" s="9" cm="1">
        <f t="array" aca="1" ref="U439" ca="1">_xll.BDH($E$6,"PX LAST",AI439)</f>
        <v>179.74</v>
      </c>
      <c r="V439" s="9" cm="1">
        <f t="array" aca="1" ref="V439" ca="1">_xll.BDH($E$6,"PX LAST",AJ439)</f>
        <v>191.18</v>
      </c>
      <c r="W439" s="9" cm="1">
        <f t="array" aca="1" ref="W439" ca="1">_xll.BDH($E$6,"PX LAST",AK439)</f>
        <v>171.28</v>
      </c>
      <c r="X439" s="24">
        <f t="shared" ca="1" si="110"/>
        <v>-7.1804035277145406E-4</v>
      </c>
      <c r="Y439" s="24">
        <f t="shared" ca="1" si="111"/>
        <v>2.0241419641508163E-2</v>
      </c>
      <c r="Z439" s="24">
        <f t="shared" ca="1" si="112"/>
        <v>3.102520019906807E-2</v>
      </c>
      <c r="AA439" s="24">
        <f t="shared" ca="1" si="113"/>
        <v>4.0908961146478573E-2</v>
      </c>
      <c r="AB439" s="9" cm="1">
        <f t="array" aca="1" ref="AB439" ca="1">_xll.BDH($E$8,"PX LAST",AG439)</f>
        <v>5469.3</v>
      </c>
      <c r="AC439" s="9" cm="1">
        <f t="array" aca="1" ref="AC439" ca="1">_xll.BDH($E$8,"PX LAST",AH439)</f>
        <v>5473.23</v>
      </c>
      <c r="AD439" s="9" cm="1">
        <f t="array" aca="1" ref="AD439" ca="1">_xll.BDH($E$8,"PX LAST",AI439)</f>
        <v>5360.79</v>
      </c>
      <c r="AE439" s="9" cm="1">
        <f t="array" aca="1" ref="AE439" ca="1">_xll.BDH($E$8,"PX LAST",AJ439)</f>
        <v>5304.72</v>
      </c>
      <c r="AF439" s="9" cm="1">
        <f t="array" aca="1" ref="AF439" ca="1">_xll.BDH($E$8,"PX LAST",AK439)</f>
        <v>5254.35</v>
      </c>
      <c r="AG439" s="20">
        <f t="shared" ca="1" si="119"/>
        <v>45468</v>
      </c>
      <c r="AH439" s="22">
        <f t="shared" ca="1" si="114"/>
        <v>45460</v>
      </c>
      <c r="AI439" s="22">
        <f t="shared" ca="1" si="115"/>
        <v>45453</v>
      </c>
      <c r="AJ439" s="22">
        <f t="shared" ca="1" si="116"/>
        <v>45436</v>
      </c>
      <c r="AK439" s="22">
        <f t="shared" ca="1" si="117"/>
        <v>45379</v>
      </c>
      <c r="AL439" s="22">
        <f t="shared" ca="1" si="118"/>
        <v>45293</v>
      </c>
    </row>
    <row r="440" spans="4:38" x14ac:dyDescent="0.25">
      <c r="D440" s="6">
        <f ca="1"/>
        <v>45467</v>
      </c>
      <c r="E440" s="28">
        <f ca="1"/>
        <v>163.89</v>
      </c>
      <c r="F440" s="29" cm="1">
        <f t="array" aca="1" ref="F440" ca="1">_xll.FDS($E$7,"P_BETA_LOCIDX("&amp;$AG440&amp;","&amp;$AL440&amp;",,"""&amp;$E$9&amp;""")")</f>
        <v>2.5101496999999999</v>
      </c>
      <c r="G440" s="30">
        <f t="shared" ca="1" si="104"/>
        <v>-2.3726443502808982E-2</v>
      </c>
      <c r="H440" s="30">
        <f t="shared" ca="1" si="104"/>
        <v>-0.1181712322952591</v>
      </c>
      <c r="I440" s="30">
        <f t="shared" ca="1" si="104"/>
        <v>-0.20758341987616291</v>
      </c>
      <c r="J440" s="30">
        <f t="shared" ca="1" si="102"/>
        <v>-0.13609322890226377</v>
      </c>
      <c r="K440" s="30">
        <f t="shared" ca="1" si="105"/>
        <v>7.5189880733113404E-3</v>
      </c>
      <c r="L440" s="30">
        <f t="shared" ca="1" si="105"/>
        <v>4.7358214946353325E-2</v>
      </c>
      <c r="M440" s="30">
        <f t="shared" ca="1" si="105"/>
        <v>8.578511315662575E-2</v>
      </c>
      <c r="N440" s="30">
        <f t="shared" ca="1" si="103"/>
        <v>9.5355739876802834E-2</v>
      </c>
      <c r="O440" s="30">
        <f t="shared" ca="1" si="106"/>
        <v>-1.6207455429497641E-2</v>
      </c>
      <c r="P440" s="30">
        <f t="shared" ca="1" si="107"/>
        <v>-7.0813017348905771E-2</v>
      </c>
      <c r="Q440" s="30">
        <f t="shared" ca="1" si="108"/>
        <v>-0.12179830671953717</v>
      </c>
      <c r="R440" s="30">
        <f t="shared" ca="1" si="109"/>
        <v>-4.0737489025460927E-2</v>
      </c>
      <c r="S440" s="9" cm="1">
        <f t="array" aca="1" ref="S440" ca="1">_xll.BDH($E$6,"PX LAST",AG440)</f>
        <v>163.89</v>
      </c>
      <c r="T440" s="9" cm="1">
        <f t="array" aca="1" ref="T440" ca="1">_xll.BDH($E$6,"PX LAST",AH440)</f>
        <v>166.59</v>
      </c>
      <c r="U440" s="9" cm="1">
        <f t="array" aca="1" ref="U440" ca="1">_xll.BDH($E$6,"PX LAST",AI440)</f>
        <v>176.38</v>
      </c>
      <c r="V440" s="9" cm="1">
        <f t="array" aca="1" ref="V440" ca="1">_xll.BDH($E$6,"PX LAST",AJ440)</f>
        <v>186.62</v>
      </c>
      <c r="W440" s="9" cm="1">
        <f t="array" aca="1" ref="W440" ca="1">_xll.BDH($E$6,"PX LAST",AK440)</f>
        <v>170.85</v>
      </c>
      <c r="X440" s="24">
        <f t="shared" ca="1" si="110"/>
        <v>2.9954341262241613E-3</v>
      </c>
      <c r="Y440" s="24">
        <f t="shared" ca="1" si="111"/>
        <v>1.8866689483242105E-2</v>
      </c>
      <c r="Z440" s="24">
        <f t="shared" ca="1" si="112"/>
        <v>3.4175297655205883E-2</v>
      </c>
      <c r="AA440" s="24">
        <f t="shared" ca="1" si="113"/>
        <v>3.7988068949355025E-2</v>
      </c>
      <c r="AB440" s="9" cm="1">
        <f t="array" aca="1" ref="AB440" ca="1">_xll.BDH($E$8,"PX LAST",AG440)</f>
        <v>5447.87</v>
      </c>
      <c r="AC440" s="9" cm="1">
        <f t="array" aca="1" ref="AC440" ca="1">_xll.BDH($E$8,"PX LAST",AH440)</f>
        <v>5431.6</v>
      </c>
      <c r="AD440" s="9" cm="1">
        <f t="array" aca="1" ref="AD440" ca="1">_xll.BDH($E$8,"PX LAST",AI440)</f>
        <v>5346.99</v>
      </c>
      <c r="AE440" s="9" cm="1">
        <f t="array" aca="1" ref="AE440" ca="1">_xll.BDH($E$8,"PX LAST",AJ440)</f>
        <v>5267.84</v>
      </c>
      <c r="AF440" s="9" cm="1">
        <f t="array" aca="1" ref="AF440" ca="1">_xll.BDH($E$8,"PX LAST",AK440)</f>
        <v>5248.49</v>
      </c>
      <c r="AG440" s="20">
        <f t="shared" ca="1" si="119"/>
        <v>45467</v>
      </c>
      <c r="AH440" s="22">
        <f t="shared" ca="1" si="114"/>
        <v>45457</v>
      </c>
      <c r="AI440" s="22">
        <f t="shared" ca="1" si="115"/>
        <v>45450</v>
      </c>
      <c r="AJ440" s="22">
        <f t="shared" ca="1" si="116"/>
        <v>45435</v>
      </c>
      <c r="AK440" s="22">
        <f t="shared" ca="1" si="117"/>
        <v>45378</v>
      </c>
      <c r="AL440" s="22">
        <f t="shared" ca="1" si="118"/>
        <v>45289</v>
      </c>
    </row>
    <row r="441" spans="4:38" x14ac:dyDescent="0.25">
      <c r="D441" s="6">
        <f ca="1"/>
        <v>45464</v>
      </c>
      <c r="E441" s="28">
        <f ca="1"/>
        <v>164.18</v>
      </c>
      <c r="F441" s="29" cm="1">
        <f t="array" aca="1" ref="F441" ca="1">_xll.FDS($E$7,"P_BETA_LOCIDX("&amp;$AG441&amp;","&amp;$AL441&amp;",,"""&amp;$E$9&amp;""")")</f>
        <v>2.5152073000000001</v>
      </c>
      <c r="G441" s="30">
        <f t="shared" ca="1" si="104"/>
        <v>-7.4134755089282856E-2</v>
      </c>
      <c r="H441" s="30">
        <f t="shared" ca="1" si="104"/>
        <v>-0.11638063856989181</v>
      </c>
      <c r="I441" s="30">
        <f t="shared" ca="1" si="104"/>
        <v>-0.20074908672811634</v>
      </c>
      <c r="J441" s="30">
        <f t="shared" ca="1" si="102"/>
        <v>-0.15164101315313475</v>
      </c>
      <c r="K441" s="30">
        <f t="shared" ca="1" si="105"/>
        <v>1.429394881315621E-2</v>
      </c>
      <c r="L441" s="30">
        <f t="shared" ca="1" si="105"/>
        <v>5.2465934196780604E-2</v>
      </c>
      <c r="M441" s="30">
        <f t="shared" ca="1" si="105"/>
        <v>7.4697771919216033E-2</v>
      </c>
      <c r="N441" s="30">
        <f t="shared" ca="1" si="103"/>
        <v>0.12617653876600357</v>
      </c>
      <c r="O441" s="30">
        <f t="shared" ca="1" si="106"/>
        <v>-5.9840806276126646E-2</v>
      </c>
      <c r="P441" s="30">
        <f t="shared" ca="1" si="107"/>
        <v>-6.3914704373111197E-2</v>
      </c>
      <c r="Q441" s="30">
        <f t="shared" ca="1" si="108"/>
        <v>-0.12605131480890031</v>
      </c>
      <c r="R441" s="30">
        <f t="shared" ca="1" si="109"/>
        <v>-2.5464474387131175E-2</v>
      </c>
      <c r="S441" s="9" cm="1">
        <f t="array" aca="1" ref="S441" ca="1">_xll.BDH($E$6,"PX LAST",AG441)</f>
        <v>164.18</v>
      </c>
      <c r="T441" s="9" cm="1">
        <f t="array" aca="1" ref="T441" ca="1">_xll.BDH($E$6,"PX LAST",AH441)</f>
        <v>174.63</v>
      </c>
      <c r="U441" s="9" cm="1">
        <f t="array" aca="1" ref="U441" ca="1">_xll.BDH($E$6,"PX LAST",AI441)</f>
        <v>175.39</v>
      </c>
      <c r="V441" s="9" cm="1">
        <f t="array" aca="1" ref="V441" ca="1">_xll.BDH($E$6,"PX LAST",AJ441)</f>
        <v>187.86</v>
      </c>
      <c r="W441" s="9" cm="1">
        <f t="array" aca="1" ref="W441" ca="1">_xll.BDH($E$6,"PX LAST",AK441)</f>
        <v>168.47</v>
      </c>
      <c r="X441" s="24">
        <f t="shared" ca="1" si="110"/>
        <v>5.6830102286822282E-3</v>
      </c>
      <c r="Y441" s="24">
        <f t="shared" ca="1" si="111"/>
        <v>2.0859487087517836E-2</v>
      </c>
      <c r="Z441" s="24">
        <f t="shared" ca="1" si="112"/>
        <v>2.9698455439126636E-2</v>
      </c>
      <c r="AA441" s="24">
        <f t="shared" ca="1" si="113"/>
        <v>5.0165463008159827E-2</v>
      </c>
      <c r="AB441" s="9" cm="1">
        <f t="array" aca="1" ref="AB441" ca="1">_xll.BDH($E$8,"PX LAST",AG441)</f>
        <v>5464.62</v>
      </c>
      <c r="AC441" s="9" cm="1">
        <f t="array" aca="1" ref="AC441" ca="1">_xll.BDH($E$8,"PX LAST",AH441)</f>
        <v>5433.74</v>
      </c>
      <c r="AD441" s="9" cm="1">
        <f t="array" aca="1" ref="AD441" ca="1">_xll.BDH($E$8,"PX LAST",AI441)</f>
        <v>5352.96</v>
      </c>
      <c r="AE441" s="9" cm="1">
        <f t="array" aca="1" ref="AE441" ca="1">_xll.BDH($E$8,"PX LAST",AJ441)</f>
        <v>5307.01</v>
      </c>
      <c r="AF441" s="9" cm="1">
        <f t="array" aca="1" ref="AF441" ca="1">_xll.BDH($E$8,"PX LAST",AK441)</f>
        <v>5203.58</v>
      </c>
      <c r="AG441" s="20">
        <f t="shared" ca="1" si="119"/>
        <v>45464</v>
      </c>
      <c r="AH441" s="22">
        <f t="shared" ca="1" si="114"/>
        <v>45456</v>
      </c>
      <c r="AI441" s="22">
        <f t="shared" ca="1" si="115"/>
        <v>45449</v>
      </c>
      <c r="AJ441" s="22">
        <f t="shared" ca="1" si="116"/>
        <v>45434</v>
      </c>
      <c r="AK441" s="22">
        <f t="shared" ca="1" si="117"/>
        <v>45377</v>
      </c>
      <c r="AL441" s="22">
        <f t="shared" ca="1" si="118"/>
        <v>45288</v>
      </c>
    </row>
    <row r="442" spans="4:38" x14ac:dyDescent="0.25">
      <c r="D442" s="6">
        <f ca="1"/>
        <v>45463</v>
      </c>
      <c r="E442" s="28">
        <f ca="1"/>
        <v>164.04</v>
      </c>
      <c r="F442" s="29" cm="1">
        <f t="array" aca="1" ref="F442" ca="1">_xll.FDS($E$7,"P_BETA_LOCIDX("&amp;$AG442&amp;","&amp;$AL442&amp;",,"""&amp;$E$9&amp;""")")</f>
        <v>2.5185735</v>
      </c>
      <c r="G442" s="30">
        <f t="shared" ca="1" si="104"/>
        <v>-0.10280614918148641</v>
      </c>
      <c r="H442" s="30">
        <f t="shared" ca="1" si="104"/>
        <v>-0.13436770399796619</v>
      </c>
      <c r="I442" s="30">
        <f t="shared" ca="1" si="104"/>
        <v>-0.20066354854860657</v>
      </c>
      <c r="J442" s="30">
        <f t="shared" ca="1" si="102"/>
        <v>-0.14774126110275282</v>
      </c>
      <c r="K442" s="30">
        <f t="shared" ca="1" si="105"/>
        <v>2.4223887764871232E-2</v>
      </c>
      <c r="L442" s="30">
        <f t="shared" ca="1" si="105"/>
        <v>5.6044296873570189E-2</v>
      </c>
      <c r="M442" s="30">
        <f t="shared" ca="1" si="105"/>
        <v>7.18265862543951E-2</v>
      </c>
      <c r="N442" s="30">
        <f t="shared" ca="1" si="103"/>
        <v>0.12306678580695636</v>
      </c>
      <c r="O442" s="30">
        <f t="shared" ca="1" si="106"/>
        <v>-7.8582261416615173E-2</v>
      </c>
      <c r="P442" s="30">
        <f t="shared" ca="1" si="107"/>
        <v>-7.8323407124396005E-2</v>
      </c>
      <c r="Q442" s="30">
        <f t="shared" ca="1" si="108"/>
        <v>-0.12883696229421149</v>
      </c>
      <c r="R442" s="30">
        <f t="shared" ca="1" si="109"/>
        <v>-2.4674475295796472E-2</v>
      </c>
      <c r="S442" s="9" cm="1">
        <f t="array" aca="1" ref="S442" ca="1">_xll.BDH($E$6,"PX LAST",AG442)</f>
        <v>164.04</v>
      </c>
      <c r="T442" s="9" cm="1">
        <f t="array" aca="1" ref="T442" ca="1">_xll.BDH($E$6,"PX LAST",AH442)</f>
        <v>178.03</v>
      </c>
      <c r="U442" s="9" cm="1">
        <f t="array" aca="1" ref="U442" ca="1">_xll.BDH($E$6,"PX LAST",AI442)</f>
        <v>177.98</v>
      </c>
      <c r="V442" s="9" cm="1">
        <f t="array" aca="1" ref="V442" ca="1">_xll.BDH($E$6,"PX LAST",AJ442)</f>
        <v>188.3</v>
      </c>
      <c r="W442" s="9" cm="1">
        <f t="array" aca="1" ref="W442" ca="1">_xll.BDH($E$6,"PX LAST",AK442)</f>
        <v>168.19</v>
      </c>
      <c r="X442" s="24">
        <f t="shared" ca="1" si="110"/>
        <v>9.6180984056535301E-3</v>
      </c>
      <c r="Y442" s="24">
        <f t="shared" ca="1" si="111"/>
        <v>2.2252396792696416E-2</v>
      </c>
      <c r="Z442" s="24">
        <f t="shared" ca="1" si="112"/>
        <v>2.8518757246669635E-2</v>
      </c>
      <c r="AA442" s="24">
        <f t="shared" ca="1" si="113"/>
        <v>4.8863686450665966E-2</v>
      </c>
      <c r="AB442" s="9" cm="1">
        <f t="array" aca="1" ref="AB442" ca="1">_xll.BDH($E$8,"PX LAST",AG442)</f>
        <v>5473.17</v>
      </c>
      <c r="AC442" s="9" cm="1">
        <f t="array" aca="1" ref="AC442" ca="1">_xll.BDH($E$8,"PX LAST",AH442)</f>
        <v>5421.03</v>
      </c>
      <c r="AD442" s="9" cm="1">
        <f t="array" aca="1" ref="AD442" ca="1">_xll.BDH($E$8,"PX LAST",AI442)</f>
        <v>5354.03</v>
      </c>
      <c r="AE442" s="9" cm="1">
        <f t="array" aca="1" ref="AE442" ca="1">_xll.BDH($E$8,"PX LAST",AJ442)</f>
        <v>5321.41</v>
      </c>
      <c r="AF442" s="9" cm="1">
        <f t="array" aca="1" ref="AF442" ca="1">_xll.BDH($E$8,"PX LAST",AK442)</f>
        <v>5218.1899999999996</v>
      </c>
      <c r="AG442" s="20">
        <f t="shared" ca="1" si="119"/>
        <v>45463</v>
      </c>
      <c r="AH442" s="22">
        <f t="shared" ca="1" si="114"/>
        <v>45455</v>
      </c>
      <c r="AI442" s="22">
        <f t="shared" ca="1" si="115"/>
        <v>45448</v>
      </c>
      <c r="AJ442" s="22">
        <f t="shared" ca="1" si="116"/>
        <v>45433</v>
      </c>
      <c r="AK442" s="22">
        <f t="shared" ca="1" si="117"/>
        <v>45376</v>
      </c>
      <c r="AL442" s="22">
        <f t="shared" ca="1" si="118"/>
        <v>45287</v>
      </c>
    </row>
    <row r="443" spans="4:38" x14ac:dyDescent="0.25">
      <c r="D443" s="6">
        <f ca="1"/>
        <v>45461</v>
      </c>
      <c r="E443" s="28">
        <f ca="1"/>
        <v>163.72</v>
      </c>
      <c r="F443" s="29" cm="1">
        <f t="array" aca="1" ref="F443" ca="1">_xll.FDS($E$7,"P_BETA_LOCIDX("&amp;$AG443&amp;","&amp;$AL443&amp;",,"""&amp;$E$9&amp;""")")</f>
        <v>2.5222053999999998</v>
      </c>
      <c r="G443" s="30">
        <f t="shared" ca="1" si="104"/>
        <v>-0.11746134839679651</v>
      </c>
      <c r="H443" s="30">
        <f t="shared" ca="1" si="104"/>
        <v>-0.14472733568945534</v>
      </c>
      <c r="I443" s="30">
        <f t="shared" ca="1" si="104"/>
        <v>-0.21415486972119951</v>
      </c>
      <c r="J443" s="30">
        <f t="shared" ca="1" si="102"/>
        <v>-0.15388582512150339</v>
      </c>
      <c r="K443" s="30">
        <f t="shared" ca="1" si="105"/>
        <v>5.2416519432145599E-2</v>
      </c>
      <c r="L443" s="30">
        <f t="shared" ca="1" si="105"/>
        <v>9.3278899999999998E-2</v>
      </c>
      <c r="M443" s="30">
        <f t="shared" ca="1" si="105"/>
        <v>8.5005933550986804E-2</v>
      </c>
      <c r="N443" s="30">
        <f t="shared" ca="1" si="103"/>
        <v>0.12184136491102694</v>
      </c>
      <c r="O443" s="30">
        <f t="shared" ca="1" si="106"/>
        <v>-6.5044828964650914E-2</v>
      </c>
      <c r="P443" s="30">
        <f t="shared" ca="1" si="107"/>
        <v>-5.1448435689455341E-2</v>
      </c>
      <c r="Q443" s="30">
        <f t="shared" ca="1" si="108"/>
        <v>-0.12914893617021272</v>
      </c>
      <c r="R443" s="30">
        <f t="shared" ca="1" si="109"/>
        <v>-3.2044460210476466E-2</v>
      </c>
      <c r="S443" s="9" cm="1">
        <f t="array" aca="1" ref="S443" ca="1">_xll.BDH($E$6,"PX LAST",AG443)</f>
        <v>163.72</v>
      </c>
      <c r="T443" s="9" cm="1">
        <f t="array" aca="1" ref="T443" ca="1">_xll.BDH($E$6,"PX LAST",AH443)</f>
        <v>175.11</v>
      </c>
      <c r="U443" s="9" cm="1">
        <f t="array" aca="1" ref="U443" ca="1">_xll.BDH($E$6,"PX LAST",AI443)</f>
        <v>172.6</v>
      </c>
      <c r="V443" s="9" cm="1">
        <f t="array" aca="1" ref="V443" ca="1">_xll.BDH($E$6,"PX LAST",AJ443)</f>
        <v>188</v>
      </c>
      <c r="W443" s="9" cm="1">
        <f t="array" aca="1" ref="W443" ca="1">_xll.BDH($E$6,"PX LAST",AK443)</f>
        <v>169.14</v>
      </c>
      <c r="X443" s="24">
        <f t="shared" ca="1" si="110"/>
        <v>2.0782018558895166E-2</v>
      </c>
      <c r="Y443" s="24">
        <f t="shared" ca="1" si="111"/>
        <v>3.6983070450963274E-2</v>
      </c>
      <c r="Z443" s="24">
        <f t="shared" ca="1" si="112"/>
        <v>3.3703017823602632E-2</v>
      </c>
      <c r="AA443" s="24">
        <f t="shared" ca="1" si="113"/>
        <v>4.8307471275347735E-2</v>
      </c>
      <c r="AB443" s="9" cm="1">
        <f t="array" aca="1" ref="AB443" ca="1">_xll.BDH($E$8,"PX LAST",AG443)</f>
        <v>5487.03</v>
      </c>
      <c r="AC443" s="9" cm="1">
        <f t="array" aca="1" ref="AC443" ca="1">_xll.BDH($E$8,"PX LAST",AH443)</f>
        <v>5375.32</v>
      </c>
      <c r="AD443" s="9" cm="1">
        <f t="array" aca="1" ref="AD443" ca="1">_xll.BDH($E$8,"PX LAST",AI443)</f>
        <v>5291.34</v>
      </c>
      <c r="AE443" s="9" cm="1">
        <f t="array" aca="1" ref="AE443" ca="1">_xll.BDH($E$8,"PX LAST",AJ443)</f>
        <v>5308.13</v>
      </c>
      <c r="AF443" s="9" cm="1">
        <f t="array" aca="1" ref="AF443" ca="1">_xll.BDH($E$8,"PX LAST",AK443)</f>
        <v>5234.18</v>
      </c>
      <c r="AG443" s="20">
        <f t="shared" ca="1" si="119"/>
        <v>45461</v>
      </c>
      <c r="AH443" s="22">
        <f t="shared" ca="1" si="114"/>
        <v>45454</v>
      </c>
      <c r="AI443" s="22">
        <f t="shared" ca="1" si="115"/>
        <v>45447</v>
      </c>
      <c r="AJ443" s="22">
        <f t="shared" ca="1" si="116"/>
        <v>45432</v>
      </c>
      <c r="AK443" s="22">
        <f t="shared" ca="1" si="117"/>
        <v>45373</v>
      </c>
      <c r="AL443" s="22">
        <f t="shared" ca="1" si="118"/>
        <v>45286</v>
      </c>
    </row>
    <row r="444" spans="4:38" x14ac:dyDescent="0.25">
      <c r="D444" s="6">
        <f ca="1"/>
        <v>45460</v>
      </c>
      <c r="E444" s="28">
        <f ca="1"/>
        <v>165.39</v>
      </c>
      <c r="F444" s="29" cm="1">
        <f t="array" aca="1" ref="F444" ca="1">_xll.FDS($E$7,"P_BETA_LOCIDX("&amp;$AG444&amp;","&amp;$AL444&amp;",,"""&amp;$E$9&amp;""")")</f>
        <v>2.5256850000000002</v>
      </c>
      <c r="G444" s="30">
        <f t="shared" ca="1" si="104"/>
        <v>-0.13281257504410163</v>
      </c>
      <c r="H444" s="30">
        <f t="shared" ca="1" si="104"/>
        <v>-0.15723644935234449</v>
      </c>
      <c r="I444" s="30">
        <f t="shared" ca="1" si="104"/>
        <v>-0.18718509166432845</v>
      </c>
      <c r="J444" s="30">
        <f t="shared" ca="1" si="102"/>
        <v>-0.1377908127116107</v>
      </c>
      <c r="K444" s="30">
        <f t="shared" ca="1" si="105"/>
        <v>5.2975031926264654E-2</v>
      </c>
      <c r="L444" s="30">
        <f t="shared" ca="1" si="105"/>
        <v>9.074663730741582E-2</v>
      </c>
      <c r="M444" s="30">
        <f t="shared" ca="1" si="105"/>
        <v>8.0943535328202906E-2</v>
      </c>
      <c r="N444" s="30">
        <f t="shared" ca="1" si="103"/>
        <v>0.11164702186193737</v>
      </c>
      <c r="O444" s="30">
        <f t="shared" ca="1" si="106"/>
        <v>-7.9837543117836973E-2</v>
      </c>
      <c r="P444" s="30">
        <f t="shared" ca="1" si="107"/>
        <v>-6.6489812044928653E-2</v>
      </c>
      <c r="Q444" s="30">
        <f t="shared" ca="1" si="108"/>
        <v>-0.10624155633612553</v>
      </c>
      <c r="R444" s="30">
        <f t="shared" ca="1" si="109"/>
        <v>-2.6143790849673332E-2</v>
      </c>
      <c r="S444" s="9" cm="1">
        <f t="array" aca="1" ref="S444" ca="1">_xll.BDH($E$6,"PX LAST",AG444)</f>
        <v>165.39</v>
      </c>
      <c r="T444" s="9" cm="1">
        <f t="array" aca="1" ref="T444" ca="1">_xll.BDH($E$6,"PX LAST",AH444)</f>
        <v>179.74</v>
      </c>
      <c r="U444" s="9" cm="1">
        <f t="array" aca="1" ref="U444" ca="1">_xll.BDH($E$6,"PX LAST",AI444)</f>
        <v>177.17</v>
      </c>
      <c r="V444" s="9" cm="1">
        <f t="array" aca="1" ref="V444" ca="1">_xll.BDH($E$6,"PX LAST",AJ444)</f>
        <v>185.05</v>
      </c>
      <c r="W444" s="9" cm="1">
        <f t="array" aca="1" ref="W444" ca="1">_xll.BDH($E$6,"PX LAST",AK444)</f>
        <v>169.83</v>
      </c>
      <c r="X444" s="24">
        <f t="shared" ca="1" si="110"/>
        <v>2.0974520546412023E-2</v>
      </c>
      <c r="Y444" s="24">
        <f t="shared" ca="1" si="111"/>
        <v>3.592951508498321E-2</v>
      </c>
      <c r="Z444" s="24">
        <f t="shared" ca="1" si="112"/>
        <v>3.2048151423555549E-2</v>
      </c>
      <c r="AA444" s="24">
        <f t="shared" ca="1" si="113"/>
        <v>4.4204650168939263E-2</v>
      </c>
      <c r="AB444" s="9" cm="1">
        <f t="array" aca="1" ref="AB444" ca="1">_xll.BDH($E$8,"PX LAST",AG444)</f>
        <v>5473.23</v>
      </c>
      <c r="AC444" s="9" cm="1">
        <f t="array" aca="1" ref="AC444" ca="1">_xll.BDH($E$8,"PX LAST",AH444)</f>
        <v>5360.79</v>
      </c>
      <c r="AD444" s="9" cm="1">
        <f t="array" aca="1" ref="AD444" ca="1">_xll.BDH($E$8,"PX LAST",AI444)</f>
        <v>5283.4</v>
      </c>
      <c r="AE444" s="9" cm="1">
        <f t="array" aca="1" ref="AE444" ca="1">_xll.BDH($E$8,"PX LAST",AJ444)</f>
        <v>5303.27</v>
      </c>
      <c r="AF444" s="9" cm="1">
        <f t="array" aca="1" ref="AF444" ca="1">_xll.BDH($E$8,"PX LAST",AK444)</f>
        <v>5241.53</v>
      </c>
      <c r="AG444" s="20">
        <f t="shared" ca="1" si="119"/>
        <v>45460</v>
      </c>
      <c r="AH444" s="22">
        <f t="shared" ca="1" si="114"/>
        <v>45453</v>
      </c>
      <c r="AI444" s="22">
        <f t="shared" ca="1" si="115"/>
        <v>45446</v>
      </c>
      <c r="AJ444" s="22">
        <f t="shared" ca="1" si="116"/>
        <v>45429</v>
      </c>
      <c r="AK444" s="22">
        <f t="shared" ca="1" si="117"/>
        <v>45372</v>
      </c>
      <c r="AL444" s="22">
        <f t="shared" ca="1" si="118"/>
        <v>45282</v>
      </c>
    </row>
    <row r="445" spans="4:38" x14ac:dyDescent="0.25">
      <c r="D445" s="6">
        <f ca="1"/>
        <v>45457</v>
      </c>
      <c r="E445" s="28">
        <f ca="1"/>
        <v>166.59</v>
      </c>
      <c r="F445" s="29" cm="1">
        <f t="array" aca="1" ref="F445" ca="1">_xll.FDS($E$7,"P_BETA_LOCIDX("&amp;$AG445&amp;","&amp;$AL445&amp;",,"""&amp;$E$9&amp;""")")</f>
        <v>2.5481137999999999</v>
      </c>
      <c r="G445" s="30">
        <f t="shared" ca="1" si="104"/>
        <v>-9.5826145256364598E-2</v>
      </c>
      <c r="H445" s="30">
        <f t="shared" ca="1" si="104"/>
        <v>-0.14626880443102694</v>
      </c>
      <c r="I445" s="30">
        <f t="shared" ca="1" si="104"/>
        <v>-0.14901794349548464</v>
      </c>
      <c r="J445" s="30">
        <f t="shared" ca="1" si="102"/>
        <v>-9.7875976225604192E-2</v>
      </c>
      <c r="K445" s="30">
        <f t="shared" ca="1" si="105"/>
        <v>4.0320985941249582E-2</v>
      </c>
      <c r="L445" s="30">
        <f t="shared" ca="1" si="105"/>
        <v>7.4398505250013985E-2</v>
      </c>
      <c r="M445" s="30">
        <f t="shared" ca="1" si="105"/>
        <v>6.4699799154254459E-2</v>
      </c>
      <c r="N445" s="30">
        <f t="shared" ca="1" si="103"/>
        <v>0.10094678547415915</v>
      </c>
      <c r="O445" s="30">
        <f t="shared" ca="1" si="106"/>
        <v>-5.5505159315115016E-2</v>
      </c>
      <c r="P445" s="30">
        <f t="shared" ca="1" si="107"/>
        <v>-7.1870299181012953E-2</v>
      </c>
      <c r="Q445" s="30">
        <f t="shared" ca="1" si="108"/>
        <v>-8.4318144341230195E-2</v>
      </c>
      <c r="R445" s="30">
        <f t="shared" ca="1" si="109"/>
        <v>3.0708092485549621E-3</v>
      </c>
      <c r="S445" s="9" cm="1">
        <f t="array" aca="1" ref="S445" ca="1">_xll.BDH($E$6,"PX LAST",AG445)</f>
        <v>166.59</v>
      </c>
      <c r="T445" s="9" cm="1">
        <f t="array" aca="1" ref="T445" ca="1">_xll.BDH($E$6,"PX LAST",AH445)</f>
        <v>176.38</v>
      </c>
      <c r="U445" s="9" cm="1">
        <f t="array" aca="1" ref="U445" ca="1">_xll.BDH($E$6,"PX LAST",AI445)</f>
        <v>179.49</v>
      </c>
      <c r="V445" s="9" cm="1">
        <f t="array" aca="1" ref="V445" ca="1">_xll.BDH($E$6,"PX LAST",AJ445)</f>
        <v>181.93</v>
      </c>
      <c r="W445" s="9" cm="1">
        <f t="array" aca="1" ref="W445" ca="1">_xll.BDH($E$6,"PX LAST",AK445)</f>
        <v>166.08</v>
      </c>
      <c r="X445" s="24">
        <f t="shared" ca="1" si="110"/>
        <v>1.5823856038631234E-2</v>
      </c>
      <c r="Y445" s="24">
        <f t="shared" ca="1" si="111"/>
        <v>2.9197481388003155E-2</v>
      </c>
      <c r="Z445" s="24">
        <f t="shared" ca="1" si="112"/>
        <v>2.5391251817032057E-2</v>
      </c>
      <c r="AA445" s="24">
        <f t="shared" ca="1" si="113"/>
        <v>3.9616278313064024E-2</v>
      </c>
      <c r="AB445" s="9" cm="1">
        <f t="array" aca="1" ref="AB445" ca="1">_xll.BDH($E$8,"PX LAST",AG445)</f>
        <v>5431.6</v>
      </c>
      <c r="AC445" s="9" cm="1">
        <f t="array" aca="1" ref="AC445" ca="1">_xll.BDH($E$8,"PX LAST",AH445)</f>
        <v>5346.99</v>
      </c>
      <c r="AD445" s="9" cm="1">
        <f t="array" aca="1" ref="AD445" ca="1">_xll.BDH($E$8,"PX LAST",AI445)</f>
        <v>5277.51</v>
      </c>
      <c r="AE445" s="9" cm="1">
        <f t="array" aca="1" ref="AE445" ca="1">_xll.BDH($E$8,"PX LAST",AJ445)</f>
        <v>5297.1</v>
      </c>
      <c r="AF445" s="9" cm="1">
        <f t="array" aca="1" ref="AF445" ca="1">_xll.BDH($E$8,"PX LAST",AK445)</f>
        <v>5224.62</v>
      </c>
      <c r="AG445" s="20">
        <f t="shared" ca="1" si="119"/>
        <v>45457</v>
      </c>
      <c r="AH445" s="22">
        <f t="shared" ca="1" si="114"/>
        <v>45450</v>
      </c>
      <c r="AI445" s="22">
        <f t="shared" ca="1" si="115"/>
        <v>45443</v>
      </c>
      <c r="AJ445" s="22">
        <f t="shared" ca="1" si="116"/>
        <v>45428</v>
      </c>
      <c r="AK445" s="22">
        <f t="shared" ca="1" si="117"/>
        <v>45371</v>
      </c>
      <c r="AL445" s="22">
        <f t="shared" ca="1" si="118"/>
        <v>45281</v>
      </c>
    </row>
    <row r="446" spans="4:38" x14ac:dyDescent="0.25">
      <c r="D446" s="6">
        <f ca="1"/>
        <v>45456</v>
      </c>
      <c r="E446" s="28">
        <f ca="1"/>
        <v>174.63</v>
      </c>
      <c r="F446" s="29" cm="1">
        <f t="array" aca="1" ref="F446" ca="1">_xll.FDS($E$7,"P_BETA_LOCIDX("&amp;$AG446&amp;","&amp;$AL446&amp;",,"""&amp;$E$9&amp;""")")</f>
        <v>2.4905674000000002</v>
      </c>
      <c r="G446" s="30">
        <f t="shared" ca="1" si="104"/>
        <v>-4.1917646018475273E-2</v>
      </c>
      <c r="H446" s="30">
        <f t="shared" ca="1" si="104"/>
        <v>-0.11796394086883515</v>
      </c>
      <c r="I446" s="30">
        <f t="shared" ca="1" si="104"/>
        <v>-0.12161764928857269</v>
      </c>
      <c r="J446" s="30">
        <f t="shared" ca="1" si="102"/>
        <v>-5.9166174482140677E-2</v>
      </c>
      <c r="K446" s="30">
        <f t="shared" ca="1" si="105"/>
        <v>3.7584445721993175E-2</v>
      </c>
      <c r="L446" s="30">
        <f t="shared" ca="1" si="105"/>
        <v>9.4314158916470034E-2</v>
      </c>
      <c r="M446" s="30">
        <f t="shared" ca="1" si="105"/>
        <v>5.8926435719789422E-2</v>
      </c>
      <c r="N446" s="30">
        <f t="shared" ca="1" si="103"/>
        <v>0.12275104566796202</v>
      </c>
      <c r="O446" s="30">
        <f t="shared" ca="1" si="106"/>
        <v>-4.3332002964820981E-3</v>
      </c>
      <c r="P446" s="30">
        <f t="shared" ca="1" si="107"/>
        <v>-2.3649781952365112E-2</v>
      </c>
      <c r="Q446" s="30">
        <f t="shared" ca="1" si="108"/>
        <v>-6.2691213568783266E-2</v>
      </c>
      <c r="R446" s="30">
        <f t="shared" ca="1" si="109"/>
        <v>6.3584871185821346E-2</v>
      </c>
      <c r="S446" s="9" cm="1">
        <f t="array" aca="1" ref="S446" ca="1">_xll.BDH($E$6,"PX LAST",AG446)</f>
        <v>174.63</v>
      </c>
      <c r="T446" s="9" cm="1">
        <f t="array" aca="1" ref="T446" ca="1">_xll.BDH($E$6,"PX LAST",AH446)</f>
        <v>175.39</v>
      </c>
      <c r="U446" s="9" cm="1">
        <f t="array" aca="1" ref="U446" ca="1">_xll.BDH($E$6,"PX LAST",AI446)</f>
        <v>178.86</v>
      </c>
      <c r="V446" s="9" cm="1">
        <f t="array" aca="1" ref="V446" ca="1">_xll.BDH($E$6,"PX LAST",AJ446)</f>
        <v>186.31</v>
      </c>
      <c r="W446" s="9" cm="1">
        <f t="array" aca="1" ref="W446" ca="1">_xll.BDH($E$6,"PX LAST",AK446)</f>
        <v>164.19</v>
      </c>
      <c r="X446" s="24">
        <f t="shared" ca="1" si="110"/>
        <v>1.5090716164514628E-2</v>
      </c>
      <c r="Y446" s="24">
        <f t="shared" ca="1" si="111"/>
        <v>3.7868543094425E-2</v>
      </c>
      <c r="Z446" s="24">
        <f t="shared" ca="1" si="112"/>
        <v>2.3659843825061477E-2</v>
      </c>
      <c r="AA446" s="24">
        <f t="shared" ca="1" si="113"/>
        <v>4.9286377741859955E-2</v>
      </c>
      <c r="AB446" s="9" cm="1">
        <f t="array" aca="1" ref="AB446" ca="1">_xll.BDH($E$8,"PX LAST",AG446)</f>
        <v>5433.74</v>
      </c>
      <c r="AC446" s="9" cm="1">
        <f t="array" aca="1" ref="AC446" ca="1">_xll.BDH($E$8,"PX LAST",AH446)</f>
        <v>5352.96</v>
      </c>
      <c r="AD446" s="9" cm="1">
        <f t="array" aca="1" ref="AD446" ca="1">_xll.BDH($E$8,"PX LAST",AI446)</f>
        <v>5235.4799999999996</v>
      </c>
      <c r="AE446" s="9" cm="1">
        <f t="array" aca="1" ref="AE446" ca="1">_xll.BDH($E$8,"PX LAST",AJ446)</f>
        <v>5308.15</v>
      </c>
      <c r="AF446" s="9" cm="1">
        <f t="array" aca="1" ref="AF446" ca="1">_xll.BDH($E$8,"PX LAST",AK446)</f>
        <v>5178.51</v>
      </c>
      <c r="AG446" s="20">
        <f t="shared" ca="1" si="119"/>
        <v>45456</v>
      </c>
      <c r="AH446" s="22">
        <f t="shared" ca="1" si="114"/>
        <v>45449</v>
      </c>
      <c r="AI446" s="22">
        <f t="shared" ca="1" si="115"/>
        <v>45442</v>
      </c>
      <c r="AJ446" s="22">
        <f t="shared" ca="1" si="116"/>
        <v>45427</v>
      </c>
      <c r="AK446" s="22">
        <f t="shared" ca="1" si="117"/>
        <v>45370</v>
      </c>
      <c r="AL446" s="22">
        <f t="shared" ca="1" si="118"/>
        <v>45280</v>
      </c>
    </row>
    <row r="447" spans="4:38" x14ac:dyDescent="0.25">
      <c r="D447" s="6">
        <f ca="1"/>
        <v>45455</v>
      </c>
      <c r="E447" s="28">
        <f ca="1"/>
        <v>178.03</v>
      </c>
      <c r="F447" s="29" cm="1">
        <f t="array" aca="1" ref="F447" ca="1">_xll.FDS($E$7,"P_BETA_LOCIDX("&amp;$AG447&amp;","&amp;$AL447&amp;",,"""&amp;$E$9&amp;""")")</f>
        <v>2.4915202000000001</v>
      </c>
      <c r="G447" s="30">
        <f t="shared" ca="1" si="104"/>
        <v>-3.0897799113497524E-2</v>
      </c>
      <c r="H447" s="30">
        <f t="shared" ca="1" si="104"/>
        <v>-6.6214915728712034E-2</v>
      </c>
      <c r="I447" s="30">
        <f t="shared" ca="1" si="104"/>
        <v>-9.1536205211587243E-2</v>
      </c>
      <c r="J447" s="30">
        <f t="shared" ca="1" si="102"/>
        <v>-3.2330784977712274E-2</v>
      </c>
      <c r="K447" s="30">
        <f t="shared" ca="1" si="105"/>
        <v>3.1178729555120219E-2</v>
      </c>
      <c r="L447" s="30">
        <f t="shared" ca="1" si="105"/>
        <v>7.2887236904849953E-2</v>
      </c>
      <c r="M447" s="30">
        <f t="shared" ca="1" si="105"/>
        <v>8.27945571046831E-2</v>
      </c>
      <c r="N447" s="30">
        <f t="shared" ca="1" si="103"/>
        <v>0.13141709192918785</v>
      </c>
      <c r="O447" s="30">
        <f t="shared" ca="1" si="106"/>
        <v>2.8093044162269543E-4</v>
      </c>
      <c r="P447" s="30">
        <f t="shared" ca="1" si="107"/>
        <v>6.6723211761379186E-3</v>
      </c>
      <c r="Q447" s="30">
        <f t="shared" ca="1" si="108"/>
        <v>-8.741648106904143E-3</v>
      </c>
      <c r="R447" s="30">
        <f t="shared" ca="1" si="109"/>
        <v>9.9086306951475578E-2</v>
      </c>
      <c r="S447" s="9" cm="1">
        <f t="array" aca="1" ref="S447" ca="1">_xll.BDH($E$6,"PX LAST",AG447)</f>
        <v>178.03</v>
      </c>
      <c r="T447" s="9" cm="1">
        <f t="array" aca="1" ref="T447" ca="1">_xll.BDH($E$6,"PX LAST",AH447)</f>
        <v>177.98</v>
      </c>
      <c r="U447" s="9" cm="1">
        <f t="array" aca="1" ref="U447" ca="1">_xll.BDH($E$6,"PX LAST",AI447)</f>
        <v>176.85</v>
      </c>
      <c r="V447" s="9" cm="1">
        <f t="array" aca="1" ref="V447" ca="1">_xll.BDH($E$6,"PX LAST",AJ447)</f>
        <v>179.6</v>
      </c>
      <c r="W447" s="9" cm="1">
        <f t="array" aca="1" ref="W447" ca="1">_xll.BDH($E$6,"PX LAST",AK447)</f>
        <v>161.97999999999999</v>
      </c>
      <c r="X447" s="24">
        <f t="shared" ca="1" si="110"/>
        <v>1.2513938098964728E-2</v>
      </c>
      <c r="Y447" s="24">
        <f t="shared" ca="1" si="111"/>
        <v>2.9254122404807292E-2</v>
      </c>
      <c r="Z447" s="24">
        <f t="shared" ca="1" si="112"/>
        <v>3.3230538168899093E-2</v>
      </c>
      <c r="AA447" s="24">
        <f t="shared" ca="1" si="113"/>
        <v>5.2745746122864201E-2</v>
      </c>
      <c r="AB447" s="9" cm="1">
        <f t="array" aca="1" ref="AB447" ca="1">_xll.BDH($E$8,"PX LAST",AG447)</f>
        <v>5421.03</v>
      </c>
      <c r="AC447" s="9" cm="1">
        <f t="array" aca="1" ref="AC447" ca="1">_xll.BDH($E$8,"PX LAST",AH447)</f>
        <v>5354.03</v>
      </c>
      <c r="AD447" s="9" cm="1">
        <f t="array" aca="1" ref="AD447" ca="1">_xll.BDH($E$8,"PX LAST",AI447)</f>
        <v>5266.95</v>
      </c>
      <c r="AE447" s="9" cm="1">
        <f t="array" aca="1" ref="AE447" ca="1">_xll.BDH($E$8,"PX LAST",AJ447)</f>
        <v>5246.68</v>
      </c>
      <c r="AF447" s="9" cm="1">
        <f t="array" aca="1" ref="AF447" ca="1">_xll.BDH($E$8,"PX LAST",AK447)</f>
        <v>5149.42</v>
      </c>
      <c r="AG447" s="20">
        <f t="shared" ca="1" si="119"/>
        <v>45455</v>
      </c>
      <c r="AH447" s="22">
        <f t="shared" ca="1" si="114"/>
        <v>45448</v>
      </c>
      <c r="AI447" s="22">
        <f t="shared" ca="1" si="115"/>
        <v>45441</v>
      </c>
      <c r="AJ447" s="22">
        <f t="shared" ca="1" si="116"/>
        <v>45426</v>
      </c>
      <c r="AK447" s="22">
        <f t="shared" ca="1" si="117"/>
        <v>45369</v>
      </c>
      <c r="AL447" s="22">
        <f t="shared" ca="1" si="118"/>
        <v>45279</v>
      </c>
    </row>
    <row r="448" spans="4:38" x14ac:dyDescent="0.25">
      <c r="D448" s="6">
        <f ca="1"/>
        <v>45454</v>
      </c>
      <c r="E448" s="28">
        <f ca="1"/>
        <v>175.11</v>
      </c>
      <c r="F448" s="29" cm="1">
        <f t="array" aca="1" ref="F448" ca="1">_xll.FDS($E$7,"P_BETA_LOCIDX("&amp;$AG448&amp;","&amp;$AL448&amp;",,"""&amp;$E$9&amp;""")")</f>
        <v>2.4881725000000001</v>
      </c>
      <c r="G448" s="30">
        <f t="shared" ca="1" si="104"/>
        <v>-2.4948028837974381E-2</v>
      </c>
      <c r="H448" s="30">
        <f t="shared" ca="1" si="104"/>
        <v>-8.8600164662940406E-2</v>
      </c>
      <c r="I448" s="30">
        <f t="shared" ca="1" si="104"/>
        <v>-8.8633745920055892E-2</v>
      </c>
      <c r="J448" s="30">
        <f t="shared" ca="1" si="102"/>
        <v>-3.2014714621886958E-2</v>
      </c>
      <c r="K448" s="30">
        <f t="shared" ca="1" si="105"/>
        <v>3.9490323160106658E-2</v>
      </c>
      <c r="L448" s="30">
        <f t="shared" ca="1" si="105"/>
        <v>3.2487616150650656E-2</v>
      </c>
      <c r="M448" s="30">
        <f t="shared" ca="1" si="105"/>
        <v>7.3338238975220946E-2</v>
      </c>
      <c r="N448" s="30">
        <f t="shared" ca="1" si="103"/>
        <v>0.12556370606633835</v>
      </c>
      <c r="O448" s="30">
        <f t="shared" ca="1" si="106"/>
        <v>1.4542294322132276E-2</v>
      </c>
      <c r="P448" s="30">
        <f t="shared" ca="1" si="107"/>
        <v>-5.611254851228975E-2</v>
      </c>
      <c r="Q448" s="30">
        <f t="shared" ca="1" si="108"/>
        <v>-1.5295506944834947E-2</v>
      </c>
      <c r="R448" s="30">
        <f t="shared" ca="1" si="109"/>
        <v>9.354899144445139E-2</v>
      </c>
      <c r="S448" s="9" cm="1">
        <f t="array" aca="1" ref="S448" ca="1">_xll.BDH($E$6,"PX LAST",AG448)</f>
        <v>175.11</v>
      </c>
      <c r="T448" s="9" cm="1">
        <f t="array" aca="1" ref="T448" ca="1">_xll.BDH($E$6,"PX LAST",AH448)</f>
        <v>172.6</v>
      </c>
      <c r="U448" s="9" cm="1">
        <f t="array" aca="1" ref="U448" ca="1">_xll.BDH($E$6,"PX LAST",AI448)</f>
        <v>185.52</v>
      </c>
      <c r="V448" s="9" cm="1">
        <f t="array" aca="1" ref="V448" ca="1">_xll.BDH($E$6,"PX LAST",AJ448)</f>
        <v>177.83</v>
      </c>
      <c r="W448" s="9" cm="1">
        <f t="array" aca="1" ref="W448" ca="1">_xll.BDH($E$6,"PX LAST",AK448)</f>
        <v>160.13</v>
      </c>
      <c r="X448" s="24">
        <f t="shared" ca="1" si="110"/>
        <v>1.5871215986876575E-2</v>
      </c>
      <c r="Y448" s="24">
        <f t="shared" ca="1" si="111"/>
        <v>1.3056818267483727E-2</v>
      </c>
      <c r="Z448" s="24">
        <f t="shared" ca="1" si="112"/>
        <v>2.9474740587809301E-2</v>
      </c>
      <c r="AA448" s="24">
        <f t="shared" ca="1" si="113"/>
        <v>5.0464228692479463E-2</v>
      </c>
      <c r="AB448" s="9" cm="1">
        <f t="array" aca="1" ref="AB448" ca="1">_xll.BDH($E$8,"PX LAST",AG448)</f>
        <v>5375.32</v>
      </c>
      <c r="AC448" s="9" cm="1">
        <f t="array" aca="1" ref="AC448" ca="1">_xll.BDH($E$8,"PX LAST",AH448)</f>
        <v>5291.34</v>
      </c>
      <c r="AD448" s="9" cm="1">
        <f t="array" aca="1" ref="AD448" ca="1">_xll.BDH($E$8,"PX LAST",AI448)</f>
        <v>5306.04</v>
      </c>
      <c r="AE448" s="9" cm="1">
        <f t="array" aca="1" ref="AE448" ca="1">_xll.BDH($E$8,"PX LAST",AJ448)</f>
        <v>5221.42</v>
      </c>
      <c r="AF448" s="9" cm="1">
        <f t="array" aca="1" ref="AF448" ca="1">_xll.BDH($E$8,"PX LAST",AK448)</f>
        <v>5117.09</v>
      </c>
      <c r="AG448" s="20">
        <f t="shared" ca="1" si="119"/>
        <v>45454</v>
      </c>
      <c r="AH448" s="22">
        <f t="shared" ca="1" si="114"/>
        <v>45447</v>
      </c>
      <c r="AI448" s="22">
        <f t="shared" ca="1" si="115"/>
        <v>45440</v>
      </c>
      <c r="AJ448" s="22">
        <f t="shared" ca="1" si="116"/>
        <v>45425</v>
      </c>
      <c r="AK448" s="22">
        <f t="shared" ca="1" si="117"/>
        <v>45366</v>
      </c>
      <c r="AL448" s="22">
        <f t="shared" ca="1" si="118"/>
        <v>45278</v>
      </c>
    </row>
    <row r="449" spans="4:38" x14ac:dyDescent="0.25">
      <c r="D449" s="6">
        <f ca="1"/>
        <v>45453</v>
      </c>
      <c r="E449" s="28">
        <f ca="1"/>
        <v>179.74</v>
      </c>
      <c r="F449" s="29" cm="1">
        <f t="array" aca="1" ref="F449" ca="1">_xll.FDS($E$7,"P_BETA_LOCIDX("&amp;$AG449&amp;","&amp;$AL449&amp;",,"""&amp;$E$9&amp;""")")</f>
        <v>2.4993979999999998</v>
      </c>
      <c r="G449" s="30">
        <f t="shared" ca="1" si="104"/>
        <v>-2.2104751941277381E-2</v>
      </c>
      <c r="H449" s="30">
        <f t="shared" ca="1" si="104"/>
        <v>-8.6257112616683757E-2</v>
      </c>
      <c r="I449" s="30">
        <f t="shared" ca="1" si="104"/>
        <v>-4.4147992774493799E-2</v>
      </c>
      <c r="J449" s="30">
        <f t="shared" ca="1" si="102"/>
        <v>2.4626499133307847E-2</v>
      </c>
      <c r="K449" s="30">
        <f t="shared" ca="1" si="105"/>
        <v>3.6610593788091408E-2</v>
      </c>
      <c r="L449" s="30">
        <f t="shared" ca="1" si="105"/>
        <v>2.6418217334750551E-2</v>
      </c>
      <c r="M449" s="30">
        <f t="shared" ca="1" si="105"/>
        <v>6.6094774671241613E-2</v>
      </c>
      <c r="N449" s="30">
        <f t="shared" ca="1" si="103"/>
        <v>0.10205813698529063</v>
      </c>
      <c r="O449" s="30">
        <f t="shared" ca="1" si="106"/>
        <v>1.4505841846814027E-2</v>
      </c>
      <c r="P449" s="30">
        <f t="shared" ca="1" si="107"/>
        <v>-5.9838895281933202E-2</v>
      </c>
      <c r="Q449" s="30">
        <f t="shared" ca="1" si="108"/>
        <v>2.1946781896747813E-2</v>
      </c>
      <c r="R449" s="30">
        <f t="shared" ca="1" si="109"/>
        <v>0.12668463611859848</v>
      </c>
      <c r="S449" s="9" cm="1">
        <f t="array" aca="1" ref="S449" ca="1">_xll.BDH($E$6,"PX LAST",AG449)</f>
        <v>179.74</v>
      </c>
      <c r="T449" s="9" cm="1">
        <f t="array" aca="1" ref="T449" ca="1">_xll.BDH($E$6,"PX LAST",AH449)</f>
        <v>177.17</v>
      </c>
      <c r="U449" s="9" cm="1">
        <f t="array" aca="1" ref="U449" ca="1">_xll.BDH($E$6,"PX LAST",AI449)</f>
        <v>191.18</v>
      </c>
      <c r="V449" s="9" cm="1">
        <f t="array" aca="1" ref="V449" ca="1">_xll.BDH($E$6,"PX LAST",AJ449)</f>
        <v>175.88</v>
      </c>
      <c r="W449" s="9" cm="1">
        <f t="array" aca="1" ref="W449" ca="1">_xll.BDH($E$6,"PX LAST",AK449)</f>
        <v>159.53</v>
      </c>
      <c r="X449" s="24">
        <f t="shared" ca="1" si="110"/>
        <v>1.4647764696975596E-2</v>
      </c>
      <c r="Y449" s="24">
        <f t="shared" ca="1" si="111"/>
        <v>1.0569832149481817E-2</v>
      </c>
      <c r="Z449" s="24">
        <f t="shared" ca="1" si="112"/>
        <v>2.6444277650554904E-2</v>
      </c>
      <c r="AA449" s="24">
        <f t="shared" ca="1" si="113"/>
        <v>4.0833087401562551E-2</v>
      </c>
      <c r="AB449" s="9" cm="1">
        <f t="array" aca="1" ref="AB449" ca="1">_xll.BDH($E$8,"PX LAST",AG449)</f>
        <v>5360.79</v>
      </c>
      <c r="AC449" s="9" cm="1">
        <f t="array" aca="1" ref="AC449" ca="1">_xll.BDH($E$8,"PX LAST",AH449)</f>
        <v>5283.4</v>
      </c>
      <c r="AD449" s="9" cm="1">
        <f t="array" aca="1" ref="AD449" ca="1">_xll.BDH($E$8,"PX LAST",AI449)</f>
        <v>5304.72</v>
      </c>
      <c r="AE449" s="9" cm="1">
        <f t="array" aca="1" ref="AE449" ca="1">_xll.BDH($E$8,"PX LAST",AJ449)</f>
        <v>5222.68</v>
      </c>
      <c r="AF449" s="9" cm="1">
        <f t="array" aca="1" ref="AF449" ca="1">_xll.BDH($E$8,"PX LAST",AK449)</f>
        <v>5150.4799999999996</v>
      </c>
      <c r="AG449" s="20">
        <f t="shared" ca="1" si="119"/>
        <v>45453</v>
      </c>
      <c r="AH449" s="22">
        <f t="shared" ca="1" si="114"/>
        <v>45446</v>
      </c>
      <c r="AI449" s="22">
        <f t="shared" ca="1" si="115"/>
        <v>45436</v>
      </c>
      <c r="AJ449" s="22">
        <f t="shared" ca="1" si="116"/>
        <v>45422</v>
      </c>
      <c r="AK449" s="22">
        <f t="shared" ca="1" si="117"/>
        <v>45365</v>
      </c>
      <c r="AL449" s="22">
        <f t="shared" ca="1" si="118"/>
        <v>45275</v>
      </c>
    </row>
    <row r="450" spans="4:38" x14ac:dyDescent="0.25">
      <c r="D450" s="6">
        <f ca="1"/>
        <v>45450</v>
      </c>
      <c r="E450" s="28">
        <f ca="1"/>
        <v>176.38</v>
      </c>
      <c r="F450" s="29" cm="1">
        <f t="array" aca="1" ref="F450" ca="1">_xll.FDS($E$7,"P_BETA_LOCIDX("&amp;$AG450&amp;","&amp;$AL450&amp;",,"""&amp;$E$9&amp;""")")</f>
        <v>2.5068077999999998</v>
      </c>
      <c r="G450" s="30">
        <f t="shared" ca="1" si="104"/>
        <v>-5.0329746165667405E-2</v>
      </c>
      <c r="H450" s="30">
        <f t="shared" ca="1" si="104"/>
        <v>-9.2535982779869644E-2</v>
      </c>
      <c r="I450" s="30">
        <f t="shared" ca="1" si="104"/>
        <v>-5.7452090087777019E-2</v>
      </c>
      <c r="J450" s="30">
        <f t="shared" ca="1" si="102"/>
        <v>-7.6772416167132235E-3</v>
      </c>
      <c r="K450" s="30">
        <f t="shared" ca="1" si="105"/>
        <v>3.3002875587919228E-2</v>
      </c>
      <c r="L450" s="30">
        <f t="shared" ca="1" si="105"/>
        <v>3.7665122207583682E-2</v>
      </c>
      <c r="M450" s="30">
        <f t="shared" ca="1" si="105"/>
        <v>6.3900021614167801E-2</v>
      </c>
      <c r="N450" s="30">
        <f t="shared" ca="1" si="103"/>
        <v>8.8172218338105054E-2</v>
      </c>
      <c r="O450" s="30">
        <f t="shared" ca="1" si="106"/>
        <v>-1.7326870577748177E-2</v>
      </c>
      <c r="P450" s="30">
        <f t="shared" ca="1" si="107"/>
        <v>-5.4870860572285962E-2</v>
      </c>
      <c r="Q450" s="30">
        <f t="shared" ca="1" si="108"/>
        <v>6.4479315263907822E-3</v>
      </c>
      <c r="R450" s="30">
        <f t="shared" ca="1" si="109"/>
        <v>8.0494976721391831E-2</v>
      </c>
      <c r="S450" s="9" cm="1">
        <f t="array" aca="1" ref="S450" ca="1">_xll.BDH($E$6,"PX LAST",AG450)</f>
        <v>176.38</v>
      </c>
      <c r="T450" s="9" cm="1">
        <f t="array" aca="1" ref="T450" ca="1">_xll.BDH($E$6,"PX LAST",AH450)</f>
        <v>179.49</v>
      </c>
      <c r="U450" s="9" cm="1">
        <f t="array" aca="1" ref="U450" ca="1">_xll.BDH($E$6,"PX LAST",AI450)</f>
        <v>186.62</v>
      </c>
      <c r="V450" s="9" cm="1">
        <f t="array" aca="1" ref="V450" ca="1">_xll.BDH($E$6,"PX LAST",AJ450)</f>
        <v>175.25</v>
      </c>
      <c r="W450" s="9" cm="1">
        <f t="array" aca="1" ref="W450" ca="1">_xll.BDH($E$6,"PX LAST",AK450)</f>
        <v>163.24</v>
      </c>
      <c r="X450" s="24">
        <f t="shared" ca="1" si="110"/>
        <v>1.3165299544671605E-2</v>
      </c>
      <c r="Y450" s="24">
        <f t="shared" ca="1" si="111"/>
        <v>1.5025133641112687E-2</v>
      </c>
      <c r="Z450" s="24">
        <f t="shared" ca="1" si="112"/>
        <v>2.5490594697434643E-2</v>
      </c>
      <c r="AA450" s="24">
        <f t="shared" ca="1" si="113"/>
        <v>3.5173106744803118E-2</v>
      </c>
      <c r="AB450" s="9" cm="1">
        <f t="array" aca="1" ref="AB450" ca="1">_xll.BDH($E$8,"PX LAST",AG450)</f>
        <v>5346.99</v>
      </c>
      <c r="AC450" s="9" cm="1">
        <f t="array" aca="1" ref="AC450" ca="1">_xll.BDH($E$8,"PX LAST",AH450)</f>
        <v>5277.51</v>
      </c>
      <c r="AD450" s="9" cm="1">
        <f t="array" aca="1" ref="AD450" ca="1">_xll.BDH($E$8,"PX LAST",AI450)</f>
        <v>5267.84</v>
      </c>
      <c r="AE450" s="9" cm="1">
        <f t="array" aca="1" ref="AE450" ca="1">_xll.BDH($E$8,"PX LAST",AJ450)</f>
        <v>5214.08</v>
      </c>
      <c r="AF450" s="9" cm="1">
        <f t="array" aca="1" ref="AF450" ca="1">_xll.BDH($E$8,"PX LAST",AK450)</f>
        <v>5165.3100000000004</v>
      </c>
      <c r="AG450" s="20">
        <f t="shared" ca="1" si="119"/>
        <v>45450</v>
      </c>
      <c r="AH450" s="22">
        <f t="shared" ca="1" si="114"/>
        <v>45443</v>
      </c>
      <c r="AI450" s="22">
        <f t="shared" ca="1" si="115"/>
        <v>45435</v>
      </c>
      <c r="AJ450" s="22">
        <f t="shared" ca="1" si="116"/>
        <v>45421</v>
      </c>
      <c r="AK450" s="22">
        <f t="shared" ca="1" si="117"/>
        <v>45364</v>
      </c>
      <c r="AL450" s="22">
        <f t="shared" ca="1" si="118"/>
        <v>45274</v>
      </c>
    </row>
    <row r="451" spans="4:38" x14ac:dyDescent="0.25">
      <c r="D451" s="6">
        <f ca="1"/>
        <v>45449</v>
      </c>
      <c r="E451" s="28">
        <f ca="1"/>
        <v>175.39</v>
      </c>
      <c r="F451" s="29" cm="1">
        <f t="array" aca="1" ref="F451" ca="1">_xll.FDS($E$7,"P_BETA_LOCIDX("&amp;$AG451&amp;","&amp;$AL451&amp;",,"""&amp;$E$9&amp;""")")</f>
        <v>2.4777019999999998</v>
      </c>
      <c r="G451" s="30">
        <f t="shared" ca="1" si="104"/>
        <v>-7.499830740270505E-2</v>
      </c>
      <c r="H451" s="30">
        <f t="shared" ca="1" si="104"/>
        <v>-8.7832053006749622E-2</v>
      </c>
      <c r="I451" s="30">
        <f t="shared" ca="1" si="104"/>
        <v>-6.909906686182711E-2</v>
      </c>
      <c r="J451" s="30">
        <f t="shared" ca="1" si="102"/>
        <v>-2.5498354904047033E-3</v>
      </c>
      <c r="K451" s="30">
        <f t="shared" ca="1" si="105"/>
        <v>5.5597658850764814E-2</v>
      </c>
      <c r="L451" s="30">
        <f t="shared" ca="1" si="105"/>
        <v>2.1452834439731512E-2</v>
      </c>
      <c r="M451" s="30">
        <f t="shared" ca="1" si="105"/>
        <v>7.8944760090753699E-2</v>
      </c>
      <c r="N451" s="30">
        <f t="shared" ca="1" si="103"/>
        <v>8.5070511950100888E-2</v>
      </c>
      <c r="O451" s="30">
        <f t="shared" ca="1" si="106"/>
        <v>-1.9400648551940236E-2</v>
      </c>
      <c r="P451" s="30">
        <f t="shared" ca="1" si="107"/>
        <v>-6.6379218567018117E-2</v>
      </c>
      <c r="Q451" s="30">
        <f t="shared" ca="1" si="108"/>
        <v>9.8456932289265886E-3</v>
      </c>
      <c r="R451" s="30">
        <f t="shared" ca="1" si="109"/>
        <v>8.2520676459696185E-2</v>
      </c>
      <c r="S451" s="9" cm="1">
        <f t="array" aca="1" ref="S451" ca="1">_xll.BDH($E$6,"PX LAST",AG451)</f>
        <v>175.39</v>
      </c>
      <c r="T451" s="9" cm="1">
        <f t="array" aca="1" ref="T451" ca="1">_xll.BDH($E$6,"PX LAST",AH451)</f>
        <v>178.86</v>
      </c>
      <c r="U451" s="9" cm="1">
        <f t="array" aca="1" ref="U451" ca="1">_xll.BDH($E$6,"PX LAST",AI451)</f>
        <v>187.86</v>
      </c>
      <c r="V451" s="9" cm="1">
        <f t="array" aca="1" ref="V451" ca="1">_xll.BDH($E$6,"PX LAST",AJ451)</f>
        <v>173.68</v>
      </c>
      <c r="W451" s="9" cm="1">
        <f t="array" aca="1" ref="W451" ca="1">_xll.BDH($E$6,"PX LAST",AK451)</f>
        <v>162.02000000000001</v>
      </c>
      <c r="X451" s="24">
        <f t="shared" ca="1" si="110"/>
        <v>2.243920328222071E-2</v>
      </c>
      <c r="Y451" s="24">
        <f t="shared" ca="1" si="111"/>
        <v>8.6583594151885546E-3</v>
      </c>
      <c r="Z451" s="24">
        <f t="shared" ca="1" si="112"/>
        <v>3.1862088374935205E-2</v>
      </c>
      <c r="AA451" s="24">
        <f t="shared" ca="1" si="113"/>
        <v>3.4334440521943677E-2</v>
      </c>
      <c r="AB451" s="9" cm="1">
        <f t="array" aca="1" ref="AB451" ca="1">_xll.BDH($E$8,"PX LAST",AG451)</f>
        <v>5352.96</v>
      </c>
      <c r="AC451" s="9" cm="1">
        <f t="array" aca="1" ref="AC451" ca="1">_xll.BDH($E$8,"PX LAST",AH451)</f>
        <v>5235.4799999999996</v>
      </c>
      <c r="AD451" s="9" cm="1">
        <f t="array" aca="1" ref="AD451" ca="1">_xll.BDH($E$8,"PX LAST",AI451)</f>
        <v>5307.01</v>
      </c>
      <c r="AE451" s="9" cm="1">
        <f t="array" aca="1" ref="AE451" ca="1">_xll.BDH($E$8,"PX LAST",AJ451)</f>
        <v>5187.67</v>
      </c>
      <c r="AF451" s="9" cm="1">
        <f t="array" aca="1" ref="AF451" ca="1">_xll.BDH($E$8,"PX LAST",AK451)</f>
        <v>5175.2700000000004</v>
      </c>
      <c r="AG451" s="20">
        <f t="shared" ca="1" si="119"/>
        <v>45449</v>
      </c>
      <c r="AH451" s="22">
        <f t="shared" ca="1" si="114"/>
        <v>45442</v>
      </c>
      <c r="AI451" s="22">
        <f t="shared" ca="1" si="115"/>
        <v>45434</v>
      </c>
      <c r="AJ451" s="22">
        <f t="shared" ca="1" si="116"/>
        <v>45420</v>
      </c>
      <c r="AK451" s="22">
        <f t="shared" ca="1" si="117"/>
        <v>45363</v>
      </c>
      <c r="AL451" s="22">
        <f t="shared" ca="1" si="118"/>
        <v>45273</v>
      </c>
    </row>
    <row r="452" spans="4:38" x14ac:dyDescent="0.25">
      <c r="D452" s="6">
        <f ca="1"/>
        <v>45448</v>
      </c>
      <c r="E452" s="28">
        <f ca="1"/>
        <v>177.98</v>
      </c>
      <c r="F452" s="29" cm="1">
        <f t="array" aca="1" ref="F452" ca="1">_xll.FDS($E$7,"P_BETA_LOCIDX("&amp;$AG452&amp;","&amp;$AL452&amp;",,"""&amp;$E$9&amp;""")")</f>
        <v>2.4717033000000002</v>
      </c>
      <c r="G452" s="30">
        <f t="shared" ca="1" si="104"/>
        <v>-3.4475786228905278E-2</v>
      </c>
      <c r="H452" s="30">
        <f t="shared" ca="1" si="104"/>
        <v>-6.9957588602708454E-2</v>
      </c>
      <c r="I452" s="30">
        <f t="shared" ca="1" si="104"/>
        <v>-9.3100636648921431E-2</v>
      </c>
      <c r="J452" s="30">
        <f t="shared" ca="1" si="102"/>
        <v>1.6084101749172755E-2</v>
      </c>
      <c r="K452" s="30">
        <f t="shared" ca="1" si="105"/>
        <v>4.0865381931478081E-2</v>
      </c>
      <c r="L452" s="30">
        <f t="shared" ca="1" si="105"/>
        <v>1.5151428220339819E-2</v>
      </c>
      <c r="M452" s="30">
        <f t="shared" ca="1" si="105"/>
        <v>7.9248686294311477E-2</v>
      </c>
      <c r="N452" s="30">
        <f t="shared" ca="1" si="103"/>
        <v>0.11401939688566097</v>
      </c>
      <c r="O452" s="30">
        <f t="shared" ca="1" si="106"/>
        <v>6.3895957025728034E-3</v>
      </c>
      <c r="P452" s="30">
        <f t="shared" ca="1" si="107"/>
        <v>-5.4806160382368629E-2</v>
      </c>
      <c r="Q452" s="30">
        <f t="shared" ca="1" si="108"/>
        <v>-1.3851950354609954E-2</v>
      </c>
      <c r="R452" s="30">
        <f t="shared" ca="1" si="109"/>
        <v>0.13010349863483373</v>
      </c>
      <c r="S452" s="9" cm="1">
        <f t="array" aca="1" ref="S452" ca="1">_xll.BDH($E$6,"PX LAST",AG452)</f>
        <v>177.98</v>
      </c>
      <c r="T452" s="9" cm="1">
        <f t="array" aca="1" ref="T452" ca="1">_xll.BDH($E$6,"PX LAST",AH452)</f>
        <v>176.85</v>
      </c>
      <c r="U452" s="9" cm="1">
        <f t="array" aca="1" ref="U452" ca="1">_xll.BDH($E$6,"PX LAST",AI452)</f>
        <v>188.3</v>
      </c>
      <c r="V452" s="9" cm="1">
        <f t="array" aca="1" ref="V452" ca="1">_xll.BDH($E$6,"PX LAST",AJ452)</f>
        <v>180.48</v>
      </c>
      <c r="W452" s="9" cm="1">
        <f t="array" aca="1" ref="W452" ca="1">_xll.BDH($E$6,"PX LAST",AK452)</f>
        <v>157.49</v>
      </c>
      <c r="X452" s="24">
        <f t="shared" ca="1" si="110"/>
        <v>1.6533287766164362E-2</v>
      </c>
      <c r="Y452" s="24">
        <f t="shared" ca="1" si="111"/>
        <v>6.1299542790349548E-3</v>
      </c>
      <c r="Z452" s="24">
        <f t="shared" ca="1" si="112"/>
        <v>3.206237831794434E-2</v>
      </c>
      <c r="AA452" s="24">
        <f t="shared" ca="1" si="113"/>
        <v>4.6129888197204316E-2</v>
      </c>
      <c r="AB452" s="9" cm="1">
        <f t="array" aca="1" ref="AB452" ca="1">_xll.BDH($E$8,"PX LAST",AG452)</f>
        <v>5354.03</v>
      </c>
      <c r="AC452" s="9" cm="1">
        <f t="array" aca="1" ref="AC452" ca="1">_xll.BDH($E$8,"PX LAST",AH452)</f>
        <v>5266.95</v>
      </c>
      <c r="AD452" s="9" cm="1">
        <f t="array" aca="1" ref="AD452" ca="1">_xll.BDH($E$8,"PX LAST",AI452)</f>
        <v>5321.41</v>
      </c>
      <c r="AE452" s="9" cm="1">
        <f t="array" aca="1" ref="AE452" ca="1">_xll.BDH($E$8,"PX LAST",AJ452)</f>
        <v>5187.7</v>
      </c>
      <c r="AF452" s="9" cm="1">
        <f t="array" aca="1" ref="AF452" ca="1">_xll.BDH($E$8,"PX LAST",AK452)</f>
        <v>5117.9399999999996</v>
      </c>
      <c r="AG452" s="20">
        <f t="shared" ca="1" si="119"/>
        <v>45448</v>
      </c>
      <c r="AH452" s="22">
        <f t="shared" ca="1" si="114"/>
        <v>45441</v>
      </c>
      <c r="AI452" s="22">
        <f t="shared" ca="1" si="115"/>
        <v>45433</v>
      </c>
      <c r="AJ452" s="22">
        <f t="shared" ca="1" si="116"/>
        <v>45419</v>
      </c>
      <c r="AK452" s="22">
        <f t="shared" ca="1" si="117"/>
        <v>45362</v>
      </c>
      <c r="AL452" s="22">
        <f t="shared" ca="1" si="118"/>
        <v>45272</v>
      </c>
    </row>
    <row r="453" spans="4:38" x14ac:dyDescent="0.25">
      <c r="D453" s="6">
        <f ca="1"/>
        <v>45447</v>
      </c>
      <c r="E453" s="28">
        <f ca="1"/>
        <v>172.6</v>
      </c>
      <c r="F453" s="29" cm="1">
        <f t="array" aca="1" ref="F453" ca="1">_xll.FDS($E$7,"P_BETA_LOCIDX("&amp;$AG453&amp;","&amp;$AL453&amp;",,"""&amp;$E$9&amp;""")")</f>
        <v>2.4771093999999998</v>
      </c>
      <c r="G453" s="30">
        <f t="shared" ca="1" si="104"/>
        <v>-6.2779434699066522E-2</v>
      </c>
      <c r="H453" s="30">
        <f t="shared" ca="1" si="104"/>
        <v>-7.4079617008121476E-2</v>
      </c>
      <c r="I453" s="30">
        <f t="shared" ca="1" si="104"/>
        <v>-5.4559445664521353E-2</v>
      </c>
      <c r="J453" s="30">
        <f t="shared" ca="1" si="102"/>
        <v>-8.1708024648219357E-4</v>
      </c>
      <c r="K453" s="30">
        <f t="shared" ca="1" si="105"/>
        <v>-6.862652407445013E-3</v>
      </c>
      <c r="L453" s="30">
        <f t="shared" ca="1" si="105"/>
        <v>-7.835276608899832E-3</v>
      </c>
      <c r="M453" s="30">
        <f t="shared" ca="1" si="105"/>
        <v>5.2882078552484876E-2</v>
      </c>
      <c r="N453" s="30">
        <f t="shared" ca="1" si="103"/>
        <v>8.1052403816390672E-2</v>
      </c>
      <c r="O453" s="30">
        <f t="shared" ca="1" si="106"/>
        <v>-6.9642087106511541E-2</v>
      </c>
      <c r="P453" s="30">
        <f t="shared" ca="1" si="107"/>
        <v>-8.1914893617021312E-2</v>
      </c>
      <c r="Q453" s="30">
        <f t="shared" ca="1" si="108"/>
        <v>-1.6773671120364764E-3</v>
      </c>
      <c r="R453" s="30">
        <f t="shared" ca="1" si="109"/>
        <v>8.0235323569908479E-2</v>
      </c>
      <c r="S453" s="9" cm="1">
        <f t="array" aca="1" ref="S453" ca="1">_xll.BDH($E$6,"PX LAST",AG453)</f>
        <v>172.6</v>
      </c>
      <c r="T453" s="9" cm="1">
        <f t="array" aca="1" ref="T453" ca="1">_xll.BDH($E$6,"PX LAST",AH453)</f>
        <v>185.52</v>
      </c>
      <c r="U453" s="9" cm="1">
        <f t="array" aca="1" ref="U453" ca="1">_xll.BDH($E$6,"PX LAST",AI453)</f>
        <v>188</v>
      </c>
      <c r="V453" s="9" cm="1">
        <f t="array" aca="1" ref="V453" ca="1">_xll.BDH($E$6,"PX LAST",AJ453)</f>
        <v>172.89</v>
      </c>
      <c r="W453" s="9" cm="1">
        <f t="array" aca="1" ref="W453" ca="1">_xll.BDH($E$6,"PX LAST",AK453)</f>
        <v>159.78</v>
      </c>
      <c r="X453" s="24">
        <f t="shared" ca="1" si="110"/>
        <v>-2.7704276635682756E-3</v>
      </c>
      <c r="Y453" s="24">
        <f t="shared" ca="1" si="111"/>
        <v>-3.1630724944565758E-3</v>
      </c>
      <c r="Z453" s="24">
        <f t="shared" ca="1" si="112"/>
        <v>2.1348301593980823E-2</v>
      </c>
      <c r="AA453" s="24">
        <f t="shared" ca="1" si="113"/>
        <v>3.272055881600977E-2</v>
      </c>
      <c r="AB453" s="9" cm="1">
        <f t="array" aca="1" ref="AB453" ca="1">_xll.BDH($E$8,"PX LAST",AG453)</f>
        <v>5291.34</v>
      </c>
      <c r="AC453" s="9" cm="1">
        <f t="array" aca="1" ref="AC453" ca="1">_xll.BDH($E$8,"PX LAST",AH453)</f>
        <v>5306.04</v>
      </c>
      <c r="AD453" s="9" cm="1">
        <f t="array" aca="1" ref="AD453" ca="1">_xll.BDH($E$8,"PX LAST",AI453)</f>
        <v>5308.13</v>
      </c>
      <c r="AE453" s="9" cm="1">
        <f t="array" aca="1" ref="AE453" ca="1">_xll.BDH($E$8,"PX LAST",AJ453)</f>
        <v>5180.74</v>
      </c>
      <c r="AF453" s="9" cm="1">
        <f t="array" aca="1" ref="AF453" ca="1">_xll.BDH($E$8,"PX LAST",AK453)</f>
        <v>5123.6899999999996</v>
      </c>
      <c r="AG453" s="20">
        <f t="shared" ca="1" si="119"/>
        <v>45447</v>
      </c>
      <c r="AH453" s="22">
        <f t="shared" ca="1" si="114"/>
        <v>45440</v>
      </c>
      <c r="AI453" s="22">
        <f t="shared" ca="1" si="115"/>
        <v>45432</v>
      </c>
      <c r="AJ453" s="22">
        <f t="shared" ca="1" si="116"/>
        <v>45418</v>
      </c>
      <c r="AK453" s="22">
        <f t="shared" ca="1" si="117"/>
        <v>45359</v>
      </c>
      <c r="AL453" s="22">
        <f t="shared" ca="1" si="118"/>
        <v>45271</v>
      </c>
    </row>
    <row r="454" spans="4:38" x14ac:dyDescent="0.25">
      <c r="D454" s="6">
        <f ca="1"/>
        <v>45446</v>
      </c>
      <c r="E454" s="28">
        <f ca="1"/>
        <v>177.17</v>
      </c>
      <c r="F454" s="29" cm="1">
        <f t="array" aca="1" ref="F454" ca="1">_xll.FDS($E$7,"P_BETA_LOCIDX("&amp;$AG454&amp;","&amp;$AL454&amp;",,"""&amp;$E$9&amp;""")")</f>
        <v>2.4845487999999998</v>
      </c>
      <c r="G454" s="30">
        <f t="shared" ca="1" si="104"/>
        <v>-6.3296167691958075E-2</v>
      </c>
      <c r="H454" s="30">
        <f t="shared" ca="1" si="104"/>
        <v>-3.32741150257242E-2</v>
      </c>
      <c r="I454" s="30">
        <f t="shared" ca="1" si="104"/>
        <v>-1.8927241254823049E-2</v>
      </c>
      <c r="J454" s="30">
        <f t="shared" ca="1" si="102"/>
        <v>4.4589586443445933E-2</v>
      </c>
      <c r="K454" s="30">
        <f t="shared" ca="1" si="105"/>
        <v>-9.9855563377522633E-3</v>
      </c>
      <c r="L454" s="30">
        <f t="shared" ca="1" si="105"/>
        <v>-9.3089706268022435E-3</v>
      </c>
      <c r="M454" s="30">
        <f t="shared" ca="1" si="105"/>
        <v>7.5397127957267954E-2</v>
      </c>
      <c r="N454" s="30">
        <f t="shared" ca="1" si="103"/>
        <v>6.071954076349137E-2</v>
      </c>
      <c r="O454" s="30">
        <f t="shared" ca="1" si="106"/>
        <v>-7.3281724029710338E-2</v>
      </c>
      <c r="P454" s="30">
        <f t="shared" ca="1" si="107"/>
        <v>-4.2583085652526442E-2</v>
      </c>
      <c r="Q454" s="30">
        <f t="shared" ca="1" si="108"/>
        <v>5.6469886702444905E-2</v>
      </c>
      <c r="R454" s="30">
        <f t="shared" ca="1" si="109"/>
        <v>0.1053091272069373</v>
      </c>
      <c r="S454" s="9" cm="1">
        <f t="array" aca="1" ref="S454" ca="1">_xll.BDH($E$6,"PX LAST",AG454)</f>
        <v>177.17</v>
      </c>
      <c r="T454" s="9" cm="1">
        <f t="array" aca="1" ref="T454" ca="1">_xll.BDH($E$6,"PX LAST",AH454)</f>
        <v>191.18</v>
      </c>
      <c r="U454" s="9" cm="1">
        <f t="array" aca="1" ref="U454" ca="1">_xll.BDH($E$6,"PX LAST",AI454)</f>
        <v>185.05</v>
      </c>
      <c r="V454" s="9" cm="1">
        <f t="array" aca="1" ref="V454" ca="1">_xll.BDH($E$6,"PX LAST",AJ454)</f>
        <v>167.7</v>
      </c>
      <c r="W454" s="9" cm="1">
        <f t="array" aca="1" ref="W454" ca="1">_xll.BDH($E$6,"PX LAST",AK454)</f>
        <v>160.29</v>
      </c>
      <c r="X454" s="24">
        <f t="shared" ca="1" si="110"/>
        <v>-4.0190622690736699E-3</v>
      </c>
      <c r="Y454" s="24">
        <f t="shared" ca="1" si="111"/>
        <v>-3.7467449328434377E-3</v>
      </c>
      <c r="Z454" s="24">
        <f t="shared" ca="1" si="112"/>
        <v>3.0346406541609472E-2</v>
      </c>
      <c r="AA454" s="24">
        <f t="shared" ca="1" si="113"/>
        <v>2.4438860192036227E-2</v>
      </c>
      <c r="AB454" s="9" cm="1">
        <f t="array" aca="1" ref="AB454" ca="1">_xll.BDH($E$8,"PX LAST",AG454)</f>
        <v>5283.4</v>
      </c>
      <c r="AC454" s="9" cm="1">
        <f t="array" aca="1" ref="AC454" ca="1">_xll.BDH($E$8,"PX LAST",AH454)</f>
        <v>5304.72</v>
      </c>
      <c r="AD454" s="9" cm="1">
        <f t="array" aca="1" ref="AD454" ca="1">_xll.BDH($E$8,"PX LAST",AI454)</f>
        <v>5303.27</v>
      </c>
      <c r="AE454" s="9" cm="1">
        <f t="array" aca="1" ref="AE454" ca="1">_xll.BDH($E$8,"PX LAST",AJ454)</f>
        <v>5127.79</v>
      </c>
      <c r="AF454" s="9" cm="1">
        <f t="array" aca="1" ref="AF454" ca="1">_xll.BDH($E$8,"PX LAST",AK454)</f>
        <v>5157.3599999999997</v>
      </c>
      <c r="AG454" s="20">
        <f t="shared" ca="1" si="119"/>
        <v>45446</v>
      </c>
      <c r="AH454" s="22">
        <f t="shared" ca="1" si="114"/>
        <v>45436</v>
      </c>
      <c r="AI454" s="22">
        <f t="shared" ca="1" si="115"/>
        <v>45429</v>
      </c>
      <c r="AJ454" s="22">
        <f t="shared" ca="1" si="116"/>
        <v>45415</v>
      </c>
      <c r="AK454" s="22">
        <f t="shared" ca="1" si="117"/>
        <v>45358</v>
      </c>
      <c r="AL454" s="22">
        <f t="shared" ca="1" si="118"/>
        <v>45268</v>
      </c>
    </row>
    <row r="455" spans="4:38" x14ac:dyDescent="0.25">
      <c r="D455" s="6">
        <f ca="1"/>
        <v>45443</v>
      </c>
      <c r="E455" s="28">
        <f ca="1"/>
        <v>179.49</v>
      </c>
      <c r="F455" s="29" cm="1">
        <f t="array" aca="1" ref="F455" ca="1">_xll.FDS($E$7,"P_BETA_LOCIDX("&amp;$AG455&amp;","&amp;$AL455&amp;",,"""&amp;$E$9&amp;""")")</f>
        <v>2.4638382999999999</v>
      </c>
      <c r="G455" s="30">
        <f t="shared" ca="1" si="104"/>
        <v>-4.272876670404252E-2</v>
      </c>
      <c r="H455" s="30">
        <f t="shared" ca="1" si="104"/>
        <v>-4.2998618145695024E-3</v>
      </c>
      <c r="I455" s="30">
        <f t="shared" ca="1" si="104"/>
        <v>-1.6488727303056075E-2</v>
      </c>
      <c r="J455" s="30">
        <f t="shared" ca="1" si="102"/>
        <v>7.5593377559503711E-2</v>
      </c>
      <c r="K455" s="30">
        <f t="shared" ca="1" si="105"/>
        <v>4.5227866375973621E-3</v>
      </c>
      <c r="L455" s="30">
        <f t="shared" ca="1" si="105"/>
        <v>-9.1118899580903499E-3</v>
      </c>
      <c r="M455" s="30">
        <f t="shared" ca="1" si="105"/>
        <v>0.1037797377222467</v>
      </c>
      <c r="N455" s="30">
        <f t="shared" ca="1" si="103"/>
        <v>8.3378663507197331E-2</v>
      </c>
      <c r="O455" s="30">
        <f t="shared" ca="1" si="106"/>
        <v>-3.8205980066445155E-2</v>
      </c>
      <c r="P455" s="30">
        <f t="shared" ca="1" si="107"/>
        <v>-1.3411751772659852E-2</v>
      </c>
      <c r="Q455" s="30">
        <f t="shared" ca="1" si="108"/>
        <v>8.7291010419190629E-2</v>
      </c>
      <c r="R455" s="30">
        <f t="shared" ca="1" si="109"/>
        <v>0.15897204106670104</v>
      </c>
      <c r="S455" s="9" cm="1">
        <f t="array" aca="1" ref="S455" ca="1">_xll.BDH($E$6,"PX LAST",AG455)</f>
        <v>179.49</v>
      </c>
      <c r="T455" s="9" cm="1">
        <f t="array" aca="1" ref="T455" ca="1">_xll.BDH($E$6,"PX LAST",AH455)</f>
        <v>186.62</v>
      </c>
      <c r="U455" s="9" cm="1">
        <f t="array" aca="1" ref="U455" ca="1">_xll.BDH($E$6,"PX LAST",AI455)</f>
        <v>181.93</v>
      </c>
      <c r="V455" s="9" cm="1">
        <f t="array" aca="1" ref="V455" ca="1">_xll.BDH($E$6,"PX LAST",AJ455)</f>
        <v>165.08</v>
      </c>
      <c r="W455" s="9" cm="1">
        <f t="array" aca="1" ref="W455" ca="1">_xll.BDH($E$6,"PX LAST",AK455)</f>
        <v>154.87</v>
      </c>
      <c r="X455" s="24">
        <f t="shared" ca="1" si="110"/>
        <v>1.8356669906451906E-3</v>
      </c>
      <c r="Y455" s="24">
        <f t="shared" ca="1" si="111"/>
        <v>-3.6982499858413398E-3</v>
      </c>
      <c r="Z455" s="24">
        <f t="shared" ca="1" si="112"/>
        <v>4.2121164251017085E-2</v>
      </c>
      <c r="AA455" s="24">
        <f t="shared" ca="1" si="113"/>
        <v>3.3840964119762784E-2</v>
      </c>
      <c r="AB455" s="9" cm="1">
        <f t="array" aca="1" ref="AB455" ca="1">_xll.BDH($E$8,"PX LAST",AG455)</f>
        <v>5277.51</v>
      </c>
      <c r="AC455" s="9" cm="1">
        <f t="array" aca="1" ref="AC455" ca="1">_xll.BDH($E$8,"PX LAST",AH455)</f>
        <v>5267.84</v>
      </c>
      <c r="AD455" s="9" cm="1">
        <f t="array" aca="1" ref="AD455" ca="1">_xll.BDH($E$8,"PX LAST",AI455)</f>
        <v>5297.1</v>
      </c>
      <c r="AE455" s="9" cm="1">
        <f t="array" aca="1" ref="AE455" ca="1">_xll.BDH($E$8,"PX LAST",AJ455)</f>
        <v>5064.2</v>
      </c>
      <c r="AF455" s="9" cm="1">
        <f t="array" aca="1" ref="AF455" ca="1">_xll.BDH($E$8,"PX LAST",AK455)</f>
        <v>5104.76</v>
      </c>
      <c r="AG455" s="20">
        <f t="shared" ca="1" si="119"/>
        <v>45443</v>
      </c>
      <c r="AH455" s="22">
        <f t="shared" ca="1" si="114"/>
        <v>45435</v>
      </c>
      <c r="AI455" s="22">
        <f t="shared" ca="1" si="115"/>
        <v>45428</v>
      </c>
      <c r="AJ455" s="22">
        <f t="shared" ca="1" si="116"/>
        <v>45414</v>
      </c>
      <c r="AK455" s="22">
        <f t="shared" ca="1" si="117"/>
        <v>45357</v>
      </c>
      <c r="AL455" s="22">
        <f t="shared" ca="1" si="118"/>
        <v>45267</v>
      </c>
    </row>
    <row r="456" spans="4:38" x14ac:dyDescent="0.25">
      <c r="D456" s="6">
        <f ca="1"/>
        <v>45442</v>
      </c>
      <c r="E456" s="28">
        <f ca="1"/>
        <v>178.86</v>
      </c>
      <c r="F456" s="29" cm="1">
        <f t="array" aca="1" ref="F456" ca="1">_xll.FDS($E$7,"P_BETA_LOCIDX("&amp;$AG456&amp;","&amp;$AL456&amp;",,"""&amp;$E$9&amp;""")")</f>
        <v>2.4806520000000001</v>
      </c>
      <c r="G456" s="30">
        <f t="shared" ca="1" si="104"/>
        <v>-1.4472798366578846E-2</v>
      </c>
      <c r="H456" s="30">
        <f t="shared" ca="1" si="104"/>
        <v>-6.0263257190845063E-3</v>
      </c>
      <c r="I456" s="30">
        <f t="shared" ca="1" si="104"/>
        <v>5.1109427724580839E-2</v>
      </c>
      <c r="J456" s="30">
        <f t="shared" ca="1" si="102"/>
        <v>8.0243095447505366E-2</v>
      </c>
      <c r="K456" s="30">
        <f t="shared" ca="1" si="105"/>
        <v>-3.3435218241533546E-2</v>
      </c>
      <c r="L456" s="30">
        <f t="shared" ca="1" si="105"/>
        <v>-3.3960792524702695E-2</v>
      </c>
      <c r="M456" s="30">
        <f t="shared" ca="1" si="105"/>
        <v>0.10731026139459009</v>
      </c>
      <c r="N456" s="30">
        <f t="shared" ca="1" si="103"/>
        <v>7.6603162879899031E-2</v>
      </c>
      <c r="O456" s="30">
        <f t="shared" ca="1" si="106"/>
        <v>-4.7908016608112391E-2</v>
      </c>
      <c r="P456" s="30">
        <f t="shared" ca="1" si="107"/>
        <v>-3.9987118243787201E-2</v>
      </c>
      <c r="Q456" s="30">
        <f t="shared" ca="1" si="108"/>
        <v>0.15841968911917093</v>
      </c>
      <c r="R456" s="30">
        <f t="shared" ca="1" si="109"/>
        <v>0.1568462583274044</v>
      </c>
      <c r="S456" s="9" cm="1">
        <f t="array" aca="1" ref="S456" ca="1">_xll.BDH($E$6,"PX LAST",AG456)</f>
        <v>178.86</v>
      </c>
      <c r="T456" s="9" cm="1">
        <f t="array" aca="1" ref="T456" ca="1">_xll.BDH($E$6,"PX LAST",AH456)</f>
        <v>187.86</v>
      </c>
      <c r="U456" s="9" cm="1">
        <f t="array" aca="1" ref="U456" ca="1">_xll.BDH($E$6,"PX LAST",AI456)</f>
        <v>186.31</v>
      </c>
      <c r="V456" s="9" cm="1">
        <f t="array" aca="1" ref="V456" ca="1">_xll.BDH($E$6,"PX LAST",AJ456)</f>
        <v>154.4</v>
      </c>
      <c r="W456" s="9" cm="1">
        <f t="array" aca="1" ref="W456" ca="1">_xll.BDH($E$6,"PX LAST",AK456)</f>
        <v>154.61000000000001</v>
      </c>
      <c r="X456" s="24">
        <f t="shared" ca="1" si="110"/>
        <v>-1.3478399324666879E-2</v>
      </c>
      <c r="Y456" s="24">
        <f t="shared" ca="1" si="111"/>
        <v>-1.3690268737695854E-2</v>
      </c>
      <c r="Z456" s="24">
        <f t="shared" ca="1" si="112"/>
        <v>4.3258893788645114E-2</v>
      </c>
      <c r="AA456" s="24">
        <f t="shared" ca="1" si="113"/>
        <v>3.0880253610703567E-2</v>
      </c>
      <c r="AB456" s="9" cm="1">
        <f t="array" aca="1" ref="AB456" ca="1">_xll.BDH($E$8,"PX LAST",AG456)</f>
        <v>5235.4799999999996</v>
      </c>
      <c r="AC456" s="9" cm="1">
        <f t="array" aca="1" ref="AC456" ca="1">_xll.BDH($E$8,"PX LAST",AH456)</f>
        <v>5307.01</v>
      </c>
      <c r="AD456" s="9" cm="1">
        <f t="array" aca="1" ref="AD456" ca="1">_xll.BDH($E$8,"PX LAST",AI456)</f>
        <v>5308.15</v>
      </c>
      <c r="AE456" s="9" cm="1">
        <f t="array" aca="1" ref="AE456" ca="1">_xll.BDH($E$8,"PX LAST",AJ456)</f>
        <v>5018.3900000000003</v>
      </c>
      <c r="AF456" s="9" cm="1">
        <f t="array" aca="1" ref="AF456" ca="1">_xll.BDH($E$8,"PX LAST",AK456)</f>
        <v>5078.6499999999996</v>
      </c>
      <c r="AG456" s="20">
        <f t="shared" ca="1" si="119"/>
        <v>45442</v>
      </c>
      <c r="AH456" s="22">
        <f t="shared" ca="1" si="114"/>
        <v>45434</v>
      </c>
      <c r="AI456" s="22">
        <f t="shared" ca="1" si="115"/>
        <v>45427</v>
      </c>
      <c r="AJ456" s="22">
        <f t="shared" ca="1" si="116"/>
        <v>45413</v>
      </c>
      <c r="AK456" s="22">
        <f t="shared" ca="1" si="117"/>
        <v>45356</v>
      </c>
      <c r="AL456" s="22">
        <f t="shared" ca="1" si="118"/>
        <v>45266</v>
      </c>
    </row>
    <row r="457" spans="4:38" x14ac:dyDescent="0.25">
      <c r="D457" s="6">
        <f ca="1"/>
        <v>45441</v>
      </c>
      <c r="E457" s="28">
        <f ca="1"/>
        <v>176.85</v>
      </c>
      <c r="F457" s="29" cm="1">
        <f t="array" aca="1" ref="F457" ca="1">_xll.FDS($E$7,"P_BETA_LOCIDX("&amp;$AG457&amp;","&amp;$AL457&amp;",,"""&amp;$E$9&amp;""")")</f>
        <v>2.5196692999999999</v>
      </c>
      <c r="G457" s="30">
        <f t="shared" ca="1" si="104"/>
        <v>-3.502060016002749E-2</v>
      </c>
      <c r="H457" s="30">
        <f t="shared" ca="1" si="104"/>
        <v>-2.5046283091108776E-2</v>
      </c>
      <c r="I457" s="30">
        <f t="shared" ca="1" si="104"/>
        <v>4.2060361247374445E-2</v>
      </c>
      <c r="J457" s="30">
        <f t="shared" ca="1" si="102"/>
        <v>0.10595947539789644</v>
      </c>
      <c r="K457" s="30">
        <f t="shared" ca="1" si="105"/>
        <v>-2.5786622357232294E-2</v>
      </c>
      <c r="L457" s="30">
        <f t="shared" ca="1" si="105"/>
        <v>9.7344790822001381E-3</v>
      </c>
      <c r="M457" s="30">
        <f t="shared" ca="1" si="105"/>
        <v>0.11571377950548967</v>
      </c>
      <c r="N457" s="30">
        <f t="shared" ca="1" si="103"/>
        <v>6.6785882692289217E-2</v>
      </c>
      <c r="O457" s="30">
        <f t="shared" ca="1" si="106"/>
        <v>-6.0807222517259785E-2</v>
      </c>
      <c r="P457" s="30">
        <f t="shared" ca="1" si="107"/>
        <v>-1.5311804008908636E-2</v>
      </c>
      <c r="Q457" s="30">
        <f t="shared" ca="1" si="108"/>
        <v>0.15777414075286411</v>
      </c>
      <c r="R457" s="30">
        <f t="shared" ca="1" si="109"/>
        <v>0.17274535809018565</v>
      </c>
      <c r="S457" s="9" cm="1">
        <f t="array" aca="1" ref="S457" ca="1">_xll.BDH($E$6,"PX LAST",AG457)</f>
        <v>176.85</v>
      </c>
      <c r="T457" s="9" cm="1">
        <f t="array" aca="1" ref="T457" ca="1">_xll.BDH($E$6,"PX LAST",AH457)</f>
        <v>188.3</v>
      </c>
      <c r="U457" s="9" cm="1">
        <f t="array" aca="1" ref="U457" ca="1">_xll.BDH($E$6,"PX LAST",AI457)</f>
        <v>179.6</v>
      </c>
      <c r="V457" s="9" cm="1">
        <f t="array" aca="1" ref="V457" ca="1">_xll.BDH($E$6,"PX LAST",AJ457)</f>
        <v>152.75</v>
      </c>
      <c r="W457" s="9" cm="1">
        <f t="array" aca="1" ref="W457" ca="1">_xll.BDH($E$6,"PX LAST",AK457)</f>
        <v>150.80000000000001</v>
      </c>
      <c r="X457" s="24">
        <f t="shared" ca="1" si="110"/>
        <v>-1.0234129676157222E-2</v>
      </c>
      <c r="Y457" s="24">
        <f t="shared" ca="1" si="111"/>
        <v>3.8633955186897495E-3</v>
      </c>
      <c r="Z457" s="24">
        <f t="shared" ca="1" si="112"/>
        <v>4.5924193109583733E-2</v>
      </c>
      <c r="AA457" s="24">
        <f t="shared" ca="1" si="113"/>
        <v>2.6505812763718328E-2</v>
      </c>
      <c r="AB457" s="9" cm="1">
        <f t="array" aca="1" ref="AB457" ca="1">_xll.BDH($E$8,"PX LAST",AG457)</f>
        <v>5266.95</v>
      </c>
      <c r="AC457" s="9" cm="1">
        <f t="array" aca="1" ref="AC457" ca="1">_xll.BDH($E$8,"PX LAST",AH457)</f>
        <v>5321.41</v>
      </c>
      <c r="AD457" s="9" cm="1">
        <f t="array" aca="1" ref="AD457" ca="1">_xll.BDH($E$8,"PX LAST",AI457)</f>
        <v>5246.68</v>
      </c>
      <c r="AE457" s="9" cm="1">
        <f t="array" aca="1" ref="AE457" ca="1">_xll.BDH($E$8,"PX LAST",AJ457)</f>
        <v>5035.6899999999996</v>
      </c>
      <c r="AF457" s="9" cm="1">
        <f t="array" aca="1" ref="AF457" ca="1">_xll.BDH($E$8,"PX LAST",AK457)</f>
        <v>5130.95</v>
      </c>
      <c r="AG457" s="20">
        <f t="shared" ca="1" si="119"/>
        <v>45441</v>
      </c>
      <c r="AH457" s="22">
        <f t="shared" ca="1" si="114"/>
        <v>45433</v>
      </c>
      <c r="AI457" s="22">
        <f t="shared" ca="1" si="115"/>
        <v>45426</v>
      </c>
      <c r="AJ457" s="22">
        <f t="shared" ca="1" si="116"/>
        <v>45412</v>
      </c>
      <c r="AK457" s="22">
        <f t="shared" ca="1" si="117"/>
        <v>45355</v>
      </c>
      <c r="AL457" s="22">
        <f t="shared" ca="1" si="118"/>
        <v>45265</v>
      </c>
    </row>
    <row r="458" spans="4:38" x14ac:dyDescent="0.25">
      <c r="D458" s="6">
        <f ca="1"/>
        <v>45440</v>
      </c>
      <c r="E458" s="28">
        <f ca="1"/>
        <v>185.52</v>
      </c>
      <c r="F458" s="29" cm="1">
        <f t="array" aca="1" ref="F458" ca="1">_xll.FDS($E$7,"P_BETA_LOCIDX("&amp;$AG458&amp;","&amp;$AL458&amp;",,"""&amp;$E$9&amp;""")")</f>
        <v>2.4621659999999999</v>
      </c>
      <c r="G458" s="30">
        <f t="shared" ca="1" si="104"/>
        <v>-1.2222046838628988E-2</v>
      </c>
      <c r="H458" s="30">
        <f t="shared" ca="1" si="104"/>
        <v>3.3408987100896972E-3</v>
      </c>
      <c r="I458" s="30">
        <f t="shared" ca="1" si="104"/>
        <v>8.1688268801091257E-2</v>
      </c>
      <c r="J458" s="30">
        <f t="shared" ca="1" si="102"/>
        <v>0.13898316069085004</v>
      </c>
      <c r="K458" s="30">
        <f t="shared" ca="1" si="105"/>
        <v>-9.6944252307312631E-4</v>
      </c>
      <c r="L458" s="30">
        <f t="shared" ca="1" si="105"/>
        <v>3.9902648497918018E-2</v>
      </c>
      <c r="M458" s="30">
        <f t="shared" ca="1" si="105"/>
        <v>9.1375278464163379E-2</v>
      </c>
      <c r="N458" s="30">
        <f t="shared" ca="1" si="103"/>
        <v>8.098132934663281E-2</v>
      </c>
      <c r="O458" s="30">
        <f t="shared" ca="1" si="106"/>
        <v>-1.3191489361702113E-2</v>
      </c>
      <c r="P458" s="30">
        <f t="shared" ca="1" si="107"/>
        <v>4.3243547208007715E-2</v>
      </c>
      <c r="Q458" s="30">
        <f t="shared" ca="1" si="108"/>
        <v>0.17306354726525464</v>
      </c>
      <c r="R458" s="30">
        <f t="shared" ca="1" si="109"/>
        <v>0.21996449003748286</v>
      </c>
      <c r="S458" s="9" cm="1">
        <f t="array" aca="1" ref="S458" ca="1">_xll.BDH($E$6,"PX LAST",AG458)</f>
        <v>185.52</v>
      </c>
      <c r="T458" s="9" cm="1">
        <f t="array" aca="1" ref="T458" ca="1">_xll.BDH($E$6,"PX LAST",AH458)</f>
        <v>188</v>
      </c>
      <c r="U458" s="9" cm="1">
        <f t="array" aca="1" ref="U458" ca="1">_xll.BDH($E$6,"PX LAST",AI458)</f>
        <v>177.83</v>
      </c>
      <c r="V458" s="9" cm="1">
        <f t="array" aca="1" ref="V458" ca="1">_xll.BDH($E$6,"PX LAST",AJ458)</f>
        <v>158.15</v>
      </c>
      <c r="W458" s="9" cm="1">
        <f t="array" aca="1" ref="W458" ca="1">_xll.BDH($E$6,"PX LAST",AK458)</f>
        <v>152.07</v>
      </c>
      <c r="X458" s="24">
        <f t="shared" ca="1" si="110"/>
        <v>-3.9373564701694619E-4</v>
      </c>
      <c r="Y458" s="24">
        <f t="shared" ca="1" si="111"/>
        <v>1.6206319353738952E-2</v>
      </c>
      <c r="Z458" s="24">
        <f t="shared" ca="1" si="112"/>
        <v>3.7111745700396881E-2</v>
      </c>
      <c r="AA458" s="24">
        <f t="shared" ca="1" si="113"/>
        <v>3.2890280081291356E-2</v>
      </c>
      <c r="AB458" s="9" cm="1">
        <f t="array" aca="1" ref="AB458" ca="1">_xll.BDH($E$8,"PX LAST",AG458)</f>
        <v>5306.04</v>
      </c>
      <c r="AC458" s="9" cm="1">
        <f t="array" aca="1" ref="AC458" ca="1">_xll.BDH($E$8,"PX LAST",AH458)</f>
        <v>5308.13</v>
      </c>
      <c r="AD458" s="9" cm="1">
        <f t="array" aca="1" ref="AD458" ca="1">_xll.BDH($E$8,"PX LAST",AI458)</f>
        <v>5221.42</v>
      </c>
      <c r="AE458" s="9" cm="1">
        <f t="array" aca="1" ref="AE458" ca="1">_xll.BDH($E$8,"PX LAST",AJ458)</f>
        <v>5116.17</v>
      </c>
      <c r="AF458" s="9" cm="1">
        <f t="array" aca="1" ref="AF458" ca="1">_xll.BDH($E$8,"PX LAST",AK458)</f>
        <v>5137.08</v>
      </c>
      <c r="AG458" s="20">
        <f t="shared" ca="1" si="119"/>
        <v>45440</v>
      </c>
      <c r="AH458" s="22">
        <f t="shared" ca="1" si="114"/>
        <v>45432</v>
      </c>
      <c r="AI458" s="22">
        <f t="shared" ca="1" si="115"/>
        <v>45425</v>
      </c>
      <c r="AJ458" s="22">
        <f t="shared" ca="1" si="116"/>
        <v>45411</v>
      </c>
      <c r="AK458" s="22">
        <f t="shared" ca="1" si="117"/>
        <v>45352</v>
      </c>
      <c r="AL458" s="22">
        <f t="shared" ca="1" si="118"/>
        <v>45264</v>
      </c>
    </row>
    <row r="459" spans="4:38" x14ac:dyDescent="0.25">
      <c r="D459" s="6">
        <f ca="1"/>
        <v>45436</v>
      </c>
      <c r="E459" s="28">
        <f ca="1"/>
        <v>191.18</v>
      </c>
      <c r="F459" s="29" cm="1">
        <f t="array" aca="1" ref="F459" ca="1">_xll.FDS($E$7,"P_BETA_LOCIDX("&amp;$AG459&amp;","&amp;$AL459&amp;",,"""&amp;$E$9&amp;""")")</f>
        <v>2.4802620000000002</v>
      </c>
      <c r="G459" s="30">
        <f t="shared" ca="1" si="104"/>
        <v>3.2448038269615502E-2</v>
      </c>
      <c r="H459" s="30">
        <f t="shared" ca="1" si="104"/>
        <v>4.8030157313757829E-2</v>
      </c>
      <c r="I459" s="30">
        <f t="shared" ca="1" si="104"/>
        <v>0.12750513900517266</v>
      </c>
      <c r="J459" s="30">
        <f t="shared" ca="1" si="102"/>
        <v>0.17743270347344464</v>
      </c>
      <c r="K459" s="30">
        <f t="shared" ca="1" si="105"/>
        <v>6.7814384332698916E-4</v>
      </c>
      <c r="L459" s="30">
        <f t="shared" ca="1" si="105"/>
        <v>3.8960973002366769E-2</v>
      </c>
      <c r="M459" s="30">
        <f t="shared" ca="1" si="105"/>
        <v>9.9580868697009689E-2</v>
      </c>
      <c r="N459" s="30">
        <f t="shared" ca="1" si="103"/>
        <v>0.10144882706371505</v>
      </c>
      <c r="O459" s="30">
        <f t="shared" ca="1" si="106"/>
        <v>3.3126182112942493E-2</v>
      </c>
      <c r="P459" s="30">
        <f t="shared" ca="1" si="107"/>
        <v>8.6991130316124599E-2</v>
      </c>
      <c r="Q459" s="30">
        <f t="shared" ca="1" si="108"/>
        <v>0.22708600770218235</v>
      </c>
      <c r="R459" s="30">
        <f t="shared" ca="1" si="109"/>
        <v>0.27888153053715969</v>
      </c>
      <c r="S459" s="9" cm="1">
        <f t="array" aca="1" ref="S459" ca="1">_xll.BDH($E$6,"PX LAST",AG459)</f>
        <v>191.18</v>
      </c>
      <c r="T459" s="9" cm="1">
        <f t="array" aca="1" ref="T459" ca="1">_xll.BDH($E$6,"PX LAST",AH459)</f>
        <v>185.05</v>
      </c>
      <c r="U459" s="9" cm="1">
        <f t="array" aca="1" ref="U459" ca="1">_xll.BDH($E$6,"PX LAST",AI459)</f>
        <v>175.88</v>
      </c>
      <c r="V459" s="9" cm="1">
        <f t="array" aca="1" ref="V459" ca="1">_xll.BDH($E$6,"PX LAST",AJ459)</f>
        <v>155.80000000000001</v>
      </c>
      <c r="W459" s="9" cm="1">
        <f t="array" aca="1" ref="W459" ca="1">_xll.BDH($E$6,"PX LAST",AK459)</f>
        <v>149.49</v>
      </c>
      <c r="X459" s="24">
        <f t="shared" ca="1" si="110"/>
        <v>2.7341621301579799E-4</v>
      </c>
      <c r="Y459" s="24">
        <f t="shared" ca="1" si="111"/>
        <v>1.5708410241485282E-2</v>
      </c>
      <c r="Z459" s="24">
        <f t="shared" ca="1" si="112"/>
        <v>4.0149334504584466E-2</v>
      </c>
      <c r="AA459" s="24">
        <f t="shared" ca="1" si="113"/>
        <v>4.0902463958934598E-2</v>
      </c>
      <c r="AB459" s="9" cm="1">
        <f t="array" aca="1" ref="AB459" ca="1">_xll.BDH($E$8,"PX LAST",AG459)</f>
        <v>5304.72</v>
      </c>
      <c r="AC459" s="9" cm="1">
        <f t="array" aca="1" ref="AC459" ca="1">_xll.BDH($E$8,"PX LAST",AH459)</f>
        <v>5303.27</v>
      </c>
      <c r="AD459" s="9" cm="1">
        <f t="array" aca="1" ref="AD459" ca="1">_xll.BDH($E$8,"PX LAST",AI459)</f>
        <v>5222.68</v>
      </c>
      <c r="AE459" s="9" cm="1">
        <f t="array" aca="1" ref="AE459" ca="1">_xll.BDH($E$8,"PX LAST",AJ459)</f>
        <v>5099.96</v>
      </c>
      <c r="AF459" s="9" cm="1">
        <f t="array" aca="1" ref="AF459" ca="1">_xll.BDH($E$8,"PX LAST",AK459)</f>
        <v>5096.2700000000004</v>
      </c>
      <c r="AG459" s="20">
        <f t="shared" ca="1" si="119"/>
        <v>45436</v>
      </c>
      <c r="AH459" s="22">
        <f t="shared" ca="1" si="114"/>
        <v>45429</v>
      </c>
      <c r="AI459" s="22">
        <f t="shared" ca="1" si="115"/>
        <v>45422</v>
      </c>
      <c r="AJ459" s="22">
        <f t="shared" ca="1" si="116"/>
        <v>45408</v>
      </c>
      <c r="AK459" s="22">
        <f t="shared" ca="1" si="117"/>
        <v>45351</v>
      </c>
      <c r="AL459" s="22">
        <f t="shared" ca="1" si="118"/>
        <v>45261</v>
      </c>
    </row>
    <row r="460" spans="4:38" x14ac:dyDescent="0.25">
      <c r="D460" s="6">
        <f ca="1"/>
        <v>45435</v>
      </c>
      <c r="E460" s="28">
        <f ca="1"/>
        <v>186.62</v>
      </c>
      <c r="F460" s="29" cm="1">
        <f t="array" aca="1" ref="F460" ca="1">_xll.FDS($E$7,"P_BETA_LOCIDX("&amp;$AG460&amp;","&amp;$AL460&amp;",,"""&amp;$E$9&amp;""")")</f>
        <v>2.4705021</v>
      </c>
      <c r="G460" s="30">
        <f t="shared" ca="1" si="104"/>
        <v>3.9425648901717826E-2</v>
      </c>
      <c r="H460" s="30">
        <f t="shared" ca="1" si="104"/>
        <v>3.9406524643134405E-2</v>
      </c>
      <c r="I460" s="30">
        <f t="shared" ca="1" si="104"/>
        <v>7.9019734765191765E-2</v>
      </c>
      <c r="J460" s="30">
        <f t="shared" ca="1" si="102"/>
        <v>0.18134437836646478</v>
      </c>
      <c r="K460" s="30">
        <f t="shared" ca="1" si="105"/>
        <v>-1.3646503076400451E-2</v>
      </c>
      <c r="L460" s="30">
        <f t="shared" ca="1" si="105"/>
        <v>2.5472220007364852E-2</v>
      </c>
      <c r="M460" s="30">
        <f t="shared" ca="1" si="105"/>
        <v>0.10737568799386719</v>
      </c>
      <c r="N460" s="30">
        <f t="shared" ca="1" si="103"/>
        <v>9.6524698598750222E-2</v>
      </c>
      <c r="O460" s="30">
        <f t="shared" ca="1" si="106"/>
        <v>2.5779145825317373E-2</v>
      </c>
      <c r="P460" s="30">
        <f t="shared" ca="1" si="107"/>
        <v>6.4878744650499254E-2</v>
      </c>
      <c r="Q460" s="30">
        <f t="shared" ca="1" si="108"/>
        <v>0.18639542275905896</v>
      </c>
      <c r="R460" s="30">
        <f t="shared" ca="1" si="109"/>
        <v>0.27786907696521501</v>
      </c>
      <c r="S460" s="9" cm="1">
        <f t="array" aca="1" ref="S460" ca="1">_xll.BDH($E$6,"PX LAST",AG460)</f>
        <v>186.62</v>
      </c>
      <c r="T460" s="9" cm="1">
        <f t="array" aca="1" ref="T460" ca="1">_xll.BDH($E$6,"PX LAST",AH460)</f>
        <v>181.93</v>
      </c>
      <c r="U460" s="9" cm="1">
        <f t="array" aca="1" ref="U460" ca="1">_xll.BDH($E$6,"PX LAST",AI460)</f>
        <v>175.25</v>
      </c>
      <c r="V460" s="9" cm="1">
        <f t="array" aca="1" ref="V460" ca="1">_xll.BDH($E$6,"PX LAST",AJ460)</f>
        <v>157.30000000000001</v>
      </c>
      <c r="W460" s="9" cm="1">
        <f t="array" aca="1" ref="W460" ca="1">_xll.BDH($E$6,"PX LAST",AK460)</f>
        <v>146.04</v>
      </c>
      <c r="X460" s="24">
        <f t="shared" ca="1" si="110"/>
        <v>-5.5237771610882058E-3</v>
      </c>
      <c r="Y460" s="24">
        <f t="shared" ca="1" si="111"/>
        <v>1.0310543758438762E-2</v>
      </c>
      <c r="Z460" s="24">
        <f t="shared" ca="1" si="112"/>
        <v>4.3463103307569417E-2</v>
      </c>
      <c r="AA460" s="24">
        <f t="shared" ca="1" si="113"/>
        <v>3.9070883039828308E-2</v>
      </c>
      <c r="AB460" s="9" cm="1">
        <f t="array" aca="1" ref="AB460" ca="1">_xll.BDH($E$8,"PX LAST",AG460)</f>
        <v>5267.84</v>
      </c>
      <c r="AC460" s="9" cm="1">
        <f t="array" aca="1" ref="AC460" ca="1">_xll.BDH($E$8,"PX LAST",AH460)</f>
        <v>5297.1</v>
      </c>
      <c r="AD460" s="9" cm="1">
        <f t="array" aca="1" ref="AD460" ca="1">_xll.BDH($E$8,"PX LAST",AI460)</f>
        <v>5214.08</v>
      </c>
      <c r="AE460" s="9" cm="1">
        <f t="array" aca="1" ref="AE460" ca="1">_xll.BDH($E$8,"PX LAST",AJ460)</f>
        <v>5048.42</v>
      </c>
      <c r="AF460" s="9" cm="1">
        <f t="array" aca="1" ref="AF460" ca="1">_xll.BDH($E$8,"PX LAST",AK460)</f>
        <v>5069.76</v>
      </c>
      <c r="AG460" s="20">
        <f t="shared" ca="1" si="119"/>
        <v>45435</v>
      </c>
      <c r="AH460" s="22">
        <f t="shared" ca="1" si="114"/>
        <v>45428</v>
      </c>
      <c r="AI460" s="22">
        <f t="shared" ca="1" si="115"/>
        <v>45421</v>
      </c>
      <c r="AJ460" s="22">
        <f t="shared" ca="1" si="116"/>
        <v>45407</v>
      </c>
      <c r="AK460" s="22">
        <f t="shared" ca="1" si="117"/>
        <v>45350</v>
      </c>
      <c r="AL460" s="22">
        <f t="shared" ca="1" si="118"/>
        <v>45260</v>
      </c>
    </row>
    <row r="461" spans="4:38" x14ac:dyDescent="0.25">
      <c r="D461" s="6">
        <f ca="1"/>
        <v>45434</v>
      </c>
      <c r="E461" s="28">
        <f ca="1"/>
        <v>187.86</v>
      </c>
      <c r="F461" s="29" cm="1">
        <f t="array" aca="1" ref="F461" ca="1">_xll.FDS($E$7,"P_BETA_LOCIDX("&amp;$AG461&amp;","&amp;$AL461&amp;",,"""&amp;$E$9&amp;""")")</f>
        <v>2.4793139000000002</v>
      </c>
      <c r="G461" s="30">
        <f t="shared" ca="1" si="104"/>
        <v>8.8519351456100917E-3</v>
      </c>
      <c r="H461" s="30">
        <f t="shared" ca="1" si="104"/>
        <v>2.4608909564877719E-2</v>
      </c>
      <c r="I461" s="30">
        <f t="shared" ca="1" si="104"/>
        <v>6.2073703915748554E-2</v>
      </c>
      <c r="J461" s="30">
        <f t="shared" ca="1" si="102"/>
        <v>0.18969875526164015</v>
      </c>
      <c r="K461" s="30">
        <f t="shared" ca="1" si="105"/>
        <v>-5.3246759153356032E-4</v>
      </c>
      <c r="L461" s="30">
        <f t="shared" ca="1" si="105"/>
        <v>5.703549393581319E-2</v>
      </c>
      <c r="M461" s="30">
        <f t="shared" ca="1" si="105"/>
        <v>0.11506772098556113</v>
      </c>
      <c r="N461" s="30">
        <f t="shared" ca="1" si="103"/>
        <v>0.11172140407330977</v>
      </c>
      <c r="O461" s="30">
        <f t="shared" ca="1" si="106"/>
        <v>8.3194675540765317E-3</v>
      </c>
      <c r="P461" s="30">
        <f t="shared" ca="1" si="107"/>
        <v>8.164440350069091E-2</v>
      </c>
      <c r="Q461" s="30">
        <f t="shared" ca="1" si="108"/>
        <v>0.17714142490130969</v>
      </c>
      <c r="R461" s="30">
        <f t="shared" ca="1" si="109"/>
        <v>0.30142015933494992</v>
      </c>
      <c r="S461" s="9" cm="1">
        <f t="array" aca="1" ref="S461" ca="1">_xll.BDH($E$6,"PX LAST",AG461)</f>
        <v>187.86</v>
      </c>
      <c r="T461" s="9" cm="1">
        <f t="array" aca="1" ref="T461" ca="1">_xll.BDH($E$6,"PX LAST",AH461)</f>
        <v>186.31</v>
      </c>
      <c r="U461" s="9" cm="1">
        <f t="array" aca="1" ref="U461" ca="1">_xll.BDH($E$6,"PX LAST",AI461)</f>
        <v>173.68</v>
      </c>
      <c r="V461" s="9" cm="1">
        <f t="array" aca="1" ref="V461" ca="1">_xll.BDH($E$6,"PX LAST",AJ461)</f>
        <v>159.59</v>
      </c>
      <c r="W461" s="9" cm="1">
        <f t="array" aca="1" ref="W461" ca="1">_xll.BDH($E$6,"PX LAST",AK461)</f>
        <v>144.35</v>
      </c>
      <c r="X461" s="24">
        <f t="shared" ca="1" si="110"/>
        <v>-2.1476408918352785E-4</v>
      </c>
      <c r="Y461" s="24">
        <f t="shared" ca="1" si="111"/>
        <v>2.3004547320858881E-2</v>
      </c>
      <c r="Z461" s="24">
        <f t="shared" ca="1" si="112"/>
        <v>4.6411114375457307E-2</v>
      </c>
      <c r="AA461" s="24">
        <f t="shared" ca="1" si="113"/>
        <v>4.5061419642470346E-2</v>
      </c>
      <c r="AB461" s="9" cm="1">
        <f t="array" aca="1" ref="AB461" ca="1">_xll.BDH($E$8,"PX LAST",AG461)</f>
        <v>5307.01</v>
      </c>
      <c r="AC461" s="9" cm="1">
        <f t="array" aca="1" ref="AC461" ca="1">_xll.BDH($E$8,"PX LAST",AH461)</f>
        <v>5308.15</v>
      </c>
      <c r="AD461" s="9" cm="1">
        <f t="array" aca="1" ref="AD461" ca="1">_xll.BDH($E$8,"PX LAST",AI461)</f>
        <v>5187.67</v>
      </c>
      <c r="AE461" s="9" cm="1">
        <f t="array" aca="1" ref="AE461" ca="1">_xll.BDH($E$8,"PX LAST",AJ461)</f>
        <v>5071.63</v>
      </c>
      <c r="AF461" s="9" cm="1">
        <f t="array" aca="1" ref="AF461" ca="1">_xll.BDH($E$8,"PX LAST",AK461)</f>
        <v>5078.18</v>
      </c>
      <c r="AG461" s="20">
        <f t="shared" ca="1" si="119"/>
        <v>45434</v>
      </c>
      <c r="AH461" s="22">
        <f t="shared" ca="1" si="114"/>
        <v>45427</v>
      </c>
      <c r="AI461" s="22">
        <f t="shared" ca="1" si="115"/>
        <v>45420</v>
      </c>
      <c r="AJ461" s="22">
        <f t="shared" ca="1" si="116"/>
        <v>45406</v>
      </c>
      <c r="AK461" s="22">
        <f t="shared" ca="1" si="117"/>
        <v>45349</v>
      </c>
      <c r="AL461" s="22">
        <f t="shared" ca="1" si="118"/>
        <v>45259</v>
      </c>
    </row>
    <row r="462" spans="4:38" x14ac:dyDescent="0.25">
      <c r="D462" s="6">
        <f ca="1"/>
        <v>45433</v>
      </c>
      <c r="E462" s="28">
        <f ca="1"/>
        <v>188.3</v>
      </c>
      <c r="F462" s="29" cm="1">
        <f t="array" aca="1" ref="F462" ca="1">_xll.FDS($E$7,"P_BETA_LOCIDX("&amp;$AG462&amp;","&amp;$AL462&amp;",,"""&amp;$E$9&amp;""")")</f>
        <v>2.484067</v>
      </c>
      <c r="G462" s="30">
        <f t="shared" ca="1" si="104"/>
        <v>1.3059686087715926E-2</v>
      </c>
      <c r="H462" s="30">
        <f t="shared" ca="1" si="104"/>
        <v>-2.0696505264525572E-2</v>
      </c>
      <c r="I462" s="30">
        <f t="shared" ca="1" si="104"/>
        <v>6.0189663209739397E-2</v>
      </c>
      <c r="J462" s="30">
        <f t="shared" ca="1" si="102"/>
        <v>0.1787919355328399</v>
      </c>
      <c r="K462" s="30">
        <f t="shared" ca="1" si="105"/>
        <v>3.5381293867740672E-2</v>
      </c>
      <c r="L462" s="30">
        <f t="shared" ca="1" si="105"/>
        <v>6.4025405973745481E-2</v>
      </c>
      <c r="M462" s="30">
        <f t="shared" ca="1" si="105"/>
        <v>0.12289653935371891</v>
      </c>
      <c r="N462" s="30">
        <f t="shared" ca="1" si="103"/>
        <v>0.123421065850286</v>
      </c>
      <c r="O462" s="30">
        <f t="shared" ca="1" si="106"/>
        <v>4.8440979955456598E-2</v>
      </c>
      <c r="P462" s="30">
        <f t="shared" ca="1" si="107"/>
        <v>4.3328900709219909E-2</v>
      </c>
      <c r="Q462" s="30">
        <f t="shared" ca="1" si="108"/>
        <v>0.18308620256345831</v>
      </c>
      <c r="R462" s="30">
        <f t="shared" ca="1" si="109"/>
        <v>0.3022130013831259</v>
      </c>
      <c r="S462" s="9" cm="1">
        <f t="array" aca="1" ref="S462" ca="1">_xll.BDH($E$6,"PX LAST",AG462)</f>
        <v>188.3</v>
      </c>
      <c r="T462" s="9" cm="1">
        <f t="array" aca="1" ref="T462" ca="1">_xll.BDH($E$6,"PX LAST",AH462)</f>
        <v>179.6</v>
      </c>
      <c r="U462" s="9" cm="1">
        <f t="array" aca="1" ref="U462" ca="1">_xll.BDH($E$6,"PX LAST",AI462)</f>
        <v>180.48</v>
      </c>
      <c r="V462" s="9" cm="1">
        <f t="array" aca="1" ref="V462" ca="1">_xll.BDH($E$6,"PX LAST",AJ462)</f>
        <v>159.16</v>
      </c>
      <c r="W462" s="9" cm="1">
        <f t="array" aca="1" ref="W462" ca="1">_xll.BDH($E$6,"PX LAST",AK462)</f>
        <v>144.6</v>
      </c>
      <c r="X462" s="24">
        <f t="shared" ca="1" si="110"/>
        <v>1.4243292901415572E-2</v>
      </c>
      <c r="Y462" s="24">
        <f t="shared" ca="1" si="111"/>
        <v>2.5774427973861203E-2</v>
      </c>
      <c r="Z462" s="24">
        <f t="shared" ca="1" si="112"/>
        <v>4.9473922947214755E-2</v>
      </c>
      <c r="AA462" s="24">
        <f t="shared" ca="1" si="113"/>
        <v>4.9685079287429046E-2</v>
      </c>
      <c r="AB462" s="9" cm="1">
        <f t="array" aca="1" ref="AB462" ca="1">_xll.BDH($E$8,"PX LAST",AG462)</f>
        <v>5321.41</v>
      </c>
      <c r="AC462" s="9" cm="1">
        <f t="array" aca="1" ref="AC462" ca="1">_xll.BDH($E$8,"PX LAST",AH462)</f>
        <v>5246.68</v>
      </c>
      <c r="AD462" s="9" cm="1">
        <f t="array" aca="1" ref="AD462" ca="1">_xll.BDH($E$8,"PX LAST",AI462)</f>
        <v>5187.7</v>
      </c>
      <c r="AE462" s="9" cm="1">
        <f t="array" aca="1" ref="AE462" ca="1">_xll.BDH($E$8,"PX LAST",AJ462)</f>
        <v>5070.55</v>
      </c>
      <c r="AF462" s="9" cm="1">
        <f t="array" aca="1" ref="AF462" ca="1">_xll.BDH($E$8,"PX LAST",AK462)</f>
        <v>5069.53</v>
      </c>
      <c r="AG462" s="20">
        <f t="shared" ca="1" si="119"/>
        <v>45433</v>
      </c>
      <c r="AH462" s="22">
        <f t="shared" ca="1" si="114"/>
        <v>45426</v>
      </c>
      <c r="AI462" s="22">
        <f t="shared" ca="1" si="115"/>
        <v>45419</v>
      </c>
      <c r="AJ462" s="22">
        <f t="shared" ca="1" si="116"/>
        <v>45405</v>
      </c>
      <c r="AK462" s="22">
        <f t="shared" ca="1" si="117"/>
        <v>45348</v>
      </c>
      <c r="AL462" s="22">
        <f t="shared" ca="1" si="118"/>
        <v>45258</v>
      </c>
    </row>
    <row r="463" spans="4:38" x14ac:dyDescent="0.25">
      <c r="D463" s="6">
        <f ca="1"/>
        <v>45432</v>
      </c>
      <c r="E463" s="28">
        <f ca="1"/>
        <v>188</v>
      </c>
      <c r="F463" s="29" cm="1">
        <f t="array" aca="1" ref="F463" ca="1">_xll.FDS($E$7,"P_BETA_LOCIDX("&amp;$AG463&amp;","&amp;$AL463&amp;",,"""&amp;$E$9&amp;""")")</f>
        <v>2.4804596999999999</v>
      </c>
      <c r="G463" s="30">
        <f t="shared" ca="1" si="104"/>
        <v>1.5997464398389255E-2</v>
      </c>
      <c r="H463" s="30">
        <f t="shared" ca="1" si="104"/>
        <v>2.6404211563995285E-2</v>
      </c>
      <c r="I463" s="30">
        <f t="shared" ca="1" si="104"/>
        <v>5.7915481738301217E-2</v>
      </c>
      <c r="J463" s="30">
        <f t="shared" ca="1" si="102"/>
        <v>0.18536471318243464</v>
      </c>
      <c r="K463" s="30">
        <f t="shared" ca="1" si="105"/>
        <v>4.1191986200497327E-2</v>
      </c>
      <c r="L463" s="30">
        <f t="shared" ca="1" si="105"/>
        <v>6.0992398997633555E-2</v>
      </c>
      <c r="M463" s="30">
        <f t="shared" ca="1" si="105"/>
        <v>0.14728998015028136</v>
      </c>
      <c r="N463" s="30">
        <f t="shared" ca="1" si="103"/>
        <v>0.10690913889345212</v>
      </c>
      <c r="O463" s="30">
        <f t="shared" ca="1" si="106"/>
        <v>5.7189450598886582E-2</v>
      </c>
      <c r="P463" s="30">
        <f t="shared" ca="1" si="107"/>
        <v>8.739661056162884E-2</v>
      </c>
      <c r="Q463" s="30">
        <f t="shared" ca="1" si="108"/>
        <v>0.20520546188858257</v>
      </c>
      <c r="R463" s="30">
        <f t="shared" ca="1" si="109"/>
        <v>0.29227385207588674</v>
      </c>
      <c r="S463" s="9" cm="1">
        <f t="array" aca="1" ref="S463" ca="1">_xll.BDH($E$6,"PX LAST",AG463)</f>
        <v>188</v>
      </c>
      <c r="T463" s="9" cm="1">
        <f t="array" aca="1" ref="T463" ca="1">_xll.BDH($E$6,"PX LAST",AH463)</f>
        <v>177.83</v>
      </c>
      <c r="U463" s="9" cm="1">
        <f t="array" aca="1" ref="U463" ca="1">_xll.BDH($E$6,"PX LAST",AI463)</f>
        <v>172.89</v>
      </c>
      <c r="V463" s="9" cm="1">
        <f t="array" aca="1" ref="V463" ca="1">_xll.BDH($E$6,"PX LAST",AJ463)</f>
        <v>155.99</v>
      </c>
      <c r="W463" s="9" cm="1">
        <f t="array" aca="1" ref="W463" ca="1">_xll.BDH($E$6,"PX LAST",AK463)</f>
        <v>145.47999999999999</v>
      </c>
      <c r="X463" s="24">
        <f t="shared" ca="1" si="110"/>
        <v>1.6606593608635256E-2</v>
      </c>
      <c r="Y463" s="24">
        <f t="shared" ca="1" si="111"/>
        <v>2.4589151356755989E-2</v>
      </c>
      <c r="Z463" s="24">
        <f t="shared" ca="1" si="112"/>
        <v>5.9380114157985053E-2</v>
      </c>
      <c r="AA463" s="24">
        <f t="shared" ca="1" si="113"/>
        <v>4.3100534507152899E-2</v>
      </c>
      <c r="AB463" s="9" cm="1">
        <f t="array" aca="1" ref="AB463" ca="1">_xll.BDH($E$8,"PX LAST",AG463)</f>
        <v>5308.13</v>
      </c>
      <c r="AC463" s="9" cm="1">
        <f t="array" aca="1" ref="AC463" ca="1">_xll.BDH($E$8,"PX LAST",AH463)</f>
        <v>5221.42</v>
      </c>
      <c r="AD463" s="9" cm="1">
        <f t="array" aca="1" ref="AD463" ca="1">_xll.BDH($E$8,"PX LAST",AI463)</f>
        <v>5180.74</v>
      </c>
      <c r="AE463" s="9" cm="1">
        <f t="array" aca="1" ref="AE463" ca="1">_xll.BDH($E$8,"PX LAST",AJ463)</f>
        <v>5010.6000000000004</v>
      </c>
      <c r="AF463" s="9" cm="1">
        <f t="array" aca="1" ref="AF463" ca="1">_xll.BDH($E$8,"PX LAST",AK463)</f>
        <v>5088.8</v>
      </c>
      <c r="AG463" s="20">
        <f t="shared" ca="1" si="119"/>
        <v>45432</v>
      </c>
      <c r="AH463" s="22">
        <f t="shared" ca="1" si="114"/>
        <v>45425</v>
      </c>
      <c r="AI463" s="22">
        <f t="shared" ca="1" si="115"/>
        <v>45418</v>
      </c>
      <c r="AJ463" s="22">
        <f t="shared" ca="1" si="116"/>
        <v>45404</v>
      </c>
      <c r="AK463" s="22">
        <f t="shared" ca="1" si="117"/>
        <v>45345</v>
      </c>
      <c r="AL463" s="22">
        <f t="shared" ca="1" si="118"/>
        <v>45257</v>
      </c>
    </row>
    <row r="464" spans="4:38" x14ac:dyDescent="0.25">
      <c r="D464" s="6">
        <f ca="1"/>
        <v>45429</v>
      </c>
      <c r="E464" s="28">
        <f ca="1"/>
        <v>185.05</v>
      </c>
      <c r="F464" s="29" cm="1">
        <f t="array" aca="1" ref="F464" ca="1">_xll.FDS($E$7,"P_BETA_LOCIDX("&amp;$AG464&amp;","&amp;$AL464&amp;",,"""&amp;$E$9&amp;""")")</f>
        <v>2.4801294999999999</v>
      </c>
      <c r="G464" s="30">
        <f t="shared" ca="1" si="104"/>
        <v>1.3867500945471276E-2</v>
      </c>
      <c r="H464" s="30">
        <f t="shared" ca="1" si="104"/>
        <v>1.8585127134085597E-2</v>
      </c>
      <c r="I464" s="30">
        <f t="shared" ca="1" si="104"/>
        <v>3.3761153107835701E-2</v>
      </c>
      <c r="J464" s="30">
        <f t="shared" ca="1" si="102"/>
        <v>0.17502001048640015</v>
      </c>
      <c r="K464" s="30">
        <f t="shared" ca="1" si="105"/>
        <v>3.8270320296284535E-2</v>
      </c>
      <c r="L464" s="30">
        <f t="shared" ca="1" si="105"/>
        <v>8.4873429812843695E-2</v>
      </c>
      <c r="M464" s="30">
        <f t="shared" ca="1" si="105"/>
        <v>0.16778420108994371</v>
      </c>
      <c r="N464" s="30">
        <f t="shared" ca="1" si="103"/>
        <v>0.10542560257753554</v>
      </c>
      <c r="O464" s="30">
        <f t="shared" ca="1" si="106"/>
        <v>5.2137821241755811E-2</v>
      </c>
      <c r="P464" s="30">
        <f t="shared" ca="1" si="107"/>
        <v>0.10345855694692929</v>
      </c>
      <c r="Q464" s="30">
        <f t="shared" ca="1" si="108"/>
        <v>0.20154535419777941</v>
      </c>
      <c r="R464" s="30">
        <f t="shared" ca="1" si="109"/>
        <v>0.28044561306393567</v>
      </c>
      <c r="S464" s="9" cm="1">
        <f t="array" aca="1" ref="S464" ca="1">_xll.BDH($E$6,"PX LAST",AG464)</f>
        <v>185.05</v>
      </c>
      <c r="T464" s="9" cm="1">
        <f t="array" aca="1" ref="T464" ca="1">_xll.BDH($E$6,"PX LAST",AH464)</f>
        <v>175.88</v>
      </c>
      <c r="U464" s="9" cm="1">
        <f t="array" aca="1" ref="U464" ca="1">_xll.BDH($E$6,"PX LAST",AI464)</f>
        <v>167.7</v>
      </c>
      <c r="V464" s="9" cm="1">
        <f t="array" aca="1" ref="V464" ca="1">_xll.BDH($E$6,"PX LAST",AJ464)</f>
        <v>154.01</v>
      </c>
      <c r="W464" s="9" cm="1">
        <f t="array" aca="1" ref="W464" ca="1">_xll.BDH($E$6,"PX LAST",AK464)</f>
        <v>144.52000000000001</v>
      </c>
      <c r="X464" s="24">
        <f t="shared" ca="1" si="110"/>
        <v>1.5430775004403818E-2</v>
      </c>
      <c r="Y464" s="24">
        <f t="shared" ca="1" si="111"/>
        <v>3.4221370219919445E-2</v>
      </c>
      <c r="Z464" s="24">
        <f t="shared" ca="1" si="112"/>
        <v>6.76513871916542E-2</v>
      </c>
      <c r="AA464" s="24">
        <f t="shared" ca="1" si="113"/>
        <v>4.2508103942772157E-2</v>
      </c>
      <c r="AB464" s="9" cm="1">
        <f t="array" aca="1" ref="AB464" ca="1">_xll.BDH($E$8,"PX LAST",AG464)</f>
        <v>5303.27</v>
      </c>
      <c r="AC464" s="9" cm="1">
        <f t="array" aca="1" ref="AC464" ca="1">_xll.BDH($E$8,"PX LAST",AH464)</f>
        <v>5222.68</v>
      </c>
      <c r="AD464" s="9" cm="1">
        <f t="array" aca="1" ref="AD464" ca="1">_xll.BDH($E$8,"PX LAST",AI464)</f>
        <v>5127.79</v>
      </c>
      <c r="AE464" s="9" cm="1">
        <f t="array" aca="1" ref="AE464" ca="1">_xll.BDH($E$8,"PX LAST",AJ464)</f>
        <v>4967.2299999999996</v>
      </c>
      <c r="AF464" s="9" cm="1">
        <f t="array" aca="1" ref="AF464" ca="1">_xll.BDH($E$8,"PX LAST",AK464)</f>
        <v>5087.03</v>
      </c>
      <c r="AG464" s="20">
        <f t="shared" ca="1" si="119"/>
        <v>45429</v>
      </c>
      <c r="AH464" s="22">
        <f t="shared" ca="1" si="114"/>
        <v>45422</v>
      </c>
      <c r="AI464" s="22">
        <f t="shared" ca="1" si="115"/>
        <v>45415</v>
      </c>
      <c r="AJ464" s="22">
        <f t="shared" ca="1" si="116"/>
        <v>45401</v>
      </c>
      <c r="AK464" s="22">
        <f t="shared" ca="1" si="117"/>
        <v>45344</v>
      </c>
      <c r="AL464" s="22">
        <f t="shared" ca="1" si="118"/>
        <v>45254</v>
      </c>
    </row>
    <row r="465" spans="4:38" x14ac:dyDescent="0.25">
      <c r="D465" s="6">
        <f ca="1"/>
        <v>45428</v>
      </c>
      <c r="E465" s="28">
        <f ca="1"/>
        <v>181.93</v>
      </c>
      <c r="F465" s="29" cm="1">
        <f t="array" aca="1" ref="F465" ca="1">_xll.FDS($E$7,"P_BETA_LOCIDX("&amp;$AG465&amp;","&amp;$AL465&amp;",,"""&amp;$E$9&amp;""")")</f>
        <v>2.4780679000000001</v>
      </c>
      <c r="G465" s="30">
        <f t="shared" ca="1" si="104"/>
        <v>-1.3394953942057267E-3</v>
      </c>
      <c r="H465" s="30">
        <f t="shared" ca="1" si="104"/>
        <v>-1.189336821232205E-2</v>
      </c>
      <c r="I465" s="30">
        <f t="shared" ca="1" si="104"/>
        <v>4.4254131291199511E-2</v>
      </c>
      <c r="J465" s="30">
        <f t="shared" ca="1" si="102"/>
        <v>0.11941609443020965</v>
      </c>
      <c r="K465" s="30">
        <f t="shared" ca="1" si="105"/>
        <v>3.9456471143135864E-2</v>
      </c>
      <c r="L465" s="30">
        <f t="shared" ca="1" si="105"/>
        <v>0.11396509101338818</v>
      </c>
      <c r="M465" s="30">
        <f t="shared" ca="1" si="105"/>
        <v>0.14142105119055245</v>
      </c>
      <c r="N465" s="30">
        <f t="shared" ca="1" si="103"/>
        <v>0.15683785155365568</v>
      </c>
      <c r="O465" s="30">
        <f t="shared" ca="1" si="106"/>
        <v>3.8116975748930138E-2</v>
      </c>
      <c r="P465" s="30">
        <f t="shared" ca="1" si="107"/>
        <v>0.10207172280106613</v>
      </c>
      <c r="Q465" s="30">
        <f t="shared" ca="1" si="108"/>
        <v>0.18567518248175197</v>
      </c>
      <c r="R465" s="30">
        <f t="shared" ca="1" si="109"/>
        <v>0.27625394598386532</v>
      </c>
      <c r="S465" s="9" cm="1">
        <f t="array" aca="1" ref="S465" ca="1">_xll.BDH($E$6,"PX LAST",AG465)</f>
        <v>181.93</v>
      </c>
      <c r="T465" s="9" cm="1">
        <f t="array" aca="1" ref="T465" ca="1">_xll.BDH($E$6,"PX LAST",AH465)</f>
        <v>175.25</v>
      </c>
      <c r="U465" s="9" cm="1">
        <f t="array" aca="1" ref="U465" ca="1">_xll.BDH($E$6,"PX LAST",AI465)</f>
        <v>165.08</v>
      </c>
      <c r="V465" s="9" cm="1">
        <f t="array" aca="1" ref="V465" ca="1">_xll.BDH($E$6,"PX LAST",AJ465)</f>
        <v>153.44</v>
      </c>
      <c r="W465" s="9" cm="1">
        <f t="array" aca="1" ref="W465" ca="1">_xll.BDH($E$6,"PX LAST",AK465)</f>
        <v>142.55000000000001</v>
      </c>
      <c r="X465" s="24">
        <f t="shared" ca="1" si="110"/>
        <v>1.5922272001964055E-2</v>
      </c>
      <c r="Y465" s="24">
        <f t="shared" ca="1" si="111"/>
        <v>4.5989494885668059E-2</v>
      </c>
      <c r="Z465" s="24">
        <f t="shared" ca="1" si="112"/>
        <v>5.7069078369705872E-2</v>
      </c>
      <c r="AA465" s="24">
        <f t="shared" ca="1" si="113"/>
        <v>6.3290376972178874E-2</v>
      </c>
      <c r="AB465" s="9" cm="1">
        <f t="array" aca="1" ref="AB465" ca="1">_xll.BDH($E$8,"PX LAST",AG465)</f>
        <v>5297.1</v>
      </c>
      <c r="AC465" s="9" cm="1">
        <f t="array" aca="1" ref="AC465" ca="1">_xll.BDH($E$8,"PX LAST",AH465)</f>
        <v>5214.08</v>
      </c>
      <c r="AD465" s="9" cm="1">
        <f t="array" aca="1" ref="AD465" ca="1">_xll.BDH($E$8,"PX LAST",AI465)</f>
        <v>5064.2</v>
      </c>
      <c r="AE465" s="9" cm="1">
        <f t="array" aca="1" ref="AE465" ca="1">_xll.BDH($E$8,"PX LAST",AJ465)</f>
        <v>5011.12</v>
      </c>
      <c r="AF465" s="9" cm="1">
        <f t="array" aca="1" ref="AF465" ca="1">_xll.BDH($E$8,"PX LAST",AK465)</f>
        <v>4981.8</v>
      </c>
      <c r="AG465" s="20">
        <f t="shared" ca="1" si="119"/>
        <v>45428</v>
      </c>
      <c r="AH465" s="22">
        <f t="shared" ca="1" si="114"/>
        <v>45421</v>
      </c>
      <c r="AI465" s="22">
        <f t="shared" ca="1" si="115"/>
        <v>45414</v>
      </c>
      <c r="AJ465" s="22">
        <f t="shared" ca="1" si="116"/>
        <v>45400</v>
      </c>
      <c r="AK465" s="22">
        <f t="shared" ca="1" si="117"/>
        <v>45343</v>
      </c>
      <c r="AL465" s="22">
        <f t="shared" ca="1" si="118"/>
        <v>45252</v>
      </c>
    </row>
    <row r="466" spans="4:38" x14ac:dyDescent="0.25">
      <c r="D466" s="6">
        <f ca="1"/>
        <v>45427</v>
      </c>
      <c r="E466" s="28">
        <f ca="1"/>
        <v>186.31</v>
      </c>
      <c r="F466" s="29" cm="1">
        <f t="array" aca="1" ref="F466" ca="1">_xll.FDS($E$7,"P_BETA_LOCIDX("&amp;$AG466&amp;","&amp;$AL466&amp;",,"""&amp;$E$9&amp;""")")</f>
        <v>2.4692191999999999</v>
      </c>
      <c r="G466" s="30">
        <f t="shared" ca="1" si="104"/>
        <v>1.5374059344634837E-2</v>
      </c>
      <c r="H466" s="30">
        <f t="shared" ca="1" si="104"/>
        <v>6.40991725019259E-2</v>
      </c>
      <c r="I466" s="30">
        <f t="shared" ca="1" si="104"/>
        <v>8.095948742044895E-2</v>
      </c>
      <c r="J466" s="30">
        <f t="shared" ca="1" si="102"/>
        <v>0.1195499854474204</v>
      </c>
      <c r="K466" s="30">
        <f t="shared" ca="1" si="105"/>
        <v>5.7345885381297958E-2</v>
      </c>
      <c r="L466" s="30">
        <f t="shared" ca="1" si="105"/>
        <v>0.14257181195403254</v>
      </c>
      <c r="M466" s="30">
        <f t="shared" ca="1" si="105"/>
        <v>0.14058522802670542</v>
      </c>
      <c r="N466" s="30">
        <f t="shared" ca="1" si="103"/>
        <v>0.16508078060098336</v>
      </c>
      <c r="O466" s="30">
        <f t="shared" ca="1" si="106"/>
        <v>7.2719944725932795E-2</v>
      </c>
      <c r="P466" s="30">
        <f t="shared" ca="1" si="107"/>
        <v>0.20667098445595844</v>
      </c>
      <c r="Q466" s="30">
        <f t="shared" ca="1" si="108"/>
        <v>0.22154471544715437</v>
      </c>
      <c r="R466" s="30">
        <f t="shared" ca="1" si="109"/>
        <v>0.28463076604840376</v>
      </c>
      <c r="S466" s="9" cm="1">
        <f t="array" aca="1" ref="S466" ca="1">_xll.BDH($E$6,"PX LAST",AG466)</f>
        <v>186.31</v>
      </c>
      <c r="T466" s="9" cm="1">
        <f t="array" aca="1" ref="T466" ca="1">_xll.BDH($E$6,"PX LAST",AH466)</f>
        <v>173.68</v>
      </c>
      <c r="U466" s="9" cm="1">
        <f t="array" aca="1" ref="U466" ca="1">_xll.BDH($E$6,"PX LAST",AI466)</f>
        <v>154.4</v>
      </c>
      <c r="V466" s="9" cm="1">
        <f t="array" aca="1" ref="V466" ca="1">_xll.BDH($E$6,"PX LAST",AJ466)</f>
        <v>152.52000000000001</v>
      </c>
      <c r="W466" s="9" cm="1">
        <f t="array" aca="1" ref="W466" ca="1">_xll.BDH($E$6,"PX LAST",AK466)</f>
        <v>145.03</v>
      </c>
      <c r="X466" s="24">
        <f t="shared" ca="1" si="110"/>
        <v>2.3224299155497397E-2</v>
      </c>
      <c r="Y466" s="24">
        <f t="shared" ca="1" si="111"/>
        <v>5.7739633627517772E-2</v>
      </c>
      <c r="Z466" s="24">
        <f t="shared" ca="1" si="112"/>
        <v>5.6935094311070245E-2</v>
      </c>
      <c r="AA466" s="24">
        <f t="shared" ca="1" si="113"/>
        <v>6.6855458033447723E-2</v>
      </c>
      <c r="AB466" s="9" cm="1">
        <f t="array" aca="1" ref="AB466" ca="1">_xll.BDH($E$8,"PX LAST",AG466)</f>
        <v>5308.15</v>
      </c>
      <c r="AC466" s="9" cm="1">
        <f t="array" aca="1" ref="AC466" ca="1">_xll.BDH($E$8,"PX LAST",AH466)</f>
        <v>5187.67</v>
      </c>
      <c r="AD466" s="9" cm="1">
        <f t="array" aca="1" ref="AD466" ca="1">_xll.BDH($E$8,"PX LAST",AI466)</f>
        <v>5018.3900000000003</v>
      </c>
      <c r="AE466" s="9" cm="1">
        <f t="array" aca="1" ref="AE466" ca="1">_xll.BDH($E$8,"PX LAST",AJ466)</f>
        <v>5022.21</v>
      </c>
      <c r="AF466" s="9" cm="1">
        <f t="array" aca="1" ref="AF466" ca="1">_xll.BDH($E$8,"PX LAST",AK466)</f>
        <v>4975.51</v>
      </c>
      <c r="AG466" s="20">
        <f t="shared" ca="1" si="119"/>
        <v>45427</v>
      </c>
      <c r="AH466" s="22">
        <f t="shared" ca="1" si="114"/>
        <v>45420</v>
      </c>
      <c r="AI466" s="22">
        <f t="shared" ca="1" si="115"/>
        <v>45413</v>
      </c>
      <c r="AJ466" s="22">
        <f t="shared" ca="1" si="116"/>
        <v>45399</v>
      </c>
      <c r="AK466" s="22">
        <f t="shared" ca="1" si="117"/>
        <v>45342</v>
      </c>
      <c r="AL466" s="22">
        <f t="shared" ca="1" si="118"/>
        <v>45251</v>
      </c>
    </row>
    <row r="467" spans="4:38" x14ac:dyDescent="0.25">
      <c r="D467" s="6">
        <f ca="1"/>
        <v>45426</v>
      </c>
      <c r="E467" s="28">
        <f ca="1"/>
        <v>179.6</v>
      </c>
      <c r="F467" s="29" cm="1">
        <f t="array" aca="1" ref="F467" ca="1">_xll.FDS($E$7,"P_BETA_LOCIDX("&amp;$AG467&amp;","&amp;$AL467&amp;",,"""&amp;$E$9&amp;""")")</f>
        <v>2.4439582999999998</v>
      </c>
      <c r="G467" s="30">
        <f t="shared" ca="1" si="104"/>
        <v>-3.2661737775666069E-2</v>
      </c>
      <c r="H467" s="30">
        <f t="shared" ca="1" si="104"/>
        <v>7.3378187411809959E-2</v>
      </c>
      <c r="I467" s="30">
        <f t="shared" ca="1" si="104"/>
        <v>6.5806715991521242E-2</v>
      </c>
      <c r="J467" s="30">
        <f t="shared" ca="1" si="102"/>
        <v>0.11511768391018724</v>
      </c>
      <c r="K467" s="30">
        <f t="shared" ca="1" si="105"/>
        <v>2.7785851250843444E-2</v>
      </c>
      <c r="L467" s="30">
        <f t="shared" ca="1" si="105"/>
        <v>0.10239922666347639</v>
      </c>
      <c r="M467" s="30">
        <f t="shared" ca="1" si="105"/>
        <v>9.4474955951110634E-2</v>
      </c>
      <c r="N467" s="30">
        <f t="shared" ca="1" si="103"/>
        <v>0.11772141548574892</v>
      </c>
      <c r="O467" s="30">
        <f t="shared" ca="1" si="106"/>
        <v>-4.8758865248226257E-3</v>
      </c>
      <c r="P467" s="30">
        <f t="shared" ca="1" si="107"/>
        <v>0.17577741407528635</v>
      </c>
      <c r="Q467" s="30">
        <f t="shared" ca="1" si="108"/>
        <v>0.16028167194263188</v>
      </c>
      <c r="R467" s="30">
        <f t="shared" ca="1" si="109"/>
        <v>0.23283909939593617</v>
      </c>
      <c r="S467" s="9" cm="1">
        <f t="array" aca="1" ref="S467" ca="1">_xll.BDH($E$6,"PX LAST",AG467)</f>
        <v>179.6</v>
      </c>
      <c r="T467" s="9" cm="1">
        <f t="array" aca="1" ref="T467" ca="1">_xll.BDH($E$6,"PX LAST",AH467)</f>
        <v>180.48</v>
      </c>
      <c r="U467" s="9" cm="1">
        <f t="array" aca="1" ref="U467" ca="1">_xll.BDH($E$6,"PX LAST",AI467)</f>
        <v>152.75</v>
      </c>
      <c r="V467" s="9" cm="1">
        <f t="array" aca="1" ref="V467" ca="1">_xll.BDH($E$6,"PX LAST",AJ467)</f>
        <v>154.79</v>
      </c>
      <c r="W467" s="9" cm="1">
        <f t="array" aca="1" ref="W467" ca="1">_xll.BDH($E$6,"PX LAST",AK467)</f>
        <v>145.68</v>
      </c>
      <c r="X467" s="24">
        <f t="shared" ca="1" si="110"/>
        <v>1.136920022360588E-2</v>
      </c>
      <c r="Y467" s="24">
        <f t="shared" ca="1" si="111"/>
        <v>4.1898925469995296E-2</v>
      </c>
      <c r="Z467" s="24">
        <f t="shared" ca="1" si="112"/>
        <v>3.8656533522323455E-2</v>
      </c>
      <c r="AA467" s="24">
        <f t="shared" ca="1" si="113"/>
        <v>4.8168340468717874E-2</v>
      </c>
      <c r="AB467" s="9" cm="1">
        <f t="array" aca="1" ref="AB467" ca="1">_xll.BDH($E$8,"PX LAST",AG467)</f>
        <v>5246.68</v>
      </c>
      <c r="AC467" s="9" cm="1">
        <f t="array" aca="1" ref="AC467" ca="1">_xll.BDH($E$8,"PX LAST",AH467)</f>
        <v>5187.7</v>
      </c>
      <c r="AD467" s="9" cm="1">
        <f t="array" aca="1" ref="AD467" ca="1">_xll.BDH($E$8,"PX LAST",AI467)</f>
        <v>5035.6899999999996</v>
      </c>
      <c r="AE467" s="9" cm="1">
        <f t="array" aca="1" ref="AE467" ca="1">_xll.BDH($E$8,"PX LAST",AJ467)</f>
        <v>5051.41</v>
      </c>
      <c r="AF467" s="9" cm="1">
        <f t="array" aca="1" ref="AF467" ca="1">_xll.BDH($E$8,"PX LAST",AK467)</f>
        <v>5005.57</v>
      </c>
      <c r="AG467" s="20">
        <f t="shared" ca="1" si="119"/>
        <v>45426</v>
      </c>
      <c r="AH467" s="22">
        <f t="shared" ca="1" si="114"/>
        <v>45419</v>
      </c>
      <c r="AI467" s="22">
        <f t="shared" ca="1" si="115"/>
        <v>45412</v>
      </c>
      <c r="AJ467" s="22">
        <f t="shared" ca="1" si="116"/>
        <v>45398</v>
      </c>
      <c r="AK467" s="22">
        <f t="shared" ca="1" si="117"/>
        <v>45338</v>
      </c>
      <c r="AL467" s="22">
        <f t="shared" ca="1" si="118"/>
        <v>45250</v>
      </c>
    </row>
    <row r="468" spans="4:38" x14ac:dyDescent="0.25">
      <c r="D468" s="6">
        <f ca="1"/>
        <v>45425</v>
      </c>
      <c r="E468" s="28">
        <f ca="1"/>
        <v>177.83</v>
      </c>
      <c r="F468" s="29" cm="1">
        <f t="array" aca="1" ref="F468" ca="1">_xll.FDS($E$7,"P_BETA_LOCIDX("&amp;$AG468&amp;","&amp;$AL468&amp;",,"""&amp;$E$9&amp;""")")</f>
        <v>2.4447489999999998</v>
      </c>
      <c r="G468" s="30">
        <f t="shared" ca="1" si="104"/>
        <v>9.3765205581336289E-3</v>
      </c>
      <c r="H468" s="30">
        <f t="shared" ca="1" si="104"/>
        <v>7.4145375433071564E-2</v>
      </c>
      <c r="I468" s="30">
        <f t="shared" ca="1" si="104"/>
        <v>3.4910166957903582E-2</v>
      </c>
      <c r="J468" s="30">
        <f t="shared" ca="1" si="102"/>
        <v>0.11294496100922603</v>
      </c>
      <c r="K468" s="30">
        <f t="shared" ca="1" si="105"/>
        <v>1.9196560591730492E-2</v>
      </c>
      <c r="L468" s="30">
        <f t="shared" ca="1" si="105"/>
        <v>5.0293448468287837E-2</v>
      </c>
      <c r="M468" s="30">
        <f t="shared" ca="1" si="105"/>
        <v>7.7083329790470861E-2</v>
      </c>
      <c r="N468" s="30">
        <f t="shared" ca="1" si="103"/>
        <v>9.3172781801408852E-2</v>
      </c>
      <c r="O468" s="30">
        <f t="shared" ca="1" si="106"/>
        <v>2.8573081149864121E-2</v>
      </c>
      <c r="P468" s="30">
        <f t="shared" ca="1" si="107"/>
        <v>0.12443882390135941</v>
      </c>
      <c r="Q468" s="30">
        <f t="shared" ca="1" si="108"/>
        <v>0.11199349674837444</v>
      </c>
      <c r="R468" s="30">
        <f t="shared" ca="1" si="109"/>
        <v>0.20611774281063489</v>
      </c>
      <c r="S468" s="9" cm="1">
        <f t="array" aca="1" ref="S468" ca="1">_xll.BDH($E$6,"PX LAST",AG468)</f>
        <v>177.83</v>
      </c>
      <c r="T468" s="9" cm="1">
        <f t="array" aca="1" ref="T468" ca="1">_xll.BDH($E$6,"PX LAST",AH468)</f>
        <v>172.89</v>
      </c>
      <c r="U468" s="9" cm="1">
        <f t="array" aca="1" ref="U468" ca="1">_xll.BDH($E$6,"PX LAST",AI468)</f>
        <v>158.15</v>
      </c>
      <c r="V468" s="9" cm="1">
        <f t="array" aca="1" ref="V468" ca="1">_xll.BDH($E$6,"PX LAST",AJ468)</f>
        <v>159.91999999999999</v>
      </c>
      <c r="W468" s="9" cm="1">
        <f t="array" aca="1" ref="W468" ca="1">_xll.BDH($E$6,"PX LAST",AK468)</f>
        <v>147.44</v>
      </c>
      <c r="X468" s="24">
        <f t="shared" ca="1" si="110"/>
        <v>7.8521601161225529E-3</v>
      </c>
      <c r="Y468" s="24">
        <f t="shared" ca="1" si="111"/>
        <v>2.0572029467355479E-2</v>
      </c>
      <c r="Z468" s="24">
        <f t="shared" ca="1" si="112"/>
        <v>3.1530161088304309E-2</v>
      </c>
      <c r="AA468" s="24">
        <f t="shared" ca="1" si="113"/>
        <v>3.8111389676980689E-2</v>
      </c>
      <c r="AB468" s="9" cm="1">
        <f t="array" aca="1" ref="AB468" ca="1">_xll.BDH($E$8,"PX LAST",AG468)</f>
        <v>5221.42</v>
      </c>
      <c r="AC468" s="9" cm="1">
        <f t="array" aca="1" ref="AC468" ca="1">_xll.BDH($E$8,"PX LAST",AH468)</f>
        <v>5180.74</v>
      </c>
      <c r="AD468" s="9" cm="1">
        <f t="array" aca="1" ref="AD468" ca="1">_xll.BDH($E$8,"PX LAST",AI468)</f>
        <v>5116.17</v>
      </c>
      <c r="AE468" s="9" cm="1">
        <f t="array" aca="1" ref="AE468" ca="1">_xll.BDH($E$8,"PX LAST",AJ468)</f>
        <v>5061.82</v>
      </c>
      <c r="AF468" s="9" cm="1">
        <f t="array" aca="1" ref="AF468" ca="1">_xll.BDH($E$8,"PX LAST",AK468)</f>
        <v>5029.7299999999996</v>
      </c>
      <c r="AG468" s="20">
        <f t="shared" ca="1" si="119"/>
        <v>45425</v>
      </c>
      <c r="AH468" s="22">
        <f t="shared" ca="1" si="114"/>
        <v>45418</v>
      </c>
      <c r="AI468" s="22">
        <f t="shared" ca="1" si="115"/>
        <v>45411</v>
      </c>
      <c r="AJ468" s="22">
        <f t="shared" ca="1" si="116"/>
        <v>45397</v>
      </c>
      <c r="AK468" s="22">
        <f t="shared" ca="1" si="117"/>
        <v>45337</v>
      </c>
      <c r="AL468" s="22">
        <f t="shared" ca="1" si="118"/>
        <v>45247</v>
      </c>
    </row>
    <row r="469" spans="4:38" x14ac:dyDescent="0.25">
      <c r="D469" s="6">
        <f ca="1"/>
        <v>45422</v>
      </c>
      <c r="E469" s="28">
        <f ca="1"/>
        <v>175.88</v>
      </c>
      <c r="F469" s="29" cm="1">
        <f t="array" aca="1" ref="F469" ca="1">_xll.FDS($E$7,"P_BETA_LOCIDX("&amp;$AG469&amp;","&amp;$AL469&amp;",,"""&amp;$E$9&amp;""")")</f>
        <v>2.4480708</v>
      </c>
      <c r="G469" s="30">
        <f t="shared" ca="1" si="104"/>
        <v>3.4759113888030019E-3</v>
      </c>
      <c r="H469" s="30">
        <f t="shared" ca="1" si="104"/>
        <v>6.9975417904633117E-2</v>
      </c>
      <c r="I469" s="30">
        <f t="shared" ca="1" si="104"/>
        <v>4.1202550758623634E-2</v>
      </c>
      <c r="J469" s="30">
        <f t="shared" ca="1" si="104"/>
        <v>0.12078993446426536</v>
      </c>
      <c r="K469" s="30">
        <f t="shared" ca="1" si="105"/>
        <v>4.5301667621334238E-2</v>
      </c>
      <c r="L469" s="30">
        <f t="shared" ca="1" si="105"/>
        <v>5.8907765664044556E-2</v>
      </c>
      <c r="M469" s="30">
        <f t="shared" ca="1" si="105"/>
        <v>4.7433250182203159E-2</v>
      </c>
      <c r="N469" s="30">
        <f t="shared" ca="1" si="105"/>
        <v>0.108710240299803</v>
      </c>
      <c r="O469" s="30">
        <f t="shared" ca="1" si="106"/>
        <v>4.877757901013724E-2</v>
      </c>
      <c r="P469" s="30">
        <f t="shared" ca="1" si="107"/>
        <v>0.12888318356867767</v>
      </c>
      <c r="Q469" s="30">
        <f t="shared" ca="1" si="108"/>
        <v>8.8635800940826792E-2</v>
      </c>
      <c r="R469" s="30">
        <f t="shared" ca="1" si="109"/>
        <v>0.22950017476406837</v>
      </c>
      <c r="S469" s="9" cm="1">
        <f t="array" aca="1" ref="S469" ca="1">_xll.BDH($E$6,"PX LAST",AG469)</f>
        <v>175.88</v>
      </c>
      <c r="T469" s="9" cm="1">
        <f t="array" aca="1" ref="T469" ca="1">_xll.BDH($E$6,"PX LAST",AH469)</f>
        <v>167.7</v>
      </c>
      <c r="U469" s="9" cm="1">
        <f t="array" aca="1" ref="U469" ca="1">_xll.BDH($E$6,"PX LAST",AI469)</f>
        <v>155.80000000000001</v>
      </c>
      <c r="V469" s="9" cm="1">
        <f t="array" aca="1" ref="V469" ca="1">_xll.BDH($E$6,"PX LAST",AJ469)</f>
        <v>161.56</v>
      </c>
      <c r="W469" s="9" cm="1">
        <f t="array" aca="1" ref="W469" ca="1">_xll.BDH($E$6,"PX LAST",AK469)</f>
        <v>143.05000000000001</v>
      </c>
      <c r="X469" s="24">
        <f t="shared" ca="1" si="110"/>
        <v>1.8505047983634393E-2</v>
      </c>
      <c r="Y469" s="24">
        <f t="shared" ca="1" si="111"/>
        <v>2.4062933826932031E-2</v>
      </c>
      <c r="Z469" s="24">
        <f t="shared" ca="1" si="112"/>
        <v>1.9375767311224479E-2</v>
      </c>
      <c r="AA469" s="24">
        <f t="shared" ca="1" si="113"/>
        <v>4.4406493594794316E-2</v>
      </c>
      <c r="AB469" s="9" cm="1">
        <f t="array" aca="1" ref="AB469" ca="1">_xll.BDH($E$8,"PX LAST",AG469)</f>
        <v>5222.68</v>
      </c>
      <c r="AC469" s="9" cm="1">
        <f t="array" aca="1" ref="AC469" ca="1">_xll.BDH($E$8,"PX LAST",AH469)</f>
        <v>5127.79</v>
      </c>
      <c r="AD469" s="9" cm="1">
        <f t="array" aca="1" ref="AD469" ca="1">_xll.BDH($E$8,"PX LAST",AI469)</f>
        <v>5099.96</v>
      </c>
      <c r="AE469" s="9" cm="1">
        <f t="array" aca="1" ref="AE469" ca="1">_xll.BDH($E$8,"PX LAST",AJ469)</f>
        <v>5123.41</v>
      </c>
      <c r="AF469" s="9" cm="1">
        <f t="array" aca="1" ref="AF469" ca="1">_xll.BDH($E$8,"PX LAST",AK469)</f>
        <v>5000.62</v>
      </c>
      <c r="AG469" s="20">
        <f t="shared" ca="1" si="119"/>
        <v>45422</v>
      </c>
      <c r="AH469" s="22">
        <f t="shared" ca="1" si="114"/>
        <v>45415</v>
      </c>
      <c r="AI469" s="22">
        <f t="shared" ca="1" si="115"/>
        <v>45408</v>
      </c>
      <c r="AJ469" s="22">
        <f t="shared" ca="1" si="116"/>
        <v>45394</v>
      </c>
      <c r="AK469" s="22">
        <f t="shared" ca="1" si="117"/>
        <v>45336</v>
      </c>
      <c r="AL469" s="22">
        <f t="shared" ca="1" si="118"/>
        <v>45246</v>
      </c>
    </row>
    <row r="470" spans="4:38" x14ac:dyDescent="0.25">
      <c r="D470" s="6">
        <f ca="1"/>
        <v>45421</v>
      </c>
      <c r="E470" s="28">
        <f ca="1"/>
        <v>175.25</v>
      </c>
      <c r="F470" s="29" cm="1">
        <f t="array" aca="1" ref="F470" ca="1">_xll.FDS($E$7,"P_BETA_LOCIDX("&amp;$AG470&amp;","&amp;$AL470&amp;",,"""&amp;$E$9&amp;""")")</f>
        <v>2.44733</v>
      </c>
      <c r="G470" s="30">
        <f t="shared" ref="G470:J533" ca="1" si="120">+O470-K470</f>
        <v>-1.0824654316731561E-2</v>
      </c>
      <c r="H470" s="30">
        <f t="shared" ca="1" si="120"/>
        <v>3.3805917341424269E-2</v>
      </c>
      <c r="I470" s="30">
        <f t="shared" ca="1" si="120"/>
        <v>5.1778111282168075E-2</v>
      </c>
      <c r="J470" s="30">
        <f t="shared" ca="1" si="120"/>
        <v>0.19282973882660656</v>
      </c>
      <c r="K470" s="30">
        <f t="shared" ref="K470:N533" ca="1" si="121">+X470*$F470</f>
        <v>7.2431148137909115E-2</v>
      </c>
      <c r="L470" s="30">
        <f t="shared" ca="1" si="121"/>
        <v>8.030724222628069E-2</v>
      </c>
      <c r="M470" s="30">
        <f t="shared" ca="1" si="121"/>
        <v>7.0702966690132157E-3</v>
      </c>
      <c r="N470" s="30">
        <f t="shared" ca="1" si="121"/>
        <v>0.12891398241933963</v>
      </c>
      <c r="O470" s="30">
        <f t="shared" ref="O470:O533" ca="1" si="122">+S470/T470-1</f>
        <v>6.1606493821177555E-2</v>
      </c>
      <c r="P470" s="30">
        <f t="shared" ref="P470:P533" ca="1" si="123">+S470/U470-1</f>
        <v>0.11411315956770496</v>
      </c>
      <c r="Q470" s="30">
        <f t="shared" ref="Q470:Q533" ca="1" si="124">+S470/V470-1</f>
        <v>5.8848407951181292E-2</v>
      </c>
      <c r="R470" s="30">
        <f t="shared" ref="R470:R533" ca="1" si="125">+S470/W470-1</f>
        <v>0.32174372124594619</v>
      </c>
      <c r="S470" s="9" cm="1">
        <f t="array" aca="1" ref="S470" ca="1">_xll.BDH($E$6,"PX LAST",AG470)</f>
        <v>175.25</v>
      </c>
      <c r="T470" s="9" cm="1">
        <f t="array" aca="1" ref="T470" ca="1">_xll.BDH($E$6,"PX LAST",AH470)</f>
        <v>165.08</v>
      </c>
      <c r="U470" s="9" cm="1">
        <f t="array" aca="1" ref="U470" ca="1">_xll.BDH($E$6,"PX LAST",AI470)</f>
        <v>157.30000000000001</v>
      </c>
      <c r="V470" s="9" cm="1">
        <f t="array" aca="1" ref="V470" ca="1">_xll.BDH($E$6,"PX LAST",AJ470)</f>
        <v>165.51</v>
      </c>
      <c r="W470" s="9" cm="1">
        <f t="array" aca="1" ref="W470" ca="1">_xll.BDH($E$6,"PX LAST",AK470)</f>
        <v>132.59</v>
      </c>
      <c r="X470" s="24">
        <f t="shared" ref="X470:X533" ca="1" si="126">+AB470/AC470-1</f>
        <v>2.9595987520240064E-2</v>
      </c>
      <c r="Y470" s="24">
        <f t="shared" ref="Y470:Y533" ca="1" si="127">+AB470/AD470-1</f>
        <v>3.2814227025485199E-2</v>
      </c>
      <c r="Z470" s="24">
        <f t="shared" ref="Z470:Z533" ca="1" si="128">+AB470/AE470-1</f>
        <v>2.8889837778367511E-3</v>
      </c>
      <c r="AA470" s="24">
        <f t="shared" ref="AA470:AA533" ca="1" si="129">+AB470/AF470-1</f>
        <v>5.2675357397383937E-2</v>
      </c>
      <c r="AB470" s="9" cm="1">
        <f t="array" aca="1" ref="AB470" ca="1">_xll.BDH($E$8,"PX LAST",AG470)</f>
        <v>5214.08</v>
      </c>
      <c r="AC470" s="9" cm="1">
        <f t="array" aca="1" ref="AC470" ca="1">_xll.BDH($E$8,"PX LAST",AH470)</f>
        <v>5064.2</v>
      </c>
      <c r="AD470" s="9" cm="1">
        <f t="array" aca="1" ref="AD470" ca="1">_xll.BDH($E$8,"PX LAST",AI470)</f>
        <v>5048.42</v>
      </c>
      <c r="AE470" s="9" cm="1">
        <f t="array" aca="1" ref="AE470" ca="1">_xll.BDH($E$8,"PX LAST",AJ470)</f>
        <v>5199.0600000000004</v>
      </c>
      <c r="AF470" s="9" cm="1">
        <f t="array" aca="1" ref="AF470" ca="1">_xll.BDH($E$8,"PX LAST",AK470)</f>
        <v>4953.17</v>
      </c>
      <c r="AG470" s="20">
        <f t="shared" ca="1" si="119"/>
        <v>45421</v>
      </c>
      <c r="AH470" s="22">
        <f t="shared" ref="AH470:AH533" ca="1" si="130">+WORKDAY($AG470, -5, $AN$2:$AN$100)</f>
        <v>45414</v>
      </c>
      <c r="AI470" s="22">
        <f t="shared" ref="AI470:AI533" ca="1" si="131">+WORKDAY($AG470, -10, $AN$2:$AN$100)</f>
        <v>45407</v>
      </c>
      <c r="AJ470" s="22">
        <f t="shared" ref="AJ470:AJ533" ca="1" si="132">+WORKDAY($AG470, -20, $AN$2:$AN$100)</f>
        <v>45393</v>
      </c>
      <c r="AK470" s="22">
        <f t="shared" ref="AK470:AK533" ca="1" si="133">+WORKDAY($AG470, -60, $AN$2:$AN$100)</f>
        <v>45335</v>
      </c>
      <c r="AL470" s="22">
        <f t="shared" ref="AL470:AL533" ca="1" si="134">+WORKDAY($AG470, -120, $AN$2:$AN$100)</f>
        <v>45245</v>
      </c>
    </row>
    <row r="471" spans="4:38" x14ac:dyDescent="0.25">
      <c r="D471" s="6">
        <f ca="1"/>
        <v>45420</v>
      </c>
      <c r="E471" s="28">
        <f ca="1"/>
        <v>173.68</v>
      </c>
      <c r="F471" s="29" cm="1">
        <f t="array" aca="1" ref="F471" ca="1">_xll.FDS($E$7,"P_BETA_LOCIDX("&amp;$AG471&amp;","&amp;$AL471&amp;",,"""&amp;$E$9&amp;""")")</f>
        <v>2.4811087000000001</v>
      </c>
      <c r="G471" s="30">
        <f t="shared" ca="1" si="120"/>
        <v>4.1177871537657645E-2</v>
      </c>
      <c r="H471" s="30">
        <f t="shared" ca="1" si="120"/>
        <v>3.1520431965791344E-2</v>
      </c>
      <c r="I471" s="30">
        <f t="shared" ca="1" si="120"/>
        <v>2.6880105269889622E-2</v>
      </c>
      <c r="J471" s="30">
        <f t="shared" ca="1" si="120"/>
        <v>-0.17983739809425359</v>
      </c>
      <c r="K471" s="30">
        <f t="shared" ca="1" si="121"/>
        <v>8.3692594783585789E-2</v>
      </c>
      <c r="L471" s="30">
        <f t="shared" ca="1" si="121"/>
        <v>5.676830793019217E-2</v>
      </c>
      <c r="M471" s="30">
        <f t="shared" ca="1" si="121"/>
        <v>1.2995358746395878E-2</v>
      </c>
      <c r="N471" s="30">
        <f t="shared" ca="1" si="121"/>
        <v>8.1930578377845772E-2</v>
      </c>
      <c r="O471" s="30">
        <f t="shared" ca="1" si="122"/>
        <v>0.12487046632124343</v>
      </c>
      <c r="P471" s="30">
        <f t="shared" ca="1" si="123"/>
        <v>8.8288739895983515E-2</v>
      </c>
      <c r="Q471" s="30">
        <f t="shared" ca="1" si="124"/>
        <v>3.98754640162855E-2</v>
      </c>
      <c r="R471" s="30">
        <f t="shared" ca="1" si="125"/>
        <v>-9.79068197164078E-2</v>
      </c>
      <c r="S471" s="9" cm="1">
        <f t="array" aca="1" ref="S471" ca="1">_xll.BDH($E$6,"PX LAST",AG471)</f>
        <v>173.68</v>
      </c>
      <c r="T471" s="9" cm="1">
        <f t="array" aca="1" ref="T471" ca="1">_xll.BDH($E$6,"PX LAST",AH471)</f>
        <v>154.4</v>
      </c>
      <c r="U471" s="9" cm="1">
        <f t="array" aca="1" ref="U471" ca="1">_xll.BDH($E$6,"PX LAST",AI471)</f>
        <v>159.59</v>
      </c>
      <c r="V471" s="9" cm="1">
        <f t="array" aca="1" ref="V471" ca="1">_xll.BDH($E$6,"PX LAST",AJ471)</f>
        <v>167.02</v>
      </c>
      <c r="W471" s="9" cm="1">
        <f t="array" aca="1" ref="W471" ca="1">_xll.BDH($E$6,"PX LAST",AK471)</f>
        <v>192.53</v>
      </c>
      <c r="X471" s="24">
        <f t="shared" ca="1" si="126"/>
        <v>3.3731933946943071E-2</v>
      </c>
      <c r="Y471" s="24">
        <f t="shared" ca="1" si="127"/>
        <v>2.2880217996975372E-2</v>
      </c>
      <c r="Z471" s="24">
        <f t="shared" ca="1" si="128"/>
        <v>5.2377224530291144E-3</v>
      </c>
      <c r="AA471" s="24">
        <f t="shared" ca="1" si="129"/>
        <v>3.3021760948178436E-2</v>
      </c>
      <c r="AB471" s="9" cm="1">
        <f t="array" aca="1" ref="AB471" ca="1">_xll.BDH($E$8,"PX LAST",AG471)</f>
        <v>5187.67</v>
      </c>
      <c r="AC471" s="9" cm="1">
        <f t="array" aca="1" ref="AC471" ca="1">_xll.BDH($E$8,"PX LAST",AH471)</f>
        <v>5018.3900000000003</v>
      </c>
      <c r="AD471" s="9" cm="1">
        <f t="array" aca="1" ref="AD471" ca="1">_xll.BDH($E$8,"PX LAST",AI471)</f>
        <v>5071.63</v>
      </c>
      <c r="AE471" s="9" cm="1">
        <f t="array" aca="1" ref="AE471" ca="1">_xll.BDH($E$8,"PX LAST",AJ471)</f>
        <v>5160.6400000000003</v>
      </c>
      <c r="AF471" s="9" cm="1">
        <f t="array" aca="1" ref="AF471" ca="1">_xll.BDH($E$8,"PX LAST",AK471)</f>
        <v>5021.84</v>
      </c>
      <c r="AG471" s="20">
        <f t="shared" ref="AG471:AG534" ca="1" si="135">+WORKDAY(D471, 0, $AN$2:$AN$59)</f>
        <v>45420</v>
      </c>
      <c r="AH471" s="22">
        <f t="shared" ca="1" si="130"/>
        <v>45413</v>
      </c>
      <c r="AI471" s="22">
        <f t="shared" ca="1" si="131"/>
        <v>45406</v>
      </c>
      <c r="AJ471" s="22">
        <f t="shared" ca="1" si="132"/>
        <v>45392</v>
      </c>
      <c r="AK471" s="22">
        <f t="shared" ca="1" si="133"/>
        <v>45334</v>
      </c>
      <c r="AL471" s="22">
        <f t="shared" ca="1" si="134"/>
        <v>45244</v>
      </c>
    </row>
    <row r="472" spans="4:38" x14ac:dyDescent="0.25">
      <c r="D472" s="6">
        <f ca="1"/>
        <v>45419</v>
      </c>
      <c r="E472" s="28">
        <f ca="1"/>
        <v>180.48</v>
      </c>
      <c r="F472" s="29" cm="1">
        <f t="array" aca="1" ref="F472" ca="1">_xll.FDS($E$7,"P_BETA_LOCIDX("&amp;$AG472&amp;","&amp;$AL472&amp;",,"""&amp;$E$9&amp;""")")</f>
        <v>2.4727402000000001</v>
      </c>
      <c r="G472" s="30">
        <f t="shared" ca="1" si="120"/>
        <v>0.10689501887181564</v>
      </c>
      <c r="H472" s="30">
        <f t="shared" ca="1" si="120"/>
        <v>7.6823058763641344E-2</v>
      </c>
      <c r="I472" s="30">
        <f t="shared" ca="1" si="120"/>
        <v>5.5106707618850392E-2</v>
      </c>
      <c r="J472" s="30">
        <f t="shared" ca="1" si="120"/>
        <v>-0.14811978904832779</v>
      </c>
      <c r="K472" s="30">
        <f t="shared" ca="1" si="121"/>
        <v>7.4643442666645785E-2</v>
      </c>
      <c r="L472" s="30">
        <f t="shared" ca="1" si="121"/>
        <v>5.7130195822938233E-2</v>
      </c>
      <c r="M472" s="30">
        <f t="shared" ca="1" si="121"/>
        <v>-1.0541364407830597E-2</v>
      </c>
      <c r="N472" s="30">
        <f t="shared" ca="1" si="121"/>
        <v>7.924500186368133E-2</v>
      </c>
      <c r="O472" s="30">
        <f t="shared" ca="1" si="122"/>
        <v>0.18153846153846143</v>
      </c>
      <c r="P472" s="30">
        <f t="shared" ca="1" si="123"/>
        <v>0.13395325458657958</v>
      </c>
      <c r="Q472" s="30">
        <f t="shared" ca="1" si="124"/>
        <v>4.4565343211019792E-2</v>
      </c>
      <c r="R472" s="30">
        <f t="shared" ca="1" si="125"/>
        <v>-6.8874787184646458E-2</v>
      </c>
      <c r="S472" s="9" cm="1">
        <f t="array" aca="1" ref="S472" ca="1">_xll.BDH($E$6,"PX LAST",AG472)</f>
        <v>180.48</v>
      </c>
      <c r="T472" s="9" cm="1">
        <f t="array" aca="1" ref="T472" ca="1">_xll.BDH($E$6,"PX LAST",AH472)</f>
        <v>152.75</v>
      </c>
      <c r="U472" s="9" cm="1">
        <f t="array" aca="1" ref="U472" ca="1">_xll.BDH($E$6,"PX LAST",AI472)</f>
        <v>159.16</v>
      </c>
      <c r="V472" s="9" cm="1">
        <f t="array" aca="1" ref="V472" ca="1">_xll.BDH($E$6,"PX LAST",AJ472)</f>
        <v>172.78</v>
      </c>
      <c r="W472" s="9" cm="1">
        <f t="array" aca="1" ref="W472" ca="1">_xll.BDH($E$6,"PX LAST",AK472)</f>
        <v>193.83</v>
      </c>
      <c r="X472" s="24">
        <f t="shared" ca="1" si="126"/>
        <v>3.0186528559144943E-2</v>
      </c>
      <c r="Y472" s="24">
        <f t="shared" ca="1" si="127"/>
        <v>2.310400252438094E-2</v>
      </c>
      <c r="Z472" s="24">
        <f t="shared" ca="1" si="128"/>
        <v>-4.2630294957111126E-3</v>
      </c>
      <c r="AA472" s="24">
        <f t="shared" ca="1" si="129"/>
        <v>3.2047443505662798E-2</v>
      </c>
      <c r="AB472" s="9" cm="1">
        <f t="array" aca="1" ref="AB472" ca="1">_xll.BDH($E$8,"PX LAST",AG472)</f>
        <v>5187.7</v>
      </c>
      <c r="AC472" s="9" cm="1">
        <f t="array" aca="1" ref="AC472" ca="1">_xll.BDH($E$8,"PX LAST",AH472)</f>
        <v>5035.6899999999996</v>
      </c>
      <c r="AD472" s="9" cm="1">
        <f t="array" aca="1" ref="AD472" ca="1">_xll.BDH($E$8,"PX LAST",AI472)</f>
        <v>5070.55</v>
      </c>
      <c r="AE472" s="9" cm="1">
        <f t="array" aca="1" ref="AE472" ca="1">_xll.BDH($E$8,"PX LAST",AJ472)</f>
        <v>5209.91</v>
      </c>
      <c r="AF472" s="9" cm="1">
        <f t="array" aca="1" ref="AF472" ca="1">_xll.BDH($E$8,"PX LAST",AK472)</f>
        <v>5026.6099999999997</v>
      </c>
      <c r="AG472" s="20">
        <f t="shared" ca="1" si="135"/>
        <v>45419</v>
      </c>
      <c r="AH472" s="22">
        <f t="shared" ca="1" si="130"/>
        <v>45412</v>
      </c>
      <c r="AI472" s="22">
        <f t="shared" ca="1" si="131"/>
        <v>45405</v>
      </c>
      <c r="AJ472" s="22">
        <f t="shared" ca="1" si="132"/>
        <v>45391</v>
      </c>
      <c r="AK472" s="22">
        <f t="shared" ca="1" si="133"/>
        <v>45331</v>
      </c>
      <c r="AL472" s="22">
        <f t="shared" ca="1" si="134"/>
        <v>45243</v>
      </c>
    </row>
    <row r="473" spans="4:38" x14ac:dyDescent="0.25">
      <c r="D473" s="6">
        <f ca="1"/>
        <v>45418</v>
      </c>
      <c r="E473" s="28">
        <f ca="1"/>
        <v>172.89</v>
      </c>
      <c r="F473" s="29" cm="1">
        <f t="array" aca="1" ref="F473" ca="1">_xll.FDS($E$7,"P_BETA_LOCIDX("&amp;$AG473&amp;","&amp;$AL473&amp;",,"""&amp;$E$9&amp;""")")</f>
        <v>2.4508233000000001</v>
      </c>
      <c r="G473" s="30">
        <f t="shared" ca="1" si="120"/>
        <v>6.2271380850416613E-2</v>
      </c>
      <c r="H473" s="30">
        <f t="shared" ca="1" si="120"/>
        <v>2.5120089770083037E-2</v>
      </c>
      <c r="I473" s="30">
        <f t="shared" ca="1" si="120"/>
        <v>1.2227735955238961E-2</v>
      </c>
      <c r="J473" s="30">
        <f t="shared" ca="1" si="120"/>
        <v>-0.18385452127868473</v>
      </c>
      <c r="K473" s="30">
        <f t="shared" ca="1" si="121"/>
        <v>3.0931274856190849E-2</v>
      </c>
      <c r="L473" s="30">
        <f t="shared" ca="1" si="121"/>
        <v>8.3220188452879734E-2</v>
      </c>
      <c r="M473" s="30">
        <f t="shared" ca="1" si="121"/>
        <v>-1.0199220828311928E-2</v>
      </c>
      <c r="N473" s="30">
        <f t="shared" ca="1" si="121"/>
        <v>8.9654280276955753E-2</v>
      </c>
      <c r="O473" s="30">
        <f t="shared" ca="1" si="122"/>
        <v>9.3202655706607462E-2</v>
      </c>
      <c r="P473" s="30">
        <f t="shared" ca="1" si="123"/>
        <v>0.10834027822296277</v>
      </c>
      <c r="Q473" s="30">
        <f t="shared" ca="1" si="124"/>
        <v>2.028515126927033E-3</v>
      </c>
      <c r="R473" s="30">
        <f t="shared" ca="1" si="125"/>
        <v>-9.4200241001728968E-2</v>
      </c>
      <c r="S473" s="9" cm="1">
        <f t="array" aca="1" ref="S473" ca="1">_xll.BDH($E$6,"PX LAST",AG473)</f>
        <v>172.89</v>
      </c>
      <c r="T473" s="9" cm="1">
        <f t="array" aca="1" ref="T473" ca="1">_xll.BDH($E$6,"PX LAST",AH473)</f>
        <v>158.15</v>
      </c>
      <c r="U473" s="9" cm="1">
        <f t="array" aca="1" ref="U473" ca="1">_xll.BDH($E$6,"PX LAST",AI473)</f>
        <v>155.99</v>
      </c>
      <c r="V473" s="9" cm="1">
        <f t="array" aca="1" ref="V473" ca="1">_xll.BDH($E$6,"PX LAST",AJ473)</f>
        <v>172.54</v>
      </c>
      <c r="W473" s="9" cm="1">
        <f t="array" aca="1" ref="W473" ca="1">_xll.BDH($E$6,"PX LAST",AK473)</f>
        <v>190.87</v>
      </c>
      <c r="X473" s="24">
        <f t="shared" ca="1" si="126"/>
        <v>1.2620769051849168E-2</v>
      </c>
      <c r="Y473" s="24">
        <f t="shared" ca="1" si="127"/>
        <v>3.3956013251905892E-2</v>
      </c>
      <c r="Z473" s="24">
        <f t="shared" ca="1" si="128"/>
        <v>-4.161548826597139E-3</v>
      </c>
      <c r="AA473" s="24">
        <f t="shared" ca="1" si="129"/>
        <v>3.6581290979629477E-2</v>
      </c>
      <c r="AB473" s="9" cm="1">
        <f t="array" aca="1" ref="AB473" ca="1">_xll.BDH($E$8,"PX LAST",AG473)</f>
        <v>5180.74</v>
      </c>
      <c r="AC473" s="9" cm="1">
        <f t="array" aca="1" ref="AC473" ca="1">_xll.BDH($E$8,"PX LAST",AH473)</f>
        <v>5116.17</v>
      </c>
      <c r="AD473" s="9" cm="1">
        <f t="array" aca="1" ref="AD473" ca="1">_xll.BDH($E$8,"PX LAST",AI473)</f>
        <v>5010.6000000000004</v>
      </c>
      <c r="AE473" s="9" cm="1">
        <f t="array" aca="1" ref="AE473" ca="1">_xll.BDH($E$8,"PX LAST",AJ473)</f>
        <v>5202.3900000000003</v>
      </c>
      <c r="AF473" s="9" cm="1">
        <f t="array" aca="1" ref="AF473" ca="1">_xll.BDH($E$8,"PX LAST",AK473)</f>
        <v>4997.91</v>
      </c>
      <c r="AG473" s="20">
        <f t="shared" ca="1" si="135"/>
        <v>45418</v>
      </c>
      <c r="AH473" s="22">
        <f t="shared" ca="1" si="130"/>
        <v>45411</v>
      </c>
      <c r="AI473" s="22">
        <f t="shared" ca="1" si="131"/>
        <v>45404</v>
      </c>
      <c r="AJ473" s="22">
        <f t="shared" ca="1" si="132"/>
        <v>45390</v>
      </c>
      <c r="AK473" s="22">
        <f t="shared" ca="1" si="133"/>
        <v>45330</v>
      </c>
      <c r="AL473" s="22">
        <f t="shared" ca="1" si="134"/>
        <v>45240</v>
      </c>
    </row>
    <row r="474" spans="4:38" x14ac:dyDescent="0.25">
      <c r="D474" s="6">
        <f ca="1"/>
        <v>45415</v>
      </c>
      <c r="E474" s="28">
        <f ca="1"/>
        <v>167.7</v>
      </c>
      <c r="F474" s="29" cm="1">
        <f t="array" aca="1" ref="F474" ca="1">_xll.FDS($E$7,"P_BETA_LOCIDX("&amp;$AG474&amp;","&amp;$AL474&amp;",,"""&amp;$E$9&amp;""")")</f>
        <v>2.4022671999999998</v>
      </c>
      <c r="G474" s="30">
        <f t="shared" ca="1" si="120"/>
        <v>6.3271029123351516E-2</v>
      </c>
      <c r="H474" s="30">
        <f t="shared" ca="1" si="120"/>
        <v>1.1239805923665067E-2</v>
      </c>
      <c r="I474" s="30">
        <f t="shared" ca="1" si="120"/>
        <v>1.1526516342061706E-2</v>
      </c>
      <c r="J474" s="30">
        <f t="shared" ca="1" si="120"/>
        <v>-0.17280767112382772</v>
      </c>
      <c r="K474" s="30">
        <f t="shared" ca="1" si="121"/>
        <v>1.3108945202707403E-2</v>
      </c>
      <c r="L474" s="30">
        <f t="shared" ca="1" si="121"/>
        <v>7.7650525872971457E-2</v>
      </c>
      <c r="M474" s="30">
        <f t="shared" ca="1" si="121"/>
        <v>-3.5334654184776666E-2</v>
      </c>
      <c r="N474" s="30">
        <f t="shared" ca="1" si="121"/>
        <v>6.3833652740107258E-2</v>
      </c>
      <c r="O474" s="30">
        <f t="shared" ca="1" si="122"/>
        <v>7.6379974326058919E-2</v>
      </c>
      <c r="P474" s="30">
        <f t="shared" ca="1" si="123"/>
        <v>8.8890331796636524E-2</v>
      </c>
      <c r="Q474" s="30">
        <f t="shared" ca="1" si="124"/>
        <v>-2.380813784271496E-2</v>
      </c>
      <c r="R474" s="30">
        <f t="shared" ca="1" si="125"/>
        <v>-0.10897401838372045</v>
      </c>
      <c r="S474" s="9" cm="1">
        <f t="array" aca="1" ref="S474" ca="1">_xll.BDH($E$6,"PX LAST",AG474)</f>
        <v>167.7</v>
      </c>
      <c r="T474" s="9" cm="1">
        <f t="array" aca="1" ref="T474" ca="1">_xll.BDH($E$6,"PX LAST",AH474)</f>
        <v>155.80000000000001</v>
      </c>
      <c r="U474" s="9" cm="1">
        <f t="array" aca="1" ref="U474" ca="1">_xll.BDH($E$6,"PX LAST",AI474)</f>
        <v>154.01</v>
      </c>
      <c r="V474" s="9" cm="1">
        <f t="array" aca="1" ref="V474" ca="1">_xll.BDH($E$6,"PX LAST",AJ474)</f>
        <v>171.79</v>
      </c>
      <c r="W474" s="9" cm="1">
        <f t="array" aca="1" ref="W474" ca="1">_xll.BDH($E$6,"PX LAST",AK474)</f>
        <v>188.21</v>
      </c>
      <c r="X474" s="24">
        <f t="shared" ca="1" si="126"/>
        <v>5.4569055443571823E-3</v>
      </c>
      <c r="Y474" s="24">
        <f t="shared" ca="1" si="127"/>
        <v>3.2323850516283725E-2</v>
      </c>
      <c r="Z474" s="24">
        <f t="shared" ca="1" si="128"/>
        <v>-1.4708877590626335E-2</v>
      </c>
      <c r="AA474" s="24">
        <f t="shared" ca="1" si="129"/>
        <v>2.6572253386345723E-2</v>
      </c>
      <c r="AB474" s="9" cm="1">
        <f t="array" aca="1" ref="AB474" ca="1">_xll.BDH($E$8,"PX LAST",AG474)</f>
        <v>5127.79</v>
      </c>
      <c r="AC474" s="9" cm="1">
        <f t="array" aca="1" ref="AC474" ca="1">_xll.BDH($E$8,"PX LAST",AH474)</f>
        <v>5099.96</v>
      </c>
      <c r="AD474" s="9" cm="1">
        <f t="array" aca="1" ref="AD474" ca="1">_xll.BDH($E$8,"PX LAST",AI474)</f>
        <v>4967.2299999999996</v>
      </c>
      <c r="AE474" s="9" cm="1">
        <f t="array" aca="1" ref="AE474" ca="1">_xll.BDH($E$8,"PX LAST",AJ474)</f>
        <v>5204.34</v>
      </c>
      <c r="AF474" s="9" cm="1">
        <f t="array" aca="1" ref="AF474" ca="1">_xll.BDH($E$8,"PX LAST",AK474)</f>
        <v>4995.0600000000004</v>
      </c>
      <c r="AG474" s="20">
        <f t="shared" ca="1" si="135"/>
        <v>45415</v>
      </c>
      <c r="AH474" s="22">
        <f t="shared" ca="1" si="130"/>
        <v>45408</v>
      </c>
      <c r="AI474" s="22">
        <f t="shared" ca="1" si="131"/>
        <v>45401</v>
      </c>
      <c r="AJ474" s="22">
        <f t="shared" ca="1" si="132"/>
        <v>45387</v>
      </c>
      <c r="AK474" s="22">
        <f t="shared" ca="1" si="133"/>
        <v>45329</v>
      </c>
      <c r="AL474" s="22">
        <f t="shared" ca="1" si="134"/>
        <v>45239</v>
      </c>
    </row>
    <row r="475" spans="4:38" x14ac:dyDescent="0.25">
      <c r="D475" s="6">
        <f ca="1"/>
        <v>45414</v>
      </c>
      <c r="E475" s="28">
        <f ca="1"/>
        <v>165.08</v>
      </c>
      <c r="F475" s="29" cm="1">
        <f t="array" aca="1" ref="F475" ca="1">_xll.FDS($E$7,"P_BETA_LOCIDX("&amp;$AG475&amp;","&amp;$AL475&amp;",,"""&amp;$E$9&amp;""")")</f>
        <v>2.4279945000000001</v>
      </c>
      <c r="G475" s="30">
        <f t="shared" ca="1" si="120"/>
        <v>4.1870374993668726E-2</v>
      </c>
      <c r="H475" s="30">
        <f t="shared" ca="1" si="120"/>
        <v>5.0141879207350179E-2</v>
      </c>
      <c r="I475" s="30">
        <f t="shared" ca="1" si="120"/>
        <v>9.0744565829386434E-3</v>
      </c>
      <c r="J475" s="30">
        <f t="shared" ca="1" si="120"/>
        <v>-0.15963680795481672</v>
      </c>
      <c r="K475" s="30">
        <f t="shared" ca="1" si="121"/>
        <v>7.5892562841443278E-3</v>
      </c>
      <c r="L475" s="30">
        <f t="shared" ca="1" si="121"/>
        <v>2.5718391908395494E-2</v>
      </c>
      <c r="M475" s="30">
        <f t="shared" ca="1" si="121"/>
        <v>-3.9156712752151206E-2</v>
      </c>
      <c r="N475" s="30">
        <f t="shared" ca="1" si="121"/>
        <v>5.3894662776051934E-2</v>
      </c>
      <c r="O475" s="30">
        <f t="shared" ca="1" si="122"/>
        <v>4.9459631277813054E-2</v>
      </c>
      <c r="P475" s="30">
        <f t="shared" ca="1" si="123"/>
        <v>7.586027111574567E-2</v>
      </c>
      <c r="Q475" s="30">
        <f t="shared" ca="1" si="124"/>
        <v>-3.0082256169212562E-2</v>
      </c>
      <c r="R475" s="30">
        <f t="shared" ca="1" si="125"/>
        <v>-0.10574214517876479</v>
      </c>
      <c r="S475" s="9" cm="1">
        <f t="array" aca="1" ref="S475" ca="1">_xll.BDH($E$6,"PX LAST",AG475)</f>
        <v>165.08</v>
      </c>
      <c r="T475" s="9" cm="1">
        <f t="array" aca="1" ref="T475" ca="1">_xll.BDH($E$6,"PX LAST",AH475)</f>
        <v>157.30000000000001</v>
      </c>
      <c r="U475" s="9" cm="1">
        <f t="array" aca="1" ref="U475" ca="1">_xll.BDH($E$6,"PX LAST",AI475)</f>
        <v>153.44</v>
      </c>
      <c r="V475" s="9" cm="1">
        <f t="array" aca="1" ref="V475" ca="1">_xll.BDH($E$6,"PX LAST",AJ475)</f>
        <v>170.2</v>
      </c>
      <c r="W475" s="9" cm="1">
        <f t="array" aca="1" ref="W475" ca="1">_xll.BDH($E$6,"PX LAST",AK475)</f>
        <v>184.6</v>
      </c>
      <c r="X475" s="24">
        <f t="shared" ca="1" si="126"/>
        <v>3.1257304265492891E-3</v>
      </c>
      <c r="Y475" s="24">
        <f t="shared" ca="1" si="127"/>
        <v>1.0592442408084324E-2</v>
      </c>
      <c r="Z475" s="24">
        <f t="shared" ca="1" si="128"/>
        <v>-1.6127183464439976E-2</v>
      </c>
      <c r="AA475" s="24">
        <f t="shared" ca="1" si="129"/>
        <v>2.2197193105689461E-2</v>
      </c>
      <c r="AB475" s="9" cm="1">
        <f t="array" aca="1" ref="AB475" ca="1">_xll.BDH($E$8,"PX LAST",AG475)</f>
        <v>5064.2</v>
      </c>
      <c r="AC475" s="9" cm="1">
        <f t="array" aca="1" ref="AC475" ca="1">_xll.BDH($E$8,"PX LAST",AH475)</f>
        <v>5048.42</v>
      </c>
      <c r="AD475" s="9" cm="1">
        <f t="array" aca="1" ref="AD475" ca="1">_xll.BDH($E$8,"PX LAST",AI475)</f>
        <v>5011.12</v>
      </c>
      <c r="AE475" s="9" cm="1">
        <f t="array" aca="1" ref="AE475" ca="1">_xll.BDH($E$8,"PX LAST",AJ475)</f>
        <v>5147.21</v>
      </c>
      <c r="AF475" s="9" cm="1">
        <f t="array" aca="1" ref="AF475" ca="1">_xll.BDH($E$8,"PX LAST",AK475)</f>
        <v>4954.2299999999996</v>
      </c>
      <c r="AG475" s="20">
        <f t="shared" ca="1" si="135"/>
        <v>45414</v>
      </c>
      <c r="AH475" s="22">
        <f t="shared" ca="1" si="130"/>
        <v>45407</v>
      </c>
      <c r="AI475" s="22">
        <f t="shared" ca="1" si="131"/>
        <v>45400</v>
      </c>
      <c r="AJ475" s="22">
        <f t="shared" ca="1" si="132"/>
        <v>45386</v>
      </c>
      <c r="AK475" s="22">
        <f t="shared" ca="1" si="133"/>
        <v>45328</v>
      </c>
      <c r="AL475" s="22">
        <f t="shared" ca="1" si="134"/>
        <v>45238</v>
      </c>
    </row>
    <row r="476" spans="4:38" x14ac:dyDescent="0.25">
      <c r="D476" s="6">
        <f ca="1"/>
        <v>45413</v>
      </c>
      <c r="E476" s="28">
        <f ca="1"/>
        <v>154.4</v>
      </c>
      <c r="F476" s="29" cm="1">
        <f t="array" aca="1" ref="F476" ca="1">_xll.FDS($E$7,"P_BETA_LOCIDX("&amp;$AG476&amp;","&amp;$AL476&amp;",,"""&amp;$E$9&amp;""")")</f>
        <v>2.3600469999999998</v>
      </c>
      <c r="G476" s="30">
        <f t="shared" ca="1" si="120"/>
        <v>-7.745978767966958E-3</v>
      </c>
      <c r="H476" s="30">
        <f t="shared" ca="1" si="120"/>
        <v>1.412135435940956E-2</v>
      </c>
      <c r="I476" s="30">
        <f t="shared" ca="1" si="120"/>
        <v>-2.6267119349040718E-2</v>
      </c>
      <c r="J476" s="30">
        <f t="shared" ca="1" si="120"/>
        <v>-0.18304856222719634</v>
      </c>
      <c r="K476" s="30">
        <f t="shared" ca="1" si="121"/>
        <v>-2.4774855870794806E-2</v>
      </c>
      <c r="L476" s="30">
        <f t="shared" ca="1" si="121"/>
        <v>-1.7951020646286566E-3</v>
      </c>
      <c r="M476" s="30">
        <f t="shared" ca="1" si="121"/>
        <v>-8.7446215132332389E-2</v>
      </c>
      <c r="N476" s="30">
        <f t="shared" ca="1" si="121"/>
        <v>3.6087236260345587E-2</v>
      </c>
      <c r="O476" s="30">
        <f t="shared" ca="1" si="122"/>
        <v>-3.2520834638761764E-2</v>
      </c>
      <c r="P476" s="30">
        <f t="shared" ca="1" si="123"/>
        <v>1.2326252294780904E-2</v>
      </c>
      <c r="Q476" s="30">
        <f t="shared" ca="1" si="124"/>
        <v>-0.11371333448137311</v>
      </c>
      <c r="R476" s="30">
        <f t="shared" ca="1" si="125"/>
        <v>-0.14696132596685074</v>
      </c>
      <c r="S476" s="9" cm="1">
        <f t="array" aca="1" ref="S476" ca="1">_xll.BDH($E$6,"PX LAST",AG476)</f>
        <v>154.4</v>
      </c>
      <c r="T476" s="9" cm="1">
        <f t="array" aca="1" ref="T476" ca="1">_xll.BDH($E$6,"PX LAST",AH476)</f>
        <v>159.59</v>
      </c>
      <c r="U476" s="9" cm="1">
        <f t="array" aca="1" ref="U476" ca="1">_xll.BDH($E$6,"PX LAST",AI476)</f>
        <v>152.52000000000001</v>
      </c>
      <c r="V476" s="9" cm="1">
        <f t="array" aca="1" ref="V476" ca="1">_xll.BDH($E$6,"PX LAST",AJ476)</f>
        <v>174.21</v>
      </c>
      <c r="W476" s="9" cm="1">
        <f t="array" aca="1" ref="W476" ca="1">_xll.BDH($E$6,"PX LAST",AK476)</f>
        <v>181</v>
      </c>
      <c r="X476" s="24">
        <f t="shared" ca="1" si="126"/>
        <v>-1.0497611221638725E-2</v>
      </c>
      <c r="Y476" s="24">
        <f t="shared" ca="1" si="127"/>
        <v>-7.6062132009602212E-4</v>
      </c>
      <c r="Z476" s="24">
        <f t="shared" ca="1" si="128"/>
        <v>-3.7052743073477945E-2</v>
      </c>
      <c r="AA476" s="24">
        <f t="shared" ca="1" si="129"/>
        <v>1.5290897283124272E-2</v>
      </c>
      <c r="AB476" s="9" cm="1">
        <f t="array" aca="1" ref="AB476" ca="1">_xll.BDH($E$8,"PX LAST",AG476)</f>
        <v>5018.3900000000003</v>
      </c>
      <c r="AC476" s="9" cm="1">
        <f t="array" aca="1" ref="AC476" ca="1">_xll.BDH($E$8,"PX LAST",AH476)</f>
        <v>5071.63</v>
      </c>
      <c r="AD476" s="9" cm="1">
        <f t="array" aca="1" ref="AD476" ca="1">_xll.BDH($E$8,"PX LAST",AI476)</f>
        <v>5022.21</v>
      </c>
      <c r="AE476" s="9" cm="1">
        <f t="array" aca="1" ref="AE476" ca="1">_xll.BDH($E$8,"PX LAST",AJ476)</f>
        <v>5211.49</v>
      </c>
      <c r="AF476" s="9" cm="1">
        <f t="array" aca="1" ref="AF476" ca="1">_xll.BDH($E$8,"PX LAST",AK476)</f>
        <v>4942.8100000000004</v>
      </c>
      <c r="AG476" s="20">
        <f t="shared" ca="1" si="135"/>
        <v>45413</v>
      </c>
      <c r="AH476" s="22">
        <f t="shared" ca="1" si="130"/>
        <v>45406</v>
      </c>
      <c r="AI476" s="22">
        <f t="shared" ca="1" si="131"/>
        <v>45399</v>
      </c>
      <c r="AJ476" s="22">
        <f t="shared" ca="1" si="132"/>
        <v>45385</v>
      </c>
      <c r="AK476" s="22">
        <f t="shared" ca="1" si="133"/>
        <v>45327</v>
      </c>
      <c r="AL476" s="22">
        <f t="shared" ca="1" si="134"/>
        <v>45237</v>
      </c>
    </row>
    <row r="477" spans="4:38" x14ac:dyDescent="0.25">
      <c r="D477" s="6">
        <f ca="1"/>
        <v>45412</v>
      </c>
      <c r="E477" s="28">
        <f ca="1"/>
        <v>152.75</v>
      </c>
      <c r="F477" s="29" cm="1">
        <f t="array" aca="1" ref="F477" ca="1">_xll.FDS($E$7,"P_BETA_LOCIDX("&amp;$AG477&amp;","&amp;$AL477&amp;",,"""&amp;$E$9&amp;""")")</f>
        <v>2.3735062999999998</v>
      </c>
      <c r="G477" s="30">
        <f t="shared" ca="1" si="120"/>
        <v>-2.3956096990933866E-2</v>
      </c>
      <c r="H477" s="30">
        <f t="shared" ca="1" si="120"/>
        <v>-5.792788658029885E-3</v>
      </c>
      <c r="I477" s="30">
        <f t="shared" ca="1" si="120"/>
        <v>-3.1454222965106984E-2</v>
      </c>
      <c r="J477" s="30">
        <f t="shared" ca="1" si="120"/>
        <v>-0.20731846384219166</v>
      </c>
      <c r="K477" s="30">
        <f t="shared" ca="1" si="121"/>
        <v>-1.6317841184487043E-2</v>
      </c>
      <c r="L477" s="30">
        <f t="shared" ca="1" si="121"/>
        <v>-7.3863572816303012E-3</v>
      </c>
      <c r="M477" s="30">
        <f t="shared" ca="1" si="121"/>
        <v>-7.7563509186082943E-2</v>
      </c>
      <c r="N477" s="30">
        <f t="shared" ca="1" si="121"/>
        <v>3.6895393185590313E-2</v>
      </c>
      <c r="O477" s="30">
        <f t="shared" ca="1" si="122"/>
        <v>-4.0273938175420909E-2</v>
      </c>
      <c r="P477" s="30">
        <f t="shared" ca="1" si="123"/>
        <v>-1.3179145939660186E-2</v>
      </c>
      <c r="Q477" s="30">
        <f t="shared" ca="1" si="124"/>
        <v>-0.10901773215118993</v>
      </c>
      <c r="R477" s="30">
        <f t="shared" ca="1" si="125"/>
        <v>-0.17042307065660134</v>
      </c>
      <c r="S477" s="9" cm="1">
        <f t="array" aca="1" ref="S477" ca="1">_xll.BDH($E$6,"PX LAST",AG477)</f>
        <v>152.75</v>
      </c>
      <c r="T477" s="9" cm="1">
        <f t="array" aca="1" ref="T477" ca="1">_xll.BDH($E$6,"PX LAST",AH477)</f>
        <v>159.16</v>
      </c>
      <c r="U477" s="9" cm="1">
        <f t="array" aca="1" ref="U477" ca="1">_xll.BDH($E$6,"PX LAST",AI477)</f>
        <v>154.79</v>
      </c>
      <c r="V477" s="9" cm="1">
        <f t="array" aca="1" ref="V477" ca="1">_xll.BDH($E$6,"PX LAST",AJ477)</f>
        <v>171.44</v>
      </c>
      <c r="W477" s="9" cm="1">
        <f t="array" aca="1" ref="W477" ca="1">_xll.BDH($E$6,"PX LAST",AK477)</f>
        <v>184.13</v>
      </c>
      <c r="X477" s="24">
        <f t="shared" ca="1" si="126"/>
        <v>-6.8749938369605523E-3</v>
      </c>
      <c r="Y477" s="24">
        <f t="shared" ca="1" si="127"/>
        <v>-3.1120023914115169E-3</v>
      </c>
      <c r="Z477" s="24">
        <f t="shared" ca="1" si="128"/>
        <v>-3.2678872260032743E-2</v>
      </c>
      <c r="AA477" s="24">
        <f t="shared" ca="1" si="129"/>
        <v>1.5544678851532989E-2</v>
      </c>
      <c r="AB477" s="9" cm="1">
        <f t="array" aca="1" ref="AB477" ca="1">_xll.BDH($E$8,"PX LAST",AG477)</f>
        <v>5035.6899999999996</v>
      </c>
      <c r="AC477" s="9" cm="1">
        <f t="array" aca="1" ref="AC477" ca="1">_xll.BDH($E$8,"PX LAST",AH477)</f>
        <v>5070.55</v>
      </c>
      <c r="AD477" s="9" cm="1">
        <f t="array" aca="1" ref="AD477" ca="1">_xll.BDH($E$8,"PX LAST",AI477)</f>
        <v>5051.41</v>
      </c>
      <c r="AE477" s="9" cm="1">
        <f t="array" aca="1" ref="AE477" ca="1">_xll.BDH($E$8,"PX LAST",AJ477)</f>
        <v>5205.8100000000004</v>
      </c>
      <c r="AF477" s="9" cm="1">
        <f t="array" aca="1" ref="AF477" ca="1">_xll.BDH($E$8,"PX LAST",AK477)</f>
        <v>4958.6099999999997</v>
      </c>
      <c r="AG477" s="20">
        <f t="shared" ca="1" si="135"/>
        <v>45412</v>
      </c>
      <c r="AH477" s="22">
        <f t="shared" ca="1" si="130"/>
        <v>45405</v>
      </c>
      <c r="AI477" s="22">
        <f t="shared" ca="1" si="131"/>
        <v>45398</v>
      </c>
      <c r="AJ477" s="22">
        <f t="shared" ca="1" si="132"/>
        <v>45384</v>
      </c>
      <c r="AK477" s="22">
        <f t="shared" ca="1" si="133"/>
        <v>45324</v>
      </c>
      <c r="AL477" s="22">
        <f t="shared" ca="1" si="134"/>
        <v>45236</v>
      </c>
    </row>
    <row r="478" spans="4:38" x14ac:dyDescent="0.25">
      <c r="D478" s="6">
        <f ca="1"/>
        <v>45411</v>
      </c>
      <c r="E478" s="28">
        <f ca="1"/>
        <v>158.15</v>
      </c>
      <c r="F478" s="29" cm="1">
        <f t="array" aca="1" ref="F478" ca="1">_xll.FDS($E$7,"P_BETA_LOCIDX("&amp;$AG478&amp;","&amp;$AL478&amp;",,"""&amp;$E$9&amp;""")")</f>
        <v>2.4289230000000002</v>
      </c>
      <c r="G478" s="30">
        <f t="shared" ca="1" si="120"/>
        <v>-3.7328746075370817E-2</v>
      </c>
      <c r="H478" s="30">
        <f t="shared" ca="1" si="120"/>
        <v>-3.7147974641131953E-2</v>
      </c>
      <c r="I478" s="30">
        <f t="shared" ca="1" si="120"/>
        <v>-4.021775228949856E-2</v>
      </c>
      <c r="J478" s="30">
        <f t="shared" ca="1" si="120"/>
        <v>-0.20659958435145423</v>
      </c>
      <c r="K478" s="30">
        <f t="shared" ca="1" si="121"/>
        <v>5.117578755238858E-2</v>
      </c>
      <c r="L478" s="30">
        <f t="shared" ca="1" si="121"/>
        <v>2.6079940624123551E-2</v>
      </c>
      <c r="M478" s="30">
        <f t="shared" ca="1" si="121"/>
        <v>-5.9104532578660191E-2</v>
      </c>
      <c r="N478" s="30">
        <f t="shared" ca="1" si="121"/>
        <v>0.10395546269916192</v>
      </c>
      <c r="O478" s="30">
        <f t="shared" ca="1" si="122"/>
        <v>1.3847041477017763E-2</v>
      </c>
      <c r="P478" s="30">
        <f t="shared" ca="1" si="123"/>
        <v>-1.1068034017008399E-2</v>
      </c>
      <c r="Q478" s="30">
        <f t="shared" ca="1" si="124"/>
        <v>-9.932228486815875E-2</v>
      </c>
      <c r="R478" s="30">
        <f t="shared" ca="1" si="125"/>
        <v>-0.10264412165229231</v>
      </c>
      <c r="S478" s="9" cm="1">
        <f t="array" aca="1" ref="S478" ca="1">_xll.BDH($E$6,"PX LAST",AG478)</f>
        <v>158.15</v>
      </c>
      <c r="T478" s="9" cm="1">
        <f t="array" aca="1" ref="T478" ca="1">_xll.BDH($E$6,"PX LAST",AH478)</f>
        <v>155.99</v>
      </c>
      <c r="U478" s="9" cm="1">
        <f t="array" aca="1" ref="U478" ca="1">_xll.BDH($E$6,"PX LAST",AI478)</f>
        <v>159.91999999999999</v>
      </c>
      <c r="V478" s="9" cm="1">
        <f t="array" aca="1" ref="V478" ca="1">_xll.BDH($E$6,"PX LAST",AJ478)</f>
        <v>175.59</v>
      </c>
      <c r="W478" s="9" cm="1">
        <f t="array" aca="1" ref="W478" ca="1">_xll.BDH($E$6,"PX LAST",AK478)</f>
        <v>176.24</v>
      </c>
      <c r="X478" s="24">
        <f t="shared" ca="1" si="126"/>
        <v>2.106933301401015E-2</v>
      </c>
      <c r="Y478" s="24">
        <f t="shared" ca="1" si="127"/>
        <v>1.0737244706449545E-2</v>
      </c>
      <c r="Z478" s="24">
        <f t="shared" ca="1" si="128"/>
        <v>-2.4333637821643661E-2</v>
      </c>
      <c r="AA478" s="24">
        <f t="shared" ca="1" si="129"/>
        <v>4.2798994739298823E-2</v>
      </c>
      <c r="AB478" s="9" cm="1">
        <f t="array" aca="1" ref="AB478" ca="1">_xll.BDH($E$8,"PX LAST",AG478)</f>
        <v>5116.17</v>
      </c>
      <c r="AC478" s="9" cm="1">
        <f t="array" aca="1" ref="AC478" ca="1">_xll.BDH($E$8,"PX LAST",AH478)</f>
        <v>5010.6000000000004</v>
      </c>
      <c r="AD478" s="9" cm="1">
        <f t="array" aca="1" ref="AD478" ca="1">_xll.BDH($E$8,"PX LAST",AI478)</f>
        <v>5061.82</v>
      </c>
      <c r="AE478" s="9" cm="1">
        <f t="array" aca="1" ref="AE478" ca="1">_xll.BDH($E$8,"PX LAST",AJ478)</f>
        <v>5243.77</v>
      </c>
      <c r="AF478" s="9" cm="1">
        <f t="array" aca="1" ref="AF478" ca="1">_xll.BDH($E$8,"PX LAST",AK478)</f>
        <v>4906.1899999999996</v>
      </c>
      <c r="AG478" s="20">
        <f t="shared" ca="1" si="135"/>
        <v>45411</v>
      </c>
      <c r="AH478" s="22">
        <f t="shared" ca="1" si="130"/>
        <v>45404</v>
      </c>
      <c r="AI478" s="22">
        <f t="shared" ca="1" si="131"/>
        <v>45397</v>
      </c>
      <c r="AJ478" s="22">
        <f t="shared" ca="1" si="132"/>
        <v>45383</v>
      </c>
      <c r="AK478" s="22">
        <f t="shared" ca="1" si="133"/>
        <v>45323</v>
      </c>
      <c r="AL478" s="22">
        <f t="shared" ca="1" si="134"/>
        <v>45233</v>
      </c>
    </row>
    <row r="479" spans="4:38" x14ac:dyDescent="0.25">
      <c r="D479" s="6">
        <f ca="1"/>
        <v>45408</v>
      </c>
      <c r="E479" s="28">
        <f ca="1"/>
        <v>155.80000000000001</v>
      </c>
      <c r="F479" s="29" cm="1">
        <f t="array" aca="1" ref="F479" ca="1">_xll.FDS($E$7,"P_BETA_LOCIDX("&amp;$AG479&amp;","&amp;$AL479&amp;",,"""&amp;$E$9&amp;""")")</f>
        <v>2.4065951999999999</v>
      </c>
      <c r="G479" s="30">
        <f t="shared" ca="1" si="120"/>
        <v>-5.2684321981783411E-2</v>
      </c>
      <c r="H479" s="30">
        <f t="shared" ca="1" si="120"/>
        <v>-2.4637331374624202E-2</v>
      </c>
      <c r="I479" s="30">
        <f t="shared" ca="1" si="120"/>
        <v>-1.966468434538382E-2</v>
      </c>
      <c r="J479" s="30">
        <f t="shared" ca="1" si="120"/>
        <v>-0.2284240186300027</v>
      </c>
      <c r="K479" s="30">
        <f t="shared" ca="1" si="121"/>
        <v>6.4306943889451906E-2</v>
      </c>
      <c r="L479" s="30">
        <f t="shared" ca="1" si="121"/>
        <v>-1.1015057830624512E-2</v>
      </c>
      <c r="M479" s="30">
        <f t="shared" ca="1" si="121"/>
        <v>-7.07136435387824E-2</v>
      </c>
      <c r="N479" s="30">
        <f t="shared" ca="1" si="121"/>
        <v>0.12630322563784044</v>
      </c>
      <c r="O479" s="30">
        <f t="shared" ca="1" si="122"/>
        <v>1.1622621907668496E-2</v>
      </c>
      <c r="P479" s="30">
        <f t="shared" ca="1" si="123"/>
        <v>-3.5652389205248713E-2</v>
      </c>
      <c r="Q479" s="30">
        <f t="shared" ca="1" si="124"/>
        <v>-9.0378327884166221E-2</v>
      </c>
      <c r="R479" s="30">
        <f t="shared" ca="1" si="125"/>
        <v>-0.10212079299216226</v>
      </c>
      <c r="S479" s="9" cm="1">
        <f t="array" aca="1" ref="S479" ca="1">_xll.BDH($E$6,"PX LAST",AG479)</f>
        <v>155.80000000000001</v>
      </c>
      <c r="T479" s="9" cm="1">
        <f t="array" aca="1" ref="T479" ca="1">_xll.BDH($E$6,"PX LAST",AH479)</f>
        <v>154.01</v>
      </c>
      <c r="U479" s="9" cm="1">
        <f t="array" aca="1" ref="U479" ca="1">_xll.BDH($E$6,"PX LAST",AI479)</f>
        <v>161.56</v>
      </c>
      <c r="V479" s="9" cm="1">
        <f t="array" aca="1" ref="V479" ca="1">_xll.BDH($E$6,"PX LAST",AJ479)</f>
        <v>171.28</v>
      </c>
      <c r="W479" s="9" cm="1">
        <f t="array" aca="1" ref="W479" ca="1">_xll.BDH($E$6,"PX LAST",AK479)</f>
        <v>173.52</v>
      </c>
      <c r="X479" s="24">
        <f t="shared" ca="1" si="126"/>
        <v>2.6721130287907124E-2</v>
      </c>
      <c r="Y479" s="24">
        <f t="shared" ca="1" si="127"/>
        <v>-4.5770297516692926E-3</v>
      </c>
      <c r="Z479" s="24">
        <f t="shared" ca="1" si="128"/>
        <v>-2.9383272907210323E-2</v>
      </c>
      <c r="AA479" s="24">
        <f t="shared" ca="1" si="129"/>
        <v>5.2482123141374348E-2</v>
      </c>
      <c r="AB479" s="9" cm="1">
        <f t="array" aca="1" ref="AB479" ca="1">_xll.BDH($E$8,"PX LAST",AG479)</f>
        <v>5099.96</v>
      </c>
      <c r="AC479" s="9" cm="1">
        <f t="array" aca="1" ref="AC479" ca="1">_xll.BDH($E$8,"PX LAST",AH479)</f>
        <v>4967.2299999999996</v>
      </c>
      <c r="AD479" s="9" cm="1">
        <f t="array" aca="1" ref="AD479" ca="1">_xll.BDH($E$8,"PX LAST",AI479)</f>
        <v>5123.41</v>
      </c>
      <c r="AE479" s="9" cm="1">
        <f t="array" aca="1" ref="AE479" ca="1">_xll.BDH($E$8,"PX LAST",AJ479)</f>
        <v>5254.35</v>
      </c>
      <c r="AF479" s="9" cm="1">
        <f t="array" aca="1" ref="AF479" ca="1">_xll.BDH($E$8,"PX LAST",AK479)</f>
        <v>4845.6499999999996</v>
      </c>
      <c r="AG479" s="20">
        <f t="shared" ca="1" si="135"/>
        <v>45408</v>
      </c>
      <c r="AH479" s="22">
        <f t="shared" ca="1" si="130"/>
        <v>45401</v>
      </c>
      <c r="AI479" s="22">
        <f t="shared" ca="1" si="131"/>
        <v>45394</v>
      </c>
      <c r="AJ479" s="22">
        <f t="shared" ca="1" si="132"/>
        <v>45379</v>
      </c>
      <c r="AK479" s="22">
        <f t="shared" ca="1" si="133"/>
        <v>45322</v>
      </c>
      <c r="AL479" s="22">
        <f t="shared" ca="1" si="134"/>
        <v>45232</v>
      </c>
    </row>
    <row r="480" spans="4:38" x14ac:dyDescent="0.25">
      <c r="D480" s="6">
        <f ca="1"/>
        <v>45407</v>
      </c>
      <c r="E480" s="28">
        <f ca="1"/>
        <v>157.30000000000001</v>
      </c>
      <c r="F480" s="29" cm="1">
        <f t="array" aca="1" ref="F480" ca="1">_xll.FDS($E$7,"P_BETA_LOCIDX("&amp;$AG480&amp;","&amp;$AL480&amp;",,"""&amp;$E$9&amp;""")")</f>
        <v>2.451222</v>
      </c>
      <c r="G480" s="30">
        <f t="shared" ca="1" si="120"/>
        <v>6.9108748867441443E-3</v>
      </c>
      <c r="H480" s="30">
        <f t="shared" ca="1" si="120"/>
        <v>2.1418601011971503E-2</v>
      </c>
      <c r="I480" s="30">
        <f t="shared" ca="1" si="120"/>
        <v>1.4130107963506472E-2</v>
      </c>
      <c r="J480" s="30">
        <f t="shared" ca="1" si="120"/>
        <v>-0.16570781300172274</v>
      </c>
      <c r="K480" s="30">
        <f t="shared" ca="1" si="121"/>
        <v>1.8245538043391452E-2</v>
      </c>
      <c r="L480" s="30">
        <f t="shared" ca="1" si="121"/>
        <v>-7.102285453139616E-2</v>
      </c>
      <c r="M480" s="30">
        <f t="shared" ca="1" si="121"/>
        <v>-9.3439443638074687E-2</v>
      </c>
      <c r="N480" s="30">
        <f t="shared" ca="1" si="121"/>
        <v>6.1442680036629643E-2</v>
      </c>
      <c r="O480" s="30">
        <f t="shared" ca="1" si="122"/>
        <v>2.5156412930135597E-2</v>
      </c>
      <c r="P480" s="30">
        <f t="shared" ca="1" si="123"/>
        <v>-4.9604253519424657E-2</v>
      </c>
      <c r="Q480" s="30">
        <f t="shared" ca="1" si="124"/>
        <v>-7.9309335674568215E-2</v>
      </c>
      <c r="R480" s="30">
        <f t="shared" ca="1" si="125"/>
        <v>-0.1042651329650931</v>
      </c>
      <c r="S480" s="9" cm="1">
        <f t="array" aca="1" ref="S480" ca="1">_xll.BDH($E$6,"PX LAST",AG480)</f>
        <v>157.30000000000001</v>
      </c>
      <c r="T480" s="9" cm="1">
        <f t="array" aca="1" ref="T480" ca="1">_xll.BDH($E$6,"PX LAST",AH480)</f>
        <v>153.44</v>
      </c>
      <c r="U480" s="9" cm="1">
        <f t="array" aca="1" ref="U480" ca="1">_xll.BDH($E$6,"PX LAST",AI480)</f>
        <v>165.51</v>
      </c>
      <c r="V480" s="9" cm="1">
        <f t="array" aca="1" ref="V480" ca="1">_xll.BDH($E$6,"PX LAST",AJ480)</f>
        <v>170.85</v>
      </c>
      <c r="W480" s="9" cm="1">
        <f t="array" aca="1" ref="W480" ca="1">_xll.BDH($E$6,"PX LAST",AK480)</f>
        <v>175.61</v>
      </c>
      <c r="X480" s="24">
        <f t="shared" ca="1" si="126"/>
        <v>7.4434457765928386E-3</v>
      </c>
      <c r="Y480" s="24">
        <f t="shared" ca="1" si="127"/>
        <v>-2.8974468461606562E-2</v>
      </c>
      <c r="Z480" s="24">
        <f t="shared" ca="1" si="128"/>
        <v>-3.8119535333019483E-2</v>
      </c>
      <c r="AA480" s="24">
        <f t="shared" ca="1" si="129"/>
        <v>2.5066142534878377E-2</v>
      </c>
      <c r="AB480" s="9" cm="1">
        <f t="array" aca="1" ref="AB480" ca="1">_xll.BDH($E$8,"PX LAST",AG480)</f>
        <v>5048.42</v>
      </c>
      <c r="AC480" s="9" cm="1">
        <f t="array" aca="1" ref="AC480" ca="1">_xll.BDH($E$8,"PX LAST",AH480)</f>
        <v>5011.12</v>
      </c>
      <c r="AD480" s="9" cm="1">
        <f t="array" aca="1" ref="AD480" ca="1">_xll.BDH($E$8,"PX LAST",AI480)</f>
        <v>5199.0600000000004</v>
      </c>
      <c r="AE480" s="9" cm="1">
        <f t="array" aca="1" ref="AE480" ca="1">_xll.BDH($E$8,"PX LAST",AJ480)</f>
        <v>5248.49</v>
      </c>
      <c r="AF480" s="9" cm="1">
        <f t="array" aca="1" ref="AF480" ca="1">_xll.BDH($E$8,"PX LAST",AK480)</f>
        <v>4924.97</v>
      </c>
      <c r="AG480" s="20">
        <f t="shared" ca="1" si="135"/>
        <v>45407</v>
      </c>
      <c r="AH480" s="22">
        <f t="shared" ca="1" si="130"/>
        <v>45400</v>
      </c>
      <c r="AI480" s="22">
        <f t="shared" ca="1" si="131"/>
        <v>45393</v>
      </c>
      <c r="AJ480" s="22">
        <f t="shared" ca="1" si="132"/>
        <v>45378</v>
      </c>
      <c r="AK480" s="22">
        <f t="shared" ca="1" si="133"/>
        <v>45321</v>
      </c>
      <c r="AL480" s="22">
        <f t="shared" ca="1" si="134"/>
        <v>45231</v>
      </c>
    </row>
    <row r="481" spans="4:38" x14ac:dyDescent="0.25">
      <c r="D481" s="6">
        <f ca="1"/>
        <v>45406</v>
      </c>
      <c r="E481" s="28">
        <f ca="1"/>
        <v>159.59</v>
      </c>
      <c r="F481" s="29" cm="1">
        <f t="array" aca="1" ref="F481" ca="1">_xll.FDS($E$7,"P_BETA_LOCIDX("&amp;$AG481&amp;","&amp;$AL481&amp;",,"""&amp;$E$9&amp;""")")</f>
        <v>2.4383767000000001</v>
      </c>
      <c r="G481" s="30">
        <f t="shared" ca="1" si="120"/>
        <v>2.236024397105706E-2</v>
      </c>
      <c r="H481" s="30">
        <f t="shared" ca="1" si="120"/>
        <v>-2.4289086065074142E-3</v>
      </c>
      <c r="I481" s="30">
        <f t="shared" ca="1" si="120"/>
        <v>9.1215590827691817E-3</v>
      </c>
      <c r="J481" s="30">
        <f t="shared" ca="1" si="120"/>
        <v>-0.15507812245175445</v>
      </c>
      <c r="K481" s="30">
        <f t="shared" ca="1" si="121"/>
        <v>2.3994332477933266E-2</v>
      </c>
      <c r="L481" s="30">
        <f t="shared" ca="1" si="121"/>
        <v>-4.2056781729979224E-2</v>
      </c>
      <c r="M481" s="30">
        <f t="shared" ca="1" si="121"/>
        <v>-6.1831240331656157E-2</v>
      </c>
      <c r="N481" s="30">
        <f t="shared" ca="1" si="121"/>
        <v>7.1103837065461306E-2</v>
      </c>
      <c r="O481" s="30">
        <f t="shared" ca="1" si="122"/>
        <v>4.6354576448990326E-2</v>
      </c>
      <c r="P481" s="30">
        <f t="shared" ca="1" si="123"/>
        <v>-4.4485690336486639E-2</v>
      </c>
      <c r="Q481" s="30">
        <f t="shared" ca="1" si="124"/>
        <v>-5.2709681248886975E-2</v>
      </c>
      <c r="R481" s="30">
        <f t="shared" ca="1" si="125"/>
        <v>-8.3974285386293146E-2</v>
      </c>
      <c r="S481" s="9" cm="1">
        <f t="array" aca="1" ref="S481" ca="1">_xll.BDH($E$6,"PX LAST",AG481)</f>
        <v>159.59</v>
      </c>
      <c r="T481" s="9" cm="1">
        <f t="array" aca="1" ref="T481" ca="1">_xll.BDH($E$6,"PX LAST",AH481)</f>
        <v>152.52000000000001</v>
      </c>
      <c r="U481" s="9" cm="1">
        <f t="array" aca="1" ref="U481" ca="1">_xll.BDH($E$6,"PX LAST",AI481)</f>
        <v>167.02</v>
      </c>
      <c r="V481" s="9" cm="1">
        <f t="array" aca="1" ref="V481" ca="1">_xll.BDH($E$6,"PX LAST",AJ481)</f>
        <v>168.47</v>
      </c>
      <c r="W481" s="9" cm="1">
        <f t="array" aca="1" ref="W481" ca="1">_xll.BDH($E$6,"PX LAST",AK481)</f>
        <v>174.22</v>
      </c>
      <c r="X481" s="24">
        <f t="shared" ca="1" si="126"/>
        <v>9.840289434332794E-3</v>
      </c>
      <c r="Y481" s="24">
        <f t="shared" ca="1" si="127"/>
        <v>-1.7247860730452036E-2</v>
      </c>
      <c r="Z481" s="24">
        <f t="shared" ca="1" si="128"/>
        <v>-2.5357542307411385E-2</v>
      </c>
      <c r="AA481" s="24">
        <f t="shared" ca="1" si="129"/>
        <v>2.9160316806448039E-2</v>
      </c>
      <c r="AB481" s="9" cm="1">
        <f t="array" aca="1" ref="AB481" ca="1">_xll.BDH($E$8,"PX LAST",AG481)</f>
        <v>5071.63</v>
      </c>
      <c r="AC481" s="9" cm="1">
        <f t="array" aca="1" ref="AC481" ca="1">_xll.BDH($E$8,"PX LAST",AH481)</f>
        <v>5022.21</v>
      </c>
      <c r="AD481" s="9" cm="1">
        <f t="array" aca="1" ref="AD481" ca="1">_xll.BDH($E$8,"PX LAST",AI481)</f>
        <v>5160.6400000000003</v>
      </c>
      <c r="AE481" s="9" cm="1">
        <f t="array" aca="1" ref="AE481" ca="1">_xll.BDH($E$8,"PX LAST",AJ481)</f>
        <v>5203.58</v>
      </c>
      <c r="AF481" s="9" cm="1">
        <f t="array" aca="1" ref="AF481" ca="1">_xll.BDH($E$8,"PX LAST",AK481)</f>
        <v>4927.93</v>
      </c>
      <c r="AG481" s="20">
        <f t="shared" ca="1" si="135"/>
        <v>45406</v>
      </c>
      <c r="AH481" s="22">
        <f t="shared" ca="1" si="130"/>
        <v>45399</v>
      </c>
      <c r="AI481" s="22">
        <f t="shared" ca="1" si="131"/>
        <v>45392</v>
      </c>
      <c r="AJ481" s="22">
        <f t="shared" ca="1" si="132"/>
        <v>45377</v>
      </c>
      <c r="AK481" s="22">
        <f t="shared" ca="1" si="133"/>
        <v>45320</v>
      </c>
      <c r="AL481" s="22">
        <f t="shared" ca="1" si="134"/>
        <v>45230</v>
      </c>
    </row>
    <row r="482" spans="4:38" x14ac:dyDescent="0.25">
      <c r="D482" s="6">
        <f ca="1"/>
        <v>45405</v>
      </c>
      <c r="E482" s="28">
        <f ca="1"/>
        <v>159.16</v>
      </c>
      <c r="F482" s="29" cm="1">
        <f t="array" aca="1" ref="F482" ca="1">_xll.FDS($E$7,"P_BETA_LOCIDX("&amp;$AG482&amp;","&amp;$AL482&amp;",,"""&amp;$E$9&amp;""")")</f>
        <v>2.4211513999999998</v>
      </c>
      <c r="G482" s="30">
        <f t="shared" ca="1" si="120"/>
        <v>1.9057955805184053E-2</v>
      </c>
      <c r="H482" s="30">
        <f t="shared" ca="1" si="120"/>
        <v>-1.4065134759889741E-2</v>
      </c>
      <c r="I482" s="30">
        <f t="shared" ca="1" si="120"/>
        <v>1.4813168702573168E-2</v>
      </c>
      <c r="J482" s="30">
        <f t="shared" ca="1" si="120"/>
        <v>-0.16020008789484569</v>
      </c>
      <c r="K482" s="30">
        <f t="shared" ca="1" si="121"/>
        <v>9.1738421145783275E-3</v>
      </c>
      <c r="L482" s="30">
        <f t="shared" ca="1" si="121"/>
        <v>-6.4763433361420597E-2</v>
      </c>
      <c r="M482" s="30">
        <f t="shared" ca="1" si="121"/>
        <v>-6.8502448683547115E-2</v>
      </c>
      <c r="N482" s="30">
        <f t="shared" ca="1" si="121"/>
        <v>8.8896551892978445E-2</v>
      </c>
      <c r="O482" s="30">
        <f t="shared" ca="1" si="122"/>
        <v>2.823179791976238E-2</v>
      </c>
      <c r="P482" s="30">
        <f t="shared" ca="1" si="123"/>
        <v>-7.8828568121310338E-2</v>
      </c>
      <c r="Q482" s="30">
        <f t="shared" ca="1" si="124"/>
        <v>-5.3689279980973947E-2</v>
      </c>
      <c r="R482" s="30">
        <f t="shared" ca="1" si="125"/>
        <v>-7.1303536001867229E-2</v>
      </c>
      <c r="S482" s="9" cm="1">
        <f t="array" aca="1" ref="S482" ca="1">_xll.BDH($E$6,"PX LAST",AG482)</f>
        <v>159.16</v>
      </c>
      <c r="T482" s="9" cm="1">
        <f t="array" aca="1" ref="T482" ca="1">_xll.BDH($E$6,"PX LAST",AH482)</f>
        <v>154.79</v>
      </c>
      <c r="U482" s="9" cm="1">
        <f t="array" aca="1" ref="U482" ca="1">_xll.BDH($E$6,"PX LAST",AI482)</f>
        <v>172.78</v>
      </c>
      <c r="V482" s="9" cm="1">
        <f t="array" aca="1" ref="V482" ca="1">_xll.BDH($E$6,"PX LAST",AJ482)</f>
        <v>168.19</v>
      </c>
      <c r="W482" s="9" cm="1">
        <f t="array" aca="1" ref="W482" ca="1">_xll.BDH($E$6,"PX LAST",AK482)</f>
        <v>171.38</v>
      </c>
      <c r="X482" s="24">
        <f t="shared" ca="1" si="126"/>
        <v>3.7890410796195262E-3</v>
      </c>
      <c r="Y482" s="24">
        <f t="shared" ca="1" si="127"/>
        <v>-2.6749022535897837E-2</v>
      </c>
      <c r="Z482" s="24">
        <f t="shared" ca="1" si="128"/>
        <v>-2.8293335428568045E-2</v>
      </c>
      <c r="AA482" s="24">
        <f t="shared" ca="1" si="129"/>
        <v>3.6716643119871994E-2</v>
      </c>
      <c r="AB482" s="9" cm="1">
        <f t="array" aca="1" ref="AB482" ca="1">_xll.BDH($E$8,"PX LAST",AG482)</f>
        <v>5070.55</v>
      </c>
      <c r="AC482" s="9" cm="1">
        <f t="array" aca="1" ref="AC482" ca="1">_xll.BDH($E$8,"PX LAST",AH482)</f>
        <v>5051.41</v>
      </c>
      <c r="AD482" s="9" cm="1">
        <f t="array" aca="1" ref="AD482" ca="1">_xll.BDH($E$8,"PX LAST",AI482)</f>
        <v>5209.91</v>
      </c>
      <c r="AE482" s="9" cm="1">
        <f t="array" aca="1" ref="AE482" ca="1">_xll.BDH($E$8,"PX LAST",AJ482)</f>
        <v>5218.1899999999996</v>
      </c>
      <c r="AF482" s="9" cm="1">
        <f t="array" aca="1" ref="AF482" ca="1">_xll.BDH($E$8,"PX LAST",AK482)</f>
        <v>4890.97</v>
      </c>
      <c r="AG482" s="20">
        <f t="shared" ca="1" si="135"/>
        <v>45405</v>
      </c>
      <c r="AH482" s="22">
        <f t="shared" ca="1" si="130"/>
        <v>45398</v>
      </c>
      <c r="AI482" s="22">
        <f t="shared" ca="1" si="131"/>
        <v>45391</v>
      </c>
      <c r="AJ482" s="22">
        <f t="shared" ca="1" si="132"/>
        <v>45376</v>
      </c>
      <c r="AK482" s="22">
        <f t="shared" ca="1" si="133"/>
        <v>45317</v>
      </c>
      <c r="AL482" s="22">
        <f t="shared" ca="1" si="134"/>
        <v>45229</v>
      </c>
    </row>
    <row r="483" spans="4:38" x14ac:dyDescent="0.25">
      <c r="D483" s="6">
        <f ca="1"/>
        <v>45404</v>
      </c>
      <c r="E483" s="28">
        <f ca="1"/>
        <v>155.99</v>
      </c>
      <c r="F483" s="29" cm="1">
        <f t="array" aca="1" ref="F483" ca="1">_xll.FDS($E$7,"P_BETA_LOCIDX("&amp;$AG483&amp;","&amp;$AL483&amp;",,"""&amp;$E$9&amp;""")")</f>
        <v>2.4242861000000002</v>
      </c>
      <c r="G483" s="30">
        <f t="shared" ca="1" si="120"/>
        <v>-4.3702913806446808E-5</v>
      </c>
      <c r="H483" s="30">
        <f t="shared" ca="1" si="120"/>
        <v>-6.5466656854050176E-3</v>
      </c>
      <c r="I483" s="30">
        <f t="shared" ca="1" si="120"/>
        <v>2.5808061978903438E-2</v>
      </c>
      <c r="J483" s="30">
        <f t="shared" ca="1" si="120"/>
        <v>-0.15771808156133876</v>
      </c>
      <c r="K483" s="30">
        <f t="shared" ca="1" si="121"/>
        <v>-2.4531084479890226E-2</v>
      </c>
      <c r="L483" s="30">
        <f t="shared" ca="1" si="121"/>
        <v>-8.937312103071865E-2</v>
      </c>
      <c r="M483" s="30">
        <f t="shared" ca="1" si="121"/>
        <v>-0.10355430769251332</v>
      </c>
      <c r="N483" s="30">
        <f t="shared" ca="1" si="121"/>
        <v>5.7677696169312016E-2</v>
      </c>
      <c r="O483" s="30">
        <f t="shared" ca="1" si="122"/>
        <v>-2.4574787393696673E-2</v>
      </c>
      <c r="P483" s="30">
        <f t="shared" ca="1" si="123"/>
        <v>-9.5919786716123667E-2</v>
      </c>
      <c r="Q483" s="30">
        <f t="shared" ca="1" si="124"/>
        <v>-7.7746245713609885E-2</v>
      </c>
      <c r="R483" s="30">
        <f t="shared" ca="1" si="125"/>
        <v>-0.10004038539202675</v>
      </c>
      <c r="S483" s="9" cm="1">
        <f t="array" aca="1" ref="S483" ca="1">_xll.BDH($E$6,"PX LAST",AG483)</f>
        <v>155.99</v>
      </c>
      <c r="T483" s="9" cm="1">
        <f t="array" aca="1" ref="T483" ca="1">_xll.BDH($E$6,"PX LAST",AH483)</f>
        <v>159.91999999999999</v>
      </c>
      <c r="U483" s="9" cm="1">
        <f t="array" aca="1" ref="U483" ca="1">_xll.BDH($E$6,"PX LAST",AI483)</f>
        <v>172.54</v>
      </c>
      <c r="V483" s="9" cm="1">
        <f t="array" aca="1" ref="V483" ca="1">_xll.BDH($E$6,"PX LAST",AJ483)</f>
        <v>169.14</v>
      </c>
      <c r="W483" s="9" cm="1">
        <f t="array" aca="1" ref="W483" ca="1">_xll.BDH($E$6,"PX LAST",AK483)</f>
        <v>173.33</v>
      </c>
      <c r="X483" s="24">
        <f t="shared" ca="1" si="126"/>
        <v>-1.0118890043501971E-2</v>
      </c>
      <c r="Y483" s="24">
        <f t="shared" ca="1" si="127"/>
        <v>-3.6865748242634666E-2</v>
      </c>
      <c r="Z483" s="24">
        <f t="shared" ca="1" si="128"/>
        <v>-4.2715382352154441E-2</v>
      </c>
      <c r="AA483" s="24">
        <f t="shared" ca="1" si="129"/>
        <v>2.3791621034048749E-2</v>
      </c>
      <c r="AB483" s="9" cm="1">
        <f t="array" aca="1" ref="AB483" ca="1">_xll.BDH($E$8,"PX LAST",AG483)</f>
        <v>5010.6000000000004</v>
      </c>
      <c r="AC483" s="9" cm="1">
        <f t="array" aca="1" ref="AC483" ca="1">_xll.BDH($E$8,"PX LAST",AH483)</f>
        <v>5061.82</v>
      </c>
      <c r="AD483" s="9" cm="1">
        <f t="array" aca="1" ref="AD483" ca="1">_xll.BDH($E$8,"PX LAST",AI483)</f>
        <v>5202.3900000000003</v>
      </c>
      <c r="AE483" s="9" cm="1">
        <f t="array" aca="1" ref="AE483" ca="1">_xll.BDH($E$8,"PX LAST",AJ483)</f>
        <v>5234.18</v>
      </c>
      <c r="AF483" s="9" cm="1">
        <f t="array" aca="1" ref="AF483" ca="1">_xll.BDH($E$8,"PX LAST",AK483)</f>
        <v>4894.16</v>
      </c>
      <c r="AG483" s="20">
        <f t="shared" ca="1" si="135"/>
        <v>45404</v>
      </c>
      <c r="AH483" s="22">
        <f t="shared" ca="1" si="130"/>
        <v>45397</v>
      </c>
      <c r="AI483" s="22">
        <f t="shared" ca="1" si="131"/>
        <v>45390</v>
      </c>
      <c r="AJ483" s="22">
        <f t="shared" ca="1" si="132"/>
        <v>45373</v>
      </c>
      <c r="AK483" s="22">
        <f t="shared" ca="1" si="133"/>
        <v>45316</v>
      </c>
      <c r="AL483" s="22">
        <f t="shared" ca="1" si="134"/>
        <v>45226</v>
      </c>
    </row>
    <row r="484" spans="4:38" x14ac:dyDescent="0.25">
      <c r="D484" s="6">
        <f ca="1"/>
        <v>45401</v>
      </c>
      <c r="E484" s="28">
        <f ca="1"/>
        <v>154.01</v>
      </c>
      <c r="F484" s="29" cm="1">
        <f t="array" aca="1" ref="F484" ca="1">_xll.FDS($E$7,"P_BETA_LOCIDX("&amp;$AG484&amp;","&amp;$AL484&amp;",,"""&amp;$E$9&amp;""")")</f>
        <v>2.3168343999999998</v>
      </c>
      <c r="G484" s="30">
        <f t="shared" ca="1" si="120"/>
        <v>2.3893597350525556E-2</v>
      </c>
      <c r="H484" s="30">
        <f t="shared" ca="1" si="120"/>
        <v>2.0566378638417621E-3</v>
      </c>
      <c r="I484" s="30">
        <f t="shared" ca="1" si="120"/>
        <v>2.8092713721320633E-2</v>
      </c>
      <c r="J484" s="30">
        <f t="shared" ca="1" si="120"/>
        <v>-0.14473348420623069</v>
      </c>
      <c r="K484" s="30">
        <f t="shared" ca="1" si="121"/>
        <v>-7.0625461673377812E-2</v>
      </c>
      <c r="L484" s="30">
        <f t="shared" ca="1" si="121"/>
        <v>-0.10555509528278346</v>
      </c>
      <c r="M484" s="30">
        <f t="shared" ca="1" si="121"/>
        <v>-0.12124468922623746</v>
      </c>
      <c r="N484" s="30">
        <f t="shared" ca="1" si="121"/>
        <v>4.6959611915662475E-2</v>
      </c>
      <c r="O484" s="30">
        <f t="shared" ca="1" si="122"/>
        <v>-4.6731864322852257E-2</v>
      </c>
      <c r="P484" s="30">
        <f t="shared" ca="1" si="123"/>
        <v>-0.1034984574189417</v>
      </c>
      <c r="Q484" s="30">
        <f t="shared" ca="1" si="124"/>
        <v>-9.3151975504916829E-2</v>
      </c>
      <c r="R484" s="30">
        <f t="shared" ca="1" si="125"/>
        <v>-9.777387229056822E-2</v>
      </c>
      <c r="S484" s="9" cm="1">
        <f t="array" aca="1" ref="S484" ca="1">_xll.BDH($E$6,"PX LAST",AG484)</f>
        <v>154.01</v>
      </c>
      <c r="T484" s="9" cm="1">
        <f t="array" aca="1" ref="T484" ca="1">_xll.BDH($E$6,"PX LAST",AH484)</f>
        <v>161.56</v>
      </c>
      <c r="U484" s="9" cm="1">
        <f t="array" aca="1" ref="U484" ca="1">_xll.BDH($E$6,"PX LAST",AI484)</f>
        <v>171.79</v>
      </c>
      <c r="V484" s="9" cm="1">
        <f t="array" aca="1" ref="V484" ca="1">_xll.BDH($E$6,"PX LAST",AJ484)</f>
        <v>169.83</v>
      </c>
      <c r="W484" s="9" cm="1">
        <f t="array" aca="1" ref="W484" ca="1">_xll.BDH($E$6,"PX LAST",AK484)</f>
        <v>170.7</v>
      </c>
      <c r="X484" s="24">
        <f t="shared" ca="1" si="126"/>
        <v>-3.0483603693633787E-2</v>
      </c>
      <c r="Y484" s="24">
        <f t="shared" ca="1" si="127"/>
        <v>-4.5560051802918444E-2</v>
      </c>
      <c r="Z484" s="24">
        <f t="shared" ca="1" si="128"/>
        <v>-5.2332048085196536E-2</v>
      </c>
      <c r="AA484" s="24">
        <f t="shared" ca="1" si="129"/>
        <v>2.0268868554292219E-2</v>
      </c>
      <c r="AB484" s="9" cm="1">
        <f t="array" aca="1" ref="AB484" ca="1">_xll.BDH($E$8,"PX LAST",AG484)</f>
        <v>4967.2299999999996</v>
      </c>
      <c r="AC484" s="9" cm="1">
        <f t="array" aca="1" ref="AC484" ca="1">_xll.BDH($E$8,"PX LAST",AH484)</f>
        <v>5123.41</v>
      </c>
      <c r="AD484" s="9" cm="1">
        <f t="array" aca="1" ref="AD484" ca="1">_xll.BDH($E$8,"PX LAST",AI484)</f>
        <v>5204.34</v>
      </c>
      <c r="AE484" s="9" cm="1">
        <f t="array" aca="1" ref="AE484" ca="1">_xll.BDH($E$8,"PX LAST",AJ484)</f>
        <v>5241.53</v>
      </c>
      <c r="AF484" s="9" cm="1">
        <f t="array" aca="1" ref="AF484" ca="1">_xll.BDH($E$8,"PX LAST",AK484)</f>
        <v>4868.55</v>
      </c>
      <c r="AG484" s="20">
        <f t="shared" ca="1" si="135"/>
        <v>45401</v>
      </c>
      <c r="AH484" s="22">
        <f t="shared" ca="1" si="130"/>
        <v>45394</v>
      </c>
      <c r="AI484" s="22">
        <f t="shared" ca="1" si="131"/>
        <v>45387</v>
      </c>
      <c r="AJ484" s="22">
        <f t="shared" ca="1" si="132"/>
        <v>45372</v>
      </c>
      <c r="AK484" s="22">
        <f t="shared" ca="1" si="133"/>
        <v>45315</v>
      </c>
      <c r="AL484" s="22">
        <f t="shared" ca="1" si="134"/>
        <v>45225</v>
      </c>
    </row>
    <row r="485" spans="4:38" x14ac:dyDescent="0.25">
      <c r="D485" s="6">
        <f ca="1"/>
        <v>45400</v>
      </c>
      <c r="E485" s="28">
        <f ca="1"/>
        <v>153.44</v>
      </c>
      <c r="F485" s="29" cm="1">
        <f t="array" aca="1" ref="F485" ca="1">_xll.FDS($E$7,"P_BETA_LOCIDX("&amp;$AG485&amp;","&amp;$AL485&amp;",,"""&amp;$E$9&amp;""")")</f>
        <v>2.3174195000000002</v>
      </c>
      <c r="G485" s="30">
        <f t="shared" ca="1" si="120"/>
        <v>1.0845924843087676E-2</v>
      </c>
      <c r="H485" s="30">
        <f t="shared" ca="1" si="120"/>
        <v>-3.7200818938516997E-2</v>
      </c>
      <c r="I485" s="30">
        <f t="shared" ca="1" si="120"/>
        <v>1.85916311155013E-2</v>
      </c>
      <c r="J485" s="30">
        <f t="shared" ca="1" si="120"/>
        <v>-0.18224778148271265</v>
      </c>
      <c r="K485" s="30">
        <f t="shared" ca="1" si="121"/>
        <v>-8.3772032026943624E-2</v>
      </c>
      <c r="L485" s="30">
        <f t="shared" ca="1" si="121"/>
        <v>-6.1271566490390131E-2</v>
      </c>
      <c r="M485" s="30">
        <f t="shared" ca="1" si="121"/>
        <v>-9.4699530922823211E-2</v>
      </c>
      <c r="N485" s="30">
        <f t="shared" ca="1" si="121"/>
        <v>6.9799840714549768E-2</v>
      </c>
      <c r="O485" s="30">
        <f t="shared" ca="1" si="122"/>
        <v>-7.2926107183855948E-2</v>
      </c>
      <c r="P485" s="30">
        <f t="shared" ca="1" si="123"/>
        <v>-9.8472385428907128E-2</v>
      </c>
      <c r="Q485" s="30">
        <f t="shared" ca="1" si="124"/>
        <v>-7.610789980732191E-2</v>
      </c>
      <c r="R485" s="30">
        <f t="shared" ca="1" si="125"/>
        <v>-0.11244794076816289</v>
      </c>
      <c r="S485" s="9" cm="1">
        <f t="array" aca="1" ref="S485" ca="1">_xll.BDH($E$6,"PX LAST",AG485)</f>
        <v>153.44</v>
      </c>
      <c r="T485" s="9" cm="1">
        <f t="array" aca="1" ref="T485" ca="1">_xll.BDH($E$6,"PX LAST",AH485)</f>
        <v>165.51</v>
      </c>
      <c r="U485" s="9" cm="1">
        <f t="array" aca="1" ref="U485" ca="1">_xll.BDH($E$6,"PX LAST",AI485)</f>
        <v>170.2</v>
      </c>
      <c r="V485" s="9" cm="1">
        <f t="array" aca="1" ref="V485" ca="1">_xll.BDH($E$6,"PX LAST",AJ485)</f>
        <v>166.08</v>
      </c>
      <c r="W485" s="9" cm="1">
        <f t="array" aca="1" ref="W485" ca="1">_xll.BDH($E$6,"PX LAST",AK485)</f>
        <v>172.88</v>
      </c>
      <c r="X485" s="24">
        <f t="shared" ca="1" si="126"/>
        <v>-3.6148842290721905E-2</v>
      </c>
      <c r="Y485" s="24">
        <f t="shared" ca="1" si="127"/>
        <v>-2.6439566289310212E-2</v>
      </c>
      <c r="Z485" s="24">
        <f t="shared" ca="1" si="128"/>
        <v>-4.0864215962117867E-2</v>
      </c>
      <c r="AA485" s="24">
        <f t="shared" ca="1" si="129"/>
        <v>3.0119639847058233E-2</v>
      </c>
      <c r="AB485" s="9" cm="1">
        <f t="array" aca="1" ref="AB485" ca="1">_xll.BDH($E$8,"PX LAST",AG485)</f>
        <v>5011.12</v>
      </c>
      <c r="AC485" s="9" cm="1">
        <f t="array" aca="1" ref="AC485" ca="1">_xll.BDH($E$8,"PX LAST",AH485)</f>
        <v>5199.0600000000004</v>
      </c>
      <c r="AD485" s="9" cm="1">
        <f t="array" aca="1" ref="AD485" ca="1">_xll.BDH($E$8,"PX LAST",AI485)</f>
        <v>5147.21</v>
      </c>
      <c r="AE485" s="9" cm="1">
        <f t="array" aca="1" ref="AE485" ca="1">_xll.BDH($E$8,"PX LAST",AJ485)</f>
        <v>5224.62</v>
      </c>
      <c r="AF485" s="9" cm="1">
        <f t="array" aca="1" ref="AF485" ca="1">_xll.BDH($E$8,"PX LAST",AK485)</f>
        <v>4864.6000000000004</v>
      </c>
      <c r="AG485" s="20">
        <f t="shared" ca="1" si="135"/>
        <v>45400</v>
      </c>
      <c r="AH485" s="22">
        <f t="shared" ca="1" si="130"/>
        <v>45393</v>
      </c>
      <c r="AI485" s="22">
        <f t="shared" ca="1" si="131"/>
        <v>45386</v>
      </c>
      <c r="AJ485" s="22">
        <f t="shared" ca="1" si="132"/>
        <v>45371</v>
      </c>
      <c r="AK485" s="22">
        <f t="shared" ca="1" si="133"/>
        <v>45314</v>
      </c>
      <c r="AL485" s="22">
        <f t="shared" ca="1" si="134"/>
        <v>45224</v>
      </c>
    </row>
    <row r="486" spans="4:38" x14ac:dyDescent="0.25">
      <c r="D486" s="6">
        <f ca="1"/>
        <v>45399</v>
      </c>
      <c r="E486" s="28">
        <f ca="1"/>
        <v>152.52000000000001</v>
      </c>
      <c r="F486" s="29" cm="1">
        <f t="array" aca="1" ref="F486" ca="1">_xll.FDS($E$7,"P_BETA_LOCIDX("&amp;$AG486&amp;","&amp;$AL486&amp;",,"""&amp;$E$9&amp;""")")</f>
        <v>2.3104613000000001</v>
      </c>
      <c r="G486" s="30">
        <f t="shared" ca="1" si="120"/>
        <v>-2.4839691861251186E-2</v>
      </c>
      <c r="H486" s="30">
        <f t="shared" ca="1" si="120"/>
        <v>-4.0589537243753304E-2</v>
      </c>
      <c r="I486" s="30">
        <f t="shared" ca="1" si="120"/>
        <v>-1.3408627122879629E-3</v>
      </c>
      <c r="J486" s="30">
        <f t="shared" ca="1" si="120"/>
        <v>-0.21355770441353031</v>
      </c>
      <c r="K486" s="30">
        <f t="shared" ca="1" si="121"/>
        <v>-6.197625832435532E-2</v>
      </c>
      <c r="L486" s="30">
        <f t="shared" ca="1" si="121"/>
        <v>-8.3915370626058972E-2</v>
      </c>
      <c r="M486" s="30">
        <f t="shared" ca="1" si="121"/>
        <v>-6.9735329504046692E-2</v>
      </c>
      <c r="N486" s="30">
        <f t="shared" ca="1" si="121"/>
        <v>8.1825949887741972E-2</v>
      </c>
      <c r="O486" s="30">
        <f t="shared" ca="1" si="122"/>
        <v>-8.6815950185606505E-2</v>
      </c>
      <c r="P486" s="30">
        <f t="shared" ca="1" si="123"/>
        <v>-0.12450490786981228</v>
      </c>
      <c r="Q486" s="30">
        <f t="shared" ca="1" si="124"/>
        <v>-7.1076192216334655E-2</v>
      </c>
      <c r="R486" s="30">
        <f t="shared" ca="1" si="125"/>
        <v>-0.13173175452578834</v>
      </c>
      <c r="S486" s="9" cm="1">
        <f t="array" aca="1" ref="S486" ca="1">_xll.BDH($E$6,"PX LAST",AG486)</f>
        <v>152.52000000000001</v>
      </c>
      <c r="T486" s="9" cm="1">
        <f t="array" aca="1" ref="T486" ca="1">_xll.BDH($E$6,"PX LAST",AH486)</f>
        <v>167.02</v>
      </c>
      <c r="U486" s="9" cm="1">
        <f t="array" aca="1" ref="U486" ca="1">_xll.BDH($E$6,"PX LAST",AI486)</f>
        <v>174.21</v>
      </c>
      <c r="V486" s="9" cm="1">
        <f t="array" aca="1" ref="V486" ca="1">_xll.BDH($E$6,"PX LAST",AJ486)</f>
        <v>164.19</v>
      </c>
      <c r="W486" s="9" cm="1">
        <f t="array" aca="1" ref="W486" ca="1">_xll.BDH($E$6,"PX LAST",AK486)</f>
        <v>175.66</v>
      </c>
      <c r="X486" s="24">
        <f t="shared" ca="1" si="126"/>
        <v>-2.6824192348235965E-2</v>
      </c>
      <c r="Y486" s="24">
        <f t="shared" ca="1" si="127"/>
        <v>-3.6319747327539731E-2</v>
      </c>
      <c r="Z486" s="24">
        <f t="shared" ca="1" si="128"/>
        <v>-3.0182426991547828E-2</v>
      </c>
      <c r="AA486" s="24">
        <f t="shared" ca="1" si="129"/>
        <v>3.5415416777481612E-2</v>
      </c>
      <c r="AB486" s="9" cm="1">
        <f t="array" aca="1" ref="AB486" ca="1">_xll.BDH($E$8,"PX LAST",AG486)</f>
        <v>5022.21</v>
      </c>
      <c r="AC486" s="9" cm="1">
        <f t="array" aca="1" ref="AC486" ca="1">_xll.BDH($E$8,"PX LAST",AH486)</f>
        <v>5160.6400000000003</v>
      </c>
      <c r="AD486" s="9" cm="1">
        <f t="array" aca="1" ref="AD486" ca="1">_xll.BDH($E$8,"PX LAST",AI486)</f>
        <v>5211.49</v>
      </c>
      <c r="AE486" s="9" cm="1">
        <f t="array" aca="1" ref="AE486" ca="1">_xll.BDH($E$8,"PX LAST",AJ486)</f>
        <v>5178.51</v>
      </c>
      <c r="AF486" s="9" cm="1">
        <f t="array" aca="1" ref="AF486" ca="1">_xll.BDH($E$8,"PX LAST",AK486)</f>
        <v>4850.43</v>
      </c>
      <c r="AG486" s="20">
        <f t="shared" ca="1" si="135"/>
        <v>45399</v>
      </c>
      <c r="AH486" s="22">
        <f t="shared" ca="1" si="130"/>
        <v>45392</v>
      </c>
      <c r="AI486" s="22">
        <f t="shared" ca="1" si="131"/>
        <v>45385</v>
      </c>
      <c r="AJ486" s="22">
        <f t="shared" ca="1" si="132"/>
        <v>45370</v>
      </c>
      <c r="AK486" s="22">
        <f t="shared" ca="1" si="133"/>
        <v>45313</v>
      </c>
      <c r="AL486" s="22">
        <f t="shared" ca="1" si="134"/>
        <v>45223</v>
      </c>
    </row>
    <row r="487" spans="4:38" x14ac:dyDescent="0.25">
      <c r="D487" s="6">
        <f ca="1"/>
        <v>45398</v>
      </c>
      <c r="E487" s="28">
        <f ca="1"/>
        <v>154.79</v>
      </c>
      <c r="F487" s="29" cm="1">
        <f t="array" aca="1" ref="F487" ca="1">_xll.FDS($E$7,"P_BETA_LOCIDX("&amp;$AG487&amp;","&amp;$AL487&amp;",,"""&amp;$E$9&amp;""")")</f>
        <v>2.3064678000000001</v>
      </c>
      <c r="G487" s="30">
        <f t="shared" ca="1" si="120"/>
        <v>-3.3951660846820969E-2</v>
      </c>
      <c r="H487" s="30">
        <f t="shared" ca="1" si="120"/>
        <v>-2.8710606525646165E-2</v>
      </c>
      <c r="I487" s="30">
        <f t="shared" ca="1" si="120"/>
        <v>-4.8870660137689814E-4</v>
      </c>
      <c r="J487" s="30">
        <f t="shared" ca="1" si="120"/>
        <v>-0.21429977904664954</v>
      </c>
      <c r="K487" s="30">
        <f t="shared" ca="1" si="121"/>
        <v>-7.0169186473470729E-2</v>
      </c>
      <c r="L487" s="30">
        <f t="shared" ca="1" si="121"/>
        <v>-6.8407918905991738E-2</v>
      </c>
      <c r="M487" s="30">
        <f t="shared" ca="1" si="121"/>
        <v>-4.389948947221245E-2</v>
      </c>
      <c r="N487" s="30">
        <f t="shared" ca="1" si="121"/>
        <v>0.10084044342236542</v>
      </c>
      <c r="O487" s="30">
        <f t="shared" ca="1" si="122"/>
        <v>-0.1041208473202917</v>
      </c>
      <c r="P487" s="30">
        <f t="shared" ca="1" si="123"/>
        <v>-9.7118525431637903E-2</v>
      </c>
      <c r="Q487" s="30">
        <f t="shared" ca="1" si="124"/>
        <v>-4.4388196073589348E-2</v>
      </c>
      <c r="R487" s="30">
        <f t="shared" ca="1" si="125"/>
        <v>-0.11345933562428412</v>
      </c>
      <c r="S487" s="9" cm="1">
        <f t="array" aca="1" ref="S487" ca="1">_xll.BDH($E$6,"PX LAST",AG487)</f>
        <v>154.79</v>
      </c>
      <c r="T487" s="9" cm="1">
        <f t="array" aca="1" ref="T487" ca="1">_xll.BDH($E$6,"PX LAST",AH487)</f>
        <v>172.78</v>
      </c>
      <c r="U487" s="9" cm="1">
        <f t="array" aca="1" ref="U487" ca="1">_xll.BDH($E$6,"PX LAST",AI487)</f>
        <v>171.44</v>
      </c>
      <c r="V487" s="9" cm="1">
        <f t="array" aca="1" ref="V487" ca="1">_xll.BDH($E$6,"PX LAST",AJ487)</f>
        <v>161.97999999999999</v>
      </c>
      <c r="W487" s="9" cm="1">
        <f t="array" aca="1" ref="W487" ca="1">_xll.BDH($E$6,"PX LAST",AK487)</f>
        <v>174.6</v>
      </c>
      <c r="X487" s="24">
        <f t="shared" ca="1" si="126"/>
        <v>-3.0422790412886203E-2</v>
      </c>
      <c r="Y487" s="24">
        <f t="shared" ca="1" si="127"/>
        <v>-2.9659169274330099E-2</v>
      </c>
      <c r="Z487" s="24">
        <f t="shared" ca="1" si="128"/>
        <v>-1.9033211507315406E-2</v>
      </c>
      <c r="AA487" s="24">
        <f t="shared" ca="1" si="129"/>
        <v>4.3720724573898417E-2</v>
      </c>
      <c r="AB487" s="9" cm="1">
        <f t="array" aca="1" ref="AB487" ca="1">_xll.BDH($E$8,"PX LAST",AG487)</f>
        <v>5051.41</v>
      </c>
      <c r="AC487" s="9" cm="1">
        <f t="array" aca="1" ref="AC487" ca="1">_xll.BDH($E$8,"PX LAST",AH487)</f>
        <v>5209.91</v>
      </c>
      <c r="AD487" s="9" cm="1">
        <f t="array" aca="1" ref="AD487" ca="1">_xll.BDH($E$8,"PX LAST",AI487)</f>
        <v>5205.8100000000004</v>
      </c>
      <c r="AE487" s="9" cm="1">
        <f t="array" aca="1" ref="AE487" ca="1">_xll.BDH($E$8,"PX LAST",AJ487)</f>
        <v>5149.42</v>
      </c>
      <c r="AF487" s="9" cm="1">
        <f t="array" aca="1" ref="AF487" ca="1">_xll.BDH($E$8,"PX LAST",AK487)</f>
        <v>4839.8100000000004</v>
      </c>
      <c r="AG487" s="20">
        <f t="shared" ca="1" si="135"/>
        <v>45398</v>
      </c>
      <c r="AH487" s="22">
        <f t="shared" ca="1" si="130"/>
        <v>45391</v>
      </c>
      <c r="AI487" s="22">
        <f t="shared" ca="1" si="131"/>
        <v>45384</v>
      </c>
      <c r="AJ487" s="22">
        <f t="shared" ca="1" si="132"/>
        <v>45369</v>
      </c>
      <c r="AK487" s="22">
        <f t="shared" ca="1" si="133"/>
        <v>45310</v>
      </c>
      <c r="AL487" s="22">
        <f t="shared" ca="1" si="134"/>
        <v>45222</v>
      </c>
    </row>
    <row r="488" spans="4:38" x14ac:dyDescent="0.25">
      <c r="D488" s="6">
        <f ca="1"/>
        <v>45397</v>
      </c>
      <c r="E488" s="28">
        <f ca="1"/>
        <v>159.91999999999999</v>
      </c>
      <c r="F488" s="29" cm="1">
        <f t="array" aca="1" ref="F488" ca="1">_xll.FDS($E$7,"P_BETA_LOCIDX("&amp;$AG488&amp;","&amp;$AL488&amp;",,"""&amp;$E$9&amp;""")")</f>
        <v>2.3116992000000001</v>
      </c>
      <c r="G488" s="30">
        <f t="shared" ca="1" si="120"/>
        <v>-1.0679715376212075E-2</v>
      </c>
      <c r="H488" s="30">
        <f t="shared" ca="1" si="120"/>
        <v>-9.0299097555510549E-3</v>
      </c>
      <c r="I488" s="30">
        <f t="shared" ca="1" si="120"/>
        <v>2.3657369056559324E-2</v>
      </c>
      <c r="J488" s="30">
        <f t="shared" ca="1" si="120"/>
        <v>-0.20593665228071503</v>
      </c>
      <c r="K488" s="30">
        <f t="shared" ca="1" si="121"/>
        <v>-6.2462744343273334E-2</v>
      </c>
      <c r="L488" s="30">
        <f t="shared" ca="1" si="121"/>
        <v>-8.0212074412112325E-2</v>
      </c>
      <c r="M488" s="30">
        <f t="shared" ca="1" si="121"/>
        <v>-2.4968803516060983E-2</v>
      </c>
      <c r="N488" s="30">
        <f t="shared" ca="1" si="121"/>
        <v>0.13581221920710176</v>
      </c>
      <c r="O488" s="30">
        <f t="shared" ca="1" si="122"/>
        <v>-7.3142459719485409E-2</v>
      </c>
      <c r="P488" s="30">
        <f t="shared" ca="1" si="123"/>
        <v>-8.924198416766338E-2</v>
      </c>
      <c r="Q488" s="30">
        <f t="shared" ca="1" si="124"/>
        <v>-1.3114344595016592E-3</v>
      </c>
      <c r="R488" s="30">
        <f t="shared" ca="1" si="125"/>
        <v>-7.0124433073613268E-2</v>
      </c>
      <c r="S488" s="9" cm="1">
        <f t="array" aca="1" ref="S488" ca="1">_xll.BDH($E$6,"PX LAST",AG488)</f>
        <v>159.91999999999999</v>
      </c>
      <c r="T488" s="9" cm="1">
        <f t="array" aca="1" ref="T488" ca="1">_xll.BDH($E$6,"PX LAST",AH488)</f>
        <v>172.54</v>
      </c>
      <c r="U488" s="9" cm="1">
        <f t="array" aca="1" ref="U488" ca="1">_xll.BDH($E$6,"PX LAST",AI488)</f>
        <v>175.59</v>
      </c>
      <c r="V488" s="9" cm="1">
        <f t="array" aca="1" ref="V488" ca="1">_xll.BDH($E$6,"PX LAST",AJ488)</f>
        <v>160.13</v>
      </c>
      <c r="W488" s="9" cm="1">
        <f t="array" aca="1" ref="W488" ca="1">_xll.BDH($E$6,"PX LAST",AK488)</f>
        <v>171.98</v>
      </c>
      <c r="X488" s="24">
        <f t="shared" ca="1" si="126"/>
        <v>-2.7020273374353088E-2</v>
      </c>
      <c r="Y488" s="24">
        <f t="shared" ca="1" si="127"/>
        <v>-3.4698318194734123E-2</v>
      </c>
      <c r="Z488" s="24">
        <f t="shared" ca="1" si="128"/>
        <v>-1.0801060759142445E-2</v>
      </c>
      <c r="AA488" s="24">
        <f t="shared" ca="1" si="129"/>
        <v>5.8749952938125238E-2</v>
      </c>
      <c r="AB488" s="9" cm="1">
        <f t="array" aca="1" ref="AB488" ca="1">_xll.BDH($E$8,"PX LAST",AG488)</f>
        <v>5061.82</v>
      </c>
      <c r="AC488" s="9" cm="1">
        <f t="array" aca="1" ref="AC488" ca="1">_xll.BDH($E$8,"PX LAST",AH488)</f>
        <v>5202.3900000000003</v>
      </c>
      <c r="AD488" s="9" cm="1">
        <f t="array" aca="1" ref="AD488" ca="1">_xll.BDH($E$8,"PX LAST",AI488)</f>
        <v>5243.77</v>
      </c>
      <c r="AE488" s="9" cm="1">
        <f t="array" aca="1" ref="AE488" ca="1">_xll.BDH($E$8,"PX LAST",AJ488)</f>
        <v>5117.09</v>
      </c>
      <c r="AF488" s="9" cm="1">
        <f t="array" aca="1" ref="AF488" ca="1">_xll.BDH($E$8,"PX LAST",AK488)</f>
        <v>4780.9399999999996</v>
      </c>
      <c r="AG488" s="20">
        <f t="shared" ca="1" si="135"/>
        <v>45397</v>
      </c>
      <c r="AH488" s="22">
        <f t="shared" ca="1" si="130"/>
        <v>45390</v>
      </c>
      <c r="AI488" s="22">
        <f t="shared" ca="1" si="131"/>
        <v>45383</v>
      </c>
      <c r="AJ488" s="22">
        <f t="shared" ca="1" si="132"/>
        <v>45366</v>
      </c>
      <c r="AK488" s="22">
        <f t="shared" ca="1" si="133"/>
        <v>45309</v>
      </c>
      <c r="AL488" s="22">
        <f t="shared" ca="1" si="134"/>
        <v>45219</v>
      </c>
    </row>
    <row r="489" spans="4:38" x14ac:dyDescent="0.25">
      <c r="D489" s="6">
        <f ca="1"/>
        <v>45394</v>
      </c>
      <c r="E489" s="28">
        <f ca="1"/>
        <v>161.56</v>
      </c>
      <c r="F489" s="29" cm="1">
        <f t="array" aca="1" ref="F489" ca="1">_xll.FDS($E$7,"P_BETA_LOCIDX("&amp;$AG489&amp;","&amp;$AL489&amp;",,"""&amp;$E$9&amp;""")")</f>
        <v>2.3436134000000002</v>
      </c>
      <c r="G489" s="30">
        <f t="shared" ca="1" si="120"/>
        <v>-2.3105129888022193E-2</v>
      </c>
      <c r="H489" s="30">
        <f t="shared" ca="1" si="120"/>
        <v>1.6543760637642291E-3</v>
      </c>
      <c r="I489" s="30">
        <f t="shared" ca="1" si="120"/>
        <v>2.5042491427059037E-2</v>
      </c>
      <c r="J489" s="30">
        <f t="shared" ca="1" si="120"/>
        <v>-0.23469489027264162</v>
      </c>
      <c r="K489" s="30">
        <f t="shared" ca="1" si="121"/>
        <v>-3.6444320021751318E-2</v>
      </c>
      <c r="L489" s="30">
        <f t="shared" ca="1" si="121"/>
        <v>-5.8403558688705892E-2</v>
      </c>
      <c r="M489" s="30">
        <f t="shared" ca="1" si="121"/>
        <v>-1.2317612094018254E-2</v>
      </c>
      <c r="N489" s="30">
        <f t="shared" ca="1" si="121"/>
        <v>0.18999290351767467</v>
      </c>
      <c r="O489" s="30">
        <f t="shared" ca="1" si="122"/>
        <v>-5.9549449909773511E-2</v>
      </c>
      <c r="P489" s="30">
        <f t="shared" ca="1" si="123"/>
        <v>-5.6749182624941663E-2</v>
      </c>
      <c r="Q489" s="30">
        <f t="shared" ca="1" si="124"/>
        <v>1.2724879333040784E-2</v>
      </c>
      <c r="R489" s="30">
        <f t="shared" ca="1" si="125"/>
        <v>-4.4701986754966949E-2</v>
      </c>
      <c r="S489" s="9" cm="1">
        <f t="array" aca="1" ref="S489" ca="1">_xll.BDH($E$6,"PX LAST",AG489)</f>
        <v>161.56</v>
      </c>
      <c r="T489" s="9" cm="1">
        <f t="array" aca="1" ref="T489" ca="1">_xll.BDH($E$6,"PX LAST",AH489)</f>
        <v>171.79</v>
      </c>
      <c r="U489" s="9" cm="1">
        <f t="array" aca="1" ref="U489" ca="1">_xll.BDH($E$6,"PX LAST",AI489)</f>
        <v>171.28</v>
      </c>
      <c r="V489" s="9" cm="1">
        <f t="array" aca="1" ref="V489" ca="1">_xll.BDH($E$6,"PX LAST",AJ489)</f>
        <v>159.53</v>
      </c>
      <c r="W489" s="9" cm="1">
        <f t="array" aca="1" ref="W489" ca="1">_xll.BDH($E$6,"PX LAST",AK489)</f>
        <v>169.12</v>
      </c>
      <c r="X489" s="24">
        <f t="shared" ca="1" si="126"/>
        <v>-1.5550482866223292E-2</v>
      </c>
      <c r="Y489" s="24">
        <f t="shared" ca="1" si="127"/>
        <v>-2.4920304128959958E-2</v>
      </c>
      <c r="Z489" s="24">
        <f t="shared" ca="1" si="128"/>
        <v>-5.2558208167005072E-3</v>
      </c>
      <c r="AA489" s="24">
        <f t="shared" ca="1" si="129"/>
        <v>8.1068363714627445E-2</v>
      </c>
      <c r="AB489" s="9" cm="1">
        <f t="array" aca="1" ref="AB489" ca="1">_xll.BDH($E$8,"PX LAST",AG489)</f>
        <v>5123.41</v>
      </c>
      <c r="AC489" s="9" cm="1">
        <f t="array" aca="1" ref="AC489" ca="1">_xll.BDH($E$8,"PX LAST",AH489)</f>
        <v>5204.34</v>
      </c>
      <c r="AD489" s="9" cm="1">
        <f t="array" aca="1" ref="AD489" ca="1">_xll.BDH($E$8,"PX LAST",AI489)</f>
        <v>5254.35</v>
      </c>
      <c r="AE489" s="9" cm="1">
        <f t="array" aca="1" ref="AE489" ca="1">_xll.BDH($E$8,"PX LAST",AJ489)</f>
        <v>5150.4799999999996</v>
      </c>
      <c r="AF489" s="9" cm="1">
        <f t="array" aca="1" ref="AF489" ca="1">_xll.BDH($E$8,"PX LAST",AK489)</f>
        <v>4739.21</v>
      </c>
      <c r="AG489" s="20">
        <f t="shared" ca="1" si="135"/>
        <v>45394</v>
      </c>
      <c r="AH489" s="22">
        <f t="shared" ca="1" si="130"/>
        <v>45387</v>
      </c>
      <c r="AI489" s="22">
        <f t="shared" ca="1" si="131"/>
        <v>45379</v>
      </c>
      <c r="AJ489" s="22">
        <f t="shared" ca="1" si="132"/>
        <v>45365</v>
      </c>
      <c r="AK489" s="22">
        <f t="shared" ca="1" si="133"/>
        <v>45308</v>
      </c>
      <c r="AL489" s="22">
        <f t="shared" ca="1" si="134"/>
        <v>45218</v>
      </c>
    </row>
    <row r="490" spans="4:38" x14ac:dyDescent="0.25">
      <c r="D490" s="6">
        <f ca="1"/>
        <v>45393</v>
      </c>
      <c r="E490" s="28">
        <f ca="1"/>
        <v>165.51</v>
      </c>
      <c r="F490" s="29" cm="1">
        <f t="array" aca="1" ref="F490" ca="1">_xll.FDS($E$7,"P_BETA_LOCIDX("&amp;$AG490&amp;","&amp;$AL490&amp;",,"""&amp;$E$9&amp;""")")</f>
        <v>2.3984694000000002</v>
      </c>
      <c r="G490" s="30">
        <f t="shared" ca="1" si="120"/>
        <v>-5.1716602508085116E-2</v>
      </c>
      <c r="H490" s="30">
        <f t="shared" ca="1" si="120"/>
        <v>-8.6668298762656582E-3</v>
      </c>
      <c r="I490" s="30">
        <f t="shared" ca="1" si="120"/>
        <v>-1.7656307073716029E-3</v>
      </c>
      <c r="J490" s="30">
        <f t="shared" ca="1" si="120"/>
        <v>-0.24137119100155691</v>
      </c>
      <c r="K490" s="30">
        <f t="shared" ca="1" si="121"/>
        <v>2.4160785821833602E-2</v>
      </c>
      <c r="L490" s="30">
        <f t="shared" ca="1" si="121"/>
        <v>-2.2588657393269096E-2</v>
      </c>
      <c r="M490" s="30">
        <f t="shared" ca="1" si="121"/>
        <v>1.5671536122710807E-2</v>
      </c>
      <c r="N490" s="30">
        <f t="shared" ca="1" si="121"/>
        <v>0.21794659812924155</v>
      </c>
      <c r="O490" s="30">
        <f t="shared" ca="1" si="122"/>
        <v>-2.7555816686251511E-2</v>
      </c>
      <c r="P490" s="30">
        <f t="shared" ca="1" si="123"/>
        <v>-3.1255487269534754E-2</v>
      </c>
      <c r="Q490" s="30">
        <f t="shared" ca="1" si="124"/>
        <v>1.3905905415339204E-2</v>
      </c>
      <c r="R490" s="30">
        <f t="shared" ca="1" si="125"/>
        <v>-2.3424592872315353E-2</v>
      </c>
      <c r="S490" s="9" cm="1">
        <f t="array" aca="1" ref="S490" ca="1">_xll.BDH($E$6,"PX LAST",AG490)</f>
        <v>165.51</v>
      </c>
      <c r="T490" s="9" cm="1">
        <f t="array" aca="1" ref="T490" ca="1">_xll.BDH($E$6,"PX LAST",AH490)</f>
        <v>170.2</v>
      </c>
      <c r="U490" s="9" cm="1">
        <f t="array" aca="1" ref="U490" ca="1">_xll.BDH($E$6,"PX LAST",AI490)</f>
        <v>170.85</v>
      </c>
      <c r="V490" s="9" cm="1">
        <f t="array" aca="1" ref="V490" ca="1">_xll.BDH($E$6,"PX LAST",AJ490)</f>
        <v>163.24</v>
      </c>
      <c r="W490" s="9" cm="1">
        <f t="array" aca="1" ref="W490" ca="1">_xll.BDH($E$6,"PX LAST",AK490)</f>
        <v>169.48</v>
      </c>
      <c r="X490" s="24">
        <f t="shared" ca="1" si="126"/>
        <v>1.0073418415024848E-2</v>
      </c>
      <c r="Y490" s="24">
        <f t="shared" ca="1" si="127"/>
        <v>-9.4179468761490526E-3</v>
      </c>
      <c r="Z490" s="24">
        <f t="shared" ca="1" si="128"/>
        <v>6.533973759561329E-3</v>
      </c>
      <c r="AA490" s="24">
        <f t="shared" ca="1" si="129"/>
        <v>9.0869034280463001E-2</v>
      </c>
      <c r="AB490" s="9" cm="1">
        <f t="array" aca="1" ref="AB490" ca="1">_xll.BDH($E$8,"PX LAST",AG490)</f>
        <v>5199.0600000000004</v>
      </c>
      <c r="AC490" s="9" cm="1">
        <f t="array" aca="1" ref="AC490" ca="1">_xll.BDH($E$8,"PX LAST",AH490)</f>
        <v>5147.21</v>
      </c>
      <c r="AD490" s="9" cm="1">
        <f t="array" aca="1" ref="AD490" ca="1">_xll.BDH($E$8,"PX LAST",AI490)</f>
        <v>5248.49</v>
      </c>
      <c r="AE490" s="9" cm="1">
        <f t="array" aca="1" ref="AE490" ca="1">_xll.BDH($E$8,"PX LAST",AJ490)</f>
        <v>5165.3100000000004</v>
      </c>
      <c r="AF490" s="9" cm="1">
        <f t="array" aca="1" ref="AF490" ca="1">_xll.BDH($E$8,"PX LAST",AK490)</f>
        <v>4765.9799999999996</v>
      </c>
      <c r="AG490" s="20">
        <f t="shared" ca="1" si="135"/>
        <v>45393</v>
      </c>
      <c r="AH490" s="22">
        <f t="shared" ca="1" si="130"/>
        <v>45386</v>
      </c>
      <c r="AI490" s="22">
        <f t="shared" ca="1" si="131"/>
        <v>45378</v>
      </c>
      <c r="AJ490" s="22">
        <f t="shared" ca="1" si="132"/>
        <v>45364</v>
      </c>
      <c r="AK490" s="22">
        <f t="shared" ca="1" si="133"/>
        <v>45307</v>
      </c>
      <c r="AL490" s="22">
        <f t="shared" ca="1" si="134"/>
        <v>45217</v>
      </c>
    </row>
    <row r="491" spans="4:38" x14ac:dyDescent="0.25">
      <c r="D491" s="6">
        <f ca="1"/>
        <v>45392</v>
      </c>
      <c r="E491" s="28">
        <f ca="1"/>
        <v>167.02</v>
      </c>
      <c r="F491" s="29" cm="1">
        <f t="array" aca="1" ref="F491" ca="1">_xll.FDS($E$7,"P_BETA_LOCIDX("&amp;$AG491&amp;","&amp;$AL491&amp;",,"""&amp;$E$9&amp;""")")</f>
        <v>2.4207304000000001</v>
      </c>
      <c r="G491" s="30">
        <f t="shared" ca="1" si="120"/>
        <v>-1.765226843477416E-2</v>
      </c>
      <c r="H491" s="30">
        <f t="shared" ca="1" si="120"/>
        <v>1.1369020540893456E-2</v>
      </c>
      <c r="I491" s="30">
        <f t="shared" ca="1" si="120"/>
        <v>3.7703564049823196E-2</v>
      </c>
      <c r="J491" s="30">
        <f t="shared" ca="1" si="120"/>
        <v>-0.20629326869759887</v>
      </c>
      <c r="K491" s="30">
        <f t="shared" ca="1" si="121"/>
        <v>-2.3619759577395066E-2</v>
      </c>
      <c r="L491" s="30">
        <f t="shared" ca="1" si="121"/>
        <v>-1.9975894168245474E-2</v>
      </c>
      <c r="M491" s="30">
        <f t="shared" ca="1" si="121"/>
        <v>-6.8431764433548297E-3</v>
      </c>
      <c r="N491" s="30">
        <f t="shared" ca="1" si="121"/>
        <v>0.19067471503460617</v>
      </c>
      <c r="O491" s="30">
        <f t="shared" ca="1" si="122"/>
        <v>-4.1272028012169226E-2</v>
      </c>
      <c r="P491" s="30">
        <f t="shared" ca="1" si="123"/>
        <v>-8.6068736273520186E-3</v>
      </c>
      <c r="Q491" s="30">
        <f t="shared" ca="1" si="124"/>
        <v>3.0860387606468365E-2</v>
      </c>
      <c r="R491" s="30">
        <f t="shared" ca="1" si="125"/>
        <v>-1.5618553662992696E-2</v>
      </c>
      <c r="S491" s="9" cm="1">
        <f t="array" aca="1" ref="S491" ca="1">_xll.BDH($E$6,"PX LAST",AG491)</f>
        <v>167.02</v>
      </c>
      <c r="T491" s="9" cm="1">
        <f t="array" aca="1" ref="T491" ca="1">_xll.BDH($E$6,"PX LAST",AH491)</f>
        <v>174.21</v>
      </c>
      <c r="U491" s="9" cm="1">
        <f t="array" aca="1" ref="U491" ca="1">_xll.BDH($E$6,"PX LAST",AI491)</f>
        <v>168.47</v>
      </c>
      <c r="V491" s="9" cm="1">
        <f t="array" aca="1" ref="V491" ca="1">_xll.BDH($E$6,"PX LAST",AJ491)</f>
        <v>162.02000000000001</v>
      </c>
      <c r="W491" s="9" cm="1">
        <f t="array" aca="1" ref="W491" ca="1">_xll.BDH($E$6,"PX LAST",AK491)</f>
        <v>169.67</v>
      </c>
      <c r="X491" s="24">
        <f t="shared" ca="1" si="126"/>
        <v>-9.7572863039168123E-3</v>
      </c>
      <c r="Y491" s="24">
        <f t="shared" ca="1" si="127"/>
        <v>-8.2520111154242848E-3</v>
      </c>
      <c r="Z491" s="24">
        <f t="shared" ca="1" si="128"/>
        <v>-2.8269056493671618E-3</v>
      </c>
      <c r="AA491" s="24">
        <f t="shared" ca="1" si="129"/>
        <v>7.8767431116908426E-2</v>
      </c>
      <c r="AB491" s="9" cm="1">
        <f t="array" aca="1" ref="AB491" ca="1">_xll.BDH($E$8,"PX LAST",AG491)</f>
        <v>5160.6400000000003</v>
      </c>
      <c r="AC491" s="9" cm="1">
        <f t="array" aca="1" ref="AC491" ca="1">_xll.BDH($E$8,"PX LAST",AH491)</f>
        <v>5211.49</v>
      </c>
      <c r="AD491" s="9" cm="1">
        <f t="array" aca="1" ref="AD491" ca="1">_xll.BDH($E$8,"PX LAST",AI491)</f>
        <v>5203.58</v>
      </c>
      <c r="AE491" s="9" cm="1">
        <f t="array" aca="1" ref="AE491" ca="1">_xll.BDH($E$8,"PX LAST",AJ491)</f>
        <v>5175.2700000000004</v>
      </c>
      <c r="AF491" s="9" cm="1">
        <f t="array" aca="1" ref="AF491" ca="1">_xll.BDH($E$8,"PX LAST",AK491)</f>
        <v>4783.83</v>
      </c>
      <c r="AG491" s="20">
        <f t="shared" ca="1" si="135"/>
        <v>45392</v>
      </c>
      <c r="AH491" s="22">
        <f t="shared" ca="1" si="130"/>
        <v>45385</v>
      </c>
      <c r="AI491" s="22">
        <f t="shared" ca="1" si="131"/>
        <v>45377</v>
      </c>
      <c r="AJ491" s="22">
        <f t="shared" ca="1" si="132"/>
        <v>45363</v>
      </c>
      <c r="AK491" s="22">
        <f t="shared" ca="1" si="133"/>
        <v>45303</v>
      </c>
      <c r="AL491" s="22">
        <f t="shared" ca="1" si="134"/>
        <v>45216</v>
      </c>
    </row>
    <row r="492" spans="4:38" x14ac:dyDescent="0.25">
      <c r="D492" s="6">
        <f ca="1"/>
        <v>45391</v>
      </c>
      <c r="E492" s="28">
        <f ca="1"/>
        <v>172.78</v>
      </c>
      <c r="F492" s="29" cm="1">
        <f t="array" aca="1" ref="F492" ca="1">_xll.FDS($E$7,"P_BETA_LOCIDX("&amp;$AG492&amp;","&amp;$AL492&amp;",,"""&amp;$E$9&amp;""")")</f>
        <v>2.4144356</v>
      </c>
      <c r="G492" s="30">
        <f t="shared" ca="1" si="120"/>
        <v>5.9145806157753266E-3</v>
      </c>
      <c r="H492" s="30">
        <f t="shared" ca="1" si="120"/>
        <v>3.1121687058969581E-2</v>
      </c>
      <c r="I492" s="30">
        <f t="shared" ca="1" si="120"/>
        <v>5.3697829866375515E-2</v>
      </c>
      <c r="J492" s="30">
        <f t="shared" ca="1" si="120"/>
        <v>-0.21626762974843486</v>
      </c>
      <c r="K492" s="30">
        <f t="shared" ca="1" si="121"/>
        <v>1.9015649745187612E-3</v>
      </c>
      <c r="L492" s="30">
        <f t="shared" ca="1" si="121"/>
        <v>-3.8311228161488557E-3</v>
      </c>
      <c r="M492" s="30">
        <f t="shared" ca="1" si="121"/>
        <v>4.3387699373576213E-2</v>
      </c>
      <c r="N492" s="30">
        <f t="shared" ca="1" si="121"/>
        <v>0.21702059818168121</v>
      </c>
      <c r="O492" s="30">
        <f t="shared" ca="1" si="122"/>
        <v>7.816145590294088E-3</v>
      </c>
      <c r="P492" s="30">
        <f t="shared" ca="1" si="123"/>
        <v>2.7290564242820725E-2</v>
      </c>
      <c r="Q492" s="30">
        <f t="shared" ca="1" si="124"/>
        <v>9.7085529239951729E-2</v>
      </c>
      <c r="R492" s="30">
        <f t="shared" ca="1" si="125"/>
        <v>7.5296843324634821E-4</v>
      </c>
      <c r="S492" s="9" cm="1">
        <f t="array" aca="1" ref="S492" ca="1">_xll.BDH($E$6,"PX LAST",AG492)</f>
        <v>172.78</v>
      </c>
      <c r="T492" s="9" cm="1">
        <f t="array" aca="1" ref="T492" ca="1">_xll.BDH($E$6,"PX LAST",AH492)</f>
        <v>171.44</v>
      </c>
      <c r="U492" s="9" cm="1">
        <f t="array" aca="1" ref="U492" ca="1">_xll.BDH($E$6,"PX LAST",AI492)</f>
        <v>168.19</v>
      </c>
      <c r="V492" s="9" cm="1">
        <f t="array" aca="1" ref="V492" ca="1">_xll.BDH($E$6,"PX LAST",AJ492)</f>
        <v>157.49</v>
      </c>
      <c r="W492" s="9" cm="1">
        <f t="array" aca="1" ref="W492" ca="1">_xll.BDH($E$6,"PX LAST",AK492)</f>
        <v>172.65</v>
      </c>
      <c r="X492" s="24">
        <f t="shared" ca="1" si="126"/>
        <v>7.8758156751779218E-4</v>
      </c>
      <c r="Y492" s="24">
        <f t="shared" ca="1" si="127"/>
        <v>-1.5867570939348541E-3</v>
      </c>
      <c r="Z492" s="24">
        <f t="shared" ca="1" si="128"/>
        <v>1.797012079078697E-2</v>
      </c>
      <c r="AA492" s="24">
        <f t="shared" ca="1" si="129"/>
        <v>8.9884608304185543E-2</v>
      </c>
      <c r="AB492" s="9" cm="1">
        <f t="array" aca="1" ref="AB492" ca="1">_xll.BDH($E$8,"PX LAST",AG492)</f>
        <v>5209.91</v>
      </c>
      <c r="AC492" s="9" cm="1">
        <f t="array" aca="1" ref="AC492" ca="1">_xll.BDH($E$8,"PX LAST",AH492)</f>
        <v>5205.8100000000004</v>
      </c>
      <c r="AD492" s="9" cm="1">
        <f t="array" aca="1" ref="AD492" ca="1">_xll.BDH($E$8,"PX LAST",AI492)</f>
        <v>5218.1899999999996</v>
      </c>
      <c r="AE492" s="9" cm="1">
        <f t="array" aca="1" ref="AE492" ca="1">_xll.BDH($E$8,"PX LAST",AJ492)</f>
        <v>5117.9399999999996</v>
      </c>
      <c r="AF492" s="9" cm="1">
        <f t="array" aca="1" ref="AF492" ca="1">_xll.BDH($E$8,"PX LAST",AK492)</f>
        <v>4780.24</v>
      </c>
      <c r="AG492" s="20">
        <f t="shared" ca="1" si="135"/>
        <v>45391</v>
      </c>
      <c r="AH492" s="22">
        <f t="shared" ca="1" si="130"/>
        <v>45384</v>
      </c>
      <c r="AI492" s="22">
        <f t="shared" ca="1" si="131"/>
        <v>45376</v>
      </c>
      <c r="AJ492" s="22">
        <f t="shared" ca="1" si="132"/>
        <v>45362</v>
      </c>
      <c r="AK492" s="22">
        <f t="shared" ca="1" si="133"/>
        <v>45302</v>
      </c>
      <c r="AL492" s="22">
        <f t="shared" ca="1" si="134"/>
        <v>45215</v>
      </c>
    </row>
    <row r="493" spans="4:38" x14ac:dyDescent="0.25">
      <c r="D493" s="6">
        <f ca="1"/>
        <v>45390</v>
      </c>
      <c r="E493" s="28">
        <f ca="1"/>
        <v>172.54</v>
      </c>
      <c r="F493" s="29" cm="1">
        <f t="array" aca="1" ref="F493" ca="1">_xll.FDS($E$7,"P_BETA_LOCIDX("&amp;$AG493&amp;","&amp;$AL493&amp;",,"""&amp;$E$9&amp;""")")</f>
        <v>2.4836037000000002</v>
      </c>
      <c r="G493" s="30">
        <f t="shared" ca="1" si="120"/>
        <v>2.2287753730010039E-3</v>
      </c>
      <c r="H493" s="30">
        <f t="shared" ca="1" si="120"/>
        <v>3.5185956565172226E-2</v>
      </c>
      <c r="I493" s="30">
        <f t="shared" ca="1" si="120"/>
        <v>4.171159545984035E-2</v>
      </c>
      <c r="J493" s="30">
        <f t="shared" ca="1" si="120"/>
        <v>-0.21786446577380236</v>
      </c>
      <c r="K493" s="30">
        <f t="shared" ca="1" si="121"/>
        <v>-1.959878505464582E-2</v>
      </c>
      <c r="L493" s="30">
        <f t="shared" ca="1" si="121"/>
        <v>-1.5084265658231087E-2</v>
      </c>
      <c r="M493" s="30">
        <f t="shared" ca="1" si="121"/>
        <v>3.8148211775107549E-2</v>
      </c>
      <c r="N493" s="30">
        <f t="shared" ca="1" si="121"/>
        <v>0.21751684120833303</v>
      </c>
      <c r="O493" s="30">
        <f t="shared" ca="1" si="122"/>
        <v>-1.7370009681644816E-2</v>
      </c>
      <c r="P493" s="30">
        <f t="shared" ca="1" si="123"/>
        <v>2.0101690906941139E-2</v>
      </c>
      <c r="Q493" s="30">
        <f t="shared" ca="1" si="124"/>
        <v>7.9859807234947899E-2</v>
      </c>
      <c r="R493" s="30">
        <f t="shared" ca="1" si="125"/>
        <v>-3.4762456546932885E-4</v>
      </c>
      <c r="S493" s="9" cm="1">
        <f t="array" aca="1" ref="S493" ca="1">_xll.BDH($E$6,"PX LAST",AG493)</f>
        <v>172.54</v>
      </c>
      <c r="T493" s="9" cm="1">
        <f t="array" aca="1" ref="T493" ca="1">_xll.BDH($E$6,"PX LAST",AH493)</f>
        <v>175.59</v>
      </c>
      <c r="U493" s="9" cm="1">
        <f t="array" aca="1" ref="U493" ca="1">_xll.BDH($E$6,"PX LAST",AI493)</f>
        <v>169.14</v>
      </c>
      <c r="V493" s="9" cm="1">
        <f t="array" aca="1" ref="V493" ca="1">_xll.BDH($E$6,"PX LAST",AJ493)</f>
        <v>159.78</v>
      </c>
      <c r="W493" s="9" cm="1">
        <f t="array" aca="1" ref="W493" ca="1">_xll.BDH($E$6,"PX LAST",AK493)</f>
        <v>172.6</v>
      </c>
      <c r="X493" s="24">
        <f t="shared" ca="1" si="126"/>
        <v>-7.891269067865303E-3</v>
      </c>
      <c r="Y493" s="24">
        <f t="shared" ca="1" si="127"/>
        <v>-6.0735396948519149E-3</v>
      </c>
      <c r="Z493" s="24">
        <f t="shared" ca="1" si="128"/>
        <v>1.5360023732895689E-2</v>
      </c>
      <c r="AA493" s="24">
        <f t="shared" ca="1" si="129"/>
        <v>8.7581139135979313E-2</v>
      </c>
      <c r="AB493" s="9" cm="1">
        <f t="array" aca="1" ref="AB493" ca="1">_xll.BDH($E$8,"PX LAST",AG493)</f>
        <v>5202.3900000000003</v>
      </c>
      <c r="AC493" s="9" cm="1">
        <f t="array" aca="1" ref="AC493" ca="1">_xll.BDH($E$8,"PX LAST",AH493)</f>
        <v>5243.77</v>
      </c>
      <c r="AD493" s="9" cm="1">
        <f t="array" aca="1" ref="AD493" ca="1">_xll.BDH($E$8,"PX LAST",AI493)</f>
        <v>5234.18</v>
      </c>
      <c r="AE493" s="9" cm="1">
        <f t="array" aca="1" ref="AE493" ca="1">_xll.BDH($E$8,"PX LAST",AJ493)</f>
        <v>5123.6899999999996</v>
      </c>
      <c r="AF493" s="9" cm="1">
        <f t="array" aca="1" ref="AF493" ca="1">_xll.BDH($E$8,"PX LAST",AK493)</f>
        <v>4783.45</v>
      </c>
      <c r="AG493" s="20">
        <f t="shared" ca="1" si="135"/>
        <v>45390</v>
      </c>
      <c r="AH493" s="22">
        <f t="shared" ca="1" si="130"/>
        <v>45383</v>
      </c>
      <c r="AI493" s="22">
        <f t="shared" ca="1" si="131"/>
        <v>45373</v>
      </c>
      <c r="AJ493" s="22">
        <f t="shared" ca="1" si="132"/>
        <v>45359</v>
      </c>
      <c r="AK493" s="22">
        <f t="shared" ca="1" si="133"/>
        <v>45301</v>
      </c>
      <c r="AL493" s="22">
        <f t="shared" ca="1" si="134"/>
        <v>45212</v>
      </c>
    </row>
    <row r="494" spans="4:38" x14ac:dyDescent="0.25">
      <c r="D494" s="6">
        <f ca="1"/>
        <v>45387</v>
      </c>
      <c r="E494" s="28">
        <f ca="1"/>
        <v>171.79</v>
      </c>
      <c r="F494" s="29" cm="1">
        <f t="array" aca="1" ref="F494" ca="1">_xll.FDS($E$7,"P_BETA_LOCIDX("&amp;$AG494&amp;","&amp;$AL494&amp;",,"""&amp;$E$9&amp;""")")</f>
        <v>2.4843644999999999</v>
      </c>
      <c r="G494" s="30">
        <f t="shared" ca="1" si="120"/>
        <v>2.6623334782051318E-2</v>
      </c>
      <c r="H494" s="30">
        <f t="shared" ca="1" si="120"/>
        <v>2.9168156178053913E-2</v>
      </c>
      <c r="I494" s="30">
        <f t="shared" ca="1" si="120"/>
        <v>4.9114111547409176E-2</v>
      </c>
      <c r="J494" s="30">
        <f t="shared" ca="1" si="120"/>
        <v>-0.24044584031463159</v>
      </c>
      <c r="K494" s="30">
        <f t="shared" ca="1" si="121"/>
        <v>-2.3645754212224208E-2</v>
      </c>
      <c r="L494" s="30">
        <f t="shared" ca="1" si="121"/>
        <v>-1.7627203460630632E-2</v>
      </c>
      <c r="M494" s="30">
        <f t="shared" ca="1" si="121"/>
        <v>2.2630850708502029E-2</v>
      </c>
      <c r="N494" s="30">
        <f t="shared" ca="1" si="121"/>
        <v>0.23391102652790943</v>
      </c>
      <c r="O494" s="30">
        <f t="shared" ca="1" si="122"/>
        <v>2.9775805698271096E-3</v>
      </c>
      <c r="P494" s="30">
        <f t="shared" ca="1" si="123"/>
        <v>1.1540952717423281E-2</v>
      </c>
      <c r="Q494" s="30">
        <f t="shared" ca="1" si="124"/>
        <v>7.1744962255911204E-2</v>
      </c>
      <c r="R494" s="30">
        <f t="shared" ca="1" si="125"/>
        <v>-6.5348137867221601E-3</v>
      </c>
      <c r="S494" s="9" cm="1">
        <f t="array" aca="1" ref="S494" ca="1">_xll.BDH($E$6,"PX LAST",AG494)</f>
        <v>171.79</v>
      </c>
      <c r="T494" s="9" cm="1">
        <f t="array" aca="1" ref="T494" ca="1">_xll.BDH($E$6,"PX LAST",AH494)</f>
        <v>171.28</v>
      </c>
      <c r="U494" s="9" cm="1">
        <f t="array" aca="1" ref="U494" ca="1">_xll.BDH($E$6,"PX LAST",AI494)</f>
        <v>169.83</v>
      </c>
      <c r="V494" s="9" cm="1">
        <f t="array" aca="1" ref="V494" ca="1">_xll.BDH($E$6,"PX LAST",AJ494)</f>
        <v>160.29</v>
      </c>
      <c r="W494" s="9" cm="1">
        <f t="array" aca="1" ref="W494" ca="1">_xll.BDH($E$6,"PX LAST",AK494)</f>
        <v>172.92</v>
      </c>
      <c r="X494" s="24">
        <f t="shared" ca="1" si="126"/>
        <v>-9.5178280853007724E-3</v>
      </c>
      <c r="Y494" s="24">
        <f t="shared" ca="1" si="127"/>
        <v>-7.0952565376902754E-3</v>
      </c>
      <c r="Z494" s="24">
        <f t="shared" ca="1" si="128"/>
        <v>9.109311740890691E-3</v>
      </c>
      <c r="AA494" s="24">
        <f t="shared" ca="1" si="129"/>
        <v>9.4153263954588562E-2</v>
      </c>
      <c r="AB494" s="9" cm="1">
        <f t="array" aca="1" ref="AB494" ca="1">_xll.BDH($E$8,"PX LAST",AG494)</f>
        <v>5204.34</v>
      </c>
      <c r="AC494" s="9" cm="1">
        <f t="array" aca="1" ref="AC494" ca="1">_xll.BDH($E$8,"PX LAST",AH494)</f>
        <v>5254.35</v>
      </c>
      <c r="AD494" s="9" cm="1">
        <f t="array" aca="1" ref="AD494" ca="1">_xll.BDH($E$8,"PX LAST",AI494)</f>
        <v>5241.53</v>
      </c>
      <c r="AE494" s="9" cm="1">
        <f t="array" aca="1" ref="AE494" ca="1">_xll.BDH($E$8,"PX LAST",AJ494)</f>
        <v>5157.3599999999997</v>
      </c>
      <c r="AF494" s="9" cm="1">
        <f t="array" aca="1" ref="AF494" ca="1">_xll.BDH($E$8,"PX LAST",AK494)</f>
        <v>4756.5</v>
      </c>
      <c r="AG494" s="20">
        <f t="shared" ca="1" si="135"/>
        <v>45387</v>
      </c>
      <c r="AH494" s="22">
        <f t="shared" ca="1" si="130"/>
        <v>45379</v>
      </c>
      <c r="AI494" s="22">
        <f t="shared" ca="1" si="131"/>
        <v>45372</v>
      </c>
      <c r="AJ494" s="22">
        <f t="shared" ca="1" si="132"/>
        <v>45358</v>
      </c>
      <c r="AK494" s="22">
        <f t="shared" ca="1" si="133"/>
        <v>45300</v>
      </c>
      <c r="AL494" s="22">
        <f t="shared" ca="1" si="134"/>
        <v>45211</v>
      </c>
    </row>
    <row r="495" spans="4:38" x14ac:dyDescent="0.25">
      <c r="D495" s="6">
        <f ca="1"/>
        <v>45386</v>
      </c>
      <c r="E495" s="28">
        <f ca="1"/>
        <v>170.2</v>
      </c>
      <c r="F495" s="29" cm="1">
        <f t="array" aca="1" ref="F495" ca="1">_xll.FDS($E$7,"P_BETA_LOCIDX("&amp;$AG495&amp;","&amp;$AL495&amp;",,"""&amp;$E$9&amp;""")")</f>
        <v>2.5089730000000001</v>
      </c>
      <c r="G495" s="30">
        <f t="shared" ca="1" si="120"/>
        <v>4.4611091788142876E-2</v>
      </c>
      <c r="H495" s="30">
        <f t="shared" ca="1" si="120"/>
        <v>6.198124062798193E-2</v>
      </c>
      <c r="I495" s="30">
        <f t="shared" ca="1" si="120"/>
        <v>7.81222090721502E-2</v>
      </c>
      <c r="J495" s="30">
        <f t="shared" ca="1" si="120"/>
        <v>-0.21695558420734881</v>
      </c>
      <c r="K495" s="30">
        <f t="shared" ca="1" si="121"/>
        <v>-4.8415598665520754E-2</v>
      </c>
      <c r="L495" s="30">
        <f t="shared" ca="1" si="121"/>
        <v>-3.7173918855342485E-2</v>
      </c>
      <c r="M495" s="30">
        <f t="shared" ca="1" si="121"/>
        <v>2.086403745719698E-2</v>
      </c>
      <c r="N495" s="30">
        <f t="shared" ca="1" si="121"/>
        <v>0.20208031651041056</v>
      </c>
      <c r="O495" s="30">
        <f t="shared" ca="1" si="122"/>
        <v>-3.8045068773778778E-3</v>
      </c>
      <c r="P495" s="30">
        <f t="shared" ca="1" si="123"/>
        <v>2.4807321772639446E-2</v>
      </c>
      <c r="Q495" s="30">
        <f t="shared" ca="1" si="124"/>
        <v>9.8986246529347177E-2</v>
      </c>
      <c r="R495" s="30">
        <f t="shared" ca="1" si="125"/>
        <v>-1.4875267696938255E-2</v>
      </c>
      <c r="S495" s="9" cm="1">
        <f t="array" aca="1" ref="S495" ca="1">_xll.BDH($E$6,"PX LAST",AG495)</f>
        <v>170.2</v>
      </c>
      <c r="T495" s="9" cm="1">
        <f t="array" aca="1" ref="T495" ca="1">_xll.BDH($E$6,"PX LAST",AH495)</f>
        <v>170.85</v>
      </c>
      <c r="U495" s="9" cm="1">
        <f t="array" aca="1" ref="U495" ca="1">_xll.BDH($E$6,"PX LAST",AI495)</f>
        <v>166.08</v>
      </c>
      <c r="V495" s="9" cm="1">
        <f t="array" aca="1" ref="V495" ca="1">_xll.BDH($E$6,"PX LAST",AJ495)</f>
        <v>154.87</v>
      </c>
      <c r="W495" s="9" cm="1">
        <f t="array" aca="1" ref="W495" ca="1">_xll.BDH($E$6,"PX LAST",AK495)</f>
        <v>172.77</v>
      </c>
      <c r="X495" s="24">
        <f t="shared" ca="1" si="126"/>
        <v>-1.9296978750078519E-2</v>
      </c>
      <c r="Y495" s="24">
        <f t="shared" ca="1" si="127"/>
        <v>-1.4816388560316307E-2</v>
      </c>
      <c r="Z495" s="24">
        <f t="shared" ca="1" si="128"/>
        <v>8.3157680282717195E-3</v>
      </c>
      <c r="AA495" s="24">
        <f t="shared" ca="1" si="129"/>
        <v>8.054304151954228E-2</v>
      </c>
      <c r="AB495" s="9" cm="1">
        <f t="array" aca="1" ref="AB495" ca="1">_xll.BDH($E$8,"PX LAST",AG495)</f>
        <v>5147.21</v>
      </c>
      <c r="AC495" s="9" cm="1">
        <f t="array" aca="1" ref="AC495" ca="1">_xll.BDH($E$8,"PX LAST",AH495)</f>
        <v>5248.49</v>
      </c>
      <c r="AD495" s="9" cm="1">
        <f t="array" aca="1" ref="AD495" ca="1">_xll.BDH($E$8,"PX LAST",AI495)</f>
        <v>5224.62</v>
      </c>
      <c r="AE495" s="9" cm="1">
        <f t="array" aca="1" ref="AE495" ca="1">_xll.BDH($E$8,"PX LAST",AJ495)</f>
        <v>5104.76</v>
      </c>
      <c r="AF495" s="9" cm="1">
        <f t="array" aca="1" ref="AF495" ca="1">_xll.BDH($E$8,"PX LAST",AK495)</f>
        <v>4763.54</v>
      </c>
      <c r="AG495" s="20">
        <f t="shared" ca="1" si="135"/>
        <v>45386</v>
      </c>
      <c r="AH495" s="22">
        <f t="shared" ca="1" si="130"/>
        <v>45378</v>
      </c>
      <c r="AI495" s="22">
        <f t="shared" ca="1" si="131"/>
        <v>45371</v>
      </c>
      <c r="AJ495" s="22">
        <f t="shared" ca="1" si="132"/>
        <v>45357</v>
      </c>
      <c r="AK495" s="22">
        <f t="shared" ca="1" si="133"/>
        <v>45299</v>
      </c>
      <c r="AL495" s="22">
        <f t="shared" ca="1" si="134"/>
        <v>45210</v>
      </c>
    </row>
    <row r="496" spans="4:38" x14ac:dyDescent="0.25">
      <c r="D496" s="6">
        <f ca="1"/>
        <v>45385</v>
      </c>
      <c r="E496" s="28">
        <f ca="1"/>
        <v>174.21</v>
      </c>
      <c r="F496" s="29" cm="1">
        <f t="array" aca="1" ref="F496" ca="1">_xll.FDS($E$7,"P_BETA_LOCIDX("&amp;$AG496&amp;","&amp;$AL496&amp;",,"""&amp;$E$9&amp;""")")</f>
        <v>2.5185933</v>
      </c>
      <c r="G496" s="30">
        <f t="shared" ca="1" si="120"/>
        <v>3.0242815926382605E-2</v>
      </c>
      <c r="H496" s="30">
        <f t="shared" ca="1" si="120"/>
        <v>4.498687715613206E-2</v>
      </c>
      <c r="I496" s="30">
        <f t="shared" ca="1" si="120"/>
        <v>6.0892853950262268E-2</v>
      </c>
      <c r="J496" s="30">
        <f t="shared" ca="1" si="120"/>
        <v>-0.24392827868709144</v>
      </c>
      <c r="K496" s="30">
        <f t="shared" ca="1" si="121"/>
        <v>3.8285320881008104E-3</v>
      </c>
      <c r="L496" s="30">
        <f t="shared" ca="1" si="121"/>
        <v>1.603998197048959E-2</v>
      </c>
      <c r="M496" s="30">
        <f t="shared" ca="1" si="121"/>
        <v>6.5877730099928436E-2</v>
      </c>
      <c r="N496" s="30">
        <f t="shared" ca="1" si="121"/>
        <v>0.27573353810429124</v>
      </c>
      <c r="O496" s="30">
        <f t="shared" ca="1" si="122"/>
        <v>3.4071348014483416E-2</v>
      </c>
      <c r="P496" s="30">
        <f t="shared" ca="1" si="123"/>
        <v>6.1026859126621646E-2</v>
      </c>
      <c r="Q496" s="30">
        <f t="shared" ca="1" si="124"/>
        <v>0.1267705840501907</v>
      </c>
      <c r="R496" s="30">
        <f t="shared" ca="1" si="125"/>
        <v>3.1805259417199805E-2</v>
      </c>
      <c r="S496" s="9" cm="1">
        <f t="array" aca="1" ref="S496" ca="1">_xll.BDH($E$6,"PX LAST",AG496)</f>
        <v>174.21</v>
      </c>
      <c r="T496" s="9" cm="1">
        <f t="array" aca="1" ref="T496" ca="1">_xll.BDH($E$6,"PX LAST",AH496)</f>
        <v>168.47</v>
      </c>
      <c r="U496" s="9" cm="1">
        <f t="array" aca="1" ref="U496" ca="1">_xll.BDH($E$6,"PX LAST",AI496)</f>
        <v>164.19</v>
      </c>
      <c r="V496" s="9" cm="1">
        <f t="array" aca="1" ref="V496" ca="1">_xll.BDH($E$6,"PX LAST",AJ496)</f>
        <v>154.61000000000001</v>
      </c>
      <c r="W496" s="9" cm="1">
        <f t="array" aca="1" ref="W496" ca="1">_xll.BDH($E$6,"PX LAST",AK496)</f>
        <v>168.84</v>
      </c>
      <c r="X496" s="24">
        <f t="shared" ca="1" si="126"/>
        <v>1.5201073107360408E-3</v>
      </c>
      <c r="Y496" s="24">
        <f t="shared" ca="1" si="127"/>
        <v>6.3686272692338175E-3</v>
      </c>
      <c r="Z496" s="24">
        <f t="shared" ca="1" si="128"/>
        <v>2.6156557352839949E-2</v>
      </c>
      <c r="AA496" s="24">
        <f t="shared" ca="1" si="129"/>
        <v>0.10947918352053554</v>
      </c>
      <c r="AB496" s="9" cm="1">
        <f t="array" aca="1" ref="AB496" ca="1">_xll.BDH($E$8,"PX LAST",AG496)</f>
        <v>5211.49</v>
      </c>
      <c r="AC496" s="9" cm="1">
        <f t="array" aca="1" ref="AC496" ca="1">_xll.BDH($E$8,"PX LAST",AH496)</f>
        <v>5203.58</v>
      </c>
      <c r="AD496" s="9" cm="1">
        <f t="array" aca="1" ref="AD496" ca="1">_xll.BDH($E$8,"PX LAST",AI496)</f>
        <v>5178.51</v>
      </c>
      <c r="AE496" s="9" cm="1">
        <f t="array" aca="1" ref="AE496" ca="1">_xll.BDH($E$8,"PX LAST",AJ496)</f>
        <v>5078.6499999999996</v>
      </c>
      <c r="AF496" s="9" cm="1">
        <f t="array" aca="1" ref="AF496" ca="1">_xll.BDH($E$8,"PX LAST",AK496)</f>
        <v>4697.24</v>
      </c>
      <c r="AG496" s="20">
        <f t="shared" ca="1" si="135"/>
        <v>45385</v>
      </c>
      <c r="AH496" s="22">
        <f t="shared" ca="1" si="130"/>
        <v>45377</v>
      </c>
      <c r="AI496" s="22">
        <f t="shared" ca="1" si="131"/>
        <v>45370</v>
      </c>
      <c r="AJ496" s="22">
        <f t="shared" ca="1" si="132"/>
        <v>45356</v>
      </c>
      <c r="AK496" s="22">
        <f t="shared" ca="1" si="133"/>
        <v>45296</v>
      </c>
      <c r="AL496" s="22">
        <f t="shared" ca="1" si="134"/>
        <v>45209</v>
      </c>
    </row>
    <row r="497" spans="4:38" x14ac:dyDescent="0.25">
      <c r="D497" s="6">
        <f ca="1"/>
        <v>45384</v>
      </c>
      <c r="E497" s="28">
        <f ca="1"/>
        <v>171.44</v>
      </c>
      <c r="F497" s="29" cm="1">
        <f t="array" aca="1" ref="F497" ca="1">_xll.FDS($E$7,"P_BETA_LOCIDX("&amp;$AG497&amp;","&amp;$AL497&amp;",,"""&amp;$E$9&amp;""")")</f>
        <v>2.5215626000000002</v>
      </c>
      <c r="G497" s="30">
        <f t="shared" ca="1" si="120"/>
        <v>2.5305716261835899E-2</v>
      </c>
      <c r="H497" s="30">
        <f t="shared" ca="1" si="120"/>
        <v>3.0789275661765664E-2</v>
      </c>
      <c r="I497" s="30">
        <f t="shared" ca="1" si="120"/>
        <v>0.10008070364425055</v>
      </c>
      <c r="J497" s="30">
        <f t="shared" ca="1" si="120"/>
        <v>-0.26186961633558609</v>
      </c>
      <c r="K497" s="30">
        <f t="shared" ca="1" si="121"/>
        <v>-5.9823319940434452E-3</v>
      </c>
      <c r="L497" s="30">
        <f t="shared" ca="1" si="121"/>
        <v>2.7612996223652358E-2</v>
      </c>
      <c r="M497" s="30">
        <f t="shared" ca="1" si="121"/>
        <v>3.6789322880948203E-2</v>
      </c>
      <c r="N497" s="30">
        <f t="shared" ca="1" si="121"/>
        <v>0.27811146577245643</v>
      </c>
      <c r="O497" s="30">
        <f t="shared" ca="1" si="122"/>
        <v>1.9323384267792454E-2</v>
      </c>
      <c r="P497" s="30">
        <f t="shared" ca="1" si="123"/>
        <v>5.8402271885418022E-2</v>
      </c>
      <c r="Q497" s="30">
        <f t="shared" ca="1" si="124"/>
        <v>0.13687002652519875</v>
      </c>
      <c r="R497" s="30">
        <f t="shared" ca="1" si="125"/>
        <v>1.6241849436870348E-2</v>
      </c>
      <c r="S497" s="9" cm="1">
        <f t="array" aca="1" ref="S497" ca="1">_xll.BDH($E$6,"PX LAST",AG497)</f>
        <v>171.44</v>
      </c>
      <c r="T497" s="9" cm="1">
        <f t="array" aca="1" ref="T497" ca="1">_xll.BDH($E$6,"PX LAST",AH497)</f>
        <v>168.19</v>
      </c>
      <c r="U497" s="9" cm="1">
        <f t="array" aca="1" ref="U497" ca="1">_xll.BDH($E$6,"PX LAST",AI497)</f>
        <v>161.97999999999999</v>
      </c>
      <c r="V497" s="9" cm="1">
        <f t="array" aca="1" ref="V497" ca="1">_xll.BDH($E$6,"PX LAST",AJ497)</f>
        <v>150.80000000000001</v>
      </c>
      <c r="W497" s="9" cm="1">
        <f t="array" aca="1" ref="W497" ca="1">_xll.BDH($E$6,"PX LAST",AK497)</f>
        <v>168.7</v>
      </c>
      <c r="X497" s="24">
        <f t="shared" ca="1" si="126"/>
        <v>-2.3724701476947052E-3</v>
      </c>
      <c r="Y497" s="24">
        <f t="shared" ca="1" si="127"/>
        <v>1.0950747851214304E-2</v>
      </c>
      <c r="Z497" s="24">
        <f t="shared" ca="1" si="128"/>
        <v>1.4589890760970281E-2</v>
      </c>
      <c r="AA497" s="24">
        <f t="shared" ca="1" si="129"/>
        <v>0.11029330216606814</v>
      </c>
      <c r="AB497" s="9" cm="1">
        <f t="array" aca="1" ref="AB497" ca="1">_xll.BDH($E$8,"PX LAST",AG497)</f>
        <v>5205.8100000000004</v>
      </c>
      <c r="AC497" s="9" cm="1">
        <f t="array" aca="1" ref="AC497" ca="1">_xll.BDH($E$8,"PX LAST",AH497)</f>
        <v>5218.1899999999996</v>
      </c>
      <c r="AD497" s="9" cm="1">
        <f t="array" aca="1" ref="AD497" ca="1">_xll.BDH($E$8,"PX LAST",AI497)</f>
        <v>5149.42</v>
      </c>
      <c r="AE497" s="9" cm="1">
        <f t="array" aca="1" ref="AE497" ca="1">_xll.BDH($E$8,"PX LAST",AJ497)</f>
        <v>5130.95</v>
      </c>
      <c r="AF497" s="9" cm="1">
        <f t="array" aca="1" ref="AF497" ca="1">_xll.BDH($E$8,"PX LAST",AK497)</f>
        <v>4688.68</v>
      </c>
      <c r="AG497" s="20">
        <f t="shared" ca="1" si="135"/>
        <v>45384</v>
      </c>
      <c r="AH497" s="22">
        <f t="shared" ca="1" si="130"/>
        <v>45376</v>
      </c>
      <c r="AI497" s="22">
        <f t="shared" ca="1" si="131"/>
        <v>45369</v>
      </c>
      <c r="AJ497" s="22">
        <f t="shared" ca="1" si="132"/>
        <v>45355</v>
      </c>
      <c r="AK497" s="22">
        <f t="shared" ca="1" si="133"/>
        <v>45295</v>
      </c>
      <c r="AL497" s="22">
        <f t="shared" ca="1" si="134"/>
        <v>45208</v>
      </c>
    </row>
    <row r="498" spans="4:38" x14ac:dyDescent="0.25">
      <c r="D498" s="6">
        <f ca="1"/>
        <v>45383</v>
      </c>
      <c r="E498" s="28">
        <f ca="1"/>
        <v>175.59</v>
      </c>
      <c r="F498" s="29" cm="1">
        <f t="array" aca="1" ref="F498" ca="1">_xll.FDS($E$7,"P_BETA_LOCIDX("&amp;$AG498&amp;","&amp;$AL498&amp;",,"""&amp;$E$9&amp;""")")</f>
        <v>2.5378091</v>
      </c>
      <c r="G498" s="30">
        <f t="shared" ca="1" si="120"/>
        <v>3.3484347589433014E-2</v>
      </c>
      <c r="H498" s="30">
        <f t="shared" ca="1" si="120"/>
        <v>3.3719899212564561E-2</v>
      </c>
      <c r="I498" s="30">
        <f t="shared" ca="1" si="120"/>
        <v>0.10195885253052259</v>
      </c>
      <c r="J498" s="30">
        <f t="shared" ca="1" si="120"/>
        <v>-0.24938343861818363</v>
      </c>
      <c r="K498" s="30">
        <f t="shared" ca="1" si="121"/>
        <v>4.6497425134404821E-3</v>
      </c>
      <c r="L498" s="30">
        <f t="shared" ca="1" si="121"/>
        <v>6.2826656710747733E-2</v>
      </c>
      <c r="M498" s="30">
        <f t="shared" ca="1" si="121"/>
        <v>5.2706761989106655E-2</v>
      </c>
      <c r="N498" s="30">
        <f t="shared" ca="1" si="121"/>
        <v>0.29071898600283558</v>
      </c>
      <c r="O498" s="30">
        <f t="shared" ca="1" si="122"/>
        <v>3.8134090102873497E-2</v>
      </c>
      <c r="P498" s="30">
        <f t="shared" ca="1" si="123"/>
        <v>9.6546555923312294E-2</v>
      </c>
      <c r="Q498" s="30">
        <f t="shared" ca="1" si="124"/>
        <v>0.15466561451962924</v>
      </c>
      <c r="R498" s="30">
        <f t="shared" ca="1" si="125"/>
        <v>4.1335547384651949E-2</v>
      </c>
      <c r="S498" s="9" cm="1">
        <f t="array" aca="1" ref="S498" ca="1">_xll.BDH($E$6,"PX LAST",AG498)</f>
        <v>175.59</v>
      </c>
      <c r="T498" s="9" cm="1">
        <f t="array" aca="1" ref="T498" ca="1">_xll.BDH($E$6,"PX LAST",AH498)</f>
        <v>169.14</v>
      </c>
      <c r="U498" s="9" cm="1">
        <f t="array" aca="1" ref="U498" ca="1">_xll.BDH($E$6,"PX LAST",AI498)</f>
        <v>160.13</v>
      </c>
      <c r="V498" s="9" cm="1">
        <f t="array" aca="1" ref="V498" ca="1">_xll.BDH($E$6,"PX LAST",AJ498)</f>
        <v>152.07</v>
      </c>
      <c r="W498" s="9" cm="1">
        <f t="array" aca="1" ref="W498" ca="1">_xll.BDH($E$6,"PX LAST",AK498)</f>
        <v>168.62</v>
      </c>
      <c r="X498" s="24">
        <f t="shared" ca="1" si="126"/>
        <v>1.8321876588118791E-3</v>
      </c>
      <c r="Y498" s="24">
        <f t="shared" ca="1" si="127"/>
        <v>2.4756257951296545E-2</v>
      </c>
      <c r="Z498" s="24">
        <f t="shared" ca="1" si="128"/>
        <v>2.0768607847259535E-2</v>
      </c>
      <c r="AA498" s="24">
        <f t="shared" ca="1" si="129"/>
        <v>0.11455510424437976</v>
      </c>
      <c r="AB498" s="9" cm="1">
        <f t="array" aca="1" ref="AB498" ca="1">_xll.BDH($E$8,"PX LAST",AG498)</f>
        <v>5243.77</v>
      </c>
      <c r="AC498" s="9" cm="1">
        <f t="array" aca="1" ref="AC498" ca="1">_xll.BDH($E$8,"PX LAST",AH498)</f>
        <v>5234.18</v>
      </c>
      <c r="AD498" s="9" cm="1">
        <f t="array" aca="1" ref="AD498" ca="1">_xll.BDH($E$8,"PX LAST",AI498)</f>
        <v>5117.09</v>
      </c>
      <c r="AE498" s="9" cm="1">
        <f t="array" aca="1" ref="AE498" ca="1">_xll.BDH($E$8,"PX LAST",AJ498)</f>
        <v>5137.08</v>
      </c>
      <c r="AF498" s="9" cm="1">
        <f t="array" aca="1" ref="AF498" ca="1">_xll.BDH($E$8,"PX LAST",AK498)</f>
        <v>4704.8100000000004</v>
      </c>
      <c r="AG498" s="20">
        <f t="shared" ca="1" si="135"/>
        <v>45383</v>
      </c>
      <c r="AH498" s="22">
        <f t="shared" ca="1" si="130"/>
        <v>45373</v>
      </c>
      <c r="AI498" s="22">
        <f t="shared" ca="1" si="131"/>
        <v>45366</v>
      </c>
      <c r="AJ498" s="22">
        <f t="shared" ca="1" si="132"/>
        <v>45352</v>
      </c>
      <c r="AK498" s="22">
        <f t="shared" ca="1" si="133"/>
        <v>45294</v>
      </c>
      <c r="AL498" s="22">
        <f t="shared" ca="1" si="134"/>
        <v>45205</v>
      </c>
    </row>
    <row r="499" spans="4:38" x14ac:dyDescent="0.25">
      <c r="D499" s="6">
        <f ca="1"/>
        <v>45379</v>
      </c>
      <c r="E499" s="28">
        <f ca="1"/>
        <v>171.28</v>
      </c>
      <c r="F499" s="29" cm="1">
        <f t="array" aca="1" ref="F499" ca="1">_xll.FDS($E$7,"P_BETA_LOCIDX("&amp;$AG499&amp;","&amp;$AL499&amp;",,"""&amp;$E$9&amp;""")")</f>
        <v>2.5573914000000002</v>
      </c>
      <c r="G499" s="30">
        <f t="shared" ca="1" si="120"/>
        <v>2.282952080522759E-3</v>
      </c>
      <c r="H499" s="30">
        <f t="shared" ca="1" si="120"/>
        <v>2.2078811859797057E-2</v>
      </c>
      <c r="I499" s="30">
        <f t="shared" ca="1" si="120"/>
        <v>6.6435136251430174E-2</v>
      </c>
      <c r="J499" s="30">
        <f t="shared" ca="1" si="120"/>
        <v>-0.28884071575633097</v>
      </c>
      <c r="K499" s="30">
        <f t="shared" ca="1" si="121"/>
        <v>6.2549976338974753E-3</v>
      </c>
      <c r="L499" s="30">
        <f t="shared" ca="1" si="121"/>
        <v>5.1575046348690298E-2</v>
      </c>
      <c r="M499" s="30">
        <f t="shared" ca="1" si="121"/>
        <v>7.9327122093609578E-2</v>
      </c>
      <c r="N499" s="30">
        <f t="shared" ca="1" si="121"/>
        <v>0.27581778156248526</v>
      </c>
      <c r="O499" s="30">
        <f t="shared" ca="1" si="122"/>
        <v>8.5379497144202343E-3</v>
      </c>
      <c r="P499" s="30">
        <f t="shared" ca="1" si="123"/>
        <v>7.3653858208487355E-2</v>
      </c>
      <c r="Q499" s="30">
        <f t="shared" ca="1" si="124"/>
        <v>0.14576225834503975</v>
      </c>
      <c r="R499" s="30">
        <f t="shared" ca="1" si="125"/>
        <v>-1.3022934193845703E-2</v>
      </c>
      <c r="S499" s="9" cm="1">
        <f t="array" aca="1" ref="S499" ca="1">_xll.BDH($E$6,"PX LAST",AG499)</f>
        <v>171.28</v>
      </c>
      <c r="T499" s="9" cm="1">
        <f t="array" aca="1" ref="T499" ca="1">_xll.BDH($E$6,"PX LAST",AH499)</f>
        <v>169.83</v>
      </c>
      <c r="U499" s="9" cm="1">
        <f t="array" aca="1" ref="U499" ca="1">_xll.BDH($E$6,"PX LAST",AI499)</f>
        <v>159.53</v>
      </c>
      <c r="V499" s="9" cm="1">
        <f t="array" aca="1" ref="V499" ca="1">_xll.BDH($E$6,"PX LAST",AJ499)</f>
        <v>149.49</v>
      </c>
      <c r="W499" s="9" cm="1">
        <f t="array" aca="1" ref="W499" ca="1">_xll.BDH($E$6,"PX LAST",AK499)</f>
        <v>173.54</v>
      </c>
      <c r="X499" s="24">
        <f t="shared" ca="1" si="126"/>
        <v>2.4458507344231606E-3</v>
      </c>
      <c r="Y499" s="24">
        <f t="shared" ca="1" si="127"/>
        <v>2.016705239123362E-2</v>
      </c>
      <c r="Z499" s="24">
        <f t="shared" ca="1" si="128"/>
        <v>3.1018764704381807E-2</v>
      </c>
      <c r="AA499" s="24">
        <f t="shared" ca="1" si="129"/>
        <v>0.10785121963047395</v>
      </c>
      <c r="AB499" s="9" cm="1">
        <f t="array" aca="1" ref="AB499" ca="1">_xll.BDH($E$8,"PX LAST",AG499)</f>
        <v>5254.35</v>
      </c>
      <c r="AC499" s="9" cm="1">
        <f t="array" aca="1" ref="AC499" ca="1">_xll.BDH($E$8,"PX LAST",AH499)</f>
        <v>5241.53</v>
      </c>
      <c r="AD499" s="9" cm="1">
        <f t="array" aca="1" ref="AD499" ca="1">_xll.BDH($E$8,"PX LAST",AI499)</f>
        <v>5150.4799999999996</v>
      </c>
      <c r="AE499" s="9" cm="1">
        <f t="array" aca="1" ref="AE499" ca="1">_xll.BDH($E$8,"PX LAST",AJ499)</f>
        <v>5096.2700000000004</v>
      </c>
      <c r="AF499" s="9" cm="1">
        <f t="array" aca="1" ref="AF499" ca="1">_xll.BDH($E$8,"PX LAST",AK499)</f>
        <v>4742.83</v>
      </c>
      <c r="AG499" s="20">
        <f t="shared" ca="1" si="135"/>
        <v>45379</v>
      </c>
      <c r="AH499" s="22">
        <f t="shared" ca="1" si="130"/>
        <v>45372</v>
      </c>
      <c r="AI499" s="22">
        <f t="shared" ca="1" si="131"/>
        <v>45365</v>
      </c>
      <c r="AJ499" s="22">
        <f t="shared" ca="1" si="132"/>
        <v>45351</v>
      </c>
      <c r="AK499" s="22">
        <f t="shared" ca="1" si="133"/>
        <v>45293</v>
      </c>
      <c r="AL499" s="22">
        <f t="shared" ca="1" si="134"/>
        <v>45204</v>
      </c>
    </row>
    <row r="500" spans="4:38" x14ac:dyDescent="0.25">
      <c r="D500" s="6">
        <f ca="1"/>
        <v>45378</v>
      </c>
      <c r="E500" s="28">
        <f ca="1"/>
        <v>170.85</v>
      </c>
      <c r="F500" s="29" cm="1">
        <f t="array" aca="1" ref="F500" ca="1">_xll.FDS($E$7,"P_BETA_LOCIDX("&amp;$AG500&amp;","&amp;$AL500&amp;",,"""&amp;$E$9&amp;""")")</f>
        <v>2.5575871000000001</v>
      </c>
      <c r="G500" s="30">
        <f t="shared" ca="1" si="120"/>
        <v>1.7036113697257424E-2</v>
      </c>
      <c r="H500" s="30">
        <f t="shared" ca="1" si="120"/>
        <v>5.4321588802674695E-3</v>
      </c>
      <c r="I500" s="30">
        <f t="shared" ca="1" si="120"/>
        <v>7.9719443870456999E-2</v>
      </c>
      <c r="J500" s="30">
        <f t="shared" ca="1" si="120"/>
        <v>-0.27408372979971385</v>
      </c>
      <c r="K500" s="30">
        <f t="shared" ca="1" si="121"/>
        <v>1.1684984568638436E-2</v>
      </c>
      <c r="L500" s="30">
        <f t="shared" ca="1" si="121"/>
        <v>4.1186316983491421E-2</v>
      </c>
      <c r="M500" s="30">
        <f t="shared" ca="1" si="121"/>
        <v>9.0165519153372051E-2</v>
      </c>
      <c r="N500" s="30">
        <f t="shared" ca="1" si="121"/>
        <v>0.25665791889564205</v>
      </c>
      <c r="O500" s="30">
        <f t="shared" ca="1" si="122"/>
        <v>2.8721098265895861E-2</v>
      </c>
      <c r="P500" s="30">
        <f t="shared" ca="1" si="123"/>
        <v>4.661847586375889E-2</v>
      </c>
      <c r="Q500" s="30">
        <f t="shared" ca="1" si="124"/>
        <v>0.16988496302382905</v>
      </c>
      <c r="R500" s="30">
        <f t="shared" ca="1" si="125"/>
        <v>-1.7425810904071803E-2</v>
      </c>
      <c r="S500" s="9" cm="1">
        <f t="array" aca="1" ref="S500" ca="1">_xll.BDH($E$6,"PX LAST",AG500)</f>
        <v>170.85</v>
      </c>
      <c r="T500" s="9" cm="1">
        <f t="array" aca="1" ref="T500" ca="1">_xll.BDH($E$6,"PX LAST",AH500)</f>
        <v>166.08</v>
      </c>
      <c r="U500" s="9" cm="1">
        <f t="array" aca="1" ref="U500" ca="1">_xll.BDH($E$6,"PX LAST",AI500)</f>
        <v>163.24</v>
      </c>
      <c r="V500" s="9" cm="1">
        <f t="array" aca="1" ref="V500" ca="1">_xll.BDH($E$6,"PX LAST",AJ500)</f>
        <v>146.04</v>
      </c>
      <c r="W500" s="9" cm="1">
        <f t="array" aca="1" ref="W500" ca="1">_xll.BDH($E$6,"PX LAST",AK500)</f>
        <v>173.88</v>
      </c>
      <c r="X500" s="24">
        <f t="shared" ca="1" si="126"/>
        <v>4.568753325600694E-3</v>
      </c>
      <c r="Y500" s="24">
        <f t="shared" ca="1" si="127"/>
        <v>1.6103583328009208E-2</v>
      </c>
      <c r="Z500" s="24">
        <f t="shared" ca="1" si="128"/>
        <v>3.5254134317995289E-2</v>
      </c>
      <c r="AA500" s="24">
        <f t="shared" ca="1" si="129"/>
        <v>0.10035158485732198</v>
      </c>
      <c r="AB500" s="9" cm="1">
        <f t="array" aca="1" ref="AB500" ca="1">_xll.BDH($E$8,"PX LAST",AG500)</f>
        <v>5248.49</v>
      </c>
      <c r="AC500" s="9" cm="1">
        <f t="array" aca="1" ref="AC500" ca="1">_xll.BDH($E$8,"PX LAST",AH500)</f>
        <v>5224.62</v>
      </c>
      <c r="AD500" s="9" cm="1">
        <f t="array" aca="1" ref="AD500" ca="1">_xll.BDH($E$8,"PX LAST",AI500)</f>
        <v>5165.3100000000004</v>
      </c>
      <c r="AE500" s="9" cm="1">
        <f t="array" aca="1" ref="AE500" ca="1">_xll.BDH($E$8,"PX LAST",AJ500)</f>
        <v>5069.76</v>
      </c>
      <c r="AF500" s="9" cm="1">
        <f t="array" aca="1" ref="AF500" ca="1">_xll.BDH($E$8,"PX LAST",AK500)</f>
        <v>4769.83</v>
      </c>
      <c r="AG500" s="20">
        <f t="shared" ca="1" si="135"/>
        <v>45378</v>
      </c>
      <c r="AH500" s="22">
        <f t="shared" ca="1" si="130"/>
        <v>45371</v>
      </c>
      <c r="AI500" s="22">
        <f t="shared" ca="1" si="131"/>
        <v>45364</v>
      </c>
      <c r="AJ500" s="22">
        <f t="shared" ca="1" si="132"/>
        <v>45350</v>
      </c>
      <c r="AK500" s="22">
        <f t="shared" ca="1" si="133"/>
        <v>45289</v>
      </c>
      <c r="AL500" s="22">
        <f t="shared" ca="1" si="134"/>
        <v>45203</v>
      </c>
    </row>
    <row r="501" spans="4:38" x14ac:dyDescent="0.25">
      <c r="D501" s="6">
        <f ca="1"/>
        <v>45377</v>
      </c>
      <c r="E501" s="28">
        <f ca="1"/>
        <v>168.47</v>
      </c>
      <c r="F501" s="29" cm="1">
        <f t="array" aca="1" ref="F501" ca="1">_xll.FDS($E$7,"P_BETA_LOCIDX("&amp;$AG501&amp;","&amp;$AL501&amp;",,"""&amp;$E$9&amp;""")")</f>
        <v>2.5323012</v>
      </c>
      <c r="G501" s="30">
        <f t="shared" ca="1" si="120"/>
        <v>1.3808083492437397E-2</v>
      </c>
      <c r="H501" s="30">
        <f t="shared" ca="1" si="120"/>
        <v>2.5957589510283433E-2</v>
      </c>
      <c r="I501" s="30">
        <f t="shared" ca="1" si="120"/>
        <v>0.1045615109241774</v>
      </c>
      <c r="J501" s="30">
        <f t="shared" ca="1" si="120"/>
        <v>-0.27103774790648261</v>
      </c>
      <c r="K501" s="30">
        <f t="shared" ca="1" si="121"/>
        <v>1.2259277491788288E-2</v>
      </c>
      <c r="L501" s="30">
        <f t="shared" ca="1" si="121"/>
        <v>1.3852310502060757E-2</v>
      </c>
      <c r="M501" s="30">
        <f t="shared" ca="1" si="121"/>
        <v>6.2532358144059469E-2</v>
      </c>
      <c r="N501" s="30">
        <f t="shared" ca="1" si="121"/>
        <v>0.22246938511210756</v>
      </c>
      <c r="O501" s="30">
        <f t="shared" ca="1" si="122"/>
        <v>2.6067360984225685E-2</v>
      </c>
      <c r="P501" s="30">
        <f t="shared" ca="1" si="123"/>
        <v>3.980990001234419E-2</v>
      </c>
      <c r="Q501" s="30">
        <f t="shared" ca="1" si="124"/>
        <v>0.16709386906823687</v>
      </c>
      <c r="R501" s="30">
        <f t="shared" ca="1" si="125"/>
        <v>-4.8568362794375042E-2</v>
      </c>
      <c r="S501" s="9" cm="1">
        <f t="array" aca="1" ref="S501" ca="1">_xll.BDH($E$6,"PX LAST",AG501)</f>
        <v>168.47</v>
      </c>
      <c r="T501" s="9" cm="1">
        <f t="array" aca="1" ref="T501" ca="1">_xll.BDH($E$6,"PX LAST",AH501)</f>
        <v>164.19</v>
      </c>
      <c r="U501" s="9" cm="1">
        <f t="array" aca="1" ref="U501" ca="1">_xll.BDH($E$6,"PX LAST",AI501)</f>
        <v>162.02000000000001</v>
      </c>
      <c r="V501" s="9" cm="1">
        <f t="array" aca="1" ref="V501" ca="1">_xll.BDH($E$6,"PX LAST",AJ501)</f>
        <v>144.35</v>
      </c>
      <c r="W501" s="9" cm="1">
        <f t="array" aca="1" ref="W501" ca="1">_xll.BDH($E$6,"PX LAST",AK501)</f>
        <v>177.07</v>
      </c>
      <c r="X501" s="24">
        <f t="shared" ca="1" si="126"/>
        <v>4.8411608744600709E-3</v>
      </c>
      <c r="Y501" s="24">
        <f t="shared" ca="1" si="127"/>
        <v>5.4702459968272166E-3</v>
      </c>
      <c r="Z501" s="24">
        <f t="shared" ca="1" si="128"/>
        <v>2.4693886392368913E-2</v>
      </c>
      <c r="AA501" s="24">
        <f t="shared" ca="1" si="129"/>
        <v>8.7852655565660021E-2</v>
      </c>
      <c r="AB501" s="9" cm="1">
        <f t="array" aca="1" ref="AB501" ca="1">_xll.BDH($E$8,"PX LAST",AG501)</f>
        <v>5203.58</v>
      </c>
      <c r="AC501" s="9" cm="1">
        <f t="array" aca="1" ref="AC501" ca="1">_xll.BDH($E$8,"PX LAST",AH501)</f>
        <v>5178.51</v>
      </c>
      <c r="AD501" s="9" cm="1">
        <f t="array" aca="1" ref="AD501" ca="1">_xll.BDH($E$8,"PX LAST",AI501)</f>
        <v>5175.2700000000004</v>
      </c>
      <c r="AE501" s="9" cm="1">
        <f t="array" aca="1" ref="AE501" ca="1">_xll.BDH($E$8,"PX LAST",AJ501)</f>
        <v>5078.18</v>
      </c>
      <c r="AF501" s="9" cm="1">
        <f t="array" aca="1" ref="AF501" ca="1">_xll.BDH($E$8,"PX LAST",AK501)</f>
        <v>4783.3500000000004</v>
      </c>
      <c r="AG501" s="20">
        <f t="shared" ca="1" si="135"/>
        <v>45377</v>
      </c>
      <c r="AH501" s="22">
        <f t="shared" ca="1" si="130"/>
        <v>45370</v>
      </c>
      <c r="AI501" s="22">
        <f t="shared" ca="1" si="131"/>
        <v>45363</v>
      </c>
      <c r="AJ501" s="22">
        <f t="shared" ca="1" si="132"/>
        <v>45349</v>
      </c>
      <c r="AK501" s="22">
        <f t="shared" ca="1" si="133"/>
        <v>45288</v>
      </c>
      <c r="AL501" s="22">
        <f t="shared" ca="1" si="134"/>
        <v>45202</v>
      </c>
    </row>
    <row r="502" spans="4:38" x14ac:dyDescent="0.25">
      <c r="D502" s="6">
        <f ca="1"/>
        <v>45376</v>
      </c>
      <c r="E502" s="28">
        <f ca="1"/>
        <v>168.19</v>
      </c>
      <c r="F502" s="29" cm="1">
        <f t="array" aca="1" ref="F502" ca="1">_xll.FDS($E$7,"P_BETA_LOCIDX("&amp;$AG502&amp;","&amp;$AL502&amp;",,"""&amp;$E$9&amp;""")")</f>
        <v>2.5433867000000001</v>
      </c>
      <c r="G502" s="30">
        <f t="shared" ca="1" si="120"/>
        <v>4.3713860330748464E-3</v>
      </c>
      <c r="H502" s="30">
        <f t="shared" ca="1" si="120"/>
        <v>1.8121066684350283E-2</v>
      </c>
      <c r="I502" s="30">
        <f t="shared" ca="1" si="120"/>
        <v>8.855687110687345E-2</v>
      </c>
      <c r="J502" s="30">
        <f t="shared" ca="1" si="120"/>
        <v>-0.27410952878159345</v>
      </c>
      <c r="K502" s="30">
        <f t="shared" ca="1" si="121"/>
        <v>3.3966680394879163E-2</v>
      </c>
      <c r="L502" s="30">
        <f t="shared" ca="1" si="121"/>
        <v>4.9819754955118735E-2</v>
      </c>
      <c r="M502" s="30">
        <f t="shared" ca="1" si="121"/>
        <v>7.4582824605436457E-2</v>
      </c>
      <c r="N502" s="30">
        <f t="shared" ca="1" si="121"/>
        <v>0.23223873010322957</v>
      </c>
      <c r="O502" s="30">
        <f t="shared" ca="1" si="122"/>
        <v>3.833806642795401E-2</v>
      </c>
      <c r="P502" s="30">
        <f t="shared" ca="1" si="123"/>
        <v>6.7940821639469018E-2</v>
      </c>
      <c r="Q502" s="30">
        <f t="shared" ca="1" si="124"/>
        <v>0.16313969571230991</v>
      </c>
      <c r="R502" s="30">
        <f t="shared" ca="1" si="125"/>
        <v>-4.1870798678363852E-2</v>
      </c>
      <c r="S502" s="9" cm="1">
        <f t="array" aca="1" ref="S502" ca="1">_xll.BDH($E$6,"PX LAST",AG502)</f>
        <v>168.19</v>
      </c>
      <c r="T502" s="9" cm="1">
        <f t="array" aca="1" ref="T502" ca="1">_xll.BDH($E$6,"PX LAST",AH502)</f>
        <v>161.97999999999999</v>
      </c>
      <c r="U502" s="9" cm="1">
        <f t="array" aca="1" ref="U502" ca="1">_xll.BDH($E$6,"PX LAST",AI502)</f>
        <v>157.49</v>
      </c>
      <c r="V502" s="9" cm="1">
        <f t="array" aca="1" ref="V502" ca="1">_xll.BDH($E$6,"PX LAST",AJ502)</f>
        <v>144.6</v>
      </c>
      <c r="W502" s="9" cm="1">
        <f t="array" aca="1" ref="W502" ca="1">_xll.BDH($E$6,"PX LAST",AK502)</f>
        <v>175.54</v>
      </c>
      <c r="X502" s="24">
        <f t="shared" ca="1" si="126"/>
        <v>1.3354902105479738E-2</v>
      </c>
      <c r="Y502" s="24">
        <f t="shared" ca="1" si="127"/>
        <v>1.9587959217966633E-2</v>
      </c>
      <c r="Z502" s="24">
        <f t="shared" ca="1" si="128"/>
        <v>2.9324217432385113E-2</v>
      </c>
      <c r="AA502" s="24">
        <f t="shared" ca="1" si="129"/>
        <v>9.1310821945884024E-2</v>
      </c>
      <c r="AB502" s="9" cm="1">
        <f t="array" aca="1" ref="AB502" ca="1">_xll.BDH($E$8,"PX LAST",AG502)</f>
        <v>5218.1899999999996</v>
      </c>
      <c r="AC502" s="9" cm="1">
        <f t="array" aca="1" ref="AC502" ca="1">_xll.BDH($E$8,"PX LAST",AH502)</f>
        <v>5149.42</v>
      </c>
      <c r="AD502" s="9" cm="1">
        <f t="array" aca="1" ref="AD502" ca="1">_xll.BDH($E$8,"PX LAST",AI502)</f>
        <v>5117.9399999999996</v>
      </c>
      <c r="AE502" s="9" cm="1">
        <f t="array" aca="1" ref="AE502" ca="1">_xll.BDH($E$8,"PX LAST",AJ502)</f>
        <v>5069.53</v>
      </c>
      <c r="AF502" s="9" cm="1">
        <f t="array" aca="1" ref="AF502" ca="1">_xll.BDH($E$8,"PX LAST",AK502)</f>
        <v>4781.58</v>
      </c>
      <c r="AG502" s="20">
        <f t="shared" ca="1" si="135"/>
        <v>45376</v>
      </c>
      <c r="AH502" s="22">
        <f t="shared" ca="1" si="130"/>
        <v>45369</v>
      </c>
      <c r="AI502" s="22">
        <f t="shared" ca="1" si="131"/>
        <v>45362</v>
      </c>
      <c r="AJ502" s="22">
        <f t="shared" ca="1" si="132"/>
        <v>45348</v>
      </c>
      <c r="AK502" s="22">
        <f t="shared" ca="1" si="133"/>
        <v>45287</v>
      </c>
      <c r="AL502" s="22">
        <f t="shared" ca="1" si="134"/>
        <v>45201</v>
      </c>
    </row>
    <row r="503" spans="4:38" x14ac:dyDescent="0.25">
      <c r="D503" s="6">
        <f ca="1"/>
        <v>45373</v>
      </c>
      <c r="E503" s="28">
        <f ca="1"/>
        <v>169.14</v>
      </c>
      <c r="F503" s="29" cm="1">
        <f t="array" aca="1" ref="F503" ca="1">_xll.FDS($E$7,"P_BETA_LOCIDX("&amp;$AG503&amp;","&amp;$AL503&amp;",,"""&amp;$E$9&amp;""")")</f>
        <v>2.5517401999999998</v>
      </c>
      <c r="G503" s="30">
        <f t="shared" ca="1" si="120"/>
        <v>-2.122508334912461E-3</v>
      </c>
      <c r="H503" s="30">
        <f t="shared" ca="1" si="120"/>
        <v>3.5534535822351193E-3</v>
      </c>
      <c r="I503" s="30">
        <f t="shared" ca="1" si="120"/>
        <v>8.9734339649204464E-2</v>
      </c>
      <c r="J503" s="30">
        <f t="shared" ca="1" si="120"/>
        <v>-0.28630615998912334</v>
      </c>
      <c r="K503" s="30">
        <f t="shared" ca="1" si="121"/>
        <v>5.8389291573531017E-2</v>
      </c>
      <c r="L503" s="30">
        <f t="shared" ca="1" si="121"/>
        <v>5.5027094671613722E-2</v>
      </c>
      <c r="M503" s="30">
        <f t="shared" ca="1" si="121"/>
        <v>7.2899699393963069E-2</v>
      </c>
      <c r="N503" s="30">
        <f t="shared" ca="1" si="121"/>
        <v>0.24553034192072876</v>
      </c>
      <c r="O503" s="30">
        <f t="shared" ca="1" si="122"/>
        <v>5.6266783238618556E-2</v>
      </c>
      <c r="P503" s="30">
        <f t="shared" ca="1" si="123"/>
        <v>5.8580548253848841E-2</v>
      </c>
      <c r="Q503" s="30">
        <f t="shared" ca="1" si="124"/>
        <v>0.16263403904316753</v>
      </c>
      <c r="R503" s="30">
        <f t="shared" ca="1" si="125"/>
        <v>-4.0775818068394587E-2</v>
      </c>
      <c r="S503" s="9" cm="1">
        <f t="array" aca="1" ref="S503" ca="1">_xll.BDH($E$6,"PX LAST",AG503)</f>
        <v>169.14</v>
      </c>
      <c r="T503" s="9" cm="1">
        <f t="array" aca="1" ref="T503" ca="1">_xll.BDH($E$6,"PX LAST",AH503)</f>
        <v>160.13</v>
      </c>
      <c r="U503" s="9" cm="1">
        <f t="array" aca="1" ref="U503" ca="1">_xll.BDH($E$6,"PX LAST",AI503)</f>
        <v>159.78</v>
      </c>
      <c r="V503" s="9" cm="1">
        <f t="array" aca="1" ref="V503" ca="1">_xll.BDH($E$6,"PX LAST",AJ503)</f>
        <v>145.47999999999999</v>
      </c>
      <c r="W503" s="9" cm="1">
        <f t="array" aca="1" ref="W503" ca="1">_xll.BDH($E$6,"PX LAST",AK503)</f>
        <v>176.33</v>
      </c>
      <c r="X503" s="24">
        <f t="shared" ca="1" si="126"/>
        <v>2.2882145907146434E-2</v>
      </c>
      <c r="Y503" s="24">
        <f t="shared" ca="1" si="127"/>
        <v>2.1564536496158082E-2</v>
      </c>
      <c r="Z503" s="24">
        <f t="shared" ca="1" si="128"/>
        <v>2.8568621285961271E-2</v>
      </c>
      <c r="AA503" s="24">
        <f t="shared" ca="1" si="129"/>
        <v>9.6220744541599013E-2</v>
      </c>
      <c r="AB503" s="9" cm="1">
        <f t="array" aca="1" ref="AB503" ca="1">_xll.BDH($E$8,"PX LAST",AG503)</f>
        <v>5234.18</v>
      </c>
      <c r="AC503" s="9" cm="1">
        <f t="array" aca="1" ref="AC503" ca="1">_xll.BDH($E$8,"PX LAST",AH503)</f>
        <v>5117.09</v>
      </c>
      <c r="AD503" s="9" cm="1">
        <f t="array" aca="1" ref="AD503" ca="1">_xll.BDH($E$8,"PX LAST",AI503)</f>
        <v>5123.6899999999996</v>
      </c>
      <c r="AE503" s="9" cm="1">
        <f t="array" aca="1" ref="AE503" ca="1">_xll.BDH($E$8,"PX LAST",AJ503)</f>
        <v>5088.8</v>
      </c>
      <c r="AF503" s="9" cm="1">
        <f t="array" aca="1" ref="AF503" ca="1">_xll.BDH($E$8,"PX LAST",AK503)</f>
        <v>4774.75</v>
      </c>
      <c r="AG503" s="20">
        <f t="shared" ca="1" si="135"/>
        <v>45373</v>
      </c>
      <c r="AH503" s="22">
        <f t="shared" ca="1" si="130"/>
        <v>45366</v>
      </c>
      <c r="AI503" s="22">
        <f t="shared" ca="1" si="131"/>
        <v>45359</v>
      </c>
      <c r="AJ503" s="22">
        <f t="shared" ca="1" si="132"/>
        <v>45345</v>
      </c>
      <c r="AK503" s="22">
        <f t="shared" ca="1" si="133"/>
        <v>45286</v>
      </c>
      <c r="AL503" s="22">
        <f t="shared" ca="1" si="134"/>
        <v>45198</v>
      </c>
    </row>
    <row r="504" spans="4:38" x14ac:dyDescent="0.25">
      <c r="D504" s="6">
        <f ca="1"/>
        <v>45372</v>
      </c>
      <c r="E504" s="28">
        <f ca="1"/>
        <v>169.83</v>
      </c>
      <c r="F504" s="29" cm="1">
        <f t="array" aca="1" ref="F504" ca="1">_xll.FDS($E$7,"P_BETA_LOCIDX("&amp;$AG504&amp;","&amp;$AL504&amp;",,"""&amp;$E$9&amp;""")")</f>
        <v>2.5475246999999999</v>
      </c>
      <c r="G504" s="30">
        <f t="shared" ca="1" si="120"/>
        <v>1.9529608760413632E-2</v>
      </c>
      <c r="H504" s="30">
        <f t="shared" ca="1" si="120"/>
        <v>1.7940591092519061E-2</v>
      </c>
      <c r="I504" s="30">
        <f t="shared" ca="1" si="120"/>
        <v>9.7759689665923633E-2</v>
      </c>
      <c r="J504" s="30">
        <f t="shared" ca="1" si="120"/>
        <v>-0.29692308365646286</v>
      </c>
      <c r="K504" s="30">
        <f t="shared" ca="1" si="121"/>
        <v>4.503504992447329E-2</v>
      </c>
      <c r="L504" s="30">
        <f t="shared" ca="1" si="121"/>
        <v>4.1576534118036905E-2</v>
      </c>
      <c r="M504" s="30">
        <f t="shared" ca="1" si="121"/>
        <v>7.7371780026852521E-2</v>
      </c>
      <c r="N504" s="30">
        <f t="shared" ca="1" si="121"/>
        <v>0.2608804000374369</v>
      </c>
      <c r="O504" s="30">
        <f t="shared" ca="1" si="122"/>
        <v>6.4564658684886922E-2</v>
      </c>
      <c r="P504" s="30">
        <f t="shared" ca="1" si="123"/>
        <v>5.9517125210555966E-2</v>
      </c>
      <c r="Q504" s="30">
        <f t="shared" ca="1" si="124"/>
        <v>0.17513146969277615</v>
      </c>
      <c r="R504" s="30">
        <f t="shared" ca="1" si="125"/>
        <v>-3.6042683619025961E-2</v>
      </c>
      <c r="S504" s="9" cm="1">
        <f t="array" aca="1" ref="S504" ca="1">_xll.BDH($E$6,"PX LAST",AG504)</f>
        <v>169.83</v>
      </c>
      <c r="T504" s="9" cm="1">
        <f t="array" aca="1" ref="T504" ca="1">_xll.BDH($E$6,"PX LAST",AH504)</f>
        <v>159.53</v>
      </c>
      <c r="U504" s="9" cm="1">
        <f t="array" aca="1" ref="U504" ca="1">_xll.BDH($E$6,"PX LAST",AI504)</f>
        <v>160.29</v>
      </c>
      <c r="V504" s="9" cm="1">
        <f t="array" aca="1" ref="V504" ca="1">_xll.BDH($E$6,"PX LAST",AJ504)</f>
        <v>144.52000000000001</v>
      </c>
      <c r="W504" s="9" cm="1">
        <f t="array" aca="1" ref="W504" ca="1">_xll.BDH($E$6,"PX LAST",AK504)</f>
        <v>176.18</v>
      </c>
      <c r="X504" s="24">
        <f t="shared" ca="1" si="126"/>
        <v>1.7677963995588852E-2</v>
      </c>
      <c r="Y504" s="24">
        <f t="shared" ca="1" si="127"/>
        <v>1.6320365458296404E-2</v>
      </c>
      <c r="Z504" s="24">
        <f t="shared" ca="1" si="128"/>
        <v>3.0371356174427877E-2</v>
      </c>
      <c r="AA504" s="24">
        <f t="shared" ca="1" si="129"/>
        <v>0.10240544479801783</v>
      </c>
      <c r="AB504" s="9" cm="1">
        <f t="array" aca="1" ref="AB504" ca="1">_xll.BDH($E$8,"PX LAST",AG504)</f>
        <v>5241.53</v>
      </c>
      <c r="AC504" s="9" cm="1">
        <f t="array" aca="1" ref="AC504" ca="1">_xll.BDH($E$8,"PX LAST",AH504)</f>
        <v>5150.4799999999996</v>
      </c>
      <c r="AD504" s="9" cm="1">
        <f t="array" aca="1" ref="AD504" ca="1">_xll.BDH($E$8,"PX LAST",AI504)</f>
        <v>5157.3599999999997</v>
      </c>
      <c r="AE504" s="9" cm="1">
        <f t="array" aca="1" ref="AE504" ca="1">_xll.BDH($E$8,"PX LAST",AJ504)</f>
        <v>5087.03</v>
      </c>
      <c r="AF504" s="9" cm="1">
        <f t="array" aca="1" ref="AF504" ca="1">_xll.BDH($E$8,"PX LAST",AK504)</f>
        <v>4754.63</v>
      </c>
      <c r="AG504" s="20">
        <f t="shared" ca="1" si="135"/>
        <v>45372</v>
      </c>
      <c r="AH504" s="22">
        <f t="shared" ca="1" si="130"/>
        <v>45365</v>
      </c>
      <c r="AI504" s="22">
        <f t="shared" ca="1" si="131"/>
        <v>45358</v>
      </c>
      <c r="AJ504" s="22">
        <f t="shared" ca="1" si="132"/>
        <v>45344</v>
      </c>
      <c r="AK504" s="22">
        <f t="shared" ca="1" si="133"/>
        <v>45282</v>
      </c>
      <c r="AL504" s="22">
        <f t="shared" ca="1" si="134"/>
        <v>45197</v>
      </c>
    </row>
    <row r="505" spans="4:38" x14ac:dyDescent="0.25">
      <c r="D505" s="6">
        <f ca="1"/>
        <v>45371</v>
      </c>
      <c r="E505" s="28">
        <f ca="1"/>
        <v>166.08</v>
      </c>
      <c r="F505" s="29" cm="1">
        <f t="array" aca="1" ref="F505" ca="1">_xll.FDS($E$7,"P_BETA_LOCIDX("&amp;$AG505&amp;","&amp;$AL505&amp;",,"""&amp;$E$9&amp;""")")</f>
        <v>2.5446238999999999</v>
      </c>
      <c r="G505" s="30">
        <f t="shared" ca="1" si="120"/>
        <v>-1.1820616199618335E-2</v>
      </c>
      <c r="H505" s="30">
        <f t="shared" ca="1" si="120"/>
        <v>1.2635402795665149E-2</v>
      </c>
      <c r="I505" s="30">
        <f t="shared" ca="1" si="120"/>
        <v>4.1036310404900342E-2</v>
      </c>
      <c r="J505" s="30">
        <f t="shared" ca="1" si="120"/>
        <v>-0.30931084613617221</v>
      </c>
      <c r="K505" s="30">
        <f t="shared" ca="1" si="121"/>
        <v>2.9218312842597967E-2</v>
      </c>
      <c r="L505" s="30">
        <f t="shared" ca="1" si="121"/>
        <v>5.9747886414640419E-2</v>
      </c>
      <c r="M505" s="30">
        <f t="shared" ca="1" si="121"/>
        <v>0.12402857910755145</v>
      </c>
      <c r="N505" s="30">
        <f t="shared" ca="1" si="121"/>
        <v>0.2561751562844049</v>
      </c>
      <c r="O505" s="30">
        <f t="shared" ca="1" si="122"/>
        <v>1.7397696642979632E-2</v>
      </c>
      <c r="P505" s="30">
        <f t="shared" ca="1" si="123"/>
        <v>7.2383289210305568E-2</v>
      </c>
      <c r="Q505" s="30">
        <f t="shared" ca="1" si="124"/>
        <v>0.1650648895124518</v>
      </c>
      <c r="R505" s="30">
        <f t="shared" ca="1" si="125"/>
        <v>-5.3135689851767309E-2</v>
      </c>
      <c r="S505" s="9" cm="1">
        <f t="array" aca="1" ref="S505" ca="1">_xll.BDH($E$6,"PX LAST",AG505)</f>
        <v>166.08</v>
      </c>
      <c r="T505" s="9" cm="1">
        <f t="array" aca="1" ref="T505" ca="1">_xll.BDH($E$6,"PX LAST",AH505)</f>
        <v>163.24</v>
      </c>
      <c r="U505" s="9" cm="1">
        <f t="array" aca="1" ref="U505" ca="1">_xll.BDH($E$6,"PX LAST",AI505)</f>
        <v>154.87</v>
      </c>
      <c r="V505" s="9" cm="1">
        <f t="array" aca="1" ref="V505" ca="1">_xll.BDH($E$6,"PX LAST",AJ505)</f>
        <v>142.55000000000001</v>
      </c>
      <c r="W505" s="9" cm="1">
        <f t="array" aca="1" ref="W505" ca="1">_xll.BDH($E$6,"PX LAST",AK505)</f>
        <v>175.4</v>
      </c>
      <c r="X505" s="24">
        <f t="shared" ca="1" si="126"/>
        <v>1.1482369886802513E-2</v>
      </c>
      <c r="Y505" s="24">
        <f t="shared" ca="1" si="127"/>
        <v>2.3480046074644045E-2</v>
      </c>
      <c r="Z505" s="24">
        <f t="shared" ca="1" si="128"/>
        <v>4.8741418764302047E-2</v>
      </c>
      <c r="AA505" s="24">
        <f t="shared" ca="1" si="129"/>
        <v>0.100673092115658</v>
      </c>
      <c r="AB505" s="9" cm="1">
        <f t="array" aca="1" ref="AB505" ca="1">_xll.BDH($E$8,"PX LAST",AG505)</f>
        <v>5224.62</v>
      </c>
      <c r="AC505" s="9" cm="1">
        <f t="array" aca="1" ref="AC505" ca="1">_xll.BDH($E$8,"PX LAST",AH505)</f>
        <v>5165.3100000000004</v>
      </c>
      <c r="AD505" s="9" cm="1">
        <f t="array" aca="1" ref="AD505" ca="1">_xll.BDH($E$8,"PX LAST",AI505)</f>
        <v>5104.76</v>
      </c>
      <c r="AE505" s="9" cm="1">
        <f t="array" aca="1" ref="AE505" ca="1">_xll.BDH($E$8,"PX LAST",AJ505)</f>
        <v>4981.8</v>
      </c>
      <c r="AF505" s="9" cm="1">
        <f t="array" aca="1" ref="AF505" ca="1">_xll.BDH($E$8,"PX LAST",AK505)</f>
        <v>4746.75</v>
      </c>
      <c r="AG505" s="20">
        <f t="shared" ca="1" si="135"/>
        <v>45371</v>
      </c>
      <c r="AH505" s="22">
        <f t="shared" ca="1" si="130"/>
        <v>45364</v>
      </c>
      <c r="AI505" s="22">
        <f t="shared" ca="1" si="131"/>
        <v>45357</v>
      </c>
      <c r="AJ505" s="22">
        <f t="shared" ca="1" si="132"/>
        <v>45343</v>
      </c>
      <c r="AK505" s="22">
        <f t="shared" ca="1" si="133"/>
        <v>45281</v>
      </c>
      <c r="AL505" s="22">
        <f t="shared" ca="1" si="134"/>
        <v>45196</v>
      </c>
    </row>
    <row r="506" spans="4:38" x14ac:dyDescent="0.25">
      <c r="D506" s="6">
        <f ca="1"/>
        <v>45370</v>
      </c>
      <c r="E506" s="28">
        <f ca="1"/>
        <v>164.19</v>
      </c>
      <c r="F506" s="29" cm="1">
        <f t="array" aca="1" ref="F506" ca="1">_xll.FDS($E$7,"P_BETA_LOCIDX("&amp;$AG506&amp;","&amp;$AL506&amp;",,"""&amp;$E$9&amp;""")")</f>
        <v>2.4716773000000001</v>
      </c>
      <c r="G506" s="30">
        <f t="shared" ca="1" si="120"/>
        <v>1.1846004037078087E-2</v>
      </c>
      <c r="H506" s="30">
        <f t="shared" ca="1" si="120"/>
        <v>1.3362493710342892E-2</v>
      </c>
      <c r="I506" s="30">
        <f t="shared" ca="1" si="120"/>
        <v>3.1266565356405498E-2</v>
      </c>
      <c r="J506" s="30">
        <f t="shared" ca="1" si="120"/>
        <v>-0.29761776001449253</v>
      </c>
      <c r="K506" s="30">
        <f t="shared" ca="1" si="121"/>
        <v>1.5474041841291822E-3</v>
      </c>
      <c r="L506" s="30">
        <f t="shared" ca="1" si="121"/>
        <v>4.8599863187658333E-2</v>
      </c>
      <c r="M506" s="30">
        <f t="shared" ca="1" si="121"/>
        <v>0.10084403245094474</v>
      </c>
      <c r="N506" s="30">
        <f t="shared" ca="1" si="121"/>
        <v>0.25259943860461637</v>
      </c>
      <c r="O506" s="30">
        <f t="shared" ca="1" si="122"/>
        <v>1.339340822120727E-2</v>
      </c>
      <c r="P506" s="30">
        <f t="shared" ca="1" si="123"/>
        <v>6.1962356898001225E-2</v>
      </c>
      <c r="Q506" s="30">
        <f t="shared" ca="1" si="124"/>
        <v>0.13211059780735024</v>
      </c>
      <c r="R506" s="30">
        <f t="shared" ca="1" si="125"/>
        <v>-4.5018321409876161E-2</v>
      </c>
      <c r="S506" s="9" cm="1">
        <f t="array" aca="1" ref="S506" ca="1">_xll.BDH($E$6,"PX LAST",AG506)</f>
        <v>164.19</v>
      </c>
      <c r="T506" s="9" cm="1">
        <f t="array" aca="1" ref="T506" ca="1">_xll.BDH($E$6,"PX LAST",AH506)</f>
        <v>162.02000000000001</v>
      </c>
      <c r="U506" s="9" cm="1">
        <f t="array" aca="1" ref="U506" ca="1">_xll.BDH($E$6,"PX LAST",AI506)</f>
        <v>154.61000000000001</v>
      </c>
      <c r="V506" s="9" cm="1">
        <f t="array" aca="1" ref="V506" ca="1">_xll.BDH($E$6,"PX LAST",AJ506)</f>
        <v>145.03</v>
      </c>
      <c r="W506" s="9" cm="1">
        <f t="array" aca="1" ref="W506" ca="1">_xll.BDH($E$6,"PX LAST",AK506)</f>
        <v>171.93</v>
      </c>
      <c r="X506" s="24">
        <f t="shared" ca="1" si="126"/>
        <v>6.2605429281936686E-4</v>
      </c>
      <c r="Y506" s="24">
        <f t="shared" ca="1" si="127"/>
        <v>1.9662705640278499E-2</v>
      </c>
      <c r="Z506" s="24">
        <f t="shared" ca="1" si="128"/>
        <v>4.0799837604587275E-2</v>
      </c>
      <c r="AA506" s="24">
        <f t="shared" ca="1" si="129"/>
        <v>0.10219758000148982</v>
      </c>
      <c r="AB506" s="9" cm="1">
        <f t="array" aca="1" ref="AB506" ca="1">_xll.BDH($E$8,"PX LAST",AG506)</f>
        <v>5178.51</v>
      </c>
      <c r="AC506" s="9" cm="1">
        <f t="array" aca="1" ref="AC506" ca="1">_xll.BDH($E$8,"PX LAST",AH506)</f>
        <v>5175.2700000000004</v>
      </c>
      <c r="AD506" s="9" cm="1">
        <f t="array" aca="1" ref="AD506" ca="1">_xll.BDH($E$8,"PX LAST",AI506)</f>
        <v>5078.6499999999996</v>
      </c>
      <c r="AE506" s="9" cm="1">
        <f t="array" aca="1" ref="AE506" ca="1">_xll.BDH($E$8,"PX LAST",AJ506)</f>
        <v>4975.51</v>
      </c>
      <c r="AF506" s="9" cm="1">
        <f t="array" aca="1" ref="AF506" ca="1">_xll.BDH($E$8,"PX LAST",AK506)</f>
        <v>4698.3500000000004</v>
      </c>
      <c r="AG506" s="20">
        <f t="shared" ca="1" si="135"/>
        <v>45370</v>
      </c>
      <c r="AH506" s="22">
        <f t="shared" ca="1" si="130"/>
        <v>45363</v>
      </c>
      <c r="AI506" s="22">
        <f t="shared" ca="1" si="131"/>
        <v>45356</v>
      </c>
      <c r="AJ506" s="22">
        <f t="shared" ca="1" si="132"/>
        <v>45342</v>
      </c>
      <c r="AK506" s="22">
        <f t="shared" ca="1" si="133"/>
        <v>45280</v>
      </c>
      <c r="AL506" s="22">
        <f t="shared" ca="1" si="134"/>
        <v>45195</v>
      </c>
    </row>
    <row r="507" spans="4:38" x14ac:dyDescent="0.25">
      <c r="D507" s="6">
        <f ca="1"/>
        <v>45369</v>
      </c>
      <c r="E507" s="28">
        <f ca="1"/>
        <v>161.97999999999999</v>
      </c>
      <c r="F507" s="29" cm="1">
        <f t="array" aca="1" ref="F507" ca="1">_xll.FDS($E$7,"P_BETA_LOCIDX("&amp;$AG507&amp;","&amp;$AL507&amp;",,"""&amp;$E$9&amp;""")")</f>
        <v>2.4683383000000001</v>
      </c>
      <c r="G507" s="30">
        <f t="shared" ca="1" si="120"/>
        <v>1.3327214287168744E-2</v>
      </c>
      <c r="H507" s="30">
        <f t="shared" ca="1" si="120"/>
        <v>6.5252596271719102E-2</v>
      </c>
      <c r="I507" s="30">
        <f t="shared" ca="1" si="120"/>
        <v>4.0954000716836136E-2</v>
      </c>
      <c r="J507" s="30">
        <f t="shared" ca="1" si="120"/>
        <v>-0.27659509013071687</v>
      </c>
      <c r="K507" s="30">
        <f t="shared" ca="1" si="121"/>
        <v>1.518253236341207E-2</v>
      </c>
      <c r="L507" s="30">
        <f t="shared" ca="1" si="121"/>
        <v>8.8853347627634201E-3</v>
      </c>
      <c r="M507" s="30">
        <f t="shared" ca="1" si="121"/>
        <v>7.0935071221659152E-2</v>
      </c>
      <c r="N507" s="30">
        <f t="shared" ca="1" si="121"/>
        <v>0.19724985880185469</v>
      </c>
      <c r="O507" s="30">
        <f t="shared" ca="1" si="122"/>
        <v>2.8509746650580814E-2</v>
      </c>
      <c r="P507" s="30">
        <f t="shared" ca="1" si="123"/>
        <v>7.4137931034482518E-2</v>
      </c>
      <c r="Q507" s="30">
        <f t="shared" ca="1" si="124"/>
        <v>0.11188907193849529</v>
      </c>
      <c r="R507" s="30">
        <f t="shared" ca="1" si="125"/>
        <v>-7.9345231328862176E-2</v>
      </c>
      <c r="S507" s="9" cm="1">
        <f t="array" aca="1" ref="S507" ca="1">_xll.BDH($E$6,"PX LAST",AG507)</f>
        <v>161.97999999999999</v>
      </c>
      <c r="T507" s="9" cm="1">
        <f t="array" aca="1" ref="T507" ca="1">_xll.BDH($E$6,"PX LAST",AH507)</f>
        <v>157.49</v>
      </c>
      <c r="U507" s="9" cm="1">
        <f t="array" aca="1" ref="U507" ca="1">_xll.BDH($E$6,"PX LAST",AI507)</f>
        <v>150.80000000000001</v>
      </c>
      <c r="V507" s="9" cm="1">
        <f t="array" aca="1" ref="V507" ca="1">_xll.BDH($E$6,"PX LAST",AJ507)</f>
        <v>145.68</v>
      </c>
      <c r="W507" s="9" cm="1">
        <f t="array" aca="1" ref="W507" ca="1">_xll.BDH($E$6,"PX LAST",AK507)</f>
        <v>175.94</v>
      </c>
      <c r="X507" s="24">
        <f t="shared" ca="1" si="126"/>
        <v>6.1509122811131967E-3</v>
      </c>
      <c r="Y507" s="24">
        <f t="shared" ca="1" si="127"/>
        <v>3.5997232481315145E-3</v>
      </c>
      <c r="Z507" s="24">
        <f t="shared" ca="1" si="128"/>
        <v>2.8737985883725559E-2</v>
      </c>
      <c r="AA507" s="24">
        <f t="shared" ca="1" si="129"/>
        <v>7.9912003472884852E-2</v>
      </c>
      <c r="AB507" s="9" cm="1">
        <f t="array" aca="1" ref="AB507" ca="1">_xll.BDH($E$8,"PX LAST",AG507)</f>
        <v>5149.42</v>
      </c>
      <c r="AC507" s="9" cm="1">
        <f t="array" aca="1" ref="AC507" ca="1">_xll.BDH($E$8,"PX LAST",AH507)</f>
        <v>5117.9399999999996</v>
      </c>
      <c r="AD507" s="9" cm="1">
        <f t="array" aca="1" ref="AD507" ca="1">_xll.BDH($E$8,"PX LAST",AI507)</f>
        <v>5130.95</v>
      </c>
      <c r="AE507" s="9" cm="1">
        <f t="array" aca="1" ref="AE507" ca="1">_xll.BDH($E$8,"PX LAST",AJ507)</f>
        <v>5005.57</v>
      </c>
      <c r="AF507" s="9" cm="1">
        <f t="array" aca="1" ref="AF507" ca="1">_xll.BDH($E$8,"PX LAST",AK507)</f>
        <v>4768.37</v>
      </c>
      <c r="AG507" s="20">
        <f t="shared" ca="1" si="135"/>
        <v>45369</v>
      </c>
      <c r="AH507" s="22">
        <f t="shared" ca="1" si="130"/>
        <v>45362</v>
      </c>
      <c r="AI507" s="22">
        <f t="shared" ca="1" si="131"/>
        <v>45355</v>
      </c>
      <c r="AJ507" s="22">
        <f t="shared" ca="1" si="132"/>
        <v>45338</v>
      </c>
      <c r="AK507" s="22">
        <f t="shared" ca="1" si="133"/>
        <v>45279</v>
      </c>
      <c r="AL507" s="22">
        <f t="shared" ca="1" si="134"/>
        <v>45194</v>
      </c>
    </row>
    <row r="508" spans="4:38" x14ac:dyDescent="0.25">
      <c r="D508" s="6">
        <f ca="1"/>
        <v>45366</v>
      </c>
      <c r="E508" s="28">
        <f ca="1"/>
        <v>160.13</v>
      </c>
      <c r="F508" s="29" cm="1">
        <f t="array" aca="1" ref="F508" ca="1">_xll.FDS($E$7,"P_BETA_LOCIDX("&amp;$AG508&amp;","&amp;$AL508&amp;",,"""&amp;$E$9&amp;""")")</f>
        <v>2.4631517000000001</v>
      </c>
      <c r="G508" s="30">
        <f t="shared" ca="1" si="120"/>
        <v>5.3633817450440928E-3</v>
      </c>
      <c r="H508" s="30">
        <f t="shared" ca="1" si="120"/>
        <v>6.2586807871271077E-2</v>
      </c>
      <c r="I508" s="30">
        <f t="shared" ca="1" si="120"/>
        <v>4.3287103502258881E-2</v>
      </c>
      <c r="J508" s="30">
        <f t="shared" ca="1" si="120"/>
        <v>-0.27835908521645714</v>
      </c>
      <c r="K508" s="30">
        <f t="shared" ca="1" si="121"/>
        <v>-3.1728697911073797E-3</v>
      </c>
      <c r="L508" s="30">
        <f t="shared" ca="1" si="121"/>
        <v>-9.5849008547655504E-3</v>
      </c>
      <c r="M508" s="30">
        <f t="shared" ca="1" si="121"/>
        <v>4.2781805884610294E-2</v>
      </c>
      <c r="N508" s="30">
        <f t="shared" ca="1" si="121"/>
        <v>0.19564155070308145</v>
      </c>
      <c r="O508" s="30">
        <f t="shared" ca="1" si="122"/>
        <v>2.1905119539367135E-3</v>
      </c>
      <c r="P508" s="30">
        <f t="shared" ca="1" si="123"/>
        <v>5.3001907016505534E-2</v>
      </c>
      <c r="Q508" s="30">
        <f t="shared" ca="1" si="124"/>
        <v>8.6068909386869175E-2</v>
      </c>
      <c r="R508" s="30">
        <f t="shared" ca="1" si="125"/>
        <v>-8.2717534513375712E-2</v>
      </c>
      <c r="S508" s="9" cm="1">
        <f t="array" aca="1" ref="S508" ca="1">_xll.BDH($E$6,"PX LAST",AG508)</f>
        <v>160.13</v>
      </c>
      <c r="T508" s="9" cm="1">
        <f t="array" aca="1" ref="T508" ca="1">_xll.BDH($E$6,"PX LAST",AH508)</f>
        <v>159.78</v>
      </c>
      <c r="U508" s="9" cm="1">
        <f t="array" aca="1" ref="U508" ca="1">_xll.BDH($E$6,"PX LAST",AI508)</f>
        <v>152.07</v>
      </c>
      <c r="V508" s="9" cm="1">
        <f t="array" aca="1" ref="V508" ca="1">_xll.BDH($E$6,"PX LAST",AJ508)</f>
        <v>147.44</v>
      </c>
      <c r="W508" s="9" cm="1">
        <f t="array" aca="1" ref="W508" ca="1">_xll.BDH($E$6,"PX LAST",AK508)</f>
        <v>174.57</v>
      </c>
      <c r="X508" s="24">
        <f t="shared" ca="1" si="126"/>
        <v>-1.2881341377014577E-3</v>
      </c>
      <c r="Y508" s="24">
        <f t="shared" ca="1" si="127"/>
        <v>-3.8913156890684197E-3</v>
      </c>
      <c r="Z508" s="24">
        <f t="shared" ca="1" si="128"/>
        <v>1.7368725557833198E-2</v>
      </c>
      <c r="AA508" s="24">
        <f t="shared" ca="1" si="129"/>
        <v>7.9427325041767194E-2</v>
      </c>
      <c r="AB508" s="9" cm="1">
        <f t="array" aca="1" ref="AB508" ca="1">_xll.BDH($E$8,"PX LAST",AG508)</f>
        <v>5117.09</v>
      </c>
      <c r="AC508" s="9" cm="1">
        <f t="array" aca="1" ref="AC508" ca="1">_xll.BDH($E$8,"PX LAST",AH508)</f>
        <v>5123.6899999999996</v>
      </c>
      <c r="AD508" s="9" cm="1">
        <f t="array" aca="1" ref="AD508" ca="1">_xll.BDH($E$8,"PX LAST",AI508)</f>
        <v>5137.08</v>
      </c>
      <c r="AE508" s="9" cm="1">
        <f t="array" aca="1" ref="AE508" ca="1">_xll.BDH($E$8,"PX LAST",AJ508)</f>
        <v>5029.7299999999996</v>
      </c>
      <c r="AF508" s="9" cm="1">
        <f t="array" aca="1" ref="AF508" ca="1">_xll.BDH($E$8,"PX LAST",AK508)</f>
        <v>4740.5600000000004</v>
      </c>
      <c r="AG508" s="20">
        <f t="shared" ca="1" si="135"/>
        <v>45366</v>
      </c>
      <c r="AH508" s="22">
        <f t="shared" ca="1" si="130"/>
        <v>45359</v>
      </c>
      <c r="AI508" s="22">
        <f t="shared" ca="1" si="131"/>
        <v>45352</v>
      </c>
      <c r="AJ508" s="22">
        <f t="shared" ca="1" si="132"/>
        <v>45337</v>
      </c>
      <c r="AK508" s="22">
        <f t="shared" ca="1" si="133"/>
        <v>45278</v>
      </c>
      <c r="AL508" s="22">
        <f t="shared" ca="1" si="134"/>
        <v>45191</v>
      </c>
    </row>
    <row r="509" spans="4:38" x14ac:dyDescent="0.25">
      <c r="D509" s="6">
        <f ca="1"/>
        <v>45365</v>
      </c>
      <c r="E509" s="28">
        <f ca="1"/>
        <v>159.53</v>
      </c>
      <c r="F509" s="29" cm="1">
        <f t="array" aca="1" ref="F509" ca="1">_xll.FDS($E$7,"P_BETA_LOCIDX("&amp;$AG509&amp;","&amp;$AL509&amp;",,"""&amp;$E$9&amp;""")")</f>
        <v>2.4470114999999999</v>
      </c>
      <c r="G509" s="30">
        <f t="shared" ca="1" si="120"/>
        <v>-1.477054067610355E-3</v>
      </c>
      <c r="H509" s="30">
        <f t="shared" ca="1" si="120"/>
        <v>4.1132353091847394E-2</v>
      </c>
      <c r="I509" s="30">
        <f t="shared" ca="1" si="120"/>
        <v>4.1871738541346015E-2</v>
      </c>
      <c r="J509" s="30">
        <f t="shared" ca="1" si="120"/>
        <v>-0.3115128415691456</v>
      </c>
      <c r="K509" s="30">
        <f t="shared" ca="1" si="121"/>
        <v>-3.2643521336498237E-3</v>
      </c>
      <c r="L509" s="30">
        <f t="shared" ca="1" si="121"/>
        <v>2.6029329963875282E-2</v>
      </c>
      <c r="M509" s="30">
        <f t="shared" ca="1" si="121"/>
        <v>7.3332735418807637E-2</v>
      </c>
      <c r="N509" s="30">
        <f t="shared" ca="1" si="121"/>
        <v>0.22363405369035774</v>
      </c>
      <c r="O509" s="30">
        <f t="shared" ca="1" si="122"/>
        <v>-4.7414062012601788E-3</v>
      </c>
      <c r="P509" s="30">
        <f t="shared" ca="1" si="123"/>
        <v>6.7161683055722676E-2</v>
      </c>
      <c r="Q509" s="30">
        <f t="shared" ca="1" si="124"/>
        <v>0.11520447396015365</v>
      </c>
      <c r="R509" s="30">
        <f t="shared" ca="1" si="125"/>
        <v>-8.787878787878789E-2</v>
      </c>
      <c r="S509" s="9" cm="1">
        <f t="array" aca="1" ref="S509" ca="1">_xll.BDH($E$6,"PX LAST",AG509)</f>
        <v>159.53</v>
      </c>
      <c r="T509" s="9" cm="1">
        <f t="array" aca="1" ref="T509" ca="1">_xll.BDH($E$6,"PX LAST",AH509)</f>
        <v>160.29</v>
      </c>
      <c r="U509" s="9" cm="1">
        <f t="array" aca="1" ref="U509" ca="1">_xll.BDH($E$6,"PX LAST",AI509)</f>
        <v>149.49</v>
      </c>
      <c r="V509" s="9" cm="1">
        <f t="array" aca="1" ref="V509" ca="1">_xll.BDH($E$6,"PX LAST",AJ509)</f>
        <v>143.05000000000001</v>
      </c>
      <c r="W509" s="9" cm="1">
        <f t="array" aca="1" ref="W509" ca="1">_xll.BDH($E$6,"PX LAST",AK509)</f>
        <v>174.9</v>
      </c>
      <c r="X509" s="24">
        <f t="shared" ca="1" si="126"/>
        <v>-1.3340158530721347E-3</v>
      </c>
      <c r="Y509" s="24">
        <f t="shared" ca="1" si="127"/>
        <v>1.0637191514578204E-2</v>
      </c>
      <c r="Z509" s="24">
        <f t="shared" ca="1" si="128"/>
        <v>2.9968283932792161E-2</v>
      </c>
      <c r="AA509" s="24">
        <f t="shared" ca="1" si="129"/>
        <v>9.1390683570697462E-2</v>
      </c>
      <c r="AB509" s="9" cm="1">
        <f t="array" aca="1" ref="AB509" ca="1">_xll.BDH($E$8,"PX LAST",AG509)</f>
        <v>5150.4799999999996</v>
      </c>
      <c r="AC509" s="9" cm="1">
        <f t="array" aca="1" ref="AC509" ca="1">_xll.BDH($E$8,"PX LAST",AH509)</f>
        <v>5157.3599999999997</v>
      </c>
      <c r="AD509" s="9" cm="1">
        <f t="array" aca="1" ref="AD509" ca="1">_xll.BDH($E$8,"PX LAST",AI509)</f>
        <v>5096.2700000000004</v>
      </c>
      <c r="AE509" s="9" cm="1">
        <f t="array" aca="1" ref="AE509" ca="1">_xll.BDH($E$8,"PX LAST",AJ509)</f>
        <v>5000.62</v>
      </c>
      <c r="AF509" s="9" cm="1">
        <f t="array" aca="1" ref="AF509" ca="1">_xll.BDH($E$8,"PX LAST",AK509)</f>
        <v>4719.1899999999996</v>
      </c>
      <c r="AG509" s="20">
        <f t="shared" ca="1" si="135"/>
        <v>45365</v>
      </c>
      <c r="AH509" s="22">
        <f t="shared" ca="1" si="130"/>
        <v>45358</v>
      </c>
      <c r="AI509" s="22">
        <f t="shared" ca="1" si="131"/>
        <v>45351</v>
      </c>
      <c r="AJ509" s="22">
        <f t="shared" ca="1" si="132"/>
        <v>45336</v>
      </c>
      <c r="AK509" s="22">
        <f t="shared" ca="1" si="133"/>
        <v>45275</v>
      </c>
      <c r="AL509" s="22">
        <f t="shared" ca="1" si="134"/>
        <v>45190</v>
      </c>
    </row>
    <row r="510" spans="4:38" x14ac:dyDescent="0.25">
      <c r="D510" s="6">
        <f ca="1"/>
        <v>45364</v>
      </c>
      <c r="E510" s="28">
        <f ca="1"/>
        <v>163.24</v>
      </c>
      <c r="F510" s="29" cm="1">
        <f t="array" aca="1" ref="F510" ca="1">_xll.FDS($E$7,"P_BETA_LOCIDX("&amp;$AG510&amp;","&amp;$AL510&amp;",,"""&amp;$E$9&amp;""")")</f>
        <v>2.4190659999999999</v>
      </c>
      <c r="G510" s="30">
        <f t="shared" ca="1" si="120"/>
        <v>2.5351629458853487E-2</v>
      </c>
      <c r="H510" s="30">
        <f t="shared" ca="1" si="120"/>
        <v>7.2183703581096104E-2</v>
      </c>
      <c r="I510" s="30">
        <f t="shared" ca="1" si="120"/>
        <v>0.12755722701003014</v>
      </c>
      <c r="J510" s="30">
        <f t="shared" ca="1" si="120"/>
        <v>-0.30980141857958765</v>
      </c>
      <c r="K510" s="30">
        <f t="shared" ca="1" si="121"/>
        <v>2.8693698881044571E-2</v>
      </c>
      <c r="L510" s="30">
        <f t="shared" ca="1" si="121"/>
        <v>4.5592248212933006E-2</v>
      </c>
      <c r="M510" s="30">
        <f t="shared" ca="1" si="121"/>
        <v>0.10360651082841932</v>
      </c>
      <c r="N510" s="30">
        <f t="shared" ca="1" si="121"/>
        <v>0.22848001613713176</v>
      </c>
      <c r="O510" s="30">
        <f t="shared" ca="1" si="122"/>
        <v>5.4045328339898058E-2</v>
      </c>
      <c r="P510" s="30">
        <f t="shared" ca="1" si="123"/>
        <v>0.11777595179402911</v>
      </c>
      <c r="Q510" s="30">
        <f t="shared" ca="1" si="124"/>
        <v>0.23116373783844946</v>
      </c>
      <c r="R510" s="30">
        <f t="shared" ca="1" si="125"/>
        <v>-8.1321402442455892E-2</v>
      </c>
      <c r="S510" s="9" cm="1">
        <f t="array" aca="1" ref="S510" ca="1">_xll.BDH($E$6,"PX LAST",AG510)</f>
        <v>163.24</v>
      </c>
      <c r="T510" s="9" cm="1">
        <f t="array" aca="1" ref="T510" ca="1">_xll.BDH($E$6,"PX LAST",AH510)</f>
        <v>154.87</v>
      </c>
      <c r="U510" s="9" cm="1">
        <f t="array" aca="1" ref="U510" ca="1">_xll.BDH($E$6,"PX LAST",AI510)</f>
        <v>146.04</v>
      </c>
      <c r="V510" s="9" cm="1">
        <f t="array" aca="1" ref="V510" ca="1">_xll.BDH($E$6,"PX LAST",AJ510)</f>
        <v>132.59</v>
      </c>
      <c r="W510" s="9" cm="1">
        <f t="array" aca="1" ref="W510" ca="1">_xll.BDH($E$6,"PX LAST",AK510)</f>
        <v>177.69</v>
      </c>
      <c r="X510" s="24">
        <f t="shared" ca="1" si="126"/>
        <v>1.1861478306521844E-2</v>
      </c>
      <c r="Y510" s="24">
        <f t="shared" ca="1" si="127"/>
        <v>1.8847046014012436E-2</v>
      </c>
      <c r="Z510" s="24">
        <f t="shared" ca="1" si="128"/>
        <v>4.2829137703733311E-2</v>
      </c>
      <c r="AA510" s="24">
        <f t="shared" ca="1" si="129"/>
        <v>9.4449682702800075E-2</v>
      </c>
      <c r="AB510" s="9" cm="1">
        <f t="array" aca="1" ref="AB510" ca="1">_xll.BDH($E$8,"PX LAST",AG510)</f>
        <v>5165.3100000000004</v>
      </c>
      <c r="AC510" s="9" cm="1">
        <f t="array" aca="1" ref="AC510" ca="1">_xll.BDH($E$8,"PX LAST",AH510)</f>
        <v>5104.76</v>
      </c>
      <c r="AD510" s="9" cm="1">
        <f t="array" aca="1" ref="AD510" ca="1">_xll.BDH($E$8,"PX LAST",AI510)</f>
        <v>5069.76</v>
      </c>
      <c r="AE510" s="9" cm="1">
        <f t="array" aca="1" ref="AE510" ca="1">_xll.BDH($E$8,"PX LAST",AJ510)</f>
        <v>4953.17</v>
      </c>
      <c r="AF510" s="9" cm="1">
        <f t="array" aca="1" ref="AF510" ca="1">_xll.BDH($E$8,"PX LAST",AK510)</f>
        <v>4719.55</v>
      </c>
      <c r="AG510" s="20">
        <f t="shared" ca="1" si="135"/>
        <v>45364</v>
      </c>
      <c r="AH510" s="22">
        <f t="shared" ca="1" si="130"/>
        <v>45357</v>
      </c>
      <c r="AI510" s="22">
        <f t="shared" ca="1" si="131"/>
        <v>45350</v>
      </c>
      <c r="AJ510" s="22">
        <f t="shared" ca="1" si="132"/>
        <v>45335</v>
      </c>
      <c r="AK510" s="22">
        <f t="shared" ca="1" si="133"/>
        <v>45274</v>
      </c>
      <c r="AL510" s="22">
        <f t="shared" ca="1" si="134"/>
        <v>45189</v>
      </c>
    </row>
    <row r="511" spans="4:38" x14ac:dyDescent="0.25">
      <c r="D511" s="6">
        <f ca="1"/>
        <v>45363</v>
      </c>
      <c r="E511" s="28">
        <f ca="1"/>
        <v>162.02000000000001</v>
      </c>
      <c r="F511" s="29" cm="1">
        <f t="array" aca="1" ref="F511" ca="1">_xll.FDS($E$7,"P_BETA_LOCIDX("&amp;$AG511&amp;","&amp;$AL511&amp;",,"""&amp;$E$9&amp;""")")</f>
        <v>2.4266681999999999</v>
      </c>
      <c r="G511" s="30">
        <f t="shared" ca="1" si="120"/>
        <v>1.7603086576772828E-3</v>
      </c>
      <c r="H511" s="30">
        <f t="shared" ca="1" si="120"/>
        <v>7.6015205583344153E-2</v>
      </c>
      <c r="I511" s="30">
        <f t="shared" ca="1" si="120"/>
        <v>-0.23260970302030559</v>
      </c>
      <c r="J511" s="30">
        <f t="shared" ca="1" si="120"/>
        <v>-0.28751869036074496</v>
      </c>
      <c r="K511" s="30">
        <f t="shared" ca="1" si="121"/>
        <v>4.6166733577624471E-2</v>
      </c>
      <c r="L511" s="30">
        <f t="shared" ca="1" si="121"/>
        <v>4.6395601482814547E-2</v>
      </c>
      <c r="M511" s="30">
        <f t="shared" ca="1" si="121"/>
        <v>7.4140892964729935E-2</v>
      </c>
      <c r="N511" s="30">
        <f t="shared" ca="1" si="121"/>
        <v>0.24136303276036816</v>
      </c>
      <c r="O511" s="30">
        <f t="shared" ca="1" si="122"/>
        <v>4.7927042235301753E-2</v>
      </c>
      <c r="P511" s="30">
        <f t="shared" ca="1" si="123"/>
        <v>0.1224108070661587</v>
      </c>
      <c r="Q511" s="30">
        <f t="shared" ca="1" si="124"/>
        <v>-0.15846881005557567</v>
      </c>
      <c r="R511" s="30">
        <f t="shared" ca="1" si="125"/>
        <v>-4.6155657600376765E-2</v>
      </c>
      <c r="S511" s="9" cm="1">
        <f t="array" aca="1" ref="S511" ca="1">_xll.BDH($E$6,"PX LAST",AG511)</f>
        <v>162.02000000000001</v>
      </c>
      <c r="T511" s="9" cm="1">
        <f t="array" aca="1" ref="T511" ca="1">_xll.BDH($E$6,"PX LAST",AH511)</f>
        <v>154.61000000000001</v>
      </c>
      <c r="U511" s="9" cm="1">
        <f t="array" aca="1" ref="U511" ca="1">_xll.BDH($E$6,"PX LAST",AI511)</f>
        <v>144.35</v>
      </c>
      <c r="V511" s="9" cm="1">
        <f t="array" aca="1" ref="V511" ca="1">_xll.BDH($E$6,"PX LAST",AJ511)</f>
        <v>192.53</v>
      </c>
      <c r="W511" s="9" cm="1">
        <f t="array" aca="1" ref="W511" ca="1">_xll.BDH($E$6,"PX LAST",AK511)</f>
        <v>169.86</v>
      </c>
      <c r="X511" s="24">
        <f t="shared" ca="1" si="126"/>
        <v>1.9024740826794728E-2</v>
      </c>
      <c r="Y511" s="24">
        <f t="shared" ca="1" si="127"/>
        <v>1.9119054464394658E-2</v>
      </c>
      <c r="Z511" s="24">
        <f t="shared" ca="1" si="128"/>
        <v>3.0552546476988462E-2</v>
      </c>
      <c r="AA511" s="24">
        <f t="shared" ca="1" si="129"/>
        <v>9.946272537809997E-2</v>
      </c>
      <c r="AB511" s="9" cm="1">
        <f t="array" aca="1" ref="AB511" ca="1">_xll.BDH($E$8,"PX LAST",AG511)</f>
        <v>5175.2700000000004</v>
      </c>
      <c r="AC511" s="9" cm="1">
        <f t="array" aca="1" ref="AC511" ca="1">_xll.BDH($E$8,"PX LAST",AH511)</f>
        <v>5078.6499999999996</v>
      </c>
      <c r="AD511" s="9" cm="1">
        <f t="array" aca="1" ref="AD511" ca="1">_xll.BDH($E$8,"PX LAST",AI511)</f>
        <v>5078.18</v>
      </c>
      <c r="AE511" s="9" cm="1">
        <f t="array" aca="1" ref="AE511" ca="1">_xll.BDH($E$8,"PX LAST",AJ511)</f>
        <v>5021.84</v>
      </c>
      <c r="AF511" s="9" cm="1">
        <f t="array" aca="1" ref="AF511" ca="1">_xll.BDH($E$8,"PX LAST",AK511)</f>
        <v>4707.09</v>
      </c>
      <c r="AG511" s="20">
        <f t="shared" ca="1" si="135"/>
        <v>45363</v>
      </c>
      <c r="AH511" s="22">
        <f t="shared" ca="1" si="130"/>
        <v>45356</v>
      </c>
      <c r="AI511" s="22">
        <f t="shared" ca="1" si="131"/>
        <v>45349</v>
      </c>
      <c r="AJ511" s="22">
        <f t="shared" ca="1" si="132"/>
        <v>45334</v>
      </c>
      <c r="AK511" s="22">
        <f t="shared" ca="1" si="133"/>
        <v>45273</v>
      </c>
      <c r="AL511" s="22">
        <f t="shared" ca="1" si="134"/>
        <v>45188</v>
      </c>
    </row>
    <row r="512" spans="4:38" x14ac:dyDescent="0.25">
      <c r="D512" s="6">
        <f ca="1"/>
        <v>45362</v>
      </c>
      <c r="E512" s="28">
        <f ca="1"/>
        <v>157.49</v>
      </c>
      <c r="F512" s="29" cm="1">
        <f t="array" aca="1" ref="F512" ca="1">_xll.FDS($E$7,"P_BETA_LOCIDX("&amp;$AG512&amp;","&amp;$AL512&amp;",,"""&amp;$E$9&amp;""")")</f>
        <v>2.4212498999999998</v>
      </c>
      <c r="G512" s="30">
        <f t="shared" ca="1" si="120"/>
        <v>5.0502699096871932E-2</v>
      </c>
      <c r="H512" s="30">
        <f t="shared" ca="1" si="120"/>
        <v>6.6021441344967735E-2</v>
      </c>
      <c r="I512" s="30">
        <f t="shared" ca="1" si="120"/>
        <v>-0.23147630062292612</v>
      </c>
      <c r="J512" s="30">
        <f t="shared" ca="1" si="120"/>
        <v>-0.30461249475458263</v>
      </c>
      <c r="K512" s="30">
        <f t="shared" ca="1" si="121"/>
        <v>-6.1393038714078682E-3</v>
      </c>
      <c r="L512" s="30">
        <f t="shared" ca="1" si="121"/>
        <v>2.3121020619071127E-2</v>
      </c>
      <c r="M512" s="30">
        <f t="shared" ca="1" si="121"/>
        <v>4.3992422998203377E-2</v>
      </c>
      <c r="N512" s="30">
        <f t="shared" ca="1" si="121"/>
        <v>0.24727126054137871</v>
      </c>
      <c r="O512" s="30">
        <f t="shared" ca="1" si="122"/>
        <v>4.4363395225464064E-2</v>
      </c>
      <c r="P512" s="30">
        <f t="shared" ca="1" si="123"/>
        <v>8.9142461964038855E-2</v>
      </c>
      <c r="Q512" s="30">
        <f t="shared" ca="1" si="124"/>
        <v>-0.18748387762472274</v>
      </c>
      <c r="R512" s="30">
        <f t="shared" ca="1" si="125"/>
        <v>-5.7341234213203918E-2</v>
      </c>
      <c r="S512" s="9" cm="1">
        <f t="array" aca="1" ref="S512" ca="1">_xll.BDH($E$6,"PX LAST",AG512)</f>
        <v>157.49</v>
      </c>
      <c r="T512" s="9" cm="1">
        <f t="array" aca="1" ref="T512" ca="1">_xll.BDH($E$6,"PX LAST",AH512)</f>
        <v>150.80000000000001</v>
      </c>
      <c r="U512" s="9" cm="1">
        <f t="array" aca="1" ref="U512" ca="1">_xll.BDH($E$6,"PX LAST",AI512)</f>
        <v>144.6</v>
      </c>
      <c r="V512" s="9" cm="1">
        <f t="array" aca="1" ref="V512" ca="1">_xll.BDH($E$6,"PX LAST",AJ512)</f>
        <v>193.83</v>
      </c>
      <c r="W512" s="9" cm="1">
        <f t="array" aca="1" ref="W512" ca="1">_xll.BDH($E$6,"PX LAST",AK512)</f>
        <v>167.07</v>
      </c>
      <c r="X512" s="24">
        <f t="shared" ca="1" si="126"/>
        <v>-2.5355928239410019E-3</v>
      </c>
      <c r="Y512" s="24">
        <f t="shared" ca="1" si="127"/>
        <v>9.5492087037654105E-3</v>
      </c>
      <c r="Z512" s="24">
        <f t="shared" ca="1" si="128"/>
        <v>1.8169302969595735E-2</v>
      </c>
      <c r="AA512" s="24">
        <f t="shared" ca="1" si="129"/>
        <v>0.10212546030105307</v>
      </c>
      <c r="AB512" s="9" cm="1">
        <f t="array" aca="1" ref="AB512" ca="1">_xll.BDH($E$8,"PX LAST",AG512)</f>
        <v>5117.9399999999996</v>
      </c>
      <c r="AC512" s="9" cm="1">
        <f t="array" aca="1" ref="AC512" ca="1">_xll.BDH($E$8,"PX LAST",AH512)</f>
        <v>5130.95</v>
      </c>
      <c r="AD512" s="9" cm="1">
        <f t="array" aca="1" ref="AD512" ca="1">_xll.BDH($E$8,"PX LAST",AI512)</f>
        <v>5069.53</v>
      </c>
      <c r="AE512" s="9" cm="1">
        <f t="array" aca="1" ref="AE512" ca="1">_xll.BDH($E$8,"PX LAST",AJ512)</f>
        <v>5026.6099999999997</v>
      </c>
      <c r="AF512" s="9" cm="1">
        <f t="array" aca="1" ref="AF512" ca="1">_xll.BDH($E$8,"PX LAST",AK512)</f>
        <v>4643.7</v>
      </c>
      <c r="AG512" s="20">
        <f t="shared" ca="1" si="135"/>
        <v>45362</v>
      </c>
      <c r="AH512" s="22">
        <f t="shared" ca="1" si="130"/>
        <v>45355</v>
      </c>
      <c r="AI512" s="22">
        <f t="shared" ca="1" si="131"/>
        <v>45348</v>
      </c>
      <c r="AJ512" s="22">
        <f t="shared" ca="1" si="132"/>
        <v>45331</v>
      </c>
      <c r="AK512" s="22">
        <f t="shared" ca="1" si="133"/>
        <v>45272</v>
      </c>
      <c r="AL512" s="22">
        <f t="shared" ca="1" si="134"/>
        <v>45187</v>
      </c>
    </row>
    <row r="513" spans="4:38" x14ac:dyDescent="0.25">
      <c r="D513" s="6">
        <f ca="1"/>
        <v>45359</v>
      </c>
      <c r="E513" s="28">
        <f ca="1"/>
        <v>159.78</v>
      </c>
      <c r="F513" s="29" cm="1">
        <f t="array" aca="1" ref="F513" ca="1">_xll.FDS($E$7,"P_BETA_LOCIDX("&amp;$AG513&amp;","&amp;$AL513&amp;",,"""&amp;$E$9&amp;""")")</f>
        <v>2.3845496000000002</v>
      </c>
      <c r="G513" s="30">
        <f t="shared" ca="1" si="120"/>
        <v>5.6915757195939727E-2</v>
      </c>
      <c r="H513" s="30">
        <f t="shared" ca="1" si="120"/>
        <v>8.1946269957757056E-2</v>
      </c>
      <c r="I513" s="30">
        <f t="shared" ca="1" si="120"/>
        <v>-0.22289654800344086</v>
      </c>
      <c r="J513" s="30">
        <f t="shared" ca="1" si="120"/>
        <v>-0.29830268960200429</v>
      </c>
      <c r="K513" s="30">
        <f t="shared" ca="1" si="121"/>
        <v>-6.2154218240714817E-3</v>
      </c>
      <c r="L513" s="30">
        <f t="shared" ca="1" si="121"/>
        <v>1.6349028365036548E-2</v>
      </c>
      <c r="M513" s="30">
        <f t="shared" ca="1" si="121"/>
        <v>6.0010814257959642E-2</v>
      </c>
      <c r="N513" s="30">
        <f t="shared" ca="1" si="121"/>
        <v>0.25857674453319018</v>
      </c>
      <c r="O513" s="30">
        <f t="shared" ca="1" si="122"/>
        <v>5.0700335371868244E-2</v>
      </c>
      <c r="P513" s="30">
        <f t="shared" ca="1" si="123"/>
        <v>9.8295298322793601E-2</v>
      </c>
      <c r="Q513" s="30">
        <f t="shared" ca="1" si="124"/>
        <v>-0.16288573374548121</v>
      </c>
      <c r="R513" s="30">
        <f t="shared" ca="1" si="125"/>
        <v>-3.9725945068814106E-2</v>
      </c>
      <c r="S513" s="9" cm="1">
        <f t="array" aca="1" ref="S513" ca="1">_xll.BDH($E$6,"PX LAST",AG513)</f>
        <v>159.78</v>
      </c>
      <c r="T513" s="9" cm="1">
        <f t="array" aca="1" ref="T513" ca="1">_xll.BDH($E$6,"PX LAST",AH513)</f>
        <v>152.07</v>
      </c>
      <c r="U513" s="9" cm="1">
        <f t="array" aca="1" ref="U513" ca="1">_xll.BDH($E$6,"PX LAST",AI513)</f>
        <v>145.47999999999999</v>
      </c>
      <c r="V513" s="9" cm="1">
        <f t="array" aca="1" ref="V513" ca="1">_xll.BDH($E$6,"PX LAST",AJ513)</f>
        <v>190.87</v>
      </c>
      <c r="W513" s="9" cm="1">
        <f t="array" aca="1" ref="W513" ca="1">_xll.BDH($E$6,"PX LAST",AK513)</f>
        <v>166.39</v>
      </c>
      <c r="X513" s="24">
        <f t="shared" ca="1" si="126"/>
        <v>-2.6065391233931479E-3</v>
      </c>
      <c r="Y513" s="24">
        <f t="shared" ca="1" si="127"/>
        <v>6.856233296651304E-3</v>
      </c>
      <c r="Z513" s="24">
        <f t="shared" ca="1" si="128"/>
        <v>2.5166519605194893E-2</v>
      </c>
      <c r="AA513" s="24">
        <f t="shared" ca="1" si="129"/>
        <v>0.108438400498438</v>
      </c>
      <c r="AB513" s="9" cm="1">
        <f t="array" aca="1" ref="AB513" ca="1">_xll.BDH($E$8,"PX LAST",AG513)</f>
        <v>5123.6899999999996</v>
      </c>
      <c r="AC513" s="9" cm="1">
        <f t="array" aca="1" ref="AC513" ca="1">_xll.BDH($E$8,"PX LAST",AH513)</f>
        <v>5137.08</v>
      </c>
      <c r="AD513" s="9" cm="1">
        <f t="array" aca="1" ref="AD513" ca="1">_xll.BDH($E$8,"PX LAST",AI513)</f>
        <v>5088.8</v>
      </c>
      <c r="AE513" s="9" cm="1">
        <f t="array" aca="1" ref="AE513" ca="1">_xll.BDH($E$8,"PX LAST",AJ513)</f>
        <v>4997.91</v>
      </c>
      <c r="AF513" s="9" cm="1">
        <f t="array" aca="1" ref="AF513" ca="1">_xll.BDH($E$8,"PX LAST",AK513)</f>
        <v>4622.4399999999996</v>
      </c>
      <c r="AG513" s="20">
        <f t="shared" ca="1" si="135"/>
        <v>45359</v>
      </c>
      <c r="AH513" s="22">
        <f t="shared" ca="1" si="130"/>
        <v>45352</v>
      </c>
      <c r="AI513" s="22">
        <f t="shared" ca="1" si="131"/>
        <v>45345</v>
      </c>
      <c r="AJ513" s="22">
        <f t="shared" ca="1" si="132"/>
        <v>45330</v>
      </c>
      <c r="AK513" s="22">
        <f t="shared" ca="1" si="133"/>
        <v>45271</v>
      </c>
      <c r="AL513" s="22">
        <f t="shared" ca="1" si="134"/>
        <v>45184</v>
      </c>
    </row>
    <row r="514" spans="4:38" x14ac:dyDescent="0.25">
      <c r="D514" s="6">
        <f ca="1"/>
        <v>45358</v>
      </c>
      <c r="E514" s="28">
        <f ca="1"/>
        <v>160.29</v>
      </c>
      <c r="F514" s="29" cm="1">
        <f t="array" aca="1" ref="F514" ca="1">_xll.FDS($E$7,"P_BETA_LOCIDX("&amp;$AG514&amp;","&amp;$AL514&amp;",,"""&amp;$E$9&amp;""")")</f>
        <v>2.3889646999999998</v>
      </c>
      <c r="G514" s="30">
        <f t="shared" ca="1" si="120"/>
        <v>4.3608641137836635E-2</v>
      </c>
      <c r="H514" s="30">
        <f t="shared" ca="1" si="120"/>
        <v>7.6091557899298778E-2</v>
      </c>
      <c r="I514" s="30">
        <f t="shared" ca="1" si="120"/>
        <v>-0.22596741902784095</v>
      </c>
      <c r="J514" s="30">
        <f t="shared" ca="1" si="120"/>
        <v>-0.29107986412923237</v>
      </c>
      <c r="K514" s="30">
        <f t="shared" ca="1" si="121"/>
        <v>2.8636994021705772E-2</v>
      </c>
      <c r="L514" s="30">
        <f t="shared" ca="1" si="121"/>
        <v>3.3028287104852734E-2</v>
      </c>
      <c r="M514" s="30">
        <f t="shared" ca="1" si="121"/>
        <v>7.7622485177354747E-2</v>
      </c>
      <c r="N514" s="30">
        <f t="shared" ca="1" si="121"/>
        <v>0.28691733927833762</v>
      </c>
      <c r="O514" s="30">
        <f t="shared" ca="1" si="122"/>
        <v>7.224563515954241E-2</v>
      </c>
      <c r="P514" s="30">
        <f t="shared" ca="1" si="123"/>
        <v>0.10911984500415151</v>
      </c>
      <c r="Q514" s="30">
        <f t="shared" ca="1" si="124"/>
        <v>-0.14834493385048619</v>
      </c>
      <c r="R514" s="30">
        <f t="shared" ca="1" si="125"/>
        <v>-4.1625248508947443E-3</v>
      </c>
      <c r="S514" s="9" cm="1">
        <f t="array" aca="1" ref="S514" ca="1">_xll.BDH($E$6,"PX LAST",AG514)</f>
        <v>160.29</v>
      </c>
      <c r="T514" s="9" cm="1">
        <f t="array" aca="1" ref="T514" ca="1">_xll.BDH($E$6,"PX LAST",AH514)</f>
        <v>149.49</v>
      </c>
      <c r="U514" s="9" cm="1">
        <f t="array" aca="1" ref="U514" ca="1">_xll.BDH($E$6,"PX LAST",AI514)</f>
        <v>144.52000000000001</v>
      </c>
      <c r="V514" s="9" cm="1">
        <f t="array" aca="1" ref="V514" ca="1">_xll.BDH($E$6,"PX LAST",AJ514)</f>
        <v>188.21</v>
      </c>
      <c r="W514" s="9" cm="1">
        <f t="array" aca="1" ref="W514" ca="1">_xll.BDH($E$6,"PX LAST",AK514)</f>
        <v>160.96</v>
      </c>
      <c r="X514" s="24">
        <f t="shared" ca="1" si="126"/>
        <v>1.1987198480457151E-2</v>
      </c>
      <c r="Y514" s="24">
        <f t="shared" ca="1" si="127"/>
        <v>1.3825355855970889E-2</v>
      </c>
      <c r="Z514" s="24">
        <f t="shared" ca="1" si="128"/>
        <v>3.2492102196970407E-2</v>
      </c>
      <c r="AA514" s="24">
        <f t="shared" ca="1" si="129"/>
        <v>0.12010112132604456</v>
      </c>
      <c r="AB514" s="9" cm="1">
        <f t="array" aca="1" ref="AB514" ca="1">_xll.BDH($E$8,"PX LAST",AG514)</f>
        <v>5157.3599999999997</v>
      </c>
      <c r="AC514" s="9" cm="1">
        <f t="array" aca="1" ref="AC514" ca="1">_xll.BDH($E$8,"PX LAST",AH514)</f>
        <v>5096.2700000000004</v>
      </c>
      <c r="AD514" s="9" cm="1">
        <f t="array" aca="1" ref="AD514" ca="1">_xll.BDH($E$8,"PX LAST",AI514)</f>
        <v>5087.03</v>
      </c>
      <c r="AE514" s="9" cm="1">
        <f t="array" aca="1" ref="AE514" ca="1">_xll.BDH($E$8,"PX LAST",AJ514)</f>
        <v>4995.0600000000004</v>
      </c>
      <c r="AF514" s="9" cm="1">
        <f t="array" aca="1" ref="AF514" ca="1">_xll.BDH($E$8,"PX LAST",AK514)</f>
        <v>4604.37</v>
      </c>
      <c r="AG514" s="20">
        <f t="shared" ca="1" si="135"/>
        <v>45358</v>
      </c>
      <c r="AH514" s="22">
        <f t="shared" ca="1" si="130"/>
        <v>45351</v>
      </c>
      <c r="AI514" s="22">
        <f t="shared" ca="1" si="131"/>
        <v>45344</v>
      </c>
      <c r="AJ514" s="22">
        <f t="shared" ca="1" si="132"/>
        <v>45329</v>
      </c>
      <c r="AK514" s="22">
        <f t="shared" ca="1" si="133"/>
        <v>45268</v>
      </c>
      <c r="AL514" s="22">
        <f t="shared" ca="1" si="134"/>
        <v>45183</v>
      </c>
    </row>
    <row r="515" spans="4:38" x14ac:dyDescent="0.25">
      <c r="D515" s="6">
        <f ca="1"/>
        <v>45357</v>
      </c>
      <c r="E515" s="28">
        <f ca="1"/>
        <v>154.87</v>
      </c>
      <c r="F515" s="29" cm="1">
        <f t="array" aca="1" ref="F515" ca="1">_xll.FDS($E$7,"P_BETA_LOCIDX("&amp;$AG515&amp;","&amp;$AL515&amp;",,"""&amp;$E$9&amp;""")")</f>
        <v>2.3726159999999998</v>
      </c>
      <c r="G515" s="30">
        <f t="shared" ca="1" si="120"/>
        <v>4.4083105588884723E-2</v>
      </c>
      <c r="H515" s="30">
        <f t="shared" ca="1" si="120"/>
        <v>2.7865282491167924E-2</v>
      </c>
      <c r="I515" s="30">
        <f t="shared" ca="1" si="120"/>
        <v>-0.23314080904203593</v>
      </c>
      <c r="J515" s="30">
        <f t="shared" ca="1" si="120"/>
        <v>-0.28656761692564281</v>
      </c>
      <c r="K515" s="30">
        <f t="shared" ca="1" si="121"/>
        <v>1.6379781291422042E-2</v>
      </c>
      <c r="L515" s="30">
        <f t="shared" ca="1" si="121"/>
        <v>5.8560533012164247E-2</v>
      </c>
      <c r="M515" s="30">
        <f t="shared" ca="1" si="121"/>
        <v>7.208988813196017E-2</v>
      </c>
      <c r="N515" s="30">
        <f t="shared" ca="1" si="121"/>
        <v>0.26862215085081731</v>
      </c>
      <c r="O515" s="30">
        <f t="shared" ca="1" si="122"/>
        <v>6.0462886880306765E-2</v>
      </c>
      <c r="P515" s="30">
        <f t="shared" ca="1" si="123"/>
        <v>8.6425815503332171E-2</v>
      </c>
      <c r="Q515" s="30">
        <f t="shared" ca="1" si="124"/>
        <v>-0.16105092091007578</v>
      </c>
      <c r="R515" s="30">
        <f t="shared" ca="1" si="125"/>
        <v>-1.79454660748255E-2</v>
      </c>
      <c r="S515" s="9" cm="1">
        <f t="array" aca="1" ref="S515" ca="1">_xll.BDH($E$6,"PX LAST",AG515)</f>
        <v>154.87</v>
      </c>
      <c r="T515" s="9" cm="1">
        <f t="array" aca="1" ref="T515" ca="1">_xll.BDH($E$6,"PX LAST",AH515)</f>
        <v>146.04</v>
      </c>
      <c r="U515" s="9" cm="1">
        <f t="array" aca="1" ref="U515" ca="1">_xll.BDH($E$6,"PX LAST",AI515)</f>
        <v>142.55000000000001</v>
      </c>
      <c r="V515" s="9" cm="1">
        <f t="array" aca="1" ref="V515" ca="1">_xll.BDH($E$6,"PX LAST",AJ515)</f>
        <v>184.6</v>
      </c>
      <c r="W515" s="9" cm="1">
        <f t="array" aca="1" ref="W515" ca="1">_xll.BDH($E$6,"PX LAST",AK515)</f>
        <v>157.69999999999999</v>
      </c>
      <c r="X515" s="24">
        <f t="shared" ca="1" si="126"/>
        <v>6.9036798586126213E-3</v>
      </c>
      <c r="Y515" s="24">
        <f t="shared" ca="1" si="127"/>
        <v>2.4681841904532487E-2</v>
      </c>
      <c r="Z515" s="24">
        <f t="shared" ca="1" si="128"/>
        <v>3.0384136384463467E-2</v>
      </c>
      <c r="AA515" s="24">
        <f t="shared" ca="1" si="129"/>
        <v>0.11321771026192917</v>
      </c>
      <c r="AB515" s="9" cm="1">
        <f t="array" aca="1" ref="AB515" ca="1">_xll.BDH($E$8,"PX LAST",AG515)</f>
        <v>5104.76</v>
      </c>
      <c r="AC515" s="9" cm="1">
        <f t="array" aca="1" ref="AC515" ca="1">_xll.BDH($E$8,"PX LAST",AH515)</f>
        <v>5069.76</v>
      </c>
      <c r="AD515" s="9" cm="1">
        <f t="array" aca="1" ref="AD515" ca="1">_xll.BDH($E$8,"PX LAST",AI515)</f>
        <v>4981.8</v>
      </c>
      <c r="AE515" s="9" cm="1">
        <f t="array" aca="1" ref="AE515" ca="1">_xll.BDH($E$8,"PX LAST",AJ515)</f>
        <v>4954.2299999999996</v>
      </c>
      <c r="AF515" s="9" cm="1">
        <f t="array" aca="1" ref="AF515" ca="1">_xll.BDH($E$8,"PX LAST",AK515)</f>
        <v>4585.59</v>
      </c>
      <c r="AG515" s="20">
        <f t="shared" ca="1" si="135"/>
        <v>45357</v>
      </c>
      <c r="AH515" s="22">
        <f t="shared" ca="1" si="130"/>
        <v>45350</v>
      </c>
      <c r="AI515" s="22">
        <f t="shared" ca="1" si="131"/>
        <v>45343</v>
      </c>
      <c r="AJ515" s="22">
        <f t="shared" ca="1" si="132"/>
        <v>45328</v>
      </c>
      <c r="AK515" s="22">
        <f t="shared" ca="1" si="133"/>
        <v>45267</v>
      </c>
      <c r="AL515" s="22">
        <f t="shared" ca="1" si="134"/>
        <v>45182</v>
      </c>
    </row>
    <row r="516" spans="4:38" x14ac:dyDescent="0.25">
      <c r="D516" s="6">
        <f ca="1"/>
        <v>45356</v>
      </c>
      <c r="E516" s="28">
        <f ca="1"/>
        <v>154.61000000000001</v>
      </c>
      <c r="F516" s="29" cm="1">
        <f t="array" aca="1" ref="F516" ca="1">_xll.FDS($E$7,"P_BETA_LOCIDX("&amp;$AG516&amp;","&amp;$AL516&amp;",,"""&amp;$E$9&amp;""")")</f>
        <v>2.3637464000000001</v>
      </c>
      <c r="G516" s="30">
        <f t="shared" ca="1" si="120"/>
        <v>7.0858471361419414E-2</v>
      </c>
      <c r="H516" s="30">
        <f t="shared" ca="1" si="120"/>
        <v>1.7055939301142423E-2</v>
      </c>
      <c r="I516" s="30">
        <f t="shared" ca="1" si="120"/>
        <v>-0.21076239439600269</v>
      </c>
      <c r="J516" s="30">
        <f t="shared" ca="1" si="120"/>
        <v>-0.29411548870745685</v>
      </c>
      <c r="K516" s="30">
        <f t="shared" ca="1" si="121"/>
        <v>2.1877145118888016E-4</v>
      </c>
      <c r="L516" s="30">
        <f t="shared" ca="1" si="121"/>
        <v>4.8999359602532697E-2</v>
      </c>
      <c r="M516" s="30">
        <f t="shared" ca="1" si="121"/>
        <v>6.4961289423627042E-2</v>
      </c>
      <c r="N516" s="30">
        <f t="shared" ca="1" si="121"/>
        <v>0.27501892735737443</v>
      </c>
      <c r="O516" s="30">
        <f t="shared" ca="1" si="122"/>
        <v>7.1077242812608299E-2</v>
      </c>
      <c r="P516" s="30">
        <f t="shared" ca="1" si="123"/>
        <v>6.6055298903675119E-2</v>
      </c>
      <c r="Q516" s="30">
        <f t="shared" ca="1" si="124"/>
        <v>-0.14580110497237564</v>
      </c>
      <c r="R516" s="30">
        <f t="shared" ca="1" si="125"/>
        <v>-1.9096561350082419E-2</v>
      </c>
      <c r="S516" s="9" cm="1">
        <f t="array" aca="1" ref="S516" ca="1">_xll.BDH($E$6,"PX LAST",AG516)</f>
        <v>154.61000000000001</v>
      </c>
      <c r="T516" s="9" cm="1">
        <f t="array" aca="1" ref="T516" ca="1">_xll.BDH($E$6,"PX LAST",AH516)</f>
        <v>144.35</v>
      </c>
      <c r="U516" s="9" cm="1">
        <f t="array" aca="1" ref="U516" ca="1">_xll.BDH($E$6,"PX LAST",AI516)</f>
        <v>145.03</v>
      </c>
      <c r="V516" s="9" cm="1">
        <f t="array" aca="1" ref="V516" ca="1">_xll.BDH($E$6,"PX LAST",AJ516)</f>
        <v>181</v>
      </c>
      <c r="W516" s="9" cm="1">
        <f t="array" aca="1" ref="W516" ca="1">_xll.BDH($E$6,"PX LAST",AK516)</f>
        <v>157.62</v>
      </c>
      <c r="X516" s="24">
        <f t="shared" ca="1" si="126"/>
        <v>9.2552843735216328E-5</v>
      </c>
      <c r="Y516" s="24">
        <f t="shared" ca="1" si="127"/>
        <v>2.0729533253877275E-2</v>
      </c>
      <c r="Z516" s="24">
        <f t="shared" ca="1" si="128"/>
        <v>2.7482343039687773E-2</v>
      </c>
      <c r="AA516" s="24">
        <f t="shared" ca="1" si="129"/>
        <v>0.11634874509269455</v>
      </c>
      <c r="AB516" s="9" cm="1">
        <f t="array" aca="1" ref="AB516" ca="1">_xll.BDH($E$8,"PX LAST",AG516)</f>
        <v>5078.6499999999996</v>
      </c>
      <c r="AC516" s="9" cm="1">
        <f t="array" aca="1" ref="AC516" ca="1">_xll.BDH($E$8,"PX LAST",AH516)</f>
        <v>5078.18</v>
      </c>
      <c r="AD516" s="9" cm="1">
        <f t="array" aca="1" ref="AD516" ca="1">_xll.BDH($E$8,"PX LAST",AI516)</f>
        <v>4975.51</v>
      </c>
      <c r="AE516" s="9" cm="1">
        <f t="array" aca="1" ref="AE516" ca="1">_xll.BDH($E$8,"PX LAST",AJ516)</f>
        <v>4942.8100000000004</v>
      </c>
      <c r="AF516" s="9" cm="1">
        <f t="array" aca="1" ref="AF516" ca="1">_xll.BDH($E$8,"PX LAST",AK516)</f>
        <v>4549.34</v>
      </c>
      <c r="AG516" s="20">
        <f t="shared" ca="1" si="135"/>
        <v>45356</v>
      </c>
      <c r="AH516" s="22">
        <f t="shared" ca="1" si="130"/>
        <v>45349</v>
      </c>
      <c r="AI516" s="22">
        <f t="shared" ca="1" si="131"/>
        <v>45342</v>
      </c>
      <c r="AJ516" s="22">
        <f t="shared" ca="1" si="132"/>
        <v>45327</v>
      </c>
      <c r="AK516" s="22">
        <f t="shared" ca="1" si="133"/>
        <v>45266</v>
      </c>
      <c r="AL516" s="22">
        <f t="shared" ca="1" si="134"/>
        <v>45181</v>
      </c>
    </row>
    <row r="517" spans="4:38" x14ac:dyDescent="0.25">
      <c r="D517" s="6">
        <f ca="1"/>
        <v>45355</v>
      </c>
      <c r="E517" s="28">
        <f ca="1"/>
        <v>150.80000000000001</v>
      </c>
      <c r="F517" s="29" cm="1">
        <f t="array" aca="1" ref="F517" ca="1">_xll.FDS($E$7,"P_BETA_LOCIDX("&amp;$AG517&amp;","&amp;$AL517&amp;",,"""&amp;$E$9&amp;""")")</f>
        <v>2.4304624000000001</v>
      </c>
      <c r="G517" s="30">
        <f t="shared" ca="1" si="120"/>
        <v>1.3430582196838192E-2</v>
      </c>
      <c r="H517" s="30">
        <f t="shared" ca="1" si="120"/>
        <v>-2.5732932104689847E-2</v>
      </c>
      <c r="I517" s="30">
        <f t="shared" ca="1" si="120"/>
        <v>-0.26548585530416446</v>
      </c>
      <c r="J517" s="30">
        <f t="shared" ca="1" si="120"/>
        <v>-0.35307606674431607</v>
      </c>
      <c r="K517" s="30">
        <f t="shared" ca="1" si="121"/>
        <v>2.9446319601225502E-2</v>
      </c>
      <c r="L517" s="30">
        <f t="shared" ca="1" si="121"/>
        <v>6.0878456541812447E-2</v>
      </c>
      <c r="M517" s="30">
        <f t="shared" ca="1" si="121"/>
        <v>8.4472440868711307E-2</v>
      </c>
      <c r="N517" s="30">
        <f t="shared" ca="1" si="121"/>
        <v>0.30001484225452019</v>
      </c>
      <c r="O517" s="30">
        <f t="shared" ca="1" si="122"/>
        <v>4.2876901798063694E-2</v>
      </c>
      <c r="P517" s="30">
        <f t="shared" ca="1" si="123"/>
        <v>3.5145524437122599E-2</v>
      </c>
      <c r="Q517" s="30">
        <f t="shared" ca="1" si="124"/>
        <v>-0.18101341443545316</v>
      </c>
      <c r="R517" s="30">
        <f t="shared" ca="1" si="125"/>
        <v>-5.3061224489795888E-2</v>
      </c>
      <c r="S517" s="9" cm="1">
        <f t="array" aca="1" ref="S517" ca="1">_xll.BDH($E$6,"PX LAST",AG517)</f>
        <v>150.80000000000001</v>
      </c>
      <c r="T517" s="9" cm="1">
        <f t="array" aca="1" ref="T517" ca="1">_xll.BDH($E$6,"PX LAST",AH517)</f>
        <v>144.6</v>
      </c>
      <c r="U517" s="9" cm="1">
        <f t="array" aca="1" ref="U517" ca="1">_xll.BDH($E$6,"PX LAST",AI517)</f>
        <v>145.68</v>
      </c>
      <c r="V517" s="9" cm="1">
        <f t="array" aca="1" ref="V517" ca="1">_xll.BDH($E$6,"PX LAST",AJ517)</f>
        <v>184.13</v>
      </c>
      <c r="W517" s="9" cm="1">
        <f t="array" aca="1" ref="W517" ca="1">_xll.BDH($E$6,"PX LAST",AK517)</f>
        <v>159.25</v>
      </c>
      <c r="X517" s="24">
        <f t="shared" ca="1" si="126"/>
        <v>1.2115521557225284E-2</v>
      </c>
      <c r="Y517" s="24">
        <f t="shared" ca="1" si="127"/>
        <v>2.5048096420587473E-2</v>
      </c>
      <c r="Z517" s="24">
        <f t="shared" ca="1" si="128"/>
        <v>3.4755707748744147E-2</v>
      </c>
      <c r="AA517" s="24">
        <f t="shared" ca="1" si="129"/>
        <v>0.12343940900074002</v>
      </c>
      <c r="AB517" s="9" cm="1">
        <f t="array" aca="1" ref="AB517" ca="1">_xll.BDH($E$8,"PX LAST",AG517)</f>
        <v>5130.95</v>
      </c>
      <c r="AC517" s="9" cm="1">
        <f t="array" aca="1" ref="AC517" ca="1">_xll.BDH($E$8,"PX LAST",AH517)</f>
        <v>5069.53</v>
      </c>
      <c r="AD517" s="9" cm="1">
        <f t="array" aca="1" ref="AD517" ca="1">_xll.BDH($E$8,"PX LAST",AI517)</f>
        <v>5005.57</v>
      </c>
      <c r="AE517" s="9" cm="1">
        <f t="array" aca="1" ref="AE517" ca="1">_xll.BDH($E$8,"PX LAST",AJ517)</f>
        <v>4958.6099999999997</v>
      </c>
      <c r="AF517" s="9" cm="1">
        <f t="array" aca="1" ref="AF517" ca="1">_xll.BDH($E$8,"PX LAST",AK517)</f>
        <v>4567.18</v>
      </c>
      <c r="AG517" s="20">
        <f t="shared" ca="1" si="135"/>
        <v>45355</v>
      </c>
      <c r="AH517" s="22">
        <f t="shared" ca="1" si="130"/>
        <v>45348</v>
      </c>
      <c r="AI517" s="22">
        <f t="shared" ca="1" si="131"/>
        <v>45338</v>
      </c>
      <c r="AJ517" s="22">
        <f t="shared" ca="1" si="132"/>
        <v>45324</v>
      </c>
      <c r="AK517" s="22">
        <f t="shared" ca="1" si="133"/>
        <v>45265</v>
      </c>
      <c r="AL517" s="22">
        <f t="shared" ca="1" si="134"/>
        <v>45180</v>
      </c>
    </row>
    <row r="518" spans="4:38" x14ac:dyDescent="0.25">
      <c r="D518" s="6">
        <f ca="1"/>
        <v>45352</v>
      </c>
      <c r="E518" s="28">
        <f ca="1"/>
        <v>152.07</v>
      </c>
      <c r="F518" s="29" cm="1">
        <f t="array" aca="1" ref="F518" ca="1">_xll.FDS($E$7,"P_BETA_LOCIDX("&amp;$AG518&amp;","&amp;$AL518&amp;",,"""&amp;$E$9&amp;""")")</f>
        <v>2.4298190000000002</v>
      </c>
      <c r="G518" s="30">
        <f t="shared" ca="1" si="120"/>
        <v>2.2245410256174426E-2</v>
      </c>
      <c r="H518" s="30">
        <f t="shared" ca="1" si="120"/>
        <v>-2.0457250781530503E-2</v>
      </c>
      <c r="I518" s="30">
        <f t="shared" ca="1" si="120"/>
        <v>-0.25149214205851977</v>
      </c>
      <c r="J518" s="30">
        <f t="shared" ca="1" si="120"/>
        <v>-0.36668937258706052</v>
      </c>
      <c r="K518" s="30">
        <f t="shared" ca="1" si="121"/>
        <v>2.3052912537336667E-2</v>
      </c>
      <c r="L518" s="30">
        <f t="shared" ca="1" si="121"/>
        <v>5.185985523079796E-2</v>
      </c>
      <c r="M518" s="30">
        <f t="shared" ca="1" si="121"/>
        <v>0.11434960914885108</v>
      </c>
      <c r="N518" s="30">
        <f t="shared" ca="1" si="121"/>
        <v>0.30164172426243702</v>
      </c>
      <c r="O518" s="30">
        <f t="shared" ca="1" si="122"/>
        <v>4.5298322793511092E-2</v>
      </c>
      <c r="P518" s="30">
        <f t="shared" ca="1" si="123"/>
        <v>3.1402604449267457E-2</v>
      </c>
      <c r="Q518" s="30">
        <f t="shared" ca="1" si="124"/>
        <v>-0.13714253290966871</v>
      </c>
      <c r="R518" s="30">
        <f t="shared" ca="1" si="125"/>
        <v>-6.5047648324623508E-2</v>
      </c>
      <c r="S518" s="9" cm="1">
        <f t="array" aca="1" ref="S518" ca="1">_xll.BDH($E$6,"PX LAST",AG518)</f>
        <v>152.07</v>
      </c>
      <c r="T518" s="9" cm="1">
        <f t="array" aca="1" ref="T518" ca="1">_xll.BDH($E$6,"PX LAST",AH518)</f>
        <v>145.47999999999999</v>
      </c>
      <c r="U518" s="9" cm="1">
        <f t="array" aca="1" ref="U518" ca="1">_xll.BDH($E$6,"PX LAST",AI518)</f>
        <v>147.44</v>
      </c>
      <c r="V518" s="9" cm="1">
        <f t="array" aca="1" ref="V518" ca="1">_xll.BDH($E$6,"PX LAST",AJ518)</f>
        <v>176.24</v>
      </c>
      <c r="W518" s="9" cm="1">
        <f t="array" aca="1" ref="W518" ca="1">_xll.BDH($E$6,"PX LAST",AK518)</f>
        <v>162.65</v>
      </c>
      <c r="X518" s="24">
        <f t="shared" ca="1" si="126"/>
        <v>9.4875019650997316E-3</v>
      </c>
      <c r="Y518" s="24">
        <f t="shared" ca="1" si="127"/>
        <v>2.1343093963294368E-2</v>
      </c>
      <c r="Z518" s="24">
        <f t="shared" ca="1" si="128"/>
        <v>4.7060957688145111E-2</v>
      </c>
      <c r="AA518" s="24">
        <f t="shared" ca="1" si="129"/>
        <v>0.12414164358021607</v>
      </c>
      <c r="AB518" s="9" cm="1">
        <f t="array" aca="1" ref="AB518" ca="1">_xll.BDH($E$8,"PX LAST",AG518)</f>
        <v>5137.08</v>
      </c>
      <c r="AC518" s="9" cm="1">
        <f t="array" aca="1" ref="AC518" ca="1">_xll.BDH($E$8,"PX LAST",AH518)</f>
        <v>5088.8</v>
      </c>
      <c r="AD518" s="9" cm="1">
        <f t="array" aca="1" ref="AD518" ca="1">_xll.BDH($E$8,"PX LAST",AI518)</f>
        <v>5029.7299999999996</v>
      </c>
      <c r="AE518" s="9" cm="1">
        <f t="array" aca="1" ref="AE518" ca="1">_xll.BDH($E$8,"PX LAST",AJ518)</f>
        <v>4906.1899999999996</v>
      </c>
      <c r="AF518" s="9" cm="1">
        <f t="array" aca="1" ref="AF518" ca="1">_xll.BDH($E$8,"PX LAST",AK518)</f>
        <v>4569.78</v>
      </c>
      <c r="AG518" s="20">
        <f t="shared" ca="1" si="135"/>
        <v>45352</v>
      </c>
      <c r="AH518" s="22">
        <f t="shared" ca="1" si="130"/>
        <v>45345</v>
      </c>
      <c r="AI518" s="22">
        <f t="shared" ca="1" si="131"/>
        <v>45337</v>
      </c>
      <c r="AJ518" s="22">
        <f t="shared" ca="1" si="132"/>
        <v>45323</v>
      </c>
      <c r="AK518" s="22">
        <f t="shared" ca="1" si="133"/>
        <v>45264</v>
      </c>
      <c r="AL518" s="22">
        <f t="shared" ca="1" si="134"/>
        <v>45177</v>
      </c>
    </row>
    <row r="519" spans="4:38" x14ac:dyDescent="0.25">
      <c r="D519" s="6">
        <f ca="1"/>
        <v>45351</v>
      </c>
      <c r="E519" s="28">
        <f ca="1"/>
        <v>149.49</v>
      </c>
      <c r="F519" s="29" cm="1">
        <f t="array" aca="1" ref="F519" ca="1">_xll.FDS($E$7,"P_BETA_LOCIDX("&amp;$AG519&amp;","&amp;$AL519&amp;",,"""&amp;$E$9&amp;""")")</f>
        <v>2.4312003</v>
      </c>
      <c r="G519" s="30">
        <f t="shared" ca="1" si="120"/>
        <v>2.997371047348139E-2</v>
      </c>
      <c r="H519" s="30">
        <f t="shared" ca="1" si="120"/>
        <v>-1.4838713076407023E-3</v>
      </c>
      <c r="I519" s="30">
        <f t="shared" ca="1" si="120"/>
        <v>-0.26422865284856079</v>
      </c>
      <c r="J519" s="30">
        <f t="shared" ca="1" si="120"/>
        <v>-0.34544247079764662</v>
      </c>
      <c r="K519" s="30">
        <f t="shared" ca="1" si="121"/>
        <v>4.4159933737368991E-3</v>
      </c>
      <c r="L519" s="30">
        <f t="shared" ca="1" si="121"/>
        <v>4.650309535517648E-2</v>
      </c>
      <c r="M519" s="30">
        <f t="shared" ca="1" si="121"/>
        <v>0.12574317567013762</v>
      </c>
      <c r="N519" s="30">
        <f t="shared" ca="1" si="121"/>
        <v>0.26543754741774633</v>
      </c>
      <c r="O519" s="30">
        <f t="shared" ca="1" si="122"/>
        <v>3.4389703847218289E-2</v>
      </c>
      <c r="P519" s="30">
        <f t="shared" ca="1" si="123"/>
        <v>4.5019224047535777E-2</v>
      </c>
      <c r="Q519" s="30">
        <f t="shared" ca="1" si="124"/>
        <v>-0.13848547717842319</v>
      </c>
      <c r="R519" s="30">
        <f t="shared" ca="1" si="125"/>
        <v>-8.0004923379900283E-2</v>
      </c>
      <c r="S519" s="9" cm="1">
        <f t="array" aca="1" ref="S519" ca="1">_xll.BDH($E$6,"PX LAST",AG519)</f>
        <v>149.49</v>
      </c>
      <c r="T519" s="9" cm="1">
        <f t="array" aca="1" ref="T519" ca="1">_xll.BDH($E$6,"PX LAST",AH519)</f>
        <v>144.52000000000001</v>
      </c>
      <c r="U519" s="9" cm="1">
        <f t="array" aca="1" ref="U519" ca="1">_xll.BDH($E$6,"PX LAST",AI519)</f>
        <v>143.05000000000001</v>
      </c>
      <c r="V519" s="9" cm="1">
        <f t="array" aca="1" ref="V519" ca="1">_xll.BDH($E$6,"PX LAST",AJ519)</f>
        <v>173.52</v>
      </c>
      <c r="W519" s="9" cm="1">
        <f t="array" aca="1" ref="W519" ca="1">_xll.BDH($E$6,"PX LAST",AK519)</f>
        <v>162.49</v>
      </c>
      <c r="X519" s="24">
        <f t="shared" ca="1" si="126"/>
        <v>1.8163840197522596E-3</v>
      </c>
      <c r="Y519" s="24">
        <f t="shared" ca="1" si="127"/>
        <v>1.9127628174106626E-2</v>
      </c>
      <c r="Z519" s="24">
        <f t="shared" ca="1" si="128"/>
        <v>5.1720615397315317E-2</v>
      </c>
      <c r="AA519" s="24">
        <f t="shared" ca="1" si="129"/>
        <v>0.10917962926285685</v>
      </c>
      <c r="AB519" s="9" cm="1">
        <f t="array" aca="1" ref="AB519" ca="1">_xll.BDH($E$8,"PX LAST",AG519)</f>
        <v>5096.2700000000004</v>
      </c>
      <c r="AC519" s="9" cm="1">
        <f t="array" aca="1" ref="AC519" ca="1">_xll.BDH($E$8,"PX LAST",AH519)</f>
        <v>5087.03</v>
      </c>
      <c r="AD519" s="9" cm="1">
        <f t="array" aca="1" ref="AD519" ca="1">_xll.BDH($E$8,"PX LAST",AI519)</f>
        <v>5000.62</v>
      </c>
      <c r="AE519" s="9" cm="1">
        <f t="array" aca="1" ref="AE519" ca="1">_xll.BDH($E$8,"PX LAST",AJ519)</f>
        <v>4845.6499999999996</v>
      </c>
      <c r="AF519" s="9" cm="1">
        <f t="array" aca="1" ref="AF519" ca="1">_xll.BDH($E$8,"PX LAST",AK519)</f>
        <v>4594.63</v>
      </c>
      <c r="AG519" s="20">
        <f t="shared" ca="1" si="135"/>
        <v>45351</v>
      </c>
      <c r="AH519" s="22">
        <f t="shared" ca="1" si="130"/>
        <v>45344</v>
      </c>
      <c r="AI519" s="22">
        <f t="shared" ca="1" si="131"/>
        <v>45336</v>
      </c>
      <c r="AJ519" s="22">
        <f t="shared" ca="1" si="132"/>
        <v>45322</v>
      </c>
      <c r="AK519" s="22">
        <f t="shared" ca="1" si="133"/>
        <v>45261</v>
      </c>
      <c r="AL519" s="22">
        <f t="shared" ca="1" si="134"/>
        <v>45176</v>
      </c>
    </row>
    <row r="520" spans="4:38" x14ac:dyDescent="0.25">
      <c r="D520" s="6">
        <f ca="1"/>
        <v>45350</v>
      </c>
      <c r="E520" s="28">
        <f ca="1"/>
        <v>146.04</v>
      </c>
      <c r="F520" s="29" cm="1">
        <f t="array" aca="1" ref="F520" ca="1">_xll.FDS($E$7,"P_BETA_LOCIDX("&amp;$AG520&amp;","&amp;$AL520&amp;",,"""&amp;$E$9&amp;""")")</f>
        <v>2.390593</v>
      </c>
      <c r="G520" s="30">
        <f t="shared" ca="1" si="120"/>
        <v>-1.7726314972630261E-2</v>
      </c>
      <c r="H520" s="30">
        <f t="shared" ca="1" si="120"/>
        <v>4.5169650318008563E-2</v>
      </c>
      <c r="I520" s="30">
        <f t="shared" ca="1" si="120"/>
        <v>-0.23866592366717349</v>
      </c>
      <c r="J520" s="30">
        <f t="shared" ca="1" si="120"/>
        <v>-0.32564973745559855</v>
      </c>
      <c r="K520" s="30">
        <f t="shared" ca="1" si="121"/>
        <v>4.220895264362283E-2</v>
      </c>
      <c r="L520" s="30">
        <f t="shared" ca="1" si="121"/>
        <v>5.6270880642093964E-2</v>
      </c>
      <c r="M520" s="30">
        <f t="shared" ca="1" si="121"/>
        <v>7.0281435312296067E-2</v>
      </c>
      <c r="N520" s="30">
        <f t="shared" ca="1" si="121"/>
        <v>0.26270459789833189</v>
      </c>
      <c r="O520" s="30">
        <f t="shared" ca="1" si="122"/>
        <v>2.4482637670992569E-2</v>
      </c>
      <c r="P520" s="30">
        <f t="shared" ca="1" si="123"/>
        <v>0.10144053096010253</v>
      </c>
      <c r="Q520" s="30">
        <f t="shared" ca="1" si="124"/>
        <v>-0.1683844883548774</v>
      </c>
      <c r="R520" s="30">
        <f t="shared" ca="1" si="125"/>
        <v>-6.2945139557266661E-2</v>
      </c>
      <c r="S520" s="9" cm="1">
        <f t="array" aca="1" ref="S520" ca="1">_xll.BDH($E$6,"PX LAST",AG520)</f>
        <v>146.04</v>
      </c>
      <c r="T520" s="9" cm="1">
        <f t="array" aca="1" ref="T520" ca="1">_xll.BDH($E$6,"PX LAST",AH520)</f>
        <v>142.55000000000001</v>
      </c>
      <c r="U520" s="9" cm="1">
        <f t="array" aca="1" ref="U520" ca="1">_xll.BDH($E$6,"PX LAST",AI520)</f>
        <v>132.59</v>
      </c>
      <c r="V520" s="9" cm="1">
        <f t="array" aca="1" ref="V520" ca="1">_xll.BDH($E$6,"PX LAST",AJ520)</f>
        <v>175.61</v>
      </c>
      <c r="W520" s="9" cm="1">
        <f t="array" aca="1" ref="W520" ca="1">_xll.BDH($E$6,"PX LAST",AK520)</f>
        <v>155.85</v>
      </c>
      <c r="X520" s="24">
        <f t="shared" ca="1" si="126"/>
        <v>1.7656268818499354E-2</v>
      </c>
      <c r="Y520" s="24">
        <f t="shared" ca="1" si="127"/>
        <v>2.3538461227860186E-2</v>
      </c>
      <c r="Z520" s="24">
        <f t="shared" ca="1" si="128"/>
        <v>2.9399163852774635E-2</v>
      </c>
      <c r="AA520" s="24">
        <f t="shared" ca="1" si="129"/>
        <v>0.10989097596217001</v>
      </c>
      <c r="AB520" s="9" cm="1">
        <f t="array" aca="1" ref="AB520" ca="1">_xll.BDH($E$8,"PX LAST",AG520)</f>
        <v>5069.76</v>
      </c>
      <c r="AC520" s="9" cm="1">
        <f t="array" aca="1" ref="AC520" ca="1">_xll.BDH($E$8,"PX LAST",AH520)</f>
        <v>4981.8</v>
      </c>
      <c r="AD520" s="9" cm="1">
        <f t="array" aca="1" ref="AD520" ca="1">_xll.BDH($E$8,"PX LAST",AI520)</f>
        <v>4953.17</v>
      </c>
      <c r="AE520" s="9" cm="1">
        <f t="array" aca="1" ref="AE520" ca="1">_xll.BDH($E$8,"PX LAST",AJ520)</f>
        <v>4924.97</v>
      </c>
      <c r="AF520" s="9" cm="1">
        <f t="array" aca="1" ref="AF520" ca="1">_xll.BDH($E$8,"PX LAST",AK520)</f>
        <v>4567.8</v>
      </c>
      <c r="AG520" s="20">
        <f t="shared" ca="1" si="135"/>
        <v>45350</v>
      </c>
      <c r="AH520" s="22">
        <f t="shared" ca="1" si="130"/>
        <v>45343</v>
      </c>
      <c r="AI520" s="22">
        <f t="shared" ca="1" si="131"/>
        <v>45335</v>
      </c>
      <c r="AJ520" s="22">
        <f t="shared" ca="1" si="132"/>
        <v>45321</v>
      </c>
      <c r="AK520" s="22">
        <f t="shared" ca="1" si="133"/>
        <v>45260</v>
      </c>
      <c r="AL520" s="22">
        <f t="shared" ca="1" si="134"/>
        <v>45175</v>
      </c>
    </row>
    <row r="521" spans="4:38" x14ac:dyDescent="0.25">
      <c r="D521" s="6">
        <f ca="1"/>
        <v>45349</v>
      </c>
      <c r="E521" s="28">
        <f ca="1"/>
        <v>144.35</v>
      </c>
      <c r="F521" s="29" cm="1">
        <f t="array" aca="1" ref="F521" ca="1">_xll.FDS($E$7,"P_BETA_LOCIDX("&amp;$AG521&amp;","&amp;$AL521&amp;",,"""&amp;$E$9&amp;""")")</f>
        <v>2.4186287000000002</v>
      </c>
      <c r="G521" s="30">
        <f t="shared" ca="1" si="120"/>
        <v>-5.4597259020499063E-2</v>
      </c>
      <c r="H521" s="30">
        <f t="shared" ca="1" si="120"/>
        <v>-0.27738129912495252</v>
      </c>
      <c r="I521" s="30">
        <f t="shared" ca="1" si="120"/>
        <v>-0.24519261094358252</v>
      </c>
      <c r="J521" s="30">
        <f t="shared" ca="1" si="120"/>
        <v>-0.35050841469522243</v>
      </c>
      <c r="K521" s="30">
        <f t="shared" ca="1" si="121"/>
        <v>4.9908573920864459E-2</v>
      </c>
      <c r="L521" s="30">
        <f t="shared" ca="1" si="121"/>
        <v>2.7134584327258644E-2</v>
      </c>
      <c r="M521" s="30">
        <f t="shared" ca="1" si="121"/>
        <v>7.3742720001095982E-2</v>
      </c>
      <c r="N521" s="30">
        <f t="shared" ca="1" si="121"/>
        <v>0.28041887014842093</v>
      </c>
      <c r="O521" s="30">
        <f t="shared" ca="1" si="122"/>
        <v>-4.6886850996346041E-3</v>
      </c>
      <c r="P521" s="30">
        <f t="shared" ca="1" si="123"/>
        <v>-0.25024671479769389</v>
      </c>
      <c r="Q521" s="30">
        <f t="shared" ca="1" si="124"/>
        <v>-0.17144989094248653</v>
      </c>
      <c r="R521" s="30">
        <f t="shared" ca="1" si="125"/>
        <v>-7.0089544546801497E-2</v>
      </c>
      <c r="S521" s="9" cm="1">
        <f t="array" aca="1" ref="S521" ca="1">_xll.BDH($E$6,"PX LAST",AG521)</f>
        <v>144.35</v>
      </c>
      <c r="T521" s="9" cm="1">
        <f t="array" aca="1" ref="T521" ca="1">_xll.BDH($E$6,"PX LAST",AH521)</f>
        <v>145.03</v>
      </c>
      <c r="U521" s="9" cm="1">
        <f t="array" aca="1" ref="U521" ca="1">_xll.BDH($E$6,"PX LAST",AI521)</f>
        <v>192.53</v>
      </c>
      <c r="V521" s="9" cm="1">
        <f t="array" aca="1" ref="V521" ca="1">_xll.BDH($E$6,"PX LAST",AJ521)</f>
        <v>174.22</v>
      </c>
      <c r="W521" s="9" cm="1">
        <f t="array" aca="1" ref="W521" ca="1">_xll.BDH($E$6,"PX LAST",AK521)</f>
        <v>155.22999999999999</v>
      </c>
      <c r="X521" s="24">
        <f t="shared" ca="1" si="126"/>
        <v>2.0635070575679704E-2</v>
      </c>
      <c r="Y521" s="24">
        <f t="shared" ca="1" si="127"/>
        <v>1.1218995427970668E-2</v>
      </c>
      <c r="Z521" s="24">
        <f t="shared" ca="1" si="128"/>
        <v>3.0489475296930024E-2</v>
      </c>
      <c r="AA521" s="24">
        <f t="shared" ca="1" si="129"/>
        <v>0.11594126463000332</v>
      </c>
      <c r="AB521" s="9" cm="1">
        <f t="array" aca="1" ref="AB521" ca="1">_xll.BDH($E$8,"PX LAST",AG521)</f>
        <v>5078.18</v>
      </c>
      <c r="AC521" s="9" cm="1">
        <f t="array" aca="1" ref="AC521" ca="1">_xll.BDH($E$8,"PX LAST",AH521)</f>
        <v>4975.51</v>
      </c>
      <c r="AD521" s="9" cm="1">
        <f t="array" aca="1" ref="AD521" ca="1">_xll.BDH($E$8,"PX LAST",AI521)</f>
        <v>5021.84</v>
      </c>
      <c r="AE521" s="9" cm="1">
        <f t="array" aca="1" ref="AE521" ca="1">_xll.BDH($E$8,"PX LAST",AJ521)</f>
        <v>4927.93</v>
      </c>
      <c r="AF521" s="9" cm="1">
        <f t="array" aca="1" ref="AF521" ca="1">_xll.BDH($E$8,"PX LAST",AK521)</f>
        <v>4550.58</v>
      </c>
      <c r="AG521" s="20">
        <f t="shared" ca="1" si="135"/>
        <v>45349</v>
      </c>
      <c r="AH521" s="22">
        <f t="shared" ca="1" si="130"/>
        <v>45342</v>
      </c>
      <c r="AI521" s="22">
        <f t="shared" ca="1" si="131"/>
        <v>45334</v>
      </c>
      <c r="AJ521" s="22">
        <f t="shared" ca="1" si="132"/>
        <v>45320</v>
      </c>
      <c r="AK521" s="22">
        <f t="shared" ca="1" si="133"/>
        <v>45259</v>
      </c>
      <c r="AL521" s="22">
        <f t="shared" ca="1" si="134"/>
        <v>45174</v>
      </c>
    </row>
    <row r="522" spans="4:38" x14ac:dyDescent="0.25">
      <c r="D522" s="6">
        <f ca="1"/>
        <v>45348</v>
      </c>
      <c r="E522" s="28">
        <f ca="1"/>
        <v>144.6</v>
      </c>
      <c r="F522" s="29" cm="1">
        <f t="array" aca="1" ref="F522" ca="1">_xll.FDS($E$7,"P_BETA_LOCIDX("&amp;$AG522&amp;","&amp;$AL522&amp;",,"""&amp;$E$9&amp;""")")</f>
        <v>2.4197807</v>
      </c>
      <c r="G522" s="30">
        <f t="shared" ca="1" si="120"/>
        <v>-3.8332899574323537E-2</v>
      </c>
      <c r="H522" s="30">
        <f t="shared" ca="1" si="120"/>
        <v>-0.27464688852772456</v>
      </c>
      <c r="I522" s="30">
        <f t="shared" ca="1" si="120"/>
        <v>-0.24460252555987524</v>
      </c>
      <c r="J522" s="30">
        <f t="shared" ca="1" si="120"/>
        <v>-0.32095829554167937</v>
      </c>
      <c r="K522" s="30">
        <f t="shared" ca="1" si="121"/>
        <v>3.0919390513367926E-2</v>
      </c>
      <c r="L522" s="30">
        <f t="shared" ca="1" si="121"/>
        <v>2.0661437359174695E-2</v>
      </c>
      <c r="M522" s="30">
        <f t="shared" ca="1" si="121"/>
        <v>8.8341584960038605E-2</v>
      </c>
      <c r="N522" s="30">
        <f t="shared" ca="1" si="121"/>
        <v>0.27340197885086132</v>
      </c>
      <c r="O522" s="30">
        <f t="shared" ca="1" si="122"/>
        <v>-7.4135090609556142E-3</v>
      </c>
      <c r="P522" s="30">
        <f t="shared" ca="1" si="123"/>
        <v>-0.25398545116854987</v>
      </c>
      <c r="Q522" s="30">
        <f t="shared" ca="1" si="124"/>
        <v>-0.15626094059983664</v>
      </c>
      <c r="R522" s="30">
        <f t="shared" ca="1" si="125"/>
        <v>-4.7556316690818057E-2</v>
      </c>
      <c r="S522" s="9" cm="1">
        <f t="array" aca="1" ref="S522" ca="1">_xll.BDH($E$6,"PX LAST",AG522)</f>
        <v>144.6</v>
      </c>
      <c r="T522" s="9" cm="1">
        <f t="array" aca="1" ref="T522" ca="1">_xll.BDH($E$6,"PX LAST",AH522)</f>
        <v>145.68</v>
      </c>
      <c r="U522" s="9" cm="1">
        <f t="array" aca="1" ref="U522" ca="1">_xll.BDH($E$6,"PX LAST",AI522)</f>
        <v>193.83</v>
      </c>
      <c r="V522" s="9" cm="1">
        <f t="array" aca="1" ref="V522" ca="1">_xll.BDH($E$6,"PX LAST",AJ522)</f>
        <v>171.38</v>
      </c>
      <c r="W522" s="9" cm="1">
        <f t="array" aca="1" ref="W522" ca="1">_xll.BDH($E$6,"PX LAST",AK522)</f>
        <v>151.82</v>
      </c>
      <c r="X522" s="24">
        <f t="shared" ca="1" si="126"/>
        <v>1.2777765569155886E-2</v>
      </c>
      <c r="Y522" s="24">
        <f t="shared" ca="1" si="127"/>
        <v>8.5385577954129044E-3</v>
      </c>
      <c r="Z522" s="24">
        <f t="shared" ca="1" si="128"/>
        <v>3.6508095531152307E-2</v>
      </c>
      <c r="AA522" s="24">
        <f t="shared" ca="1" si="129"/>
        <v>0.1129862631150258</v>
      </c>
      <c r="AB522" s="9" cm="1">
        <f t="array" aca="1" ref="AB522" ca="1">_xll.BDH($E$8,"PX LAST",AG522)</f>
        <v>5069.53</v>
      </c>
      <c r="AC522" s="9" cm="1">
        <f t="array" aca="1" ref="AC522" ca="1">_xll.BDH($E$8,"PX LAST",AH522)</f>
        <v>5005.57</v>
      </c>
      <c r="AD522" s="9" cm="1">
        <f t="array" aca="1" ref="AD522" ca="1">_xll.BDH($E$8,"PX LAST",AI522)</f>
        <v>5026.6099999999997</v>
      </c>
      <c r="AE522" s="9" cm="1">
        <f t="array" aca="1" ref="AE522" ca="1">_xll.BDH($E$8,"PX LAST",AJ522)</f>
        <v>4890.97</v>
      </c>
      <c r="AF522" s="9" cm="1">
        <f t="array" aca="1" ref="AF522" ca="1">_xll.BDH($E$8,"PX LAST",AK522)</f>
        <v>4554.8900000000003</v>
      </c>
      <c r="AG522" s="20">
        <f t="shared" ca="1" si="135"/>
        <v>45348</v>
      </c>
      <c r="AH522" s="22">
        <f t="shared" ca="1" si="130"/>
        <v>45338</v>
      </c>
      <c r="AI522" s="22">
        <f t="shared" ca="1" si="131"/>
        <v>45331</v>
      </c>
      <c r="AJ522" s="22">
        <f t="shared" ca="1" si="132"/>
        <v>45317</v>
      </c>
      <c r="AK522" s="22">
        <f t="shared" ca="1" si="133"/>
        <v>45258</v>
      </c>
      <c r="AL522" s="22">
        <f t="shared" ca="1" si="134"/>
        <v>45170</v>
      </c>
    </row>
    <row r="523" spans="4:38" x14ac:dyDescent="0.25">
      <c r="D523" s="6">
        <f ca="1"/>
        <v>45345</v>
      </c>
      <c r="E523" s="28">
        <f ca="1"/>
        <v>145.47999999999999</v>
      </c>
      <c r="F523" s="29" cm="1">
        <f t="array" aca="1" ref="F523" ca="1">_xll.FDS($E$7,"P_BETA_LOCIDX("&amp;$AG523&amp;","&amp;$AL523&amp;",,"""&amp;$E$9&amp;""")")</f>
        <v>2.4222248</v>
      </c>
      <c r="G523" s="30">
        <f t="shared" ca="1" si="120"/>
        <v>-4.1740560955437926E-2</v>
      </c>
      <c r="H523" s="30">
        <f t="shared" ca="1" si="120"/>
        <v>-0.28185545158670899</v>
      </c>
      <c r="I523" s="30">
        <f t="shared" ca="1" si="120"/>
        <v>-0.25700767931973589</v>
      </c>
      <c r="J523" s="30">
        <f t="shared" ca="1" si="120"/>
        <v>-0.34593401486343867</v>
      </c>
      <c r="K523" s="30">
        <f t="shared" ca="1" si="121"/>
        <v>2.8447017819246904E-2</v>
      </c>
      <c r="L523" s="30">
        <f t="shared" ca="1" si="121"/>
        <v>4.404961515353456E-2</v>
      </c>
      <c r="M523" s="30">
        <f t="shared" ca="1" si="121"/>
        <v>9.6331512470373276E-2</v>
      </c>
      <c r="N523" s="30">
        <f t="shared" ca="1" si="121"/>
        <v>0.2865780081390108</v>
      </c>
      <c r="O523" s="30">
        <f t="shared" ca="1" si="122"/>
        <v>-1.3293543136191022E-2</v>
      </c>
      <c r="P523" s="30">
        <f t="shared" ca="1" si="123"/>
        <v>-0.23780583643317443</v>
      </c>
      <c r="Q523" s="30">
        <f t="shared" ca="1" si="124"/>
        <v>-0.16067616684936259</v>
      </c>
      <c r="R523" s="30">
        <f t="shared" ca="1" si="125"/>
        <v>-5.9356006724427868E-2</v>
      </c>
      <c r="S523" s="9" cm="1">
        <f t="array" aca="1" ref="S523" ca="1">_xll.BDH($E$6,"PX LAST",AG523)</f>
        <v>145.47999999999999</v>
      </c>
      <c r="T523" s="9" cm="1">
        <f t="array" aca="1" ref="T523" ca="1">_xll.BDH($E$6,"PX LAST",AH523)</f>
        <v>147.44</v>
      </c>
      <c r="U523" s="9" cm="1">
        <f t="array" aca="1" ref="U523" ca="1">_xll.BDH($E$6,"PX LAST",AI523)</f>
        <v>190.87</v>
      </c>
      <c r="V523" s="9" cm="1">
        <f t="array" aca="1" ref="V523" ca="1">_xll.BDH($E$6,"PX LAST",AJ523)</f>
        <v>173.33</v>
      </c>
      <c r="W523" s="9" cm="1">
        <f t="array" aca="1" ref="W523" ca="1">_xll.BDH($E$6,"PX LAST",AK523)</f>
        <v>154.66</v>
      </c>
      <c r="X523" s="24">
        <f t="shared" ca="1" si="126"/>
        <v>1.174416917011456E-2</v>
      </c>
      <c r="Y523" s="24">
        <f t="shared" ca="1" si="127"/>
        <v>1.8185601581461208E-2</v>
      </c>
      <c r="Z523" s="24">
        <f t="shared" ca="1" si="128"/>
        <v>3.9769848145545073E-2</v>
      </c>
      <c r="AA523" s="24">
        <f t="shared" ca="1" si="129"/>
        <v>0.11831189579885848</v>
      </c>
      <c r="AB523" s="9" cm="1">
        <f t="array" aca="1" ref="AB523" ca="1">_xll.BDH($E$8,"PX LAST",AG523)</f>
        <v>5088.8</v>
      </c>
      <c r="AC523" s="9" cm="1">
        <f t="array" aca="1" ref="AC523" ca="1">_xll.BDH($E$8,"PX LAST",AH523)</f>
        <v>5029.7299999999996</v>
      </c>
      <c r="AD523" s="9" cm="1">
        <f t="array" aca="1" ref="AD523" ca="1">_xll.BDH($E$8,"PX LAST",AI523)</f>
        <v>4997.91</v>
      </c>
      <c r="AE523" s="9" cm="1">
        <f t="array" aca="1" ref="AE523" ca="1">_xll.BDH($E$8,"PX LAST",AJ523)</f>
        <v>4894.16</v>
      </c>
      <c r="AF523" s="9" cm="1">
        <f t="array" aca="1" ref="AF523" ca="1">_xll.BDH($E$8,"PX LAST",AK523)</f>
        <v>4550.43</v>
      </c>
      <c r="AG523" s="20">
        <f t="shared" ca="1" si="135"/>
        <v>45345</v>
      </c>
      <c r="AH523" s="22">
        <f t="shared" ca="1" si="130"/>
        <v>45337</v>
      </c>
      <c r="AI523" s="22">
        <f t="shared" ca="1" si="131"/>
        <v>45330</v>
      </c>
      <c r="AJ523" s="22">
        <f t="shared" ca="1" si="132"/>
        <v>45316</v>
      </c>
      <c r="AK523" s="22">
        <f t="shared" ca="1" si="133"/>
        <v>45257</v>
      </c>
      <c r="AL523" s="22">
        <f t="shared" ca="1" si="134"/>
        <v>45169</v>
      </c>
    </row>
    <row r="524" spans="4:38" x14ac:dyDescent="0.25">
      <c r="D524" s="6">
        <f ca="1"/>
        <v>45344</v>
      </c>
      <c r="E524" s="28">
        <f ca="1"/>
        <v>144.52000000000001</v>
      </c>
      <c r="F524" s="29" cm="1">
        <f t="array" aca="1" ref="F524" ca="1">_xll.FDS($E$7,"P_BETA_LOCIDX("&amp;$AG524&amp;","&amp;$AL524&amp;",,"""&amp;$E$9&amp;""")")</f>
        <v>2.4224687</v>
      </c>
      <c r="G524" s="30">
        <f t="shared" ca="1" si="120"/>
        <v>-3.1583786215891071E-2</v>
      </c>
      <c r="H524" s="30">
        <f t="shared" ca="1" si="120"/>
        <v>-0.2767372750382931</v>
      </c>
      <c r="I524" s="30">
        <f t="shared" ca="1" si="120"/>
        <v>-0.26207866574519789</v>
      </c>
      <c r="J524" s="30">
        <f t="shared" ca="1" si="120"/>
        <v>-0.34405869756611979</v>
      </c>
      <c r="K524" s="30">
        <f t="shared" ca="1" si="121"/>
        <v>4.1859913444132965E-2</v>
      </c>
      <c r="L524" s="30">
        <f t="shared" ca="1" si="121"/>
        <v>4.4602956989305338E-2</v>
      </c>
      <c r="M524" s="30">
        <f t="shared" ca="1" si="121"/>
        <v>0.10871018302697891</v>
      </c>
      <c r="N524" s="30">
        <f t="shared" ca="1" si="121"/>
        <v>0.2803722706143868</v>
      </c>
      <c r="O524" s="30">
        <f t="shared" ca="1" si="122"/>
        <v>1.0276127228241894E-2</v>
      </c>
      <c r="P524" s="30">
        <f t="shared" ca="1" si="123"/>
        <v>-0.23213431804898776</v>
      </c>
      <c r="Q524" s="30">
        <f t="shared" ca="1" si="124"/>
        <v>-0.15336848271821901</v>
      </c>
      <c r="R524" s="30">
        <f t="shared" ca="1" si="125"/>
        <v>-6.3686426951732988E-2</v>
      </c>
      <c r="S524" s="9" cm="1">
        <f t="array" aca="1" ref="S524" ca="1">_xll.BDH($E$6,"PX LAST",AG524)</f>
        <v>144.52000000000001</v>
      </c>
      <c r="T524" s="9" cm="1">
        <f t="array" aca="1" ref="T524" ca="1">_xll.BDH($E$6,"PX LAST",AH524)</f>
        <v>143.05000000000001</v>
      </c>
      <c r="U524" s="9" cm="1">
        <f t="array" aca="1" ref="U524" ca="1">_xll.BDH($E$6,"PX LAST",AI524)</f>
        <v>188.21</v>
      </c>
      <c r="V524" s="9" cm="1">
        <f t="array" aca="1" ref="V524" ca="1">_xll.BDH($E$6,"PX LAST",AJ524)</f>
        <v>170.7</v>
      </c>
      <c r="W524" s="9" cm="1">
        <f t="array" aca="1" ref="W524" ca="1">_xll.BDH($E$6,"PX LAST",AK524)</f>
        <v>154.35</v>
      </c>
      <c r="X524" s="24">
        <f t="shared" ca="1" si="126"/>
        <v>1.72798572976951E-2</v>
      </c>
      <c r="Y524" s="24">
        <f t="shared" ca="1" si="127"/>
        <v>1.8412191244949971E-2</v>
      </c>
      <c r="Z524" s="24">
        <f t="shared" ca="1" si="128"/>
        <v>4.4875784371116501E-2</v>
      </c>
      <c r="AA524" s="24">
        <f t="shared" ca="1" si="129"/>
        <v>0.11573824281584599</v>
      </c>
      <c r="AB524" s="9" cm="1">
        <f t="array" aca="1" ref="AB524" ca="1">_xll.BDH($E$8,"PX LAST",AG524)</f>
        <v>5087.03</v>
      </c>
      <c r="AC524" s="9" cm="1">
        <f t="array" aca="1" ref="AC524" ca="1">_xll.BDH($E$8,"PX LAST",AH524)</f>
        <v>5000.62</v>
      </c>
      <c r="AD524" s="9" cm="1">
        <f t="array" aca="1" ref="AD524" ca="1">_xll.BDH($E$8,"PX LAST",AI524)</f>
        <v>4995.0600000000004</v>
      </c>
      <c r="AE524" s="9" cm="1">
        <f t="array" aca="1" ref="AE524" ca="1">_xll.BDH($E$8,"PX LAST",AJ524)</f>
        <v>4868.55</v>
      </c>
      <c r="AF524" s="9" cm="1">
        <f t="array" aca="1" ref="AF524" ca="1">_xll.BDH($E$8,"PX LAST",AK524)</f>
        <v>4559.34</v>
      </c>
      <c r="AG524" s="20">
        <f t="shared" ca="1" si="135"/>
        <v>45344</v>
      </c>
      <c r="AH524" s="22">
        <f t="shared" ca="1" si="130"/>
        <v>45336</v>
      </c>
      <c r="AI524" s="22">
        <f t="shared" ca="1" si="131"/>
        <v>45329</v>
      </c>
      <c r="AJ524" s="22">
        <f t="shared" ca="1" si="132"/>
        <v>45315</v>
      </c>
      <c r="AK524" s="22">
        <f t="shared" ca="1" si="133"/>
        <v>45254</v>
      </c>
      <c r="AL524" s="22">
        <f t="shared" ca="1" si="134"/>
        <v>45168</v>
      </c>
    </row>
    <row r="525" spans="4:38" x14ac:dyDescent="0.25">
      <c r="D525" s="6">
        <f ca="1"/>
        <v>45343</v>
      </c>
      <c r="E525" s="28">
        <f ca="1"/>
        <v>142.55000000000001</v>
      </c>
      <c r="F525" s="29" cm="1">
        <f t="array" aca="1" ref="F525" ca="1">_xll.FDS($E$7,"P_BETA_LOCIDX("&amp;$AG525&amp;","&amp;$AL525&amp;",,"""&amp;$E$9&amp;""")")</f>
        <v>2.4911560000000001</v>
      </c>
      <c r="G525" s="30">
        <f t="shared" ca="1" si="120"/>
        <v>6.0719564866113407E-2</v>
      </c>
      <c r="H525" s="30">
        <f t="shared" ca="1" si="120"/>
        <v>-0.24165295316122534</v>
      </c>
      <c r="I525" s="30">
        <f t="shared" ca="1" si="120"/>
        <v>-0.23545759492795595</v>
      </c>
      <c r="J525" s="30">
        <f t="shared" ca="1" si="120"/>
        <v>-0.29861517220165346</v>
      </c>
      <c r="K525" s="30">
        <f t="shared" ca="1" si="121"/>
        <v>1.4399222372743379E-2</v>
      </c>
      <c r="L525" s="30">
        <f t="shared" ca="1" si="121"/>
        <v>1.3863137343240607E-2</v>
      </c>
      <c r="M525" s="30">
        <f t="shared" ca="1" si="121"/>
        <v>6.0017983636887075E-2</v>
      </c>
      <c r="N525" s="30">
        <f t="shared" ca="1" si="121"/>
        <v>0.23245074377060204</v>
      </c>
      <c r="O525" s="30">
        <f t="shared" ca="1" si="122"/>
        <v>7.5118787238856788E-2</v>
      </c>
      <c r="P525" s="30">
        <f t="shared" ca="1" si="123"/>
        <v>-0.22778981581798474</v>
      </c>
      <c r="Q525" s="30">
        <f t="shared" ca="1" si="124"/>
        <v>-0.17543961129106889</v>
      </c>
      <c r="R525" s="30">
        <f t="shared" ca="1" si="125"/>
        <v>-6.6164428431051414E-2</v>
      </c>
      <c r="S525" s="9" cm="1">
        <f t="array" aca="1" ref="S525" ca="1">_xll.BDH($E$6,"PX LAST",AG525)</f>
        <v>142.55000000000001</v>
      </c>
      <c r="T525" s="9" cm="1">
        <f t="array" aca="1" ref="T525" ca="1">_xll.BDH($E$6,"PX LAST",AH525)</f>
        <v>132.59</v>
      </c>
      <c r="U525" s="9" cm="1">
        <f t="array" aca="1" ref="U525" ca="1">_xll.BDH($E$6,"PX LAST",AI525)</f>
        <v>184.6</v>
      </c>
      <c r="V525" s="9" cm="1">
        <f t="array" aca="1" ref="V525" ca="1">_xll.BDH($E$6,"PX LAST",AJ525)</f>
        <v>172.88</v>
      </c>
      <c r="W525" s="9" cm="1">
        <f t="array" aca="1" ref="W525" ca="1">_xll.BDH($E$6,"PX LAST",AK525)</f>
        <v>152.65</v>
      </c>
      <c r="X525" s="24">
        <f t="shared" ca="1" si="126"/>
        <v>5.780136760902721E-3</v>
      </c>
      <c r="Y525" s="24">
        <f t="shared" ca="1" si="127"/>
        <v>5.5649414742555692E-3</v>
      </c>
      <c r="Z525" s="24">
        <f t="shared" ca="1" si="128"/>
        <v>2.4092422809686376E-2</v>
      </c>
      <c r="AA525" s="24">
        <f t="shared" ca="1" si="129"/>
        <v>9.3310392352226046E-2</v>
      </c>
      <c r="AB525" s="9" cm="1">
        <f t="array" aca="1" ref="AB525" ca="1">_xll.BDH($E$8,"PX LAST",AG525)</f>
        <v>4981.8</v>
      </c>
      <c r="AC525" s="9" cm="1">
        <f t="array" aca="1" ref="AC525" ca="1">_xll.BDH($E$8,"PX LAST",AH525)</f>
        <v>4953.17</v>
      </c>
      <c r="AD525" s="9" cm="1">
        <f t="array" aca="1" ref="AD525" ca="1">_xll.BDH($E$8,"PX LAST",AI525)</f>
        <v>4954.2299999999996</v>
      </c>
      <c r="AE525" s="9" cm="1">
        <f t="array" aca="1" ref="AE525" ca="1">_xll.BDH($E$8,"PX LAST",AJ525)</f>
        <v>4864.6000000000004</v>
      </c>
      <c r="AF525" s="9" cm="1">
        <f t="array" aca="1" ref="AF525" ca="1">_xll.BDH($E$8,"PX LAST",AK525)</f>
        <v>4556.62</v>
      </c>
      <c r="AG525" s="20">
        <f t="shared" ca="1" si="135"/>
        <v>45343</v>
      </c>
      <c r="AH525" s="22">
        <f t="shared" ca="1" si="130"/>
        <v>45335</v>
      </c>
      <c r="AI525" s="22">
        <f t="shared" ca="1" si="131"/>
        <v>45328</v>
      </c>
      <c r="AJ525" s="22">
        <f t="shared" ca="1" si="132"/>
        <v>45314</v>
      </c>
      <c r="AK525" s="22">
        <f t="shared" ca="1" si="133"/>
        <v>45252</v>
      </c>
      <c r="AL525" s="22">
        <f t="shared" ca="1" si="134"/>
        <v>45167</v>
      </c>
    </row>
    <row r="526" spans="4:38" x14ac:dyDescent="0.25">
      <c r="D526" s="6">
        <f ca="1"/>
        <v>45342</v>
      </c>
      <c r="E526" s="28">
        <f ca="1"/>
        <v>145.03</v>
      </c>
      <c r="F526" s="29" cm="1">
        <f t="array" aca="1" ref="F526" ca="1">_xll.FDS($E$7,"P_BETA_LOCIDX("&amp;$AG526&amp;","&amp;$AL526&amp;",,"""&amp;$E$9&amp;""")")</f>
        <v>2.4990356</v>
      </c>
      <c r="G526" s="30">
        <f t="shared" ca="1" si="120"/>
        <v>-0.22365943962829621</v>
      </c>
      <c r="H526" s="30">
        <f t="shared" ca="1" si="120"/>
        <v>-0.21526207670039293</v>
      </c>
      <c r="I526" s="30">
        <f t="shared" ca="1" si="120"/>
        <v>-0.23881458553524643</v>
      </c>
      <c r="J526" s="30">
        <f t="shared" ca="1" si="120"/>
        <v>-0.28679888216298943</v>
      </c>
      <c r="K526" s="30">
        <f t="shared" ca="1" si="121"/>
        <v>-2.3055358065569641E-2</v>
      </c>
      <c r="L526" s="30">
        <f t="shared" ca="1" si="121"/>
        <v>1.6532794932437131E-2</v>
      </c>
      <c r="M526" s="30">
        <f t="shared" ca="1" si="121"/>
        <v>6.4443641666408855E-2</v>
      </c>
      <c r="N526" s="30">
        <f t="shared" ca="1" si="121"/>
        <v>0.24081809016193689</v>
      </c>
      <c r="O526" s="30">
        <f t="shared" ca="1" si="122"/>
        <v>-0.24671479769386584</v>
      </c>
      <c r="P526" s="30">
        <f t="shared" ca="1" si="123"/>
        <v>-0.19872928176795579</v>
      </c>
      <c r="Q526" s="30">
        <f t="shared" ca="1" si="124"/>
        <v>-0.17437094386883756</v>
      </c>
      <c r="R526" s="30">
        <f t="shared" ca="1" si="125"/>
        <v>-4.5980792001052539E-2</v>
      </c>
      <c r="S526" s="9" cm="1">
        <f t="array" aca="1" ref="S526" ca="1">_xll.BDH($E$6,"PX LAST",AG526)</f>
        <v>145.03</v>
      </c>
      <c r="T526" s="9" cm="1">
        <f t="array" aca="1" ref="T526" ca="1">_xll.BDH($E$6,"PX LAST",AH526)</f>
        <v>192.53</v>
      </c>
      <c r="U526" s="9" cm="1">
        <f t="array" aca="1" ref="U526" ca="1">_xll.BDH($E$6,"PX LAST",AI526)</f>
        <v>181</v>
      </c>
      <c r="V526" s="9" cm="1">
        <f t="array" aca="1" ref="V526" ca="1">_xll.BDH($E$6,"PX LAST",AJ526)</f>
        <v>175.66</v>
      </c>
      <c r="W526" s="9" cm="1">
        <f t="array" aca="1" ref="W526" ca="1">_xll.BDH($E$6,"PX LAST",AK526)</f>
        <v>152.02000000000001</v>
      </c>
      <c r="X526" s="24">
        <f t="shared" ca="1" si="126"/>
        <v>-9.2257021330827138E-3</v>
      </c>
      <c r="Y526" s="24">
        <f t="shared" ca="1" si="127"/>
        <v>6.6156700338471097E-3</v>
      </c>
      <c r="Z526" s="24">
        <f t="shared" ca="1" si="128"/>
        <v>2.578740441569094E-2</v>
      </c>
      <c r="AA526" s="24">
        <f t="shared" ca="1" si="129"/>
        <v>9.636440959942183E-2</v>
      </c>
      <c r="AB526" s="9" cm="1">
        <f t="array" aca="1" ref="AB526" ca="1">_xll.BDH($E$8,"PX LAST",AG526)</f>
        <v>4975.51</v>
      </c>
      <c r="AC526" s="9" cm="1">
        <f t="array" aca="1" ref="AC526" ca="1">_xll.BDH($E$8,"PX LAST",AH526)</f>
        <v>5021.84</v>
      </c>
      <c r="AD526" s="9" cm="1">
        <f t="array" aca="1" ref="AD526" ca="1">_xll.BDH($E$8,"PX LAST",AI526)</f>
        <v>4942.8100000000004</v>
      </c>
      <c r="AE526" s="9" cm="1">
        <f t="array" aca="1" ref="AE526" ca="1">_xll.BDH($E$8,"PX LAST",AJ526)</f>
        <v>4850.43</v>
      </c>
      <c r="AF526" s="9" cm="1">
        <f t="array" aca="1" ref="AF526" ca="1">_xll.BDH($E$8,"PX LAST",AK526)</f>
        <v>4538.1899999999996</v>
      </c>
      <c r="AG526" s="20">
        <f t="shared" ca="1" si="135"/>
        <v>45342</v>
      </c>
      <c r="AH526" s="22">
        <f t="shared" ca="1" si="130"/>
        <v>45334</v>
      </c>
      <c r="AI526" s="22">
        <f t="shared" ca="1" si="131"/>
        <v>45327</v>
      </c>
      <c r="AJ526" s="22">
        <f t="shared" ca="1" si="132"/>
        <v>45313</v>
      </c>
      <c r="AK526" s="22">
        <f t="shared" ca="1" si="133"/>
        <v>45251</v>
      </c>
      <c r="AL526" s="22">
        <f t="shared" ca="1" si="134"/>
        <v>45166</v>
      </c>
    </row>
    <row r="527" spans="4:38" x14ac:dyDescent="0.25">
      <c r="D527" s="6">
        <f ca="1"/>
        <v>45338</v>
      </c>
      <c r="E527" s="28">
        <f ca="1"/>
        <v>145.68</v>
      </c>
      <c r="F527" s="29" cm="1">
        <f t="array" aca="1" ref="F527" ca="1">_xll.FDS($E$7,"P_BETA_LOCIDX("&amp;$AG527&amp;","&amp;$AL527&amp;",,"""&amp;$E$9&amp;""")")</f>
        <v>2.5016600000000002</v>
      </c>
      <c r="G527" s="30">
        <f t="shared" ca="1" si="120"/>
        <v>-0.23794230102379194</v>
      </c>
      <c r="H527" s="30">
        <f t="shared" ca="1" si="120"/>
        <v>-0.23251156623803343</v>
      </c>
      <c r="I527" s="30">
        <f t="shared" ca="1" si="120"/>
        <v>-0.25131578858563375</v>
      </c>
      <c r="J527" s="30">
        <f t="shared" ca="1" si="120"/>
        <v>-0.30177151415581693</v>
      </c>
      <c r="K527" s="30">
        <f t="shared" ca="1" si="121"/>
        <v>-1.0471257248921215E-2</v>
      </c>
      <c r="L527" s="30">
        <f t="shared" ca="1" si="121"/>
        <v>2.3691710701184528E-2</v>
      </c>
      <c r="M527" s="30">
        <f t="shared" ca="1" si="121"/>
        <v>8.5680049754018661E-2</v>
      </c>
      <c r="N527" s="30">
        <f t="shared" ca="1" si="121"/>
        <v>0.25206505623018094</v>
      </c>
      <c r="O527" s="30">
        <f t="shared" ca="1" si="122"/>
        <v>-0.24841355827271316</v>
      </c>
      <c r="P527" s="30">
        <f t="shared" ca="1" si="123"/>
        <v>-0.2088198555368489</v>
      </c>
      <c r="Q527" s="30">
        <f t="shared" ca="1" si="124"/>
        <v>-0.16563573883161509</v>
      </c>
      <c r="R527" s="30">
        <f t="shared" ca="1" si="125"/>
        <v>-4.9706457925635994E-2</v>
      </c>
      <c r="S527" s="9" cm="1">
        <f t="array" aca="1" ref="S527" ca="1">_xll.BDH($E$6,"PX LAST",AG527)</f>
        <v>145.68</v>
      </c>
      <c r="T527" s="9" cm="1">
        <f t="array" aca="1" ref="T527" ca="1">_xll.BDH($E$6,"PX LAST",AH527)</f>
        <v>193.83</v>
      </c>
      <c r="U527" s="9" cm="1">
        <f t="array" aca="1" ref="U527" ca="1">_xll.BDH($E$6,"PX LAST",AI527)</f>
        <v>184.13</v>
      </c>
      <c r="V527" s="9" cm="1">
        <f t="array" aca="1" ref="V527" ca="1">_xll.BDH($E$6,"PX LAST",AJ527)</f>
        <v>174.6</v>
      </c>
      <c r="W527" s="9" cm="1">
        <f t="array" aca="1" ref="W527" ca="1">_xll.BDH($E$6,"PX LAST",AK527)</f>
        <v>153.30000000000001</v>
      </c>
      <c r="X527" s="24">
        <f t="shared" ca="1" si="126"/>
        <v>-4.1857235791119551E-3</v>
      </c>
      <c r="Y527" s="24">
        <f t="shared" ca="1" si="127"/>
        <v>9.4703959375712632E-3</v>
      </c>
      <c r="Z527" s="24">
        <f t="shared" ca="1" si="128"/>
        <v>3.4249278380762638E-2</v>
      </c>
      <c r="AA527" s="24">
        <f t="shared" ca="1" si="129"/>
        <v>0.10075911843742991</v>
      </c>
      <c r="AB527" s="9" cm="1">
        <f t="array" aca="1" ref="AB527" ca="1">_xll.BDH($E$8,"PX LAST",AG527)</f>
        <v>5005.57</v>
      </c>
      <c r="AC527" s="9" cm="1">
        <f t="array" aca="1" ref="AC527" ca="1">_xll.BDH($E$8,"PX LAST",AH527)</f>
        <v>5026.6099999999997</v>
      </c>
      <c r="AD527" s="9" cm="1">
        <f t="array" aca="1" ref="AD527" ca="1">_xll.BDH($E$8,"PX LAST",AI527)</f>
        <v>4958.6099999999997</v>
      </c>
      <c r="AE527" s="9" cm="1">
        <f t="array" aca="1" ref="AE527" ca="1">_xll.BDH($E$8,"PX LAST",AJ527)</f>
        <v>4839.8100000000004</v>
      </c>
      <c r="AF527" s="9" cm="1">
        <f t="array" aca="1" ref="AF527" ca="1">_xll.BDH($E$8,"PX LAST",AK527)</f>
        <v>4547.38</v>
      </c>
      <c r="AG527" s="20">
        <f t="shared" ca="1" si="135"/>
        <v>45338</v>
      </c>
      <c r="AH527" s="22">
        <f t="shared" ca="1" si="130"/>
        <v>45331</v>
      </c>
      <c r="AI527" s="22">
        <f t="shared" ca="1" si="131"/>
        <v>45324</v>
      </c>
      <c r="AJ527" s="22">
        <f t="shared" ca="1" si="132"/>
        <v>45310</v>
      </c>
      <c r="AK527" s="22">
        <f t="shared" ca="1" si="133"/>
        <v>45250</v>
      </c>
      <c r="AL527" s="22">
        <f t="shared" ca="1" si="134"/>
        <v>45163</v>
      </c>
    </row>
    <row r="528" spans="4:38" x14ac:dyDescent="0.25">
      <c r="D528" s="6">
        <f ca="1"/>
        <v>45337</v>
      </c>
      <c r="E528" s="28">
        <f ca="1"/>
        <v>147.44</v>
      </c>
      <c r="F528" s="29" cm="1">
        <f t="array" aca="1" ref="F528" ca="1">_xll.FDS($E$7,"P_BETA_LOCIDX("&amp;$AG528&amp;","&amp;$AL528&amp;",,"""&amp;$E$9&amp;""")")</f>
        <v>2.4341710000000001</v>
      </c>
      <c r="G528" s="30">
        <f t="shared" ca="1" si="120"/>
        <v>-0.24303460933038867</v>
      </c>
      <c r="H528" s="30">
        <f t="shared" ca="1" si="120"/>
        <v>-0.22470701245048502</v>
      </c>
      <c r="I528" s="30">
        <f t="shared" ca="1" si="120"/>
        <v>-0.26936011814097238</v>
      </c>
      <c r="J528" s="30">
        <f t="shared" ca="1" si="120"/>
        <v>-0.30688096796996472</v>
      </c>
      <c r="K528" s="30">
        <f t="shared" ca="1" si="121"/>
        <v>1.5497542216646346E-2</v>
      </c>
      <c r="L528" s="30">
        <f t="shared" ca="1" si="121"/>
        <v>6.1293485441860376E-2</v>
      </c>
      <c r="M528" s="30">
        <f t="shared" ca="1" si="121"/>
        <v>0.12666910755834648</v>
      </c>
      <c r="N528" s="30">
        <f t="shared" ca="1" si="121"/>
        <v>0.27809498549186712</v>
      </c>
      <c r="O528" s="30">
        <f t="shared" ca="1" si="122"/>
        <v>-0.22753706711374233</v>
      </c>
      <c r="P528" s="30">
        <f t="shared" ca="1" si="123"/>
        <v>-0.16341352700862466</v>
      </c>
      <c r="Q528" s="30">
        <f t="shared" ca="1" si="124"/>
        <v>-0.1426910105826259</v>
      </c>
      <c r="R528" s="30">
        <f t="shared" ca="1" si="125"/>
        <v>-2.8785982478097605E-2</v>
      </c>
      <c r="S528" s="9" cm="1">
        <f t="array" aca="1" ref="S528" ca="1">_xll.BDH($E$6,"PX LAST",AG528)</f>
        <v>147.44</v>
      </c>
      <c r="T528" s="9" cm="1">
        <f t="array" aca="1" ref="T528" ca="1">_xll.BDH($E$6,"PX LAST",AH528)</f>
        <v>190.87</v>
      </c>
      <c r="U528" s="9" cm="1">
        <f t="array" aca="1" ref="U528" ca="1">_xll.BDH($E$6,"PX LAST",AI528)</f>
        <v>176.24</v>
      </c>
      <c r="V528" s="9" cm="1">
        <f t="array" aca="1" ref="V528" ca="1">_xll.BDH($E$6,"PX LAST",AJ528)</f>
        <v>171.98</v>
      </c>
      <c r="W528" s="9" cm="1">
        <f t="array" aca="1" ref="W528" ca="1">_xll.BDH($E$6,"PX LAST",AK528)</f>
        <v>151.81</v>
      </c>
      <c r="X528" s="24">
        <f t="shared" ca="1" si="126"/>
        <v>6.3666612644084353E-3</v>
      </c>
      <c r="Y528" s="24">
        <f t="shared" ca="1" si="127"/>
        <v>2.5180435327616824E-2</v>
      </c>
      <c r="Z528" s="24">
        <f t="shared" ca="1" si="128"/>
        <v>5.2037883763444093E-2</v>
      </c>
      <c r="AA528" s="24">
        <f t="shared" ca="1" si="129"/>
        <v>0.11424628158492856</v>
      </c>
      <c r="AB528" s="9" cm="1">
        <f t="array" aca="1" ref="AB528" ca="1">_xll.BDH($E$8,"PX LAST",AG528)</f>
        <v>5029.7299999999996</v>
      </c>
      <c r="AC528" s="9" cm="1">
        <f t="array" aca="1" ref="AC528" ca="1">_xll.BDH($E$8,"PX LAST",AH528)</f>
        <v>4997.91</v>
      </c>
      <c r="AD528" s="9" cm="1">
        <f t="array" aca="1" ref="AD528" ca="1">_xll.BDH($E$8,"PX LAST",AI528)</f>
        <v>4906.1899999999996</v>
      </c>
      <c r="AE528" s="9" cm="1">
        <f t="array" aca="1" ref="AE528" ca="1">_xll.BDH($E$8,"PX LAST",AJ528)</f>
        <v>4780.9399999999996</v>
      </c>
      <c r="AF528" s="9" cm="1">
        <f t="array" aca="1" ref="AF528" ca="1">_xll.BDH($E$8,"PX LAST",AK528)</f>
        <v>4514.0200000000004</v>
      </c>
      <c r="AG528" s="20">
        <f t="shared" ca="1" si="135"/>
        <v>45337</v>
      </c>
      <c r="AH528" s="22">
        <f t="shared" ca="1" si="130"/>
        <v>45330</v>
      </c>
      <c r="AI528" s="22">
        <f t="shared" ca="1" si="131"/>
        <v>45323</v>
      </c>
      <c r="AJ528" s="22">
        <f t="shared" ca="1" si="132"/>
        <v>45309</v>
      </c>
      <c r="AK528" s="22">
        <f t="shared" ca="1" si="133"/>
        <v>45247</v>
      </c>
      <c r="AL528" s="22">
        <f t="shared" ca="1" si="134"/>
        <v>45162</v>
      </c>
    </row>
    <row r="529" spans="4:38" x14ac:dyDescent="0.25">
      <c r="D529" s="6">
        <f ca="1"/>
        <v>45336</v>
      </c>
      <c r="E529" s="28">
        <f ca="1"/>
        <v>143.05000000000001</v>
      </c>
      <c r="F529" s="29" cm="1">
        <f t="array" aca="1" ref="F529" ca="1">_xll.FDS($E$7,"P_BETA_LOCIDX("&amp;$AG529&amp;","&amp;$AL529&amp;",,"""&amp;$E$9&amp;""")")</f>
        <v>2.4138575000000002</v>
      </c>
      <c r="G529" s="30">
        <f t="shared" ca="1" si="120"/>
        <v>-0.24263160673657497</v>
      </c>
      <c r="H529" s="30">
        <f t="shared" ca="1" si="120"/>
        <v>-0.25279756257836894</v>
      </c>
      <c r="I529" s="30">
        <f t="shared" ca="1" si="120"/>
        <v>-0.28729682162961023</v>
      </c>
      <c r="J529" s="30">
        <f t="shared" ca="1" si="120"/>
        <v>-0.29004330903854303</v>
      </c>
      <c r="K529" s="30">
        <f t="shared" ca="1" si="121"/>
        <v>2.6868641617914663E-3</v>
      </c>
      <c r="L529" s="30">
        <f t="shared" ca="1" si="121"/>
        <v>7.7198208037105753E-2</v>
      </c>
      <c r="M529" s="30">
        <f t="shared" ca="1" si="121"/>
        <v>0.13314592285950624</v>
      </c>
      <c r="N529" s="30">
        <f t="shared" ca="1" si="121"/>
        <v>0.2636361763903432</v>
      </c>
      <c r="O529" s="30">
        <f t="shared" ca="1" si="122"/>
        <v>-0.23994474257478349</v>
      </c>
      <c r="P529" s="30">
        <f t="shared" ca="1" si="123"/>
        <v>-0.17559935454126319</v>
      </c>
      <c r="Q529" s="30">
        <f t="shared" ca="1" si="124"/>
        <v>-0.15415089877010402</v>
      </c>
      <c r="R529" s="30">
        <f t="shared" ca="1" si="125"/>
        <v>-2.6407132648199827E-2</v>
      </c>
      <c r="S529" s="9" cm="1">
        <f t="array" aca="1" ref="S529" ca="1">_xll.BDH($E$6,"PX LAST",AG529)</f>
        <v>143.05000000000001</v>
      </c>
      <c r="T529" s="9" cm="1">
        <f t="array" aca="1" ref="T529" ca="1">_xll.BDH($E$6,"PX LAST",AH529)</f>
        <v>188.21</v>
      </c>
      <c r="U529" s="9" cm="1">
        <f t="array" aca="1" ref="U529" ca="1">_xll.BDH($E$6,"PX LAST",AI529)</f>
        <v>173.52</v>
      </c>
      <c r="V529" s="9" cm="1">
        <f t="array" aca="1" ref="V529" ca="1">_xll.BDH($E$6,"PX LAST",AJ529)</f>
        <v>169.12</v>
      </c>
      <c r="W529" s="9" cm="1">
        <f t="array" aca="1" ref="W529" ca="1">_xll.BDH($E$6,"PX LAST",AK529)</f>
        <v>146.93</v>
      </c>
      <c r="X529" s="24">
        <f t="shared" ca="1" si="126"/>
        <v>1.1130997425454758E-3</v>
      </c>
      <c r="Y529" s="24">
        <f t="shared" ca="1" si="127"/>
        <v>3.1981261543859052E-2</v>
      </c>
      <c r="Z529" s="24">
        <f t="shared" ca="1" si="128"/>
        <v>5.5158982193234785E-2</v>
      </c>
      <c r="AA529" s="24">
        <f t="shared" ca="1" si="129"/>
        <v>0.10921778787287284</v>
      </c>
      <c r="AB529" s="9" cm="1">
        <f t="array" aca="1" ref="AB529" ca="1">_xll.BDH($E$8,"PX LAST",AG529)</f>
        <v>5000.62</v>
      </c>
      <c r="AC529" s="9" cm="1">
        <f t="array" aca="1" ref="AC529" ca="1">_xll.BDH($E$8,"PX LAST",AH529)</f>
        <v>4995.0600000000004</v>
      </c>
      <c r="AD529" s="9" cm="1">
        <f t="array" aca="1" ref="AD529" ca="1">_xll.BDH($E$8,"PX LAST",AI529)</f>
        <v>4845.6499999999996</v>
      </c>
      <c r="AE529" s="9" cm="1">
        <f t="array" aca="1" ref="AE529" ca="1">_xll.BDH($E$8,"PX LAST",AJ529)</f>
        <v>4739.21</v>
      </c>
      <c r="AF529" s="9" cm="1">
        <f t="array" aca="1" ref="AF529" ca="1">_xll.BDH($E$8,"PX LAST",AK529)</f>
        <v>4508.24</v>
      </c>
      <c r="AG529" s="20">
        <f t="shared" ca="1" si="135"/>
        <v>45336</v>
      </c>
      <c r="AH529" s="22">
        <f t="shared" ca="1" si="130"/>
        <v>45329</v>
      </c>
      <c r="AI529" s="22">
        <f t="shared" ca="1" si="131"/>
        <v>45322</v>
      </c>
      <c r="AJ529" s="22">
        <f t="shared" ca="1" si="132"/>
        <v>45308</v>
      </c>
      <c r="AK529" s="22">
        <f t="shared" ca="1" si="133"/>
        <v>45246</v>
      </c>
      <c r="AL529" s="22">
        <f t="shared" ca="1" si="134"/>
        <v>45161</v>
      </c>
    </row>
    <row r="530" spans="4:38" x14ac:dyDescent="0.25">
      <c r="D530" s="6">
        <f ca="1"/>
        <v>45335</v>
      </c>
      <c r="E530" s="28">
        <f ca="1"/>
        <v>132.59</v>
      </c>
      <c r="F530" s="29" cm="1">
        <f t="array" aca="1" ref="F530" ca="1">_xll.FDS($E$7,"P_BETA_LOCIDX("&amp;$AG530&amp;","&amp;$AL530&amp;",,"""&amp;$E$9&amp;""")")</f>
        <v>2.3384594999999999</v>
      </c>
      <c r="G530" s="30">
        <f t="shared" ca="1" si="120"/>
        <v>-0.28124397855944949</v>
      </c>
      <c r="H530" s="30">
        <f t="shared" ca="1" si="120"/>
        <v>-0.2583644992691298</v>
      </c>
      <c r="I530" s="30">
        <f t="shared" ca="1" si="120"/>
        <v>-0.30951180856050176</v>
      </c>
      <c r="J530" s="30">
        <f t="shared" ca="1" si="120"/>
        <v>-0.33432188688668896</v>
      </c>
      <c r="K530" s="30">
        <f t="shared" ca="1" si="121"/>
        <v>-5.003334665526336E-4</v>
      </c>
      <c r="L530" s="30">
        <f t="shared" ca="1" si="121"/>
        <v>1.3389839511712739E-2</v>
      </c>
      <c r="M530" s="30">
        <f t="shared" ca="1" si="121"/>
        <v>9.184600728601508E-2</v>
      </c>
      <c r="N530" s="30">
        <f t="shared" ca="1" si="121"/>
        <v>0.23384698865059672</v>
      </c>
      <c r="O530" s="30">
        <f t="shared" ca="1" si="122"/>
        <v>-0.28174431202600214</v>
      </c>
      <c r="P530" s="30">
        <f t="shared" ca="1" si="123"/>
        <v>-0.24497465975741706</v>
      </c>
      <c r="Q530" s="30">
        <f t="shared" ca="1" si="124"/>
        <v>-0.21766580127448665</v>
      </c>
      <c r="R530" s="30">
        <f t="shared" ca="1" si="125"/>
        <v>-0.10047489823609224</v>
      </c>
      <c r="S530" s="9" cm="1">
        <f t="array" aca="1" ref="S530" ca="1">_xll.BDH($E$6,"PX LAST",AG530)</f>
        <v>132.59</v>
      </c>
      <c r="T530" s="9" cm="1">
        <f t="array" aca="1" ref="T530" ca="1">_xll.BDH($E$6,"PX LAST",AH530)</f>
        <v>184.6</v>
      </c>
      <c r="U530" s="9" cm="1">
        <f t="array" aca="1" ref="U530" ca="1">_xll.BDH($E$6,"PX LAST",AI530)</f>
        <v>175.61</v>
      </c>
      <c r="V530" s="9" cm="1">
        <f t="array" aca="1" ref="V530" ca="1">_xll.BDH($E$6,"PX LAST",AJ530)</f>
        <v>169.48</v>
      </c>
      <c r="W530" s="9" cm="1">
        <f t="array" aca="1" ref="W530" ca="1">_xll.BDH($E$6,"PX LAST",AK530)</f>
        <v>147.4</v>
      </c>
      <c r="X530" s="24">
        <f t="shared" ca="1" si="126"/>
        <v>-2.1395857681205666E-4</v>
      </c>
      <c r="Y530" s="24">
        <f t="shared" ca="1" si="127"/>
        <v>5.7259232035931085E-3</v>
      </c>
      <c r="Z530" s="24">
        <f t="shared" ca="1" si="128"/>
        <v>3.9276287353283257E-2</v>
      </c>
      <c r="AA530" s="24">
        <f t="shared" ca="1" si="129"/>
        <v>0.10000044416018183</v>
      </c>
      <c r="AB530" s="9" cm="1">
        <f t="array" aca="1" ref="AB530" ca="1">_xll.BDH($E$8,"PX LAST",AG530)</f>
        <v>4953.17</v>
      </c>
      <c r="AC530" s="9" cm="1">
        <f t="array" aca="1" ref="AC530" ca="1">_xll.BDH($E$8,"PX LAST",AH530)</f>
        <v>4954.2299999999996</v>
      </c>
      <c r="AD530" s="9" cm="1">
        <f t="array" aca="1" ref="AD530" ca="1">_xll.BDH($E$8,"PX LAST",AI530)</f>
        <v>4924.97</v>
      </c>
      <c r="AE530" s="9" cm="1">
        <f t="array" aca="1" ref="AE530" ca="1">_xll.BDH($E$8,"PX LAST",AJ530)</f>
        <v>4765.9799999999996</v>
      </c>
      <c r="AF530" s="9" cm="1">
        <f t="array" aca="1" ref="AF530" ca="1">_xll.BDH($E$8,"PX LAST",AK530)</f>
        <v>4502.88</v>
      </c>
      <c r="AG530" s="20">
        <f t="shared" ca="1" si="135"/>
        <v>45335</v>
      </c>
      <c r="AH530" s="22">
        <f t="shared" ca="1" si="130"/>
        <v>45328</v>
      </c>
      <c r="AI530" s="22">
        <f t="shared" ca="1" si="131"/>
        <v>45321</v>
      </c>
      <c r="AJ530" s="22">
        <f t="shared" ca="1" si="132"/>
        <v>45307</v>
      </c>
      <c r="AK530" s="22">
        <f t="shared" ca="1" si="133"/>
        <v>45245</v>
      </c>
      <c r="AL530" s="22">
        <f t="shared" ca="1" si="134"/>
        <v>45160</v>
      </c>
    </row>
    <row r="531" spans="4:38" x14ac:dyDescent="0.25">
      <c r="D531" s="6">
        <f ca="1"/>
        <v>45334</v>
      </c>
      <c r="E531" s="28">
        <f ca="1"/>
        <v>192.53</v>
      </c>
      <c r="F531" s="29" cm="1">
        <f t="array" aca="1" ref="F531" ca="1">_xll.FDS($E$7,"P_BETA_LOCIDX("&amp;$AG531&amp;","&amp;$AL531&amp;",,"""&amp;$E$9&amp;""")")</f>
        <v>1.7206124</v>
      </c>
      <c r="G531" s="30">
        <f t="shared" ca="1" si="120"/>
        <v>3.6190990859604977E-2</v>
      </c>
      <c r="H531" s="30">
        <f t="shared" ca="1" si="120"/>
        <v>7.2307838665432667E-2</v>
      </c>
      <c r="I531" s="30">
        <f t="shared" ca="1" si="120"/>
        <v>4.9126460204106659E-2</v>
      </c>
      <c r="J531" s="30">
        <f t="shared" ca="1" si="120"/>
        <v>9.3649388212471457E-2</v>
      </c>
      <c r="K531" s="30">
        <f t="shared" ca="1" si="121"/>
        <v>2.7510666598958622E-2</v>
      </c>
      <c r="L531" s="30">
        <f t="shared" ca="1" si="121"/>
        <v>3.2789165122880985E-2</v>
      </c>
      <c r="M531" s="30">
        <f t="shared" ca="1" si="121"/>
        <v>8.5605666866088448E-2</v>
      </c>
      <c r="N531" s="30">
        <f t="shared" ca="1" si="121"/>
        <v>0.20136641860800344</v>
      </c>
      <c r="O531" s="30">
        <f t="shared" ca="1" si="122"/>
        <v>6.3701657458563599E-2</v>
      </c>
      <c r="P531" s="30">
        <f t="shared" ca="1" si="123"/>
        <v>0.10509700378831366</v>
      </c>
      <c r="Q531" s="30">
        <f t="shared" ca="1" si="124"/>
        <v>0.13473212707019511</v>
      </c>
      <c r="R531" s="30">
        <f t="shared" ca="1" si="125"/>
        <v>0.2950158068204749</v>
      </c>
      <c r="S531" s="9" cm="1">
        <f t="array" aca="1" ref="S531" ca="1">_xll.BDH($E$6,"PX LAST",AG531)</f>
        <v>192.53</v>
      </c>
      <c r="T531" s="9" cm="1">
        <f t="array" aca="1" ref="T531" ca="1">_xll.BDH($E$6,"PX LAST",AH531)</f>
        <v>181</v>
      </c>
      <c r="U531" s="9" cm="1">
        <f t="array" aca="1" ref="U531" ca="1">_xll.BDH($E$6,"PX LAST",AI531)</f>
        <v>174.22</v>
      </c>
      <c r="V531" s="9" cm="1">
        <f t="array" aca="1" ref="V531" ca="1">_xll.BDH($E$6,"PX LAST",AJ531)</f>
        <v>169.67</v>
      </c>
      <c r="W531" s="9" cm="1">
        <f t="array" aca="1" ref="W531" ca="1">_xll.BDH($E$6,"PX LAST",AK531)</f>
        <v>148.66999999999999</v>
      </c>
      <c r="X531" s="24">
        <f t="shared" ca="1" si="126"/>
        <v>1.598888081880534E-2</v>
      </c>
      <c r="Y531" s="24">
        <f t="shared" ca="1" si="127"/>
        <v>1.9056683029182508E-2</v>
      </c>
      <c r="Z531" s="24">
        <f t="shared" ca="1" si="128"/>
        <v>4.9753022160068383E-2</v>
      </c>
      <c r="AA531" s="24">
        <f t="shared" ca="1" si="129"/>
        <v>0.11703183041573073</v>
      </c>
      <c r="AB531" s="9" cm="1">
        <f t="array" aca="1" ref="AB531" ca="1">_xll.BDH($E$8,"PX LAST",AG531)</f>
        <v>5021.84</v>
      </c>
      <c r="AC531" s="9" cm="1">
        <f t="array" aca="1" ref="AC531" ca="1">_xll.BDH($E$8,"PX LAST",AH531)</f>
        <v>4942.8100000000004</v>
      </c>
      <c r="AD531" s="9" cm="1">
        <f t="array" aca="1" ref="AD531" ca="1">_xll.BDH($E$8,"PX LAST",AI531)</f>
        <v>4927.93</v>
      </c>
      <c r="AE531" s="9" cm="1">
        <f t="array" aca="1" ref="AE531" ca="1">_xll.BDH($E$8,"PX LAST",AJ531)</f>
        <v>4783.83</v>
      </c>
      <c r="AF531" s="9" cm="1">
        <f t="array" aca="1" ref="AF531" ca="1">_xll.BDH($E$8,"PX LAST",AK531)</f>
        <v>4495.7</v>
      </c>
      <c r="AG531" s="20">
        <f t="shared" ca="1" si="135"/>
        <v>45334</v>
      </c>
      <c r="AH531" s="22">
        <f t="shared" ca="1" si="130"/>
        <v>45327</v>
      </c>
      <c r="AI531" s="22">
        <f t="shared" ca="1" si="131"/>
        <v>45320</v>
      </c>
      <c r="AJ531" s="22">
        <f t="shared" ca="1" si="132"/>
        <v>45303</v>
      </c>
      <c r="AK531" s="22">
        <f t="shared" ca="1" si="133"/>
        <v>45244</v>
      </c>
      <c r="AL531" s="22">
        <f t="shared" ca="1" si="134"/>
        <v>45159</v>
      </c>
    </row>
    <row r="532" spans="4:38" x14ac:dyDescent="0.25">
      <c r="D532" s="6">
        <f ca="1"/>
        <v>45331</v>
      </c>
      <c r="E532" s="28">
        <f ca="1"/>
        <v>193.83</v>
      </c>
      <c r="F532" s="29" cm="1">
        <f t="array" aca="1" ref="F532" ca="1">_xll.FDS($E$7,"P_BETA_LOCIDX("&amp;$AG532&amp;","&amp;$AL532&amp;",,"""&amp;$E$9&amp;""")")</f>
        <v>1.7144196</v>
      </c>
      <c r="G532" s="30">
        <f t="shared" ca="1" si="120"/>
        <v>2.9169443248436677E-2</v>
      </c>
      <c r="H532" s="30">
        <f t="shared" ca="1" si="120"/>
        <v>8.3449895467655646E-2</v>
      </c>
      <c r="I532" s="30">
        <f t="shared" ca="1" si="120"/>
        <v>3.4316028013437735E-2</v>
      </c>
      <c r="J532" s="30">
        <f t="shared" ca="1" si="120"/>
        <v>0.13848899506193602</v>
      </c>
      <c r="K532" s="30">
        <f t="shared" ca="1" si="121"/>
        <v>2.351072836944218E-2</v>
      </c>
      <c r="L532" s="30">
        <f t="shared" ca="1" si="121"/>
        <v>4.7545553242812441E-2</v>
      </c>
      <c r="M532" s="30">
        <f t="shared" ca="1" si="121"/>
        <v>8.835990595702288E-2</v>
      </c>
      <c r="N532" s="30">
        <f t="shared" ca="1" si="121"/>
        <v>0.23902504089855003</v>
      </c>
      <c r="O532" s="30">
        <f t="shared" ca="1" si="122"/>
        <v>5.2680171617878857E-2</v>
      </c>
      <c r="P532" s="30">
        <f t="shared" ca="1" si="123"/>
        <v>0.13099544871046809</v>
      </c>
      <c r="Q532" s="30">
        <f t="shared" ca="1" si="124"/>
        <v>0.12267593397046062</v>
      </c>
      <c r="R532" s="30">
        <f t="shared" ca="1" si="125"/>
        <v>0.37751403596048605</v>
      </c>
      <c r="S532" s="9" cm="1">
        <f t="array" aca="1" ref="S532" ca="1">_xll.BDH($E$6,"PX LAST",AG532)</f>
        <v>193.83</v>
      </c>
      <c r="T532" s="9" cm="1">
        <f t="array" aca="1" ref="T532" ca="1">_xll.BDH($E$6,"PX LAST",AH532)</f>
        <v>184.13</v>
      </c>
      <c r="U532" s="9" cm="1">
        <f t="array" aca="1" ref="U532" ca="1">_xll.BDH($E$6,"PX LAST",AI532)</f>
        <v>171.38</v>
      </c>
      <c r="V532" s="9" cm="1">
        <f t="array" aca="1" ref="V532" ca="1">_xll.BDH($E$6,"PX LAST",AJ532)</f>
        <v>172.65</v>
      </c>
      <c r="W532" s="9" cm="1">
        <f t="array" aca="1" ref="W532" ca="1">_xll.BDH($E$6,"PX LAST",AK532)</f>
        <v>140.71</v>
      </c>
      <c r="X532" s="24">
        <f t="shared" ca="1" si="126"/>
        <v>1.3713520522888434E-2</v>
      </c>
      <c r="Y532" s="24">
        <f t="shared" ca="1" si="127"/>
        <v>2.7732740131303002E-2</v>
      </c>
      <c r="Z532" s="24">
        <f t="shared" ca="1" si="128"/>
        <v>5.1539253259250462E-2</v>
      </c>
      <c r="AA532" s="24">
        <f t="shared" ca="1" si="129"/>
        <v>0.13942038512540922</v>
      </c>
      <c r="AB532" s="9" cm="1">
        <f t="array" aca="1" ref="AB532" ca="1">_xll.BDH($E$8,"PX LAST",AG532)</f>
        <v>5026.6099999999997</v>
      </c>
      <c r="AC532" s="9" cm="1">
        <f t="array" aca="1" ref="AC532" ca="1">_xll.BDH($E$8,"PX LAST",AH532)</f>
        <v>4958.6099999999997</v>
      </c>
      <c r="AD532" s="9" cm="1">
        <f t="array" aca="1" ref="AD532" ca="1">_xll.BDH($E$8,"PX LAST",AI532)</f>
        <v>4890.97</v>
      </c>
      <c r="AE532" s="9" cm="1">
        <f t="array" aca="1" ref="AE532" ca="1">_xll.BDH($E$8,"PX LAST",AJ532)</f>
        <v>4780.24</v>
      </c>
      <c r="AF532" s="9" cm="1">
        <f t="array" aca="1" ref="AF532" ca="1">_xll.BDH($E$8,"PX LAST",AK532)</f>
        <v>4411.55</v>
      </c>
      <c r="AG532" s="20">
        <f t="shared" ca="1" si="135"/>
        <v>45331</v>
      </c>
      <c r="AH532" s="22">
        <f t="shared" ca="1" si="130"/>
        <v>45324</v>
      </c>
      <c r="AI532" s="22">
        <f t="shared" ca="1" si="131"/>
        <v>45317</v>
      </c>
      <c r="AJ532" s="22">
        <f t="shared" ca="1" si="132"/>
        <v>45302</v>
      </c>
      <c r="AK532" s="22">
        <f t="shared" ca="1" si="133"/>
        <v>45243</v>
      </c>
      <c r="AL532" s="22">
        <f t="shared" ca="1" si="134"/>
        <v>45156</v>
      </c>
    </row>
    <row r="533" spans="4:38" x14ac:dyDescent="0.25">
      <c r="D533" s="6">
        <f ca="1"/>
        <v>45330</v>
      </c>
      <c r="E533" s="28">
        <f ca="1"/>
        <v>190.87</v>
      </c>
      <c r="F533" s="29" cm="1">
        <f t="array" aca="1" ref="F533" ca="1">_xll.FDS($E$7,"P_BETA_LOCIDX("&amp;$AG533&amp;","&amp;$AL533&amp;",,"""&amp;$E$9&amp;""")")</f>
        <v>1.7148076000000001</v>
      </c>
      <c r="G533" s="30">
        <f t="shared" ca="1" si="120"/>
        <v>5.095390113599884E-2</v>
      </c>
      <c r="H533" s="30">
        <f t="shared" ca="1" si="120"/>
        <v>6.4842502158258347E-2</v>
      </c>
      <c r="I533" s="30">
        <f t="shared" ca="1" si="120"/>
        <v>2.8970425464225985E-2</v>
      </c>
      <c r="J533" s="30">
        <f t="shared" ref="J533:J596" ca="1" si="136">+R533-N533</f>
        <v>0.12604561218779448</v>
      </c>
      <c r="K533" s="30">
        <f t="shared" ca="1" si="121"/>
        <v>3.2057900952062852E-2</v>
      </c>
      <c r="L533" s="30">
        <f t="shared" ca="1" si="121"/>
        <v>3.6351751577390373E-2</v>
      </c>
      <c r="M533" s="30">
        <f t="shared" ca="1" si="121"/>
        <v>7.6881254721173936E-2</v>
      </c>
      <c r="N533" s="30">
        <f t="shared" ref="N533:N596" ca="1" si="137">+AA533*$F533</f>
        <v>0.22629957698607556</v>
      </c>
      <c r="O533" s="30">
        <f t="shared" ca="1" si="122"/>
        <v>8.3011802088061692E-2</v>
      </c>
      <c r="P533" s="30">
        <f t="shared" ca="1" si="123"/>
        <v>0.10119425373564872</v>
      </c>
      <c r="Q533" s="30">
        <f t="shared" ca="1" si="124"/>
        <v>0.10585168018539992</v>
      </c>
      <c r="R533" s="30">
        <f t="shared" ca="1" si="125"/>
        <v>0.35234518917387003</v>
      </c>
      <c r="S533" s="9" cm="1">
        <f t="array" aca="1" ref="S533" ca="1">_xll.BDH($E$6,"PX LAST",AG533)</f>
        <v>190.87</v>
      </c>
      <c r="T533" s="9" cm="1">
        <f t="array" aca="1" ref="T533" ca="1">_xll.BDH($E$6,"PX LAST",AH533)</f>
        <v>176.24</v>
      </c>
      <c r="U533" s="9" cm="1">
        <f t="array" aca="1" ref="U533" ca="1">_xll.BDH($E$6,"PX LAST",AI533)</f>
        <v>173.33</v>
      </c>
      <c r="V533" s="9" cm="1">
        <f t="array" aca="1" ref="V533" ca="1">_xll.BDH($E$6,"PX LAST",AJ533)</f>
        <v>172.6</v>
      </c>
      <c r="W533" s="9" cm="1">
        <f t="array" aca="1" ref="W533" ca="1">_xll.BDH($E$6,"PX LAST",AK533)</f>
        <v>141.13999999999999</v>
      </c>
      <c r="X533" s="24">
        <f t="shared" ca="1" si="126"/>
        <v>1.8694750916699254E-2</v>
      </c>
      <c r="Y533" s="24">
        <f t="shared" ca="1" si="127"/>
        <v>2.1198734818641096E-2</v>
      </c>
      <c r="Z533" s="24">
        <f t="shared" ca="1" si="128"/>
        <v>4.4833749699484615E-2</v>
      </c>
      <c r="AA533" s="24">
        <f t="shared" ca="1" si="129"/>
        <v>0.13196791114412809</v>
      </c>
      <c r="AB533" s="9" cm="1">
        <f t="array" aca="1" ref="AB533" ca="1">_xll.BDH($E$8,"PX LAST",AG533)</f>
        <v>4997.91</v>
      </c>
      <c r="AC533" s="9" cm="1">
        <f t="array" aca="1" ref="AC533" ca="1">_xll.BDH($E$8,"PX LAST",AH533)</f>
        <v>4906.1899999999996</v>
      </c>
      <c r="AD533" s="9" cm="1">
        <f t="array" aca="1" ref="AD533" ca="1">_xll.BDH($E$8,"PX LAST",AI533)</f>
        <v>4894.16</v>
      </c>
      <c r="AE533" s="9" cm="1">
        <f t="array" aca="1" ref="AE533" ca="1">_xll.BDH($E$8,"PX LAST",AJ533)</f>
        <v>4783.45</v>
      </c>
      <c r="AF533" s="9" cm="1">
        <f t="array" aca="1" ref="AF533" ca="1">_xll.BDH($E$8,"PX LAST",AK533)</f>
        <v>4415.24</v>
      </c>
      <c r="AG533" s="20">
        <f t="shared" ca="1" si="135"/>
        <v>45330</v>
      </c>
      <c r="AH533" s="22">
        <f t="shared" ca="1" si="130"/>
        <v>45323</v>
      </c>
      <c r="AI533" s="22">
        <f t="shared" ca="1" si="131"/>
        <v>45316</v>
      </c>
      <c r="AJ533" s="22">
        <f t="shared" ca="1" si="132"/>
        <v>45301</v>
      </c>
      <c r="AK533" s="22">
        <f t="shared" ca="1" si="133"/>
        <v>45240</v>
      </c>
      <c r="AL533" s="22">
        <f t="shared" ca="1" si="134"/>
        <v>45155</v>
      </c>
    </row>
    <row r="534" spans="4:38" x14ac:dyDescent="0.25">
      <c r="D534" s="6">
        <f ca="1"/>
        <v>45329</v>
      </c>
      <c r="E534" s="28">
        <f ca="1"/>
        <v>188.21</v>
      </c>
      <c r="F534" s="29" cm="1">
        <f t="array" aca="1" ref="F534" ca="1">_xll.FDS($E$7,"P_BETA_LOCIDX("&amp;$AG534&amp;","&amp;$AL534&amp;",,"""&amp;$E$9&amp;""")")</f>
        <v>1.7221948</v>
      </c>
      <c r="G534" s="30">
        <f t="shared" ref="G534:J597" ca="1" si="138">+O534-K534</f>
        <v>3.1556948902667047E-2</v>
      </c>
      <c r="H534" s="30">
        <f t="shared" ca="1" si="138"/>
        <v>5.7826132070043536E-2</v>
      </c>
      <c r="I534" s="30">
        <f t="shared" ca="1" si="138"/>
        <v>2.0465290407291753E-3</v>
      </c>
      <c r="J534" s="30">
        <f t="shared" ca="1" si="136"/>
        <v>0.11430458949411332</v>
      </c>
      <c r="K534" s="30">
        <f t="shared" ref="K534:N597" ca="1" si="139">+X534*$F534</f>
        <v>5.3101880050767637E-2</v>
      </c>
      <c r="L534" s="30">
        <f t="shared" ca="1" si="139"/>
        <v>4.4751489488245887E-2</v>
      </c>
      <c r="M534" s="30">
        <f t="shared" ca="1" si="139"/>
        <v>8.6375862816777269E-2</v>
      </c>
      <c r="N534" s="30">
        <f t="shared" ca="1" si="137"/>
        <v>0.25658913910957243</v>
      </c>
      <c r="O534" s="30">
        <f t="shared" ref="O534:O597" ca="1" si="140">+S534/T534-1</f>
        <v>8.4658828953434684E-2</v>
      </c>
      <c r="P534" s="30">
        <f t="shared" ref="P534:P597" ca="1" si="141">+S534/U534-1</f>
        <v>0.10257762155828942</v>
      </c>
      <c r="Q534" s="30">
        <f t="shared" ref="Q534:Q597" ca="1" si="142">+S534/V534-1</f>
        <v>8.8422391857506444E-2</v>
      </c>
      <c r="R534" s="30">
        <f t="shared" ref="R534:R597" ca="1" si="143">+S534/W534-1</f>
        <v>0.37089372860368575</v>
      </c>
      <c r="S534" s="9" cm="1">
        <f t="array" aca="1" ref="S534" ca="1">_xll.BDH($E$6,"PX LAST",AG534)</f>
        <v>188.21</v>
      </c>
      <c r="T534" s="9" cm="1">
        <f t="array" aca="1" ref="T534" ca="1">_xll.BDH($E$6,"PX LAST",AH534)</f>
        <v>173.52</v>
      </c>
      <c r="U534" s="9" cm="1">
        <f t="array" aca="1" ref="U534" ca="1">_xll.BDH($E$6,"PX LAST",AI534)</f>
        <v>170.7</v>
      </c>
      <c r="V534" s="9" cm="1">
        <f t="array" aca="1" ref="V534" ca="1">_xll.BDH($E$6,"PX LAST",AJ534)</f>
        <v>172.92</v>
      </c>
      <c r="W534" s="9" cm="1">
        <f t="array" aca="1" ref="W534" ca="1">_xll.BDH($E$6,"PX LAST",AK534)</f>
        <v>137.29</v>
      </c>
      <c r="X534" s="24">
        <f t="shared" ref="X534:X597" ca="1" si="144">+AB534/AC534-1</f>
        <v>3.0833840661211864E-2</v>
      </c>
      <c r="Y534" s="24">
        <f t="shared" ref="Y534:Y597" ca="1" si="145">+AB534/AD534-1</f>
        <v>2.5985149582524514E-2</v>
      </c>
      <c r="Z534" s="24">
        <f t="shared" ref="Z534:Z597" ca="1" si="146">+AB534/AE534-1</f>
        <v>5.0154525386313598E-2</v>
      </c>
      <c r="AA534" s="24">
        <f t="shared" ref="AA534:AA597" ca="1" si="147">+AB534/AF534-1</f>
        <v>0.14898961436277269</v>
      </c>
      <c r="AB534" s="9" cm="1">
        <f t="array" aca="1" ref="AB534" ca="1">_xll.BDH($E$8,"PX LAST",AG534)</f>
        <v>4995.0600000000004</v>
      </c>
      <c r="AC534" s="9" cm="1">
        <f t="array" aca="1" ref="AC534" ca="1">_xll.BDH($E$8,"PX LAST",AH534)</f>
        <v>4845.6499999999996</v>
      </c>
      <c r="AD534" s="9" cm="1">
        <f t="array" aca="1" ref="AD534" ca="1">_xll.BDH($E$8,"PX LAST",AI534)</f>
        <v>4868.55</v>
      </c>
      <c r="AE534" s="9" cm="1">
        <f t="array" aca="1" ref="AE534" ca="1">_xll.BDH($E$8,"PX LAST",AJ534)</f>
        <v>4756.5</v>
      </c>
      <c r="AF534" s="9" cm="1">
        <f t="array" aca="1" ref="AF534" ca="1">_xll.BDH($E$8,"PX LAST",AK534)</f>
        <v>4347.3500000000004</v>
      </c>
      <c r="AG534" s="20">
        <f t="shared" ca="1" si="135"/>
        <v>45329</v>
      </c>
      <c r="AH534" s="22">
        <f t="shared" ref="AH534:AH597" ca="1" si="148">+WORKDAY($AG534, -5, $AN$2:$AN$100)</f>
        <v>45322</v>
      </c>
      <c r="AI534" s="22">
        <f t="shared" ref="AI534:AI597" ca="1" si="149">+WORKDAY($AG534, -10, $AN$2:$AN$100)</f>
        <v>45315</v>
      </c>
      <c r="AJ534" s="22">
        <f t="shared" ref="AJ534:AJ597" ca="1" si="150">+WORKDAY($AG534, -20, $AN$2:$AN$100)</f>
        <v>45300</v>
      </c>
      <c r="AK534" s="22">
        <f t="shared" ref="AK534:AK597" ca="1" si="151">+WORKDAY($AG534, -60, $AN$2:$AN$100)</f>
        <v>45239</v>
      </c>
      <c r="AL534" s="22">
        <f t="shared" ref="AL534:AL597" ca="1" si="152">+WORKDAY($AG534, -120, $AN$2:$AN$100)</f>
        <v>45154</v>
      </c>
    </row>
    <row r="535" spans="4:38" x14ac:dyDescent="0.25">
      <c r="D535" s="6">
        <f ca="1"/>
        <v>45328</v>
      </c>
      <c r="E535" s="28">
        <f ca="1"/>
        <v>184.6</v>
      </c>
      <c r="F535" s="29" cm="1">
        <f t="array" aca="1" ref="F535" ca="1">_xll.FDS($E$7,"P_BETA_LOCIDX("&amp;$AG535&amp;","&amp;$AL535&amp;",,"""&amp;$E$9&amp;""")")</f>
        <v>1.7090255999999999</v>
      </c>
      <c r="G535" s="30">
        <f t="shared" ca="1" si="138"/>
        <v>4.1039401984447513E-2</v>
      </c>
      <c r="H535" s="30">
        <f t="shared" ca="1" si="138"/>
        <v>3.6303981476409349E-2</v>
      </c>
      <c r="I535" s="30">
        <f t="shared" ca="1" si="138"/>
        <v>5.8269950591396946E-5</v>
      </c>
      <c r="J535" s="30">
        <f t="shared" ca="1" si="136"/>
        <v>0.1281635337928077</v>
      </c>
      <c r="K535" s="30">
        <f t="shared" ca="1" si="139"/>
        <v>1.0153582469740557E-2</v>
      </c>
      <c r="L535" s="30">
        <f t="shared" ca="1" si="139"/>
        <v>3.1488707093696992E-2</v>
      </c>
      <c r="M535" s="30">
        <f t="shared" ca="1" si="139"/>
        <v>6.8414265790567239E-2</v>
      </c>
      <c r="N535" s="30">
        <f t="shared" ca="1" si="137"/>
        <v>0.22283178236644302</v>
      </c>
      <c r="O535" s="30">
        <f t="shared" ca="1" si="140"/>
        <v>5.1192984454188073E-2</v>
      </c>
      <c r="P535" s="30">
        <f t="shared" ca="1" si="141"/>
        <v>6.7792688570106341E-2</v>
      </c>
      <c r="Q535" s="30">
        <f t="shared" ca="1" si="142"/>
        <v>6.8472535741158636E-2</v>
      </c>
      <c r="R535" s="30">
        <f t="shared" ca="1" si="143"/>
        <v>0.35099531615925073</v>
      </c>
      <c r="S535" s="9" cm="1">
        <f t="array" aca="1" ref="S535" ca="1">_xll.BDH($E$6,"PX LAST",AG535)</f>
        <v>184.6</v>
      </c>
      <c r="T535" s="9" cm="1">
        <f t="array" aca="1" ref="T535" ca="1">_xll.BDH($E$6,"PX LAST",AH535)</f>
        <v>175.61</v>
      </c>
      <c r="U535" s="9" cm="1">
        <f t="array" aca="1" ref="U535" ca="1">_xll.BDH($E$6,"PX LAST",AI535)</f>
        <v>172.88</v>
      </c>
      <c r="V535" s="9" cm="1">
        <f t="array" aca="1" ref="V535" ca="1">_xll.BDH($E$6,"PX LAST",AJ535)</f>
        <v>172.77</v>
      </c>
      <c r="W535" s="9" cm="1">
        <f t="array" aca="1" ref="W535" ca="1">_xll.BDH($E$6,"PX LAST",AK535)</f>
        <v>136.63999999999999</v>
      </c>
      <c r="X535" s="24">
        <f t="shared" ca="1" si="144"/>
        <v>5.9411529410329234E-3</v>
      </c>
      <c r="Y535" s="24">
        <f t="shared" ca="1" si="145"/>
        <v>1.842494758047919E-2</v>
      </c>
      <c r="Z535" s="24">
        <f t="shared" ca="1" si="146"/>
        <v>4.0031153301955946E-2</v>
      </c>
      <c r="AA535" s="24">
        <f t="shared" ca="1" si="147"/>
        <v>0.13038528057534249</v>
      </c>
      <c r="AB535" s="9" cm="1">
        <f t="array" aca="1" ref="AB535" ca="1">_xll.BDH($E$8,"PX LAST",AG535)</f>
        <v>4954.2299999999996</v>
      </c>
      <c r="AC535" s="9" cm="1">
        <f t="array" aca="1" ref="AC535" ca="1">_xll.BDH($E$8,"PX LAST",AH535)</f>
        <v>4924.97</v>
      </c>
      <c r="AD535" s="9" cm="1">
        <f t="array" aca="1" ref="AD535" ca="1">_xll.BDH($E$8,"PX LAST",AI535)</f>
        <v>4864.6000000000004</v>
      </c>
      <c r="AE535" s="9" cm="1">
        <f t="array" aca="1" ref="AE535" ca="1">_xll.BDH($E$8,"PX LAST",AJ535)</f>
        <v>4763.54</v>
      </c>
      <c r="AF535" s="9" cm="1">
        <f t="array" aca="1" ref="AF535" ca="1">_xll.BDH($E$8,"PX LAST",AK535)</f>
        <v>4382.78</v>
      </c>
      <c r="AG535" s="20">
        <f t="shared" ref="AG535:AG598" ca="1" si="153">+WORKDAY(D535, 0, $AN$2:$AN$59)</f>
        <v>45328</v>
      </c>
      <c r="AH535" s="22">
        <f t="shared" ca="1" si="148"/>
        <v>45321</v>
      </c>
      <c r="AI535" s="22">
        <f t="shared" ca="1" si="149"/>
        <v>45314</v>
      </c>
      <c r="AJ535" s="22">
        <f t="shared" ca="1" si="150"/>
        <v>45299</v>
      </c>
      <c r="AK535" s="22">
        <f t="shared" ca="1" si="151"/>
        <v>45238</v>
      </c>
      <c r="AL535" s="22">
        <f t="shared" ca="1" si="152"/>
        <v>45153</v>
      </c>
    </row>
    <row r="536" spans="4:38" x14ac:dyDescent="0.25">
      <c r="D536" s="6">
        <f ca="1"/>
        <v>45327</v>
      </c>
      <c r="E536" s="28">
        <f ca="1"/>
        <v>181</v>
      </c>
      <c r="F536" s="29" cm="1">
        <f t="array" aca="1" ref="F536" ca="1">_xll.FDS($E$7,"P_BETA_LOCIDX("&amp;$AG536&amp;","&amp;$AL536&amp;",,"""&amp;$E$9&amp;""")")</f>
        <v>1.7046914</v>
      </c>
      <c r="G536" s="30">
        <f t="shared" ca="1" si="138"/>
        <v>3.3768957118197974E-2</v>
      </c>
      <c r="H536" s="30">
        <f t="shared" ca="1" si="138"/>
        <v>-2.0674634493537611E-3</v>
      </c>
      <c r="I536" s="30">
        <f t="shared" ca="1" si="138"/>
        <v>-1.7099798685970502E-2</v>
      </c>
      <c r="J536" s="30">
        <f t="shared" ca="1" si="136"/>
        <v>9.0223615707111293E-2</v>
      </c>
      <c r="K536" s="30">
        <f t="shared" ca="1" si="139"/>
        <v>5.1473555898723039E-3</v>
      </c>
      <c r="L536" s="30">
        <f t="shared" ca="1" si="139"/>
        <v>3.2467099109151069E-2</v>
      </c>
      <c r="M536" s="30">
        <f t="shared" ca="1" si="139"/>
        <v>8.9120646826221617E-2</v>
      </c>
      <c r="N536" s="30">
        <f t="shared" ca="1" si="137"/>
        <v>0.21975684314792238</v>
      </c>
      <c r="O536" s="30">
        <f t="shared" ca="1" si="140"/>
        <v>3.8916312708070278E-2</v>
      </c>
      <c r="P536" s="30">
        <f t="shared" ca="1" si="141"/>
        <v>3.0399635659797308E-2</v>
      </c>
      <c r="Q536" s="30">
        <f t="shared" ca="1" si="142"/>
        <v>7.2020848140251115E-2</v>
      </c>
      <c r="R536" s="30">
        <f t="shared" ca="1" si="143"/>
        <v>0.30998045885503367</v>
      </c>
      <c r="S536" s="9" cm="1">
        <f t="array" aca="1" ref="S536" ca="1">_xll.BDH($E$6,"PX LAST",AG536)</f>
        <v>181</v>
      </c>
      <c r="T536" s="9" cm="1">
        <f t="array" aca="1" ref="T536" ca="1">_xll.BDH($E$6,"PX LAST",AH536)</f>
        <v>174.22</v>
      </c>
      <c r="U536" s="9" cm="1">
        <f t="array" aca="1" ref="U536" ca="1">_xll.BDH($E$6,"PX LAST",AI536)</f>
        <v>175.66</v>
      </c>
      <c r="V536" s="9" cm="1">
        <f t="array" aca="1" ref="V536" ca="1">_xll.BDH($E$6,"PX LAST",AJ536)</f>
        <v>168.84</v>
      </c>
      <c r="W536" s="9" cm="1">
        <f t="array" aca="1" ref="W536" ca="1">_xll.BDH($E$6,"PX LAST",AK536)</f>
        <v>138.16999999999999</v>
      </c>
      <c r="X536" s="24">
        <f t="shared" ca="1" si="144"/>
        <v>3.0195234104379853E-3</v>
      </c>
      <c r="Y536" s="24">
        <f t="shared" ca="1" si="145"/>
        <v>1.90457340895549E-2</v>
      </c>
      <c r="Z536" s="24">
        <f t="shared" ca="1" si="146"/>
        <v>5.2279636552528874E-2</v>
      </c>
      <c r="AA536" s="24">
        <f t="shared" ca="1" si="147"/>
        <v>0.12891297694581105</v>
      </c>
      <c r="AB536" s="9" cm="1">
        <f t="array" aca="1" ref="AB536" ca="1">_xll.BDH($E$8,"PX LAST",AG536)</f>
        <v>4942.8100000000004</v>
      </c>
      <c r="AC536" s="9" cm="1">
        <f t="array" aca="1" ref="AC536" ca="1">_xll.BDH($E$8,"PX LAST",AH536)</f>
        <v>4927.93</v>
      </c>
      <c r="AD536" s="9" cm="1">
        <f t="array" aca="1" ref="AD536" ca="1">_xll.BDH($E$8,"PX LAST",AI536)</f>
        <v>4850.43</v>
      </c>
      <c r="AE536" s="9" cm="1">
        <f t="array" aca="1" ref="AE536" ca="1">_xll.BDH($E$8,"PX LAST",AJ536)</f>
        <v>4697.24</v>
      </c>
      <c r="AF536" s="9" cm="1">
        <f t="array" aca="1" ref="AF536" ca="1">_xll.BDH($E$8,"PX LAST",AK536)</f>
        <v>4378.38</v>
      </c>
      <c r="AG536" s="20">
        <f t="shared" ca="1" si="153"/>
        <v>45327</v>
      </c>
      <c r="AH536" s="22">
        <f t="shared" ca="1" si="148"/>
        <v>45320</v>
      </c>
      <c r="AI536" s="22">
        <f t="shared" ca="1" si="149"/>
        <v>45313</v>
      </c>
      <c r="AJ536" s="22">
        <f t="shared" ca="1" si="150"/>
        <v>45296</v>
      </c>
      <c r="AK536" s="22">
        <f t="shared" ca="1" si="151"/>
        <v>45237</v>
      </c>
      <c r="AL536" s="22">
        <f t="shared" ca="1" si="152"/>
        <v>45152</v>
      </c>
    </row>
    <row r="537" spans="4:38" x14ac:dyDescent="0.25">
      <c r="D537" s="6">
        <f ca="1"/>
        <v>45324</v>
      </c>
      <c r="E537" s="28">
        <f ca="1"/>
        <v>184.13</v>
      </c>
      <c r="F537" s="29" cm="1">
        <f t="array" aca="1" ref="F537" ca="1">_xll.FDS($E$7,"P_BETA_LOCIDX("&amp;$AG537&amp;","&amp;$AL537&amp;",,"""&amp;$E$9&amp;""")")</f>
        <v>1.6931925999999999</v>
      </c>
      <c r="G537" s="30">
        <f t="shared" ca="1" si="138"/>
        <v>5.0979957452166741E-2</v>
      </c>
      <c r="H537" s="30">
        <f t="shared" ca="1" si="138"/>
        <v>1.3020087930321417E-2</v>
      </c>
      <c r="I537" s="30">
        <f t="shared" ca="1" si="138"/>
        <v>-6.0139327487211958E-3</v>
      </c>
      <c r="J537" s="30">
        <f t="shared" ca="1" si="136"/>
        <v>8.8963056623759945E-2</v>
      </c>
      <c r="K537" s="30">
        <f t="shared" ca="1" si="139"/>
        <v>2.341612143685182E-2</v>
      </c>
      <c r="L537" s="30">
        <f t="shared" ca="1" si="139"/>
        <v>4.1561813558796595E-2</v>
      </c>
      <c r="M537" s="30">
        <f t="shared" ca="1" si="139"/>
        <v>9.7478070270950123E-2</v>
      </c>
      <c r="N537" s="30">
        <f t="shared" ca="1" si="137"/>
        <v>0.22983081244943868</v>
      </c>
      <c r="O537" s="30">
        <f t="shared" ca="1" si="140"/>
        <v>7.4396078889018558E-2</v>
      </c>
      <c r="P537" s="30">
        <f t="shared" ca="1" si="141"/>
        <v>5.4581901489118012E-2</v>
      </c>
      <c r="Q537" s="30">
        <f t="shared" ca="1" si="142"/>
        <v>9.1464137522228928E-2</v>
      </c>
      <c r="R537" s="30">
        <f t="shared" ca="1" si="143"/>
        <v>0.31879386907319862</v>
      </c>
      <c r="S537" s="9" cm="1">
        <f t="array" aca="1" ref="S537" ca="1">_xll.BDH($E$6,"PX LAST",AG537)</f>
        <v>184.13</v>
      </c>
      <c r="T537" s="9" cm="1">
        <f t="array" aca="1" ref="T537" ca="1">_xll.BDH($E$6,"PX LAST",AH537)</f>
        <v>171.38</v>
      </c>
      <c r="U537" s="9" cm="1">
        <f t="array" aca="1" ref="U537" ca="1">_xll.BDH($E$6,"PX LAST",AI537)</f>
        <v>174.6</v>
      </c>
      <c r="V537" s="9" cm="1">
        <f t="array" aca="1" ref="V537" ca="1">_xll.BDH($E$6,"PX LAST",AJ537)</f>
        <v>168.7</v>
      </c>
      <c r="W537" s="9" cm="1">
        <f t="array" aca="1" ref="W537" ca="1">_xll.BDH($E$6,"PX LAST",AK537)</f>
        <v>139.62</v>
      </c>
      <c r="X537" s="24">
        <f t="shared" ca="1" si="144"/>
        <v>1.3829567549995092E-2</v>
      </c>
      <c r="Y537" s="24">
        <f t="shared" ca="1" si="145"/>
        <v>2.454641814451386E-2</v>
      </c>
      <c r="Z537" s="24">
        <f t="shared" ca="1" si="146"/>
        <v>5.7570574234112604E-2</v>
      </c>
      <c r="AA537" s="24">
        <f t="shared" ca="1" si="147"/>
        <v>0.1357381389745258</v>
      </c>
      <c r="AB537" s="9" cm="1">
        <f t="array" aca="1" ref="AB537" ca="1">_xll.BDH($E$8,"PX LAST",AG537)</f>
        <v>4958.6099999999997</v>
      </c>
      <c r="AC537" s="9" cm="1">
        <f t="array" aca="1" ref="AC537" ca="1">_xll.BDH($E$8,"PX LAST",AH537)</f>
        <v>4890.97</v>
      </c>
      <c r="AD537" s="9" cm="1">
        <f t="array" aca="1" ref="AD537" ca="1">_xll.BDH($E$8,"PX LAST",AI537)</f>
        <v>4839.8100000000004</v>
      </c>
      <c r="AE537" s="9" cm="1">
        <f t="array" aca="1" ref="AE537" ca="1">_xll.BDH($E$8,"PX LAST",AJ537)</f>
        <v>4688.68</v>
      </c>
      <c r="AF537" s="9" cm="1">
        <f t="array" aca="1" ref="AF537" ca="1">_xll.BDH($E$8,"PX LAST",AK537)</f>
        <v>4365.9799999999996</v>
      </c>
      <c r="AG537" s="20">
        <f t="shared" ca="1" si="153"/>
        <v>45324</v>
      </c>
      <c r="AH537" s="22">
        <f t="shared" ca="1" si="148"/>
        <v>45317</v>
      </c>
      <c r="AI537" s="22">
        <f t="shared" ca="1" si="149"/>
        <v>45310</v>
      </c>
      <c r="AJ537" s="22">
        <f t="shared" ca="1" si="150"/>
        <v>45295</v>
      </c>
      <c r="AK537" s="22">
        <f t="shared" ca="1" si="151"/>
        <v>45236</v>
      </c>
      <c r="AL537" s="22">
        <f t="shared" ca="1" si="152"/>
        <v>45149</v>
      </c>
    </row>
    <row r="538" spans="4:38" x14ac:dyDescent="0.25">
      <c r="D538" s="6">
        <f ca="1"/>
        <v>45323</v>
      </c>
      <c r="E538" s="28">
        <f ca="1"/>
        <v>176.24</v>
      </c>
      <c r="F538" s="29" cm="1">
        <f t="array" aca="1" ref="F538" ca="1">_xll.FDS($E$7,"P_BETA_LOCIDX("&amp;$AG538&amp;","&amp;$AL538&amp;",,"""&amp;$E$9&amp;""")")</f>
        <v>1.6540444000000001</v>
      </c>
      <c r="G538" s="30">
        <f t="shared" ca="1" si="138"/>
        <v>1.2723090974883446E-2</v>
      </c>
      <c r="H538" s="30">
        <f t="shared" ca="1" si="138"/>
        <v>-1.8561964219065814E-2</v>
      </c>
      <c r="I538" s="30">
        <f t="shared" ca="1" si="138"/>
        <v>-2.5607699753424418E-2</v>
      </c>
      <c r="J538" s="30">
        <f t="shared" ca="1" si="136"/>
        <v>2.625776007567926E-2</v>
      </c>
      <c r="K538" s="30">
        <f t="shared" ca="1" si="139"/>
        <v>4.0656934248164394E-3</v>
      </c>
      <c r="L538" s="30">
        <f t="shared" ca="1" si="139"/>
        <v>4.3332286349546285E-2</v>
      </c>
      <c r="M538" s="30">
        <f t="shared" ca="1" si="139"/>
        <v>7.0798068630188726E-2</v>
      </c>
      <c r="N538" s="30">
        <f t="shared" ca="1" si="137"/>
        <v>0.20791590939210791</v>
      </c>
      <c r="O538" s="30">
        <f t="shared" ca="1" si="140"/>
        <v>1.6788784399699885E-2</v>
      </c>
      <c r="P538" s="30">
        <f t="shared" ca="1" si="141"/>
        <v>2.4770322130480471E-2</v>
      </c>
      <c r="Q538" s="30">
        <f t="shared" ca="1" si="142"/>
        <v>4.5190368876764309E-2</v>
      </c>
      <c r="R538" s="30">
        <f t="shared" ca="1" si="143"/>
        <v>0.23417366946778717</v>
      </c>
      <c r="S538" s="9" cm="1">
        <f t="array" aca="1" ref="S538" ca="1">_xll.BDH($E$6,"PX LAST",AG538)</f>
        <v>176.24</v>
      </c>
      <c r="T538" s="9" cm="1">
        <f t="array" aca="1" ref="T538" ca="1">_xll.BDH($E$6,"PX LAST",AH538)</f>
        <v>173.33</v>
      </c>
      <c r="U538" s="9" cm="1">
        <f t="array" aca="1" ref="U538" ca="1">_xll.BDH($E$6,"PX LAST",AI538)</f>
        <v>171.98</v>
      </c>
      <c r="V538" s="9" cm="1">
        <f t="array" aca="1" ref="V538" ca="1">_xll.BDH($E$6,"PX LAST",AJ538)</f>
        <v>168.62</v>
      </c>
      <c r="W538" s="9" cm="1">
        <f t="array" aca="1" ref="W538" ca="1">_xll.BDH($E$6,"PX LAST",AK538)</f>
        <v>142.80000000000001</v>
      </c>
      <c r="X538" s="24">
        <f t="shared" ca="1" si="144"/>
        <v>2.4580316131879165E-3</v>
      </c>
      <c r="Y538" s="24">
        <f t="shared" ca="1" si="145"/>
        <v>2.6197777006195411E-2</v>
      </c>
      <c r="Z538" s="24">
        <f t="shared" ca="1" si="146"/>
        <v>4.2803003734475764E-2</v>
      </c>
      <c r="AA538" s="24">
        <f t="shared" ca="1" si="147"/>
        <v>0.12570152856362737</v>
      </c>
      <c r="AB538" s="9" cm="1">
        <f t="array" aca="1" ref="AB538" ca="1">_xll.BDH($E$8,"PX LAST",AG538)</f>
        <v>4906.1899999999996</v>
      </c>
      <c r="AC538" s="9" cm="1">
        <f t="array" aca="1" ref="AC538" ca="1">_xll.BDH($E$8,"PX LAST",AH538)</f>
        <v>4894.16</v>
      </c>
      <c r="AD538" s="9" cm="1">
        <f t="array" aca="1" ref="AD538" ca="1">_xll.BDH($E$8,"PX LAST",AI538)</f>
        <v>4780.9399999999996</v>
      </c>
      <c r="AE538" s="9" cm="1">
        <f t="array" aca="1" ref="AE538" ca="1">_xll.BDH($E$8,"PX LAST",AJ538)</f>
        <v>4704.8100000000004</v>
      </c>
      <c r="AF538" s="9" cm="1">
        <f t="array" aca="1" ref="AF538" ca="1">_xll.BDH($E$8,"PX LAST",AK538)</f>
        <v>4358.34</v>
      </c>
      <c r="AG538" s="20">
        <f t="shared" ca="1" si="153"/>
        <v>45323</v>
      </c>
      <c r="AH538" s="22">
        <f t="shared" ca="1" si="148"/>
        <v>45316</v>
      </c>
      <c r="AI538" s="22">
        <f t="shared" ca="1" si="149"/>
        <v>45309</v>
      </c>
      <c r="AJ538" s="22">
        <f t="shared" ca="1" si="150"/>
        <v>45294</v>
      </c>
      <c r="AK538" s="22">
        <f t="shared" ca="1" si="151"/>
        <v>45233</v>
      </c>
      <c r="AL538" s="22">
        <f t="shared" ca="1" si="152"/>
        <v>45148</v>
      </c>
    </row>
    <row r="539" spans="4:38" x14ac:dyDescent="0.25">
      <c r="D539" s="6">
        <f ca="1"/>
        <v>45322</v>
      </c>
      <c r="E539" s="28">
        <f ca="1"/>
        <v>173.52</v>
      </c>
      <c r="F539" s="29" cm="1">
        <f t="array" aca="1" ref="F539" ca="1">_xll.FDS($E$7,"P_BETA_LOCIDX("&amp;$AG539&amp;","&amp;$AL539&amp;",,"""&amp;$E$9&amp;""")")</f>
        <v>1.6571541000000001</v>
      </c>
      <c r="G539" s="30">
        <f t="shared" ca="1" si="138"/>
        <v>2.4314899025218641E-2</v>
      </c>
      <c r="H539" s="30">
        <f t="shared" ca="1" si="138"/>
        <v>-1.1201722827451417E-2</v>
      </c>
      <c r="I539" s="30">
        <f t="shared" ca="1" si="138"/>
        <v>-3.604075677696645E-2</v>
      </c>
      <c r="J539" s="30">
        <f t="shared" ca="1" si="136"/>
        <v>7.3568559597805477E-2</v>
      </c>
      <c r="K539" s="30">
        <f t="shared" ca="1" si="139"/>
        <v>-7.7946881289092471E-3</v>
      </c>
      <c r="L539" s="30">
        <f t="shared" ca="1" si="139"/>
        <v>3.721875215573895E-2</v>
      </c>
      <c r="M539" s="30">
        <f t="shared" ca="1" si="139"/>
        <v>3.5925509571711318E-2</v>
      </c>
      <c r="N539" s="30">
        <f t="shared" ca="1" si="137"/>
        <v>0.20259530007712281</v>
      </c>
      <c r="O539" s="30">
        <f t="shared" ca="1" si="140"/>
        <v>1.6520210896309395E-2</v>
      </c>
      <c r="P539" s="30">
        <f t="shared" ca="1" si="141"/>
        <v>2.6017029328287533E-2</v>
      </c>
      <c r="Q539" s="30">
        <f t="shared" ca="1" si="142"/>
        <v>-1.1524720525513121E-4</v>
      </c>
      <c r="R539" s="30">
        <f t="shared" ca="1" si="143"/>
        <v>0.27616385967492829</v>
      </c>
      <c r="S539" s="9" cm="1">
        <f t="array" aca="1" ref="S539" ca="1">_xll.BDH($E$6,"PX LAST",AG539)</f>
        <v>173.52</v>
      </c>
      <c r="T539" s="9" cm="1">
        <f t="array" aca="1" ref="T539" ca="1">_xll.BDH($E$6,"PX LAST",AH539)</f>
        <v>170.7</v>
      </c>
      <c r="U539" s="9" cm="1">
        <f t="array" aca="1" ref="U539" ca="1">_xll.BDH($E$6,"PX LAST",AI539)</f>
        <v>169.12</v>
      </c>
      <c r="V539" s="9" cm="1">
        <f t="array" aca="1" ref="V539" ca="1">_xll.BDH($E$6,"PX LAST",AJ539)</f>
        <v>173.54</v>
      </c>
      <c r="W539" s="9" cm="1">
        <f t="array" aca="1" ref="W539" ca="1">_xll.BDH($E$6,"PX LAST",AK539)</f>
        <v>135.97</v>
      </c>
      <c r="X539" s="24">
        <f t="shared" ca="1" si="144"/>
        <v>-4.7036592003780742E-3</v>
      </c>
      <c r="Y539" s="24">
        <f t="shared" ca="1" si="145"/>
        <v>2.2459439442438667E-2</v>
      </c>
      <c r="Z539" s="24">
        <f t="shared" ca="1" si="146"/>
        <v>2.1679039729444183E-2</v>
      </c>
      <c r="AA539" s="24">
        <f t="shared" ca="1" si="147"/>
        <v>0.12225495509266326</v>
      </c>
      <c r="AB539" s="9" cm="1">
        <f t="array" aca="1" ref="AB539" ca="1">_xll.BDH($E$8,"PX LAST",AG539)</f>
        <v>4845.6499999999996</v>
      </c>
      <c r="AC539" s="9" cm="1">
        <f t="array" aca="1" ref="AC539" ca="1">_xll.BDH($E$8,"PX LAST",AH539)</f>
        <v>4868.55</v>
      </c>
      <c r="AD539" s="9" cm="1">
        <f t="array" aca="1" ref="AD539" ca="1">_xll.BDH($E$8,"PX LAST",AI539)</f>
        <v>4739.21</v>
      </c>
      <c r="AE539" s="9" cm="1">
        <f t="array" aca="1" ref="AE539" ca="1">_xll.BDH($E$8,"PX LAST",AJ539)</f>
        <v>4742.83</v>
      </c>
      <c r="AF539" s="9" cm="1">
        <f t="array" aca="1" ref="AF539" ca="1">_xll.BDH($E$8,"PX LAST",AK539)</f>
        <v>4317.78</v>
      </c>
      <c r="AG539" s="20">
        <f t="shared" ca="1" si="153"/>
        <v>45322</v>
      </c>
      <c r="AH539" s="22">
        <f t="shared" ca="1" si="148"/>
        <v>45315</v>
      </c>
      <c r="AI539" s="22">
        <f t="shared" ca="1" si="149"/>
        <v>45308</v>
      </c>
      <c r="AJ539" s="22">
        <f t="shared" ca="1" si="150"/>
        <v>45293</v>
      </c>
      <c r="AK539" s="22">
        <f t="shared" ca="1" si="151"/>
        <v>45232</v>
      </c>
      <c r="AL539" s="22">
        <f t="shared" ca="1" si="152"/>
        <v>45147</v>
      </c>
    </row>
    <row r="540" spans="4:38" x14ac:dyDescent="0.25">
      <c r="D540" s="6">
        <f ca="1"/>
        <v>45321</v>
      </c>
      <c r="E540" s="28">
        <f ca="1"/>
        <v>175.61</v>
      </c>
      <c r="F540" s="29" cm="1">
        <f t="array" aca="1" ref="F540" ca="1">_xll.FDS($E$7,"P_BETA_LOCIDX("&amp;$AG540&amp;","&amp;$AL540&amp;",,"""&amp;$E$9&amp;""")")</f>
        <v>1.6972598999999999</v>
      </c>
      <c r="G540" s="30">
        <f t="shared" ca="1" si="138"/>
        <v>-5.2718045897377913E-3</v>
      </c>
      <c r="H540" s="30">
        <f t="shared" ca="1" si="138"/>
        <v>-2.0450029333398859E-2</v>
      </c>
      <c r="I540" s="30">
        <f t="shared" ca="1" si="138"/>
        <v>-4.5254443061882615E-2</v>
      </c>
      <c r="J540" s="30">
        <f t="shared" ca="1" si="136"/>
        <v>6.4529140117296657E-2</v>
      </c>
      <c r="K540" s="30">
        <f t="shared" ca="1" si="139"/>
        <v>2.1063104913662076E-2</v>
      </c>
      <c r="L540" s="30">
        <f t="shared" ca="1" si="139"/>
        <v>5.6619488856646652E-2</v>
      </c>
      <c r="M540" s="30">
        <f t="shared" ca="1" si="139"/>
        <v>5.5203833446055811E-2</v>
      </c>
      <c r="N540" s="30">
        <f t="shared" ca="1" si="137"/>
        <v>0.27518706372768348</v>
      </c>
      <c r="O540" s="30">
        <f t="shared" ca="1" si="140"/>
        <v>1.5791300323924284E-2</v>
      </c>
      <c r="P540" s="30">
        <f t="shared" ca="1" si="141"/>
        <v>3.6169459523247793E-2</v>
      </c>
      <c r="Q540" s="30">
        <f t="shared" ca="1" si="142"/>
        <v>9.9493903841731957E-3</v>
      </c>
      <c r="R540" s="30">
        <f t="shared" ca="1" si="143"/>
        <v>0.33971620384498014</v>
      </c>
      <c r="S540" s="9" cm="1">
        <f t="array" aca="1" ref="S540" ca="1">_xll.BDH($E$6,"PX LAST",AG540)</f>
        <v>175.61</v>
      </c>
      <c r="T540" s="9" cm="1">
        <f t="array" aca="1" ref="T540" ca="1">_xll.BDH($E$6,"PX LAST",AH540)</f>
        <v>172.88</v>
      </c>
      <c r="U540" s="9" cm="1">
        <f t="array" aca="1" ref="U540" ca="1">_xll.BDH($E$6,"PX LAST",AI540)</f>
        <v>169.48</v>
      </c>
      <c r="V540" s="9" cm="1">
        <f t="array" aca="1" ref="V540" ca="1">_xll.BDH($E$6,"PX LAST",AJ540)</f>
        <v>173.88</v>
      </c>
      <c r="W540" s="9" cm="1">
        <f t="array" aca="1" ref="W540" ca="1">_xll.BDH($E$6,"PX LAST",AK540)</f>
        <v>131.08000000000001</v>
      </c>
      <c r="X540" s="24">
        <f t="shared" ca="1" si="144"/>
        <v>1.2410064547958788E-2</v>
      </c>
      <c r="Y540" s="24">
        <f t="shared" ca="1" si="145"/>
        <v>3.3359351067356657E-2</v>
      </c>
      <c r="Z540" s="24">
        <f t="shared" ca="1" si="146"/>
        <v>3.252526819614121E-2</v>
      </c>
      <c r="AA540" s="24">
        <f t="shared" ca="1" si="147"/>
        <v>0.16213607811489772</v>
      </c>
      <c r="AB540" s="9" cm="1">
        <f t="array" aca="1" ref="AB540" ca="1">_xll.BDH($E$8,"PX LAST",AG540)</f>
        <v>4924.97</v>
      </c>
      <c r="AC540" s="9" cm="1">
        <f t="array" aca="1" ref="AC540" ca="1">_xll.BDH($E$8,"PX LAST",AH540)</f>
        <v>4864.6000000000004</v>
      </c>
      <c r="AD540" s="9" cm="1">
        <f t="array" aca="1" ref="AD540" ca="1">_xll.BDH($E$8,"PX LAST",AI540)</f>
        <v>4765.9799999999996</v>
      </c>
      <c r="AE540" s="9" cm="1">
        <f t="array" aca="1" ref="AE540" ca="1">_xll.BDH($E$8,"PX LAST",AJ540)</f>
        <v>4769.83</v>
      </c>
      <c r="AF540" s="9" cm="1">
        <f t="array" aca="1" ref="AF540" ca="1">_xll.BDH($E$8,"PX LAST",AK540)</f>
        <v>4237.8599999999997</v>
      </c>
      <c r="AG540" s="20">
        <f t="shared" ca="1" si="153"/>
        <v>45321</v>
      </c>
      <c r="AH540" s="22">
        <f t="shared" ca="1" si="148"/>
        <v>45314</v>
      </c>
      <c r="AI540" s="22">
        <f t="shared" ca="1" si="149"/>
        <v>45307</v>
      </c>
      <c r="AJ540" s="22">
        <f t="shared" ca="1" si="150"/>
        <v>45289</v>
      </c>
      <c r="AK540" s="22">
        <f t="shared" ca="1" si="151"/>
        <v>45231</v>
      </c>
      <c r="AL540" s="22">
        <f t="shared" ca="1" si="152"/>
        <v>45146</v>
      </c>
    </row>
    <row r="541" spans="4:38" x14ac:dyDescent="0.25">
      <c r="D541" s="6">
        <f ca="1"/>
        <v>45320</v>
      </c>
      <c r="E541" s="28">
        <f ca="1"/>
        <v>174.22</v>
      </c>
      <c r="F541" s="29" cm="1">
        <f t="array" aca="1" ref="F541" ca="1">_xll.FDS($E$7,"P_BETA_LOCIDX("&amp;$AG541&amp;","&amp;$AL541&amp;",,"""&amp;$E$9&amp;""")")</f>
        <v>1.6854325999999999</v>
      </c>
      <c r="G541" s="30">
        <f t="shared" ca="1" si="138"/>
        <v>-3.512743738332403E-2</v>
      </c>
      <c r="H541" s="30">
        <f t="shared" ca="1" si="138"/>
        <v>-2.3952357701323958E-2</v>
      </c>
      <c r="I541" s="30">
        <f t="shared" ca="1" si="138"/>
        <v>-6.7038673694930301E-2</v>
      </c>
      <c r="J541" s="30">
        <f t="shared" ca="1" si="136"/>
        <v>6.3933248165776058E-2</v>
      </c>
      <c r="K541" s="30">
        <f t="shared" ca="1" si="139"/>
        <v>2.6929782823378663E-2</v>
      </c>
      <c r="L541" s="30">
        <f t="shared" ca="1" si="139"/>
        <v>5.0769119650991047E-2</v>
      </c>
      <c r="M541" s="30">
        <f t="shared" ca="1" si="139"/>
        <v>5.0943344164236265E-2</v>
      </c>
      <c r="N541" s="30">
        <f t="shared" ca="1" si="137"/>
        <v>0.29503711064857663</v>
      </c>
      <c r="O541" s="30">
        <f t="shared" ca="1" si="140"/>
        <v>-8.1976545599453665E-3</v>
      </c>
      <c r="P541" s="30">
        <f t="shared" ca="1" si="141"/>
        <v>2.6816761949667089E-2</v>
      </c>
      <c r="Q541" s="30">
        <f t="shared" ca="1" si="142"/>
        <v>-1.6095329530694036E-2</v>
      </c>
      <c r="R541" s="30">
        <f t="shared" ca="1" si="143"/>
        <v>0.35897035881435269</v>
      </c>
      <c r="S541" s="9" cm="1">
        <f t="array" aca="1" ref="S541" ca="1">_xll.BDH($E$6,"PX LAST",AG541)</f>
        <v>174.22</v>
      </c>
      <c r="T541" s="9" cm="1">
        <f t="array" aca="1" ref="T541" ca="1">_xll.BDH($E$6,"PX LAST",AH541)</f>
        <v>175.66</v>
      </c>
      <c r="U541" s="9" cm="1">
        <f t="array" aca="1" ref="U541" ca="1">_xll.BDH($E$6,"PX LAST",AI541)</f>
        <v>169.67</v>
      </c>
      <c r="V541" s="9" cm="1">
        <f t="array" aca="1" ref="V541" ca="1">_xll.BDH($E$6,"PX LAST",AJ541)</f>
        <v>177.07</v>
      </c>
      <c r="W541" s="9" cm="1">
        <f t="array" aca="1" ref="W541" ca="1">_xll.BDH($E$6,"PX LAST",AK541)</f>
        <v>128.19999999999999</v>
      </c>
      <c r="X541" s="24">
        <f t="shared" ca="1" si="144"/>
        <v>1.5977964840230729E-2</v>
      </c>
      <c r="Y541" s="24">
        <f t="shared" ca="1" si="145"/>
        <v>3.0122307857929798E-2</v>
      </c>
      <c r="Z541" s="24">
        <f t="shared" ca="1" si="146"/>
        <v>3.0225678656171873E-2</v>
      </c>
      <c r="AA541" s="24">
        <f t="shared" ca="1" si="147"/>
        <v>0.17505126615480004</v>
      </c>
      <c r="AB541" s="9" cm="1">
        <f t="array" aca="1" ref="AB541" ca="1">_xll.BDH($E$8,"PX LAST",AG541)</f>
        <v>4927.93</v>
      </c>
      <c r="AC541" s="9" cm="1">
        <f t="array" aca="1" ref="AC541" ca="1">_xll.BDH($E$8,"PX LAST",AH541)</f>
        <v>4850.43</v>
      </c>
      <c r="AD541" s="9" cm="1">
        <f t="array" aca="1" ref="AD541" ca="1">_xll.BDH($E$8,"PX LAST",AI541)</f>
        <v>4783.83</v>
      </c>
      <c r="AE541" s="9" cm="1">
        <f t="array" aca="1" ref="AE541" ca="1">_xll.BDH($E$8,"PX LAST",AJ541)</f>
        <v>4783.3500000000004</v>
      </c>
      <c r="AF541" s="9" cm="1">
        <f t="array" aca="1" ref="AF541" ca="1">_xll.BDH($E$8,"PX LAST",AK541)</f>
        <v>4193.8</v>
      </c>
      <c r="AG541" s="20">
        <f t="shared" ca="1" si="153"/>
        <v>45320</v>
      </c>
      <c r="AH541" s="22">
        <f t="shared" ca="1" si="148"/>
        <v>45313</v>
      </c>
      <c r="AI541" s="22">
        <f t="shared" ca="1" si="149"/>
        <v>45303</v>
      </c>
      <c r="AJ541" s="22">
        <f t="shared" ca="1" si="150"/>
        <v>45288</v>
      </c>
      <c r="AK541" s="22">
        <f t="shared" ca="1" si="151"/>
        <v>45230</v>
      </c>
      <c r="AL541" s="22">
        <f t="shared" ca="1" si="152"/>
        <v>45145</v>
      </c>
    </row>
    <row r="542" spans="4:38" x14ac:dyDescent="0.25">
      <c r="D542" s="6">
        <f ca="1"/>
        <v>45317</v>
      </c>
      <c r="E542" s="28">
        <f ca="1"/>
        <v>171.38</v>
      </c>
      <c r="F542" s="29" cm="1">
        <f t="array" aca="1" ref="F542" ca="1">_xll.FDS($E$7,"P_BETA_LOCIDX("&amp;$AG542&amp;","&amp;$AL542&amp;",,"""&amp;$E$9&amp;""")")</f>
        <v>1.6737378999999999</v>
      </c>
      <c r="G542" s="30">
        <f t="shared" ca="1" si="138"/>
        <v>-3.6134672614078545E-2</v>
      </c>
      <c r="H542" s="30">
        <f t="shared" ca="1" si="138"/>
        <v>-4.6126569397150409E-2</v>
      </c>
      <c r="I542" s="30">
        <f t="shared" ca="1" si="138"/>
        <v>-6.1989032407909407E-2</v>
      </c>
      <c r="J542" s="30">
        <f t="shared" ca="1" si="136"/>
        <v>4.6669555263682494E-2</v>
      </c>
      <c r="K542" s="30">
        <f t="shared" ca="1" si="139"/>
        <v>1.7692519120378614E-2</v>
      </c>
      <c r="L542" s="30">
        <f t="shared" ca="1" si="139"/>
        <v>3.8770647010819649E-2</v>
      </c>
      <c r="M542" s="30">
        <f t="shared" ca="1" si="139"/>
        <v>3.8290730026685794E-2</v>
      </c>
      <c r="N542" s="30">
        <f t="shared" ca="1" si="137"/>
        <v>0.29087824774888288</v>
      </c>
      <c r="O542" s="30">
        <f t="shared" ca="1" si="140"/>
        <v>-1.8442153493699931E-2</v>
      </c>
      <c r="P542" s="30">
        <f t="shared" ca="1" si="141"/>
        <v>-7.3559223863307599E-3</v>
      </c>
      <c r="Q542" s="30">
        <f t="shared" ca="1" si="142"/>
        <v>-2.3698302381223613E-2</v>
      </c>
      <c r="R542" s="30">
        <f t="shared" ca="1" si="143"/>
        <v>0.33754780301256537</v>
      </c>
      <c r="S542" s="9" cm="1">
        <f t="array" aca="1" ref="S542" ca="1">_xll.BDH($E$6,"PX LAST",AG542)</f>
        <v>171.38</v>
      </c>
      <c r="T542" s="9" cm="1">
        <f t="array" aca="1" ref="T542" ca="1">_xll.BDH($E$6,"PX LAST",AH542)</f>
        <v>174.6</v>
      </c>
      <c r="U542" s="9" cm="1">
        <f t="array" aca="1" ref="U542" ca="1">_xll.BDH($E$6,"PX LAST",AI542)</f>
        <v>172.65</v>
      </c>
      <c r="V542" s="9" cm="1">
        <f t="array" aca="1" ref="V542" ca="1">_xll.BDH($E$6,"PX LAST",AJ542)</f>
        <v>175.54</v>
      </c>
      <c r="W542" s="9" cm="1">
        <f t="array" aca="1" ref="W542" ca="1">_xll.BDH($E$6,"PX LAST",AK542)</f>
        <v>128.13</v>
      </c>
      <c r="X542" s="24">
        <f t="shared" ca="1" si="144"/>
        <v>1.0570662897923633E-2</v>
      </c>
      <c r="Y542" s="24">
        <f t="shared" ca="1" si="145"/>
        <v>2.3164108915033621E-2</v>
      </c>
      <c r="Z542" s="24">
        <f t="shared" ca="1" si="146"/>
        <v>2.2877375260897059E-2</v>
      </c>
      <c r="AA542" s="24">
        <f t="shared" ca="1" si="147"/>
        <v>0.17378960454255288</v>
      </c>
      <c r="AB542" s="9" cm="1">
        <f t="array" aca="1" ref="AB542" ca="1">_xll.BDH($E$8,"PX LAST",AG542)</f>
        <v>4890.97</v>
      </c>
      <c r="AC542" s="9" cm="1">
        <f t="array" aca="1" ref="AC542" ca="1">_xll.BDH($E$8,"PX LAST",AH542)</f>
        <v>4839.8100000000004</v>
      </c>
      <c r="AD542" s="9" cm="1">
        <f t="array" aca="1" ref="AD542" ca="1">_xll.BDH($E$8,"PX LAST",AI542)</f>
        <v>4780.24</v>
      </c>
      <c r="AE542" s="9" cm="1">
        <f t="array" aca="1" ref="AE542" ca="1">_xll.BDH($E$8,"PX LAST",AJ542)</f>
        <v>4781.58</v>
      </c>
      <c r="AF542" s="9" cm="1">
        <f t="array" aca="1" ref="AF542" ca="1">_xll.BDH($E$8,"PX LAST",AK542)</f>
        <v>4166.82</v>
      </c>
      <c r="AG542" s="20">
        <f t="shared" ca="1" si="153"/>
        <v>45317</v>
      </c>
      <c r="AH542" s="22">
        <f t="shared" ca="1" si="148"/>
        <v>45310</v>
      </c>
      <c r="AI542" s="22">
        <f t="shared" ca="1" si="149"/>
        <v>45302</v>
      </c>
      <c r="AJ542" s="22">
        <f t="shared" ca="1" si="150"/>
        <v>45287</v>
      </c>
      <c r="AK542" s="22">
        <f t="shared" ca="1" si="151"/>
        <v>45229</v>
      </c>
      <c r="AL542" s="22">
        <f t="shared" ca="1" si="152"/>
        <v>45142</v>
      </c>
    </row>
    <row r="543" spans="4:38" x14ac:dyDescent="0.25">
      <c r="D543" s="6">
        <f ca="1"/>
        <v>45316</v>
      </c>
      <c r="E543" s="28">
        <f ca="1"/>
        <v>173.33</v>
      </c>
      <c r="F543" s="29" cm="1">
        <f t="array" aca="1" ref="F543" ca="1">_xll.FDS($E$7,"P_BETA_LOCIDX("&amp;$AG543&amp;","&amp;$AL543&amp;",,"""&amp;$E$9&amp;""")")</f>
        <v>1.7414316999999999</v>
      </c>
      <c r="G543" s="30">
        <f t="shared" ca="1" si="138"/>
        <v>-3.3390026532020271E-2</v>
      </c>
      <c r="H543" s="30">
        <f t="shared" ca="1" si="138"/>
        <v>-3.607493043446084E-2</v>
      </c>
      <c r="I543" s="30">
        <f t="shared" ca="1" si="138"/>
        <v>-6.0564391200833345E-2</v>
      </c>
      <c r="J543" s="30">
        <f t="shared" ca="1" si="136"/>
        <v>4.7093465715154048E-2</v>
      </c>
      <c r="K543" s="30">
        <f t="shared" ca="1" si="139"/>
        <v>4.1239776502947183E-2</v>
      </c>
      <c r="L543" s="30">
        <f t="shared" ca="1" si="139"/>
        <v>4.0304362647670768E-2</v>
      </c>
      <c r="M543" s="30">
        <f t="shared" ca="1" si="139"/>
        <v>4.3550837069375237E-2</v>
      </c>
      <c r="N543" s="30">
        <f t="shared" ca="1" si="137"/>
        <v>0.32854145491976672</v>
      </c>
      <c r="O543" s="30">
        <f t="shared" ca="1" si="140"/>
        <v>7.8497499709269114E-3</v>
      </c>
      <c r="P543" s="30">
        <f t="shared" ca="1" si="141"/>
        <v>4.2294322132099271E-3</v>
      </c>
      <c r="Q543" s="30">
        <f t="shared" ca="1" si="142"/>
        <v>-1.7013554131458108E-2</v>
      </c>
      <c r="R543" s="30">
        <f t="shared" ca="1" si="143"/>
        <v>0.37563492063492077</v>
      </c>
      <c r="S543" s="9" cm="1">
        <f t="array" aca="1" ref="S543" ca="1">_xll.BDH($E$6,"PX LAST",AG543)</f>
        <v>173.33</v>
      </c>
      <c r="T543" s="9" cm="1">
        <f t="array" aca="1" ref="T543" ca="1">_xll.BDH($E$6,"PX LAST",AH543)</f>
        <v>171.98</v>
      </c>
      <c r="U543" s="9" cm="1">
        <f t="array" aca="1" ref="U543" ca="1">_xll.BDH($E$6,"PX LAST",AI543)</f>
        <v>172.6</v>
      </c>
      <c r="V543" s="9" cm="1">
        <f t="array" aca="1" ref="V543" ca="1">_xll.BDH($E$6,"PX LAST",AJ543)</f>
        <v>176.33</v>
      </c>
      <c r="W543" s="9" cm="1">
        <f t="array" aca="1" ref="W543" ca="1">_xll.BDH($E$6,"PX LAST",AK543)</f>
        <v>126</v>
      </c>
      <c r="X543" s="24">
        <f t="shared" ca="1" si="144"/>
        <v>2.3681535430271072E-2</v>
      </c>
      <c r="Y543" s="24">
        <f t="shared" ca="1" si="145"/>
        <v>2.3144383238039579E-2</v>
      </c>
      <c r="Z543" s="24">
        <f t="shared" ca="1" si="146"/>
        <v>2.5008639195769344E-2</v>
      </c>
      <c r="AA543" s="24">
        <f t="shared" ca="1" si="147"/>
        <v>0.18866169423685508</v>
      </c>
      <c r="AB543" s="9" cm="1">
        <f t="array" aca="1" ref="AB543" ca="1">_xll.BDH($E$8,"PX LAST",AG543)</f>
        <v>4894.16</v>
      </c>
      <c r="AC543" s="9" cm="1">
        <f t="array" aca="1" ref="AC543" ca="1">_xll.BDH($E$8,"PX LAST",AH543)</f>
        <v>4780.9399999999996</v>
      </c>
      <c r="AD543" s="9" cm="1">
        <f t="array" aca="1" ref="AD543" ca="1">_xll.BDH($E$8,"PX LAST",AI543)</f>
        <v>4783.45</v>
      </c>
      <c r="AE543" s="9" cm="1">
        <f t="array" aca="1" ref="AE543" ca="1">_xll.BDH($E$8,"PX LAST",AJ543)</f>
        <v>4774.75</v>
      </c>
      <c r="AF543" s="9" cm="1">
        <f t="array" aca="1" ref="AF543" ca="1">_xll.BDH($E$8,"PX LAST",AK543)</f>
        <v>4117.37</v>
      </c>
      <c r="AG543" s="20">
        <f t="shared" ca="1" si="153"/>
        <v>45316</v>
      </c>
      <c r="AH543" s="22">
        <f t="shared" ca="1" si="148"/>
        <v>45309</v>
      </c>
      <c r="AI543" s="22">
        <f t="shared" ca="1" si="149"/>
        <v>45301</v>
      </c>
      <c r="AJ543" s="22">
        <f t="shared" ca="1" si="150"/>
        <v>45286</v>
      </c>
      <c r="AK543" s="22">
        <f t="shared" ca="1" si="151"/>
        <v>45226</v>
      </c>
      <c r="AL543" s="22">
        <f t="shared" ca="1" si="152"/>
        <v>45141</v>
      </c>
    </row>
    <row r="544" spans="4:38" x14ac:dyDescent="0.25">
      <c r="D544" s="6">
        <f ca="1"/>
        <v>45315</v>
      </c>
      <c r="E544" s="28">
        <f ca="1"/>
        <v>170.7</v>
      </c>
      <c r="F544" s="29" cm="1">
        <f t="array" aca="1" ref="F544" ca="1">_xll.FDS($E$7,"P_BETA_LOCIDX("&amp;$AG544&amp;","&amp;$AL544&amp;",,"""&amp;$E$9&amp;""")")</f>
        <v>1.6924622</v>
      </c>
      <c r="G544" s="30">
        <f t="shared" ca="1" si="138"/>
        <v>-3.6847299951881199E-2</v>
      </c>
      <c r="H544" s="30">
        <f t="shared" ca="1" si="138"/>
        <v>-5.2708040676564351E-2</v>
      </c>
      <c r="I544" s="30">
        <f t="shared" ca="1" si="138"/>
        <v>-7.1655613722346162E-2</v>
      </c>
      <c r="J544" s="30">
        <f t="shared" ca="1" si="136"/>
        <v>4.9065617132563966E-2</v>
      </c>
      <c r="K544" s="30">
        <f t="shared" ca="1" si="139"/>
        <v>4.6189778665220796E-2</v>
      </c>
      <c r="L544" s="30">
        <f t="shared" ca="1" si="139"/>
        <v>3.9869733945127862E-2</v>
      </c>
      <c r="M544" s="30">
        <f t="shared" ca="1" si="139"/>
        <v>4.055106155978503E-2</v>
      </c>
      <c r="N544" s="30">
        <f t="shared" ca="1" si="137"/>
        <v>0.29916911946012215</v>
      </c>
      <c r="O544" s="30">
        <f t="shared" ca="1" si="140"/>
        <v>9.342478713339597E-3</v>
      </c>
      <c r="P544" s="30">
        <f t="shared" ca="1" si="141"/>
        <v>-1.2838306731436488E-2</v>
      </c>
      <c r="Q544" s="30">
        <f t="shared" ca="1" si="142"/>
        <v>-3.1104552162561139E-2</v>
      </c>
      <c r="R544" s="30">
        <f t="shared" ca="1" si="143"/>
        <v>0.34823473659268611</v>
      </c>
      <c r="S544" s="9" cm="1">
        <f t="array" aca="1" ref="S544" ca="1">_xll.BDH($E$6,"PX LAST",AG544)</f>
        <v>170.7</v>
      </c>
      <c r="T544" s="9" cm="1">
        <f t="array" aca="1" ref="T544" ca="1">_xll.BDH($E$6,"PX LAST",AH544)</f>
        <v>169.12</v>
      </c>
      <c r="U544" s="9" cm="1">
        <f t="array" aca="1" ref="U544" ca="1">_xll.BDH($E$6,"PX LAST",AI544)</f>
        <v>172.92</v>
      </c>
      <c r="V544" s="9" cm="1">
        <f t="array" aca="1" ref="V544" ca="1">_xll.BDH($E$6,"PX LAST",AJ544)</f>
        <v>176.18</v>
      </c>
      <c r="W544" s="9" cm="1">
        <f t="array" aca="1" ref="W544" ca="1">_xll.BDH($E$6,"PX LAST",AK544)</f>
        <v>126.61</v>
      </c>
      <c r="X544" s="24">
        <f t="shared" ca="1" si="144"/>
        <v>2.7291468409291975E-2</v>
      </c>
      <c r="Y544" s="24">
        <f t="shared" ca="1" si="145"/>
        <v>2.3557237464522318E-2</v>
      </c>
      <c r="Z544" s="24">
        <f t="shared" ca="1" si="146"/>
        <v>2.3959803391641499E-2</v>
      </c>
      <c r="AA544" s="24">
        <f t="shared" ca="1" si="147"/>
        <v>0.17676561370772248</v>
      </c>
      <c r="AB544" s="9" cm="1">
        <f t="array" aca="1" ref="AB544" ca="1">_xll.BDH($E$8,"PX LAST",AG544)</f>
        <v>4868.55</v>
      </c>
      <c r="AC544" s="9" cm="1">
        <f t="array" aca="1" ref="AC544" ca="1">_xll.BDH($E$8,"PX LAST",AH544)</f>
        <v>4739.21</v>
      </c>
      <c r="AD544" s="9" cm="1">
        <f t="array" aca="1" ref="AD544" ca="1">_xll.BDH($E$8,"PX LAST",AI544)</f>
        <v>4756.5</v>
      </c>
      <c r="AE544" s="9" cm="1">
        <f t="array" aca="1" ref="AE544" ca="1">_xll.BDH($E$8,"PX LAST",AJ544)</f>
        <v>4754.63</v>
      </c>
      <c r="AF544" s="9" cm="1">
        <f t="array" aca="1" ref="AF544" ca="1">_xll.BDH($E$8,"PX LAST",AK544)</f>
        <v>4137.2299999999996</v>
      </c>
      <c r="AG544" s="20">
        <f t="shared" ca="1" si="153"/>
        <v>45315</v>
      </c>
      <c r="AH544" s="22">
        <f t="shared" ca="1" si="148"/>
        <v>45308</v>
      </c>
      <c r="AI544" s="22">
        <f t="shared" ca="1" si="149"/>
        <v>45300</v>
      </c>
      <c r="AJ544" s="22">
        <f t="shared" ca="1" si="150"/>
        <v>45282</v>
      </c>
      <c r="AK544" s="22">
        <f t="shared" ca="1" si="151"/>
        <v>45225</v>
      </c>
      <c r="AL544" s="22">
        <f t="shared" ca="1" si="152"/>
        <v>45140</v>
      </c>
    </row>
    <row r="545" spans="4:38" x14ac:dyDescent="0.25">
      <c r="D545" s="6">
        <f ca="1"/>
        <v>45314</v>
      </c>
      <c r="E545" s="28">
        <f ca="1"/>
        <v>172.88</v>
      </c>
      <c r="F545" s="29" cm="1">
        <f t="array" aca="1" ref="F545" ca="1">_xll.FDS($E$7,"P_BETA_LOCIDX("&amp;$AG545&amp;","&amp;$AL545&amp;",,"""&amp;$E$9&amp;""")")</f>
        <v>1.6777712</v>
      </c>
      <c r="G545" s="30">
        <f t="shared" ca="1" si="138"/>
        <v>-1.4655901897173806E-2</v>
      </c>
      <c r="H545" s="30">
        <f t="shared" ca="1" si="138"/>
        <v>-3.4957759327475704E-2</v>
      </c>
      <c r="I545" s="30">
        <f t="shared" ca="1" si="138"/>
        <v>-5.6022047997154163E-2</v>
      </c>
      <c r="J545" s="30">
        <f t="shared" ca="1" si="136"/>
        <v>0.12639892162770433</v>
      </c>
      <c r="K545" s="30">
        <f t="shared" ca="1" si="139"/>
        <v>3.4717266069937636E-2</v>
      </c>
      <c r="L545" s="30">
        <f t="shared" ca="1" si="139"/>
        <v>3.5594443937072132E-2</v>
      </c>
      <c r="M545" s="30">
        <f t="shared" ca="1" si="139"/>
        <v>4.1654887221783572E-2</v>
      </c>
      <c r="N545" s="30">
        <f t="shared" ca="1" si="137"/>
        <v>0.27162792618080284</v>
      </c>
      <c r="O545" s="30">
        <f t="shared" ca="1" si="140"/>
        <v>2.0061364172763829E-2</v>
      </c>
      <c r="P545" s="30">
        <f t="shared" ca="1" si="141"/>
        <v>6.3668460959642736E-4</v>
      </c>
      <c r="Q545" s="30">
        <f t="shared" ca="1" si="142"/>
        <v>-1.4367160775370591E-2</v>
      </c>
      <c r="R545" s="30">
        <f t="shared" ca="1" si="143"/>
        <v>0.39802684780850717</v>
      </c>
      <c r="S545" s="9" cm="1">
        <f t="array" aca="1" ref="S545" ca="1">_xll.BDH($E$6,"PX LAST",AG545)</f>
        <v>172.88</v>
      </c>
      <c r="T545" s="9" cm="1">
        <f t="array" aca="1" ref="T545" ca="1">_xll.BDH($E$6,"PX LAST",AH545)</f>
        <v>169.48</v>
      </c>
      <c r="U545" s="9" cm="1">
        <f t="array" aca="1" ref="U545" ca="1">_xll.BDH($E$6,"PX LAST",AI545)</f>
        <v>172.77</v>
      </c>
      <c r="V545" s="9" cm="1">
        <f t="array" aca="1" ref="V545" ca="1">_xll.BDH($E$6,"PX LAST",AJ545)</f>
        <v>175.4</v>
      </c>
      <c r="W545" s="9" cm="1">
        <f t="array" aca="1" ref="W545" ca="1">_xll.BDH($E$6,"PX LAST",AK545)</f>
        <v>123.66</v>
      </c>
      <c r="X545" s="24">
        <f t="shared" ca="1" si="144"/>
        <v>2.0692491365889243E-2</v>
      </c>
      <c r="Y545" s="24">
        <f t="shared" ca="1" si="145"/>
        <v>2.1215314660945506E-2</v>
      </c>
      <c r="Z545" s="24">
        <f t="shared" ca="1" si="146"/>
        <v>2.482751356191093E-2</v>
      </c>
      <c r="AA545" s="24">
        <f t="shared" ca="1" si="147"/>
        <v>0.16189807417173618</v>
      </c>
      <c r="AB545" s="9" cm="1">
        <f t="array" aca="1" ref="AB545" ca="1">_xll.BDH($E$8,"PX LAST",AG545)</f>
        <v>4864.6000000000004</v>
      </c>
      <c r="AC545" s="9" cm="1">
        <f t="array" aca="1" ref="AC545" ca="1">_xll.BDH($E$8,"PX LAST",AH545)</f>
        <v>4765.9799999999996</v>
      </c>
      <c r="AD545" s="9" cm="1">
        <f t="array" aca="1" ref="AD545" ca="1">_xll.BDH($E$8,"PX LAST",AI545)</f>
        <v>4763.54</v>
      </c>
      <c r="AE545" s="9" cm="1">
        <f t="array" aca="1" ref="AE545" ca="1">_xll.BDH($E$8,"PX LAST",AJ545)</f>
        <v>4746.75</v>
      </c>
      <c r="AF545" s="9" cm="1">
        <f t="array" aca="1" ref="AF545" ca="1">_xll.BDH($E$8,"PX LAST",AK545)</f>
        <v>4186.7700000000004</v>
      </c>
      <c r="AG545" s="20">
        <f t="shared" ca="1" si="153"/>
        <v>45314</v>
      </c>
      <c r="AH545" s="22">
        <f t="shared" ca="1" si="148"/>
        <v>45307</v>
      </c>
      <c r="AI545" s="22">
        <f t="shared" ca="1" si="149"/>
        <v>45299</v>
      </c>
      <c r="AJ545" s="22">
        <f t="shared" ca="1" si="150"/>
        <v>45281</v>
      </c>
      <c r="AK545" s="22">
        <f t="shared" ca="1" si="151"/>
        <v>45224</v>
      </c>
      <c r="AL545" s="22">
        <f t="shared" ca="1" si="152"/>
        <v>45139</v>
      </c>
    </row>
    <row r="546" spans="4:38" x14ac:dyDescent="0.25">
      <c r="D546" s="6">
        <f ca="1"/>
        <v>45313</v>
      </c>
      <c r="E546" s="28">
        <f ca="1"/>
        <v>175.66</v>
      </c>
      <c r="F546" s="29" cm="1">
        <f t="array" aca="1" ref="F546" ca="1">_xll.FDS($E$7,"P_BETA_LOCIDX("&amp;$AG546&amp;","&amp;$AL546&amp;",,"""&amp;$E$9&amp;""")")</f>
        <v>1.6880930999999999</v>
      </c>
      <c r="G546" s="30">
        <f t="shared" ca="1" si="138"/>
        <v>1.1802362758529965E-2</v>
      </c>
      <c r="H546" s="30">
        <f t="shared" ca="1" si="138"/>
        <v>-1.4660117485413335E-2</v>
      </c>
      <c r="I546" s="30">
        <f t="shared" ca="1" si="138"/>
        <v>-3.2946689546712336E-2</v>
      </c>
      <c r="J546" s="30">
        <f t="shared" ca="1" si="136"/>
        <v>0.1550276214544884</v>
      </c>
      <c r="K546" s="30">
        <f t="shared" ca="1" si="139"/>
        <v>2.3501462313669126E-2</v>
      </c>
      <c r="L546" s="30">
        <f t="shared" ca="1" si="139"/>
        <v>5.5053389221968715E-2</v>
      </c>
      <c r="M546" s="30">
        <f t="shared" ca="1" si="139"/>
        <v>5.4641565368267496E-2</v>
      </c>
      <c r="N546" s="30">
        <f t="shared" ca="1" si="137"/>
        <v>0.23954208321366027</v>
      </c>
      <c r="O546" s="30">
        <f t="shared" ca="1" si="140"/>
        <v>3.5303825072199091E-2</v>
      </c>
      <c r="P546" s="30">
        <f t="shared" ca="1" si="141"/>
        <v>4.0393271736555381E-2</v>
      </c>
      <c r="Q546" s="30">
        <f t="shared" ca="1" si="142"/>
        <v>2.169487582155516E-2</v>
      </c>
      <c r="R546" s="30">
        <f t="shared" ca="1" si="143"/>
        <v>0.39456970466814867</v>
      </c>
      <c r="S546" s="9" cm="1">
        <f t="array" aca="1" ref="S546" ca="1">_xll.BDH($E$6,"PX LAST",AG546)</f>
        <v>175.66</v>
      </c>
      <c r="T546" s="9" cm="1">
        <f t="array" aca="1" ref="T546" ca="1">_xll.BDH($E$6,"PX LAST",AH546)</f>
        <v>169.67</v>
      </c>
      <c r="U546" s="9" cm="1">
        <f t="array" aca="1" ref="U546" ca="1">_xll.BDH($E$6,"PX LAST",AI546)</f>
        <v>168.84</v>
      </c>
      <c r="V546" s="9" cm="1">
        <f t="array" aca="1" ref="V546" ca="1">_xll.BDH($E$6,"PX LAST",AJ546)</f>
        <v>171.93</v>
      </c>
      <c r="W546" s="9" cm="1">
        <f t="array" aca="1" ref="W546" ca="1">_xll.BDH($E$6,"PX LAST",AK546)</f>
        <v>125.96</v>
      </c>
      <c r="X546" s="24">
        <f t="shared" ca="1" si="144"/>
        <v>1.3921899398599002E-2</v>
      </c>
      <c r="Y546" s="24">
        <f t="shared" ca="1" si="145"/>
        <v>3.2612768349073118E-2</v>
      </c>
      <c r="Z546" s="24">
        <f t="shared" ca="1" si="146"/>
        <v>3.2368810327029651E-2</v>
      </c>
      <c r="AA546" s="24">
        <f t="shared" ca="1" si="147"/>
        <v>0.14190099065843009</v>
      </c>
      <c r="AB546" s="9" cm="1">
        <f t="array" aca="1" ref="AB546" ca="1">_xll.BDH($E$8,"PX LAST",AG546)</f>
        <v>4850.43</v>
      </c>
      <c r="AC546" s="9" cm="1">
        <f t="array" aca="1" ref="AC546" ca="1">_xll.BDH($E$8,"PX LAST",AH546)</f>
        <v>4783.83</v>
      </c>
      <c r="AD546" s="9" cm="1">
        <f t="array" aca="1" ref="AD546" ca="1">_xll.BDH($E$8,"PX LAST",AI546)</f>
        <v>4697.24</v>
      </c>
      <c r="AE546" s="9" cm="1">
        <f t="array" aca="1" ref="AE546" ca="1">_xll.BDH($E$8,"PX LAST",AJ546)</f>
        <v>4698.3500000000004</v>
      </c>
      <c r="AF546" s="9" cm="1">
        <f t="array" aca="1" ref="AF546" ca="1">_xll.BDH($E$8,"PX LAST",AK546)</f>
        <v>4247.68</v>
      </c>
      <c r="AG546" s="20">
        <f t="shared" ca="1" si="153"/>
        <v>45313</v>
      </c>
      <c r="AH546" s="22">
        <f t="shared" ca="1" si="148"/>
        <v>45303</v>
      </c>
      <c r="AI546" s="22">
        <f t="shared" ca="1" si="149"/>
        <v>45296</v>
      </c>
      <c r="AJ546" s="22">
        <f t="shared" ca="1" si="150"/>
        <v>45280</v>
      </c>
      <c r="AK546" s="22">
        <f t="shared" ca="1" si="151"/>
        <v>45223</v>
      </c>
      <c r="AL546" s="22">
        <f t="shared" ca="1" si="152"/>
        <v>45138</v>
      </c>
    </row>
    <row r="547" spans="4:38" x14ac:dyDescent="0.25">
      <c r="D547" s="6">
        <f ca="1"/>
        <v>45310</v>
      </c>
      <c r="E547" s="28">
        <f ca="1"/>
        <v>174.6</v>
      </c>
      <c r="F547" s="29" cm="1">
        <f t="array" aca="1" ref="F547" ca="1">_xll.FDS($E$7,"P_BETA_LOCIDX("&amp;$AG547&amp;","&amp;$AL547&amp;",,"""&amp;$E$9&amp;""")")</f>
        <v>1.6842295</v>
      </c>
      <c r="G547" s="30">
        <f t="shared" ca="1" si="138"/>
        <v>-9.6938655726219423E-3</v>
      </c>
      <c r="H547" s="30">
        <f t="shared" ca="1" si="138"/>
        <v>-1.9314364140655023E-2</v>
      </c>
      <c r="I547" s="30">
        <f t="shared" ca="1" si="138"/>
        <v>-3.2849458307176949E-2</v>
      </c>
      <c r="J547" s="30">
        <f t="shared" ca="1" si="136"/>
        <v>0.13830924449407675</v>
      </c>
      <c r="K547" s="30">
        <f t="shared" ca="1" si="139"/>
        <v>2.098839207131872E-2</v>
      </c>
      <c r="L547" s="30">
        <f t="shared" ca="1" si="139"/>
        <v>5.4287689570412086E-2</v>
      </c>
      <c r="M547" s="30">
        <f t="shared" ca="1" si="139"/>
        <v>2.5233225500538244E-2</v>
      </c>
      <c r="N547" s="30">
        <f t="shared" ca="1" si="137"/>
        <v>0.24872602719324458</v>
      </c>
      <c r="O547" s="30">
        <f t="shared" ca="1" si="140"/>
        <v>1.1294526498696777E-2</v>
      </c>
      <c r="P547" s="30">
        <f t="shared" ca="1" si="141"/>
        <v>3.4973325429757063E-2</v>
      </c>
      <c r="Q547" s="30">
        <f t="shared" ca="1" si="142"/>
        <v>-7.6162328066387008E-3</v>
      </c>
      <c r="R547" s="30">
        <f t="shared" ca="1" si="143"/>
        <v>0.38703527168732133</v>
      </c>
      <c r="S547" s="9" cm="1">
        <f t="array" aca="1" ref="S547" ca="1">_xll.BDH($E$6,"PX LAST",AG547)</f>
        <v>174.6</v>
      </c>
      <c r="T547" s="9" cm="1">
        <f t="array" aca="1" ref="T547" ca="1">_xll.BDH($E$6,"PX LAST",AH547)</f>
        <v>172.65</v>
      </c>
      <c r="U547" s="9" cm="1">
        <f t="array" aca="1" ref="U547" ca="1">_xll.BDH($E$6,"PX LAST",AI547)</f>
        <v>168.7</v>
      </c>
      <c r="V547" s="9" cm="1">
        <f t="array" aca="1" ref="V547" ca="1">_xll.BDH($E$6,"PX LAST",AJ547)</f>
        <v>175.94</v>
      </c>
      <c r="W547" s="9" cm="1">
        <f t="array" aca="1" ref="W547" ca="1">_xll.BDH($E$6,"PX LAST",AK547)</f>
        <v>125.88</v>
      </c>
      <c r="X547" s="24">
        <f t="shared" ca="1" si="144"/>
        <v>1.2461717403310368E-2</v>
      </c>
      <c r="Y547" s="24">
        <f t="shared" ca="1" si="145"/>
        <v>3.2232952558076011E-2</v>
      </c>
      <c r="Z547" s="24">
        <f t="shared" ca="1" si="146"/>
        <v>1.4982058858687752E-2</v>
      </c>
      <c r="AA547" s="24">
        <f t="shared" ca="1" si="147"/>
        <v>0.14767941494507997</v>
      </c>
      <c r="AB547" s="9" cm="1">
        <f t="array" aca="1" ref="AB547" ca="1">_xll.BDH($E$8,"PX LAST",AG547)</f>
        <v>4839.8100000000004</v>
      </c>
      <c r="AC547" s="9" cm="1">
        <f t="array" aca="1" ref="AC547" ca="1">_xll.BDH($E$8,"PX LAST",AH547)</f>
        <v>4780.24</v>
      </c>
      <c r="AD547" s="9" cm="1">
        <f t="array" aca="1" ref="AD547" ca="1">_xll.BDH($E$8,"PX LAST",AI547)</f>
        <v>4688.68</v>
      </c>
      <c r="AE547" s="9" cm="1">
        <f t="array" aca="1" ref="AE547" ca="1">_xll.BDH($E$8,"PX LAST",AJ547)</f>
        <v>4768.37</v>
      </c>
      <c r="AF547" s="9" cm="1">
        <f t="array" aca="1" ref="AF547" ca="1">_xll.BDH($E$8,"PX LAST",AK547)</f>
        <v>4217.04</v>
      </c>
      <c r="AG547" s="20">
        <f t="shared" ca="1" si="153"/>
        <v>45310</v>
      </c>
      <c r="AH547" s="22">
        <f t="shared" ca="1" si="148"/>
        <v>45302</v>
      </c>
      <c r="AI547" s="22">
        <f t="shared" ca="1" si="149"/>
        <v>45295</v>
      </c>
      <c r="AJ547" s="22">
        <f t="shared" ca="1" si="150"/>
        <v>45279</v>
      </c>
      <c r="AK547" s="22">
        <f t="shared" ca="1" si="151"/>
        <v>45222</v>
      </c>
      <c r="AL547" s="22">
        <f t="shared" ca="1" si="152"/>
        <v>45135</v>
      </c>
    </row>
    <row r="548" spans="4:38" x14ac:dyDescent="0.25">
      <c r="D548" s="6">
        <f ca="1"/>
        <v>45309</v>
      </c>
      <c r="E548" s="28">
        <f ca="1"/>
        <v>171.98</v>
      </c>
      <c r="F548" s="29" cm="1">
        <f t="array" aca="1" ref="F548" ca="1">_xll.FDS($E$7,"P_BETA_LOCIDX("&amp;$AG548&amp;","&amp;$AL548&amp;",,"""&amp;$E$9&amp;""")")</f>
        <v>1.6844021</v>
      </c>
      <c r="G548" s="30">
        <f t="shared" ca="1" si="138"/>
        <v>-2.7082711394158234E-3</v>
      </c>
      <c r="H548" s="30">
        <f t="shared" ca="1" si="138"/>
        <v>-7.329374579822804E-3</v>
      </c>
      <c r="I548" s="30">
        <f t="shared" ca="1" si="138"/>
        <v>-2.918416037097557E-2</v>
      </c>
      <c r="J548" s="30">
        <f t="shared" ca="1" si="136"/>
        <v>0.14757621130856879</v>
      </c>
      <c r="K548" s="30">
        <f t="shared" ca="1" si="139"/>
        <v>-8.8384937043353804E-4</v>
      </c>
      <c r="L548" s="30">
        <f t="shared" ca="1" si="139"/>
        <v>2.7255836446742513E-2</v>
      </c>
      <c r="M548" s="30">
        <f t="shared" ca="1" si="139"/>
        <v>1.4347705080834021E-2</v>
      </c>
      <c r="N548" s="30">
        <f t="shared" ca="1" si="137"/>
        <v>0.22201843709471225</v>
      </c>
      <c r="O548" s="30">
        <f t="shared" ca="1" si="140"/>
        <v>-3.5921205098493614E-3</v>
      </c>
      <c r="P548" s="30">
        <f t="shared" ca="1" si="141"/>
        <v>1.9926461866919709E-2</v>
      </c>
      <c r="Q548" s="30">
        <f t="shared" ca="1" si="142"/>
        <v>-1.4836455290141548E-2</v>
      </c>
      <c r="R548" s="30">
        <f t="shared" ca="1" si="143"/>
        <v>0.36959464840328105</v>
      </c>
      <c r="S548" s="9" cm="1">
        <f t="array" aca="1" ref="S548" ca="1">_xll.BDH($E$6,"PX LAST",AG548)</f>
        <v>171.98</v>
      </c>
      <c r="T548" s="9" cm="1">
        <f t="array" aca="1" ref="T548" ca="1">_xll.BDH($E$6,"PX LAST",AH548)</f>
        <v>172.6</v>
      </c>
      <c r="U548" s="9" cm="1">
        <f t="array" aca="1" ref="U548" ca="1">_xll.BDH($E$6,"PX LAST",AI548)</f>
        <v>168.62</v>
      </c>
      <c r="V548" s="9" cm="1">
        <f t="array" aca="1" ref="V548" ca="1">_xll.BDH($E$6,"PX LAST",AJ548)</f>
        <v>174.57</v>
      </c>
      <c r="W548" s="9" cm="1">
        <f t="array" aca="1" ref="W548" ca="1">_xll.BDH($E$6,"PX LAST",AK548)</f>
        <v>125.57</v>
      </c>
      <c r="X548" s="24">
        <f t="shared" ca="1" si="144"/>
        <v>-5.247258777660857E-4</v>
      </c>
      <c r="Y548" s="24">
        <f t="shared" ca="1" si="145"/>
        <v>1.6181312316543961E-2</v>
      </c>
      <c r="Z548" s="24">
        <f t="shared" ca="1" si="146"/>
        <v>8.5179809980253651E-3</v>
      </c>
      <c r="AA548" s="24">
        <f t="shared" ca="1" si="147"/>
        <v>0.1318084542252187</v>
      </c>
      <c r="AB548" s="9" cm="1">
        <f t="array" aca="1" ref="AB548" ca="1">_xll.BDH($E$8,"PX LAST",AG548)</f>
        <v>4780.9399999999996</v>
      </c>
      <c r="AC548" s="9" cm="1">
        <f t="array" aca="1" ref="AC548" ca="1">_xll.BDH($E$8,"PX LAST",AH548)</f>
        <v>4783.45</v>
      </c>
      <c r="AD548" s="9" cm="1">
        <f t="array" aca="1" ref="AD548" ca="1">_xll.BDH($E$8,"PX LAST",AI548)</f>
        <v>4704.8100000000004</v>
      </c>
      <c r="AE548" s="9" cm="1">
        <f t="array" aca="1" ref="AE548" ca="1">_xll.BDH($E$8,"PX LAST",AJ548)</f>
        <v>4740.5600000000004</v>
      </c>
      <c r="AF548" s="9" cm="1">
        <f t="array" aca="1" ref="AF548" ca="1">_xll.BDH($E$8,"PX LAST",AK548)</f>
        <v>4224.16</v>
      </c>
      <c r="AG548" s="20">
        <f t="shared" ca="1" si="153"/>
        <v>45309</v>
      </c>
      <c r="AH548" s="22">
        <f t="shared" ca="1" si="148"/>
        <v>45301</v>
      </c>
      <c r="AI548" s="22">
        <f t="shared" ca="1" si="149"/>
        <v>45294</v>
      </c>
      <c r="AJ548" s="22">
        <f t="shared" ca="1" si="150"/>
        <v>45278</v>
      </c>
      <c r="AK548" s="22">
        <f t="shared" ca="1" si="151"/>
        <v>45219</v>
      </c>
      <c r="AL548" s="22">
        <f t="shared" ca="1" si="152"/>
        <v>45134</v>
      </c>
    </row>
    <row r="549" spans="4:38" x14ac:dyDescent="0.25">
      <c r="D549" s="6">
        <f ca="1"/>
        <v>45308</v>
      </c>
      <c r="E549" s="28">
        <f ca="1"/>
        <v>169.12</v>
      </c>
      <c r="F549" s="29" cm="1">
        <f t="array" aca="1" ref="F549" ca="1">_xll.FDS($E$7,"P_BETA_LOCIDX("&amp;$AG549&amp;","&amp;$AL549&amp;",,"""&amp;$E$9&amp;""")")</f>
        <v>1.6837982</v>
      </c>
      <c r="G549" s="30">
        <f t="shared" ca="1" si="138"/>
        <v>-1.5854830168819271E-2</v>
      </c>
      <c r="H549" s="30">
        <f t="shared" ca="1" si="138"/>
        <v>-2.4184460958687277E-2</v>
      </c>
      <c r="I549" s="30">
        <f t="shared" ca="1" si="138"/>
        <v>-4.0190554391073094E-2</v>
      </c>
      <c r="J549" s="30">
        <f t="shared" ca="1" si="136"/>
        <v>0.11272287813503087</v>
      </c>
      <c r="K549" s="30">
        <f t="shared" ca="1" si="139"/>
        <v>-6.1206498219278423E-3</v>
      </c>
      <c r="L549" s="30">
        <f t="shared" ca="1" si="139"/>
        <v>-1.285171402727919E-3</v>
      </c>
      <c r="M549" s="30">
        <f t="shared" ca="1" si="139"/>
        <v>7.1430987021079305E-3</v>
      </c>
      <c r="N549" s="30">
        <f t="shared" ca="1" si="137"/>
        <v>0.18152981950023375</v>
      </c>
      <c r="O549" s="30">
        <f t="shared" ca="1" si="140"/>
        <v>-2.1975479990747115E-2</v>
      </c>
      <c r="P549" s="30">
        <f t="shared" ca="1" si="141"/>
        <v>-2.5469632361415195E-2</v>
      </c>
      <c r="Q549" s="30">
        <f t="shared" ca="1" si="142"/>
        <v>-3.3047455688965166E-2</v>
      </c>
      <c r="R549" s="30">
        <f t="shared" ca="1" si="143"/>
        <v>0.29425269763526463</v>
      </c>
      <c r="S549" s="9" cm="1">
        <f t="array" aca="1" ref="S549" ca="1">_xll.BDH($E$6,"PX LAST",AG549)</f>
        <v>169.12</v>
      </c>
      <c r="T549" s="9" cm="1">
        <f t="array" aca="1" ref="T549" ca="1">_xll.BDH($E$6,"PX LAST",AH549)</f>
        <v>172.92</v>
      </c>
      <c r="U549" s="9" cm="1">
        <f t="array" aca="1" ref="U549" ca="1">_xll.BDH($E$6,"PX LAST",AI549)</f>
        <v>173.54</v>
      </c>
      <c r="V549" s="9" cm="1">
        <f t="array" aca="1" ref="V549" ca="1">_xll.BDH($E$6,"PX LAST",AJ549)</f>
        <v>174.9</v>
      </c>
      <c r="W549" s="9" cm="1">
        <f t="array" aca="1" ref="W549" ca="1">_xll.BDH($E$6,"PX LAST",AK549)</f>
        <v>130.66999999999999</v>
      </c>
      <c r="X549" s="24">
        <f t="shared" ca="1" si="144"/>
        <v>-3.6350257542310249E-3</v>
      </c>
      <c r="Y549" s="24">
        <f t="shared" ca="1" si="145"/>
        <v>-7.6325738008742317E-4</v>
      </c>
      <c r="Z549" s="24">
        <f t="shared" ca="1" si="146"/>
        <v>4.2422534375603504E-3</v>
      </c>
      <c r="AA549" s="24">
        <f t="shared" ca="1" si="147"/>
        <v>0.10780972417017298</v>
      </c>
      <c r="AB549" s="9" cm="1">
        <f t="array" aca="1" ref="AB549" ca="1">_xll.BDH($E$8,"PX LAST",AG549)</f>
        <v>4739.21</v>
      </c>
      <c r="AC549" s="9" cm="1">
        <f t="array" aca="1" ref="AC549" ca="1">_xll.BDH($E$8,"PX LAST",AH549)</f>
        <v>4756.5</v>
      </c>
      <c r="AD549" s="9" cm="1">
        <f t="array" aca="1" ref="AD549" ca="1">_xll.BDH($E$8,"PX LAST",AI549)</f>
        <v>4742.83</v>
      </c>
      <c r="AE549" s="9" cm="1">
        <f t="array" aca="1" ref="AE549" ca="1">_xll.BDH($E$8,"PX LAST",AJ549)</f>
        <v>4719.1899999999996</v>
      </c>
      <c r="AF549" s="9" cm="1">
        <f t="array" aca="1" ref="AF549" ca="1">_xll.BDH($E$8,"PX LAST",AK549)</f>
        <v>4278</v>
      </c>
      <c r="AG549" s="20">
        <f t="shared" ca="1" si="153"/>
        <v>45308</v>
      </c>
      <c r="AH549" s="22">
        <f t="shared" ca="1" si="148"/>
        <v>45300</v>
      </c>
      <c r="AI549" s="22">
        <f t="shared" ca="1" si="149"/>
        <v>45293</v>
      </c>
      <c r="AJ549" s="22">
        <f t="shared" ca="1" si="150"/>
        <v>45275</v>
      </c>
      <c r="AK549" s="22">
        <f t="shared" ca="1" si="151"/>
        <v>45218</v>
      </c>
      <c r="AL549" s="22">
        <f t="shared" ca="1" si="152"/>
        <v>45133</v>
      </c>
    </row>
    <row r="550" spans="4:38" x14ac:dyDescent="0.25">
      <c r="D550" s="6">
        <f ca="1"/>
        <v>45307</v>
      </c>
      <c r="E550" s="28">
        <f ca="1"/>
        <v>169.48</v>
      </c>
      <c r="F550" s="29" cm="1">
        <f t="array" aca="1" ref="F550" ca="1">_xll.FDS($E$7,"P_BETA_LOCIDX("&amp;$AG550&amp;","&amp;$AL550&amp;",,"""&amp;$E$9&amp;""")")</f>
        <v>1.690024</v>
      </c>
      <c r="G550" s="30">
        <f t="shared" ca="1" si="138"/>
        <v>-1.9908328895012661E-2</v>
      </c>
      <c r="H550" s="30">
        <f t="shared" ca="1" si="138"/>
        <v>-2.3940693804614919E-2</v>
      </c>
      <c r="I550" s="30">
        <f t="shared" ca="1" si="138"/>
        <v>-6.2830185306004246E-2</v>
      </c>
      <c r="J550" s="30">
        <f t="shared" ca="1" si="136"/>
        <v>9.9399777530480959E-2</v>
      </c>
      <c r="K550" s="30">
        <f t="shared" ca="1" si="139"/>
        <v>8.6567102616958856E-4</v>
      </c>
      <c r="L550" s="30">
        <f t="shared" ca="1" si="139"/>
        <v>-1.3641141088887284E-3</v>
      </c>
      <c r="M550" s="30">
        <f t="shared" ca="1" si="139"/>
        <v>1.6626122049771416E-2</v>
      </c>
      <c r="N550" s="30">
        <f t="shared" ca="1" si="137"/>
        <v>0.17680504174662731</v>
      </c>
      <c r="O550" s="30">
        <f t="shared" ca="1" si="140"/>
        <v>-1.9042657868843071E-2</v>
      </c>
      <c r="P550" s="30">
        <f t="shared" ca="1" si="141"/>
        <v>-2.5304807913503646E-2</v>
      </c>
      <c r="Q550" s="30">
        <f t="shared" ca="1" si="142"/>
        <v>-4.620406325623283E-2</v>
      </c>
      <c r="R550" s="30">
        <f t="shared" ca="1" si="143"/>
        <v>0.27620481927710827</v>
      </c>
      <c r="S550" s="9" cm="1">
        <f t="array" aca="1" ref="S550" ca="1">_xll.BDH($E$6,"PX LAST",AG550)</f>
        <v>169.48</v>
      </c>
      <c r="T550" s="9" cm="1">
        <f t="array" aca="1" ref="T550" ca="1">_xll.BDH($E$6,"PX LAST",AH550)</f>
        <v>172.77</v>
      </c>
      <c r="U550" s="9" cm="1">
        <f t="array" aca="1" ref="U550" ca="1">_xll.BDH($E$6,"PX LAST",AI550)</f>
        <v>173.88</v>
      </c>
      <c r="V550" s="9" cm="1">
        <f t="array" aca="1" ref="V550" ca="1">_xll.BDH($E$6,"PX LAST",AJ550)</f>
        <v>177.69</v>
      </c>
      <c r="W550" s="9" cm="1">
        <f t="array" aca="1" ref="W550" ca="1">_xll.BDH($E$6,"PX LAST",AK550)</f>
        <v>132.80000000000001</v>
      </c>
      <c r="X550" s="24">
        <f t="shared" ca="1" si="144"/>
        <v>5.1222410224327497E-4</v>
      </c>
      <c r="Y550" s="24">
        <f t="shared" ca="1" si="145"/>
        <v>-8.0715664918884489E-4</v>
      </c>
      <c r="Z550" s="24">
        <f t="shared" ca="1" si="146"/>
        <v>9.8378023328493658E-3</v>
      </c>
      <c r="AA550" s="24">
        <f t="shared" ca="1" si="147"/>
        <v>0.10461688221387822</v>
      </c>
      <c r="AB550" s="9" cm="1">
        <f t="array" aca="1" ref="AB550" ca="1">_xll.BDH($E$8,"PX LAST",AG550)</f>
        <v>4765.9799999999996</v>
      </c>
      <c r="AC550" s="9" cm="1">
        <f t="array" aca="1" ref="AC550" ca="1">_xll.BDH($E$8,"PX LAST",AH550)</f>
        <v>4763.54</v>
      </c>
      <c r="AD550" s="9" cm="1">
        <f t="array" aca="1" ref="AD550" ca="1">_xll.BDH($E$8,"PX LAST",AI550)</f>
        <v>4769.83</v>
      </c>
      <c r="AE550" s="9" cm="1">
        <f t="array" aca="1" ref="AE550" ca="1">_xll.BDH($E$8,"PX LAST",AJ550)</f>
        <v>4719.55</v>
      </c>
      <c r="AF550" s="9" cm="1">
        <f t="array" aca="1" ref="AF550" ca="1">_xll.BDH($E$8,"PX LAST",AK550)</f>
        <v>4314.6000000000004</v>
      </c>
      <c r="AG550" s="20">
        <f t="shared" ca="1" si="153"/>
        <v>45307</v>
      </c>
      <c r="AH550" s="22">
        <f t="shared" ca="1" si="148"/>
        <v>45299</v>
      </c>
      <c r="AI550" s="22">
        <f t="shared" ca="1" si="149"/>
        <v>45289</v>
      </c>
      <c r="AJ550" s="22">
        <f t="shared" ca="1" si="150"/>
        <v>45274</v>
      </c>
      <c r="AK550" s="22">
        <f t="shared" ca="1" si="151"/>
        <v>45217</v>
      </c>
      <c r="AL550" s="22">
        <f t="shared" ca="1" si="152"/>
        <v>45132</v>
      </c>
    </row>
    <row r="551" spans="4:38" x14ac:dyDescent="0.25">
      <c r="D551" s="6">
        <f ca="1"/>
        <v>45303</v>
      </c>
      <c r="E551" s="28">
        <f ca="1"/>
        <v>169.67</v>
      </c>
      <c r="F551" s="29" cm="1">
        <f t="array" aca="1" ref="F551" ca="1">_xll.FDS($E$7,"P_BETA_LOCIDX("&amp;$AG551&amp;","&amp;$AL551&amp;",,"""&amp;$E$9&amp;""")")</f>
        <v>1.6916024999999999</v>
      </c>
      <c r="G551" s="30">
        <f t="shared" ca="1" si="138"/>
        <v>-2.6267491937241323E-2</v>
      </c>
      <c r="H551" s="30">
        <f t="shared" ca="1" si="138"/>
        <v>-4.1961131006422146E-2</v>
      </c>
      <c r="I551" s="30">
        <f t="shared" ca="1" si="138"/>
        <v>-2.8696875817603294E-2</v>
      </c>
      <c r="J551" s="30">
        <f t="shared" ca="1" si="136"/>
        <v>6.2690017362004885E-2</v>
      </c>
      <c r="K551" s="30">
        <f t="shared" ca="1" si="139"/>
        <v>3.1183388644182693E-2</v>
      </c>
      <c r="L551" s="30">
        <f t="shared" ca="1" si="139"/>
        <v>1.6974906707608141E-4</v>
      </c>
      <c r="M551" s="30">
        <f t="shared" ca="1" si="139"/>
        <v>2.7578307584940974E-2</v>
      </c>
      <c r="N551" s="30">
        <f t="shared" ca="1" si="137"/>
        <v>0.15883626053576314</v>
      </c>
      <c r="O551" s="30">
        <f t="shared" ca="1" si="140"/>
        <v>4.9158967069413695E-3</v>
      </c>
      <c r="P551" s="30">
        <f t="shared" ca="1" si="141"/>
        <v>-4.1791381939346062E-2</v>
      </c>
      <c r="Q551" s="30">
        <f t="shared" ca="1" si="142"/>
        <v>-1.1185682326623203E-3</v>
      </c>
      <c r="R551" s="30">
        <f t="shared" ca="1" si="143"/>
        <v>0.22152627789776802</v>
      </c>
      <c r="S551" s="9" cm="1">
        <f t="array" aca="1" ref="S551" ca="1">_xll.BDH($E$6,"PX LAST",AG551)</f>
        <v>169.67</v>
      </c>
      <c r="T551" s="9" cm="1">
        <f t="array" aca="1" ref="T551" ca="1">_xll.BDH($E$6,"PX LAST",AH551)</f>
        <v>168.84</v>
      </c>
      <c r="U551" s="9" cm="1">
        <f t="array" aca="1" ref="U551" ca="1">_xll.BDH($E$6,"PX LAST",AI551)</f>
        <v>177.07</v>
      </c>
      <c r="V551" s="9" cm="1">
        <f t="array" aca="1" ref="V551" ca="1">_xll.BDH($E$6,"PX LAST",AJ551)</f>
        <v>169.86</v>
      </c>
      <c r="W551" s="9" cm="1">
        <f t="array" aca="1" ref="W551" ca="1">_xll.BDH($E$6,"PX LAST",AK551)</f>
        <v>138.9</v>
      </c>
      <c r="X551" s="24">
        <f t="shared" ca="1" si="144"/>
        <v>1.8434229462407803E-2</v>
      </c>
      <c r="Y551" s="24">
        <f t="shared" ca="1" si="145"/>
        <v>1.0034808241066173E-4</v>
      </c>
      <c r="Z551" s="24">
        <f t="shared" ca="1" si="146"/>
        <v>1.6303066225629825E-2</v>
      </c>
      <c r="AA551" s="24">
        <f t="shared" ca="1" si="147"/>
        <v>9.3896917588950801E-2</v>
      </c>
      <c r="AB551" s="9" cm="1">
        <f t="array" aca="1" ref="AB551" ca="1">_xll.BDH($E$8,"PX LAST",AG551)</f>
        <v>4783.83</v>
      </c>
      <c r="AC551" s="9" cm="1">
        <f t="array" aca="1" ref="AC551" ca="1">_xll.BDH($E$8,"PX LAST",AH551)</f>
        <v>4697.24</v>
      </c>
      <c r="AD551" s="9" cm="1">
        <f t="array" aca="1" ref="AD551" ca="1">_xll.BDH($E$8,"PX LAST",AI551)</f>
        <v>4783.3500000000004</v>
      </c>
      <c r="AE551" s="9" cm="1">
        <f t="array" aca="1" ref="AE551" ca="1">_xll.BDH($E$8,"PX LAST",AJ551)</f>
        <v>4707.09</v>
      </c>
      <c r="AF551" s="9" cm="1">
        <f t="array" aca="1" ref="AF551" ca="1">_xll.BDH($E$8,"PX LAST",AK551)</f>
        <v>4373.2</v>
      </c>
      <c r="AG551" s="20">
        <f t="shared" ca="1" si="153"/>
        <v>45303</v>
      </c>
      <c r="AH551" s="22">
        <f t="shared" ca="1" si="148"/>
        <v>45296</v>
      </c>
      <c r="AI551" s="22">
        <f t="shared" ca="1" si="149"/>
        <v>45288</v>
      </c>
      <c r="AJ551" s="22">
        <f t="shared" ca="1" si="150"/>
        <v>45273</v>
      </c>
      <c r="AK551" s="22">
        <f t="shared" ca="1" si="151"/>
        <v>45216</v>
      </c>
      <c r="AL551" s="22">
        <f t="shared" ca="1" si="152"/>
        <v>45131</v>
      </c>
    </row>
    <row r="552" spans="4:38" x14ac:dyDescent="0.25">
      <c r="D552" s="6">
        <f ca="1"/>
        <v>45302</v>
      </c>
      <c r="E552" s="28">
        <f ca="1"/>
        <v>172.65</v>
      </c>
      <c r="F552" s="29" cm="1">
        <f t="array" aca="1" ref="F552" ca="1">_xll.FDS($E$7,"P_BETA_LOCIDX("&amp;$AG552&amp;","&amp;$AL552&amp;",,"""&amp;$E$9&amp;""")")</f>
        <v>1.692544</v>
      </c>
      <c r="G552" s="30">
        <f t="shared" ca="1" si="138"/>
        <v>-9.6374582114982787E-3</v>
      </c>
      <c r="H552" s="30">
        <f t="shared" ca="1" si="138"/>
        <v>-1.5989162028546923E-2</v>
      </c>
      <c r="I552" s="30">
        <f t="shared" ca="1" si="138"/>
        <v>-1.6367167013631737E-2</v>
      </c>
      <c r="J552" s="30">
        <f t="shared" ca="1" si="136"/>
        <v>9.4459298743169801E-2</v>
      </c>
      <c r="K552" s="30">
        <f t="shared" ca="1" si="139"/>
        <v>3.3051803202606894E-2</v>
      </c>
      <c r="L552" s="30">
        <f t="shared" ca="1" si="139"/>
        <v>-4.7432207763966391E-4</v>
      </c>
      <c r="M552" s="30">
        <f t="shared" ca="1" si="139"/>
        <v>4.9766341012554519E-2</v>
      </c>
      <c r="N552" s="30">
        <f t="shared" ca="1" si="137"/>
        <v>0.15735334626843137</v>
      </c>
      <c r="O552" s="30">
        <f t="shared" ca="1" si="140"/>
        <v>2.3414344991108615E-2</v>
      </c>
      <c r="P552" s="30">
        <f t="shared" ca="1" si="141"/>
        <v>-1.6463484106186588E-2</v>
      </c>
      <c r="Q552" s="30">
        <f t="shared" ca="1" si="142"/>
        <v>3.3399173998922782E-2</v>
      </c>
      <c r="R552" s="30">
        <f t="shared" ca="1" si="143"/>
        <v>0.25181264501160117</v>
      </c>
      <c r="S552" s="9" cm="1">
        <f t="array" aca="1" ref="S552" ca="1">_xll.BDH($E$6,"PX LAST",AG552)</f>
        <v>172.65</v>
      </c>
      <c r="T552" s="9" cm="1">
        <f t="array" aca="1" ref="T552" ca="1">_xll.BDH($E$6,"PX LAST",AH552)</f>
        <v>168.7</v>
      </c>
      <c r="U552" s="9" cm="1">
        <f t="array" aca="1" ref="U552" ca="1">_xll.BDH($E$6,"PX LAST",AI552)</f>
        <v>175.54</v>
      </c>
      <c r="V552" s="9" cm="1">
        <f t="array" aca="1" ref="V552" ca="1">_xll.BDH($E$6,"PX LAST",AJ552)</f>
        <v>167.07</v>
      </c>
      <c r="W552" s="9" cm="1">
        <f t="array" aca="1" ref="W552" ca="1">_xll.BDH($E$6,"PX LAST",AK552)</f>
        <v>137.91999999999999</v>
      </c>
      <c r="X552" s="24">
        <f t="shared" ca="1" si="144"/>
        <v>1.9527884180622124E-2</v>
      </c>
      <c r="Y552" s="24">
        <f t="shared" ca="1" si="145"/>
        <v>-2.802420957089824E-4</v>
      </c>
      <c r="Z552" s="24">
        <f t="shared" ca="1" si="146"/>
        <v>2.9403277558843088E-2</v>
      </c>
      <c r="AA552" s="24">
        <f t="shared" ca="1" si="147"/>
        <v>9.2968541005983507E-2</v>
      </c>
      <c r="AB552" s="9" cm="1">
        <f t="array" aca="1" ref="AB552" ca="1">_xll.BDH($E$8,"PX LAST",AG552)</f>
        <v>4780.24</v>
      </c>
      <c r="AC552" s="9" cm="1">
        <f t="array" aca="1" ref="AC552" ca="1">_xll.BDH($E$8,"PX LAST",AH552)</f>
        <v>4688.68</v>
      </c>
      <c r="AD552" s="9" cm="1">
        <f t="array" aca="1" ref="AD552" ca="1">_xll.BDH($E$8,"PX LAST",AI552)</f>
        <v>4781.58</v>
      </c>
      <c r="AE552" s="9" cm="1">
        <f t="array" aca="1" ref="AE552" ca="1">_xll.BDH($E$8,"PX LAST",AJ552)</f>
        <v>4643.7</v>
      </c>
      <c r="AF552" s="9" cm="1">
        <f t="array" aca="1" ref="AF552" ca="1">_xll.BDH($E$8,"PX LAST",AK552)</f>
        <v>4373.63</v>
      </c>
      <c r="AG552" s="20">
        <f t="shared" ca="1" si="153"/>
        <v>45302</v>
      </c>
      <c r="AH552" s="22">
        <f t="shared" ca="1" si="148"/>
        <v>45295</v>
      </c>
      <c r="AI552" s="22">
        <f t="shared" ca="1" si="149"/>
        <v>45287</v>
      </c>
      <c r="AJ552" s="22">
        <f t="shared" ca="1" si="150"/>
        <v>45272</v>
      </c>
      <c r="AK552" s="22">
        <f t="shared" ca="1" si="151"/>
        <v>45215</v>
      </c>
      <c r="AL552" s="22">
        <f t="shared" ca="1" si="152"/>
        <v>45128</v>
      </c>
    </row>
    <row r="553" spans="4:38" x14ac:dyDescent="0.25">
      <c r="D553" s="6">
        <f ca="1"/>
        <v>45301</v>
      </c>
      <c r="E553" s="28">
        <f ca="1"/>
        <v>172.6</v>
      </c>
      <c r="F553" s="29" cm="1">
        <f t="array" aca="1" ref="F553" ca="1">_xll.FDS($E$7,"P_BETA_LOCIDX("&amp;$AG553&amp;","&amp;$AL553&amp;",,"""&amp;$E$9&amp;""")")</f>
        <v>1.6724473</v>
      </c>
      <c r="G553" s="30">
        <f t="shared" ca="1" si="138"/>
        <v>-4.3512684722701034E-3</v>
      </c>
      <c r="H553" s="30">
        <f t="shared" ca="1" si="138"/>
        <v>-2.4200859984825688E-2</v>
      </c>
      <c r="I553" s="30">
        <f t="shared" ca="1" si="138"/>
        <v>-2.0933153198555557E-2</v>
      </c>
      <c r="J553" s="30">
        <f t="shared" ca="1" si="136"/>
        <v>0.11485866755449342</v>
      </c>
      <c r="K553" s="30">
        <f t="shared" ca="1" si="139"/>
        <v>2.7954636993204579E-2</v>
      </c>
      <c r="L553" s="30">
        <f t="shared" ca="1" si="139"/>
        <v>3.0473410147127144E-3</v>
      </c>
      <c r="M553" s="30">
        <f t="shared" ca="1" si="139"/>
        <v>5.8255107642933249E-2</v>
      </c>
      <c r="N553" s="30">
        <f t="shared" ca="1" si="137"/>
        <v>0.17609122025403318</v>
      </c>
      <c r="O553" s="30">
        <f t="shared" ca="1" si="140"/>
        <v>2.3603368520934476E-2</v>
      </c>
      <c r="P553" s="30">
        <f t="shared" ca="1" si="141"/>
        <v>-2.1153518970112972E-2</v>
      </c>
      <c r="Q553" s="30">
        <f t="shared" ca="1" si="142"/>
        <v>3.7321954444377692E-2</v>
      </c>
      <c r="R553" s="30">
        <f t="shared" ca="1" si="143"/>
        <v>0.2909498878085266</v>
      </c>
      <c r="S553" s="9" cm="1">
        <f t="array" aca="1" ref="S553" ca="1">_xll.BDH($E$6,"PX LAST",AG553)</f>
        <v>172.6</v>
      </c>
      <c r="T553" s="9" cm="1">
        <f t="array" aca="1" ref="T553" ca="1">_xll.BDH($E$6,"PX LAST",AH553)</f>
        <v>168.62</v>
      </c>
      <c r="U553" s="9" cm="1">
        <f t="array" aca="1" ref="U553" ca="1">_xll.BDH($E$6,"PX LAST",AI553)</f>
        <v>176.33</v>
      </c>
      <c r="V553" s="9" cm="1">
        <f t="array" aca="1" ref="V553" ca="1">_xll.BDH($E$6,"PX LAST",AJ553)</f>
        <v>166.39</v>
      </c>
      <c r="W553" s="9" cm="1">
        <f t="array" aca="1" ref="W553" ca="1">_xll.BDH($E$6,"PX LAST",AK553)</f>
        <v>133.69999999999999</v>
      </c>
      <c r="X553" s="24">
        <f t="shared" ca="1" si="144"/>
        <v>1.6714808887074994E-2</v>
      </c>
      <c r="Y553" s="24">
        <f t="shared" ca="1" si="145"/>
        <v>1.8220849259122929E-3</v>
      </c>
      <c r="Z553" s="24">
        <f t="shared" ca="1" si="146"/>
        <v>3.4832253095767651E-2</v>
      </c>
      <c r="AA553" s="24">
        <f t="shared" ca="1" si="147"/>
        <v>0.10528954798996248</v>
      </c>
      <c r="AB553" s="9" cm="1">
        <f t="array" aca="1" ref="AB553" ca="1">_xll.BDH($E$8,"PX LAST",AG553)</f>
        <v>4783.45</v>
      </c>
      <c r="AC553" s="9" cm="1">
        <f t="array" aca="1" ref="AC553" ca="1">_xll.BDH($E$8,"PX LAST",AH553)</f>
        <v>4704.8100000000004</v>
      </c>
      <c r="AD553" s="9" cm="1">
        <f t="array" aca="1" ref="AD553" ca="1">_xll.BDH($E$8,"PX LAST",AI553)</f>
        <v>4774.75</v>
      </c>
      <c r="AE553" s="9" cm="1">
        <f t="array" aca="1" ref="AE553" ca="1">_xll.BDH($E$8,"PX LAST",AJ553)</f>
        <v>4622.4399999999996</v>
      </c>
      <c r="AF553" s="9" cm="1">
        <f t="array" aca="1" ref="AF553" ca="1">_xll.BDH($E$8,"PX LAST",AK553)</f>
        <v>4327.78</v>
      </c>
      <c r="AG553" s="20">
        <f t="shared" ca="1" si="153"/>
        <v>45301</v>
      </c>
      <c r="AH553" s="22">
        <f t="shared" ca="1" si="148"/>
        <v>45294</v>
      </c>
      <c r="AI553" s="22">
        <f t="shared" ca="1" si="149"/>
        <v>45286</v>
      </c>
      <c r="AJ553" s="22">
        <f t="shared" ca="1" si="150"/>
        <v>45271</v>
      </c>
      <c r="AK553" s="22">
        <f t="shared" ca="1" si="151"/>
        <v>45212</v>
      </c>
      <c r="AL553" s="22">
        <f t="shared" ca="1" si="152"/>
        <v>45127</v>
      </c>
    </row>
    <row r="554" spans="4:38" x14ac:dyDescent="0.25">
      <c r="D554" s="6">
        <f ca="1"/>
        <v>45300</v>
      </c>
      <c r="E554" s="28">
        <f ca="1"/>
        <v>172.92</v>
      </c>
      <c r="F554" s="29" cm="1">
        <f t="array" aca="1" ref="F554" ca="1">_xll.FDS($E$7,"P_BETA_LOCIDX("&amp;$AG554&amp;","&amp;$AL554&amp;",,"""&amp;$E$9&amp;""")")</f>
        <v>1.6781824000000001</v>
      </c>
      <c r="G554" s="30">
        <f t="shared" ca="1" si="138"/>
        <v>-8.4095968831958447E-3</v>
      </c>
      <c r="H554" s="30">
        <f t="shared" ca="1" si="138"/>
        <v>-1.9163833485985122E-2</v>
      </c>
      <c r="I554" s="30">
        <f t="shared" ca="1" si="138"/>
        <v>1.8856439752648946E-2</v>
      </c>
      <c r="J554" s="30">
        <f t="shared" ca="1" si="136"/>
        <v>3.2119628649233345E-2</v>
      </c>
      <c r="K554" s="30">
        <f t="shared" ca="1" si="139"/>
        <v>4.836933520282337E-3</v>
      </c>
      <c r="L554" s="30">
        <f t="shared" ca="1" si="139"/>
        <v>6.6003055716220161E-4</v>
      </c>
      <c r="M554" s="30">
        <f t="shared" ca="1" si="139"/>
        <v>5.5447735197649228E-2</v>
      </c>
      <c r="N554" s="30">
        <f t="shared" ca="1" si="137"/>
        <v>0.15698778436135674</v>
      </c>
      <c r="O554" s="30">
        <f t="shared" ca="1" si="140"/>
        <v>-3.5726633629135085E-3</v>
      </c>
      <c r="P554" s="30">
        <f t="shared" ca="1" si="141"/>
        <v>-1.8503802928822921E-2</v>
      </c>
      <c r="Q554" s="30">
        <f t="shared" ca="1" si="142"/>
        <v>7.4304174950298174E-2</v>
      </c>
      <c r="R554" s="30">
        <f t="shared" ca="1" si="143"/>
        <v>0.18910741301059009</v>
      </c>
      <c r="S554" s="9" cm="1">
        <f t="array" aca="1" ref="S554" ca="1">_xll.BDH($E$6,"PX LAST",AG554)</f>
        <v>172.92</v>
      </c>
      <c r="T554" s="9" cm="1">
        <f t="array" aca="1" ref="T554" ca="1">_xll.BDH($E$6,"PX LAST",AH554)</f>
        <v>173.54</v>
      </c>
      <c r="U554" s="9" cm="1">
        <f t="array" aca="1" ref="U554" ca="1">_xll.BDH($E$6,"PX LAST",AI554)</f>
        <v>176.18</v>
      </c>
      <c r="V554" s="9" cm="1">
        <f t="array" aca="1" ref="V554" ca="1">_xll.BDH($E$6,"PX LAST",AJ554)</f>
        <v>160.96</v>
      </c>
      <c r="W554" s="9" cm="1">
        <f t="array" aca="1" ref="W554" ca="1">_xll.BDH($E$6,"PX LAST",AK554)</f>
        <v>145.41999999999999</v>
      </c>
      <c r="X554" s="24">
        <f t="shared" ca="1" si="144"/>
        <v>2.8822454104406869E-3</v>
      </c>
      <c r="Y554" s="24">
        <f t="shared" ca="1" si="145"/>
        <v>3.9330084570199375E-4</v>
      </c>
      <c r="Z554" s="24">
        <f t="shared" ca="1" si="146"/>
        <v>3.3040350797177487E-2</v>
      </c>
      <c r="AA554" s="24">
        <f t="shared" ca="1" si="147"/>
        <v>9.3546317945746971E-2</v>
      </c>
      <c r="AB554" s="9" cm="1">
        <f t="array" aca="1" ref="AB554" ca="1">_xll.BDH($E$8,"PX LAST",AG554)</f>
        <v>4756.5</v>
      </c>
      <c r="AC554" s="9" cm="1">
        <f t="array" aca="1" ref="AC554" ca="1">_xll.BDH($E$8,"PX LAST",AH554)</f>
        <v>4742.83</v>
      </c>
      <c r="AD554" s="9" cm="1">
        <f t="array" aca="1" ref="AD554" ca="1">_xll.BDH($E$8,"PX LAST",AI554)</f>
        <v>4754.63</v>
      </c>
      <c r="AE554" s="9" cm="1">
        <f t="array" aca="1" ref="AE554" ca="1">_xll.BDH($E$8,"PX LAST",AJ554)</f>
        <v>4604.37</v>
      </c>
      <c r="AF554" s="9" cm="1">
        <f t="array" aca="1" ref="AF554" ca="1">_xll.BDH($E$8,"PX LAST",AK554)</f>
        <v>4349.6099999999997</v>
      </c>
      <c r="AG554" s="20">
        <f t="shared" ca="1" si="153"/>
        <v>45300</v>
      </c>
      <c r="AH554" s="22">
        <f t="shared" ca="1" si="148"/>
        <v>45293</v>
      </c>
      <c r="AI554" s="22">
        <f t="shared" ca="1" si="149"/>
        <v>45282</v>
      </c>
      <c r="AJ554" s="22">
        <f t="shared" ca="1" si="150"/>
        <v>45268</v>
      </c>
      <c r="AK554" s="22">
        <f t="shared" ca="1" si="151"/>
        <v>45211</v>
      </c>
      <c r="AL554" s="22">
        <f t="shared" ca="1" si="152"/>
        <v>45126</v>
      </c>
    </row>
    <row r="555" spans="4:38" x14ac:dyDescent="0.25">
      <c r="D555" s="6">
        <f ca="1"/>
        <v>45299</v>
      </c>
      <c r="E555" s="28">
        <f ca="1"/>
        <v>172.77</v>
      </c>
      <c r="F555" s="29" cm="1">
        <f t="array" aca="1" ref="F555" ca="1">_xll.FDS($E$7,"P_BETA_LOCIDX("&amp;$AG555&amp;","&amp;$AL555&amp;",,"""&amp;$E$9&amp;""")")</f>
        <v>1.6896876999999999</v>
      </c>
      <c r="G555" s="30">
        <f t="shared" ca="1" si="138"/>
        <v>-4.1555128159308698E-3</v>
      </c>
      <c r="H555" s="30">
        <f t="shared" ca="1" si="138"/>
        <v>-2.0970989425241605E-2</v>
      </c>
      <c r="I555" s="30">
        <f t="shared" ca="1" si="138"/>
        <v>2.9990583727800488E-2</v>
      </c>
      <c r="J555" s="30">
        <f t="shared" ca="1" si="136"/>
        <v>1.9704439669773616E-2</v>
      </c>
      <c r="K555" s="30">
        <f t="shared" ca="1" si="139"/>
        <v>-2.2282000895210521E-3</v>
      </c>
      <c r="L555" s="30">
        <f t="shared" ca="1" si="139"/>
        <v>5.976690679517606E-3</v>
      </c>
      <c r="M555" s="30">
        <f t="shared" ca="1" si="139"/>
        <v>6.5570608409168521E-2</v>
      </c>
      <c r="N555" s="30">
        <f t="shared" ca="1" si="137"/>
        <v>0.14924007995133606</v>
      </c>
      <c r="O555" s="30">
        <f t="shared" ca="1" si="140"/>
        <v>-6.3837129054519215E-3</v>
      </c>
      <c r="P555" s="30">
        <f t="shared" ca="1" si="141"/>
        <v>-1.4994298745724E-2</v>
      </c>
      <c r="Q555" s="30">
        <f t="shared" ca="1" si="142"/>
        <v>9.5561192136969009E-2</v>
      </c>
      <c r="R555" s="30">
        <f t="shared" ca="1" si="143"/>
        <v>0.16894451962110968</v>
      </c>
      <c r="S555" s="9" cm="1">
        <f t="array" aca="1" ref="S555" ca="1">_xll.BDH($E$6,"PX LAST",AG555)</f>
        <v>172.77</v>
      </c>
      <c r="T555" s="9" cm="1">
        <f t="array" aca="1" ref="T555" ca="1">_xll.BDH($E$6,"PX LAST",AH555)</f>
        <v>173.88</v>
      </c>
      <c r="U555" s="9" cm="1">
        <f t="array" aca="1" ref="U555" ca="1">_xll.BDH($E$6,"PX LAST",AI555)</f>
        <v>175.4</v>
      </c>
      <c r="V555" s="9" cm="1">
        <f t="array" aca="1" ref="V555" ca="1">_xll.BDH($E$6,"PX LAST",AJ555)</f>
        <v>157.69999999999999</v>
      </c>
      <c r="W555" s="9" cm="1">
        <f t="array" aca="1" ref="W555" ca="1">_xll.BDH($E$6,"PX LAST",AK555)</f>
        <v>147.80000000000001</v>
      </c>
      <c r="X555" s="24">
        <f t="shared" ca="1" si="144"/>
        <v>-1.3187052788045106E-3</v>
      </c>
      <c r="Y555" s="24">
        <f t="shared" ca="1" si="145"/>
        <v>3.5371570021593968E-3</v>
      </c>
      <c r="Z555" s="24">
        <f t="shared" ca="1" si="146"/>
        <v>3.8806347710981459E-2</v>
      </c>
      <c r="AA555" s="24">
        <f t="shared" ca="1" si="147"/>
        <v>8.8324061275545818E-2</v>
      </c>
      <c r="AB555" s="9" cm="1">
        <f t="array" aca="1" ref="AB555" ca="1">_xll.BDH($E$8,"PX LAST",AG555)</f>
        <v>4763.54</v>
      </c>
      <c r="AC555" s="9" cm="1">
        <f t="array" aca="1" ref="AC555" ca="1">_xll.BDH($E$8,"PX LAST",AH555)</f>
        <v>4769.83</v>
      </c>
      <c r="AD555" s="9" cm="1">
        <f t="array" aca="1" ref="AD555" ca="1">_xll.BDH($E$8,"PX LAST",AI555)</f>
        <v>4746.75</v>
      </c>
      <c r="AE555" s="9" cm="1">
        <f t="array" aca="1" ref="AE555" ca="1">_xll.BDH($E$8,"PX LAST",AJ555)</f>
        <v>4585.59</v>
      </c>
      <c r="AF555" s="9" cm="1">
        <f t="array" aca="1" ref="AF555" ca="1">_xll.BDH($E$8,"PX LAST",AK555)</f>
        <v>4376.95</v>
      </c>
      <c r="AG555" s="20">
        <f t="shared" ca="1" si="153"/>
        <v>45299</v>
      </c>
      <c r="AH555" s="22">
        <f t="shared" ca="1" si="148"/>
        <v>45289</v>
      </c>
      <c r="AI555" s="22">
        <f t="shared" ca="1" si="149"/>
        <v>45281</v>
      </c>
      <c r="AJ555" s="22">
        <f t="shared" ca="1" si="150"/>
        <v>45267</v>
      </c>
      <c r="AK555" s="22">
        <f t="shared" ca="1" si="151"/>
        <v>45210</v>
      </c>
      <c r="AL555" s="22">
        <f t="shared" ca="1" si="152"/>
        <v>45125</v>
      </c>
    </row>
    <row r="556" spans="4:38" x14ac:dyDescent="0.25">
      <c r="D556" s="6">
        <f ca="1"/>
        <v>45296</v>
      </c>
      <c r="E556" s="28">
        <f ca="1"/>
        <v>168.84</v>
      </c>
      <c r="F556" s="29" cm="1">
        <f t="array" aca="1" ref="F556" ca="1">_xll.FDS($E$7,"P_BETA_LOCIDX("&amp;$AG556&amp;","&amp;$AL556&amp;",,"""&amp;$E$9&amp;""")")</f>
        <v>1.6865015000000001</v>
      </c>
      <c r="G556" s="30">
        <f t="shared" ca="1" si="138"/>
        <v>-1.6118346695829133E-2</v>
      </c>
      <c r="H556" s="30">
        <f t="shared" ca="1" si="138"/>
        <v>-1.7573989343964064E-2</v>
      </c>
      <c r="I556" s="30">
        <f t="shared" ca="1" si="138"/>
        <v>1.6355341526773648E-2</v>
      </c>
      <c r="J556" s="30">
        <f t="shared" ca="1" si="136"/>
        <v>1.9581044702301598E-2</v>
      </c>
      <c r="K556" s="30">
        <f t="shared" ca="1" si="139"/>
        <v>-3.0360447001578573E-2</v>
      </c>
      <c r="L556" s="30">
        <f t="shared" ca="1" si="139"/>
        <v>-3.9844129641283837E-4</v>
      </c>
      <c r="M556" s="30">
        <f t="shared" ca="1" si="139"/>
        <v>5.4828518389480552E-2</v>
      </c>
      <c r="N556" s="30">
        <f t="shared" ca="1" si="137"/>
        <v>0.1311823140763243</v>
      </c>
      <c r="O556" s="30">
        <f t="shared" ca="1" si="140"/>
        <v>-4.6478793697407705E-2</v>
      </c>
      <c r="P556" s="30">
        <f t="shared" ca="1" si="141"/>
        <v>-1.7972430640376902E-2</v>
      </c>
      <c r="Q556" s="30">
        <f t="shared" ca="1" si="142"/>
        <v>7.11838599162542E-2</v>
      </c>
      <c r="R556" s="30">
        <f t="shared" ca="1" si="143"/>
        <v>0.1507633587786259</v>
      </c>
      <c r="S556" s="9" cm="1">
        <f t="array" aca="1" ref="S556" ca="1">_xll.BDH($E$6,"PX LAST",AG556)</f>
        <v>168.84</v>
      </c>
      <c r="T556" s="9" cm="1">
        <f t="array" aca="1" ref="T556" ca="1">_xll.BDH($E$6,"PX LAST",AH556)</f>
        <v>177.07</v>
      </c>
      <c r="U556" s="9" cm="1">
        <f t="array" aca="1" ref="U556" ca="1">_xll.BDH($E$6,"PX LAST",AI556)</f>
        <v>171.93</v>
      </c>
      <c r="V556" s="9" cm="1">
        <f t="array" aca="1" ref="V556" ca="1">_xll.BDH($E$6,"PX LAST",AJ556)</f>
        <v>157.62</v>
      </c>
      <c r="W556" s="9" cm="1">
        <f t="array" aca="1" ref="W556" ca="1">_xll.BDH($E$6,"PX LAST",AK556)</f>
        <v>146.72</v>
      </c>
      <c r="X556" s="24">
        <f t="shared" ca="1" si="144"/>
        <v>-1.8002027867498827E-2</v>
      </c>
      <c r="Y556" s="24">
        <f t="shared" ca="1" si="145"/>
        <v>-2.3625315270270342E-4</v>
      </c>
      <c r="Z556" s="24">
        <f t="shared" ca="1" si="146"/>
        <v>3.2510210272259199E-2</v>
      </c>
      <c r="AA556" s="24">
        <f t="shared" ca="1" si="147"/>
        <v>7.778369249972461E-2</v>
      </c>
      <c r="AB556" s="9" cm="1">
        <f t="array" aca="1" ref="AB556" ca="1">_xll.BDH($E$8,"PX LAST",AG556)</f>
        <v>4697.24</v>
      </c>
      <c r="AC556" s="9" cm="1">
        <f t="array" aca="1" ref="AC556" ca="1">_xll.BDH($E$8,"PX LAST",AH556)</f>
        <v>4783.3500000000004</v>
      </c>
      <c r="AD556" s="9" cm="1">
        <f t="array" aca="1" ref="AD556" ca="1">_xll.BDH($E$8,"PX LAST",AI556)</f>
        <v>4698.3500000000004</v>
      </c>
      <c r="AE556" s="9" cm="1">
        <f t="array" aca="1" ref="AE556" ca="1">_xll.BDH($E$8,"PX LAST",AJ556)</f>
        <v>4549.34</v>
      </c>
      <c r="AF556" s="9" cm="1">
        <f t="array" aca="1" ref="AF556" ca="1">_xll.BDH($E$8,"PX LAST",AK556)</f>
        <v>4358.24</v>
      </c>
      <c r="AG556" s="20">
        <f t="shared" ca="1" si="153"/>
        <v>45296</v>
      </c>
      <c r="AH556" s="22">
        <f t="shared" ca="1" si="148"/>
        <v>45288</v>
      </c>
      <c r="AI556" s="22">
        <f t="shared" ca="1" si="149"/>
        <v>45280</v>
      </c>
      <c r="AJ556" s="22">
        <f t="shared" ca="1" si="150"/>
        <v>45266</v>
      </c>
      <c r="AK556" s="22">
        <f t="shared" ca="1" si="151"/>
        <v>45209</v>
      </c>
      <c r="AL556" s="22">
        <f t="shared" ca="1" si="152"/>
        <v>45124</v>
      </c>
    </row>
    <row r="557" spans="4:38" x14ac:dyDescent="0.25">
      <c r="D557" s="6">
        <f ca="1"/>
        <v>45295</v>
      </c>
      <c r="E557" s="28">
        <f ca="1"/>
        <v>168.7</v>
      </c>
      <c r="F557" s="29" cm="1">
        <f t="array" aca="1" ref="F557" ca="1">_xll.FDS($E$7,"P_BETA_LOCIDX("&amp;$AG557&amp;","&amp;$AL557&amp;",,"""&amp;$E$9&amp;""")")</f>
        <v>1.6932716000000001</v>
      </c>
      <c r="G557" s="30">
        <f t="shared" ca="1" si="138"/>
        <v>-6.0673707088572601E-3</v>
      </c>
      <c r="H557" s="30">
        <f t="shared" ca="1" si="138"/>
        <v>-1.2852081896183389E-2</v>
      </c>
      <c r="I557" s="30">
        <f t="shared" ca="1" si="138"/>
        <v>1.4294810611246551E-2</v>
      </c>
      <c r="J557" s="30">
        <f t="shared" ca="1" si="136"/>
        <v>2.4568607355125172E-3</v>
      </c>
      <c r="K557" s="30">
        <f t="shared" ca="1" si="139"/>
        <v>-3.2898107244885462E-2</v>
      </c>
      <c r="L557" s="30">
        <f t="shared" ca="1" si="139"/>
        <v>-2.8298310282968673E-2</v>
      </c>
      <c r="M557" s="30">
        <f t="shared" ca="1" si="139"/>
        <v>4.50458487294128E-2</v>
      </c>
      <c r="N557" s="30">
        <f t="shared" ca="1" si="137"/>
        <v>0.13787029892380867</v>
      </c>
      <c r="O557" s="30">
        <f t="shared" ca="1" si="140"/>
        <v>-3.8965477953742722E-2</v>
      </c>
      <c r="P557" s="30">
        <f t="shared" ca="1" si="141"/>
        <v>-4.1150392179152062E-2</v>
      </c>
      <c r="Q557" s="30">
        <f t="shared" ca="1" si="142"/>
        <v>5.9340659340659352E-2</v>
      </c>
      <c r="R557" s="30">
        <f t="shared" ca="1" si="143"/>
        <v>0.14032715965932119</v>
      </c>
      <c r="S557" s="9" cm="1">
        <f t="array" aca="1" ref="S557" ca="1">_xll.BDH($E$6,"PX LAST",AG557)</f>
        <v>168.7</v>
      </c>
      <c r="T557" s="9" cm="1">
        <f t="array" aca="1" ref="T557" ca="1">_xll.BDH($E$6,"PX LAST",AH557)</f>
        <v>175.54</v>
      </c>
      <c r="U557" s="9" cm="1">
        <f t="array" aca="1" ref="U557" ca="1">_xll.BDH($E$6,"PX LAST",AI557)</f>
        <v>175.94</v>
      </c>
      <c r="V557" s="9" cm="1">
        <f t="array" aca="1" ref="V557" ca="1">_xll.BDH($E$6,"PX LAST",AJ557)</f>
        <v>159.25</v>
      </c>
      <c r="W557" s="9" cm="1">
        <f t="array" aca="1" ref="W557" ca="1">_xll.BDH($E$6,"PX LAST",AK557)</f>
        <v>147.94</v>
      </c>
      <c r="X557" s="24">
        <f t="shared" ca="1" si="144"/>
        <v>-1.9428724396538311E-2</v>
      </c>
      <c r="Y557" s="24">
        <f t="shared" ca="1" si="145"/>
        <v>-1.6712209832710045E-2</v>
      </c>
      <c r="Z557" s="24">
        <f t="shared" ca="1" si="146"/>
        <v>2.6602849022810515E-2</v>
      </c>
      <c r="AA557" s="24">
        <f t="shared" ca="1" si="147"/>
        <v>8.1422436261145981E-2</v>
      </c>
      <c r="AB557" s="9" cm="1">
        <f t="array" aca="1" ref="AB557" ca="1">_xll.BDH($E$8,"PX LAST",AG557)</f>
        <v>4688.68</v>
      </c>
      <c r="AC557" s="9" cm="1">
        <f t="array" aca="1" ref="AC557" ca="1">_xll.BDH($E$8,"PX LAST",AH557)</f>
        <v>4781.58</v>
      </c>
      <c r="AD557" s="9" cm="1">
        <f t="array" aca="1" ref="AD557" ca="1">_xll.BDH($E$8,"PX LAST",AI557)</f>
        <v>4768.37</v>
      </c>
      <c r="AE557" s="9" cm="1">
        <f t="array" aca="1" ref="AE557" ca="1">_xll.BDH($E$8,"PX LAST",AJ557)</f>
        <v>4567.18</v>
      </c>
      <c r="AF557" s="9" cm="1">
        <f t="array" aca="1" ref="AF557" ca="1">_xll.BDH($E$8,"PX LAST",AK557)</f>
        <v>4335.66</v>
      </c>
      <c r="AG557" s="20">
        <f t="shared" ca="1" si="153"/>
        <v>45295</v>
      </c>
      <c r="AH557" s="22">
        <f t="shared" ca="1" si="148"/>
        <v>45287</v>
      </c>
      <c r="AI557" s="22">
        <f t="shared" ca="1" si="149"/>
        <v>45279</v>
      </c>
      <c r="AJ557" s="22">
        <f t="shared" ca="1" si="150"/>
        <v>45265</v>
      </c>
      <c r="AK557" s="22">
        <f t="shared" ca="1" si="151"/>
        <v>45208</v>
      </c>
      <c r="AL557" s="22">
        <f t="shared" ca="1" si="152"/>
        <v>45121</v>
      </c>
    </row>
    <row r="558" spans="4:38" x14ac:dyDescent="0.25">
      <c r="D558" s="6">
        <f ca="1"/>
        <v>45294</v>
      </c>
      <c r="E558" s="28">
        <f ca="1"/>
        <v>168.62</v>
      </c>
      <c r="F558" s="29" cm="1">
        <f t="array" aca="1" ref="F558" ca="1">_xll.FDS($E$7,"P_BETA_LOCIDX("&amp;$AG558&amp;","&amp;$AL558&amp;",,"""&amp;$E$9&amp;""")")</f>
        <v>1.6810044</v>
      </c>
      <c r="G558" s="30">
        <f t="shared" ca="1" si="138"/>
        <v>-1.9101671075593771E-2</v>
      </c>
      <c r="H558" s="30">
        <f t="shared" ca="1" si="138"/>
        <v>-2.1406784884177129E-2</v>
      </c>
      <c r="I558" s="30">
        <f t="shared" ca="1" si="138"/>
        <v>-1.2966525033933203E-2</v>
      </c>
      <c r="J558" s="30">
        <f t="shared" ca="1" si="136"/>
        <v>3.7983303040703131E-3</v>
      </c>
      <c r="K558" s="30">
        <f t="shared" ca="1" si="139"/>
        <v>-2.4623163042253451E-2</v>
      </c>
      <c r="L558" s="30">
        <f t="shared" ca="1" si="139"/>
        <v>-1.2676963755337004E-2</v>
      </c>
      <c r="M558" s="30">
        <f t="shared" ca="1" si="139"/>
        <v>4.967110542126791E-2</v>
      </c>
      <c r="N558" s="30">
        <f t="shared" ca="1" si="137"/>
        <v>0.15462431327933165</v>
      </c>
      <c r="O558" s="30">
        <f t="shared" ca="1" si="140"/>
        <v>-4.3724834117847222E-2</v>
      </c>
      <c r="P558" s="30">
        <f t="shared" ca="1" si="141"/>
        <v>-3.4083748639514133E-2</v>
      </c>
      <c r="Q558" s="30">
        <f t="shared" ca="1" si="142"/>
        <v>3.6704580387334707E-2</v>
      </c>
      <c r="R558" s="30">
        <f t="shared" ca="1" si="143"/>
        <v>0.15842264358340197</v>
      </c>
      <c r="S558" s="9" cm="1">
        <f t="array" aca="1" ref="S558" ca="1">_xll.BDH($E$6,"PX LAST",AG558)</f>
        <v>168.62</v>
      </c>
      <c r="T558" s="9" cm="1">
        <f t="array" aca="1" ref="T558" ca="1">_xll.BDH($E$6,"PX LAST",AH558)</f>
        <v>176.33</v>
      </c>
      <c r="U558" s="9" cm="1">
        <f t="array" aca="1" ref="U558" ca="1">_xll.BDH($E$6,"PX LAST",AI558)</f>
        <v>174.57</v>
      </c>
      <c r="V558" s="9" cm="1">
        <f t="array" aca="1" ref="V558" ca="1">_xll.BDH($E$6,"PX LAST",AJ558)</f>
        <v>162.65</v>
      </c>
      <c r="W558" s="9" cm="1">
        <f t="array" aca="1" ref="W558" ca="1">_xll.BDH($E$6,"PX LAST",AK558)</f>
        <v>145.56</v>
      </c>
      <c r="X558" s="24">
        <f t="shared" ca="1" si="144"/>
        <v>-1.464788732394362E-2</v>
      </c>
      <c r="Y558" s="24">
        <f t="shared" ca="1" si="145"/>
        <v>-7.5413031371821537E-3</v>
      </c>
      <c r="Z558" s="24">
        <f t="shared" ca="1" si="146"/>
        <v>2.9548468416422891E-2</v>
      </c>
      <c r="AA558" s="24">
        <f t="shared" ca="1" si="147"/>
        <v>9.1983288847626854E-2</v>
      </c>
      <c r="AB558" s="9" cm="1">
        <f t="array" aca="1" ref="AB558" ca="1">_xll.BDH($E$8,"PX LAST",AG558)</f>
        <v>4704.8100000000004</v>
      </c>
      <c r="AC558" s="9" cm="1">
        <f t="array" aca="1" ref="AC558" ca="1">_xll.BDH($E$8,"PX LAST",AH558)</f>
        <v>4774.75</v>
      </c>
      <c r="AD558" s="9" cm="1">
        <f t="array" aca="1" ref="AD558" ca="1">_xll.BDH($E$8,"PX LAST",AI558)</f>
        <v>4740.5600000000004</v>
      </c>
      <c r="AE558" s="9" cm="1">
        <f t="array" aca="1" ref="AE558" ca="1">_xll.BDH($E$8,"PX LAST",AJ558)</f>
        <v>4569.78</v>
      </c>
      <c r="AF558" s="9" cm="1">
        <f t="array" aca="1" ref="AF558" ca="1">_xll.BDH($E$8,"PX LAST",AK558)</f>
        <v>4308.5</v>
      </c>
      <c r="AG558" s="20">
        <f t="shared" ca="1" si="153"/>
        <v>45294</v>
      </c>
      <c r="AH558" s="22">
        <f t="shared" ca="1" si="148"/>
        <v>45286</v>
      </c>
      <c r="AI558" s="22">
        <f t="shared" ca="1" si="149"/>
        <v>45278</v>
      </c>
      <c r="AJ558" s="22">
        <f t="shared" ca="1" si="150"/>
        <v>45264</v>
      </c>
      <c r="AK558" s="22">
        <f t="shared" ca="1" si="151"/>
        <v>45205</v>
      </c>
      <c r="AL558" s="22">
        <f t="shared" ca="1" si="152"/>
        <v>45120</v>
      </c>
    </row>
    <row r="559" spans="4:38" x14ac:dyDescent="0.25">
      <c r="D559" s="6">
        <f ca="1"/>
        <v>45293</v>
      </c>
      <c r="E559" s="28">
        <f ca="1"/>
        <v>173.54</v>
      </c>
      <c r="F559" s="29" cm="1">
        <f t="array" aca="1" ref="F559" ca="1">_xll.FDS($E$7,"P_BETA_LOCIDX("&amp;$AG559&amp;","&amp;$AL559&amp;",,"""&amp;$E$9&amp;""")")</f>
        <v>1.6455888999999999</v>
      </c>
      <c r="G559" s="30">
        <f t="shared" ca="1" si="138"/>
        <v>-1.090066633056112E-2</v>
      </c>
      <c r="H559" s="30">
        <f t="shared" ca="1" si="138"/>
        <v>-1.6019176730394255E-2</v>
      </c>
      <c r="I559" s="30">
        <f t="shared" ca="1" si="138"/>
        <v>1.4925639923702681E-2</v>
      </c>
      <c r="J559" s="30">
        <f t="shared" ca="1" si="136"/>
        <v>5.3788029833522127E-2</v>
      </c>
      <c r="K559" s="30">
        <f t="shared" ca="1" si="139"/>
        <v>-4.0840084338844181E-3</v>
      </c>
      <c r="L559" s="30">
        <f t="shared" ca="1" si="139"/>
        <v>8.2433048035788648E-3</v>
      </c>
      <c r="M559" s="30">
        <f t="shared" ca="1" si="139"/>
        <v>5.3078544949212471E-2</v>
      </c>
      <c r="N559" s="30">
        <f t="shared" ca="1" si="137"/>
        <v>0.18729042257297138</v>
      </c>
      <c r="O559" s="30">
        <f t="shared" ca="1" si="140"/>
        <v>-1.4984674764445538E-2</v>
      </c>
      <c r="P559" s="30">
        <f t="shared" ca="1" si="141"/>
        <v>-7.775871926815392E-3</v>
      </c>
      <c r="Q559" s="30">
        <f t="shared" ca="1" si="142"/>
        <v>6.8004184872915152E-2</v>
      </c>
      <c r="R559" s="30">
        <f t="shared" ca="1" si="143"/>
        <v>0.2410784524064935</v>
      </c>
      <c r="S559" s="9" cm="1">
        <f t="array" aca="1" ref="S559" ca="1">_xll.BDH($E$6,"PX LAST",AG559)</f>
        <v>173.54</v>
      </c>
      <c r="T559" s="9" cm="1">
        <f t="array" aca="1" ref="T559" ca="1">_xll.BDH($E$6,"PX LAST",AH559)</f>
        <v>176.18</v>
      </c>
      <c r="U559" s="9" cm="1">
        <f t="array" aca="1" ref="U559" ca="1">_xll.BDH($E$6,"PX LAST",AI559)</f>
        <v>174.9</v>
      </c>
      <c r="V559" s="9" cm="1">
        <f t="array" aca="1" ref="V559" ca="1">_xll.BDH($E$6,"PX LAST",AJ559)</f>
        <v>162.49</v>
      </c>
      <c r="W559" s="9" cm="1">
        <f t="array" aca="1" ref="W559" ca="1">_xll.BDH($E$6,"PX LAST",AK559)</f>
        <v>139.83000000000001</v>
      </c>
      <c r="X559" s="24">
        <f t="shared" ca="1" si="144"/>
        <v>-2.4817914327718293E-3</v>
      </c>
      <c r="Y559" s="24">
        <f t="shared" ca="1" si="145"/>
        <v>5.0093342289674325E-3</v>
      </c>
      <c r="Z559" s="24">
        <f t="shared" ca="1" si="146"/>
        <v>3.2255045564060669E-2</v>
      </c>
      <c r="AA559" s="24">
        <f t="shared" ca="1" si="147"/>
        <v>0.11381361564420578</v>
      </c>
      <c r="AB559" s="9" cm="1">
        <f t="array" aca="1" ref="AB559" ca="1">_xll.BDH($E$8,"PX LAST",AG559)</f>
        <v>4742.83</v>
      </c>
      <c r="AC559" s="9" cm="1">
        <f t="array" aca="1" ref="AC559" ca="1">_xll.BDH($E$8,"PX LAST",AH559)</f>
        <v>4754.63</v>
      </c>
      <c r="AD559" s="9" cm="1">
        <f t="array" aca="1" ref="AD559" ca="1">_xll.BDH($E$8,"PX LAST",AI559)</f>
        <v>4719.1899999999996</v>
      </c>
      <c r="AE559" s="9" cm="1">
        <f t="array" aca="1" ref="AE559" ca="1">_xll.BDH($E$8,"PX LAST",AJ559)</f>
        <v>4594.63</v>
      </c>
      <c r="AF559" s="9" cm="1">
        <f t="array" aca="1" ref="AF559" ca="1">_xll.BDH($E$8,"PX LAST",AK559)</f>
        <v>4258.1899999999996</v>
      </c>
      <c r="AG559" s="20">
        <f t="shared" ca="1" si="153"/>
        <v>45293</v>
      </c>
      <c r="AH559" s="22">
        <f t="shared" ca="1" si="148"/>
        <v>45282</v>
      </c>
      <c r="AI559" s="22">
        <f t="shared" ca="1" si="149"/>
        <v>45275</v>
      </c>
      <c r="AJ559" s="22">
        <f t="shared" ca="1" si="150"/>
        <v>45261</v>
      </c>
      <c r="AK559" s="22">
        <f t="shared" ca="1" si="151"/>
        <v>45204</v>
      </c>
      <c r="AL559" s="22">
        <f t="shared" ca="1" si="152"/>
        <v>45119</v>
      </c>
    </row>
    <row r="560" spans="4:38" x14ac:dyDescent="0.25">
      <c r="D560" s="6">
        <f ca="1"/>
        <v>45289</v>
      </c>
      <c r="E560" s="28">
        <f ca="1"/>
        <v>173.88</v>
      </c>
      <c r="F560" s="29" cm="1">
        <f t="array" aca="1" ref="F560" ca="1">_xll.FDS($E$7,"P_BETA_LOCIDX("&amp;$AG560&amp;","&amp;$AL560&amp;",,"""&amp;$E$9&amp;""")")</f>
        <v>1.6235046</v>
      </c>
      <c r="G560" s="30">
        <f t="shared" ca="1" si="138"/>
        <v>-1.655983100946316E-2</v>
      </c>
      <c r="H560" s="30">
        <f t="shared" ca="1" si="138"/>
        <v>-3.8737937443676443E-2</v>
      </c>
      <c r="I560" s="30">
        <f t="shared" ca="1" si="138"/>
        <v>4.388190171363969E-2</v>
      </c>
      <c r="J560" s="30">
        <f t="shared" ca="1" si="136"/>
        <v>4.4176132600145135E-2</v>
      </c>
      <c r="K560" s="30">
        <f t="shared" ca="1" si="139"/>
        <v>7.8939245100332726E-3</v>
      </c>
      <c r="L560" s="30">
        <f t="shared" ca="1" si="139"/>
        <v>1.7296100536703565E-2</v>
      </c>
      <c r="M560" s="30">
        <f t="shared" ca="1" si="139"/>
        <v>7.1806259980296785E-2</v>
      </c>
      <c r="N560" s="30">
        <f t="shared" ca="1" si="137"/>
        <v>0.19269966765593666</v>
      </c>
      <c r="O560" s="30">
        <f t="shared" ca="1" si="140"/>
        <v>-8.6659064994298873E-3</v>
      </c>
      <c r="P560" s="30">
        <f t="shared" ca="1" si="141"/>
        <v>-2.1441836906972878E-2</v>
      </c>
      <c r="Q560" s="30">
        <f t="shared" ca="1" si="142"/>
        <v>0.11568816169393648</v>
      </c>
      <c r="R560" s="30">
        <f t="shared" ca="1" si="143"/>
        <v>0.23687580025608179</v>
      </c>
      <c r="S560" s="9" cm="1">
        <f t="array" aca="1" ref="S560" ca="1">_xll.BDH($E$6,"PX LAST",AG560)</f>
        <v>173.88</v>
      </c>
      <c r="T560" s="9" cm="1">
        <f t="array" aca="1" ref="T560" ca="1">_xll.BDH($E$6,"PX LAST",AH560)</f>
        <v>175.4</v>
      </c>
      <c r="U560" s="9" cm="1">
        <f t="array" aca="1" ref="U560" ca="1">_xll.BDH($E$6,"PX LAST",AI560)</f>
        <v>177.69</v>
      </c>
      <c r="V560" s="9" cm="1">
        <f t="array" aca="1" ref="V560" ca="1">_xll.BDH($E$6,"PX LAST",AJ560)</f>
        <v>155.85</v>
      </c>
      <c r="W560" s="9" cm="1">
        <f t="array" aca="1" ref="W560" ca="1">_xll.BDH($E$6,"PX LAST",AK560)</f>
        <v>140.58000000000001</v>
      </c>
      <c r="X560" s="24">
        <f t="shared" ca="1" si="144"/>
        <v>4.8622741876021003E-3</v>
      </c>
      <c r="Y560" s="24">
        <f t="shared" ca="1" si="145"/>
        <v>1.065355807227375E-2</v>
      </c>
      <c r="Z560" s="24">
        <f t="shared" ca="1" si="146"/>
        <v>4.4229169403213753E-2</v>
      </c>
      <c r="AA560" s="24">
        <f t="shared" ca="1" si="147"/>
        <v>0.11869363822925827</v>
      </c>
      <c r="AB560" s="9" cm="1">
        <f t="array" aca="1" ref="AB560" ca="1">_xll.BDH($E$8,"PX LAST",AG560)</f>
        <v>4769.83</v>
      </c>
      <c r="AC560" s="9" cm="1">
        <f t="array" aca="1" ref="AC560" ca="1">_xll.BDH($E$8,"PX LAST",AH560)</f>
        <v>4746.75</v>
      </c>
      <c r="AD560" s="9" cm="1">
        <f t="array" aca="1" ref="AD560" ca="1">_xll.BDH($E$8,"PX LAST",AI560)</f>
        <v>4719.55</v>
      </c>
      <c r="AE560" s="9" cm="1">
        <f t="array" aca="1" ref="AE560" ca="1">_xll.BDH($E$8,"PX LAST",AJ560)</f>
        <v>4567.8</v>
      </c>
      <c r="AF560" s="9" cm="1">
        <f t="array" aca="1" ref="AF560" ca="1">_xll.BDH($E$8,"PX LAST",AK560)</f>
        <v>4263.75</v>
      </c>
      <c r="AG560" s="20">
        <f t="shared" ca="1" si="153"/>
        <v>45289</v>
      </c>
      <c r="AH560" s="22">
        <f t="shared" ca="1" si="148"/>
        <v>45281</v>
      </c>
      <c r="AI560" s="22">
        <f t="shared" ca="1" si="149"/>
        <v>45274</v>
      </c>
      <c r="AJ560" s="22">
        <f t="shared" ca="1" si="150"/>
        <v>45260</v>
      </c>
      <c r="AK560" s="22">
        <f t="shared" ca="1" si="151"/>
        <v>45203</v>
      </c>
      <c r="AL560" s="22">
        <f t="shared" ca="1" si="152"/>
        <v>45118</v>
      </c>
    </row>
    <row r="561" spans="4:38" x14ac:dyDescent="0.25">
      <c r="D561" s="6">
        <f ca="1"/>
        <v>45288</v>
      </c>
      <c r="E561" s="28">
        <f ca="1"/>
        <v>177.07</v>
      </c>
      <c r="F561" s="29" cm="1">
        <f t="array" aca="1" ref="F561" ca="1">_xll.FDS($E$7,"P_BETA_LOCIDX("&amp;$AG561&amp;","&amp;$AL561&amp;",,"""&amp;$E$9&amp;""")")</f>
        <v>1.6229789999999999</v>
      </c>
      <c r="G561" s="30">
        <f t="shared" ca="1" si="138"/>
        <v>5.3383203322905637E-4</v>
      </c>
      <c r="H561" s="30">
        <f t="shared" ca="1" si="138"/>
        <v>1.6152688095318044E-2</v>
      </c>
      <c r="I561" s="30">
        <f t="shared" ca="1" si="138"/>
        <v>5.7676283877086065E-2</v>
      </c>
      <c r="J561" s="30">
        <f t="shared" ca="1" si="136"/>
        <v>7.0473330957348118E-2</v>
      </c>
      <c r="K561" s="30">
        <f t="shared" ca="1" si="139"/>
        <v>2.9362055828109843E-2</v>
      </c>
      <c r="L561" s="30">
        <f t="shared" ca="1" si="139"/>
        <v>2.6294032733599829E-2</v>
      </c>
      <c r="M561" s="30">
        <f t="shared" ca="1" si="139"/>
        <v>8.3018169514655293E-2</v>
      </c>
      <c r="N561" s="30">
        <f t="shared" ca="1" si="137"/>
        <v>0.21254963839269911</v>
      </c>
      <c r="O561" s="30">
        <f t="shared" ca="1" si="140"/>
        <v>2.9895887861338899E-2</v>
      </c>
      <c r="P561" s="30">
        <f t="shared" ca="1" si="141"/>
        <v>4.2446720828917872E-2</v>
      </c>
      <c r="Q561" s="30">
        <f t="shared" ca="1" si="142"/>
        <v>0.14069445339174136</v>
      </c>
      <c r="R561" s="30">
        <f t="shared" ca="1" si="143"/>
        <v>0.28302296935004723</v>
      </c>
      <c r="S561" s="9" cm="1">
        <f t="array" aca="1" ref="S561" ca="1">_xll.BDH($E$6,"PX LAST",AG561)</f>
        <v>177.07</v>
      </c>
      <c r="T561" s="9" cm="1">
        <f t="array" aca="1" ref="T561" ca="1">_xll.BDH($E$6,"PX LAST",AH561)</f>
        <v>171.93</v>
      </c>
      <c r="U561" s="9" cm="1">
        <f t="array" aca="1" ref="U561" ca="1">_xll.BDH($E$6,"PX LAST",AI561)</f>
        <v>169.86</v>
      </c>
      <c r="V561" s="9" cm="1">
        <f t="array" aca="1" ref="V561" ca="1">_xll.BDH($E$6,"PX LAST",AJ561)</f>
        <v>155.22999999999999</v>
      </c>
      <c r="W561" s="9" cm="1">
        <f t="array" aca="1" ref="W561" ca="1">_xll.BDH($E$6,"PX LAST",AK561)</f>
        <v>138.01</v>
      </c>
      <c r="X561" s="24">
        <f t="shared" ca="1" si="144"/>
        <v>1.8091457639384023E-2</v>
      </c>
      <c r="Y561" s="24">
        <f t="shared" ca="1" si="145"/>
        <v>1.6201092394664274E-2</v>
      </c>
      <c r="Z561" s="24">
        <f t="shared" ca="1" si="146"/>
        <v>5.1151721319040666E-2</v>
      </c>
      <c r="AA561" s="24">
        <f t="shared" ca="1" si="147"/>
        <v>0.13096265471869883</v>
      </c>
      <c r="AB561" s="9" cm="1">
        <f t="array" aca="1" ref="AB561" ca="1">_xll.BDH($E$8,"PX LAST",AG561)</f>
        <v>4783.3500000000004</v>
      </c>
      <c r="AC561" s="9" cm="1">
        <f t="array" aca="1" ref="AC561" ca="1">_xll.BDH($E$8,"PX LAST",AH561)</f>
        <v>4698.3500000000004</v>
      </c>
      <c r="AD561" s="9" cm="1">
        <f t="array" aca="1" ref="AD561" ca="1">_xll.BDH($E$8,"PX LAST",AI561)</f>
        <v>4707.09</v>
      </c>
      <c r="AE561" s="9" cm="1">
        <f t="array" aca="1" ref="AE561" ca="1">_xll.BDH($E$8,"PX LAST",AJ561)</f>
        <v>4550.58</v>
      </c>
      <c r="AF561" s="9" cm="1">
        <f t="array" aca="1" ref="AF561" ca="1">_xll.BDH($E$8,"PX LAST",AK561)</f>
        <v>4229.45</v>
      </c>
      <c r="AG561" s="20">
        <f t="shared" ca="1" si="153"/>
        <v>45288</v>
      </c>
      <c r="AH561" s="22">
        <f t="shared" ca="1" si="148"/>
        <v>45280</v>
      </c>
      <c r="AI561" s="22">
        <f t="shared" ca="1" si="149"/>
        <v>45273</v>
      </c>
      <c r="AJ561" s="22">
        <f t="shared" ca="1" si="150"/>
        <v>45259</v>
      </c>
      <c r="AK561" s="22">
        <f t="shared" ca="1" si="151"/>
        <v>45202</v>
      </c>
      <c r="AL561" s="22">
        <f t="shared" ca="1" si="152"/>
        <v>45117</v>
      </c>
    </row>
    <row r="562" spans="4:38" x14ac:dyDescent="0.25">
      <c r="D562" s="6">
        <f ca="1"/>
        <v>45287</v>
      </c>
      <c r="E562" s="28">
        <f ca="1"/>
        <v>175.54</v>
      </c>
      <c r="F562" s="29" cm="1">
        <f t="array" aca="1" ref="F562" ca="1">_xll.FDS($E$7,"P_BETA_LOCIDX("&amp;$AG562&amp;","&amp;$AL562&amp;",,"""&amp;$E$9&amp;""")")</f>
        <v>1.6104934</v>
      </c>
      <c r="G562" s="30">
        <f t="shared" ca="1" si="138"/>
        <v>-6.7351145403825047E-3</v>
      </c>
      <c r="H562" s="30">
        <f t="shared" ca="1" si="138"/>
        <v>2.8787992509466884E-3</v>
      </c>
      <c r="I562" s="30">
        <f t="shared" ca="1" si="138"/>
        <v>7.6085824261937426E-2</v>
      </c>
      <c r="J562" s="30">
        <f t="shared" ca="1" si="136"/>
        <v>5.6138739378979563E-2</v>
      </c>
      <c r="K562" s="30">
        <f t="shared" ca="1" si="139"/>
        <v>4.4616122100425443E-3</v>
      </c>
      <c r="L562" s="30">
        <f t="shared" ca="1" si="139"/>
        <v>4.7818513252794188E-2</v>
      </c>
      <c r="M562" s="30">
        <f t="shared" ca="1" si="139"/>
        <v>8.0151825586567318E-2</v>
      </c>
      <c r="N562" s="30">
        <f t="shared" ca="1" si="137"/>
        <v>0.18521618601526418</v>
      </c>
      <c r="O562" s="30">
        <f t="shared" ca="1" si="140"/>
        <v>-2.2735023303399604E-3</v>
      </c>
      <c r="P562" s="30">
        <f t="shared" ca="1" si="141"/>
        <v>5.0697312503740877E-2</v>
      </c>
      <c r="Q562" s="30">
        <f t="shared" ca="1" si="142"/>
        <v>0.15623764984850474</v>
      </c>
      <c r="R562" s="30">
        <f t="shared" ca="1" si="143"/>
        <v>0.24135492539424375</v>
      </c>
      <c r="S562" s="9" cm="1">
        <f t="array" aca="1" ref="S562" ca="1">_xll.BDH($E$6,"PX LAST",AG562)</f>
        <v>175.54</v>
      </c>
      <c r="T562" s="9" cm="1">
        <f t="array" aca="1" ref="T562" ca="1">_xll.BDH($E$6,"PX LAST",AH562)</f>
        <v>175.94</v>
      </c>
      <c r="U562" s="9" cm="1">
        <f t="array" aca="1" ref="U562" ca="1">_xll.BDH($E$6,"PX LAST",AI562)</f>
        <v>167.07</v>
      </c>
      <c r="V562" s="9" cm="1">
        <f t="array" aca="1" ref="V562" ca="1">_xll.BDH($E$6,"PX LAST",AJ562)</f>
        <v>151.82</v>
      </c>
      <c r="W562" s="9" cm="1">
        <f t="array" aca="1" ref="W562" ca="1">_xll.BDH($E$6,"PX LAST",AK562)</f>
        <v>141.41</v>
      </c>
      <c r="X562" s="24">
        <f t="shared" ca="1" si="144"/>
        <v>2.7703387111319699E-3</v>
      </c>
      <c r="Y562" s="24">
        <f t="shared" ca="1" si="145"/>
        <v>2.9691840558175642E-2</v>
      </c>
      <c r="Z562" s="24">
        <f t="shared" ca="1" si="146"/>
        <v>4.9768490567280388E-2</v>
      </c>
      <c r="AA562" s="24">
        <f t="shared" ca="1" si="147"/>
        <v>0.11500586467182305</v>
      </c>
      <c r="AB562" s="9" cm="1">
        <f t="array" aca="1" ref="AB562" ca="1">_xll.BDH($E$8,"PX LAST",AG562)</f>
        <v>4781.58</v>
      </c>
      <c r="AC562" s="9" cm="1">
        <f t="array" aca="1" ref="AC562" ca="1">_xll.BDH($E$8,"PX LAST",AH562)</f>
        <v>4768.37</v>
      </c>
      <c r="AD562" s="9" cm="1">
        <f t="array" aca="1" ref="AD562" ca="1">_xll.BDH($E$8,"PX LAST",AI562)</f>
        <v>4643.7</v>
      </c>
      <c r="AE562" s="9" cm="1">
        <f t="array" aca="1" ref="AE562" ca="1">_xll.BDH($E$8,"PX LAST",AJ562)</f>
        <v>4554.8900000000003</v>
      </c>
      <c r="AF562" s="9" cm="1">
        <f t="array" aca="1" ref="AF562" ca="1">_xll.BDH($E$8,"PX LAST",AK562)</f>
        <v>4288.3900000000003</v>
      </c>
      <c r="AG562" s="20">
        <f t="shared" ca="1" si="153"/>
        <v>45287</v>
      </c>
      <c r="AH562" s="22">
        <f t="shared" ca="1" si="148"/>
        <v>45279</v>
      </c>
      <c r="AI562" s="22">
        <f t="shared" ca="1" si="149"/>
        <v>45272</v>
      </c>
      <c r="AJ562" s="22">
        <f t="shared" ca="1" si="150"/>
        <v>45258</v>
      </c>
      <c r="AK562" s="22">
        <f t="shared" ca="1" si="151"/>
        <v>45201</v>
      </c>
      <c r="AL562" s="22">
        <f t="shared" ca="1" si="152"/>
        <v>45114</v>
      </c>
    </row>
    <row r="563" spans="4:38" x14ac:dyDescent="0.25">
      <c r="D563" s="6">
        <f ca="1"/>
        <v>45286</v>
      </c>
      <c r="E563" s="28">
        <f ca="1"/>
        <v>176.33</v>
      </c>
      <c r="F563" s="29" cm="1">
        <f t="array" aca="1" ref="F563" ca="1">_xll.FDS($E$7,"P_BETA_LOCIDX("&amp;$AG563&amp;","&amp;$AL563&amp;",,"""&amp;$E$9&amp;""")")</f>
        <v>1.6048583000000001</v>
      </c>
      <c r="G563" s="30">
        <f t="shared" ca="1" si="138"/>
        <v>-1.4926885496916193E-3</v>
      </c>
      <c r="H563" s="30">
        <f t="shared" ca="1" si="138"/>
        <v>6.8588770247336242E-3</v>
      </c>
      <c r="I563" s="30">
        <f t="shared" ca="1" si="138"/>
        <v>6.099999692687906E-2</v>
      </c>
      <c r="J563" s="30">
        <f t="shared" ca="1" si="136"/>
        <v>4.3892662684330369E-2</v>
      </c>
      <c r="K563" s="30">
        <f t="shared" ca="1" si="139"/>
        <v>1.1574604113648941E-2</v>
      </c>
      <c r="L563" s="30">
        <f t="shared" ca="1" si="139"/>
        <v>5.288028999251506E-2</v>
      </c>
      <c r="M563" s="30">
        <f t="shared" ca="1" si="139"/>
        <v>7.9113801081655902E-2</v>
      </c>
      <c r="N563" s="30">
        <f t="shared" ca="1" si="137"/>
        <v>0.18215378426324322</v>
      </c>
      <c r="O563" s="30">
        <f t="shared" ca="1" si="140"/>
        <v>1.0081915563957322E-2</v>
      </c>
      <c r="P563" s="30">
        <f t="shared" ca="1" si="141"/>
        <v>5.9739167017248684E-2</v>
      </c>
      <c r="Q563" s="30">
        <f t="shared" ca="1" si="142"/>
        <v>0.14011379800853496</v>
      </c>
      <c r="R563" s="30">
        <f t="shared" ca="1" si="143"/>
        <v>0.22604644694757359</v>
      </c>
      <c r="S563" s="9" cm="1">
        <f t="array" aca="1" ref="S563" ca="1">_xll.BDH($E$6,"PX LAST",AG563)</f>
        <v>176.33</v>
      </c>
      <c r="T563" s="9" cm="1">
        <f t="array" aca="1" ref="T563" ca="1">_xll.BDH($E$6,"PX LAST",AH563)</f>
        <v>174.57</v>
      </c>
      <c r="U563" s="9" cm="1">
        <f t="array" aca="1" ref="U563" ca="1">_xll.BDH($E$6,"PX LAST",AI563)</f>
        <v>166.39</v>
      </c>
      <c r="V563" s="9" cm="1">
        <f t="array" aca="1" ref="V563" ca="1">_xll.BDH($E$6,"PX LAST",AJ563)</f>
        <v>154.66</v>
      </c>
      <c r="W563" s="9" cm="1">
        <f t="array" aca="1" ref="W563" ca="1">_xll.BDH($E$6,"PX LAST",AK563)</f>
        <v>143.82</v>
      </c>
      <c r="X563" s="24">
        <f t="shared" ca="1" si="144"/>
        <v>7.2122280911959269E-3</v>
      </c>
      <c r="Y563" s="24">
        <f t="shared" ca="1" si="145"/>
        <v>3.2950130234248753E-2</v>
      </c>
      <c r="Z563" s="24">
        <f t="shared" ca="1" si="146"/>
        <v>4.9296440116648244E-2</v>
      </c>
      <c r="AA563" s="24">
        <f t="shared" ca="1" si="147"/>
        <v>0.1135014750294423</v>
      </c>
      <c r="AB563" s="9" cm="1">
        <f t="array" aca="1" ref="AB563" ca="1">_xll.BDH($E$8,"PX LAST",AG563)</f>
        <v>4774.75</v>
      </c>
      <c r="AC563" s="9" cm="1">
        <f t="array" aca="1" ref="AC563" ca="1">_xll.BDH($E$8,"PX LAST",AH563)</f>
        <v>4740.5600000000004</v>
      </c>
      <c r="AD563" s="9" cm="1">
        <f t="array" aca="1" ref="AD563" ca="1">_xll.BDH($E$8,"PX LAST",AI563)</f>
        <v>4622.4399999999996</v>
      </c>
      <c r="AE563" s="9" cm="1">
        <f t="array" aca="1" ref="AE563" ca="1">_xll.BDH($E$8,"PX LAST",AJ563)</f>
        <v>4550.43</v>
      </c>
      <c r="AF563" s="9" cm="1">
        <f t="array" aca="1" ref="AF563" ca="1">_xll.BDH($E$8,"PX LAST",AK563)</f>
        <v>4288.05</v>
      </c>
      <c r="AG563" s="20">
        <f t="shared" ca="1" si="153"/>
        <v>45286</v>
      </c>
      <c r="AH563" s="22">
        <f t="shared" ca="1" si="148"/>
        <v>45278</v>
      </c>
      <c r="AI563" s="22">
        <f t="shared" ca="1" si="149"/>
        <v>45271</v>
      </c>
      <c r="AJ563" s="22">
        <f t="shared" ca="1" si="150"/>
        <v>45257</v>
      </c>
      <c r="AK563" s="22">
        <f t="shared" ca="1" si="151"/>
        <v>45198</v>
      </c>
      <c r="AL563" s="22">
        <f t="shared" ca="1" si="152"/>
        <v>45113</v>
      </c>
    </row>
    <row r="564" spans="4:38" x14ac:dyDescent="0.25">
      <c r="D564" s="6">
        <f ca="1"/>
        <v>45282</v>
      </c>
      <c r="E564" s="28">
        <f ca="1"/>
        <v>176.18</v>
      </c>
      <c r="F564" s="29" cm="1">
        <f t="array" aca="1" ref="F564" ca="1">_xll.FDS($E$7,"P_BETA_LOCIDX("&amp;$AG564&amp;","&amp;$AL564&amp;",,"""&amp;$E$9&amp;""")")</f>
        <v>1.6088412999999999</v>
      </c>
      <c r="G564" s="30">
        <f t="shared" ca="1" si="138"/>
        <v>-4.7635496995319122E-3</v>
      </c>
      <c r="H564" s="30">
        <f t="shared" ca="1" si="138"/>
        <v>4.2054381372006081E-2</v>
      </c>
      <c r="I564" s="30">
        <f t="shared" ca="1" si="138"/>
        <v>7.2520385596397938E-2</v>
      </c>
      <c r="J564" s="30">
        <f t="shared" ca="1" si="136"/>
        <v>3.4343664969899435E-2</v>
      </c>
      <c r="K564" s="30">
        <f t="shared" ca="1" si="139"/>
        <v>1.2082017395358137E-2</v>
      </c>
      <c r="L564" s="30">
        <f t="shared" ca="1" si="139"/>
        <v>5.2503272703540535E-2</v>
      </c>
      <c r="M564" s="30">
        <f t="shared" ca="1" si="139"/>
        <v>6.891142522316808E-2</v>
      </c>
      <c r="N564" s="30">
        <f t="shared" ca="1" si="137"/>
        <v>0.17022354410982182</v>
      </c>
      <c r="O564" s="30">
        <f t="shared" ca="1" si="140"/>
        <v>7.3184676958262251E-3</v>
      </c>
      <c r="P564" s="30">
        <f t="shared" ca="1" si="141"/>
        <v>9.4557654075546616E-2</v>
      </c>
      <c r="Q564" s="30">
        <f t="shared" ca="1" si="142"/>
        <v>0.14143181081956602</v>
      </c>
      <c r="R564" s="30">
        <f t="shared" ca="1" si="143"/>
        <v>0.20456720907972126</v>
      </c>
      <c r="S564" s="9" cm="1">
        <f t="array" aca="1" ref="S564" ca="1">_xll.BDH($E$6,"PX LAST",AG564)</f>
        <v>176.18</v>
      </c>
      <c r="T564" s="9" cm="1">
        <f t="array" aca="1" ref="T564" ca="1">_xll.BDH($E$6,"PX LAST",AH564)</f>
        <v>174.9</v>
      </c>
      <c r="U564" s="9" cm="1">
        <f t="array" aca="1" ref="U564" ca="1">_xll.BDH($E$6,"PX LAST",AI564)</f>
        <v>160.96</v>
      </c>
      <c r="V564" s="9" cm="1">
        <f t="array" aca="1" ref="V564" ca="1">_xll.BDH($E$6,"PX LAST",AJ564)</f>
        <v>154.35</v>
      </c>
      <c r="W564" s="9" cm="1">
        <f t="array" aca="1" ref="W564" ca="1">_xll.BDH($E$6,"PX LAST",AK564)</f>
        <v>146.26</v>
      </c>
      <c r="X564" s="24">
        <f t="shared" ca="1" si="144"/>
        <v>7.5097633280287734E-3</v>
      </c>
      <c r="Y564" s="24">
        <f t="shared" ca="1" si="145"/>
        <v>3.2634214887161672E-2</v>
      </c>
      <c r="Z564" s="24">
        <f t="shared" ca="1" si="146"/>
        <v>4.2832953892449233E-2</v>
      </c>
      <c r="AA564" s="24">
        <f t="shared" ca="1" si="147"/>
        <v>0.10580505616670943</v>
      </c>
      <c r="AB564" s="9" cm="1">
        <f t="array" aca="1" ref="AB564" ca="1">_xll.BDH($E$8,"PX LAST",AG564)</f>
        <v>4754.63</v>
      </c>
      <c r="AC564" s="9" cm="1">
        <f t="array" aca="1" ref="AC564" ca="1">_xll.BDH($E$8,"PX LAST",AH564)</f>
        <v>4719.1899999999996</v>
      </c>
      <c r="AD564" s="9" cm="1">
        <f t="array" aca="1" ref="AD564" ca="1">_xll.BDH($E$8,"PX LAST",AI564)</f>
        <v>4604.37</v>
      </c>
      <c r="AE564" s="9" cm="1">
        <f t="array" aca="1" ref="AE564" ca="1">_xll.BDH($E$8,"PX LAST",AJ564)</f>
        <v>4559.34</v>
      </c>
      <c r="AF564" s="9" cm="1">
        <f t="array" aca="1" ref="AF564" ca="1">_xll.BDH($E$8,"PX LAST",AK564)</f>
        <v>4299.7</v>
      </c>
      <c r="AG564" s="20">
        <f t="shared" ca="1" si="153"/>
        <v>45282</v>
      </c>
      <c r="AH564" s="22">
        <f t="shared" ca="1" si="148"/>
        <v>45275</v>
      </c>
      <c r="AI564" s="22">
        <f t="shared" ca="1" si="149"/>
        <v>45268</v>
      </c>
      <c r="AJ564" s="22">
        <f t="shared" ca="1" si="150"/>
        <v>45254</v>
      </c>
      <c r="AK564" s="22">
        <f t="shared" ca="1" si="151"/>
        <v>45197</v>
      </c>
      <c r="AL564" s="22">
        <f t="shared" ca="1" si="152"/>
        <v>45112</v>
      </c>
    </row>
    <row r="565" spans="4:38" x14ac:dyDescent="0.25">
      <c r="D565" s="6">
        <f ca="1"/>
        <v>45281</v>
      </c>
      <c r="E565" s="28">
        <f ca="1"/>
        <v>175.4</v>
      </c>
      <c r="F565" s="29" cm="1">
        <f t="array" aca="1" ref="F565" ca="1">_xll.FDS($E$7,"P_BETA_LOCIDX("&amp;$AG565&amp;","&amp;$AL565&amp;",,"""&amp;$E$9&amp;""")")</f>
        <v>1.6077386</v>
      </c>
      <c r="G565" s="30">
        <f t="shared" ca="1" si="138"/>
        <v>-2.2153430957767943E-2</v>
      </c>
      <c r="H565" s="30">
        <f t="shared" ca="1" si="138"/>
        <v>5.5734650829374177E-2</v>
      </c>
      <c r="I565" s="30">
        <f t="shared" ca="1" si="138"/>
        <v>8.194906928214403E-2</v>
      </c>
      <c r="J565" s="30">
        <f t="shared" ca="1" si="136"/>
        <v>2.7546962007199499E-2</v>
      </c>
      <c r="K565" s="30">
        <f t="shared" ca="1" si="139"/>
        <v>9.2658176987213039E-3</v>
      </c>
      <c r="L565" s="30">
        <f t="shared" ca="1" si="139"/>
        <v>5.6503776564411579E-2</v>
      </c>
      <c r="M565" s="30">
        <f t="shared" ca="1" si="139"/>
        <v>6.7084668025422275E-2</v>
      </c>
      <c r="N565" s="30">
        <f t="shared" ca="1" si="137"/>
        <v>0.1776200024012107</v>
      </c>
      <c r="O565" s="30">
        <f t="shared" ca="1" si="140"/>
        <v>-1.2887613259046637E-2</v>
      </c>
      <c r="P565" s="30">
        <f t="shared" ca="1" si="141"/>
        <v>0.11223842739378576</v>
      </c>
      <c r="Q565" s="30">
        <f t="shared" ca="1" si="142"/>
        <v>0.14903373730756631</v>
      </c>
      <c r="R565" s="30">
        <f t="shared" ca="1" si="143"/>
        <v>0.2051669644084102</v>
      </c>
      <c r="S565" s="9" cm="1">
        <f t="array" aca="1" ref="S565" ca="1">_xll.BDH($E$6,"PX LAST",AG565)</f>
        <v>175.4</v>
      </c>
      <c r="T565" s="9" cm="1">
        <f t="array" aca="1" ref="T565" ca="1">_xll.BDH($E$6,"PX LAST",AH565)</f>
        <v>177.69</v>
      </c>
      <c r="U565" s="9" cm="1">
        <f t="array" aca="1" ref="U565" ca="1">_xll.BDH($E$6,"PX LAST",AI565)</f>
        <v>157.69999999999999</v>
      </c>
      <c r="V565" s="9" cm="1">
        <f t="array" aca="1" ref="V565" ca="1">_xll.BDH($E$6,"PX LAST",AJ565)</f>
        <v>152.65</v>
      </c>
      <c r="W565" s="9" cm="1">
        <f t="array" aca="1" ref="W565" ca="1">_xll.BDH($E$6,"PX LAST",AK565)</f>
        <v>145.54</v>
      </c>
      <c r="X565" s="24">
        <f t="shared" ca="1" si="144"/>
        <v>5.7632613278808531E-3</v>
      </c>
      <c r="Y565" s="24">
        <f t="shared" ca="1" si="145"/>
        <v>3.5144877758369164E-2</v>
      </c>
      <c r="Z565" s="24">
        <f t="shared" ca="1" si="146"/>
        <v>4.1726103998138919E-2</v>
      </c>
      <c r="AA565" s="24">
        <f t="shared" ca="1" si="147"/>
        <v>0.11047816006980904</v>
      </c>
      <c r="AB565" s="9" cm="1">
        <f t="array" aca="1" ref="AB565" ca="1">_xll.BDH($E$8,"PX LAST",AG565)</f>
        <v>4746.75</v>
      </c>
      <c r="AC565" s="9" cm="1">
        <f t="array" aca="1" ref="AC565" ca="1">_xll.BDH($E$8,"PX LAST",AH565)</f>
        <v>4719.55</v>
      </c>
      <c r="AD565" s="9" cm="1">
        <f t="array" aca="1" ref="AD565" ca="1">_xll.BDH($E$8,"PX LAST",AI565)</f>
        <v>4585.59</v>
      </c>
      <c r="AE565" s="9" cm="1">
        <f t="array" aca="1" ref="AE565" ca="1">_xll.BDH($E$8,"PX LAST",AJ565)</f>
        <v>4556.62</v>
      </c>
      <c r="AF565" s="9" cm="1">
        <f t="array" aca="1" ref="AF565" ca="1">_xll.BDH($E$8,"PX LAST",AK565)</f>
        <v>4274.51</v>
      </c>
      <c r="AG565" s="20">
        <f t="shared" ca="1" si="153"/>
        <v>45281</v>
      </c>
      <c r="AH565" s="22">
        <f t="shared" ca="1" si="148"/>
        <v>45274</v>
      </c>
      <c r="AI565" s="22">
        <f t="shared" ca="1" si="149"/>
        <v>45267</v>
      </c>
      <c r="AJ565" s="22">
        <f t="shared" ca="1" si="150"/>
        <v>45252</v>
      </c>
      <c r="AK565" s="22">
        <f t="shared" ca="1" si="151"/>
        <v>45196</v>
      </c>
      <c r="AL565" s="22">
        <f t="shared" ca="1" si="152"/>
        <v>45110</v>
      </c>
    </row>
    <row r="566" spans="4:38" x14ac:dyDescent="0.25">
      <c r="D566" s="6">
        <f ca="1"/>
        <v>45280</v>
      </c>
      <c r="E566" s="28">
        <f ca="1"/>
        <v>171.93</v>
      </c>
      <c r="F566" s="29" cm="1">
        <f t="array" aca="1" ref="F566" ca="1">_xll.FDS($E$7,"P_BETA_LOCIDX("&amp;$AG566&amp;","&amp;$AL566&amp;",,"""&amp;$E$9&amp;""")")</f>
        <v>1.6032727</v>
      </c>
      <c r="G566" s="30">
        <f t="shared" ca="1" si="138"/>
        <v>1.5163420806243203E-2</v>
      </c>
      <c r="H566" s="30">
        <f t="shared" ca="1" si="138"/>
        <v>3.8274053660322722E-2</v>
      </c>
      <c r="I566" s="30">
        <f t="shared" ca="1" si="138"/>
        <v>7.4387545568704569E-2</v>
      </c>
      <c r="J566" s="30">
        <f t="shared" ca="1" si="136"/>
        <v>1.4046442703971151E-2</v>
      </c>
      <c r="K566" s="30">
        <f t="shared" ca="1" si="139"/>
        <v>-2.9769142714499513E-3</v>
      </c>
      <c r="L566" s="30">
        <f t="shared" ca="1" si="139"/>
        <v>5.2513917409338577E-2</v>
      </c>
      <c r="M566" s="30">
        <f t="shared" ca="1" si="139"/>
        <v>5.6582063693234666E-2</v>
      </c>
      <c r="N566" s="30">
        <f t="shared" ca="1" si="137"/>
        <v>0.15937698071945217</v>
      </c>
      <c r="O566" s="30">
        <f t="shared" ca="1" si="140"/>
        <v>1.2186506534793251E-2</v>
      </c>
      <c r="P566" s="30">
        <f t="shared" ca="1" si="141"/>
        <v>9.07879710696613E-2</v>
      </c>
      <c r="Q566" s="30">
        <f t="shared" ca="1" si="142"/>
        <v>0.13096960926193923</v>
      </c>
      <c r="R566" s="30">
        <f t="shared" ca="1" si="143"/>
        <v>0.17342342342342332</v>
      </c>
      <c r="S566" s="9" cm="1">
        <f t="array" aca="1" ref="S566" ca="1">_xll.BDH($E$6,"PX LAST",AG566)</f>
        <v>171.93</v>
      </c>
      <c r="T566" s="9" cm="1">
        <f t="array" aca="1" ref="T566" ca="1">_xll.BDH($E$6,"PX LAST",AH566)</f>
        <v>169.86</v>
      </c>
      <c r="U566" s="9" cm="1">
        <f t="array" aca="1" ref="U566" ca="1">_xll.BDH($E$6,"PX LAST",AI566)</f>
        <v>157.62</v>
      </c>
      <c r="V566" s="9" cm="1">
        <f t="array" aca="1" ref="V566" ca="1">_xll.BDH($E$6,"PX LAST",AJ566)</f>
        <v>152.02000000000001</v>
      </c>
      <c r="W566" s="9" cm="1">
        <f t="array" aca="1" ref="W566" ca="1">_xll.BDH($E$6,"PX LAST",AK566)</f>
        <v>146.52000000000001</v>
      </c>
      <c r="X566" s="24">
        <f t="shared" ca="1" si="144"/>
        <v>-1.8567735054990653E-3</v>
      </c>
      <c r="Y566" s="24">
        <f t="shared" ca="1" si="145"/>
        <v>3.2754201708379727E-2</v>
      </c>
      <c r="Z566" s="24">
        <f t="shared" ca="1" si="146"/>
        <v>3.5291603039978581E-2</v>
      </c>
      <c r="AA566" s="24">
        <f t="shared" ca="1" si="147"/>
        <v>9.9407281568165029E-2</v>
      </c>
      <c r="AB566" s="9" cm="1">
        <f t="array" aca="1" ref="AB566" ca="1">_xll.BDH($E$8,"PX LAST",AG566)</f>
        <v>4698.3500000000004</v>
      </c>
      <c r="AC566" s="9" cm="1">
        <f t="array" aca="1" ref="AC566" ca="1">_xll.BDH($E$8,"PX LAST",AH566)</f>
        <v>4707.09</v>
      </c>
      <c r="AD566" s="9" cm="1">
        <f t="array" aca="1" ref="AD566" ca="1">_xll.BDH($E$8,"PX LAST",AI566)</f>
        <v>4549.34</v>
      </c>
      <c r="AE566" s="9" cm="1">
        <f t="array" aca="1" ref="AE566" ca="1">_xll.BDH($E$8,"PX LAST",AJ566)</f>
        <v>4538.1899999999996</v>
      </c>
      <c r="AF566" s="9" cm="1">
        <f t="array" aca="1" ref="AF566" ca="1">_xll.BDH($E$8,"PX LAST",AK566)</f>
        <v>4273.53</v>
      </c>
      <c r="AG566" s="20">
        <f t="shared" ca="1" si="153"/>
        <v>45280</v>
      </c>
      <c r="AH566" s="22">
        <f t="shared" ca="1" si="148"/>
        <v>45273</v>
      </c>
      <c r="AI566" s="22">
        <f t="shared" ca="1" si="149"/>
        <v>45266</v>
      </c>
      <c r="AJ566" s="22">
        <f t="shared" ca="1" si="150"/>
        <v>45251</v>
      </c>
      <c r="AK566" s="22">
        <f t="shared" ca="1" si="151"/>
        <v>45195</v>
      </c>
      <c r="AL566" s="22">
        <f t="shared" ca="1" si="152"/>
        <v>45107</v>
      </c>
    </row>
    <row r="567" spans="4:38" x14ac:dyDescent="0.25">
      <c r="D567" s="6">
        <f ca="1"/>
        <v>45279</v>
      </c>
      <c r="E567" s="28">
        <f ca="1"/>
        <v>175.94</v>
      </c>
      <c r="F567" s="29" cm="1">
        <f t="array" aca="1" ref="F567" ca="1">_xll.FDS($E$7,"P_BETA_LOCIDX("&amp;$AG567&amp;","&amp;$AL567&amp;",,"""&amp;$E$9&amp;""")")</f>
        <v>1.6010846000000001</v>
      </c>
      <c r="G567" s="30">
        <f t="shared" ca="1" si="138"/>
        <v>1.0106998189660633E-2</v>
      </c>
      <c r="H567" s="30">
        <f t="shared" ca="1" si="138"/>
        <v>3.4273985459640069E-2</v>
      </c>
      <c r="I567" s="30">
        <f t="shared" ca="1" si="138"/>
        <v>6.9876027900495102E-2</v>
      </c>
      <c r="J567" s="30">
        <f t="shared" ca="1" si="136"/>
        <v>3.4229244377874946E-2</v>
      </c>
      <c r="K567" s="30">
        <f t="shared" ca="1" si="139"/>
        <v>4.298452033550839E-2</v>
      </c>
      <c r="L567" s="30">
        <f t="shared" ca="1" si="139"/>
        <v>7.0529782201270527E-2</v>
      </c>
      <c r="M567" s="30">
        <f t="shared" ca="1" si="139"/>
        <v>7.7808251290633262E-2</v>
      </c>
      <c r="N567" s="30">
        <f t="shared" ca="1" si="137"/>
        <v>0.15906972469428998</v>
      </c>
      <c r="O567" s="30">
        <f t="shared" ca="1" si="140"/>
        <v>5.3091518525169024E-2</v>
      </c>
      <c r="P567" s="30">
        <f t="shared" ca="1" si="141"/>
        <v>0.1048037676609106</v>
      </c>
      <c r="Q567" s="30">
        <f t="shared" ca="1" si="142"/>
        <v>0.14768427919112836</v>
      </c>
      <c r="R567" s="30">
        <f t="shared" ca="1" si="143"/>
        <v>0.19329896907216493</v>
      </c>
      <c r="S567" s="9" cm="1">
        <f t="array" aca="1" ref="S567" ca="1">_xll.BDH($E$6,"PX LAST",AG567)</f>
        <v>175.94</v>
      </c>
      <c r="T567" s="9" cm="1">
        <f t="array" aca="1" ref="T567" ca="1">_xll.BDH($E$6,"PX LAST",AH567)</f>
        <v>167.07</v>
      </c>
      <c r="U567" s="9" cm="1">
        <f t="array" aca="1" ref="U567" ca="1">_xll.BDH($E$6,"PX LAST",AI567)</f>
        <v>159.25</v>
      </c>
      <c r="V567" s="9" cm="1">
        <f t="array" aca="1" ref="V567" ca="1">_xll.BDH($E$6,"PX LAST",AJ567)</f>
        <v>153.30000000000001</v>
      </c>
      <c r="W567" s="9" cm="1">
        <f t="array" aca="1" ref="W567" ca="1">_xll.BDH($E$6,"PX LAST",AK567)</f>
        <v>147.44</v>
      </c>
      <c r="X567" s="24">
        <f t="shared" ca="1" si="144"/>
        <v>2.6847126214010419E-2</v>
      </c>
      <c r="Y567" s="24">
        <f t="shared" ca="1" si="145"/>
        <v>4.4051252632915538E-2</v>
      </c>
      <c r="Z567" s="24">
        <f t="shared" ca="1" si="146"/>
        <v>4.8597214220056362E-2</v>
      </c>
      <c r="AA567" s="24">
        <f t="shared" ca="1" si="147"/>
        <v>9.93512302187467E-2</v>
      </c>
      <c r="AB567" s="9" cm="1">
        <f t="array" aca="1" ref="AB567" ca="1">_xll.BDH($E$8,"PX LAST",AG567)</f>
        <v>4768.37</v>
      </c>
      <c r="AC567" s="9" cm="1">
        <f t="array" aca="1" ref="AC567" ca="1">_xll.BDH($E$8,"PX LAST",AH567)</f>
        <v>4643.7</v>
      </c>
      <c r="AD567" s="9" cm="1">
        <f t="array" aca="1" ref="AD567" ca="1">_xll.BDH($E$8,"PX LAST",AI567)</f>
        <v>4567.18</v>
      </c>
      <c r="AE567" s="9" cm="1">
        <f t="array" aca="1" ref="AE567" ca="1">_xll.BDH($E$8,"PX LAST",AJ567)</f>
        <v>4547.38</v>
      </c>
      <c r="AF567" s="9" cm="1">
        <f t="array" aca="1" ref="AF567" ca="1">_xll.BDH($E$8,"PX LAST",AK567)</f>
        <v>4337.4399999999996</v>
      </c>
      <c r="AG567" s="20">
        <f t="shared" ca="1" si="153"/>
        <v>45279</v>
      </c>
      <c r="AH567" s="22">
        <f t="shared" ca="1" si="148"/>
        <v>45272</v>
      </c>
      <c r="AI567" s="22">
        <f t="shared" ca="1" si="149"/>
        <v>45265</v>
      </c>
      <c r="AJ567" s="22">
        <f t="shared" ca="1" si="150"/>
        <v>45250</v>
      </c>
      <c r="AK567" s="22">
        <f t="shared" ca="1" si="151"/>
        <v>45194</v>
      </c>
      <c r="AL567" s="22">
        <f t="shared" ca="1" si="152"/>
        <v>45106</v>
      </c>
    </row>
    <row r="568" spans="4:38" x14ac:dyDescent="0.25">
      <c r="D568" s="6">
        <f ca="1"/>
        <v>45278</v>
      </c>
      <c r="E568" s="28">
        <f ca="1"/>
        <v>174.57</v>
      </c>
      <c r="F568" s="29" cm="1">
        <f t="array" aca="1" ref="F568" ca="1">_xll.FDS($E$7,"P_BETA_LOCIDX("&amp;$AG568&amp;","&amp;$AL568&amp;",,"""&amp;$E$9&amp;""")")</f>
        <v>1.598762</v>
      </c>
      <c r="G568" s="30">
        <f t="shared" ca="1" si="138"/>
        <v>8.3074776720343177E-3</v>
      </c>
      <c r="H568" s="30">
        <f t="shared" ca="1" si="138"/>
        <v>1.3537899985296621E-2</v>
      </c>
      <c r="I568" s="30">
        <f t="shared" ca="1" si="138"/>
        <v>6.9688992922969289E-2</v>
      </c>
      <c r="J568" s="30">
        <f t="shared" ca="1" si="136"/>
        <v>3.0803020574813489E-2</v>
      </c>
      <c r="K568" s="30">
        <f t="shared" ca="1" si="139"/>
        <v>4.085413059769339E-2</v>
      </c>
      <c r="L568" s="30">
        <f t="shared" ca="1" si="139"/>
        <v>5.9748297370989766E-2</v>
      </c>
      <c r="M568" s="30">
        <f t="shared" ca="1" si="139"/>
        <v>8.0235254491561964E-2</v>
      </c>
      <c r="N568" s="30">
        <f t="shared" ca="1" si="137"/>
        <v>0.15561807498044017</v>
      </c>
      <c r="O568" s="30">
        <f t="shared" ca="1" si="140"/>
        <v>4.9161608269727708E-2</v>
      </c>
      <c r="P568" s="30">
        <f t="shared" ca="1" si="141"/>
        <v>7.3286197356286387E-2</v>
      </c>
      <c r="Q568" s="30">
        <f t="shared" ca="1" si="142"/>
        <v>0.14992424741453125</v>
      </c>
      <c r="R568" s="30">
        <f t="shared" ca="1" si="143"/>
        <v>0.18642109555525366</v>
      </c>
      <c r="S568" s="9" cm="1">
        <f t="array" aca="1" ref="S568" ca="1">_xll.BDH($E$6,"PX LAST",AG568)</f>
        <v>174.57</v>
      </c>
      <c r="T568" s="9" cm="1">
        <f t="array" aca="1" ref="T568" ca="1">_xll.BDH($E$6,"PX LAST",AH568)</f>
        <v>166.39</v>
      </c>
      <c r="U568" s="9" cm="1">
        <f t="array" aca="1" ref="U568" ca="1">_xll.BDH($E$6,"PX LAST",AI568)</f>
        <v>162.65</v>
      </c>
      <c r="V568" s="9" cm="1">
        <f t="array" aca="1" ref="V568" ca="1">_xll.BDH($E$6,"PX LAST",AJ568)</f>
        <v>151.81</v>
      </c>
      <c r="W568" s="9" cm="1">
        <f t="array" aca="1" ref="W568" ca="1">_xll.BDH($E$6,"PX LAST",AK568)</f>
        <v>147.13999999999999</v>
      </c>
      <c r="X568" s="24">
        <f t="shared" ca="1" si="144"/>
        <v>2.5553603724440155E-2</v>
      </c>
      <c r="Y568" s="24">
        <f t="shared" ca="1" si="145"/>
        <v>3.7371602134019799E-2</v>
      </c>
      <c r="Z568" s="24">
        <f t="shared" ca="1" si="146"/>
        <v>5.0185865370556693E-2</v>
      </c>
      <c r="AA568" s="24">
        <f t="shared" ca="1" si="147"/>
        <v>9.7336611065587109E-2</v>
      </c>
      <c r="AB568" s="9" cm="1">
        <f t="array" aca="1" ref="AB568" ca="1">_xll.BDH($E$8,"PX LAST",AG568)</f>
        <v>4740.5600000000004</v>
      </c>
      <c r="AC568" s="9" cm="1">
        <f t="array" aca="1" ref="AC568" ca="1">_xll.BDH($E$8,"PX LAST",AH568)</f>
        <v>4622.4399999999996</v>
      </c>
      <c r="AD568" s="9" cm="1">
        <f t="array" aca="1" ref="AD568" ca="1">_xll.BDH($E$8,"PX LAST",AI568)</f>
        <v>4569.78</v>
      </c>
      <c r="AE568" s="9" cm="1">
        <f t="array" aca="1" ref="AE568" ca="1">_xll.BDH($E$8,"PX LAST",AJ568)</f>
        <v>4514.0200000000004</v>
      </c>
      <c r="AF568" s="9" cm="1">
        <f t="array" aca="1" ref="AF568" ca="1">_xll.BDH($E$8,"PX LAST",AK568)</f>
        <v>4320.0600000000004</v>
      </c>
      <c r="AG568" s="20">
        <f t="shared" ca="1" si="153"/>
        <v>45278</v>
      </c>
      <c r="AH568" s="22">
        <f t="shared" ca="1" si="148"/>
        <v>45271</v>
      </c>
      <c r="AI568" s="22">
        <f t="shared" ca="1" si="149"/>
        <v>45264</v>
      </c>
      <c r="AJ568" s="22">
        <f t="shared" ca="1" si="150"/>
        <v>45247</v>
      </c>
      <c r="AK568" s="22">
        <f t="shared" ca="1" si="151"/>
        <v>45191</v>
      </c>
      <c r="AL568" s="22">
        <f t="shared" ca="1" si="152"/>
        <v>45105</v>
      </c>
    </row>
    <row r="569" spans="4:38" x14ac:dyDescent="0.25">
      <c r="D569" s="6">
        <f ca="1"/>
        <v>45275</v>
      </c>
      <c r="E569" s="28">
        <f ca="1"/>
        <v>174.9</v>
      </c>
      <c r="F569" s="29" cm="1">
        <f t="array" aca="1" ref="F569" ca="1">_xll.FDS($E$7,"P_BETA_LOCIDX("&amp;$AG569&amp;","&amp;$AL569&amp;",,"""&amp;$E$9&amp;""")")</f>
        <v>1.6401561</v>
      </c>
      <c r="G569" s="30">
        <f t="shared" ca="1" si="138"/>
        <v>4.5704501137867594E-2</v>
      </c>
      <c r="H569" s="30">
        <f t="shared" ca="1" si="138"/>
        <v>3.1909448510955528E-2</v>
      </c>
      <c r="I569" s="30">
        <f t="shared" ca="1" si="138"/>
        <v>0.11361641567889585</v>
      </c>
      <c r="J569" s="30">
        <f t="shared" ca="1" si="136"/>
        <v>4.6028468056253879E-2</v>
      </c>
      <c r="K569" s="30">
        <f t="shared" ca="1" si="139"/>
        <v>4.0900866655372979E-2</v>
      </c>
      <c r="L569" s="30">
        <f t="shared" ca="1" si="139"/>
        <v>4.4464482192472378E-2</v>
      </c>
      <c r="M569" s="30">
        <f t="shared" ca="1" si="139"/>
        <v>7.6746342096915721E-2</v>
      </c>
      <c r="N569" s="30">
        <f t="shared" ca="1" si="137"/>
        <v>0.14742086664180137</v>
      </c>
      <c r="O569" s="30">
        <f t="shared" ca="1" si="140"/>
        <v>8.6605367793240573E-2</v>
      </c>
      <c r="P569" s="30">
        <f t="shared" ca="1" si="141"/>
        <v>7.6373930703427906E-2</v>
      </c>
      <c r="Q569" s="30">
        <f t="shared" ca="1" si="142"/>
        <v>0.19036275777581158</v>
      </c>
      <c r="R569" s="30">
        <f t="shared" ca="1" si="143"/>
        <v>0.19344933469805525</v>
      </c>
      <c r="S569" s="9" cm="1">
        <f t="array" aca="1" ref="S569" ca="1">_xll.BDH($E$6,"PX LAST",AG569)</f>
        <v>174.9</v>
      </c>
      <c r="T569" s="9" cm="1">
        <f t="array" aca="1" ref="T569" ca="1">_xll.BDH($E$6,"PX LAST",AH569)</f>
        <v>160.96</v>
      </c>
      <c r="U569" s="9" cm="1">
        <f t="array" aca="1" ref="U569" ca="1">_xll.BDH($E$6,"PX LAST",AI569)</f>
        <v>162.49</v>
      </c>
      <c r="V569" s="9" cm="1">
        <f t="array" aca="1" ref="V569" ca="1">_xll.BDH($E$6,"PX LAST",AJ569)</f>
        <v>146.93</v>
      </c>
      <c r="W569" s="9" cm="1">
        <f t="array" aca="1" ref="W569" ca="1">_xll.BDH($E$6,"PX LAST",AK569)</f>
        <v>146.55000000000001</v>
      </c>
      <c r="X569" s="24">
        <f t="shared" ca="1" si="144"/>
        <v>2.493717924493466E-2</v>
      </c>
      <c r="Y569" s="24">
        <f t="shared" ca="1" si="145"/>
        <v>2.7109908741291378E-2</v>
      </c>
      <c r="Z569" s="24">
        <f t="shared" ca="1" si="146"/>
        <v>4.6792096250421356E-2</v>
      </c>
      <c r="AA569" s="24">
        <f t="shared" ca="1" si="147"/>
        <v>8.9882217090069272E-2</v>
      </c>
      <c r="AB569" s="9" cm="1">
        <f t="array" aca="1" ref="AB569" ca="1">_xll.BDH($E$8,"PX LAST",AG569)</f>
        <v>4719.1899999999996</v>
      </c>
      <c r="AC569" s="9" cm="1">
        <f t="array" aca="1" ref="AC569" ca="1">_xll.BDH($E$8,"PX LAST",AH569)</f>
        <v>4604.37</v>
      </c>
      <c r="AD569" s="9" cm="1">
        <f t="array" aca="1" ref="AD569" ca="1">_xll.BDH($E$8,"PX LAST",AI569)</f>
        <v>4594.63</v>
      </c>
      <c r="AE569" s="9" cm="1">
        <f t="array" aca="1" ref="AE569" ca="1">_xll.BDH($E$8,"PX LAST",AJ569)</f>
        <v>4508.24</v>
      </c>
      <c r="AF569" s="9" cm="1">
        <f t="array" aca="1" ref="AF569" ca="1">_xll.BDH($E$8,"PX LAST",AK569)</f>
        <v>4330</v>
      </c>
      <c r="AG569" s="20">
        <f t="shared" ca="1" si="153"/>
        <v>45275</v>
      </c>
      <c r="AH569" s="22">
        <f t="shared" ca="1" si="148"/>
        <v>45268</v>
      </c>
      <c r="AI569" s="22">
        <f t="shared" ca="1" si="149"/>
        <v>45261</v>
      </c>
      <c r="AJ569" s="22">
        <f t="shared" ca="1" si="150"/>
        <v>45246</v>
      </c>
      <c r="AK569" s="22">
        <f t="shared" ca="1" si="151"/>
        <v>45190</v>
      </c>
      <c r="AL569" s="22">
        <f t="shared" ca="1" si="152"/>
        <v>45104</v>
      </c>
    </row>
    <row r="570" spans="4:38" x14ac:dyDescent="0.25">
      <c r="D570" s="6">
        <f ca="1"/>
        <v>45274</v>
      </c>
      <c r="E570" s="28">
        <f ca="1"/>
        <v>177.69</v>
      </c>
      <c r="F570" s="29" cm="1">
        <f t="array" aca="1" ref="F570" ca="1">_xll.FDS($E$7,"P_BETA_LOCIDX("&amp;$AG570&amp;","&amp;$AL570&amp;",,"""&amp;$E$9&amp;""")")</f>
        <v>1.6375538000000001</v>
      </c>
      <c r="G570" s="30">
        <f t="shared" ca="1" si="138"/>
        <v>7.8921397093829893E-2</v>
      </c>
      <c r="H570" s="30">
        <f t="shared" ca="1" si="138"/>
        <v>8.5732453001269873E-2</v>
      </c>
      <c r="I570" s="30">
        <f t="shared" ca="1" si="138"/>
        <v>0.12669928447045165</v>
      </c>
      <c r="J570" s="30">
        <f t="shared" ca="1" si="136"/>
        <v>6.2222791719027296E-2</v>
      </c>
      <c r="K570" s="30">
        <f t="shared" ca="1" si="139"/>
        <v>4.783827316615747E-2</v>
      </c>
      <c r="L570" s="30">
        <f t="shared" ca="1" si="139"/>
        <v>5.4402291945794587E-2</v>
      </c>
      <c r="M570" s="30">
        <f t="shared" ca="1" si="139"/>
        <v>7.8795966547187443E-2</v>
      </c>
      <c r="N570" s="30">
        <f t="shared" ca="1" si="137"/>
        <v>0.11804954305347352</v>
      </c>
      <c r="O570" s="30">
        <f t="shared" ca="1" si="140"/>
        <v>0.12675967025998736</v>
      </c>
      <c r="P570" s="30">
        <f t="shared" ca="1" si="141"/>
        <v>0.14013474494706446</v>
      </c>
      <c r="Q570" s="30">
        <f t="shared" ca="1" si="142"/>
        <v>0.2054952510176391</v>
      </c>
      <c r="R570" s="30">
        <f t="shared" ca="1" si="143"/>
        <v>0.18027233477250082</v>
      </c>
      <c r="S570" s="9" cm="1">
        <f t="array" aca="1" ref="S570" ca="1">_xll.BDH($E$6,"PX LAST",AG570)</f>
        <v>177.69</v>
      </c>
      <c r="T570" s="9" cm="1">
        <f t="array" aca="1" ref="T570" ca="1">_xll.BDH($E$6,"PX LAST",AH570)</f>
        <v>157.69999999999999</v>
      </c>
      <c r="U570" s="9" cm="1">
        <f t="array" aca="1" ref="U570" ca="1">_xll.BDH($E$6,"PX LAST",AI570)</f>
        <v>155.85</v>
      </c>
      <c r="V570" s="9" cm="1">
        <f t="array" aca="1" ref="V570" ca="1">_xll.BDH($E$6,"PX LAST",AJ570)</f>
        <v>147.4</v>
      </c>
      <c r="W570" s="9" cm="1">
        <f t="array" aca="1" ref="W570" ca="1">_xll.BDH($E$6,"PX LAST",AK570)</f>
        <v>150.55000000000001</v>
      </c>
      <c r="X570" s="24">
        <f t="shared" ca="1" si="144"/>
        <v>2.9213252820247781E-2</v>
      </c>
      <c r="Y570" s="24">
        <f t="shared" ca="1" si="145"/>
        <v>3.3221682210254455E-2</v>
      </c>
      <c r="Z570" s="24">
        <f t="shared" ca="1" si="146"/>
        <v>4.811809330917094E-2</v>
      </c>
      <c r="AA570" s="24">
        <f t="shared" ca="1" si="147"/>
        <v>7.208895552223904E-2</v>
      </c>
      <c r="AB570" s="9" cm="1">
        <f t="array" aca="1" ref="AB570" ca="1">_xll.BDH($E$8,"PX LAST",AG570)</f>
        <v>4719.55</v>
      </c>
      <c r="AC570" s="9" cm="1">
        <f t="array" aca="1" ref="AC570" ca="1">_xll.BDH($E$8,"PX LAST",AH570)</f>
        <v>4585.59</v>
      </c>
      <c r="AD570" s="9" cm="1">
        <f t="array" aca="1" ref="AD570" ca="1">_xll.BDH($E$8,"PX LAST",AI570)</f>
        <v>4567.8</v>
      </c>
      <c r="AE570" s="9" cm="1">
        <f t="array" aca="1" ref="AE570" ca="1">_xll.BDH($E$8,"PX LAST",AJ570)</f>
        <v>4502.88</v>
      </c>
      <c r="AF570" s="9" cm="1">
        <f t="array" aca="1" ref="AF570" ca="1">_xll.BDH($E$8,"PX LAST",AK570)</f>
        <v>4402.2</v>
      </c>
      <c r="AG570" s="20">
        <f t="shared" ca="1" si="153"/>
        <v>45274</v>
      </c>
      <c r="AH570" s="22">
        <f t="shared" ca="1" si="148"/>
        <v>45267</v>
      </c>
      <c r="AI570" s="22">
        <f t="shared" ca="1" si="149"/>
        <v>45260</v>
      </c>
      <c r="AJ570" s="22">
        <f t="shared" ca="1" si="150"/>
        <v>45245</v>
      </c>
      <c r="AK570" s="22">
        <f t="shared" ca="1" si="151"/>
        <v>45189</v>
      </c>
      <c r="AL570" s="22">
        <f t="shared" ca="1" si="152"/>
        <v>45103</v>
      </c>
    </row>
    <row r="571" spans="4:38" x14ac:dyDescent="0.25">
      <c r="D571" s="6">
        <f ca="1"/>
        <v>45273</v>
      </c>
      <c r="E571" s="28">
        <f ca="1"/>
        <v>169.86</v>
      </c>
      <c r="F571" s="29" cm="1">
        <f t="array" aca="1" ref="F571" ca="1">_xll.FDS($E$7,"P_BETA_LOCIDX("&amp;$AG571&amp;","&amp;$AL571&amp;",,"""&amp;$E$9&amp;""")")</f>
        <v>1.6063048</v>
      </c>
      <c r="G571" s="30">
        <f t="shared" ca="1" si="138"/>
        <v>2.1955923497732954E-2</v>
      </c>
      <c r="H571" s="30">
        <f t="shared" ca="1" si="138"/>
        <v>3.9000933629326003E-2</v>
      </c>
      <c r="I571" s="30">
        <f t="shared" ca="1" si="138"/>
        <v>6.7001203787781113E-2</v>
      </c>
      <c r="J571" s="30">
        <f t="shared" ca="1" si="136"/>
        <v>1.9525801642588367E-2</v>
      </c>
      <c r="K571" s="30">
        <f t="shared" ca="1" si="139"/>
        <v>5.5699196410908092E-2</v>
      </c>
      <c r="L571" s="30">
        <f t="shared" ca="1" si="139"/>
        <v>5.5246312392706047E-2</v>
      </c>
      <c r="M571" s="30">
        <f t="shared" ca="1" si="139"/>
        <v>7.5529232749516353E-2</v>
      </c>
      <c r="N571" s="30">
        <f t="shared" ca="1" si="137"/>
        <v>9.5114266603359712E-2</v>
      </c>
      <c r="O571" s="30">
        <f t="shared" ca="1" si="140"/>
        <v>7.7655119908641046E-2</v>
      </c>
      <c r="P571" s="30">
        <f t="shared" ca="1" si="141"/>
        <v>9.424724602203205E-2</v>
      </c>
      <c r="Q571" s="30">
        <f t="shared" ca="1" si="142"/>
        <v>0.14253043653729747</v>
      </c>
      <c r="R571" s="30">
        <f t="shared" ca="1" si="143"/>
        <v>0.11464006824594808</v>
      </c>
      <c r="S571" s="9" cm="1">
        <f t="array" aca="1" ref="S571" ca="1">_xll.BDH($E$6,"PX LAST",AG571)</f>
        <v>169.86</v>
      </c>
      <c r="T571" s="9" cm="1">
        <f t="array" aca="1" ref="T571" ca="1">_xll.BDH($E$6,"PX LAST",AH571)</f>
        <v>157.62</v>
      </c>
      <c r="U571" s="9" cm="1">
        <f t="array" aca="1" ref="U571" ca="1">_xll.BDH($E$6,"PX LAST",AI571)</f>
        <v>155.22999999999999</v>
      </c>
      <c r="V571" s="9" cm="1">
        <f t="array" aca="1" ref="V571" ca="1">_xll.BDH($E$6,"PX LAST",AJ571)</f>
        <v>148.66999999999999</v>
      </c>
      <c r="W571" s="9" cm="1">
        <f t="array" aca="1" ref="W571" ca="1">_xll.BDH($E$6,"PX LAST",AK571)</f>
        <v>152.38999999999999</v>
      </c>
      <c r="X571" s="24">
        <f t="shared" ca="1" si="144"/>
        <v>3.4675359502697178E-2</v>
      </c>
      <c r="Y571" s="24">
        <f t="shared" ca="1" si="145"/>
        <v>3.4393417981883667E-2</v>
      </c>
      <c r="Z571" s="24">
        <f t="shared" ca="1" si="146"/>
        <v>4.7020486242409509E-2</v>
      </c>
      <c r="AA571" s="24">
        <f t="shared" ca="1" si="147"/>
        <v>5.9213087455979529E-2</v>
      </c>
      <c r="AB571" s="9" cm="1">
        <f t="array" aca="1" ref="AB571" ca="1">_xll.BDH($E$8,"PX LAST",AG571)</f>
        <v>4707.09</v>
      </c>
      <c r="AC571" s="9" cm="1">
        <f t="array" aca="1" ref="AC571" ca="1">_xll.BDH($E$8,"PX LAST",AH571)</f>
        <v>4549.34</v>
      </c>
      <c r="AD571" s="9" cm="1">
        <f t="array" aca="1" ref="AD571" ca="1">_xll.BDH($E$8,"PX LAST",AI571)</f>
        <v>4550.58</v>
      </c>
      <c r="AE571" s="9" cm="1">
        <f t="array" aca="1" ref="AE571" ca="1">_xll.BDH($E$8,"PX LAST",AJ571)</f>
        <v>4495.7</v>
      </c>
      <c r="AF571" s="9" cm="1">
        <f t="array" aca="1" ref="AF571" ca="1">_xll.BDH($E$8,"PX LAST",AK571)</f>
        <v>4443.95</v>
      </c>
      <c r="AG571" s="20">
        <f t="shared" ca="1" si="153"/>
        <v>45273</v>
      </c>
      <c r="AH571" s="22">
        <f t="shared" ca="1" si="148"/>
        <v>45266</v>
      </c>
      <c r="AI571" s="22">
        <f t="shared" ca="1" si="149"/>
        <v>45259</v>
      </c>
      <c r="AJ571" s="22">
        <f t="shared" ca="1" si="150"/>
        <v>45244</v>
      </c>
      <c r="AK571" s="22">
        <f t="shared" ca="1" si="151"/>
        <v>45188</v>
      </c>
      <c r="AL571" s="22">
        <f t="shared" ca="1" si="152"/>
        <v>45100</v>
      </c>
    </row>
    <row r="572" spans="4:38" x14ac:dyDescent="0.25">
      <c r="D572" s="6">
        <f ca="1"/>
        <v>45272</v>
      </c>
      <c r="E572" s="28">
        <f ca="1"/>
        <v>167.07</v>
      </c>
      <c r="F572" s="29" cm="1">
        <f t="array" aca="1" ref="F572" ca="1">_xll.FDS($E$7,"P_BETA_LOCIDX("&amp;$AG572&amp;","&amp;$AL572&amp;",,"""&amp;$E$9&amp;""")")</f>
        <v>1.5966921999999999</v>
      </c>
      <c r="G572" s="30">
        <f t="shared" ca="1" si="138"/>
        <v>2.2353686801514706E-2</v>
      </c>
      <c r="H572" s="30">
        <f t="shared" ca="1" si="138"/>
        <v>6.9316030817135388E-2</v>
      </c>
      <c r="I572" s="30">
        <f t="shared" ca="1" si="138"/>
        <v>0.10331255774351455</v>
      </c>
      <c r="J572" s="30">
        <f t="shared" ca="1" si="136"/>
        <v>1.7818152463616246E-2</v>
      </c>
      <c r="K572" s="30">
        <f t="shared" ca="1" si="139"/>
        <v>2.6751493732237196E-2</v>
      </c>
      <c r="L572" s="30">
        <f t="shared" ca="1" si="139"/>
        <v>3.1131868010423613E-2</v>
      </c>
      <c r="M572" s="30">
        <f t="shared" ca="1" si="139"/>
        <v>8.4023097149527715E-2</v>
      </c>
      <c r="N572" s="30">
        <f t="shared" ca="1" si="137"/>
        <v>6.8180287473981235E-2</v>
      </c>
      <c r="O572" s="30">
        <f t="shared" ca="1" si="140"/>
        <v>4.9105180533751902E-2</v>
      </c>
      <c r="P572" s="30">
        <f t="shared" ca="1" si="141"/>
        <v>0.100447898827559</v>
      </c>
      <c r="Q572" s="30">
        <f t="shared" ca="1" si="142"/>
        <v>0.18733565489304227</v>
      </c>
      <c r="R572" s="30">
        <f t="shared" ca="1" si="143"/>
        <v>8.5998439937597482E-2</v>
      </c>
      <c r="S572" s="9" cm="1">
        <f t="array" aca="1" ref="S572" ca="1">_xll.BDH($E$6,"PX LAST",AG572)</f>
        <v>167.07</v>
      </c>
      <c r="T572" s="9" cm="1">
        <f t="array" aca="1" ref="T572" ca="1">_xll.BDH($E$6,"PX LAST",AH572)</f>
        <v>159.25</v>
      </c>
      <c r="U572" s="9" cm="1">
        <f t="array" aca="1" ref="U572" ca="1">_xll.BDH($E$6,"PX LAST",AI572)</f>
        <v>151.82</v>
      </c>
      <c r="V572" s="9" cm="1">
        <f t="array" aca="1" ref="V572" ca="1">_xll.BDH($E$6,"PX LAST",AJ572)</f>
        <v>140.71</v>
      </c>
      <c r="W572" s="9" cm="1">
        <f t="array" aca="1" ref="W572" ca="1">_xll.BDH($E$6,"PX LAST",AK572)</f>
        <v>153.84</v>
      </c>
      <c r="X572" s="24">
        <f t="shared" ca="1" si="144"/>
        <v>1.6754321047123044E-2</v>
      </c>
      <c r="Y572" s="24">
        <f t="shared" ca="1" si="145"/>
        <v>1.9497726619083888E-2</v>
      </c>
      <c r="Z572" s="24">
        <f t="shared" ca="1" si="146"/>
        <v>5.2623227663746164E-2</v>
      </c>
      <c r="AA572" s="24">
        <f t="shared" ca="1" si="147"/>
        <v>4.2700958565452529E-2</v>
      </c>
      <c r="AB572" s="9" cm="1">
        <f t="array" aca="1" ref="AB572" ca="1">_xll.BDH($E$8,"PX LAST",AG572)</f>
        <v>4643.7</v>
      </c>
      <c r="AC572" s="9" cm="1">
        <f t="array" aca="1" ref="AC572" ca="1">_xll.BDH($E$8,"PX LAST",AH572)</f>
        <v>4567.18</v>
      </c>
      <c r="AD572" s="9" cm="1">
        <f t="array" aca="1" ref="AD572" ca="1">_xll.BDH($E$8,"PX LAST",AI572)</f>
        <v>4554.8900000000003</v>
      </c>
      <c r="AE572" s="9" cm="1">
        <f t="array" aca="1" ref="AE572" ca="1">_xll.BDH($E$8,"PX LAST",AJ572)</f>
        <v>4411.55</v>
      </c>
      <c r="AF572" s="9" cm="1">
        <f t="array" aca="1" ref="AF572" ca="1">_xll.BDH($E$8,"PX LAST",AK572)</f>
        <v>4453.53</v>
      </c>
      <c r="AG572" s="20">
        <f t="shared" ca="1" si="153"/>
        <v>45272</v>
      </c>
      <c r="AH572" s="22">
        <f t="shared" ca="1" si="148"/>
        <v>45265</v>
      </c>
      <c r="AI572" s="22">
        <f t="shared" ca="1" si="149"/>
        <v>45258</v>
      </c>
      <c r="AJ572" s="22">
        <f t="shared" ca="1" si="150"/>
        <v>45243</v>
      </c>
      <c r="AK572" s="22">
        <f t="shared" ca="1" si="151"/>
        <v>45187</v>
      </c>
      <c r="AL572" s="22">
        <f t="shared" ca="1" si="152"/>
        <v>45099</v>
      </c>
    </row>
    <row r="573" spans="4:38" x14ac:dyDescent="0.25">
      <c r="D573" s="6">
        <f ca="1"/>
        <v>45271</v>
      </c>
      <c r="E573" s="28">
        <f ca="1"/>
        <v>166.39</v>
      </c>
      <c r="F573" s="29" cm="1">
        <f t="array" aca="1" ref="F573" ca="1">_xll.FDS($E$7,"P_BETA_LOCIDX("&amp;$AG573&amp;","&amp;$AL573&amp;",,"""&amp;$E$9&amp;""")")</f>
        <v>1.5737329</v>
      </c>
      <c r="G573" s="30">
        <f t="shared" ca="1" si="138"/>
        <v>4.8591998929753862E-3</v>
      </c>
      <c r="H573" s="30">
        <f t="shared" ca="1" si="138"/>
        <v>5.0939655083828222E-2</v>
      </c>
      <c r="I573" s="30">
        <f t="shared" ca="1" si="138"/>
        <v>0.10504766861726531</v>
      </c>
      <c r="J573" s="30">
        <f t="shared" ca="1" si="136"/>
        <v>2.5656646766295768E-2</v>
      </c>
      <c r="K573" s="30">
        <f t="shared" ca="1" si="139"/>
        <v>1.8134959344651213E-2</v>
      </c>
      <c r="L573" s="30">
        <f t="shared" ca="1" si="139"/>
        <v>2.4904131286273806E-2</v>
      </c>
      <c r="M573" s="30">
        <f t="shared" ca="1" si="139"/>
        <v>7.3852713981572699E-2</v>
      </c>
      <c r="N573" s="30">
        <f t="shared" ca="1" si="137"/>
        <v>6.0865489840730577E-2</v>
      </c>
      <c r="O573" s="30">
        <f t="shared" ca="1" si="140"/>
        <v>2.2994159237626599E-2</v>
      </c>
      <c r="P573" s="30">
        <f t="shared" ca="1" si="141"/>
        <v>7.5843786370102029E-2</v>
      </c>
      <c r="Q573" s="30">
        <f t="shared" ca="1" si="142"/>
        <v>0.178900382598838</v>
      </c>
      <c r="R573" s="30">
        <f t="shared" ca="1" si="143"/>
        <v>8.6522136607026345E-2</v>
      </c>
      <c r="S573" s="9" cm="1">
        <f t="array" aca="1" ref="S573" ca="1">_xll.BDH($E$6,"PX LAST",AG573)</f>
        <v>166.39</v>
      </c>
      <c r="T573" s="9" cm="1">
        <f t="array" aca="1" ref="T573" ca="1">_xll.BDH($E$6,"PX LAST",AH573)</f>
        <v>162.65</v>
      </c>
      <c r="U573" s="9" cm="1">
        <f t="array" aca="1" ref="U573" ca="1">_xll.BDH($E$6,"PX LAST",AI573)</f>
        <v>154.66</v>
      </c>
      <c r="V573" s="9" cm="1">
        <f t="array" aca="1" ref="V573" ca="1">_xll.BDH($E$6,"PX LAST",AJ573)</f>
        <v>141.13999999999999</v>
      </c>
      <c r="W573" s="9" cm="1">
        <f t="array" aca="1" ref="W573" ca="1">_xll.BDH($E$6,"PX LAST",AK573)</f>
        <v>153.13999999999999</v>
      </c>
      <c r="X573" s="24">
        <f t="shared" ca="1" si="144"/>
        <v>1.1523530673249072E-2</v>
      </c>
      <c r="Y573" s="24">
        <f t="shared" ca="1" si="145"/>
        <v>1.5824878088444239E-2</v>
      </c>
      <c r="Z573" s="24">
        <f t="shared" ca="1" si="146"/>
        <v>4.6928366294923807E-2</v>
      </c>
      <c r="AA573" s="24">
        <f t="shared" ca="1" si="147"/>
        <v>3.8675870499200071E-2</v>
      </c>
      <c r="AB573" s="9" cm="1">
        <f t="array" aca="1" ref="AB573" ca="1">_xll.BDH($E$8,"PX LAST",AG573)</f>
        <v>4622.4399999999996</v>
      </c>
      <c r="AC573" s="9" cm="1">
        <f t="array" aca="1" ref="AC573" ca="1">_xll.BDH($E$8,"PX LAST",AH573)</f>
        <v>4569.78</v>
      </c>
      <c r="AD573" s="9" cm="1">
        <f t="array" aca="1" ref="AD573" ca="1">_xll.BDH($E$8,"PX LAST",AI573)</f>
        <v>4550.43</v>
      </c>
      <c r="AE573" s="9" cm="1">
        <f t="array" aca="1" ref="AE573" ca="1">_xll.BDH($E$8,"PX LAST",AJ573)</f>
        <v>4415.24</v>
      </c>
      <c r="AF573" s="9" cm="1">
        <f t="array" aca="1" ref="AF573" ca="1">_xll.BDH($E$8,"PX LAST",AK573)</f>
        <v>4450.32</v>
      </c>
      <c r="AG573" s="20">
        <f t="shared" ca="1" si="153"/>
        <v>45271</v>
      </c>
      <c r="AH573" s="22">
        <f t="shared" ca="1" si="148"/>
        <v>45264</v>
      </c>
      <c r="AI573" s="22">
        <f t="shared" ca="1" si="149"/>
        <v>45257</v>
      </c>
      <c r="AJ573" s="22">
        <f t="shared" ca="1" si="150"/>
        <v>45240</v>
      </c>
      <c r="AK573" s="22">
        <f t="shared" ca="1" si="151"/>
        <v>45184</v>
      </c>
      <c r="AL573" s="22">
        <f t="shared" ca="1" si="152"/>
        <v>45098</v>
      </c>
    </row>
    <row r="574" spans="4:38" x14ac:dyDescent="0.25">
      <c r="D574" s="6">
        <f ca="1"/>
        <v>45268</v>
      </c>
      <c r="E574" s="28">
        <f ca="1"/>
        <v>160.96</v>
      </c>
      <c r="F574" s="29" cm="1">
        <f t="array" aca="1" ref="F574" ca="1">_xll.FDS($E$7,"P_BETA_LOCIDX("&amp;$AG574&amp;","&amp;$AL574&amp;",,"""&amp;$E$9&amp;""")")</f>
        <v>1.5418860000000001</v>
      </c>
      <c r="G574" s="30">
        <f t="shared" ca="1" si="138"/>
        <v>-1.2684555793590433E-2</v>
      </c>
      <c r="H574" s="30">
        <f t="shared" ca="1" si="138"/>
        <v>2.759642059704227E-2</v>
      </c>
      <c r="I574" s="30">
        <f t="shared" ca="1" si="138"/>
        <v>8.1250813825673687E-2</v>
      </c>
      <c r="J574" s="30">
        <f t="shared" ca="1" si="136"/>
        <v>2.9374682603585181E-3</v>
      </c>
      <c r="K574" s="30">
        <f t="shared" ca="1" si="139"/>
        <v>3.2685917342636693E-3</v>
      </c>
      <c r="L574" s="30">
        <f t="shared" ca="1" si="139"/>
        <v>1.5228328350155741E-2</v>
      </c>
      <c r="M574" s="30">
        <f t="shared" ca="1" si="139"/>
        <v>9.1157955931774212E-2</v>
      </c>
      <c r="N574" s="30">
        <f t="shared" ca="1" si="137"/>
        <v>3.3975499593793472E-2</v>
      </c>
      <c r="O574" s="30">
        <f t="shared" ca="1" si="140"/>
        <v>-9.4159640593267646E-3</v>
      </c>
      <c r="P574" s="30">
        <f t="shared" ca="1" si="141"/>
        <v>4.282474894719801E-2</v>
      </c>
      <c r="Q574" s="30">
        <f t="shared" ca="1" si="142"/>
        <v>0.1724087697574479</v>
      </c>
      <c r="R574" s="30">
        <f t="shared" ca="1" si="143"/>
        <v>3.691296785415199E-2</v>
      </c>
      <c r="S574" s="9" cm="1">
        <f t="array" aca="1" ref="S574" ca="1">_xll.BDH($E$6,"PX LAST",AG574)</f>
        <v>160.96</v>
      </c>
      <c r="T574" s="9" cm="1">
        <f t="array" aca="1" ref="T574" ca="1">_xll.BDH($E$6,"PX LAST",AH574)</f>
        <v>162.49</v>
      </c>
      <c r="U574" s="9" cm="1">
        <f t="array" aca="1" ref="U574" ca="1">_xll.BDH($E$6,"PX LAST",AI574)</f>
        <v>154.35</v>
      </c>
      <c r="V574" s="9" cm="1">
        <f t="array" aca="1" ref="V574" ca="1">_xll.BDH($E$6,"PX LAST",AJ574)</f>
        <v>137.29</v>
      </c>
      <c r="W574" s="9" cm="1">
        <f t="array" aca="1" ref="W574" ca="1">_xll.BDH($E$6,"PX LAST",AK574)</f>
        <v>155.22999999999999</v>
      </c>
      <c r="X574" s="24">
        <f t="shared" ca="1" si="144"/>
        <v>2.1198660175030248E-3</v>
      </c>
      <c r="Y574" s="24">
        <f t="shared" ca="1" si="145"/>
        <v>9.8764294832145438E-3</v>
      </c>
      <c r="Z574" s="24">
        <f t="shared" ca="1" si="146"/>
        <v>5.9121073757576248E-2</v>
      </c>
      <c r="AA574" s="24">
        <f t="shared" ca="1" si="147"/>
        <v>2.203502696943449E-2</v>
      </c>
      <c r="AB574" s="9" cm="1">
        <f t="array" aca="1" ref="AB574" ca="1">_xll.BDH($E$8,"PX LAST",AG574)</f>
        <v>4604.37</v>
      </c>
      <c r="AC574" s="9" cm="1">
        <f t="array" aca="1" ref="AC574" ca="1">_xll.BDH($E$8,"PX LAST",AH574)</f>
        <v>4594.63</v>
      </c>
      <c r="AD574" s="9" cm="1">
        <f t="array" aca="1" ref="AD574" ca="1">_xll.BDH($E$8,"PX LAST",AI574)</f>
        <v>4559.34</v>
      </c>
      <c r="AE574" s="9" cm="1">
        <f t="array" aca="1" ref="AE574" ca="1">_xll.BDH($E$8,"PX LAST",AJ574)</f>
        <v>4347.3500000000004</v>
      </c>
      <c r="AF574" s="9" cm="1">
        <f t="array" aca="1" ref="AF574" ca="1">_xll.BDH($E$8,"PX LAST",AK574)</f>
        <v>4505.1000000000004</v>
      </c>
      <c r="AG574" s="20">
        <f t="shared" ca="1" si="153"/>
        <v>45268</v>
      </c>
      <c r="AH574" s="22">
        <f t="shared" ca="1" si="148"/>
        <v>45261</v>
      </c>
      <c r="AI574" s="22">
        <f t="shared" ca="1" si="149"/>
        <v>45254</v>
      </c>
      <c r="AJ574" s="22">
        <f t="shared" ca="1" si="150"/>
        <v>45239</v>
      </c>
      <c r="AK574" s="22">
        <f t="shared" ca="1" si="151"/>
        <v>45183</v>
      </c>
      <c r="AL574" s="22">
        <f t="shared" ca="1" si="152"/>
        <v>45097</v>
      </c>
    </row>
    <row r="575" spans="4:38" x14ac:dyDescent="0.25">
      <c r="D575" s="6">
        <f ca="1"/>
        <v>45267</v>
      </c>
      <c r="E575" s="28">
        <f ca="1"/>
        <v>157.69999999999999</v>
      </c>
      <c r="F575" s="29" cm="1">
        <f t="array" aca="1" ref="F575" ca="1">_xll.FDS($E$7,"P_BETA_LOCIDX("&amp;$AG575&amp;","&amp;$AL575&amp;",,"""&amp;$E$9&amp;""")")</f>
        <v>1.5315527</v>
      </c>
      <c r="G575" s="30">
        <f t="shared" ca="1" si="138"/>
        <v>5.9055205259708442E-3</v>
      </c>
      <c r="H575" s="30">
        <f t="shared" ca="1" si="138"/>
        <v>2.3344934890280042E-2</v>
      </c>
      <c r="I575" s="30">
        <f t="shared" ca="1" si="138"/>
        <v>8.3256132306436179E-2</v>
      </c>
      <c r="J575" s="30">
        <f t="shared" ca="1" si="136"/>
        <v>-1.674477971445653E-2</v>
      </c>
      <c r="K575" s="30">
        <f t="shared" ca="1" si="139"/>
        <v>5.9648676678052161E-3</v>
      </c>
      <c r="L575" s="30">
        <f t="shared" ca="1" si="139"/>
        <v>9.7372793252455559E-3</v>
      </c>
      <c r="M575" s="30">
        <f t="shared" ca="1" si="139"/>
        <v>7.0871502353985497E-2</v>
      </c>
      <c r="N575" s="30">
        <f t="shared" ca="1" si="137"/>
        <v>4.0504842035931403E-2</v>
      </c>
      <c r="O575" s="30">
        <f t="shared" ca="1" si="140"/>
        <v>1.187038819377606E-2</v>
      </c>
      <c r="P575" s="30">
        <f t="shared" ca="1" si="141"/>
        <v>3.3082214215525596E-2</v>
      </c>
      <c r="Q575" s="30">
        <f t="shared" ca="1" si="142"/>
        <v>0.15412763466042168</v>
      </c>
      <c r="R575" s="30">
        <f t="shared" ca="1" si="143"/>
        <v>2.3760062321474873E-2</v>
      </c>
      <c r="S575" s="9" cm="1">
        <f t="array" aca="1" ref="S575" ca="1">_xll.BDH($E$6,"PX LAST",AG575)</f>
        <v>157.69999999999999</v>
      </c>
      <c r="T575" s="9" cm="1">
        <f t="array" aca="1" ref="T575" ca="1">_xll.BDH($E$6,"PX LAST",AH575)</f>
        <v>155.85</v>
      </c>
      <c r="U575" s="9" cm="1">
        <f t="array" aca="1" ref="U575" ca="1">_xll.BDH($E$6,"PX LAST",AI575)</f>
        <v>152.65</v>
      </c>
      <c r="V575" s="9" cm="1">
        <f t="array" aca="1" ref="V575" ca="1">_xll.BDH($E$6,"PX LAST",AJ575)</f>
        <v>136.63999999999999</v>
      </c>
      <c r="W575" s="9" cm="1">
        <f t="array" aca="1" ref="W575" ca="1">_xll.BDH($E$6,"PX LAST",AK575)</f>
        <v>154.04</v>
      </c>
      <c r="X575" s="24">
        <f t="shared" ca="1" si="144"/>
        <v>3.8946538815185505E-3</v>
      </c>
      <c r="Y575" s="24">
        <f t="shared" ca="1" si="145"/>
        <v>6.3577827424714517E-3</v>
      </c>
      <c r="Z575" s="24">
        <f t="shared" ca="1" si="146"/>
        <v>4.6274282533004252E-2</v>
      </c>
      <c r="AA575" s="24">
        <f t="shared" ca="1" si="147"/>
        <v>2.6446913668678462E-2</v>
      </c>
      <c r="AB575" s="9" cm="1">
        <f t="array" aca="1" ref="AB575" ca="1">_xll.BDH($E$8,"PX LAST",AG575)</f>
        <v>4585.59</v>
      </c>
      <c r="AC575" s="9" cm="1">
        <f t="array" aca="1" ref="AC575" ca="1">_xll.BDH($E$8,"PX LAST",AH575)</f>
        <v>4567.8</v>
      </c>
      <c r="AD575" s="9" cm="1">
        <f t="array" aca="1" ref="AD575" ca="1">_xll.BDH($E$8,"PX LAST",AI575)</f>
        <v>4556.62</v>
      </c>
      <c r="AE575" s="9" cm="1">
        <f t="array" aca="1" ref="AE575" ca="1">_xll.BDH($E$8,"PX LAST",AJ575)</f>
        <v>4382.78</v>
      </c>
      <c r="AF575" s="9" cm="1">
        <f t="array" aca="1" ref="AF575" ca="1">_xll.BDH($E$8,"PX LAST",AK575)</f>
        <v>4467.4399999999996</v>
      </c>
      <c r="AG575" s="20">
        <f t="shared" ca="1" si="153"/>
        <v>45267</v>
      </c>
      <c r="AH575" s="22">
        <f t="shared" ca="1" si="148"/>
        <v>45260</v>
      </c>
      <c r="AI575" s="22">
        <f t="shared" ca="1" si="149"/>
        <v>45252</v>
      </c>
      <c r="AJ575" s="22">
        <f t="shared" ca="1" si="150"/>
        <v>45238</v>
      </c>
      <c r="AK575" s="22">
        <f t="shared" ca="1" si="151"/>
        <v>45182</v>
      </c>
      <c r="AL575" s="22">
        <f t="shared" ca="1" si="152"/>
        <v>45093</v>
      </c>
    </row>
    <row r="576" spans="4:38" x14ac:dyDescent="0.25">
      <c r="D576" s="6">
        <f ca="1"/>
        <v>45266</v>
      </c>
      <c r="E576" s="28">
        <f ca="1"/>
        <v>157.62</v>
      </c>
      <c r="F576" s="29" cm="1">
        <f t="array" aca="1" ref="F576" ca="1">_xll.FDS($E$7,"P_BETA_LOCIDX("&amp;$AG576&amp;","&amp;$AL576&amp;",,"""&amp;$E$9&amp;""")")</f>
        <v>1.5630767000000001</v>
      </c>
      <c r="G576" s="30">
        <f t="shared" ca="1" si="138"/>
        <v>1.5822435455300318E-2</v>
      </c>
      <c r="H576" s="30">
        <f t="shared" ca="1" si="138"/>
        <v>3.299689343934329E-2</v>
      </c>
      <c r="I576" s="30">
        <f t="shared" ca="1" si="138"/>
        <v>7.9736092038846851E-2</v>
      </c>
      <c r="J576" s="30">
        <f t="shared" ca="1" si="136"/>
        <v>-2.3410756446737166E-2</v>
      </c>
      <c r="K576" s="30">
        <f t="shared" ca="1" si="139"/>
        <v>-4.2592704842020084E-4</v>
      </c>
      <c r="L576" s="30">
        <f t="shared" ca="1" si="139"/>
        <v>3.840364816149266E-3</v>
      </c>
      <c r="M576" s="30">
        <f t="shared" ca="1" si="139"/>
        <v>6.1032526329829639E-2</v>
      </c>
      <c r="N576" s="30">
        <f t="shared" ca="1" si="137"/>
        <v>3.0631665130998117E-2</v>
      </c>
      <c r="O576" s="30">
        <f t="shared" ca="1" si="140"/>
        <v>1.5396508406880116E-2</v>
      </c>
      <c r="P576" s="30">
        <f t="shared" ca="1" si="141"/>
        <v>3.6837258255492555E-2</v>
      </c>
      <c r="Q576" s="30">
        <f t="shared" ca="1" si="142"/>
        <v>0.14076861836867649</v>
      </c>
      <c r="R576" s="30">
        <f t="shared" ca="1" si="143"/>
        <v>7.2209086842609516E-3</v>
      </c>
      <c r="S576" s="9" cm="1">
        <f t="array" aca="1" ref="S576" ca="1">_xll.BDH($E$6,"PX LAST",AG576)</f>
        <v>157.62</v>
      </c>
      <c r="T576" s="9" cm="1">
        <f t="array" aca="1" ref="T576" ca="1">_xll.BDH($E$6,"PX LAST",AH576)</f>
        <v>155.22999999999999</v>
      </c>
      <c r="U576" s="9" cm="1">
        <f t="array" aca="1" ref="U576" ca="1">_xll.BDH($E$6,"PX LAST",AI576)</f>
        <v>152.02000000000001</v>
      </c>
      <c r="V576" s="9" cm="1">
        <f t="array" aca="1" ref="V576" ca="1">_xll.BDH($E$6,"PX LAST",AJ576)</f>
        <v>138.16999999999999</v>
      </c>
      <c r="W576" s="9" cm="1">
        <f t="array" aca="1" ref="W576" ca="1">_xll.BDH($E$6,"PX LAST",AK576)</f>
        <v>156.49</v>
      </c>
      <c r="X576" s="24">
        <f t="shared" ca="1" si="144"/>
        <v>-2.724927371895447E-4</v>
      </c>
      <c r="Y576" s="24">
        <f t="shared" ca="1" si="145"/>
        <v>2.4569266601883744E-3</v>
      </c>
      <c r="Z576" s="24">
        <f t="shared" ca="1" si="146"/>
        <v>3.9046405291454755E-2</v>
      </c>
      <c r="AA576" s="24">
        <f t="shared" ca="1" si="147"/>
        <v>1.9597032654250501E-2</v>
      </c>
      <c r="AB576" s="9" cm="1">
        <f t="array" aca="1" ref="AB576" ca="1">_xll.BDH($E$8,"PX LAST",AG576)</f>
        <v>4549.34</v>
      </c>
      <c r="AC576" s="9" cm="1">
        <f t="array" aca="1" ref="AC576" ca="1">_xll.BDH($E$8,"PX LAST",AH576)</f>
        <v>4550.58</v>
      </c>
      <c r="AD576" s="9" cm="1">
        <f t="array" aca="1" ref="AD576" ca="1">_xll.BDH($E$8,"PX LAST",AI576)</f>
        <v>4538.1899999999996</v>
      </c>
      <c r="AE576" s="9" cm="1">
        <f t="array" aca="1" ref="AE576" ca="1">_xll.BDH($E$8,"PX LAST",AJ576)</f>
        <v>4378.38</v>
      </c>
      <c r="AF576" s="9" cm="1">
        <f t="array" aca="1" ref="AF576" ca="1">_xll.BDH($E$8,"PX LAST",AK576)</f>
        <v>4461.8999999999996</v>
      </c>
      <c r="AG576" s="20">
        <f t="shared" ca="1" si="153"/>
        <v>45266</v>
      </c>
      <c r="AH576" s="22">
        <f t="shared" ca="1" si="148"/>
        <v>45259</v>
      </c>
      <c r="AI576" s="22">
        <f t="shared" ca="1" si="149"/>
        <v>45251</v>
      </c>
      <c r="AJ576" s="22">
        <f t="shared" ca="1" si="150"/>
        <v>45237</v>
      </c>
      <c r="AK576" s="22">
        <f t="shared" ca="1" si="151"/>
        <v>45181</v>
      </c>
      <c r="AL576" s="22">
        <f t="shared" ca="1" si="152"/>
        <v>45092</v>
      </c>
    </row>
    <row r="577" spans="4:38" x14ac:dyDescent="0.25">
      <c r="D577" s="6">
        <f ca="1"/>
        <v>45265</v>
      </c>
      <c r="E577" s="28">
        <f ca="1"/>
        <v>159.25</v>
      </c>
      <c r="F577" s="29" cm="1">
        <f t="array" aca="1" ref="F577" ca="1">_xll.FDS($E$7,"P_BETA_LOCIDX("&amp;$AG577&amp;","&amp;$AL577&amp;",,"""&amp;$E$9&amp;""")")</f>
        <v>1.5597894000000001</v>
      </c>
      <c r="G577" s="30">
        <f t="shared" ca="1" si="138"/>
        <v>4.4730911336774502E-2</v>
      </c>
      <c r="H577" s="30">
        <f t="shared" ca="1" si="138"/>
        <v>3.2021219668966372E-2</v>
      </c>
      <c r="I577" s="30">
        <f t="shared" ca="1" si="138"/>
        <v>6.8715219497921781E-2</v>
      </c>
      <c r="J577" s="30">
        <f t="shared" ca="1" si="136"/>
        <v>-1.1371761403488327E-2</v>
      </c>
      <c r="K577" s="30">
        <f t="shared" ca="1" si="139"/>
        <v>4.2086223215051302E-3</v>
      </c>
      <c r="L577" s="30">
        <f t="shared" ca="1" si="139"/>
        <v>6.7915657191613445E-3</v>
      </c>
      <c r="M577" s="30">
        <f t="shared" ca="1" si="139"/>
        <v>7.1880683667813777E-2</v>
      </c>
      <c r="N577" s="30">
        <f t="shared" ca="1" si="137"/>
        <v>2.7709753617413839E-2</v>
      </c>
      <c r="O577" s="30">
        <f t="shared" ca="1" si="140"/>
        <v>4.8939533658279633E-2</v>
      </c>
      <c r="P577" s="30">
        <f t="shared" ca="1" si="141"/>
        <v>3.8812785388127713E-2</v>
      </c>
      <c r="Q577" s="30">
        <f t="shared" ca="1" si="142"/>
        <v>0.14059590316573556</v>
      </c>
      <c r="R577" s="30">
        <f t="shared" ca="1" si="143"/>
        <v>1.6337992213925512E-2</v>
      </c>
      <c r="S577" s="9" cm="1">
        <f t="array" aca="1" ref="S577" ca="1">_xll.BDH($E$6,"PX LAST",AG577)</f>
        <v>159.25</v>
      </c>
      <c r="T577" s="9" cm="1">
        <f t="array" aca="1" ref="T577" ca="1">_xll.BDH($E$6,"PX LAST",AH577)</f>
        <v>151.82</v>
      </c>
      <c r="U577" s="9" cm="1">
        <f t="array" aca="1" ref="U577" ca="1">_xll.BDH($E$6,"PX LAST",AI577)</f>
        <v>153.30000000000001</v>
      </c>
      <c r="V577" s="9" cm="1">
        <f t="array" aca="1" ref="V577" ca="1">_xll.BDH($E$6,"PX LAST",AJ577)</f>
        <v>139.62</v>
      </c>
      <c r="W577" s="9" cm="1">
        <f t="array" aca="1" ref="W577" ca="1">_xll.BDH($E$6,"PX LAST",AK577)</f>
        <v>156.69</v>
      </c>
      <c r="X577" s="24">
        <f t="shared" ca="1" si="144"/>
        <v>2.698199078353225E-3</v>
      </c>
      <c r="Y577" s="24">
        <f t="shared" ca="1" si="145"/>
        <v>4.3541555796964282E-3</v>
      </c>
      <c r="Z577" s="24">
        <f t="shared" ca="1" si="146"/>
        <v>4.608358260917389E-2</v>
      </c>
      <c r="AA577" s="24">
        <f t="shared" ca="1" si="147"/>
        <v>1.7765060858481174E-2</v>
      </c>
      <c r="AB577" s="9" cm="1">
        <f t="array" aca="1" ref="AB577" ca="1">_xll.BDH($E$8,"PX LAST",AG577)</f>
        <v>4567.18</v>
      </c>
      <c r="AC577" s="9" cm="1">
        <f t="array" aca="1" ref="AC577" ca="1">_xll.BDH($E$8,"PX LAST",AH577)</f>
        <v>4554.8900000000003</v>
      </c>
      <c r="AD577" s="9" cm="1">
        <f t="array" aca="1" ref="AD577" ca="1">_xll.BDH($E$8,"PX LAST",AI577)</f>
        <v>4547.38</v>
      </c>
      <c r="AE577" s="9" cm="1">
        <f t="array" aca="1" ref="AE577" ca="1">_xll.BDH($E$8,"PX LAST",AJ577)</f>
        <v>4365.9799999999996</v>
      </c>
      <c r="AF577" s="9" cm="1">
        <f t="array" aca="1" ref="AF577" ca="1">_xll.BDH($E$8,"PX LAST",AK577)</f>
        <v>4487.46</v>
      </c>
      <c r="AG577" s="20">
        <f t="shared" ca="1" si="153"/>
        <v>45265</v>
      </c>
      <c r="AH577" s="22">
        <f t="shared" ca="1" si="148"/>
        <v>45258</v>
      </c>
      <c r="AI577" s="22">
        <f t="shared" ca="1" si="149"/>
        <v>45250</v>
      </c>
      <c r="AJ577" s="22">
        <f t="shared" ca="1" si="150"/>
        <v>45236</v>
      </c>
      <c r="AK577" s="22">
        <f t="shared" ca="1" si="151"/>
        <v>45180</v>
      </c>
      <c r="AL577" s="22">
        <f t="shared" ca="1" si="152"/>
        <v>45091</v>
      </c>
    </row>
    <row r="578" spans="4:38" x14ac:dyDescent="0.25">
      <c r="D578" s="6">
        <f ca="1"/>
        <v>45264</v>
      </c>
      <c r="E578" s="28">
        <f ca="1"/>
        <v>162.65</v>
      </c>
      <c r="F578" s="29" cm="1">
        <f t="array" aca="1" ref="F578" ca="1">_xll.FDS($E$7,"P_BETA_LOCIDX("&amp;$AG578&amp;","&amp;$AL578&amp;",,"""&amp;$E$9&amp;""")")</f>
        <v>1.5794801999999999</v>
      </c>
      <c r="G578" s="30">
        <f t="shared" ca="1" si="138"/>
        <v>4.4945214220841058E-2</v>
      </c>
      <c r="H578" s="30">
        <f t="shared" ca="1" si="138"/>
        <v>5.189431788161028E-2</v>
      </c>
      <c r="I578" s="30">
        <f t="shared" ca="1" si="138"/>
        <v>6.2378883469988294E-2</v>
      </c>
      <c r="J578" s="30">
        <f t="shared" ca="1" si="136"/>
        <v>-1.0423940910261283E-2</v>
      </c>
      <c r="K578" s="30">
        <f t="shared" ca="1" si="139"/>
        <v>6.716495335605384E-3</v>
      </c>
      <c r="L578" s="30">
        <f t="shared" ca="1" si="139"/>
        <v>1.9510727899300053E-2</v>
      </c>
      <c r="M578" s="30">
        <f t="shared" ca="1" si="139"/>
        <v>7.6626718770908014E-2</v>
      </c>
      <c r="N578" s="30">
        <f t="shared" ca="1" si="137"/>
        <v>3.9789170958992544E-2</v>
      </c>
      <c r="O578" s="30">
        <f t="shared" ca="1" si="140"/>
        <v>5.1661709556446445E-2</v>
      </c>
      <c r="P578" s="30">
        <f t="shared" ca="1" si="141"/>
        <v>7.1405045780910337E-2</v>
      </c>
      <c r="Q578" s="30">
        <f t="shared" ca="1" si="142"/>
        <v>0.13900560224089631</v>
      </c>
      <c r="R578" s="30">
        <f t="shared" ca="1" si="143"/>
        <v>2.9365230048731261E-2</v>
      </c>
      <c r="S578" s="9" cm="1">
        <f t="array" aca="1" ref="S578" ca="1">_xll.BDH($E$6,"PX LAST",AG578)</f>
        <v>162.65</v>
      </c>
      <c r="T578" s="9" cm="1">
        <f t="array" aca="1" ref="T578" ca="1">_xll.BDH($E$6,"PX LAST",AH578)</f>
        <v>154.66</v>
      </c>
      <c r="U578" s="9" cm="1">
        <f t="array" aca="1" ref="U578" ca="1">_xll.BDH($E$6,"PX LAST",AI578)</f>
        <v>151.81</v>
      </c>
      <c r="V578" s="9" cm="1">
        <f t="array" aca="1" ref="V578" ca="1">_xll.BDH($E$6,"PX LAST",AJ578)</f>
        <v>142.80000000000001</v>
      </c>
      <c r="W578" s="9" cm="1">
        <f t="array" aca="1" ref="W578" ca="1">_xll.BDH($E$6,"PX LAST",AK578)</f>
        <v>158.01</v>
      </c>
      <c r="X578" s="24">
        <f t="shared" ca="1" si="144"/>
        <v>4.2523453827438829E-3</v>
      </c>
      <c r="Y578" s="24">
        <f t="shared" ca="1" si="145"/>
        <v>1.2352625819114449E-2</v>
      </c>
      <c r="Z578" s="24">
        <f t="shared" ca="1" si="146"/>
        <v>4.8513883726372775E-2</v>
      </c>
      <c r="AA578" s="24">
        <f t="shared" ca="1" si="147"/>
        <v>2.5191307215495673E-2</v>
      </c>
      <c r="AB578" s="9" cm="1">
        <f t="array" aca="1" ref="AB578" ca="1">_xll.BDH($E$8,"PX LAST",AG578)</f>
        <v>4569.78</v>
      </c>
      <c r="AC578" s="9" cm="1">
        <f t="array" aca="1" ref="AC578" ca="1">_xll.BDH($E$8,"PX LAST",AH578)</f>
        <v>4550.43</v>
      </c>
      <c r="AD578" s="9" cm="1">
        <f t="array" aca="1" ref="AD578" ca="1">_xll.BDH($E$8,"PX LAST",AI578)</f>
        <v>4514.0200000000004</v>
      </c>
      <c r="AE578" s="9" cm="1">
        <f t="array" aca="1" ref="AE578" ca="1">_xll.BDH($E$8,"PX LAST",AJ578)</f>
        <v>4358.34</v>
      </c>
      <c r="AF578" s="9" cm="1">
        <f t="array" aca="1" ref="AF578" ca="1">_xll.BDH($E$8,"PX LAST",AK578)</f>
        <v>4457.49</v>
      </c>
      <c r="AG578" s="20">
        <f t="shared" ca="1" si="153"/>
        <v>45264</v>
      </c>
      <c r="AH578" s="22">
        <f t="shared" ca="1" si="148"/>
        <v>45257</v>
      </c>
      <c r="AI578" s="22">
        <f t="shared" ca="1" si="149"/>
        <v>45247</v>
      </c>
      <c r="AJ578" s="22">
        <f t="shared" ca="1" si="150"/>
        <v>45233</v>
      </c>
      <c r="AK578" s="22">
        <f t="shared" ca="1" si="151"/>
        <v>45177</v>
      </c>
      <c r="AL578" s="22">
        <f t="shared" ca="1" si="152"/>
        <v>45090</v>
      </c>
    </row>
    <row r="579" spans="4:38" x14ac:dyDescent="0.25">
      <c r="D579" s="6">
        <f ca="1"/>
        <v>45261</v>
      </c>
      <c r="E579" s="28">
        <f ca="1"/>
        <v>162.49</v>
      </c>
      <c r="F579" s="29" cm="1">
        <f t="array" aca="1" ref="F579" ca="1">_xll.FDS($E$7,"P_BETA_LOCIDX("&amp;$AG579&amp;","&amp;$AL579&amp;",,"""&amp;$E$9&amp;""")")</f>
        <v>1.6229705999999999</v>
      </c>
      <c r="G579" s="30">
        <f t="shared" ca="1" si="138"/>
        <v>4.0175240779942709E-2</v>
      </c>
      <c r="H579" s="30">
        <f t="shared" ca="1" si="138"/>
        <v>7.4800288590415806E-2</v>
      </c>
      <c r="I579" s="30">
        <f t="shared" ca="1" si="138"/>
        <v>9.0980424756523667E-2</v>
      </c>
      <c r="J579" s="30">
        <f t="shared" ca="1" si="136"/>
        <v>-1.0716628597283624E-2</v>
      </c>
      <c r="K579" s="30">
        <f t="shared" ca="1" si="139"/>
        <v>1.256204461040401E-2</v>
      </c>
      <c r="L579" s="30">
        <f t="shared" ca="1" si="139"/>
        <v>3.1100480483292794E-2</v>
      </c>
      <c r="M579" s="30">
        <f t="shared" ca="1" si="139"/>
        <v>0.10406259943999031</v>
      </c>
      <c r="N579" s="30">
        <f t="shared" ca="1" si="137"/>
        <v>5.2319192699847757E-2</v>
      </c>
      <c r="O579" s="30">
        <f t="shared" ca="1" si="140"/>
        <v>5.2737285390346722E-2</v>
      </c>
      <c r="P579" s="30">
        <f t="shared" ca="1" si="141"/>
        <v>0.1059007690737086</v>
      </c>
      <c r="Q579" s="30">
        <f t="shared" ca="1" si="142"/>
        <v>0.19504302419651398</v>
      </c>
      <c r="R579" s="30">
        <f t="shared" ca="1" si="143"/>
        <v>4.1602564102564132E-2</v>
      </c>
      <c r="S579" s="9" cm="1">
        <f t="array" aca="1" ref="S579" ca="1">_xll.BDH($E$6,"PX LAST",AG579)</f>
        <v>162.49</v>
      </c>
      <c r="T579" s="9" cm="1">
        <f t="array" aca="1" ref="T579" ca="1">_xll.BDH($E$6,"PX LAST",AH579)</f>
        <v>154.35</v>
      </c>
      <c r="U579" s="9" cm="1">
        <f t="array" aca="1" ref="U579" ca="1">_xll.BDH($E$6,"PX LAST",AI579)</f>
        <v>146.93</v>
      </c>
      <c r="V579" s="9" cm="1">
        <f t="array" aca="1" ref="V579" ca="1">_xll.BDH($E$6,"PX LAST",AJ579)</f>
        <v>135.97</v>
      </c>
      <c r="W579" s="9" cm="1">
        <f t="array" aca="1" ref="W579" ca="1">_xll.BDH($E$6,"PX LAST",AK579)</f>
        <v>156</v>
      </c>
      <c r="X579" s="24">
        <f t="shared" ca="1" si="144"/>
        <v>7.740155373365365E-3</v>
      </c>
      <c r="Y579" s="24">
        <f t="shared" ca="1" si="145"/>
        <v>1.9162688765460567E-2</v>
      </c>
      <c r="Z579" s="24">
        <f t="shared" ca="1" si="146"/>
        <v>6.4118597983223058E-2</v>
      </c>
      <c r="AA579" s="24">
        <f t="shared" ca="1" si="147"/>
        <v>3.2236685433394641E-2</v>
      </c>
      <c r="AB579" s="9" cm="1">
        <f t="array" aca="1" ref="AB579" ca="1">_xll.BDH($E$8,"PX LAST",AG579)</f>
        <v>4594.63</v>
      </c>
      <c r="AC579" s="9" cm="1">
        <f t="array" aca="1" ref="AC579" ca="1">_xll.BDH($E$8,"PX LAST",AH579)</f>
        <v>4559.34</v>
      </c>
      <c r="AD579" s="9" cm="1">
        <f t="array" aca="1" ref="AD579" ca="1">_xll.BDH($E$8,"PX LAST",AI579)</f>
        <v>4508.24</v>
      </c>
      <c r="AE579" s="9" cm="1">
        <f t="array" aca="1" ref="AE579" ca="1">_xll.BDH($E$8,"PX LAST",AJ579)</f>
        <v>4317.78</v>
      </c>
      <c r="AF579" s="9" cm="1">
        <f t="array" aca="1" ref="AF579" ca="1">_xll.BDH($E$8,"PX LAST",AK579)</f>
        <v>4451.1400000000003</v>
      </c>
      <c r="AG579" s="20">
        <f t="shared" ca="1" si="153"/>
        <v>45261</v>
      </c>
      <c r="AH579" s="22">
        <f t="shared" ca="1" si="148"/>
        <v>45254</v>
      </c>
      <c r="AI579" s="22">
        <f t="shared" ca="1" si="149"/>
        <v>45246</v>
      </c>
      <c r="AJ579" s="22">
        <f t="shared" ca="1" si="150"/>
        <v>45232</v>
      </c>
      <c r="AK579" s="22">
        <f t="shared" ca="1" si="151"/>
        <v>45176</v>
      </c>
      <c r="AL579" s="22">
        <f t="shared" ca="1" si="152"/>
        <v>45089</v>
      </c>
    </row>
    <row r="580" spans="4:38" x14ac:dyDescent="0.25">
      <c r="D580" s="6">
        <f ca="1"/>
        <v>45260</v>
      </c>
      <c r="E580" s="28">
        <f ca="1"/>
        <v>155.85</v>
      </c>
      <c r="F580" s="29" cm="1">
        <f t="array" aca="1" ref="F580" ca="1">_xll.FDS($E$7,"P_BETA_LOCIDX("&amp;$AG580&amp;","&amp;$AL580&amp;",,"""&amp;$E$9&amp;""")")</f>
        <v>1.5954448000000001</v>
      </c>
      <c r="G580" s="30">
        <f t="shared" ca="1" si="138"/>
        <v>1.704844687252309E-2</v>
      </c>
      <c r="H580" s="30">
        <f t="shared" ca="1" si="138"/>
        <v>3.43247724686737E-2</v>
      </c>
      <c r="I580" s="30">
        <f t="shared" ca="1" si="138"/>
        <v>6.4754683193309404E-2</v>
      </c>
      <c r="J580" s="30">
        <f t="shared" ca="1" si="136"/>
        <v>-5.0289743395354983E-2</v>
      </c>
      <c r="K580" s="30">
        <f t="shared" ca="1" si="139"/>
        <v>3.9145403531564843E-3</v>
      </c>
      <c r="L580" s="30">
        <f t="shared" ca="1" si="139"/>
        <v>2.3002228888178395E-2</v>
      </c>
      <c r="M580" s="30">
        <f t="shared" ca="1" si="139"/>
        <v>0.12421388561962915</v>
      </c>
      <c r="N580" s="30">
        <f t="shared" ca="1" si="137"/>
        <v>3.6557304463574095E-2</v>
      </c>
      <c r="O580" s="30">
        <f t="shared" ca="1" si="140"/>
        <v>2.0962987225679575E-2</v>
      </c>
      <c r="P580" s="30">
        <f t="shared" ca="1" si="141"/>
        <v>5.7327001356852092E-2</v>
      </c>
      <c r="Q580" s="30">
        <f t="shared" ca="1" si="142"/>
        <v>0.18896856881293855</v>
      </c>
      <c r="R580" s="30">
        <f t="shared" ca="1" si="143"/>
        <v>-1.3732438931780888E-2</v>
      </c>
      <c r="S580" s="9" cm="1">
        <f t="array" aca="1" ref="S580" ca="1">_xll.BDH($E$6,"PX LAST",AG580)</f>
        <v>155.85</v>
      </c>
      <c r="T580" s="9" cm="1">
        <f t="array" aca="1" ref="T580" ca="1">_xll.BDH($E$6,"PX LAST",AH580)</f>
        <v>152.65</v>
      </c>
      <c r="U580" s="9" cm="1">
        <f t="array" aca="1" ref="U580" ca="1">_xll.BDH($E$6,"PX LAST",AI580)</f>
        <v>147.4</v>
      </c>
      <c r="V580" s="9" cm="1">
        <f t="array" aca="1" ref="V580" ca="1">_xll.BDH($E$6,"PX LAST",AJ580)</f>
        <v>131.08000000000001</v>
      </c>
      <c r="W580" s="9" cm="1">
        <f t="array" aca="1" ref="W580" ca="1">_xll.BDH($E$6,"PX LAST",AK580)</f>
        <v>158.02000000000001</v>
      </c>
      <c r="X580" s="24">
        <f t="shared" ca="1" si="144"/>
        <v>2.4535730431767266E-3</v>
      </c>
      <c r="Y580" s="24">
        <f t="shared" ca="1" si="145"/>
        <v>1.4417439505383323E-2</v>
      </c>
      <c r="Z580" s="24">
        <f t="shared" ca="1" si="146"/>
        <v>7.7855332644306552E-2</v>
      </c>
      <c r="AA580" s="24">
        <f t="shared" ca="1" si="147"/>
        <v>2.2913550167059427E-2</v>
      </c>
      <c r="AB580" s="9" cm="1">
        <f t="array" aca="1" ref="AB580" ca="1">_xll.BDH($E$8,"PX LAST",AG580)</f>
        <v>4567.8</v>
      </c>
      <c r="AC580" s="9" cm="1">
        <f t="array" aca="1" ref="AC580" ca="1">_xll.BDH($E$8,"PX LAST",AH580)</f>
        <v>4556.62</v>
      </c>
      <c r="AD580" s="9" cm="1">
        <f t="array" aca="1" ref="AD580" ca="1">_xll.BDH($E$8,"PX LAST",AI580)</f>
        <v>4502.88</v>
      </c>
      <c r="AE580" s="9" cm="1">
        <f t="array" aca="1" ref="AE580" ca="1">_xll.BDH($E$8,"PX LAST",AJ580)</f>
        <v>4237.8599999999997</v>
      </c>
      <c r="AF580" s="9" cm="1">
        <f t="array" aca="1" ref="AF580" ca="1">_xll.BDH($E$8,"PX LAST",AK580)</f>
        <v>4465.4799999999996</v>
      </c>
      <c r="AG580" s="20">
        <f t="shared" ca="1" si="153"/>
        <v>45260</v>
      </c>
      <c r="AH580" s="22">
        <f t="shared" ca="1" si="148"/>
        <v>45252</v>
      </c>
      <c r="AI580" s="22">
        <f t="shared" ca="1" si="149"/>
        <v>45245</v>
      </c>
      <c r="AJ580" s="22">
        <f t="shared" ca="1" si="150"/>
        <v>45231</v>
      </c>
      <c r="AK580" s="22">
        <f t="shared" ca="1" si="151"/>
        <v>45175</v>
      </c>
      <c r="AL580" s="22">
        <f t="shared" ca="1" si="152"/>
        <v>45086</v>
      </c>
    </row>
    <row r="581" spans="4:38" x14ac:dyDescent="0.25">
      <c r="D581" s="6">
        <f ca="1"/>
        <v>45259</v>
      </c>
      <c r="E581" s="28">
        <f ca="1"/>
        <v>155.22999999999999</v>
      </c>
      <c r="F581" s="29" cm="1">
        <f t="array" aca="1" ref="F581" ca="1">_xll.FDS($E$7,"P_BETA_LOCIDX("&amp;$AG581&amp;","&amp;$AL581&amp;",,"""&amp;$E$9&amp;""")")</f>
        <v>1.5995214</v>
      </c>
      <c r="G581" s="30">
        <f t="shared" ca="1" si="138"/>
        <v>1.6748687979474555E-2</v>
      </c>
      <c r="H581" s="30">
        <f t="shared" ca="1" si="138"/>
        <v>2.4598861201291605E-2</v>
      </c>
      <c r="I581" s="30">
        <f t="shared" ca="1" si="138"/>
        <v>7.4766024452272095E-2</v>
      </c>
      <c r="J581" s="30">
        <f t="shared" ca="1" si="136"/>
        <v>-2.8310156478856267E-2</v>
      </c>
      <c r="K581" s="30">
        <f t="shared" ca="1" si="139"/>
        <v>4.3669546991202271E-3</v>
      </c>
      <c r="L581" s="30">
        <f t="shared" ca="1" si="139"/>
        <v>1.9525709996663605E-2</v>
      </c>
      <c r="M581" s="30">
        <f t="shared" ca="1" si="139"/>
        <v>0.13607640924507591</v>
      </c>
      <c r="N581" s="30">
        <f t="shared" ca="1" si="137"/>
        <v>1.9118862676596796E-2</v>
      </c>
      <c r="O581" s="30">
        <f t="shared" ca="1" si="140"/>
        <v>2.1115642678594782E-2</v>
      </c>
      <c r="P581" s="30">
        <f t="shared" ca="1" si="141"/>
        <v>4.4124571197955209E-2</v>
      </c>
      <c r="Q581" s="30">
        <f t="shared" ca="1" si="142"/>
        <v>0.21084243369734801</v>
      </c>
      <c r="R581" s="30">
        <f t="shared" ca="1" si="143"/>
        <v>-9.1912938022594703E-3</v>
      </c>
      <c r="S581" s="9" cm="1">
        <f t="array" aca="1" ref="S581" ca="1">_xll.BDH($E$6,"PX LAST",AG581)</f>
        <v>155.22999999999999</v>
      </c>
      <c r="T581" s="9" cm="1">
        <f t="array" aca="1" ref="T581" ca="1">_xll.BDH($E$6,"PX LAST",AH581)</f>
        <v>152.02000000000001</v>
      </c>
      <c r="U581" s="9" cm="1">
        <f t="array" aca="1" ref="U581" ca="1">_xll.BDH($E$6,"PX LAST",AI581)</f>
        <v>148.66999999999999</v>
      </c>
      <c r="V581" s="9" cm="1">
        <f t="array" aca="1" ref="V581" ca="1">_xll.BDH($E$6,"PX LAST",AJ581)</f>
        <v>128.19999999999999</v>
      </c>
      <c r="W581" s="9" cm="1">
        <f t="array" aca="1" ref="W581" ca="1">_xll.BDH($E$6,"PX LAST",AK581)</f>
        <v>156.66999999999999</v>
      </c>
      <c r="X581" s="24">
        <f t="shared" ca="1" si="144"/>
        <v>2.7301633470613318E-3</v>
      </c>
      <c r="Y581" s="24">
        <f t="shared" ca="1" si="145"/>
        <v>1.2207220232666849E-2</v>
      </c>
      <c r="Z581" s="24">
        <f t="shared" ca="1" si="146"/>
        <v>8.507320330010959E-2</v>
      </c>
      <c r="AA581" s="24">
        <f t="shared" ca="1" si="147"/>
        <v>1.1952864573488542E-2</v>
      </c>
      <c r="AB581" s="9" cm="1">
        <f t="array" aca="1" ref="AB581" ca="1">_xll.BDH($E$8,"PX LAST",AG581)</f>
        <v>4550.58</v>
      </c>
      <c r="AC581" s="9" cm="1">
        <f t="array" aca="1" ref="AC581" ca="1">_xll.BDH($E$8,"PX LAST",AH581)</f>
        <v>4538.1899999999996</v>
      </c>
      <c r="AD581" s="9" cm="1">
        <f t="array" aca="1" ref="AD581" ca="1">_xll.BDH($E$8,"PX LAST",AI581)</f>
        <v>4495.7</v>
      </c>
      <c r="AE581" s="9" cm="1">
        <f t="array" aca="1" ref="AE581" ca="1">_xll.BDH($E$8,"PX LAST",AJ581)</f>
        <v>4193.8</v>
      </c>
      <c r="AF581" s="9" cm="1">
        <f t="array" aca="1" ref="AF581" ca="1">_xll.BDH($E$8,"PX LAST",AK581)</f>
        <v>4496.83</v>
      </c>
      <c r="AG581" s="20">
        <f t="shared" ca="1" si="153"/>
        <v>45259</v>
      </c>
      <c r="AH581" s="22">
        <f t="shared" ca="1" si="148"/>
        <v>45251</v>
      </c>
      <c r="AI581" s="22">
        <f t="shared" ca="1" si="149"/>
        <v>45244</v>
      </c>
      <c r="AJ581" s="22">
        <f t="shared" ca="1" si="150"/>
        <v>45230</v>
      </c>
      <c r="AK581" s="22">
        <f t="shared" ca="1" si="151"/>
        <v>45174</v>
      </c>
      <c r="AL581" s="22">
        <f t="shared" ca="1" si="152"/>
        <v>45085</v>
      </c>
    </row>
    <row r="582" spans="4:38" x14ac:dyDescent="0.25">
      <c r="D582" s="6">
        <f ca="1"/>
        <v>45258</v>
      </c>
      <c r="E582" s="28">
        <f ca="1"/>
        <v>151.82</v>
      </c>
      <c r="F582" s="29" cm="1">
        <f t="array" aca="1" ref="F582" ca="1">_xll.FDS($E$7,"P_BETA_LOCIDX("&amp;$AG582&amp;","&amp;$AL582&amp;",,"""&amp;$E$9&amp;""")")</f>
        <v>1.5796561</v>
      </c>
      <c r="G582" s="30">
        <f t="shared" ca="1" si="138"/>
        <v>-1.2263075387559313E-2</v>
      </c>
      <c r="H582" s="30">
        <f t="shared" ca="1" si="138"/>
        <v>2.7630563069608573E-2</v>
      </c>
      <c r="I582" s="30">
        <f t="shared" ca="1" si="138"/>
        <v>3.7771645456295577E-2</v>
      </c>
      <c r="J582" s="30">
        <f t="shared" ca="1" si="136"/>
        <v>-8.387070363139304E-2</v>
      </c>
      <c r="K582" s="30">
        <f t="shared" ca="1" si="139"/>
        <v>2.6088027195879477E-3</v>
      </c>
      <c r="L582" s="30">
        <f t="shared" ca="1" si="139"/>
        <v>5.1326156424386059E-2</v>
      </c>
      <c r="M582" s="30">
        <f t="shared" ca="1" si="139"/>
        <v>0.14711870028630963</v>
      </c>
      <c r="N582" s="30">
        <f t="shared" ca="1" si="137"/>
        <v>1.3684520387884917E-2</v>
      </c>
      <c r="O582" s="30">
        <f t="shared" ca="1" si="140"/>
        <v>-9.6542726679713642E-3</v>
      </c>
      <c r="P582" s="30">
        <f t="shared" ca="1" si="141"/>
        <v>7.8956719493994632E-2</v>
      </c>
      <c r="Q582" s="30">
        <f t="shared" ca="1" si="142"/>
        <v>0.18489034574260521</v>
      </c>
      <c r="R582" s="30">
        <f t="shared" ca="1" si="143"/>
        <v>-7.0186183243508116E-2</v>
      </c>
      <c r="S582" s="9" cm="1">
        <f t="array" aca="1" ref="S582" ca="1">_xll.BDH($E$6,"PX LAST",AG582)</f>
        <v>151.82</v>
      </c>
      <c r="T582" s="9" cm="1">
        <f t="array" aca="1" ref="T582" ca="1">_xll.BDH($E$6,"PX LAST",AH582)</f>
        <v>153.30000000000001</v>
      </c>
      <c r="U582" s="9" cm="1">
        <f t="array" aca="1" ref="U582" ca="1">_xll.BDH($E$6,"PX LAST",AI582)</f>
        <v>140.71</v>
      </c>
      <c r="V582" s="9" cm="1">
        <f t="array" aca="1" ref="V582" ca="1">_xll.BDH($E$6,"PX LAST",AJ582)</f>
        <v>128.13</v>
      </c>
      <c r="W582" s="9" cm="1">
        <f t="array" aca="1" ref="W582" ca="1">_xll.BDH($E$6,"PX LAST",AK582)</f>
        <v>163.28</v>
      </c>
      <c r="X582" s="24">
        <f t="shared" ca="1" si="144"/>
        <v>1.6515004244201936E-3</v>
      </c>
      <c r="Y582" s="24">
        <f t="shared" ca="1" si="145"/>
        <v>3.2491981276422166E-2</v>
      </c>
      <c r="Z582" s="24">
        <f t="shared" ca="1" si="146"/>
        <v>9.3133372691885041E-2</v>
      </c>
      <c r="AA582" s="24">
        <f t="shared" ca="1" si="147"/>
        <v>8.6629744207520343E-3</v>
      </c>
      <c r="AB582" s="9" cm="1">
        <f t="array" aca="1" ref="AB582" ca="1">_xll.BDH($E$8,"PX LAST",AG582)</f>
        <v>4554.8900000000003</v>
      </c>
      <c r="AC582" s="9" cm="1">
        <f t="array" aca="1" ref="AC582" ca="1">_xll.BDH($E$8,"PX LAST",AH582)</f>
        <v>4547.38</v>
      </c>
      <c r="AD582" s="9" cm="1">
        <f t="array" aca="1" ref="AD582" ca="1">_xll.BDH($E$8,"PX LAST",AI582)</f>
        <v>4411.55</v>
      </c>
      <c r="AE582" s="9" cm="1">
        <f t="array" aca="1" ref="AE582" ca="1">_xll.BDH($E$8,"PX LAST",AJ582)</f>
        <v>4166.82</v>
      </c>
      <c r="AF582" s="9" cm="1">
        <f t="array" aca="1" ref="AF582" ca="1">_xll.BDH($E$8,"PX LAST",AK582)</f>
        <v>4515.7700000000004</v>
      </c>
      <c r="AG582" s="20">
        <f t="shared" ca="1" si="153"/>
        <v>45258</v>
      </c>
      <c r="AH582" s="22">
        <f t="shared" ca="1" si="148"/>
        <v>45250</v>
      </c>
      <c r="AI582" s="22">
        <f t="shared" ca="1" si="149"/>
        <v>45243</v>
      </c>
      <c r="AJ582" s="22">
        <f t="shared" ca="1" si="150"/>
        <v>45229</v>
      </c>
      <c r="AK582" s="22">
        <f t="shared" ca="1" si="151"/>
        <v>45170</v>
      </c>
      <c r="AL582" s="22">
        <f t="shared" ca="1" si="152"/>
        <v>45084</v>
      </c>
    </row>
    <row r="583" spans="4:38" x14ac:dyDescent="0.25">
      <c r="D583" s="6">
        <f ca="1"/>
        <v>45257</v>
      </c>
      <c r="E583" s="28">
        <f ca="1"/>
        <v>154.66</v>
      </c>
      <c r="F583" s="29" cm="1">
        <f t="array" aca="1" ref="F583" ca="1">_xll.FDS($E$7,"P_BETA_LOCIDX("&amp;$AG583&amp;","&amp;$AL583&amp;",,"""&amp;$E$9&amp;""")")</f>
        <v>1.5810101000000001</v>
      </c>
      <c r="G583" s="30">
        <f t="shared" ca="1" si="138"/>
        <v>6.0210692497918109E-3</v>
      </c>
      <c r="H583" s="30">
        <f t="shared" ca="1" si="138"/>
        <v>4.7382548162950872E-2</v>
      </c>
      <c r="I583" s="30">
        <f t="shared" ca="1" si="138"/>
        <v>6.1171586084220353E-2</v>
      </c>
      <c r="J583" s="30">
        <f t="shared" ca="1" si="136"/>
        <v>-5.9424936720221221E-2</v>
      </c>
      <c r="K583" s="30">
        <f t="shared" ca="1" si="139"/>
        <v>1.2752397583750163E-2</v>
      </c>
      <c r="L583" s="30">
        <f t="shared" ca="1" si="139"/>
        <v>4.8408864618684405E-2</v>
      </c>
      <c r="M583" s="30">
        <f t="shared" ca="1" si="139"/>
        <v>0.16628873137609701</v>
      </c>
      <c r="N583" s="30">
        <f t="shared" ca="1" si="137"/>
        <v>1.5001087477094855E-2</v>
      </c>
      <c r="O583" s="30">
        <f t="shared" ca="1" si="140"/>
        <v>1.8773466833541974E-2</v>
      </c>
      <c r="P583" s="30">
        <f t="shared" ca="1" si="141"/>
        <v>9.5791412781635277E-2</v>
      </c>
      <c r="Q583" s="30">
        <f t="shared" ca="1" si="142"/>
        <v>0.22746031746031736</v>
      </c>
      <c r="R583" s="30">
        <f t="shared" ca="1" si="143"/>
        <v>-4.4423849243126368E-2</v>
      </c>
      <c r="S583" s="9" cm="1">
        <f t="array" aca="1" ref="S583" ca="1">_xll.BDH($E$6,"PX LAST",AG583)</f>
        <v>154.66</v>
      </c>
      <c r="T583" s="9" cm="1">
        <f t="array" aca="1" ref="T583" ca="1">_xll.BDH($E$6,"PX LAST",AH583)</f>
        <v>151.81</v>
      </c>
      <c r="U583" s="9" cm="1">
        <f t="array" aca="1" ref="U583" ca="1">_xll.BDH($E$6,"PX LAST",AI583)</f>
        <v>141.13999999999999</v>
      </c>
      <c r="V583" s="9" cm="1">
        <f t="array" aca="1" ref="V583" ca="1">_xll.BDH($E$6,"PX LAST",AJ583)</f>
        <v>126</v>
      </c>
      <c r="W583" s="9" cm="1">
        <f t="array" aca="1" ref="W583" ca="1">_xll.BDH($E$6,"PX LAST",AK583)</f>
        <v>161.85</v>
      </c>
      <c r="X583" s="24">
        <f t="shared" ca="1" si="144"/>
        <v>8.0659810988874536E-3</v>
      </c>
      <c r="Y583" s="24">
        <f t="shared" ca="1" si="145"/>
        <v>3.0618947101403338E-2</v>
      </c>
      <c r="Z583" s="24">
        <f t="shared" ca="1" si="146"/>
        <v>0.10517879131581576</v>
      </c>
      <c r="AA583" s="24">
        <f t="shared" ca="1" si="147"/>
        <v>9.4882932608051362E-3</v>
      </c>
      <c r="AB583" s="9" cm="1">
        <f t="array" aca="1" ref="AB583" ca="1">_xll.BDH($E$8,"PX LAST",AG583)</f>
        <v>4550.43</v>
      </c>
      <c r="AC583" s="9" cm="1">
        <f t="array" aca="1" ref="AC583" ca="1">_xll.BDH($E$8,"PX LAST",AH583)</f>
        <v>4514.0200000000004</v>
      </c>
      <c r="AD583" s="9" cm="1">
        <f t="array" aca="1" ref="AD583" ca="1">_xll.BDH($E$8,"PX LAST",AI583)</f>
        <v>4415.24</v>
      </c>
      <c r="AE583" s="9" cm="1">
        <f t="array" aca="1" ref="AE583" ca="1">_xll.BDH($E$8,"PX LAST",AJ583)</f>
        <v>4117.37</v>
      </c>
      <c r="AF583" s="9" cm="1">
        <f t="array" aca="1" ref="AF583" ca="1">_xll.BDH($E$8,"PX LAST",AK583)</f>
        <v>4507.66</v>
      </c>
      <c r="AG583" s="20">
        <f t="shared" ca="1" si="153"/>
        <v>45257</v>
      </c>
      <c r="AH583" s="22">
        <f t="shared" ca="1" si="148"/>
        <v>45247</v>
      </c>
      <c r="AI583" s="22">
        <f t="shared" ca="1" si="149"/>
        <v>45240</v>
      </c>
      <c r="AJ583" s="22">
        <f t="shared" ca="1" si="150"/>
        <v>45226</v>
      </c>
      <c r="AK583" s="22">
        <f t="shared" ca="1" si="151"/>
        <v>45169</v>
      </c>
      <c r="AL583" s="22">
        <f t="shared" ca="1" si="152"/>
        <v>45083</v>
      </c>
    </row>
    <row r="584" spans="4:38" x14ac:dyDescent="0.25">
      <c r="D584" s="6">
        <f ca="1"/>
        <v>45254</v>
      </c>
      <c r="E584" s="28">
        <f ca="1"/>
        <v>154.35</v>
      </c>
      <c r="F584" s="29" cm="1">
        <f t="array" aca="1" ref="F584" ca="1">_xll.FDS($E$7,"P_BETA_LOCIDX("&amp;$AG584&amp;","&amp;$AL584&amp;",,"""&amp;$E$9&amp;""")")</f>
        <v>1.5760828</v>
      </c>
      <c r="G584" s="30">
        <f t="shared" ca="1" si="138"/>
        <v>3.2635654450929225E-2</v>
      </c>
      <c r="H584" s="30">
        <f t="shared" ca="1" si="138"/>
        <v>4.7407922100359615E-2</v>
      </c>
      <c r="I584" s="30">
        <f t="shared" ca="1" si="138"/>
        <v>5.8294699684293849E-2</v>
      </c>
      <c r="J584" s="30">
        <f t="shared" ca="1" si="136"/>
        <v>-6.415555940126498E-2</v>
      </c>
      <c r="K584" s="30">
        <f t="shared" ca="1" si="139"/>
        <v>1.786458375774155E-2</v>
      </c>
      <c r="L584" s="30">
        <f t="shared" ca="1" si="139"/>
        <v>7.6854587914936476E-2</v>
      </c>
      <c r="M584" s="30">
        <f t="shared" ca="1" si="139"/>
        <v>0.16080331784986607</v>
      </c>
      <c r="N584" s="30">
        <f t="shared" ca="1" si="137"/>
        <v>1.5523902596531176E-2</v>
      </c>
      <c r="O584" s="30">
        <f t="shared" ca="1" si="140"/>
        <v>5.0500238208670778E-2</v>
      </c>
      <c r="P584" s="30">
        <f t="shared" ca="1" si="141"/>
        <v>0.12426251001529609</v>
      </c>
      <c r="Q584" s="30">
        <f t="shared" ca="1" si="142"/>
        <v>0.21909801753415992</v>
      </c>
      <c r="R584" s="30">
        <f t="shared" ca="1" si="143"/>
        <v>-4.8631656804733803E-2</v>
      </c>
      <c r="S584" s="9" cm="1">
        <f t="array" aca="1" ref="S584" ca="1">_xll.BDH($E$6,"PX LAST",AG584)</f>
        <v>154.35</v>
      </c>
      <c r="T584" s="9" cm="1">
        <f t="array" aca="1" ref="T584" ca="1">_xll.BDH($E$6,"PX LAST",AH584)</f>
        <v>146.93</v>
      </c>
      <c r="U584" s="9" cm="1">
        <f t="array" aca="1" ref="U584" ca="1">_xll.BDH($E$6,"PX LAST",AI584)</f>
        <v>137.29</v>
      </c>
      <c r="V584" s="9" cm="1">
        <f t="array" aca="1" ref="V584" ca="1">_xll.BDH($E$6,"PX LAST",AJ584)</f>
        <v>126.61</v>
      </c>
      <c r="W584" s="9" cm="1">
        <f t="array" aca="1" ref="W584" ca="1">_xll.BDH($E$6,"PX LAST",AK584)</f>
        <v>162.24</v>
      </c>
      <c r="X584" s="24">
        <f t="shared" ca="1" si="144"/>
        <v>1.133480027682654E-2</v>
      </c>
      <c r="Y584" s="24">
        <f t="shared" ca="1" si="145"/>
        <v>4.87630395528309E-2</v>
      </c>
      <c r="Z584" s="24">
        <f t="shared" ca="1" si="146"/>
        <v>0.10202720177510094</v>
      </c>
      <c r="AA584" s="24">
        <f t="shared" ca="1" si="147"/>
        <v>9.8496745199752045E-3</v>
      </c>
      <c r="AB584" s="9" cm="1">
        <f t="array" aca="1" ref="AB584" ca="1">_xll.BDH($E$8,"PX LAST",AG584)</f>
        <v>4559.34</v>
      </c>
      <c r="AC584" s="9" cm="1">
        <f t="array" aca="1" ref="AC584" ca="1">_xll.BDH($E$8,"PX LAST",AH584)</f>
        <v>4508.24</v>
      </c>
      <c r="AD584" s="9" cm="1">
        <f t="array" aca="1" ref="AD584" ca="1">_xll.BDH($E$8,"PX LAST",AI584)</f>
        <v>4347.3500000000004</v>
      </c>
      <c r="AE584" s="9" cm="1">
        <f t="array" aca="1" ref="AE584" ca="1">_xll.BDH($E$8,"PX LAST",AJ584)</f>
        <v>4137.2299999999996</v>
      </c>
      <c r="AF584" s="9" cm="1">
        <f t="array" aca="1" ref="AF584" ca="1">_xll.BDH($E$8,"PX LAST",AK584)</f>
        <v>4514.87</v>
      </c>
      <c r="AG584" s="20">
        <f t="shared" ca="1" si="153"/>
        <v>45254</v>
      </c>
      <c r="AH584" s="22">
        <f t="shared" ca="1" si="148"/>
        <v>45246</v>
      </c>
      <c r="AI584" s="22">
        <f t="shared" ca="1" si="149"/>
        <v>45239</v>
      </c>
      <c r="AJ584" s="22">
        <f t="shared" ca="1" si="150"/>
        <v>45225</v>
      </c>
      <c r="AK584" s="22">
        <f t="shared" ca="1" si="151"/>
        <v>45168</v>
      </c>
      <c r="AL584" s="22">
        <f t="shared" ca="1" si="152"/>
        <v>45082</v>
      </c>
    </row>
    <row r="585" spans="4:38" x14ac:dyDescent="0.25">
      <c r="D585" s="6">
        <f ca="1"/>
        <v>45252</v>
      </c>
      <c r="E585" s="28">
        <f ca="1"/>
        <v>152.65</v>
      </c>
      <c r="F585" s="29" cm="1">
        <f t="array" aca="1" ref="F585" ca="1">_xll.FDS($E$7,"P_BETA_LOCIDX("&amp;$AG585&amp;","&amp;$AL585&amp;",,"""&amp;$E$9&amp;""")")</f>
        <v>1.6762348</v>
      </c>
      <c r="G585" s="30">
        <f t="shared" ca="1" si="138"/>
        <v>1.5612202534408405E-2</v>
      </c>
      <c r="H585" s="30">
        <f t="shared" ca="1" si="138"/>
        <v>5.0682485811880812E-2</v>
      </c>
      <c r="I585" s="30">
        <f t="shared" ca="1" si="138"/>
        <v>8.6358248944935767E-2</v>
      </c>
      <c r="J585" s="30">
        <f t="shared" ca="1" si="136"/>
        <v>-7.6256884969035293E-2</v>
      </c>
      <c r="K585" s="30">
        <f t="shared" ca="1" si="139"/>
        <v>2.0005165172511628E-2</v>
      </c>
      <c r="L585" s="30">
        <f t="shared" ca="1" si="139"/>
        <v>6.6486717935192036E-2</v>
      </c>
      <c r="M585" s="30">
        <f t="shared" ca="1" si="139"/>
        <v>0.14807487413447568</v>
      </c>
      <c r="N585" s="30">
        <f t="shared" ca="1" si="137"/>
        <v>2.1985154592974378E-2</v>
      </c>
      <c r="O585" s="30">
        <f t="shared" ca="1" si="140"/>
        <v>3.5617367706920033E-2</v>
      </c>
      <c r="P585" s="30">
        <f t="shared" ca="1" si="141"/>
        <v>0.11716920374707285</v>
      </c>
      <c r="Q585" s="30">
        <f t="shared" ca="1" si="142"/>
        <v>0.23443312307941144</v>
      </c>
      <c r="R585" s="30">
        <f t="shared" ca="1" si="143"/>
        <v>-5.4271730376060923E-2</v>
      </c>
      <c r="S585" s="9" cm="1">
        <f t="array" aca="1" ref="S585" ca="1">_xll.BDH($E$6,"PX LAST",AG585)</f>
        <v>152.65</v>
      </c>
      <c r="T585" s="9" cm="1">
        <f t="array" aca="1" ref="T585" ca="1">_xll.BDH($E$6,"PX LAST",AH585)</f>
        <v>147.4</v>
      </c>
      <c r="U585" s="9" cm="1">
        <f t="array" aca="1" ref="U585" ca="1">_xll.BDH($E$6,"PX LAST",AI585)</f>
        <v>136.63999999999999</v>
      </c>
      <c r="V585" s="9" cm="1">
        <f t="array" aca="1" ref="V585" ca="1">_xll.BDH($E$6,"PX LAST",AJ585)</f>
        <v>123.66</v>
      </c>
      <c r="W585" s="9" cm="1">
        <f t="array" aca="1" ref="W585" ca="1">_xll.BDH($E$6,"PX LAST",AK585)</f>
        <v>161.41</v>
      </c>
      <c r="X585" s="24">
        <f t="shared" ca="1" si="144"/>
        <v>1.1934584088405531E-2</v>
      </c>
      <c r="Y585" s="24">
        <f t="shared" ca="1" si="145"/>
        <v>3.966432264453168E-2</v>
      </c>
      <c r="Z585" s="24">
        <f t="shared" ca="1" si="146"/>
        <v>8.8337787841223481E-2</v>
      </c>
      <c r="AA585" s="24">
        <f t="shared" ca="1" si="147"/>
        <v>1.3115796541734115E-2</v>
      </c>
      <c r="AB585" s="9" cm="1">
        <f t="array" aca="1" ref="AB585" ca="1">_xll.BDH($E$8,"PX LAST",AG585)</f>
        <v>4556.62</v>
      </c>
      <c r="AC585" s="9" cm="1">
        <f t="array" aca="1" ref="AC585" ca="1">_xll.BDH($E$8,"PX LAST",AH585)</f>
        <v>4502.88</v>
      </c>
      <c r="AD585" s="9" cm="1">
        <f t="array" aca="1" ref="AD585" ca="1">_xll.BDH($E$8,"PX LAST",AI585)</f>
        <v>4382.78</v>
      </c>
      <c r="AE585" s="9" cm="1">
        <f t="array" aca="1" ref="AE585" ca="1">_xll.BDH($E$8,"PX LAST",AJ585)</f>
        <v>4186.7700000000004</v>
      </c>
      <c r="AF585" s="9" cm="1">
        <f t="array" aca="1" ref="AF585" ca="1">_xll.BDH($E$8,"PX LAST",AK585)</f>
        <v>4497.63</v>
      </c>
      <c r="AG585" s="20">
        <f t="shared" ca="1" si="153"/>
        <v>45252</v>
      </c>
      <c r="AH585" s="22">
        <f t="shared" ca="1" si="148"/>
        <v>45245</v>
      </c>
      <c r="AI585" s="22">
        <f t="shared" ca="1" si="149"/>
        <v>45238</v>
      </c>
      <c r="AJ585" s="22">
        <f t="shared" ca="1" si="150"/>
        <v>45224</v>
      </c>
      <c r="AK585" s="22">
        <f t="shared" ca="1" si="151"/>
        <v>45167</v>
      </c>
      <c r="AL585" s="22">
        <f t="shared" ca="1" si="152"/>
        <v>45079</v>
      </c>
    </row>
    <row r="586" spans="4:38" x14ac:dyDescent="0.25">
      <c r="D586" s="6">
        <f ca="1"/>
        <v>45251</v>
      </c>
      <c r="E586" s="28">
        <f ca="1"/>
        <v>152.02000000000001</v>
      </c>
      <c r="F586" s="29" cm="1">
        <f t="array" aca="1" ref="F586" ca="1">_xll.FDS($E$7,"P_BETA_LOCIDX("&amp;$AG586&amp;","&amp;$AL586&amp;",,"""&amp;$E$9&amp;""")")</f>
        <v>1.6451374999999999</v>
      </c>
      <c r="G586" s="30">
        <f t="shared" ca="1" si="138"/>
        <v>6.9845156367941592E-3</v>
      </c>
      <c r="H586" s="30">
        <f t="shared" ca="1" si="138"/>
        <v>4.0191644361048898E-2</v>
      </c>
      <c r="I586" s="30">
        <f t="shared" ca="1" si="138"/>
        <v>9.4375798751185111E-2</v>
      </c>
      <c r="J586" s="30">
        <f t="shared" ca="1" si="136"/>
        <v>-8.3119394823083365E-2</v>
      </c>
      <c r="K586" s="30">
        <f t="shared" ca="1" si="139"/>
        <v>1.5548611423137442E-2</v>
      </c>
      <c r="L586" s="30">
        <f t="shared" ca="1" si="139"/>
        <v>6.0047191855206503E-2</v>
      </c>
      <c r="M586" s="30">
        <f t="shared" ca="1" si="139"/>
        <v>0.11251527778104738</v>
      </c>
      <c r="N586" s="30">
        <f t="shared" ca="1" si="137"/>
        <v>3.8919457696393676E-2</v>
      </c>
      <c r="O586" s="30">
        <f t="shared" ca="1" si="140"/>
        <v>2.2533127059931601E-2</v>
      </c>
      <c r="P586" s="30">
        <f t="shared" ca="1" si="141"/>
        <v>0.1002388362162554</v>
      </c>
      <c r="Q586" s="30">
        <f t="shared" ca="1" si="142"/>
        <v>0.20689107653223249</v>
      </c>
      <c r="R586" s="30">
        <f t="shared" ca="1" si="143"/>
        <v>-4.4199937126689681E-2</v>
      </c>
      <c r="S586" s="9" cm="1">
        <f t="array" aca="1" ref="S586" ca="1">_xll.BDH($E$6,"PX LAST",AG586)</f>
        <v>152.02000000000001</v>
      </c>
      <c r="T586" s="9" cm="1">
        <f t="array" aca="1" ref="T586" ca="1">_xll.BDH($E$6,"PX LAST",AH586)</f>
        <v>148.66999999999999</v>
      </c>
      <c r="U586" s="9" cm="1">
        <f t="array" aca="1" ref="U586" ca="1">_xll.BDH($E$6,"PX LAST",AI586)</f>
        <v>138.16999999999999</v>
      </c>
      <c r="V586" s="9" cm="1">
        <f t="array" aca="1" ref="V586" ca="1">_xll.BDH($E$6,"PX LAST",AJ586)</f>
        <v>125.96</v>
      </c>
      <c r="W586" s="9" cm="1">
        <f t="array" aca="1" ref="W586" ca="1">_xll.BDH($E$6,"PX LAST",AK586)</f>
        <v>159.05000000000001</v>
      </c>
      <c r="X586" s="24">
        <f t="shared" ca="1" si="144"/>
        <v>9.4512534199344689E-3</v>
      </c>
      <c r="Y586" s="24">
        <f t="shared" ca="1" si="145"/>
        <v>3.649980129636976E-2</v>
      </c>
      <c r="Z586" s="24">
        <f t="shared" ca="1" si="146"/>
        <v>6.8392628446587223E-2</v>
      </c>
      <c r="AA586" s="24">
        <f t="shared" ca="1" si="147"/>
        <v>2.3657267369076251E-2</v>
      </c>
      <c r="AB586" s="9" cm="1">
        <f t="array" aca="1" ref="AB586" ca="1">_xll.BDH($E$8,"PX LAST",AG586)</f>
        <v>4538.1899999999996</v>
      </c>
      <c r="AC586" s="9" cm="1">
        <f t="array" aca="1" ref="AC586" ca="1">_xll.BDH($E$8,"PX LAST",AH586)</f>
        <v>4495.7</v>
      </c>
      <c r="AD586" s="9" cm="1">
        <f t="array" aca="1" ref="AD586" ca="1">_xll.BDH($E$8,"PX LAST",AI586)</f>
        <v>4378.38</v>
      </c>
      <c r="AE586" s="9" cm="1">
        <f t="array" aca="1" ref="AE586" ca="1">_xll.BDH($E$8,"PX LAST",AJ586)</f>
        <v>4247.68</v>
      </c>
      <c r="AF586" s="9" cm="1">
        <f t="array" aca="1" ref="AF586" ca="1">_xll.BDH($E$8,"PX LAST",AK586)</f>
        <v>4433.3100000000004</v>
      </c>
      <c r="AG586" s="20">
        <f t="shared" ca="1" si="153"/>
        <v>45251</v>
      </c>
      <c r="AH586" s="22">
        <f t="shared" ca="1" si="148"/>
        <v>45244</v>
      </c>
      <c r="AI586" s="22">
        <f t="shared" ca="1" si="149"/>
        <v>45237</v>
      </c>
      <c r="AJ586" s="22">
        <f t="shared" ca="1" si="150"/>
        <v>45223</v>
      </c>
      <c r="AK586" s="22">
        <f t="shared" ca="1" si="151"/>
        <v>45166</v>
      </c>
      <c r="AL586" s="22">
        <f t="shared" ca="1" si="152"/>
        <v>45078</v>
      </c>
    </row>
    <row r="587" spans="4:38" x14ac:dyDescent="0.25">
      <c r="D587" s="6">
        <f ca="1"/>
        <v>45250</v>
      </c>
      <c r="E587" s="28">
        <f ca="1"/>
        <v>153.30000000000001</v>
      </c>
      <c r="F587" s="29" cm="1">
        <f t="array" aca="1" ref="F587" ca="1">_xll.FDS($E$7,"P_BETA_LOCIDX("&amp;$AG587&amp;","&amp;$AL587&amp;",,"""&amp;$E$9&amp;""")")</f>
        <v>1.6785958000000001</v>
      </c>
      <c r="G587" s="30">
        <f t="shared" ca="1" si="138"/>
        <v>3.7791459779906902E-2</v>
      </c>
      <c r="H587" s="30">
        <f t="shared" ca="1" si="138"/>
        <v>2.8237063715941549E-2</v>
      </c>
      <c r="I587" s="30">
        <f t="shared" ca="1" si="138"/>
        <v>8.6334427232866384E-2</v>
      </c>
      <c r="J587" s="30">
        <f t="shared" ca="1" si="136"/>
        <v>-6.8631762398911861E-2</v>
      </c>
      <c r="K587" s="30">
        <f t="shared" ca="1" si="139"/>
        <v>5.1683346559372498E-2</v>
      </c>
      <c r="L587" s="30">
        <f t="shared" ca="1" si="139"/>
        <v>6.9743168342502868E-2</v>
      </c>
      <c r="M587" s="30">
        <f t="shared" ca="1" si="139"/>
        <v>0.13149207419706704</v>
      </c>
      <c r="N587" s="30">
        <f t="shared" ca="1" si="137"/>
        <v>5.397692244519034E-2</v>
      </c>
      <c r="O587" s="30">
        <f t="shared" ca="1" si="140"/>
        <v>8.94748063392794E-2</v>
      </c>
      <c r="P587" s="30">
        <f t="shared" ca="1" si="141"/>
        <v>9.7980232058444416E-2</v>
      </c>
      <c r="Q587" s="30">
        <f t="shared" ca="1" si="142"/>
        <v>0.21782650142993343</v>
      </c>
      <c r="R587" s="30">
        <f t="shared" ca="1" si="143"/>
        <v>-1.4654839953721521E-2</v>
      </c>
      <c r="S587" s="9" cm="1">
        <f t="array" aca="1" ref="S587" ca="1">_xll.BDH($E$6,"PX LAST",AG587)</f>
        <v>153.30000000000001</v>
      </c>
      <c r="T587" s="9" cm="1">
        <f t="array" aca="1" ref="T587" ca="1">_xll.BDH($E$6,"PX LAST",AH587)</f>
        <v>140.71</v>
      </c>
      <c r="U587" s="9" cm="1">
        <f t="array" aca="1" ref="U587" ca="1">_xll.BDH($E$6,"PX LAST",AI587)</f>
        <v>139.62</v>
      </c>
      <c r="V587" s="9" cm="1">
        <f t="array" aca="1" ref="V587" ca="1">_xll.BDH($E$6,"PX LAST",AJ587)</f>
        <v>125.88</v>
      </c>
      <c r="W587" s="9" cm="1">
        <f t="array" aca="1" ref="W587" ca="1">_xll.BDH($E$6,"PX LAST",AK587)</f>
        <v>155.58000000000001</v>
      </c>
      <c r="X587" s="24">
        <f t="shared" ca="1" si="144"/>
        <v>3.0789631762079051E-2</v>
      </c>
      <c r="Y587" s="24">
        <f t="shared" ca="1" si="145"/>
        <v>4.1548518316620875E-2</v>
      </c>
      <c r="Z587" s="24">
        <f t="shared" ca="1" si="146"/>
        <v>7.8334566425739327E-2</v>
      </c>
      <c r="AA587" s="24">
        <f t="shared" ca="1" si="147"/>
        <v>3.215599755771481E-2</v>
      </c>
      <c r="AB587" s="9" cm="1">
        <f t="array" aca="1" ref="AB587" ca="1">_xll.BDH($E$8,"PX LAST",AG587)</f>
        <v>4547.38</v>
      </c>
      <c r="AC587" s="9" cm="1">
        <f t="array" aca="1" ref="AC587" ca="1">_xll.BDH($E$8,"PX LAST",AH587)</f>
        <v>4411.55</v>
      </c>
      <c r="AD587" s="9" cm="1">
        <f t="array" aca="1" ref="AD587" ca="1">_xll.BDH($E$8,"PX LAST",AI587)</f>
        <v>4365.9799999999996</v>
      </c>
      <c r="AE587" s="9" cm="1">
        <f t="array" aca="1" ref="AE587" ca="1">_xll.BDH($E$8,"PX LAST",AJ587)</f>
        <v>4217.04</v>
      </c>
      <c r="AF587" s="9" cm="1">
        <f t="array" aca="1" ref="AF587" ca="1">_xll.BDH($E$8,"PX LAST",AK587)</f>
        <v>4405.71</v>
      </c>
      <c r="AG587" s="20">
        <f t="shared" ca="1" si="153"/>
        <v>45250</v>
      </c>
      <c r="AH587" s="22">
        <f t="shared" ca="1" si="148"/>
        <v>45243</v>
      </c>
      <c r="AI587" s="22">
        <f t="shared" ca="1" si="149"/>
        <v>45236</v>
      </c>
      <c r="AJ587" s="22">
        <f t="shared" ca="1" si="150"/>
        <v>45222</v>
      </c>
      <c r="AK587" s="22">
        <f t="shared" ca="1" si="151"/>
        <v>45163</v>
      </c>
      <c r="AL587" s="22">
        <f t="shared" ca="1" si="152"/>
        <v>45077</v>
      </c>
    </row>
    <row r="588" spans="4:38" x14ac:dyDescent="0.25">
      <c r="D588" s="6">
        <f ca="1"/>
        <v>45247</v>
      </c>
      <c r="E588" s="28">
        <f ca="1"/>
        <v>151.81</v>
      </c>
      <c r="F588" s="29" cm="1">
        <f t="array" aca="1" ref="F588" ca="1">_xll.FDS($E$7,"P_BETA_LOCIDX("&amp;$AG588&amp;","&amp;$AL588&amp;",,"""&amp;$E$9&amp;""")")</f>
        <v>1.6820108</v>
      </c>
      <c r="G588" s="30">
        <f t="shared" ca="1" si="138"/>
        <v>3.7967893287694988E-2</v>
      </c>
      <c r="H588" s="30">
        <f t="shared" ca="1" si="138"/>
        <v>3.0137755787754544E-3</v>
      </c>
      <c r="I588" s="30">
        <f t="shared" ca="1" si="138"/>
        <v>9.3548269194058148E-2</v>
      </c>
      <c r="J588" s="30">
        <f t="shared" ca="1" si="136"/>
        <v>-7.6281147183808448E-2</v>
      </c>
      <c r="K588" s="30">
        <f t="shared" ca="1" si="139"/>
        <v>3.7630803042190374E-2</v>
      </c>
      <c r="L588" s="30">
        <f t="shared" ca="1" si="139"/>
        <v>6.0081462516462639E-2</v>
      </c>
      <c r="M588" s="30">
        <f t="shared" ca="1" si="139"/>
        <v>0.11541884078444006</v>
      </c>
      <c r="N588" s="30">
        <f t="shared" ca="1" si="137"/>
        <v>5.2928084908975756E-2</v>
      </c>
      <c r="O588" s="30">
        <f t="shared" ca="1" si="140"/>
        <v>7.5598696329885362E-2</v>
      </c>
      <c r="P588" s="30">
        <f t="shared" ca="1" si="141"/>
        <v>6.3095238095238093E-2</v>
      </c>
      <c r="Q588" s="30">
        <f t="shared" ca="1" si="142"/>
        <v>0.20896710997849821</v>
      </c>
      <c r="R588" s="30">
        <f t="shared" ca="1" si="143"/>
        <v>-2.3353062274832692E-2</v>
      </c>
      <c r="S588" s="9" cm="1">
        <f t="array" aca="1" ref="S588" ca="1">_xll.BDH($E$6,"PX LAST",AG588)</f>
        <v>151.81</v>
      </c>
      <c r="T588" s="9" cm="1">
        <f t="array" aca="1" ref="T588" ca="1">_xll.BDH($E$6,"PX LAST",AH588)</f>
        <v>141.13999999999999</v>
      </c>
      <c r="U588" s="9" cm="1">
        <f t="array" aca="1" ref="U588" ca="1">_xll.BDH($E$6,"PX LAST",AI588)</f>
        <v>142.80000000000001</v>
      </c>
      <c r="V588" s="9" cm="1">
        <f t="array" aca="1" ref="V588" ca="1">_xll.BDH($E$6,"PX LAST",AJ588)</f>
        <v>125.57</v>
      </c>
      <c r="W588" s="9" cm="1">
        <f t="array" aca="1" ref="W588" ca="1">_xll.BDH($E$6,"PX LAST",AK588)</f>
        <v>155.44</v>
      </c>
      <c r="X588" s="24">
        <f t="shared" ca="1" si="144"/>
        <v>2.2372509761643844E-2</v>
      </c>
      <c r="Y588" s="24">
        <f t="shared" ca="1" si="145"/>
        <v>3.5720021843178795E-2</v>
      </c>
      <c r="Z588" s="24">
        <f t="shared" ca="1" si="146"/>
        <v>6.8619559865156665E-2</v>
      </c>
      <c r="AA588" s="24">
        <f t="shared" ca="1" si="147"/>
        <v>3.1467149265020034E-2</v>
      </c>
      <c r="AB588" s="9" cm="1">
        <f t="array" aca="1" ref="AB588" ca="1">_xll.BDH($E$8,"PX LAST",AG588)</f>
        <v>4514.0200000000004</v>
      </c>
      <c r="AC588" s="9" cm="1">
        <f t="array" aca="1" ref="AC588" ca="1">_xll.BDH($E$8,"PX LAST",AH588)</f>
        <v>4415.24</v>
      </c>
      <c r="AD588" s="9" cm="1">
        <f t="array" aca="1" ref="AD588" ca="1">_xll.BDH($E$8,"PX LAST",AI588)</f>
        <v>4358.34</v>
      </c>
      <c r="AE588" s="9" cm="1">
        <f t="array" aca="1" ref="AE588" ca="1">_xll.BDH($E$8,"PX LAST",AJ588)</f>
        <v>4224.16</v>
      </c>
      <c r="AF588" s="9" cm="1">
        <f t="array" aca="1" ref="AF588" ca="1">_xll.BDH($E$8,"PX LAST",AK588)</f>
        <v>4376.3100000000004</v>
      </c>
      <c r="AG588" s="20">
        <f t="shared" ca="1" si="153"/>
        <v>45247</v>
      </c>
      <c r="AH588" s="22">
        <f t="shared" ca="1" si="148"/>
        <v>45240</v>
      </c>
      <c r="AI588" s="22">
        <f t="shared" ca="1" si="149"/>
        <v>45233</v>
      </c>
      <c r="AJ588" s="22">
        <f t="shared" ca="1" si="150"/>
        <v>45219</v>
      </c>
      <c r="AK588" s="22">
        <f t="shared" ca="1" si="151"/>
        <v>45162</v>
      </c>
      <c r="AL588" s="22">
        <f t="shared" ca="1" si="152"/>
        <v>45076</v>
      </c>
    </row>
    <row r="589" spans="4:38" x14ac:dyDescent="0.25">
      <c r="D589" s="6">
        <f ca="1"/>
        <v>45246</v>
      </c>
      <c r="E589" s="28">
        <f ca="1"/>
        <v>146.93</v>
      </c>
      <c r="F589" s="29" cm="1">
        <f t="array" aca="1" ref="F589" ca="1">_xll.FDS($E$7,"P_BETA_LOCIDX("&amp;$AG589&amp;","&amp;$AL589&amp;",,"""&amp;$E$9&amp;""")")</f>
        <v>1.8045517</v>
      </c>
      <c r="G589" s="30">
        <f t="shared" ca="1" si="138"/>
        <v>3.4321232318392098E-3</v>
      </c>
      <c r="H589" s="30">
        <f t="shared" ca="1" si="138"/>
        <v>1.0061020072223981E-3</v>
      </c>
      <c r="I589" s="30">
        <f t="shared" ca="1" si="138"/>
        <v>2.7315455408454245E-2</v>
      </c>
      <c r="J589" s="30">
        <f t="shared" ca="1" si="136"/>
        <v>-8.722193543733528E-2</v>
      </c>
      <c r="K589" s="30">
        <f t="shared" ca="1" si="139"/>
        <v>6.6784207163674017E-2</v>
      </c>
      <c r="L589" s="30">
        <f t="shared" ca="1" si="139"/>
        <v>7.9599914025726082E-2</v>
      </c>
      <c r="M589" s="30">
        <f t="shared" ca="1" si="139"/>
        <v>9.7120145724170173E-2</v>
      </c>
      <c r="N589" s="30">
        <f t="shared" ca="1" si="137"/>
        <v>2.9382884459457824E-2</v>
      </c>
      <c r="O589" s="30">
        <f t="shared" ca="1" si="140"/>
        <v>7.0216330395513227E-2</v>
      </c>
      <c r="P589" s="30">
        <f t="shared" ca="1" si="141"/>
        <v>8.060601603294848E-2</v>
      </c>
      <c r="Q589" s="30">
        <f t="shared" ca="1" si="142"/>
        <v>0.12443560113262442</v>
      </c>
      <c r="R589" s="30">
        <f t="shared" ca="1" si="143"/>
        <v>-5.7839050977877449E-2</v>
      </c>
      <c r="S589" s="9" cm="1">
        <f t="array" aca="1" ref="S589" ca="1">_xll.BDH($E$6,"PX LAST",AG589)</f>
        <v>146.93</v>
      </c>
      <c r="T589" s="9" cm="1">
        <f t="array" aca="1" ref="T589" ca="1">_xll.BDH($E$6,"PX LAST",AH589)</f>
        <v>137.29</v>
      </c>
      <c r="U589" s="9" cm="1">
        <f t="array" aca="1" ref="U589" ca="1">_xll.BDH($E$6,"PX LAST",AI589)</f>
        <v>135.97</v>
      </c>
      <c r="V589" s="9" cm="1">
        <f t="array" aca="1" ref="V589" ca="1">_xll.BDH($E$6,"PX LAST",AJ589)</f>
        <v>130.66999999999999</v>
      </c>
      <c r="W589" s="9" cm="1">
        <f t="array" aca="1" ref="W589" ca="1">_xll.BDH($E$6,"PX LAST",AK589)</f>
        <v>155.94999999999999</v>
      </c>
      <c r="X589" s="24">
        <f t="shared" ca="1" si="144"/>
        <v>3.7008752458393968E-2</v>
      </c>
      <c r="Y589" s="24">
        <f t="shared" ca="1" si="145"/>
        <v>4.4110630926077699E-2</v>
      </c>
      <c r="Z589" s="24">
        <f t="shared" ca="1" si="146"/>
        <v>5.3819541841982232E-2</v>
      </c>
      <c r="AA589" s="24">
        <f t="shared" ca="1" si="147"/>
        <v>1.628265039979615E-2</v>
      </c>
      <c r="AB589" s="9" cm="1">
        <f t="array" aca="1" ref="AB589" ca="1">_xll.BDH($E$8,"PX LAST",AG589)</f>
        <v>4508.24</v>
      </c>
      <c r="AC589" s="9" cm="1">
        <f t="array" aca="1" ref="AC589" ca="1">_xll.BDH($E$8,"PX LAST",AH589)</f>
        <v>4347.3500000000004</v>
      </c>
      <c r="AD589" s="9" cm="1">
        <f t="array" aca="1" ref="AD589" ca="1">_xll.BDH($E$8,"PX LAST",AI589)</f>
        <v>4317.78</v>
      </c>
      <c r="AE589" s="9" cm="1">
        <f t="array" aca="1" ref="AE589" ca="1">_xll.BDH($E$8,"PX LAST",AJ589)</f>
        <v>4278</v>
      </c>
      <c r="AF589" s="9" cm="1">
        <f t="array" aca="1" ref="AF589" ca="1">_xll.BDH($E$8,"PX LAST",AK589)</f>
        <v>4436.01</v>
      </c>
      <c r="AG589" s="20">
        <f t="shared" ca="1" si="153"/>
        <v>45246</v>
      </c>
      <c r="AH589" s="22">
        <f t="shared" ca="1" si="148"/>
        <v>45239</v>
      </c>
      <c r="AI589" s="22">
        <f t="shared" ca="1" si="149"/>
        <v>45232</v>
      </c>
      <c r="AJ589" s="22">
        <f t="shared" ca="1" si="150"/>
        <v>45218</v>
      </c>
      <c r="AK589" s="22">
        <f t="shared" ca="1" si="151"/>
        <v>45161</v>
      </c>
      <c r="AL589" s="22">
        <f t="shared" ca="1" si="152"/>
        <v>45072</v>
      </c>
    </row>
    <row r="590" spans="4:38" x14ac:dyDescent="0.25">
      <c r="D590" s="6">
        <f ca="1"/>
        <v>45245</v>
      </c>
      <c r="E590" s="28">
        <f ca="1"/>
        <v>147.4</v>
      </c>
      <c r="F590" s="29" cm="1">
        <f t="array" aca="1" ref="F590" ca="1">_xll.FDS($E$7,"P_BETA_LOCIDX("&amp;$AG590&amp;","&amp;$AL590&amp;",,"""&amp;$E$9&amp;""")")</f>
        <v>1.8387979000000001</v>
      </c>
      <c r="G590" s="30">
        <f t="shared" ca="1" si="138"/>
        <v>2.8359047695247011E-2</v>
      </c>
      <c r="H590" s="30">
        <f t="shared" ca="1" si="138"/>
        <v>9.5125390932249143E-3</v>
      </c>
      <c r="I590" s="30">
        <f t="shared" ca="1" si="138"/>
        <v>2.9698515673608025E-2</v>
      </c>
      <c r="J590" s="30">
        <f t="shared" ca="1" si="136"/>
        <v>-8.493547131462377E-2</v>
      </c>
      <c r="K590" s="30">
        <f t="shared" ca="1" si="139"/>
        <v>5.0388024904284831E-2</v>
      </c>
      <c r="L590" s="30">
        <f t="shared" ca="1" si="139"/>
        <v>0.1149915805283801</v>
      </c>
      <c r="M590" s="30">
        <f t="shared" ca="1" si="139"/>
        <v>8.0241243362536588E-2</v>
      </c>
      <c r="N590" s="30">
        <f t="shared" ca="1" si="137"/>
        <v>4.8334164125081305E-2</v>
      </c>
      <c r="O590" s="30">
        <f t="shared" ca="1" si="140"/>
        <v>7.8747072599531842E-2</v>
      </c>
      <c r="P590" s="30">
        <f t="shared" ca="1" si="141"/>
        <v>0.12450411962160501</v>
      </c>
      <c r="Q590" s="30">
        <f t="shared" ca="1" si="142"/>
        <v>0.10993975903614461</v>
      </c>
      <c r="R590" s="30">
        <f t="shared" ca="1" si="143"/>
        <v>-3.6601307189542465E-2</v>
      </c>
      <c r="S590" s="9" cm="1">
        <f t="array" aca="1" ref="S590" ca="1">_xll.BDH($E$6,"PX LAST",AG590)</f>
        <v>147.4</v>
      </c>
      <c r="T590" s="9" cm="1">
        <f t="array" aca="1" ref="T590" ca="1">_xll.BDH($E$6,"PX LAST",AH590)</f>
        <v>136.63999999999999</v>
      </c>
      <c r="U590" s="9" cm="1">
        <f t="array" aca="1" ref="U590" ca="1">_xll.BDH($E$6,"PX LAST",AI590)</f>
        <v>131.08000000000001</v>
      </c>
      <c r="V590" s="9" cm="1">
        <f t="array" aca="1" ref="V590" ca="1">_xll.BDH($E$6,"PX LAST",AJ590)</f>
        <v>132.80000000000001</v>
      </c>
      <c r="W590" s="9" cm="1">
        <f t="array" aca="1" ref="W590" ca="1">_xll.BDH($E$6,"PX LAST",AK590)</f>
        <v>153</v>
      </c>
      <c r="X590" s="24">
        <f t="shared" ca="1" si="144"/>
        <v>2.7402698743719922E-2</v>
      </c>
      <c r="Y590" s="24">
        <f t="shared" ca="1" si="145"/>
        <v>6.2536280103637321E-2</v>
      </c>
      <c r="Z590" s="24">
        <f t="shared" ca="1" si="146"/>
        <v>4.3637880684188612E-2</v>
      </c>
      <c r="AA590" s="24">
        <f t="shared" ca="1" si="147"/>
        <v>2.6285740333443552E-2</v>
      </c>
      <c r="AB590" s="9" cm="1">
        <f t="array" aca="1" ref="AB590" ca="1">_xll.BDH($E$8,"PX LAST",AG590)</f>
        <v>4502.88</v>
      </c>
      <c r="AC590" s="9" cm="1">
        <f t="array" aca="1" ref="AC590" ca="1">_xll.BDH($E$8,"PX LAST",AH590)</f>
        <v>4382.78</v>
      </c>
      <c r="AD590" s="9" cm="1">
        <f t="array" aca="1" ref="AD590" ca="1">_xll.BDH($E$8,"PX LAST",AI590)</f>
        <v>4237.8599999999997</v>
      </c>
      <c r="AE590" s="9" cm="1">
        <f t="array" aca="1" ref="AE590" ca="1">_xll.BDH($E$8,"PX LAST",AJ590)</f>
        <v>4314.6000000000004</v>
      </c>
      <c r="AF590" s="9" cm="1">
        <f t="array" aca="1" ref="AF590" ca="1">_xll.BDH($E$8,"PX LAST",AK590)</f>
        <v>4387.55</v>
      </c>
      <c r="AG590" s="20">
        <f t="shared" ca="1" si="153"/>
        <v>45245</v>
      </c>
      <c r="AH590" s="22">
        <f t="shared" ca="1" si="148"/>
        <v>45238</v>
      </c>
      <c r="AI590" s="22">
        <f t="shared" ca="1" si="149"/>
        <v>45231</v>
      </c>
      <c r="AJ590" s="22">
        <f t="shared" ca="1" si="150"/>
        <v>45217</v>
      </c>
      <c r="AK590" s="22">
        <f t="shared" ca="1" si="151"/>
        <v>45160</v>
      </c>
      <c r="AL590" s="22">
        <f t="shared" ca="1" si="152"/>
        <v>45071</v>
      </c>
    </row>
    <row r="591" spans="4:38" x14ac:dyDescent="0.25">
      <c r="D591" s="6">
        <f ca="1"/>
        <v>45244</v>
      </c>
      <c r="E591" s="28">
        <f ca="1"/>
        <v>148.66999999999999</v>
      </c>
      <c r="F591" s="29" cm="1">
        <f t="array" aca="1" ref="F591" ca="1">_xll.FDS($E$7,"P_BETA_LOCIDX("&amp;$AG591&amp;","&amp;$AL591&amp;",,"""&amp;$E$9&amp;""")")</f>
        <v>1.8493630999999999</v>
      </c>
      <c r="G591" s="30">
        <f t="shared" ca="1" si="138"/>
        <v>2.6439104833629885E-2</v>
      </c>
      <c r="H591" s="30">
        <f t="shared" ca="1" si="138"/>
        <v>2.6541879982891009E-2</v>
      </c>
      <c r="I591" s="30">
        <f t="shared" ca="1" si="138"/>
        <v>1.8534892698298645E-2</v>
      </c>
      <c r="J591" s="30">
        <f t="shared" ca="1" si="136"/>
        <v>-7.235576194476831E-2</v>
      </c>
      <c r="K591" s="30">
        <f t="shared" ca="1" si="139"/>
        <v>4.9554236702159297E-2</v>
      </c>
      <c r="L591" s="30">
        <f t="shared" ca="1" si="139"/>
        <v>0.13313050691258491</v>
      </c>
      <c r="M591" s="30">
        <f t="shared" ca="1" si="139"/>
        <v>5.1803480231866782E-2</v>
      </c>
      <c r="N591" s="30">
        <f t="shared" ca="1" si="137"/>
        <v>4.032242644115467E-2</v>
      </c>
      <c r="O591" s="30">
        <f t="shared" ca="1" si="140"/>
        <v>7.5993341535789183E-2</v>
      </c>
      <c r="P591" s="30">
        <f t="shared" ca="1" si="141"/>
        <v>0.15967238689547592</v>
      </c>
      <c r="Q591" s="30">
        <f t="shared" ca="1" si="142"/>
        <v>7.0338372930165427E-2</v>
      </c>
      <c r="R591" s="30">
        <f t="shared" ca="1" si="143"/>
        <v>-3.2033335503613647E-2</v>
      </c>
      <c r="S591" s="9" cm="1">
        <f t="array" aca="1" ref="S591" ca="1">_xll.BDH($E$6,"PX LAST",AG591)</f>
        <v>148.66999999999999</v>
      </c>
      <c r="T591" s="9" cm="1">
        <f t="array" aca="1" ref="T591" ca="1">_xll.BDH($E$6,"PX LAST",AH591)</f>
        <v>138.16999999999999</v>
      </c>
      <c r="U591" s="9" cm="1">
        <f t="array" aca="1" ref="U591" ca="1">_xll.BDH($E$6,"PX LAST",AI591)</f>
        <v>128.19999999999999</v>
      </c>
      <c r="V591" s="9" cm="1">
        <f t="array" aca="1" ref="V591" ca="1">_xll.BDH($E$6,"PX LAST",AJ591)</f>
        <v>138.9</v>
      </c>
      <c r="W591" s="9" cm="1">
        <f t="array" aca="1" ref="W591" ca="1">_xll.BDH($E$6,"PX LAST",AK591)</f>
        <v>153.59</v>
      </c>
      <c r="X591" s="24">
        <f t="shared" ca="1" si="144"/>
        <v>2.6795298717790628E-2</v>
      </c>
      <c r="Y591" s="24">
        <f t="shared" ca="1" si="145"/>
        <v>7.198721922838458E-2</v>
      </c>
      <c r="Z591" s="24">
        <f t="shared" ca="1" si="146"/>
        <v>2.8011524741607952E-2</v>
      </c>
      <c r="AA591" s="24">
        <f t="shared" ca="1" si="147"/>
        <v>2.1803412451105286E-2</v>
      </c>
      <c r="AB591" s="9" cm="1">
        <f t="array" aca="1" ref="AB591" ca="1">_xll.BDH($E$8,"PX LAST",AG591)</f>
        <v>4495.7</v>
      </c>
      <c r="AC591" s="9" cm="1">
        <f t="array" aca="1" ref="AC591" ca="1">_xll.BDH($E$8,"PX LAST",AH591)</f>
        <v>4378.38</v>
      </c>
      <c r="AD591" s="9" cm="1">
        <f t="array" aca="1" ref="AD591" ca="1">_xll.BDH($E$8,"PX LAST",AI591)</f>
        <v>4193.8</v>
      </c>
      <c r="AE591" s="9" cm="1">
        <f t="array" aca="1" ref="AE591" ca="1">_xll.BDH($E$8,"PX LAST",AJ591)</f>
        <v>4373.2</v>
      </c>
      <c r="AF591" s="9" cm="1">
        <f t="array" aca="1" ref="AF591" ca="1">_xll.BDH($E$8,"PX LAST",AK591)</f>
        <v>4399.7700000000004</v>
      </c>
      <c r="AG591" s="20">
        <f t="shared" ca="1" si="153"/>
        <v>45244</v>
      </c>
      <c r="AH591" s="22">
        <f t="shared" ca="1" si="148"/>
        <v>45237</v>
      </c>
      <c r="AI591" s="22">
        <f t="shared" ca="1" si="149"/>
        <v>45230</v>
      </c>
      <c r="AJ591" s="22">
        <f t="shared" ca="1" si="150"/>
        <v>45216</v>
      </c>
      <c r="AK591" s="22">
        <f t="shared" ca="1" si="151"/>
        <v>45159</v>
      </c>
      <c r="AL591" s="22">
        <f t="shared" ca="1" si="152"/>
        <v>45070</v>
      </c>
    </row>
    <row r="592" spans="4:38" x14ac:dyDescent="0.25">
      <c r="D592" s="6">
        <f ca="1"/>
        <v>45243</v>
      </c>
      <c r="E592" s="28">
        <f ca="1"/>
        <v>140.71</v>
      </c>
      <c r="F592" s="29" cm="1">
        <f t="array" aca="1" ref="F592" ca="1">_xll.FDS($E$7,"P_BETA_LOCIDX("&amp;$AG592&amp;","&amp;$AL592&amp;",,"""&amp;$E$9&amp;""")")</f>
        <v>1.8043741</v>
      </c>
      <c r="G592" s="30">
        <f t="shared" ca="1" si="138"/>
        <v>-1.1026284826037399E-2</v>
      </c>
      <c r="H592" s="30">
        <f t="shared" ca="1" si="138"/>
        <v>-7.7948393286212808E-3</v>
      </c>
      <c r="I592" s="30">
        <f t="shared" ca="1" si="138"/>
        <v>4.5849358375776444E-3</v>
      </c>
      <c r="J592" s="30">
        <f t="shared" ca="1" si="136"/>
        <v>-9.5253434564356032E-2</v>
      </c>
      <c r="K592" s="30">
        <f t="shared" ca="1" si="139"/>
        <v>1.8833189280986536E-2</v>
      </c>
      <c r="L592" s="30">
        <f t="shared" ca="1" si="139"/>
        <v>0.10597637370776762</v>
      </c>
      <c r="M592" s="30">
        <f t="shared" ca="1" si="139"/>
        <v>1.5644182491888856E-2</v>
      </c>
      <c r="N592" s="30">
        <f t="shared" ca="1" si="137"/>
        <v>1.7276893053314757E-2</v>
      </c>
      <c r="O592" s="30">
        <f t="shared" ca="1" si="140"/>
        <v>7.8069044549491373E-3</v>
      </c>
      <c r="P592" s="30">
        <f t="shared" ca="1" si="141"/>
        <v>9.818153437914634E-2</v>
      </c>
      <c r="Q592" s="30">
        <f t="shared" ca="1" si="142"/>
        <v>2.02291183294665E-2</v>
      </c>
      <c r="R592" s="30">
        <f t="shared" ca="1" si="143"/>
        <v>-7.7976541511041275E-2</v>
      </c>
      <c r="S592" s="9" cm="1">
        <f t="array" aca="1" ref="S592" ca="1">_xll.BDH($E$6,"PX LAST",AG592)</f>
        <v>140.71</v>
      </c>
      <c r="T592" s="9" cm="1">
        <f t="array" aca="1" ref="T592" ca="1">_xll.BDH($E$6,"PX LAST",AH592)</f>
        <v>139.62</v>
      </c>
      <c r="U592" s="9" cm="1">
        <f t="array" aca="1" ref="U592" ca="1">_xll.BDH($E$6,"PX LAST",AI592)</f>
        <v>128.13</v>
      </c>
      <c r="V592" s="9" cm="1">
        <f t="array" aca="1" ref="V592" ca="1">_xll.BDH($E$6,"PX LAST",AJ592)</f>
        <v>137.91999999999999</v>
      </c>
      <c r="W592" s="9" cm="1">
        <f t="array" aca="1" ref="W592" ca="1">_xll.BDH($E$6,"PX LAST",AK592)</f>
        <v>152.61000000000001</v>
      </c>
      <c r="X592" s="24">
        <f t="shared" ca="1" si="144"/>
        <v>1.0437519182405985E-2</v>
      </c>
      <c r="Y592" s="24">
        <f t="shared" ca="1" si="145"/>
        <v>5.8733038624178668E-2</v>
      </c>
      <c r="Z592" s="24">
        <f t="shared" ca="1" si="146"/>
        <v>8.670143564956323E-3</v>
      </c>
      <c r="AA592" s="24">
        <f t="shared" ca="1" si="147"/>
        <v>9.5750061216877125E-3</v>
      </c>
      <c r="AB592" s="9" cm="1">
        <f t="array" aca="1" ref="AB592" ca="1">_xll.BDH($E$8,"PX LAST",AG592)</f>
        <v>4411.55</v>
      </c>
      <c r="AC592" s="9" cm="1">
        <f t="array" aca="1" ref="AC592" ca="1">_xll.BDH($E$8,"PX LAST",AH592)</f>
        <v>4365.9799999999996</v>
      </c>
      <c r="AD592" s="9" cm="1">
        <f t="array" aca="1" ref="AD592" ca="1">_xll.BDH($E$8,"PX LAST",AI592)</f>
        <v>4166.82</v>
      </c>
      <c r="AE592" s="9" cm="1">
        <f t="array" aca="1" ref="AE592" ca="1">_xll.BDH($E$8,"PX LAST",AJ592)</f>
        <v>4373.63</v>
      </c>
      <c r="AF592" s="9" cm="1">
        <f t="array" aca="1" ref="AF592" ca="1">_xll.BDH($E$8,"PX LAST",AK592)</f>
        <v>4369.71</v>
      </c>
      <c r="AG592" s="20">
        <f t="shared" ca="1" si="153"/>
        <v>45243</v>
      </c>
      <c r="AH592" s="22">
        <f t="shared" ca="1" si="148"/>
        <v>45236</v>
      </c>
      <c r="AI592" s="22">
        <f t="shared" ca="1" si="149"/>
        <v>45229</v>
      </c>
      <c r="AJ592" s="22">
        <f t="shared" ca="1" si="150"/>
        <v>45215</v>
      </c>
      <c r="AK592" s="22">
        <f t="shared" ca="1" si="151"/>
        <v>45156</v>
      </c>
      <c r="AL592" s="22">
        <f t="shared" ca="1" si="152"/>
        <v>45069</v>
      </c>
    </row>
    <row r="593" spans="4:38" x14ac:dyDescent="0.25">
      <c r="D593" s="6">
        <f ca="1"/>
        <v>45240</v>
      </c>
      <c r="E593" s="28">
        <f ca="1"/>
        <v>141.13999999999999</v>
      </c>
      <c r="F593" s="29" cm="1">
        <f t="array" aca="1" ref="F593" ca="1">_xll.FDS($E$7,"P_BETA_LOCIDX("&amp;$AG593&amp;","&amp;$AL593&amp;",,"""&amp;$E$9&amp;""")")</f>
        <v>1.8041105</v>
      </c>
      <c r="G593" s="30">
        <f t="shared" ca="1" si="138"/>
        <v>-3.5178087051627227E-2</v>
      </c>
      <c r="H593" s="30">
        <f t="shared" ca="1" si="138"/>
        <v>-1.0359147669835062E-2</v>
      </c>
      <c r="I593" s="30">
        <f t="shared" ca="1" si="138"/>
        <v>1.9187745932001066E-2</v>
      </c>
      <c r="J593" s="30">
        <f t="shared" ca="1" si="136"/>
        <v>-7.2674967391203854E-2</v>
      </c>
      <c r="K593" s="30">
        <f t="shared" ca="1" si="139"/>
        <v>2.3553437191683069E-2</v>
      </c>
      <c r="L593" s="30">
        <f t="shared" ca="1" si="139"/>
        <v>0.13051787782856519</v>
      </c>
      <c r="M593" s="30">
        <f t="shared" ca="1" si="139"/>
        <v>3.6459224898215903E-2</v>
      </c>
      <c r="N593" s="30">
        <f t="shared" ca="1" si="137"/>
        <v>1.8526729889528436E-2</v>
      </c>
      <c r="O593" s="30">
        <f t="shared" ca="1" si="140"/>
        <v>-1.1624649859944158E-2</v>
      </c>
      <c r="P593" s="30">
        <f t="shared" ca="1" si="141"/>
        <v>0.12015873015873013</v>
      </c>
      <c r="Q593" s="30">
        <f t="shared" ca="1" si="142"/>
        <v>5.5646970830216969E-2</v>
      </c>
      <c r="R593" s="30">
        <f t="shared" ca="1" si="143"/>
        <v>-5.4148237501675411E-2</v>
      </c>
      <c r="S593" s="9" cm="1">
        <f t="array" aca="1" ref="S593" ca="1">_xll.BDH($E$6,"PX LAST",AG593)</f>
        <v>141.13999999999999</v>
      </c>
      <c r="T593" s="9" cm="1">
        <f t="array" aca="1" ref="T593" ca="1">_xll.BDH($E$6,"PX LAST",AH593)</f>
        <v>142.80000000000001</v>
      </c>
      <c r="U593" s="9" cm="1">
        <f t="array" aca="1" ref="U593" ca="1">_xll.BDH($E$6,"PX LAST",AI593)</f>
        <v>126</v>
      </c>
      <c r="V593" s="9" cm="1">
        <f t="array" aca="1" ref="V593" ca="1">_xll.BDH($E$6,"PX LAST",AJ593)</f>
        <v>133.69999999999999</v>
      </c>
      <c r="W593" s="9" cm="1">
        <f t="array" aca="1" ref="W593" ca="1">_xll.BDH($E$6,"PX LAST",AK593)</f>
        <v>149.22</v>
      </c>
      <c r="X593" s="24">
        <f t="shared" ca="1" si="144"/>
        <v>1.3055429360719906E-2</v>
      </c>
      <c r="Y593" s="24">
        <f t="shared" ca="1" si="145"/>
        <v>7.2344724909347402E-2</v>
      </c>
      <c r="Z593" s="24">
        <f t="shared" ca="1" si="146"/>
        <v>2.0208975502451709E-2</v>
      </c>
      <c r="AA593" s="24">
        <f t="shared" ca="1" si="147"/>
        <v>1.0269176909911248E-2</v>
      </c>
      <c r="AB593" s="9" cm="1">
        <f t="array" aca="1" ref="AB593" ca="1">_xll.BDH($E$8,"PX LAST",AG593)</f>
        <v>4415.24</v>
      </c>
      <c r="AC593" s="9" cm="1">
        <f t="array" aca="1" ref="AC593" ca="1">_xll.BDH($E$8,"PX LAST",AH593)</f>
        <v>4358.34</v>
      </c>
      <c r="AD593" s="9" cm="1">
        <f t="array" aca="1" ref="AD593" ca="1">_xll.BDH($E$8,"PX LAST",AI593)</f>
        <v>4117.37</v>
      </c>
      <c r="AE593" s="9" cm="1">
        <f t="array" aca="1" ref="AE593" ca="1">_xll.BDH($E$8,"PX LAST",AJ593)</f>
        <v>4327.78</v>
      </c>
      <c r="AF593" s="9" cm="1">
        <f t="array" aca="1" ref="AF593" ca="1">_xll.BDH($E$8,"PX LAST",AK593)</f>
        <v>4370.3599999999997</v>
      </c>
      <c r="AG593" s="20">
        <f t="shared" ca="1" si="153"/>
        <v>45240</v>
      </c>
      <c r="AH593" s="22">
        <f t="shared" ca="1" si="148"/>
        <v>45233</v>
      </c>
      <c r="AI593" s="22">
        <f t="shared" ca="1" si="149"/>
        <v>45226</v>
      </c>
      <c r="AJ593" s="22">
        <f t="shared" ca="1" si="150"/>
        <v>45212</v>
      </c>
      <c r="AK593" s="22">
        <f t="shared" ca="1" si="151"/>
        <v>45155</v>
      </c>
      <c r="AL593" s="22">
        <f t="shared" ca="1" si="152"/>
        <v>45068</v>
      </c>
    </row>
    <row r="594" spans="4:38" x14ac:dyDescent="0.25">
      <c r="D594" s="6">
        <f ca="1"/>
        <v>45239</v>
      </c>
      <c r="E594" s="28">
        <f ca="1"/>
        <v>137.29</v>
      </c>
      <c r="F594" s="29" cm="1">
        <f t="array" aca="1" ref="F594" ca="1">_xll.FDS($E$7,"P_BETA_LOCIDX("&amp;$AG594&amp;","&amp;$AL594&amp;",,"""&amp;$E$9&amp;""")")</f>
        <v>1.807517</v>
      </c>
      <c r="G594" s="30">
        <f t="shared" ca="1" si="138"/>
        <v>-2.6706239230683809E-3</v>
      </c>
      <c r="H594" s="30">
        <f t="shared" ca="1" si="138"/>
        <v>-7.4459315235144291E-3</v>
      </c>
      <c r="I594" s="30">
        <f t="shared" ca="1" si="138"/>
        <v>-5.4967865920698938E-2</v>
      </c>
      <c r="J594" s="30">
        <f t="shared" ca="1" si="136"/>
        <v>-7.1307391524678687E-2</v>
      </c>
      <c r="K594" s="30">
        <f t="shared" ca="1" si="139"/>
        <v>1.2378647751854042E-2</v>
      </c>
      <c r="L594" s="30">
        <f t="shared" ca="1" si="139"/>
        <v>9.179945810119379E-2</v>
      </c>
      <c r="M594" s="30">
        <f t="shared" ca="1" si="139"/>
        <v>-9.391619984317741E-4</v>
      </c>
      <c r="N594" s="30">
        <f t="shared" ca="1" si="137"/>
        <v>-2.3384332840636242E-2</v>
      </c>
      <c r="O594" s="30">
        <f t="shared" ca="1" si="140"/>
        <v>9.7080238287856613E-3</v>
      </c>
      <c r="P594" s="30">
        <f t="shared" ca="1" si="141"/>
        <v>8.4353526577679361E-2</v>
      </c>
      <c r="Q594" s="30">
        <f t="shared" ca="1" si="142"/>
        <v>-5.5907027919130714E-2</v>
      </c>
      <c r="R594" s="30">
        <f t="shared" ca="1" si="143"/>
        <v>-9.4691724365314922E-2</v>
      </c>
      <c r="S594" s="9" cm="1">
        <f t="array" aca="1" ref="S594" ca="1">_xll.BDH($E$6,"PX LAST",AG594)</f>
        <v>137.29</v>
      </c>
      <c r="T594" s="9" cm="1">
        <f t="array" aca="1" ref="T594" ca="1">_xll.BDH($E$6,"PX LAST",AH594)</f>
        <v>135.97</v>
      </c>
      <c r="U594" s="9" cm="1">
        <f t="array" aca="1" ref="U594" ca="1">_xll.BDH($E$6,"PX LAST",AI594)</f>
        <v>126.61</v>
      </c>
      <c r="V594" s="9" cm="1">
        <f t="array" aca="1" ref="V594" ca="1">_xll.BDH($E$6,"PX LAST",AJ594)</f>
        <v>145.41999999999999</v>
      </c>
      <c r="W594" s="9" cm="1">
        <f t="array" aca="1" ref="W594" ca="1">_xll.BDH($E$6,"PX LAST",AK594)</f>
        <v>151.65</v>
      </c>
      <c r="X594" s="24">
        <f t="shared" ca="1" si="144"/>
        <v>6.8484267378143837E-3</v>
      </c>
      <c r="Y594" s="24">
        <f t="shared" ca="1" si="145"/>
        <v>5.0787604266623099E-2</v>
      </c>
      <c r="Z594" s="24">
        <f t="shared" ca="1" si="146"/>
        <v>-5.1958681353025948E-4</v>
      </c>
      <c r="AA594" s="24">
        <f t="shared" ca="1" si="147"/>
        <v>-1.2937268551629799E-2</v>
      </c>
      <c r="AB594" s="9" cm="1">
        <f t="array" aca="1" ref="AB594" ca="1">_xll.BDH($E$8,"PX LAST",AG594)</f>
        <v>4347.3500000000004</v>
      </c>
      <c r="AC594" s="9" cm="1">
        <f t="array" aca="1" ref="AC594" ca="1">_xll.BDH($E$8,"PX LAST",AH594)</f>
        <v>4317.78</v>
      </c>
      <c r="AD594" s="9" cm="1">
        <f t="array" aca="1" ref="AD594" ca="1">_xll.BDH($E$8,"PX LAST",AI594)</f>
        <v>4137.2299999999996</v>
      </c>
      <c r="AE594" s="9" cm="1">
        <f t="array" aca="1" ref="AE594" ca="1">_xll.BDH($E$8,"PX LAST",AJ594)</f>
        <v>4349.6099999999997</v>
      </c>
      <c r="AF594" s="9" cm="1">
        <f t="array" aca="1" ref="AF594" ca="1">_xll.BDH($E$8,"PX LAST",AK594)</f>
        <v>4404.33</v>
      </c>
      <c r="AG594" s="20">
        <f t="shared" ca="1" si="153"/>
        <v>45239</v>
      </c>
      <c r="AH594" s="22">
        <f t="shared" ca="1" si="148"/>
        <v>45232</v>
      </c>
      <c r="AI594" s="22">
        <f t="shared" ca="1" si="149"/>
        <v>45225</v>
      </c>
      <c r="AJ594" s="22">
        <f t="shared" ca="1" si="150"/>
        <v>45211</v>
      </c>
      <c r="AK594" s="22">
        <f t="shared" ca="1" si="151"/>
        <v>45154</v>
      </c>
      <c r="AL594" s="22">
        <f t="shared" ca="1" si="152"/>
        <v>45065</v>
      </c>
    </row>
    <row r="595" spans="4:38" x14ac:dyDescent="0.25">
      <c r="D595" s="6">
        <f ca="1"/>
        <v>45238</v>
      </c>
      <c r="E595" s="28">
        <f ca="1"/>
        <v>136.63999999999999</v>
      </c>
      <c r="F595" s="29" cm="1">
        <f t="array" aca="1" ref="F595" ca="1">_xll.FDS($E$7,"P_BETA_LOCIDX("&amp;$AG595&amp;","&amp;$AL595&amp;",,"""&amp;$E$9&amp;""")")</f>
        <v>1.8480996000000001</v>
      </c>
      <c r="G595" s="30">
        <f t="shared" ca="1" si="138"/>
        <v>-2.0781702240652733E-2</v>
      </c>
      <c r="H595" s="30">
        <f t="shared" ca="1" si="138"/>
        <v>1.8443635986390761E-2</v>
      </c>
      <c r="I595" s="30">
        <f t="shared" ca="1" si="138"/>
        <v>-7.7969070031404172E-2</v>
      </c>
      <c r="J595" s="30">
        <f t="shared" ca="1" si="136"/>
        <v>-9.2203045618876434E-2</v>
      </c>
      <c r="K595" s="30">
        <f t="shared" ca="1" si="139"/>
        <v>6.3198546915660236E-2</v>
      </c>
      <c r="L595" s="30">
        <f t="shared" ca="1" si="139"/>
        <v>8.6521591249578811E-2</v>
      </c>
      <c r="M595" s="30">
        <f t="shared" ca="1" si="139"/>
        <v>2.4616275415528638E-3</v>
      </c>
      <c r="N595" s="30">
        <f t="shared" ca="1" si="137"/>
        <v>-2.2937480219745562E-2</v>
      </c>
      <c r="O595" s="30">
        <f t="shared" ca="1" si="140"/>
        <v>4.2416844675007503E-2</v>
      </c>
      <c r="P595" s="30">
        <f t="shared" ca="1" si="141"/>
        <v>0.10496522723596957</v>
      </c>
      <c r="Q595" s="30">
        <f t="shared" ca="1" si="142"/>
        <v>-7.5507442489851306E-2</v>
      </c>
      <c r="R595" s="30">
        <f t="shared" ca="1" si="143"/>
        <v>-0.115140525838622</v>
      </c>
      <c r="S595" s="9" cm="1">
        <f t="array" aca="1" ref="S595" ca="1">_xll.BDH($E$6,"PX LAST",AG595)</f>
        <v>136.63999999999999</v>
      </c>
      <c r="T595" s="9" cm="1">
        <f t="array" aca="1" ref="T595" ca="1">_xll.BDH($E$6,"PX LAST",AH595)</f>
        <v>131.08000000000001</v>
      </c>
      <c r="U595" s="9" cm="1">
        <f t="array" aca="1" ref="U595" ca="1">_xll.BDH($E$6,"PX LAST",AI595)</f>
        <v>123.66</v>
      </c>
      <c r="V595" s="9" cm="1">
        <f t="array" aca="1" ref="V595" ca="1">_xll.BDH($E$6,"PX LAST",AJ595)</f>
        <v>147.80000000000001</v>
      </c>
      <c r="W595" s="9" cm="1">
        <f t="array" aca="1" ref="W595" ca="1">_xll.BDH($E$6,"PX LAST",AK595)</f>
        <v>154.41999999999999</v>
      </c>
      <c r="X595" s="24">
        <f t="shared" ca="1" si="144"/>
        <v>3.4196504839706821E-2</v>
      </c>
      <c r="Y595" s="24">
        <f t="shared" ca="1" si="145"/>
        <v>4.6816519655963784E-2</v>
      </c>
      <c r="Z595" s="24">
        <f t="shared" ca="1" si="146"/>
        <v>1.3319777470612859E-3</v>
      </c>
      <c r="AA595" s="24">
        <f t="shared" ca="1" si="147"/>
        <v>-1.2411387470537605E-2</v>
      </c>
      <c r="AB595" s="9" cm="1">
        <f t="array" aca="1" ref="AB595" ca="1">_xll.BDH($E$8,"PX LAST",AG595)</f>
        <v>4382.78</v>
      </c>
      <c r="AC595" s="9" cm="1">
        <f t="array" aca="1" ref="AC595" ca="1">_xll.BDH($E$8,"PX LAST",AH595)</f>
        <v>4237.8599999999997</v>
      </c>
      <c r="AD595" s="9" cm="1">
        <f t="array" aca="1" ref="AD595" ca="1">_xll.BDH($E$8,"PX LAST",AI595)</f>
        <v>4186.7700000000004</v>
      </c>
      <c r="AE595" s="9" cm="1">
        <f t="array" aca="1" ref="AE595" ca="1">_xll.BDH($E$8,"PX LAST",AJ595)</f>
        <v>4376.95</v>
      </c>
      <c r="AF595" s="9" cm="1">
        <f t="array" aca="1" ref="AF595" ca="1">_xll.BDH($E$8,"PX LAST",AK595)</f>
        <v>4437.8599999999997</v>
      </c>
      <c r="AG595" s="20">
        <f t="shared" ca="1" si="153"/>
        <v>45238</v>
      </c>
      <c r="AH595" s="22">
        <f t="shared" ca="1" si="148"/>
        <v>45231</v>
      </c>
      <c r="AI595" s="22">
        <f t="shared" ca="1" si="149"/>
        <v>45224</v>
      </c>
      <c r="AJ595" s="22">
        <f t="shared" ca="1" si="150"/>
        <v>45210</v>
      </c>
      <c r="AK595" s="22">
        <f t="shared" ca="1" si="151"/>
        <v>45153</v>
      </c>
      <c r="AL595" s="22">
        <f t="shared" ca="1" si="152"/>
        <v>45064</v>
      </c>
    </row>
    <row r="596" spans="4:38" x14ac:dyDescent="0.25">
      <c r="D596" s="6">
        <f ca="1"/>
        <v>45237</v>
      </c>
      <c r="E596" s="28">
        <f ca="1"/>
        <v>138.16999999999999</v>
      </c>
      <c r="F596" s="29" cm="1">
        <f t="array" aca="1" ref="F596" ca="1">_xll.FDS($E$7,"P_BETA_LOCIDX("&amp;$AG596&amp;","&amp;$AL596&amp;",,"""&amp;$E$9&amp;""")")</f>
        <v>1.8691112000000001</v>
      </c>
      <c r="G596" s="30">
        <f t="shared" ca="1" si="138"/>
        <v>-4.4953141714272338E-3</v>
      </c>
      <c r="H596" s="30">
        <f t="shared" ca="1" si="138"/>
        <v>3.9423473485110758E-2</v>
      </c>
      <c r="I596" s="30">
        <f t="shared" ca="1" si="138"/>
        <v>-6.6911672483645476E-2</v>
      </c>
      <c r="J596" s="30">
        <f t="shared" ca="1" si="136"/>
        <v>-7.279898223832057E-2</v>
      </c>
      <c r="K596" s="30">
        <f t="shared" ca="1" si="139"/>
        <v>8.2264424935857727E-2</v>
      </c>
      <c r="L596" s="30">
        <f t="shared" ca="1" si="139"/>
        <v>5.751206160539403E-2</v>
      </c>
      <c r="M596" s="30">
        <f t="shared" ca="1" si="139"/>
        <v>8.6374085796104647E-3</v>
      </c>
      <c r="N596" s="30">
        <f t="shared" ca="1" si="137"/>
        <v>-4.6351852901294538E-2</v>
      </c>
      <c r="O596" s="30">
        <f t="shared" ca="1" si="140"/>
        <v>7.7769110764430494E-2</v>
      </c>
      <c r="P596" s="30">
        <f t="shared" ca="1" si="141"/>
        <v>9.6935535090504787E-2</v>
      </c>
      <c r="Q596" s="30">
        <f t="shared" ca="1" si="142"/>
        <v>-5.8274263904035006E-2</v>
      </c>
      <c r="R596" s="30">
        <f t="shared" ca="1" si="143"/>
        <v>-0.11915083513961511</v>
      </c>
      <c r="S596" s="9" cm="1">
        <f t="array" aca="1" ref="S596" ca="1">_xll.BDH($E$6,"PX LAST",AG596)</f>
        <v>138.16999999999999</v>
      </c>
      <c r="T596" s="9" cm="1">
        <f t="array" aca="1" ref="T596" ca="1">_xll.BDH($E$6,"PX LAST",AH596)</f>
        <v>128.19999999999999</v>
      </c>
      <c r="U596" s="9" cm="1">
        <f t="array" aca="1" ref="U596" ca="1">_xll.BDH($E$6,"PX LAST",AI596)</f>
        <v>125.96</v>
      </c>
      <c r="V596" s="9" cm="1">
        <f t="array" aca="1" ref="V596" ca="1">_xll.BDH($E$6,"PX LAST",AJ596)</f>
        <v>146.72</v>
      </c>
      <c r="W596" s="9" cm="1">
        <f t="array" aca="1" ref="W596" ca="1">_xll.BDH($E$6,"PX LAST",AK596)</f>
        <v>156.86000000000001</v>
      </c>
      <c r="X596" s="24">
        <f t="shared" ca="1" si="144"/>
        <v>4.4012590013829955E-2</v>
      </c>
      <c r="Y596" s="24">
        <f t="shared" ca="1" si="145"/>
        <v>3.0769737833358457E-2</v>
      </c>
      <c r="Z596" s="24">
        <f t="shared" ca="1" si="146"/>
        <v>4.6211314659130309E-3</v>
      </c>
      <c r="AA596" s="24">
        <f t="shared" ca="1" si="147"/>
        <v>-2.47988738718673E-2</v>
      </c>
      <c r="AB596" s="9" cm="1">
        <f t="array" aca="1" ref="AB596" ca="1">_xll.BDH($E$8,"PX LAST",AG596)</f>
        <v>4378.38</v>
      </c>
      <c r="AC596" s="9" cm="1">
        <f t="array" aca="1" ref="AC596" ca="1">_xll.BDH($E$8,"PX LAST",AH596)</f>
        <v>4193.8</v>
      </c>
      <c r="AD596" s="9" cm="1">
        <f t="array" aca="1" ref="AD596" ca="1">_xll.BDH($E$8,"PX LAST",AI596)</f>
        <v>4247.68</v>
      </c>
      <c r="AE596" s="9" cm="1">
        <f t="array" aca="1" ref="AE596" ca="1">_xll.BDH($E$8,"PX LAST",AJ596)</f>
        <v>4358.24</v>
      </c>
      <c r="AF596" s="9" cm="1">
        <f t="array" aca="1" ref="AF596" ca="1">_xll.BDH($E$8,"PX LAST",AK596)</f>
        <v>4489.72</v>
      </c>
      <c r="AG596" s="20">
        <f t="shared" ca="1" si="153"/>
        <v>45237</v>
      </c>
      <c r="AH596" s="22">
        <f t="shared" ca="1" si="148"/>
        <v>45230</v>
      </c>
      <c r="AI596" s="22">
        <f t="shared" ca="1" si="149"/>
        <v>45223</v>
      </c>
      <c r="AJ596" s="22">
        <f t="shared" ca="1" si="150"/>
        <v>45209</v>
      </c>
      <c r="AK596" s="22">
        <f t="shared" ca="1" si="151"/>
        <v>45152</v>
      </c>
      <c r="AL596" s="22">
        <f t="shared" ca="1" si="152"/>
        <v>45063</v>
      </c>
    </row>
    <row r="597" spans="4:38" x14ac:dyDescent="0.25">
      <c r="D597" s="6">
        <f ca="1"/>
        <v>45236</v>
      </c>
      <c r="E597" s="28">
        <f ca="1"/>
        <v>139.62</v>
      </c>
      <c r="F597" s="29" cm="1">
        <f t="array" aca="1" ref="F597" ca="1">_xll.FDS($E$7,"P_BETA_LOCIDX("&amp;$AG597&amp;","&amp;$AL597&amp;",,"""&amp;$E$9&amp;""")")</f>
        <v>1.8937944</v>
      </c>
      <c r="G597" s="30">
        <f t="shared" ca="1" si="138"/>
        <v>-8.4246193706534467E-4</v>
      </c>
      <c r="H597" s="30">
        <f t="shared" ca="1" si="138"/>
        <v>4.2265383102454854E-2</v>
      </c>
      <c r="I597" s="30">
        <f t="shared" ca="1" si="138"/>
        <v>-6.9482638750755471E-2</v>
      </c>
      <c r="J597" s="30">
        <f t="shared" ca="1" si="138"/>
        <v>-6.0806334304926823E-2</v>
      </c>
      <c r="K597" s="30">
        <f t="shared" ca="1" si="139"/>
        <v>9.0517011222947044E-2</v>
      </c>
      <c r="L597" s="30">
        <f t="shared" ca="1" si="139"/>
        <v>6.6886189824141976E-2</v>
      </c>
      <c r="M597" s="30">
        <f t="shared" ca="1" si="139"/>
        <v>1.3243622933532347E-2</v>
      </c>
      <c r="N597" s="30">
        <f t="shared" ca="1" si="139"/>
        <v>-4.1604466080801317E-2</v>
      </c>
      <c r="O597" s="30">
        <f t="shared" ca="1" si="140"/>
        <v>8.9674549285881699E-2</v>
      </c>
      <c r="P597" s="30">
        <f t="shared" ca="1" si="141"/>
        <v>0.10915157292659683</v>
      </c>
      <c r="Q597" s="30">
        <f t="shared" ca="1" si="142"/>
        <v>-5.6239015817223126E-2</v>
      </c>
      <c r="R597" s="30">
        <f t="shared" ca="1" si="143"/>
        <v>-0.10241080038572814</v>
      </c>
      <c r="S597" s="9" cm="1">
        <f t="array" aca="1" ref="S597" ca="1">_xll.BDH($E$6,"PX LAST",AG597)</f>
        <v>139.62</v>
      </c>
      <c r="T597" s="9" cm="1">
        <f t="array" aca="1" ref="T597" ca="1">_xll.BDH($E$6,"PX LAST",AH597)</f>
        <v>128.13</v>
      </c>
      <c r="U597" s="9" cm="1">
        <f t="array" aca="1" ref="U597" ca="1">_xll.BDH($E$6,"PX LAST",AI597)</f>
        <v>125.88</v>
      </c>
      <c r="V597" s="9" cm="1">
        <f t="array" aca="1" ref="V597" ca="1">_xll.BDH($E$6,"PX LAST",AJ597)</f>
        <v>147.94</v>
      </c>
      <c r="W597" s="9" cm="1">
        <f t="array" aca="1" ref="W597" ca="1">_xll.BDH($E$6,"PX LAST",AK597)</f>
        <v>155.55000000000001</v>
      </c>
      <c r="X597" s="24">
        <f t="shared" ca="1" si="144"/>
        <v>4.7796641083608149E-2</v>
      </c>
      <c r="Y597" s="24">
        <f t="shared" ca="1" si="145"/>
        <v>3.5318612107070324E-2</v>
      </c>
      <c r="Z597" s="24">
        <f t="shared" ca="1" si="146"/>
        <v>6.9931682834907249E-3</v>
      </c>
      <c r="AA597" s="24">
        <f t="shared" ca="1" si="147"/>
        <v>-2.1968839954749741E-2</v>
      </c>
      <c r="AB597" s="9" cm="1">
        <f t="array" aca="1" ref="AB597" ca="1">_xll.BDH($E$8,"PX LAST",AG597)</f>
        <v>4365.9799999999996</v>
      </c>
      <c r="AC597" s="9" cm="1">
        <f t="array" aca="1" ref="AC597" ca="1">_xll.BDH($E$8,"PX LAST",AH597)</f>
        <v>4166.82</v>
      </c>
      <c r="AD597" s="9" cm="1">
        <f t="array" aca="1" ref="AD597" ca="1">_xll.BDH($E$8,"PX LAST",AI597)</f>
        <v>4217.04</v>
      </c>
      <c r="AE597" s="9" cm="1">
        <f t="array" aca="1" ref="AE597" ca="1">_xll.BDH($E$8,"PX LAST",AJ597)</f>
        <v>4335.66</v>
      </c>
      <c r="AF597" s="9" cm="1">
        <f t="array" aca="1" ref="AF597" ca="1">_xll.BDH($E$8,"PX LAST",AK597)</f>
        <v>4464.05</v>
      </c>
      <c r="AG597" s="20">
        <f t="shared" ca="1" si="153"/>
        <v>45236</v>
      </c>
      <c r="AH597" s="22">
        <f t="shared" ca="1" si="148"/>
        <v>45229</v>
      </c>
      <c r="AI597" s="22">
        <f t="shared" ca="1" si="149"/>
        <v>45222</v>
      </c>
      <c r="AJ597" s="22">
        <f t="shared" ca="1" si="150"/>
        <v>45208</v>
      </c>
      <c r="AK597" s="22">
        <f t="shared" ca="1" si="151"/>
        <v>45149</v>
      </c>
      <c r="AL597" s="22">
        <f t="shared" ca="1" si="152"/>
        <v>45062</v>
      </c>
    </row>
    <row r="598" spans="4:38" x14ac:dyDescent="0.25">
      <c r="D598" s="6">
        <f ca="1"/>
        <v>45233</v>
      </c>
      <c r="E598" s="28">
        <f ca="1"/>
        <v>142.80000000000001</v>
      </c>
      <c r="F598" s="29" cm="1">
        <f t="array" aca="1" ref="F598" ca="1">_xll.FDS($E$7,"P_BETA_LOCIDX("&amp;$AG598&amp;","&amp;$AL598&amp;",,"""&amp;$E$9&amp;""")")</f>
        <v>1.9077023</v>
      </c>
      <c r="G598" s="30">
        <f t="shared" ref="G598:J661" ca="1" si="154">+O598-K598</f>
        <v>2.1684629614454581E-2</v>
      </c>
      <c r="H598" s="30">
        <f t="shared" ca="1" si="154"/>
        <v>7.661633901516951E-2</v>
      </c>
      <c r="I598" s="30">
        <f t="shared" ca="1" si="154"/>
        <v>-4.102923095665896E-2</v>
      </c>
      <c r="J598" s="30">
        <f t="shared" ca="1" si="154"/>
        <v>-2.1082870945067021E-2</v>
      </c>
      <c r="K598" s="30">
        <f t="shared" ref="K598:N661" ca="1" si="155">+X598*$F598</f>
        <v>0.11164870371887894</v>
      </c>
      <c r="L598" s="30">
        <f t="shared" ca="1" si="155"/>
        <v>6.0597963764156944E-2</v>
      </c>
      <c r="M598" s="30">
        <f t="shared" ca="1" si="155"/>
        <v>2.2067977865150312E-2</v>
      </c>
      <c r="N598" s="30">
        <f t="shared" ca="1" si="155"/>
        <v>-4.7167161679231386E-2</v>
      </c>
      <c r="O598" s="30">
        <f t="shared" ref="O598:O661" ca="1" si="156">+S598/T598-1</f>
        <v>0.13333333333333353</v>
      </c>
      <c r="P598" s="30">
        <f t="shared" ref="P598:P661" ca="1" si="157">+S598/U598-1</f>
        <v>0.13721430277932645</v>
      </c>
      <c r="Q598" s="30">
        <f t="shared" ref="Q598:Q661" ca="1" si="158">+S598/V598-1</f>
        <v>-1.8961253091508645E-2</v>
      </c>
      <c r="R598" s="30">
        <f t="shared" ref="R598:R661" ca="1" si="159">+S598/W598-1</f>
        <v>-6.8250032624298407E-2</v>
      </c>
      <c r="S598" s="9" cm="1">
        <f t="array" aca="1" ref="S598" ca="1">_xll.BDH($E$6,"PX LAST",AG598)</f>
        <v>142.80000000000001</v>
      </c>
      <c r="T598" s="9" cm="1">
        <f t="array" aca="1" ref="T598" ca="1">_xll.BDH($E$6,"PX LAST",AH598)</f>
        <v>126</v>
      </c>
      <c r="U598" s="9" cm="1">
        <f t="array" aca="1" ref="U598" ca="1">_xll.BDH($E$6,"PX LAST",AI598)</f>
        <v>125.57</v>
      </c>
      <c r="V598" s="9" cm="1">
        <f t="array" aca="1" ref="V598" ca="1">_xll.BDH($E$6,"PX LAST",AJ598)</f>
        <v>145.56</v>
      </c>
      <c r="W598" s="9" cm="1">
        <f t="array" aca="1" ref="W598" ca="1">_xll.BDH($E$6,"PX LAST",AK598)</f>
        <v>153.26</v>
      </c>
      <c r="X598" s="24">
        <f t="shared" ref="X598:X661" ca="1" si="160">+AB598/AC598-1</f>
        <v>5.852522362576118E-2</v>
      </c>
      <c r="Y598" s="24">
        <f t="shared" ref="Y598:Y661" ca="1" si="161">+AB598/AD598-1</f>
        <v>3.1764895269118743E-2</v>
      </c>
      <c r="Z598" s="24">
        <f t="shared" ref="Z598:Z661" ca="1" si="162">+AB598/AE598-1</f>
        <v>1.1567831031681575E-2</v>
      </c>
      <c r="AA598" s="24">
        <f t="shared" ref="AA598:AA661" ca="1" si="163">+AB598/AF598-1</f>
        <v>-2.4724592342962204E-2</v>
      </c>
      <c r="AB598" s="9" cm="1">
        <f t="array" aca="1" ref="AB598" ca="1">_xll.BDH($E$8,"PX LAST",AG598)</f>
        <v>4358.34</v>
      </c>
      <c r="AC598" s="9" cm="1">
        <f t="array" aca="1" ref="AC598" ca="1">_xll.BDH($E$8,"PX LAST",AH598)</f>
        <v>4117.37</v>
      </c>
      <c r="AD598" s="9" cm="1">
        <f t="array" aca="1" ref="AD598" ca="1">_xll.BDH($E$8,"PX LAST",AI598)</f>
        <v>4224.16</v>
      </c>
      <c r="AE598" s="9" cm="1">
        <f t="array" aca="1" ref="AE598" ca="1">_xll.BDH($E$8,"PX LAST",AJ598)</f>
        <v>4308.5</v>
      </c>
      <c r="AF598" s="9" cm="1">
        <f t="array" aca="1" ref="AF598" ca="1">_xll.BDH($E$8,"PX LAST",AK598)</f>
        <v>4468.83</v>
      </c>
      <c r="AG598" s="20">
        <f t="shared" ca="1" si="153"/>
        <v>45233</v>
      </c>
      <c r="AH598" s="22">
        <f t="shared" ref="AH598:AH661" ca="1" si="164">+WORKDAY($AG598, -5, $AN$2:$AN$100)</f>
        <v>45226</v>
      </c>
      <c r="AI598" s="22">
        <f t="shared" ref="AI598:AI661" ca="1" si="165">+WORKDAY($AG598, -10, $AN$2:$AN$100)</f>
        <v>45219</v>
      </c>
      <c r="AJ598" s="22">
        <f t="shared" ref="AJ598:AJ661" ca="1" si="166">+WORKDAY($AG598, -20, $AN$2:$AN$100)</f>
        <v>45205</v>
      </c>
      <c r="AK598" s="22">
        <f t="shared" ref="AK598:AK661" ca="1" si="167">+WORKDAY($AG598, -60, $AN$2:$AN$100)</f>
        <v>45148</v>
      </c>
      <c r="AL598" s="22">
        <f t="shared" ref="AL598:AL661" ca="1" si="168">+WORKDAY($AG598, -120, $AN$2:$AN$100)</f>
        <v>45061</v>
      </c>
    </row>
    <row r="599" spans="4:38" x14ac:dyDescent="0.25">
      <c r="D599" s="6">
        <f ca="1"/>
        <v>45232</v>
      </c>
      <c r="E599" s="28">
        <f ca="1"/>
        <v>135.97</v>
      </c>
      <c r="F599" s="29" cm="1">
        <f t="array" aca="1" ref="F599" ca="1">_xll.FDS($E$7,"P_BETA_LOCIDX("&amp;$AG599&amp;","&amp;$AL599&amp;",,"""&amp;$E$9&amp;""")")</f>
        <v>1.8645067</v>
      </c>
      <c r="G599" s="30">
        <f t="shared" ca="1" si="154"/>
        <v>-7.4398406920125476E-3</v>
      </c>
      <c r="H599" s="30">
        <f t="shared" ca="1" si="154"/>
        <v>2.3222630995845584E-2</v>
      </c>
      <c r="I599" s="30">
        <f t="shared" ca="1" si="154"/>
        <v>-5.3697244948384244E-2</v>
      </c>
      <c r="J599" s="30">
        <f t="shared" ca="1" si="154"/>
        <v>-3.8929837228426981E-2</v>
      </c>
      <c r="K599" s="30">
        <f t="shared" ca="1" si="155"/>
        <v>8.1367650501664182E-2</v>
      </c>
      <c r="L599" s="30">
        <f t="shared" ca="1" si="155"/>
        <v>1.73375587952312E-2</v>
      </c>
      <c r="M599" s="30">
        <f t="shared" ca="1" si="155"/>
        <v>2.609229608190345E-2</v>
      </c>
      <c r="N599" s="30">
        <f t="shared" ca="1" si="155"/>
        <v>-6.257019581194849E-2</v>
      </c>
      <c r="O599" s="30">
        <f t="shared" ca="1" si="156"/>
        <v>7.3927809809651635E-2</v>
      </c>
      <c r="P599" s="30">
        <f t="shared" ca="1" si="157"/>
        <v>4.0560189791076784E-2</v>
      </c>
      <c r="Q599" s="30">
        <f t="shared" ca="1" si="158"/>
        <v>-2.7604948866480794E-2</v>
      </c>
      <c r="R599" s="30">
        <f t="shared" ca="1" si="159"/>
        <v>-0.10150003304037547</v>
      </c>
      <c r="S599" s="9" cm="1">
        <f t="array" aca="1" ref="S599" ca="1">_xll.BDH($E$6,"PX LAST",AG599)</f>
        <v>135.97</v>
      </c>
      <c r="T599" s="9" cm="1">
        <f t="array" aca="1" ref="T599" ca="1">_xll.BDH($E$6,"PX LAST",AH599)</f>
        <v>126.61</v>
      </c>
      <c r="U599" s="9" cm="1">
        <f t="array" aca="1" ref="U599" ca="1">_xll.BDH($E$6,"PX LAST",AI599)</f>
        <v>130.66999999999999</v>
      </c>
      <c r="V599" s="9" cm="1">
        <f t="array" aca="1" ref="V599" ca="1">_xll.BDH($E$6,"PX LAST",AJ599)</f>
        <v>139.83000000000001</v>
      </c>
      <c r="W599" s="9" cm="1">
        <f t="array" aca="1" ref="W599" ca="1">_xll.BDH($E$6,"PX LAST",AK599)</f>
        <v>151.33000000000001</v>
      </c>
      <c r="X599" s="24">
        <f t="shared" ca="1" si="160"/>
        <v>4.3640310062529775E-2</v>
      </c>
      <c r="Y599" s="24">
        <f t="shared" ca="1" si="161"/>
        <v>9.2987377279101224E-3</v>
      </c>
      <c r="Z599" s="24">
        <f t="shared" ca="1" si="162"/>
        <v>1.3994208807028397E-2</v>
      </c>
      <c r="AA599" s="24">
        <f t="shared" ca="1" si="163"/>
        <v>-3.3558579227389473E-2</v>
      </c>
      <c r="AB599" s="9" cm="1">
        <f t="array" aca="1" ref="AB599" ca="1">_xll.BDH($E$8,"PX LAST",AG599)</f>
        <v>4317.78</v>
      </c>
      <c r="AC599" s="9" cm="1">
        <f t="array" aca="1" ref="AC599" ca="1">_xll.BDH($E$8,"PX LAST",AH599)</f>
        <v>4137.2299999999996</v>
      </c>
      <c r="AD599" s="9" cm="1">
        <f t="array" aca="1" ref="AD599" ca="1">_xll.BDH($E$8,"PX LAST",AI599)</f>
        <v>4278</v>
      </c>
      <c r="AE599" s="9" cm="1">
        <f t="array" aca="1" ref="AE599" ca="1">_xll.BDH($E$8,"PX LAST",AJ599)</f>
        <v>4258.1899999999996</v>
      </c>
      <c r="AF599" s="9" cm="1">
        <f t="array" aca="1" ref="AF599" ca="1">_xll.BDH($E$8,"PX LAST",AK599)</f>
        <v>4467.71</v>
      </c>
      <c r="AG599" s="20">
        <f t="shared" ref="AG599:AG662" ca="1" si="169">+WORKDAY(D599, 0, $AN$2:$AN$59)</f>
        <v>45232</v>
      </c>
      <c r="AH599" s="22">
        <f t="shared" ca="1" si="164"/>
        <v>45225</v>
      </c>
      <c r="AI599" s="22">
        <f t="shared" ca="1" si="165"/>
        <v>45218</v>
      </c>
      <c r="AJ599" s="22">
        <f t="shared" ca="1" si="166"/>
        <v>45204</v>
      </c>
      <c r="AK599" s="22">
        <f t="shared" ca="1" si="167"/>
        <v>45147</v>
      </c>
      <c r="AL599" s="22">
        <f t="shared" ca="1" si="168"/>
        <v>45058</v>
      </c>
    </row>
    <row r="600" spans="4:38" x14ac:dyDescent="0.25">
      <c r="D600" s="6">
        <f ca="1"/>
        <v>45231</v>
      </c>
      <c r="E600" s="28">
        <f ca="1"/>
        <v>131.08000000000001</v>
      </c>
      <c r="F600" s="29" cm="1">
        <f t="array" aca="1" ref="F600" ca="1">_xll.FDS($E$7,"P_BETA_LOCIDX("&amp;$AG600&amp;","&amp;$AL600&amp;",,"""&amp;$E$9&amp;""")")</f>
        <v>1.8602514999999999</v>
      </c>
      <c r="G600" s="30">
        <f t="shared" ca="1" si="154"/>
        <v>3.7303098500343287E-2</v>
      </c>
      <c r="H600" s="30">
        <f t="shared" ca="1" si="154"/>
        <v>2.0134852046567855E-2</v>
      </c>
      <c r="I600" s="30">
        <f t="shared" ca="1" si="154"/>
        <v>-5.6281510634942654E-2</v>
      </c>
      <c r="J600" s="30">
        <f t="shared" ca="1" si="154"/>
        <v>-3.1205822663991814E-2</v>
      </c>
      <c r="K600" s="30">
        <f t="shared" ca="1" si="155"/>
        <v>2.2700136175380702E-2</v>
      </c>
      <c r="L600" s="30">
        <f t="shared" ca="1" si="155"/>
        <v>-3.3086659275483501E-2</v>
      </c>
      <c r="M600" s="30">
        <f t="shared" ca="1" si="155"/>
        <v>-1.1295669618293905E-2</v>
      </c>
      <c r="N600" s="30">
        <f t="shared" ca="1" si="155"/>
        <v>-0.10812444654152358</v>
      </c>
      <c r="O600" s="30">
        <f t="shared" ca="1" si="156"/>
        <v>6.0003234675723993E-2</v>
      </c>
      <c r="P600" s="30">
        <f t="shared" ca="1" si="157"/>
        <v>-1.2951807228915646E-2</v>
      </c>
      <c r="Q600" s="30">
        <f t="shared" ca="1" si="158"/>
        <v>-6.7577180253236557E-2</v>
      </c>
      <c r="R600" s="30">
        <f t="shared" ca="1" si="159"/>
        <v>-0.13933026920551539</v>
      </c>
      <c r="S600" s="9" cm="1">
        <f t="array" aca="1" ref="S600" ca="1">_xll.BDH($E$6,"PX LAST",AG600)</f>
        <v>131.08000000000001</v>
      </c>
      <c r="T600" s="9" cm="1">
        <f t="array" aca="1" ref="T600" ca="1">_xll.BDH($E$6,"PX LAST",AH600)</f>
        <v>123.66</v>
      </c>
      <c r="U600" s="9" cm="1">
        <f t="array" aca="1" ref="U600" ca="1">_xll.BDH($E$6,"PX LAST",AI600)</f>
        <v>132.80000000000001</v>
      </c>
      <c r="V600" s="9" cm="1">
        <f t="array" aca="1" ref="V600" ca="1">_xll.BDH($E$6,"PX LAST",AJ600)</f>
        <v>140.58000000000001</v>
      </c>
      <c r="W600" s="9" cm="1">
        <f t="array" aca="1" ref="W600" ca="1">_xll.BDH($E$6,"PX LAST",AK600)</f>
        <v>152.30000000000001</v>
      </c>
      <c r="X600" s="24">
        <f t="shared" ca="1" si="160"/>
        <v>1.2202724295817369E-2</v>
      </c>
      <c r="Y600" s="24">
        <f t="shared" ca="1" si="161"/>
        <v>-1.7786121540815047E-2</v>
      </c>
      <c r="Z600" s="24">
        <f t="shared" ca="1" si="162"/>
        <v>-6.0721196130167909E-3</v>
      </c>
      <c r="AA600" s="24">
        <f t="shared" ca="1" si="163"/>
        <v>-5.8123563690997471E-2</v>
      </c>
      <c r="AB600" s="9" cm="1">
        <f t="array" aca="1" ref="AB600" ca="1">_xll.BDH($E$8,"PX LAST",AG600)</f>
        <v>4237.8599999999997</v>
      </c>
      <c r="AC600" s="9" cm="1">
        <f t="array" aca="1" ref="AC600" ca="1">_xll.BDH($E$8,"PX LAST",AH600)</f>
        <v>4186.7700000000004</v>
      </c>
      <c r="AD600" s="9" cm="1">
        <f t="array" aca="1" ref="AD600" ca="1">_xll.BDH($E$8,"PX LAST",AI600)</f>
        <v>4314.6000000000004</v>
      </c>
      <c r="AE600" s="9" cm="1">
        <f t="array" aca="1" ref="AE600" ca="1">_xll.BDH($E$8,"PX LAST",AJ600)</f>
        <v>4263.75</v>
      </c>
      <c r="AF600" s="9" cm="1">
        <f t="array" aca="1" ref="AF600" ca="1">_xll.BDH($E$8,"PX LAST",AK600)</f>
        <v>4499.38</v>
      </c>
      <c r="AG600" s="20">
        <f t="shared" ca="1" si="169"/>
        <v>45231</v>
      </c>
      <c r="AH600" s="22">
        <f t="shared" ca="1" si="164"/>
        <v>45224</v>
      </c>
      <c r="AI600" s="22">
        <f t="shared" ca="1" si="165"/>
        <v>45217</v>
      </c>
      <c r="AJ600" s="22">
        <f t="shared" ca="1" si="166"/>
        <v>45203</v>
      </c>
      <c r="AK600" s="22">
        <f t="shared" ca="1" si="167"/>
        <v>45146</v>
      </c>
      <c r="AL600" s="22">
        <f t="shared" ca="1" si="168"/>
        <v>45057</v>
      </c>
    </row>
    <row r="601" spans="4:38" x14ac:dyDescent="0.25">
      <c r="D601" s="6">
        <f ca="1"/>
        <v>45230</v>
      </c>
      <c r="E601" s="28">
        <f ca="1"/>
        <v>128.19999999999999</v>
      </c>
      <c r="F601" s="29" cm="1">
        <f t="array" aca="1" ref="F601" ca="1">_xll.FDS($E$7,"P_BETA_LOCIDX("&amp;$AG601&amp;","&amp;$AL601&amp;",,"""&amp;$E$9&amp;""")")</f>
        <v>1.8409918999999999</v>
      </c>
      <c r="G601" s="30">
        <f t="shared" ca="1" si="154"/>
        <v>4.1135616405453664E-2</v>
      </c>
      <c r="H601" s="30">
        <f t="shared" ca="1" si="154"/>
        <v>-1.5115774238134705E-3</v>
      </c>
      <c r="I601" s="30">
        <f t="shared" ca="1" si="154"/>
        <v>-5.5564099762415241E-2</v>
      </c>
      <c r="J601" s="30">
        <f t="shared" ca="1" si="154"/>
        <v>-3.4341265654224712E-2</v>
      </c>
      <c r="K601" s="30">
        <f t="shared" ca="1" si="155"/>
        <v>-2.3352193096466807E-2</v>
      </c>
      <c r="L601" s="30">
        <f t="shared" ca="1" si="155"/>
        <v>-7.5522259869203245E-2</v>
      </c>
      <c r="M601" s="30">
        <f t="shared" ca="1" si="155"/>
        <v>-1.5517705903840861E-2</v>
      </c>
      <c r="N601" s="30">
        <f t="shared" ca="1" si="155"/>
        <v>-0.13227122865767812</v>
      </c>
      <c r="O601" s="30">
        <f t="shared" ca="1" si="156"/>
        <v>1.7783423308986857E-2</v>
      </c>
      <c r="P601" s="30">
        <f t="shared" ca="1" si="157"/>
        <v>-7.7033837293016716E-2</v>
      </c>
      <c r="Q601" s="30">
        <f t="shared" ca="1" si="158"/>
        <v>-7.1081805666256104E-2</v>
      </c>
      <c r="R601" s="30">
        <f t="shared" ca="1" si="159"/>
        <v>-0.16661249431190284</v>
      </c>
      <c r="S601" s="9" cm="1">
        <f t="array" aca="1" ref="S601" ca="1">_xll.BDH($E$6,"PX LAST",AG601)</f>
        <v>128.19999999999999</v>
      </c>
      <c r="T601" s="9" cm="1">
        <f t="array" aca="1" ref="T601" ca="1">_xll.BDH($E$6,"PX LAST",AH601)</f>
        <v>125.96</v>
      </c>
      <c r="U601" s="9" cm="1">
        <f t="array" aca="1" ref="U601" ca="1">_xll.BDH($E$6,"PX LAST",AI601)</f>
        <v>138.9</v>
      </c>
      <c r="V601" s="9" cm="1">
        <f t="array" aca="1" ref="V601" ca="1">_xll.BDH($E$6,"PX LAST",AJ601)</f>
        <v>138.01</v>
      </c>
      <c r="W601" s="9" cm="1">
        <f t="array" aca="1" ref="W601" ca="1">_xll.BDH($E$6,"PX LAST",AK601)</f>
        <v>153.83000000000001</v>
      </c>
      <c r="X601" s="24">
        <f t="shared" ca="1" si="160"/>
        <v>-1.2684571342474027E-2</v>
      </c>
      <c r="Y601" s="24">
        <f t="shared" ca="1" si="161"/>
        <v>-4.1022592152199722E-2</v>
      </c>
      <c r="Z601" s="24">
        <f t="shared" ca="1" si="162"/>
        <v>-8.4289919493077958E-3</v>
      </c>
      <c r="AA601" s="24">
        <f t="shared" ca="1" si="163"/>
        <v>-7.1847805879905358E-2</v>
      </c>
      <c r="AB601" s="9" cm="1">
        <f t="array" aca="1" ref="AB601" ca="1">_xll.BDH($E$8,"PX LAST",AG601)</f>
        <v>4193.8</v>
      </c>
      <c r="AC601" s="9" cm="1">
        <f t="array" aca="1" ref="AC601" ca="1">_xll.BDH($E$8,"PX LAST",AH601)</f>
        <v>4247.68</v>
      </c>
      <c r="AD601" s="9" cm="1">
        <f t="array" aca="1" ref="AD601" ca="1">_xll.BDH($E$8,"PX LAST",AI601)</f>
        <v>4373.2</v>
      </c>
      <c r="AE601" s="9" cm="1">
        <f t="array" aca="1" ref="AE601" ca="1">_xll.BDH($E$8,"PX LAST",AJ601)</f>
        <v>4229.45</v>
      </c>
      <c r="AF601" s="9" cm="1">
        <f t="array" aca="1" ref="AF601" ca="1">_xll.BDH($E$8,"PX LAST",AK601)</f>
        <v>4518.4399999999996</v>
      </c>
      <c r="AG601" s="20">
        <f t="shared" ca="1" si="169"/>
        <v>45230</v>
      </c>
      <c r="AH601" s="22">
        <f t="shared" ca="1" si="164"/>
        <v>45223</v>
      </c>
      <c r="AI601" s="22">
        <f t="shared" ca="1" si="165"/>
        <v>45216</v>
      </c>
      <c r="AJ601" s="22">
        <f t="shared" ca="1" si="166"/>
        <v>45202</v>
      </c>
      <c r="AK601" s="22">
        <f t="shared" ca="1" si="167"/>
        <v>45145</v>
      </c>
      <c r="AL601" s="22">
        <f t="shared" ca="1" si="168"/>
        <v>45056</v>
      </c>
    </row>
    <row r="602" spans="4:38" x14ac:dyDescent="0.25">
      <c r="D602" s="6">
        <f ca="1"/>
        <v>45229</v>
      </c>
      <c r="E602" s="28">
        <f ca="1"/>
        <v>128.13</v>
      </c>
      <c r="F602" s="29" cm="1">
        <f t="array" aca="1" ref="F602" ca="1">_xll.FDS($E$7,"P_BETA_LOCIDX("&amp;$AG602&amp;","&amp;$AL602&amp;",,"""&amp;$E$9&amp;""")")</f>
        <v>1.8412147999999999</v>
      </c>
      <c r="G602" s="30">
        <f t="shared" ca="1" si="154"/>
        <v>3.9800874477347176E-2</v>
      </c>
      <c r="H602" s="30">
        <f t="shared" ca="1" si="154"/>
        <v>1.6079886302734436E-2</v>
      </c>
      <c r="I602" s="30">
        <f t="shared" ca="1" si="154"/>
        <v>-4.171539658954336E-2</v>
      </c>
      <c r="J602" s="30">
        <f t="shared" ca="1" si="154"/>
        <v>-3.5519439464934272E-2</v>
      </c>
      <c r="K602" s="30">
        <f t="shared" ca="1" si="155"/>
        <v>-2.1926708605087972E-2</v>
      </c>
      <c r="L602" s="30">
        <f t="shared" ca="1" si="155"/>
        <v>-8.7063064957026703E-2</v>
      </c>
      <c r="M602" s="30">
        <f t="shared" ca="1" si="155"/>
        <v>-5.2195925099163279E-2</v>
      </c>
      <c r="N602" s="30">
        <f t="shared" ca="1" si="155"/>
        <v>-0.12795904848962594</v>
      </c>
      <c r="O602" s="30">
        <f t="shared" ca="1" si="156"/>
        <v>1.7874165872259207E-2</v>
      </c>
      <c r="P602" s="30">
        <f t="shared" ca="1" si="157"/>
        <v>-7.0983178654292267E-2</v>
      </c>
      <c r="Q602" s="30">
        <f t="shared" ca="1" si="158"/>
        <v>-9.3911321688706639E-2</v>
      </c>
      <c r="R602" s="30">
        <f t="shared" ca="1" si="159"/>
        <v>-0.16347848795456021</v>
      </c>
      <c r="S602" s="9" cm="1">
        <f t="array" aca="1" ref="S602" ca="1">_xll.BDH($E$6,"PX LAST",AG602)</f>
        <v>128.13</v>
      </c>
      <c r="T602" s="9" cm="1">
        <f t="array" aca="1" ref="T602" ca="1">_xll.BDH($E$6,"PX LAST",AH602)</f>
        <v>125.88</v>
      </c>
      <c r="U602" s="9" cm="1">
        <f t="array" aca="1" ref="U602" ca="1">_xll.BDH($E$6,"PX LAST",AI602)</f>
        <v>137.91999999999999</v>
      </c>
      <c r="V602" s="9" cm="1">
        <f t="array" aca="1" ref="V602" ca="1">_xll.BDH($E$6,"PX LAST",AJ602)</f>
        <v>141.41</v>
      </c>
      <c r="W602" s="9" cm="1">
        <f t="array" aca="1" ref="W602" ca="1">_xll.BDH($E$6,"PX LAST",AK602)</f>
        <v>153.16999999999999</v>
      </c>
      <c r="X602" s="24">
        <f t="shared" ca="1" si="160"/>
        <v>-1.1908827044562087E-2</v>
      </c>
      <c r="Y602" s="24">
        <f t="shared" ca="1" si="161"/>
        <v>-4.7285664310881437E-2</v>
      </c>
      <c r="Z602" s="24">
        <f t="shared" ca="1" si="162"/>
        <v>-2.8348634335963019E-2</v>
      </c>
      <c r="AA602" s="24">
        <f t="shared" ca="1" si="163"/>
        <v>-6.9497077956154785E-2</v>
      </c>
      <c r="AB602" s="9" cm="1">
        <f t="array" aca="1" ref="AB602" ca="1">_xll.BDH($E$8,"PX LAST",AG602)</f>
        <v>4166.82</v>
      </c>
      <c r="AC602" s="9" cm="1">
        <f t="array" aca="1" ref="AC602" ca="1">_xll.BDH($E$8,"PX LAST",AH602)</f>
        <v>4217.04</v>
      </c>
      <c r="AD602" s="9" cm="1">
        <f t="array" aca="1" ref="AD602" ca="1">_xll.BDH($E$8,"PX LAST",AI602)</f>
        <v>4373.63</v>
      </c>
      <c r="AE602" s="9" cm="1">
        <f t="array" aca="1" ref="AE602" ca="1">_xll.BDH($E$8,"PX LAST",AJ602)</f>
        <v>4288.3900000000003</v>
      </c>
      <c r="AF602" s="9" cm="1">
        <f t="array" aca="1" ref="AF602" ca="1">_xll.BDH($E$8,"PX LAST",AK602)</f>
        <v>4478.03</v>
      </c>
      <c r="AG602" s="20">
        <f t="shared" ca="1" si="169"/>
        <v>45229</v>
      </c>
      <c r="AH602" s="22">
        <f t="shared" ca="1" si="164"/>
        <v>45222</v>
      </c>
      <c r="AI602" s="22">
        <f t="shared" ca="1" si="165"/>
        <v>45215</v>
      </c>
      <c r="AJ602" s="22">
        <f t="shared" ca="1" si="166"/>
        <v>45201</v>
      </c>
      <c r="AK602" s="22">
        <f t="shared" ca="1" si="167"/>
        <v>45142</v>
      </c>
      <c r="AL602" s="22">
        <f t="shared" ca="1" si="168"/>
        <v>45055</v>
      </c>
    </row>
    <row r="603" spans="4:38" x14ac:dyDescent="0.25">
      <c r="D603" s="6">
        <f ca="1"/>
        <v>45226</v>
      </c>
      <c r="E603" s="28">
        <f ca="1"/>
        <v>126</v>
      </c>
      <c r="F603" s="29" cm="1">
        <f t="array" aca="1" ref="F603" ca="1">_xll.FDS($E$7,"P_BETA_LOCIDX("&amp;$AG603&amp;","&amp;$AL603&amp;",,"""&amp;$E$9&amp;""")")</f>
        <v>1.8512112000000001</v>
      </c>
      <c r="G603" s="30">
        <f t="shared" ca="1" si="154"/>
        <v>5.0224421747070508E-2</v>
      </c>
      <c r="H603" s="30">
        <f t="shared" ca="1" si="154"/>
        <v>3.2411415147362066E-2</v>
      </c>
      <c r="I603" s="30">
        <f t="shared" ca="1" si="154"/>
        <v>-5.0219936285900921E-2</v>
      </c>
      <c r="J603" s="30">
        <f t="shared" ca="1" si="154"/>
        <v>-1.9911042516711192E-2</v>
      </c>
      <c r="K603" s="30">
        <f t="shared" ca="1" si="155"/>
        <v>-4.6800036941782558E-2</v>
      </c>
      <c r="L603" s="30">
        <f t="shared" ca="1" si="155"/>
        <v>-9.0003038184011175E-2</v>
      </c>
      <c r="M603" s="30">
        <f t="shared" ca="1" si="155"/>
        <v>-7.3684944815475731E-2</v>
      </c>
      <c r="N603" s="30">
        <f t="shared" ca="1" si="155"/>
        <v>-0.15811753077574095</v>
      </c>
      <c r="O603" s="30">
        <f t="shared" ca="1" si="156"/>
        <v>3.42438480528795E-3</v>
      </c>
      <c r="P603" s="30">
        <f t="shared" ca="1" si="157"/>
        <v>-5.7591623036649109E-2</v>
      </c>
      <c r="Q603" s="30">
        <f t="shared" ca="1" si="158"/>
        <v>-0.12390488110137665</v>
      </c>
      <c r="R603" s="30">
        <f t="shared" ca="1" si="159"/>
        <v>-0.17802857329245214</v>
      </c>
      <c r="S603" s="9" cm="1">
        <f t="array" aca="1" ref="S603" ca="1">_xll.BDH($E$6,"PX LAST",AG603)</f>
        <v>126</v>
      </c>
      <c r="T603" s="9" cm="1">
        <f t="array" aca="1" ref="T603" ca="1">_xll.BDH($E$6,"PX LAST",AH603)</f>
        <v>125.57</v>
      </c>
      <c r="U603" s="9" cm="1">
        <f t="array" aca="1" ref="U603" ca="1">_xll.BDH($E$6,"PX LAST",AI603)</f>
        <v>133.69999999999999</v>
      </c>
      <c r="V603" s="9" cm="1">
        <f t="array" aca="1" ref="V603" ca="1">_xll.BDH($E$6,"PX LAST",AJ603)</f>
        <v>143.82</v>
      </c>
      <c r="W603" s="9" cm="1">
        <f t="array" aca="1" ref="W603" ca="1">_xll.BDH($E$6,"PX LAST",AK603)</f>
        <v>153.29</v>
      </c>
      <c r="X603" s="24">
        <f t="shared" ca="1" si="160"/>
        <v>-2.5280765880080325E-2</v>
      </c>
      <c r="Y603" s="24">
        <f t="shared" ca="1" si="161"/>
        <v>-4.8618460272934372E-2</v>
      </c>
      <c r="Z603" s="24">
        <f t="shared" ca="1" si="162"/>
        <v>-3.9803640349343028E-2</v>
      </c>
      <c r="AA603" s="24">
        <f t="shared" ca="1" si="163"/>
        <v>-8.5413015422411531E-2</v>
      </c>
      <c r="AB603" s="9" cm="1">
        <f t="array" aca="1" ref="AB603" ca="1">_xll.BDH($E$8,"PX LAST",AG603)</f>
        <v>4117.37</v>
      </c>
      <c r="AC603" s="9" cm="1">
        <f t="array" aca="1" ref="AC603" ca="1">_xll.BDH($E$8,"PX LAST",AH603)</f>
        <v>4224.16</v>
      </c>
      <c r="AD603" s="9" cm="1">
        <f t="array" aca="1" ref="AD603" ca="1">_xll.BDH($E$8,"PX LAST",AI603)</f>
        <v>4327.78</v>
      </c>
      <c r="AE603" s="9" cm="1">
        <f t="array" aca="1" ref="AE603" ca="1">_xll.BDH($E$8,"PX LAST",AJ603)</f>
        <v>4288.05</v>
      </c>
      <c r="AF603" s="9" cm="1">
        <f t="array" aca="1" ref="AF603" ca="1">_xll.BDH($E$8,"PX LAST",AK603)</f>
        <v>4501.8900000000003</v>
      </c>
      <c r="AG603" s="20">
        <f t="shared" ca="1" si="169"/>
        <v>45226</v>
      </c>
      <c r="AH603" s="22">
        <f t="shared" ca="1" si="164"/>
        <v>45219</v>
      </c>
      <c r="AI603" s="22">
        <f t="shared" ca="1" si="165"/>
        <v>45212</v>
      </c>
      <c r="AJ603" s="22">
        <f t="shared" ca="1" si="166"/>
        <v>45198</v>
      </c>
      <c r="AK603" s="22">
        <f t="shared" ca="1" si="167"/>
        <v>45141</v>
      </c>
      <c r="AL603" s="22">
        <f t="shared" ca="1" si="168"/>
        <v>45054</v>
      </c>
    </row>
    <row r="604" spans="4:38" x14ac:dyDescent="0.25">
      <c r="D604" s="6">
        <f ca="1"/>
        <v>45225</v>
      </c>
      <c r="E604" s="28">
        <f ca="1"/>
        <v>126.61</v>
      </c>
      <c r="F604" s="29" cm="1">
        <f t="array" aca="1" ref="F604" ca="1">_xll.FDS($E$7,"P_BETA_LOCIDX("&amp;$AG604&amp;","&amp;$AL604&amp;",,"""&amp;$E$9&amp;""")")</f>
        <v>1.9191358000000001</v>
      </c>
      <c r="G604" s="30">
        <f t="shared" ca="1" si="154"/>
        <v>3.2079608685919567E-2</v>
      </c>
      <c r="H604" s="30">
        <f t="shared" ca="1" si="154"/>
        <v>-3.5643124136236284E-2</v>
      </c>
      <c r="I604" s="30">
        <f t="shared" ca="1" si="154"/>
        <v>-6.1832637218157169E-2</v>
      </c>
      <c r="J604" s="30">
        <f t="shared" ca="1" si="154"/>
        <v>-0.13454783148115862</v>
      </c>
      <c r="K604" s="30">
        <f t="shared" ca="1" si="155"/>
        <v>-6.3150244639083961E-2</v>
      </c>
      <c r="L604" s="30">
        <f t="shared" ca="1" si="155"/>
        <v>-9.3706346363007217E-2</v>
      </c>
      <c r="M604" s="30">
        <f t="shared" ca="1" si="155"/>
        <v>-7.2517150830523194E-2</v>
      </c>
      <c r="N604" s="30">
        <f t="shared" ca="1" si="155"/>
        <v>-0.15994676341463993</v>
      </c>
      <c r="O604" s="30">
        <f t="shared" ca="1" si="156"/>
        <v>-3.1070635953164394E-2</v>
      </c>
      <c r="P604" s="30">
        <f t="shared" ca="1" si="157"/>
        <v>-0.1293494704992435</v>
      </c>
      <c r="Q604" s="30">
        <f t="shared" ca="1" si="158"/>
        <v>-0.13434978804868036</v>
      </c>
      <c r="R604" s="30">
        <f t="shared" ca="1" si="159"/>
        <v>-0.29449459489579854</v>
      </c>
      <c r="S604" s="9" cm="1">
        <f t="array" aca="1" ref="S604" ca="1">_xll.BDH($E$6,"PX LAST",AG604)</f>
        <v>126.61</v>
      </c>
      <c r="T604" s="9" cm="1">
        <f t="array" aca="1" ref="T604" ca="1">_xll.BDH($E$6,"PX LAST",AH604)</f>
        <v>130.66999999999999</v>
      </c>
      <c r="U604" s="9" cm="1">
        <f t="array" aca="1" ref="U604" ca="1">_xll.BDH($E$6,"PX LAST",AI604)</f>
        <v>145.41999999999999</v>
      </c>
      <c r="V604" s="9" cm="1">
        <f t="array" aca="1" ref="V604" ca="1">_xll.BDH($E$6,"PX LAST",AJ604)</f>
        <v>146.26</v>
      </c>
      <c r="W604" s="9" cm="1">
        <f t="array" aca="1" ref="W604" ca="1">_xll.BDH($E$6,"PX LAST",AK604)</f>
        <v>179.46</v>
      </c>
      <c r="X604" s="24">
        <f t="shared" ca="1" si="160"/>
        <v>-3.2905563347358724E-2</v>
      </c>
      <c r="Y604" s="24">
        <f t="shared" ca="1" si="161"/>
        <v>-4.8827366131676153E-2</v>
      </c>
      <c r="Z604" s="24">
        <f t="shared" ca="1" si="162"/>
        <v>-3.778635718771084E-2</v>
      </c>
      <c r="AA604" s="24">
        <f t="shared" ca="1" si="163"/>
        <v>-8.3343119030263479E-2</v>
      </c>
      <c r="AB604" s="9" cm="1">
        <f t="array" aca="1" ref="AB604" ca="1">_xll.BDH($E$8,"PX LAST",AG604)</f>
        <v>4137.2299999999996</v>
      </c>
      <c r="AC604" s="9" cm="1">
        <f t="array" aca="1" ref="AC604" ca="1">_xll.BDH($E$8,"PX LAST",AH604)</f>
        <v>4278</v>
      </c>
      <c r="AD604" s="9" cm="1">
        <f t="array" aca="1" ref="AD604" ca="1">_xll.BDH($E$8,"PX LAST",AI604)</f>
        <v>4349.6099999999997</v>
      </c>
      <c r="AE604" s="9" cm="1">
        <f t="array" aca="1" ref="AE604" ca="1">_xll.BDH($E$8,"PX LAST",AJ604)</f>
        <v>4299.7</v>
      </c>
      <c r="AF604" s="9" cm="1">
        <f t="array" aca="1" ref="AF604" ca="1">_xll.BDH($E$8,"PX LAST",AK604)</f>
        <v>4513.3900000000003</v>
      </c>
      <c r="AG604" s="20">
        <f t="shared" ca="1" si="169"/>
        <v>45225</v>
      </c>
      <c r="AH604" s="22">
        <f t="shared" ca="1" si="164"/>
        <v>45218</v>
      </c>
      <c r="AI604" s="22">
        <f t="shared" ca="1" si="165"/>
        <v>45211</v>
      </c>
      <c r="AJ604" s="22">
        <f t="shared" ca="1" si="166"/>
        <v>45197</v>
      </c>
      <c r="AK604" s="22">
        <f t="shared" ca="1" si="167"/>
        <v>45140</v>
      </c>
      <c r="AL604" s="22">
        <f t="shared" ca="1" si="168"/>
        <v>45051</v>
      </c>
    </row>
    <row r="605" spans="4:38" x14ac:dyDescent="0.25">
      <c r="D605" s="6">
        <f ca="1"/>
        <v>45224</v>
      </c>
      <c r="E605" s="28">
        <f ca="1"/>
        <v>123.66</v>
      </c>
      <c r="F605" s="29" cm="1">
        <f t="array" aca="1" ref="F605" ca="1">_xll.FDS($E$7,"P_BETA_LOCIDX("&amp;$AG605&amp;","&amp;$AL605&amp;",,"""&amp;$E$9&amp;""")")</f>
        <v>2.1571433999999998</v>
      </c>
      <c r="G605" s="30">
        <f t="shared" ca="1" si="154"/>
        <v>-4.9149408418656532E-3</v>
      </c>
      <c r="H605" s="30">
        <f t="shared" ca="1" si="154"/>
        <v>-6.9600191651963142E-2</v>
      </c>
      <c r="I605" s="30">
        <f t="shared" ca="1" si="154"/>
        <v>-0.10605844135382428</v>
      </c>
      <c r="J605" s="30">
        <f t="shared" ca="1" si="154"/>
        <v>-0.13038186090406056</v>
      </c>
      <c r="K605" s="30">
        <f t="shared" ca="1" si="155"/>
        <v>-6.391036036295368E-2</v>
      </c>
      <c r="L605" s="30">
        <f t="shared" ca="1" si="155"/>
        <v>-9.3728631081460498E-2</v>
      </c>
      <c r="M605" s="30">
        <f t="shared" ca="1" si="155"/>
        <v>-4.4278235848319442E-2</v>
      </c>
      <c r="N605" s="30">
        <f t="shared" ca="1" si="155"/>
        <v>-0.18379927158997755</v>
      </c>
      <c r="O605" s="30">
        <f t="shared" ca="1" si="156"/>
        <v>-6.8825301204819334E-2</v>
      </c>
      <c r="P605" s="30">
        <f t="shared" ca="1" si="157"/>
        <v>-0.16332882273342364</v>
      </c>
      <c r="Q605" s="30">
        <f t="shared" ca="1" si="158"/>
        <v>-0.15033667720214372</v>
      </c>
      <c r="R605" s="30">
        <f t="shared" ca="1" si="159"/>
        <v>-0.31418113249403812</v>
      </c>
      <c r="S605" s="9" cm="1">
        <f t="array" aca="1" ref="S605" ca="1">_xll.BDH($E$6,"PX LAST",AG605)</f>
        <v>123.66</v>
      </c>
      <c r="T605" s="9" cm="1">
        <f t="array" aca="1" ref="T605" ca="1">_xll.BDH($E$6,"PX LAST",AH605)</f>
        <v>132.80000000000001</v>
      </c>
      <c r="U605" s="9" cm="1">
        <f t="array" aca="1" ref="U605" ca="1">_xll.BDH($E$6,"PX LAST",AI605)</f>
        <v>147.80000000000001</v>
      </c>
      <c r="V605" s="9" cm="1">
        <f t="array" aca="1" ref="V605" ca="1">_xll.BDH($E$6,"PX LAST",AJ605)</f>
        <v>145.54</v>
      </c>
      <c r="W605" s="9" cm="1">
        <f t="array" aca="1" ref="W605" ca="1">_xll.BDH($E$6,"PX LAST",AK605)</f>
        <v>180.31</v>
      </c>
      <c r="X605" s="24">
        <f t="shared" ca="1" si="160"/>
        <v>-2.962731191767487E-2</v>
      </c>
      <c r="Y605" s="24">
        <f t="shared" ca="1" si="161"/>
        <v>-4.345034784496038E-2</v>
      </c>
      <c r="Z605" s="24">
        <f t="shared" ca="1" si="162"/>
        <v>-2.0526329333654614E-2</v>
      </c>
      <c r="AA605" s="24">
        <f t="shared" ca="1" si="163"/>
        <v>-8.52049388974222E-2</v>
      </c>
      <c r="AB605" s="9" cm="1">
        <f t="array" aca="1" ref="AB605" ca="1">_xll.BDH($E$8,"PX LAST",AG605)</f>
        <v>4186.7700000000004</v>
      </c>
      <c r="AC605" s="9" cm="1">
        <f t="array" aca="1" ref="AC605" ca="1">_xll.BDH($E$8,"PX LAST",AH605)</f>
        <v>4314.6000000000004</v>
      </c>
      <c r="AD605" s="9" cm="1">
        <f t="array" aca="1" ref="AD605" ca="1">_xll.BDH($E$8,"PX LAST",AI605)</f>
        <v>4376.95</v>
      </c>
      <c r="AE605" s="9" cm="1">
        <f t="array" aca="1" ref="AE605" ca="1">_xll.BDH($E$8,"PX LAST",AJ605)</f>
        <v>4274.51</v>
      </c>
      <c r="AF605" s="9" cm="1">
        <f t="array" aca="1" ref="AF605" ca="1">_xll.BDH($E$8,"PX LAST",AK605)</f>
        <v>4576.7299999999996</v>
      </c>
      <c r="AG605" s="20">
        <f t="shared" ca="1" si="169"/>
        <v>45224</v>
      </c>
      <c r="AH605" s="22">
        <f t="shared" ca="1" si="164"/>
        <v>45217</v>
      </c>
      <c r="AI605" s="22">
        <f t="shared" ca="1" si="165"/>
        <v>45210</v>
      </c>
      <c r="AJ605" s="22">
        <f t="shared" ca="1" si="166"/>
        <v>45196</v>
      </c>
      <c r="AK605" s="22">
        <f t="shared" ca="1" si="167"/>
        <v>45139</v>
      </c>
      <c r="AL605" s="22">
        <f t="shared" ca="1" si="168"/>
        <v>45050</v>
      </c>
    </row>
    <row r="606" spans="4:38" x14ac:dyDescent="0.25">
      <c r="D606" s="6">
        <f ca="1"/>
        <v>45223</v>
      </c>
      <c r="E606" s="28">
        <f ca="1"/>
        <v>125.96</v>
      </c>
      <c r="F606" s="29" cm="1">
        <f t="array" aca="1" ref="F606" ca="1">_xll.FDS($E$7,"P_BETA_LOCIDX("&amp;$AG606&amp;","&amp;$AL606&amp;",,"""&amp;$E$9&amp;""")")</f>
        <v>2.1640768000000001</v>
      </c>
      <c r="G606" s="30">
        <f t="shared" ca="1" si="154"/>
        <v>-3.1047010172783281E-2</v>
      </c>
      <c r="H606" s="30">
        <f t="shared" ca="1" si="154"/>
        <v>-8.6595618657401105E-2</v>
      </c>
      <c r="I606" s="30">
        <f t="shared" ca="1" si="154"/>
        <v>-0.12723193496965685</v>
      </c>
      <c r="J606" s="30">
        <f t="shared" ca="1" si="154"/>
        <v>-0.12162341738679608</v>
      </c>
      <c r="K606" s="30">
        <f t="shared" ca="1" si="155"/>
        <v>-6.2113536983444288E-2</v>
      </c>
      <c r="L606" s="30">
        <f t="shared" ca="1" si="155"/>
        <v>-5.4898383523624042E-2</v>
      </c>
      <c r="M606" s="30">
        <f t="shared" ca="1" si="155"/>
        <v>-1.3090205352483562E-2</v>
      </c>
      <c r="N606" s="30">
        <f t="shared" ca="1" si="155"/>
        <v>-0.16094194115965263</v>
      </c>
      <c r="O606" s="30">
        <f t="shared" ca="1" si="156"/>
        <v>-9.3160547156227569E-2</v>
      </c>
      <c r="P606" s="30">
        <f t="shared" ca="1" si="157"/>
        <v>-0.14149400218102515</v>
      </c>
      <c r="Q606" s="30">
        <f t="shared" ca="1" si="158"/>
        <v>-0.14032214032214041</v>
      </c>
      <c r="R606" s="30">
        <f t="shared" ca="1" si="159"/>
        <v>-0.28256535854644871</v>
      </c>
      <c r="S606" s="9" cm="1">
        <f t="array" aca="1" ref="S606" ca="1">_xll.BDH($E$6,"PX LAST",AG606)</f>
        <v>125.96</v>
      </c>
      <c r="T606" s="9" cm="1">
        <f t="array" aca="1" ref="T606" ca="1">_xll.BDH($E$6,"PX LAST",AH606)</f>
        <v>138.9</v>
      </c>
      <c r="U606" s="9" cm="1">
        <f t="array" aca="1" ref="U606" ca="1">_xll.BDH($E$6,"PX LAST",AI606)</f>
        <v>146.72</v>
      </c>
      <c r="V606" s="9" cm="1">
        <f t="array" aca="1" ref="V606" ca="1">_xll.BDH($E$6,"PX LAST",AJ606)</f>
        <v>146.52000000000001</v>
      </c>
      <c r="W606" s="9" cm="1">
        <f t="array" aca="1" ref="W606" ca="1">_xll.BDH($E$6,"PX LAST",AK606)</f>
        <v>175.57</v>
      </c>
      <c r="X606" s="24">
        <f t="shared" ca="1" si="160"/>
        <v>-2.8702094576053994E-2</v>
      </c>
      <c r="Y606" s="24">
        <f t="shared" ca="1" si="161"/>
        <v>-2.5368038474246402E-2</v>
      </c>
      <c r="Z606" s="24">
        <f t="shared" ca="1" si="162"/>
        <v>-6.0488635858411133E-3</v>
      </c>
      <c r="AA606" s="24">
        <f t="shared" ca="1" si="163"/>
        <v>-7.4369791848261868E-2</v>
      </c>
      <c r="AB606" s="9" cm="1">
        <f t="array" aca="1" ref="AB606" ca="1">_xll.BDH($E$8,"PX LAST",AG606)</f>
        <v>4247.68</v>
      </c>
      <c r="AC606" s="9" cm="1">
        <f t="array" aca="1" ref="AC606" ca="1">_xll.BDH($E$8,"PX LAST",AH606)</f>
        <v>4373.2</v>
      </c>
      <c r="AD606" s="9" cm="1">
        <f t="array" aca="1" ref="AD606" ca="1">_xll.BDH($E$8,"PX LAST",AI606)</f>
        <v>4358.24</v>
      </c>
      <c r="AE606" s="9" cm="1">
        <f t="array" aca="1" ref="AE606" ca="1">_xll.BDH($E$8,"PX LAST",AJ606)</f>
        <v>4273.53</v>
      </c>
      <c r="AF606" s="9" cm="1">
        <f t="array" aca="1" ref="AF606" ca="1">_xll.BDH($E$8,"PX LAST",AK606)</f>
        <v>4588.96</v>
      </c>
      <c r="AG606" s="20">
        <f t="shared" ca="1" si="169"/>
        <v>45223</v>
      </c>
      <c r="AH606" s="22">
        <f t="shared" ca="1" si="164"/>
        <v>45216</v>
      </c>
      <c r="AI606" s="22">
        <f t="shared" ca="1" si="165"/>
        <v>45209</v>
      </c>
      <c r="AJ606" s="22">
        <f t="shared" ca="1" si="166"/>
        <v>45195</v>
      </c>
      <c r="AK606" s="22">
        <f t="shared" ca="1" si="167"/>
        <v>45138</v>
      </c>
      <c r="AL606" s="22">
        <f t="shared" ca="1" si="168"/>
        <v>45049</v>
      </c>
    </row>
    <row r="607" spans="4:38" x14ac:dyDescent="0.25">
      <c r="D607" s="6">
        <f ca="1"/>
        <v>45222</v>
      </c>
      <c r="E607" s="28">
        <f ca="1"/>
        <v>125.88</v>
      </c>
      <c r="F607" s="29" cm="1">
        <f t="array" aca="1" ref="F607" ca="1">_xll.FDS($E$7,"P_BETA_LOCIDX("&amp;$AG607&amp;","&amp;$AL607&amp;",,"""&amp;$E$9&amp;""")")</f>
        <v>2.1353971999999999</v>
      </c>
      <c r="G607" s="30">
        <f t="shared" ca="1" si="154"/>
        <v>-1.0842906127991145E-2</v>
      </c>
      <c r="H607" s="30">
        <f t="shared" ca="1" si="154"/>
        <v>-9.0691839928174062E-2</v>
      </c>
      <c r="I607" s="30">
        <f t="shared" ca="1" si="154"/>
        <v>-8.6953959078867521E-2</v>
      </c>
      <c r="J607" s="30">
        <f t="shared" ca="1" si="154"/>
        <v>-9.5778271954073818E-2</v>
      </c>
      <c r="K607" s="30">
        <f t="shared" ca="1" si="155"/>
        <v>-7.6454077630709508E-2</v>
      </c>
      <c r="L607" s="30">
        <f t="shared" ca="1" si="155"/>
        <v>-5.8422665952588403E-2</v>
      </c>
      <c r="M607" s="30">
        <f t="shared" ca="1" si="155"/>
        <v>-5.9275015419233391E-2</v>
      </c>
      <c r="N607" s="30">
        <f t="shared" ca="1" si="155"/>
        <v>-0.17018475796020696</v>
      </c>
      <c r="O607" s="30">
        <f t="shared" ca="1" si="156"/>
        <v>-8.7296983758700653E-2</v>
      </c>
      <c r="P607" s="30">
        <f t="shared" ca="1" si="157"/>
        <v>-0.14911450588076247</v>
      </c>
      <c r="Q607" s="30">
        <f t="shared" ca="1" si="158"/>
        <v>-0.14622897449810091</v>
      </c>
      <c r="R607" s="30">
        <f t="shared" ca="1" si="159"/>
        <v>-0.26596302991428078</v>
      </c>
      <c r="S607" s="9" cm="1">
        <f t="array" aca="1" ref="S607" ca="1">_xll.BDH($E$6,"PX LAST",AG607)</f>
        <v>125.88</v>
      </c>
      <c r="T607" s="9" cm="1">
        <f t="array" aca="1" ref="T607" ca="1">_xll.BDH($E$6,"PX LAST",AH607)</f>
        <v>137.91999999999999</v>
      </c>
      <c r="U607" s="9" cm="1">
        <f t="array" aca="1" ref="U607" ca="1">_xll.BDH($E$6,"PX LAST",AI607)</f>
        <v>147.94</v>
      </c>
      <c r="V607" s="9" cm="1">
        <f t="array" aca="1" ref="V607" ca="1">_xll.BDH($E$6,"PX LAST",AJ607)</f>
        <v>147.44</v>
      </c>
      <c r="W607" s="9" cm="1">
        <f t="array" aca="1" ref="W607" ca="1">_xll.BDH($E$6,"PX LAST",AK607)</f>
        <v>171.49</v>
      </c>
      <c r="X607" s="24">
        <f t="shared" ca="1" si="160"/>
        <v>-3.5803211519950251E-2</v>
      </c>
      <c r="Y607" s="24">
        <f t="shared" ca="1" si="161"/>
        <v>-2.7359156391414396E-2</v>
      </c>
      <c r="Z607" s="24">
        <f t="shared" ca="1" si="162"/>
        <v>-2.7758309048655394E-2</v>
      </c>
      <c r="AA607" s="24">
        <f t="shared" ca="1" si="163"/>
        <v>-7.9697003424096913E-2</v>
      </c>
      <c r="AB607" s="9" cm="1">
        <f t="array" aca="1" ref="AB607" ca="1">_xll.BDH($E$8,"PX LAST",AG607)</f>
        <v>4217.04</v>
      </c>
      <c r="AC607" s="9" cm="1">
        <f t="array" aca="1" ref="AC607" ca="1">_xll.BDH($E$8,"PX LAST",AH607)</f>
        <v>4373.63</v>
      </c>
      <c r="AD607" s="9" cm="1">
        <f t="array" aca="1" ref="AD607" ca="1">_xll.BDH($E$8,"PX LAST",AI607)</f>
        <v>4335.66</v>
      </c>
      <c r="AE607" s="9" cm="1">
        <f t="array" aca="1" ref="AE607" ca="1">_xll.BDH($E$8,"PX LAST",AJ607)</f>
        <v>4337.4399999999996</v>
      </c>
      <c r="AF607" s="9" cm="1">
        <f t="array" aca="1" ref="AF607" ca="1">_xll.BDH($E$8,"PX LAST",AK607)</f>
        <v>4582.2299999999996</v>
      </c>
      <c r="AG607" s="20">
        <f t="shared" ca="1" si="169"/>
        <v>45222</v>
      </c>
      <c r="AH607" s="22">
        <f t="shared" ca="1" si="164"/>
        <v>45215</v>
      </c>
      <c r="AI607" s="22">
        <f t="shared" ca="1" si="165"/>
        <v>45208</v>
      </c>
      <c r="AJ607" s="22">
        <f t="shared" ca="1" si="166"/>
        <v>45194</v>
      </c>
      <c r="AK607" s="22">
        <f t="shared" ca="1" si="167"/>
        <v>45135</v>
      </c>
      <c r="AL607" s="22">
        <f t="shared" ca="1" si="168"/>
        <v>45048</v>
      </c>
    </row>
    <row r="608" spans="4:38" x14ac:dyDescent="0.25">
      <c r="D608" s="6">
        <f ca="1"/>
        <v>45219</v>
      </c>
      <c r="E608" s="28">
        <f ca="1"/>
        <v>125.57</v>
      </c>
      <c r="F608" s="29" cm="1">
        <f t="array" aca="1" ref="F608" ca="1">_xll.FDS($E$7,"P_BETA_LOCIDX("&amp;$AG608&amp;","&amp;$AL608&amp;",,"""&amp;$E$9&amp;""")")</f>
        <v>2.137464</v>
      </c>
      <c r="G608" s="30">
        <f t="shared" ca="1" si="154"/>
        <v>-9.6304961037076836E-3</v>
      </c>
      <c r="H608" s="30">
        <f t="shared" ca="1" si="154"/>
        <v>-9.54902748130384E-2</v>
      </c>
      <c r="I608" s="30">
        <f t="shared" ca="1" si="154"/>
        <v>-9.9146016864199105E-2</v>
      </c>
      <c r="J608" s="30">
        <f t="shared" ca="1" si="154"/>
        <v>-0.10998887012317526</v>
      </c>
      <c r="K608" s="30">
        <f t="shared" ca="1" si="155"/>
        <v>-5.1177282505118007E-2</v>
      </c>
      <c r="L608" s="30">
        <f t="shared" ca="1" si="155"/>
        <v>-4.184140971567829E-2</v>
      </c>
      <c r="M608" s="30">
        <f t="shared" ca="1" si="155"/>
        <v>-4.7449062651907958E-2</v>
      </c>
      <c r="N608" s="30">
        <f t="shared" ca="1" si="155"/>
        <v>-0.14756449119651971</v>
      </c>
      <c r="O608" s="30">
        <f t="shared" ca="1" si="156"/>
        <v>-6.0807778608825691E-2</v>
      </c>
      <c r="P608" s="30">
        <f t="shared" ca="1" si="157"/>
        <v>-0.13733168452871669</v>
      </c>
      <c r="Q608" s="30">
        <f t="shared" ca="1" si="158"/>
        <v>-0.14659507951610706</v>
      </c>
      <c r="R608" s="30">
        <f t="shared" ca="1" si="159"/>
        <v>-0.25755336131969497</v>
      </c>
      <c r="S608" s="9" cm="1">
        <f t="array" aca="1" ref="S608" ca="1">_xll.BDH($E$6,"PX LAST",AG608)</f>
        <v>125.57</v>
      </c>
      <c r="T608" s="9" cm="1">
        <f t="array" aca="1" ref="T608" ca="1">_xll.BDH($E$6,"PX LAST",AH608)</f>
        <v>133.69999999999999</v>
      </c>
      <c r="U608" s="9" cm="1">
        <f t="array" aca="1" ref="U608" ca="1">_xll.BDH($E$6,"PX LAST",AI608)</f>
        <v>145.56</v>
      </c>
      <c r="V608" s="9" cm="1">
        <f t="array" aca="1" ref="V608" ca="1">_xll.BDH($E$6,"PX LAST",AJ608)</f>
        <v>147.13999999999999</v>
      </c>
      <c r="W608" s="9" cm="1">
        <f t="array" aca="1" ref="W608" ca="1">_xll.BDH($E$6,"PX LAST",AK608)</f>
        <v>169.13</v>
      </c>
      <c r="X608" s="24">
        <f t="shared" ca="1" si="160"/>
        <v>-2.3942991556872073E-2</v>
      </c>
      <c r="Y608" s="24">
        <f t="shared" ca="1" si="161"/>
        <v>-1.957525821051409E-2</v>
      </c>
      <c r="Z608" s="24">
        <f t="shared" ca="1" si="162"/>
        <v>-2.2198765757883154E-2</v>
      </c>
      <c r="AA608" s="24">
        <f t="shared" ca="1" si="163"/>
        <v>-6.9037182004711983E-2</v>
      </c>
      <c r="AB608" s="9" cm="1">
        <f t="array" aca="1" ref="AB608" ca="1">_xll.BDH($E$8,"PX LAST",AG608)</f>
        <v>4224.16</v>
      </c>
      <c r="AC608" s="9" cm="1">
        <f t="array" aca="1" ref="AC608" ca="1">_xll.BDH($E$8,"PX LAST",AH608)</f>
        <v>4327.78</v>
      </c>
      <c r="AD608" s="9" cm="1">
        <f t="array" aca="1" ref="AD608" ca="1">_xll.BDH($E$8,"PX LAST",AI608)</f>
        <v>4308.5</v>
      </c>
      <c r="AE608" s="9" cm="1">
        <f t="array" aca="1" ref="AE608" ca="1">_xll.BDH($E$8,"PX LAST",AJ608)</f>
        <v>4320.0600000000004</v>
      </c>
      <c r="AF608" s="9" cm="1">
        <f t="array" aca="1" ref="AF608" ca="1">_xll.BDH($E$8,"PX LAST",AK608)</f>
        <v>4537.41</v>
      </c>
      <c r="AG608" s="20">
        <f t="shared" ca="1" si="169"/>
        <v>45219</v>
      </c>
      <c r="AH608" s="22">
        <f t="shared" ca="1" si="164"/>
        <v>45212</v>
      </c>
      <c r="AI608" s="22">
        <f t="shared" ca="1" si="165"/>
        <v>45205</v>
      </c>
      <c r="AJ608" s="22">
        <f t="shared" ca="1" si="166"/>
        <v>45191</v>
      </c>
      <c r="AK608" s="22">
        <f t="shared" ca="1" si="167"/>
        <v>45134</v>
      </c>
      <c r="AL608" s="22">
        <f t="shared" ca="1" si="168"/>
        <v>45047</v>
      </c>
    </row>
    <row r="609" spans="4:38" x14ac:dyDescent="0.25">
      <c r="D609" s="6">
        <f ca="1"/>
        <v>45218</v>
      </c>
      <c r="E609" s="28">
        <f ca="1"/>
        <v>130.66999999999999</v>
      </c>
      <c r="F609" s="29" cm="1">
        <f t="array" aca="1" ref="F609" ca="1">_xll.FDS($E$7,"P_BETA_LOCIDX("&amp;$AG609&amp;","&amp;$AL609&amp;",,"""&amp;$E$9&amp;""")")</f>
        <v>2.1035127999999998</v>
      </c>
      <c r="G609" s="30">
        <f t="shared" ca="1" si="154"/>
        <v>-6.6799062049062802E-2</v>
      </c>
      <c r="H609" s="30">
        <f t="shared" ca="1" si="154"/>
        <v>-7.5294103197105555E-2</v>
      </c>
      <c r="I609" s="30">
        <f t="shared" ca="1" si="154"/>
        <v>-8.3097336280754566E-2</v>
      </c>
      <c r="J609" s="30">
        <f t="shared" ca="1" si="154"/>
        <v>-9.6310353304582375E-2</v>
      </c>
      <c r="K609" s="30">
        <f t="shared" ca="1" si="155"/>
        <v>-3.4631277656617367E-2</v>
      </c>
      <c r="L609" s="30">
        <f t="shared" ca="1" si="155"/>
        <v>9.7859861978920101E-3</v>
      </c>
      <c r="M609" s="30">
        <f t="shared" ca="1" si="155"/>
        <v>-2.526158558891466E-2</v>
      </c>
      <c r="N609" s="30">
        <f t="shared" ca="1" si="155"/>
        <v>-0.13300253374938409</v>
      </c>
      <c r="O609" s="30">
        <f t="shared" ca="1" si="156"/>
        <v>-0.10143033970568016</v>
      </c>
      <c r="P609" s="30">
        <f t="shared" ca="1" si="157"/>
        <v>-6.550811699921355E-2</v>
      </c>
      <c r="Q609" s="30">
        <f t="shared" ca="1" si="158"/>
        <v>-0.10835892186966922</v>
      </c>
      <c r="R609" s="30">
        <f t="shared" ca="1" si="159"/>
        <v>-0.22931288705396646</v>
      </c>
      <c r="S609" s="9" cm="1">
        <f t="array" aca="1" ref="S609" ca="1">_xll.BDH($E$6,"PX LAST",AG609)</f>
        <v>130.66999999999999</v>
      </c>
      <c r="T609" s="9" cm="1">
        <f t="array" aca="1" ref="T609" ca="1">_xll.BDH($E$6,"PX LAST",AH609)</f>
        <v>145.41999999999999</v>
      </c>
      <c r="U609" s="9" cm="1">
        <f t="array" aca="1" ref="U609" ca="1">_xll.BDH($E$6,"PX LAST",AI609)</f>
        <v>139.83000000000001</v>
      </c>
      <c r="V609" s="9" cm="1">
        <f t="array" aca="1" ref="V609" ca="1">_xll.BDH($E$6,"PX LAST",AJ609)</f>
        <v>146.55000000000001</v>
      </c>
      <c r="W609" s="9" cm="1">
        <f t="array" aca="1" ref="W609" ca="1">_xll.BDH($E$6,"PX LAST",AK609)</f>
        <v>169.55</v>
      </c>
      <c r="X609" s="24">
        <f t="shared" ca="1" si="160"/>
        <v>-1.6463545007483371E-2</v>
      </c>
      <c r="Y609" s="24">
        <f t="shared" ca="1" si="161"/>
        <v>4.6522113855889113E-3</v>
      </c>
      <c r="Z609" s="24">
        <f t="shared" ca="1" si="162"/>
        <v>-1.2009237875288736E-2</v>
      </c>
      <c r="AA609" s="24">
        <f t="shared" ca="1" si="163"/>
        <v>-6.3228773197569366E-2</v>
      </c>
      <c r="AB609" s="9" cm="1">
        <f t="array" aca="1" ref="AB609" ca="1">_xll.BDH($E$8,"PX LAST",AG609)</f>
        <v>4278</v>
      </c>
      <c r="AC609" s="9" cm="1">
        <f t="array" aca="1" ref="AC609" ca="1">_xll.BDH($E$8,"PX LAST",AH609)</f>
        <v>4349.6099999999997</v>
      </c>
      <c r="AD609" s="9" cm="1">
        <f t="array" aca="1" ref="AD609" ca="1">_xll.BDH($E$8,"PX LAST",AI609)</f>
        <v>4258.1899999999996</v>
      </c>
      <c r="AE609" s="9" cm="1">
        <f t="array" aca="1" ref="AE609" ca="1">_xll.BDH($E$8,"PX LAST",AJ609)</f>
        <v>4330</v>
      </c>
      <c r="AF609" s="9" cm="1">
        <f t="array" aca="1" ref="AF609" ca="1">_xll.BDH($E$8,"PX LAST",AK609)</f>
        <v>4566.75</v>
      </c>
      <c r="AG609" s="20">
        <f t="shared" ca="1" si="169"/>
        <v>45218</v>
      </c>
      <c r="AH609" s="22">
        <f t="shared" ca="1" si="164"/>
        <v>45211</v>
      </c>
      <c r="AI609" s="22">
        <f t="shared" ca="1" si="165"/>
        <v>45204</v>
      </c>
      <c r="AJ609" s="22">
        <f t="shared" ca="1" si="166"/>
        <v>45190</v>
      </c>
      <c r="AK609" s="22">
        <f t="shared" ca="1" si="167"/>
        <v>45133</v>
      </c>
      <c r="AL609" s="22">
        <f t="shared" ca="1" si="168"/>
        <v>45044</v>
      </c>
    </row>
    <row r="610" spans="4:38" x14ac:dyDescent="0.25">
      <c r="D610" s="6">
        <f ca="1"/>
        <v>45217</v>
      </c>
      <c r="E610" s="28">
        <f ca="1"/>
        <v>132.80000000000001</v>
      </c>
      <c r="F610" s="29" cm="1">
        <f t="array" aca="1" ref="F610" ca="1">_xll.FDS($E$7,"P_BETA_LOCIDX("&amp;$AG610&amp;","&amp;$AL610&amp;",,"""&amp;$E$9&amp;""")")</f>
        <v>2.1171117000000002</v>
      </c>
      <c r="G610" s="30">
        <f t="shared" ca="1" si="154"/>
        <v>-7.1330073840413927E-2</v>
      </c>
      <c r="H610" s="30">
        <f t="shared" ca="1" si="154"/>
        <v>-8.0591085026051473E-2</v>
      </c>
      <c r="I610" s="30">
        <f t="shared" ca="1" si="154"/>
        <v>-7.577232461076043E-2</v>
      </c>
      <c r="J610" s="30">
        <f t="shared" ca="1" si="154"/>
        <v>-0.12553809947211392</v>
      </c>
      <c r="K610" s="30">
        <f t="shared" ca="1" si="155"/>
        <v>-3.0158424129816154E-2</v>
      </c>
      <c r="L610" s="30">
        <f t="shared" ca="1" si="155"/>
        <v>2.5248931092348239E-2</v>
      </c>
      <c r="M610" s="30">
        <f t="shared" ca="1" si="155"/>
        <v>-4.2128704947525866E-2</v>
      </c>
      <c r="N610" s="30">
        <f t="shared" ca="1" si="155"/>
        <v>-0.11720581339781823</v>
      </c>
      <c r="O610" s="30">
        <f t="shared" ca="1" si="156"/>
        <v>-0.10148849797023007</v>
      </c>
      <c r="P610" s="30">
        <f t="shared" ca="1" si="157"/>
        <v>-5.5342153933703231E-2</v>
      </c>
      <c r="Q610" s="30">
        <f t="shared" ca="1" si="158"/>
        <v>-0.1179010295582863</v>
      </c>
      <c r="R610" s="30">
        <f t="shared" ca="1" si="159"/>
        <v>-0.24274391286993213</v>
      </c>
      <c r="S610" s="9" cm="1">
        <f t="array" aca="1" ref="S610" ca="1">_xll.BDH($E$6,"PX LAST",AG610)</f>
        <v>132.80000000000001</v>
      </c>
      <c r="T610" s="9" cm="1">
        <f t="array" aca="1" ref="T610" ca="1">_xll.BDH($E$6,"PX LAST",AH610)</f>
        <v>147.80000000000001</v>
      </c>
      <c r="U610" s="9" cm="1">
        <f t="array" aca="1" ref="U610" ca="1">_xll.BDH($E$6,"PX LAST",AI610)</f>
        <v>140.58000000000001</v>
      </c>
      <c r="V610" s="9" cm="1">
        <f t="array" aca="1" ref="V610" ca="1">_xll.BDH($E$6,"PX LAST",AJ610)</f>
        <v>150.55000000000001</v>
      </c>
      <c r="W610" s="9" cm="1">
        <f t="array" aca="1" ref="W610" ca="1">_xll.BDH($E$6,"PX LAST",AK610)</f>
        <v>175.37</v>
      </c>
      <c r="X610" s="24">
        <f t="shared" ca="1" si="160"/>
        <v>-1.4245079336067223E-2</v>
      </c>
      <c r="Y610" s="24">
        <f t="shared" ca="1" si="161"/>
        <v>1.1926121372031639E-2</v>
      </c>
      <c r="Z610" s="24">
        <f t="shared" ca="1" si="162"/>
        <v>-1.9899141338421522E-2</v>
      </c>
      <c r="AA610" s="24">
        <f t="shared" ca="1" si="163"/>
        <v>-5.5361185429100512E-2</v>
      </c>
      <c r="AB610" s="9" cm="1">
        <f t="array" aca="1" ref="AB610" ca="1">_xll.BDH($E$8,"PX LAST",AG610)</f>
        <v>4314.6000000000004</v>
      </c>
      <c r="AC610" s="9" cm="1">
        <f t="array" aca="1" ref="AC610" ca="1">_xll.BDH($E$8,"PX LAST",AH610)</f>
        <v>4376.95</v>
      </c>
      <c r="AD610" s="9" cm="1">
        <f t="array" aca="1" ref="AD610" ca="1">_xll.BDH($E$8,"PX LAST",AI610)</f>
        <v>4263.75</v>
      </c>
      <c r="AE610" s="9" cm="1">
        <f t="array" aca="1" ref="AE610" ca="1">_xll.BDH($E$8,"PX LAST",AJ610)</f>
        <v>4402.2</v>
      </c>
      <c r="AF610" s="9" cm="1">
        <f t="array" aca="1" ref="AF610" ca="1">_xll.BDH($E$8,"PX LAST",AK610)</f>
        <v>4567.46</v>
      </c>
      <c r="AG610" s="20">
        <f t="shared" ca="1" si="169"/>
        <v>45217</v>
      </c>
      <c r="AH610" s="22">
        <f t="shared" ca="1" si="164"/>
        <v>45210</v>
      </c>
      <c r="AI610" s="22">
        <f t="shared" ca="1" si="165"/>
        <v>45203</v>
      </c>
      <c r="AJ610" s="22">
        <f t="shared" ca="1" si="166"/>
        <v>45189</v>
      </c>
      <c r="AK610" s="22">
        <f t="shared" ca="1" si="167"/>
        <v>45132</v>
      </c>
      <c r="AL610" s="22">
        <f t="shared" ca="1" si="168"/>
        <v>45043</v>
      </c>
    </row>
    <row r="611" spans="4:38" x14ac:dyDescent="0.25">
      <c r="D611" s="6">
        <f ca="1"/>
        <v>45216</v>
      </c>
      <c r="E611" s="28">
        <f ca="1"/>
        <v>138.9</v>
      </c>
      <c r="F611" s="29" cm="1">
        <f t="array" aca="1" ref="F611" ca="1">_xll.FDS($E$7,"P_BETA_LOCIDX("&amp;$AG611&amp;","&amp;$AL611&amp;",,"""&amp;$E$9&amp;""")")</f>
        <v>2.1033545</v>
      </c>
      <c r="G611" s="30">
        <f t="shared" ca="1" si="154"/>
        <v>-6.0518729425888845E-2</v>
      </c>
      <c r="H611" s="30">
        <f t="shared" ca="1" si="154"/>
        <v>-6.5039732858098373E-2</v>
      </c>
      <c r="I611" s="30">
        <f t="shared" ca="1" si="154"/>
        <v>-5.503636913467571E-2</v>
      </c>
      <c r="J611" s="30">
        <f t="shared" ca="1" si="154"/>
        <v>-0.12285853094791843</v>
      </c>
      <c r="K611" s="30">
        <f t="shared" ca="1" si="155"/>
        <v>7.2199289896839065E-3</v>
      </c>
      <c r="L611" s="30">
        <f t="shared" ca="1" si="155"/>
        <v>7.1488540915485607E-2</v>
      </c>
      <c r="M611" s="30">
        <f t="shared" ca="1" si="155"/>
        <v>-3.3486499819979955E-2</v>
      </c>
      <c r="N611" s="30">
        <f t="shared" ca="1" si="155"/>
        <v>-8.3789858359826663E-2</v>
      </c>
      <c r="O611" s="30">
        <f t="shared" ca="1" si="156"/>
        <v>-5.3298800436204941E-2</v>
      </c>
      <c r="P611" s="30">
        <f t="shared" ca="1" si="157"/>
        <v>6.4488080573872342E-3</v>
      </c>
      <c r="Q611" s="30">
        <f t="shared" ca="1" si="158"/>
        <v>-8.8522868954655665E-2</v>
      </c>
      <c r="R611" s="30">
        <f t="shared" ca="1" si="159"/>
        <v>-0.2066483893077451</v>
      </c>
      <c r="S611" s="9" cm="1">
        <f t="array" aca="1" ref="S611" ca="1">_xll.BDH($E$6,"PX LAST",AG611)</f>
        <v>138.9</v>
      </c>
      <c r="T611" s="9" cm="1">
        <f t="array" aca="1" ref="T611" ca="1">_xll.BDH($E$6,"PX LAST",AH611)</f>
        <v>146.72</v>
      </c>
      <c r="U611" s="9" cm="1">
        <f t="array" aca="1" ref="U611" ca="1">_xll.BDH($E$6,"PX LAST",AI611)</f>
        <v>138.01</v>
      </c>
      <c r="V611" s="9" cm="1">
        <f t="array" aca="1" ref="V611" ca="1">_xll.BDH($E$6,"PX LAST",AJ611)</f>
        <v>152.38999999999999</v>
      </c>
      <c r="W611" s="9" cm="1">
        <f t="array" aca="1" ref="W611" ca="1">_xll.BDH($E$6,"PX LAST",AK611)</f>
        <v>175.08</v>
      </c>
      <c r="X611" s="24">
        <f t="shared" ca="1" si="160"/>
        <v>3.4325782884834233E-3</v>
      </c>
      <c r="Y611" s="24">
        <f t="shared" ca="1" si="161"/>
        <v>3.3987870763338091E-2</v>
      </c>
      <c r="Z611" s="24">
        <f t="shared" ca="1" si="162"/>
        <v>-1.5920521157978818E-2</v>
      </c>
      <c r="AA611" s="24">
        <f t="shared" ca="1" si="163"/>
        <v>-3.9836298807370163E-2</v>
      </c>
      <c r="AB611" s="9" cm="1">
        <f t="array" aca="1" ref="AB611" ca="1">_xll.BDH($E$8,"PX LAST",AG611)</f>
        <v>4373.2</v>
      </c>
      <c r="AC611" s="9" cm="1">
        <f t="array" aca="1" ref="AC611" ca="1">_xll.BDH($E$8,"PX LAST",AH611)</f>
        <v>4358.24</v>
      </c>
      <c r="AD611" s="9" cm="1">
        <f t="array" aca="1" ref="AD611" ca="1">_xll.BDH($E$8,"PX LAST",AI611)</f>
        <v>4229.45</v>
      </c>
      <c r="AE611" s="9" cm="1">
        <f t="array" aca="1" ref="AE611" ca="1">_xll.BDH($E$8,"PX LAST",AJ611)</f>
        <v>4443.95</v>
      </c>
      <c r="AF611" s="9" cm="1">
        <f t="array" aca="1" ref="AF611" ca="1">_xll.BDH($E$8,"PX LAST",AK611)</f>
        <v>4554.6400000000003</v>
      </c>
      <c r="AG611" s="20">
        <f t="shared" ca="1" si="169"/>
        <v>45216</v>
      </c>
      <c r="AH611" s="22">
        <f t="shared" ca="1" si="164"/>
        <v>45209</v>
      </c>
      <c r="AI611" s="22">
        <f t="shared" ca="1" si="165"/>
        <v>45202</v>
      </c>
      <c r="AJ611" s="22">
        <f t="shared" ca="1" si="166"/>
        <v>45188</v>
      </c>
      <c r="AK611" s="22">
        <f t="shared" ca="1" si="167"/>
        <v>45131</v>
      </c>
      <c r="AL611" s="22">
        <f t="shared" ca="1" si="168"/>
        <v>45042</v>
      </c>
    </row>
    <row r="612" spans="4:38" x14ac:dyDescent="0.25">
      <c r="D612" s="6">
        <f ca="1"/>
        <v>45215</v>
      </c>
      <c r="E612" s="28">
        <f ca="1"/>
        <v>137.91999999999999</v>
      </c>
      <c r="F612" s="29" cm="1">
        <f t="array" aca="1" ref="F612" ca="1">_xll.FDS($E$7,"P_BETA_LOCIDX("&amp;$AG612&amp;","&amp;$AL612&amp;",,"""&amp;$E$9&amp;""")")</f>
        <v>2.038653</v>
      </c>
      <c r="G612" s="30">
        <f t="shared" ca="1" si="154"/>
        <v>-8.5583879666249627E-2</v>
      </c>
      <c r="H612" s="30">
        <f t="shared" ca="1" si="154"/>
        <v>-6.5202158225142151E-2</v>
      </c>
      <c r="I612" s="30">
        <f t="shared" ca="1" si="154"/>
        <v>-6.6909023738196155E-2</v>
      </c>
      <c r="J612" s="30">
        <f t="shared" ca="1" si="154"/>
        <v>-0.13736449259479783</v>
      </c>
      <c r="K612" s="30">
        <f t="shared" ca="1" si="155"/>
        <v>1.7853718790218732E-2</v>
      </c>
      <c r="L612" s="30">
        <f t="shared" ca="1" si="155"/>
        <v>4.0522149739179295E-2</v>
      </c>
      <c r="M612" s="30">
        <f t="shared" ca="1" si="155"/>
        <v>-3.657511562737862E-2</v>
      </c>
      <c r="N612" s="30">
        <f t="shared" ca="1" si="155"/>
        <v>-7.3122656068548772E-2</v>
      </c>
      <c r="O612" s="30">
        <f t="shared" ca="1" si="156"/>
        <v>-6.7730160876030898E-2</v>
      </c>
      <c r="P612" s="30">
        <f t="shared" ca="1" si="157"/>
        <v>-2.4680008485962857E-2</v>
      </c>
      <c r="Q612" s="30">
        <f t="shared" ca="1" si="158"/>
        <v>-0.10348413936557477</v>
      </c>
      <c r="R612" s="30">
        <f t="shared" ca="1" si="159"/>
        <v>-0.21048714866334661</v>
      </c>
      <c r="S612" s="9" cm="1">
        <f t="array" aca="1" ref="S612" ca="1">_xll.BDH($E$6,"PX LAST",AG612)</f>
        <v>137.91999999999999</v>
      </c>
      <c r="T612" s="9" cm="1">
        <f t="array" aca="1" ref="T612" ca="1">_xll.BDH($E$6,"PX LAST",AH612)</f>
        <v>147.94</v>
      </c>
      <c r="U612" s="9" cm="1">
        <f t="array" aca="1" ref="U612" ca="1">_xll.BDH($E$6,"PX LAST",AI612)</f>
        <v>141.41</v>
      </c>
      <c r="V612" s="9" cm="1">
        <f t="array" aca="1" ref="V612" ca="1">_xll.BDH($E$6,"PX LAST",AJ612)</f>
        <v>153.84</v>
      </c>
      <c r="W612" s="9" cm="1">
        <f t="array" aca="1" ref="W612" ca="1">_xll.BDH($E$6,"PX LAST",AK612)</f>
        <v>174.69</v>
      </c>
      <c r="X612" s="24">
        <f t="shared" ca="1" si="160"/>
        <v>8.7576055317990509E-3</v>
      </c>
      <c r="Y612" s="24">
        <f t="shared" ca="1" si="161"/>
        <v>1.9876923507423427E-2</v>
      </c>
      <c r="Z612" s="24">
        <f t="shared" ca="1" si="162"/>
        <v>-1.7940824469578009E-2</v>
      </c>
      <c r="AA612" s="24">
        <f t="shared" ca="1" si="163"/>
        <v>-3.5868122759757926E-2</v>
      </c>
      <c r="AB612" s="9" cm="1">
        <f t="array" aca="1" ref="AB612" ca="1">_xll.BDH($E$8,"PX LAST",AG612)</f>
        <v>4373.63</v>
      </c>
      <c r="AC612" s="9" cm="1">
        <f t="array" aca="1" ref="AC612" ca="1">_xll.BDH($E$8,"PX LAST",AH612)</f>
        <v>4335.66</v>
      </c>
      <c r="AD612" s="9" cm="1">
        <f t="array" aca="1" ref="AD612" ca="1">_xll.BDH($E$8,"PX LAST",AI612)</f>
        <v>4288.3900000000003</v>
      </c>
      <c r="AE612" s="9" cm="1">
        <f t="array" aca="1" ref="AE612" ca="1">_xll.BDH($E$8,"PX LAST",AJ612)</f>
        <v>4453.53</v>
      </c>
      <c r="AF612" s="9" cm="1">
        <f t="array" aca="1" ref="AF612" ca="1">_xll.BDH($E$8,"PX LAST",AK612)</f>
        <v>4536.34</v>
      </c>
      <c r="AG612" s="20">
        <f t="shared" ca="1" si="169"/>
        <v>45215</v>
      </c>
      <c r="AH612" s="22">
        <f t="shared" ca="1" si="164"/>
        <v>45208</v>
      </c>
      <c r="AI612" s="22">
        <f t="shared" ca="1" si="165"/>
        <v>45201</v>
      </c>
      <c r="AJ612" s="22">
        <f t="shared" ca="1" si="166"/>
        <v>45187</v>
      </c>
      <c r="AK612" s="22">
        <f t="shared" ca="1" si="167"/>
        <v>45128</v>
      </c>
      <c r="AL612" s="22">
        <f t="shared" ca="1" si="168"/>
        <v>45041</v>
      </c>
    </row>
    <row r="613" spans="4:38" x14ac:dyDescent="0.25">
      <c r="D613" s="6">
        <f ca="1"/>
        <v>45212</v>
      </c>
      <c r="E613" s="28">
        <f ca="1"/>
        <v>133.69999999999999</v>
      </c>
      <c r="F613" s="29" cm="1">
        <f t="array" aca="1" ref="F613" ca="1">_xll.FDS($E$7,"P_BETA_LOCIDX("&amp;$AG613&amp;","&amp;$AL613&amp;",,"""&amp;$E$9&amp;""")")</f>
        <v>2.0223825</v>
      </c>
      <c r="G613" s="30">
        <f t="shared" ca="1" si="154"/>
        <v>-9.0528337528017089E-2</v>
      </c>
      <c r="H613" s="30">
        <f t="shared" ca="1" si="154"/>
        <v>-8.910368266745286E-2</v>
      </c>
      <c r="I613" s="30">
        <f t="shared" ca="1" si="154"/>
        <v>-7.1256165297089932E-2</v>
      </c>
      <c r="J613" s="30">
        <f t="shared" ca="1" si="154"/>
        <v>-0.1487626407152739</v>
      </c>
      <c r="K613" s="30">
        <f t="shared" ca="1" si="155"/>
        <v>9.0499093884181536E-3</v>
      </c>
      <c r="L613" s="30">
        <f t="shared" ca="1" si="155"/>
        <v>1.8737947720991938E-2</v>
      </c>
      <c r="M613" s="30">
        <f t="shared" ca="1" si="155"/>
        <v>-5.5686501543709313E-2</v>
      </c>
      <c r="N613" s="30">
        <f t="shared" ca="1" si="155"/>
        <v>-9.2354398676257624E-2</v>
      </c>
      <c r="O613" s="30">
        <f t="shared" ca="1" si="156"/>
        <v>-8.1478428139598935E-2</v>
      </c>
      <c r="P613" s="30">
        <f t="shared" ca="1" si="157"/>
        <v>-7.0365734946460923E-2</v>
      </c>
      <c r="Q613" s="30">
        <f t="shared" ca="1" si="158"/>
        <v>-0.12694266684079925</v>
      </c>
      <c r="R613" s="30">
        <f t="shared" ca="1" si="159"/>
        <v>-0.24111703939153151</v>
      </c>
      <c r="S613" s="9" cm="1">
        <f t="array" aca="1" ref="S613" ca="1">_xll.BDH($E$6,"PX LAST",AG613)</f>
        <v>133.69999999999999</v>
      </c>
      <c r="T613" s="9" cm="1">
        <f t="array" aca="1" ref="T613" ca="1">_xll.BDH($E$6,"PX LAST",AH613)</f>
        <v>145.56</v>
      </c>
      <c r="U613" s="9" cm="1">
        <f t="array" aca="1" ref="U613" ca="1">_xll.BDH($E$6,"PX LAST",AI613)</f>
        <v>143.82</v>
      </c>
      <c r="V613" s="9" cm="1">
        <f t="array" aca="1" ref="V613" ca="1">_xll.BDH($E$6,"PX LAST",AJ613)</f>
        <v>153.13999999999999</v>
      </c>
      <c r="W613" s="9" cm="1">
        <f t="array" aca="1" ref="W613" ca="1">_xll.BDH($E$6,"PX LAST",AK613)</f>
        <v>176.18</v>
      </c>
      <c r="X613" s="24">
        <f t="shared" ca="1" si="160"/>
        <v>4.4748752466055031E-3</v>
      </c>
      <c r="Y613" s="24">
        <f t="shared" ca="1" si="161"/>
        <v>9.2652837536875143E-3</v>
      </c>
      <c r="Z613" s="24">
        <f t="shared" ca="1" si="162"/>
        <v>-2.7535098599651309E-2</v>
      </c>
      <c r="AA613" s="24">
        <f t="shared" ca="1" si="163"/>
        <v>-4.5666138169341175E-2</v>
      </c>
      <c r="AB613" s="9" cm="1">
        <f t="array" aca="1" ref="AB613" ca="1">_xll.BDH($E$8,"PX LAST",AG613)</f>
        <v>4327.78</v>
      </c>
      <c r="AC613" s="9" cm="1">
        <f t="array" aca="1" ref="AC613" ca="1">_xll.BDH($E$8,"PX LAST",AH613)</f>
        <v>4308.5</v>
      </c>
      <c r="AD613" s="9" cm="1">
        <f t="array" aca="1" ref="AD613" ca="1">_xll.BDH($E$8,"PX LAST",AI613)</f>
        <v>4288.05</v>
      </c>
      <c r="AE613" s="9" cm="1">
        <f t="array" aca="1" ref="AE613" ca="1">_xll.BDH($E$8,"PX LAST",AJ613)</f>
        <v>4450.32</v>
      </c>
      <c r="AF613" s="9" cm="1">
        <f t="array" aca="1" ref="AF613" ca="1">_xll.BDH($E$8,"PX LAST",AK613)</f>
        <v>4534.87</v>
      </c>
      <c r="AG613" s="20">
        <f t="shared" ca="1" si="169"/>
        <v>45212</v>
      </c>
      <c r="AH613" s="22">
        <f t="shared" ca="1" si="164"/>
        <v>45205</v>
      </c>
      <c r="AI613" s="22">
        <f t="shared" ca="1" si="165"/>
        <v>45198</v>
      </c>
      <c r="AJ613" s="22">
        <f t="shared" ca="1" si="166"/>
        <v>45184</v>
      </c>
      <c r="AK613" s="22">
        <f t="shared" ca="1" si="167"/>
        <v>45127</v>
      </c>
      <c r="AL613" s="22">
        <f t="shared" ca="1" si="168"/>
        <v>45040</v>
      </c>
    </row>
    <row r="614" spans="4:38" x14ac:dyDescent="0.25">
      <c r="D614" s="6">
        <f ca="1"/>
        <v>45211</v>
      </c>
      <c r="E614" s="28">
        <f ca="1"/>
        <v>145.41999999999999</v>
      </c>
      <c r="F614" s="29" cm="1">
        <f t="array" aca="1" ref="F614" ca="1">_xll.FDS($E$7,"P_BETA_LOCIDX("&amp;$AG614&amp;","&amp;$AL614&amp;",,"""&amp;$E$9&amp;""")")</f>
        <v>1.964159</v>
      </c>
      <c r="G614" s="30">
        <f t="shared" ca="1" si="154"/>
        <v>-2.1918383555757509E-3</v>
      </c>
      <c r="H614" s="30">
        <f t="shared" ca="1" si="154"/>
        <v>-2.854273554671645E-2</v>
      </c>
      <c r="I614" s="30">
        <f t="shared" ca="1" si="154"/>
        <v>4.5948633223654167E-3</v>
      </c>
      <c r="J614" s="30">
        <f t="shared" ca="1" si="154"/>
        <v>-7.582121171370447E-2</v>
      </c>
      <c r="K614" s="30">
        <f t="shared" ca="1" si="155"/>
        <v>4.2168953423872793E-2</v>
      </c>
      <c r="L614" s="30">
        <f t="shared" ca="1" si="155"/>
        <v>2.2799538500360608E-2</v>
      </c>
      <c r="M614" s="30">
        <f t="shared" ca="1" si="155"/>
        <v>-6.779141038156794E-2</v>
      </c>
      <c r="N614" s="30">
        <f t="shared" ca="1" si="155"/>
        <v>-9.296987145291459E-2</v>
      </c>
      <c r="O614" s="30">
        <f t="shared" ca="1" si="156"/>
        <v>3.9977115068297042E-2</v>
      </c>
      <c r="P614" s="30">
        <f t="shared" ca="1" si="157"/>
        <v>-5.7431970463558413E-3</v>
      </c>
      <c r="Q614" s="30">
        <f t="shared" ca="1" si="158"/>
        <v>-6.3196547059202524E-2</v>
      </c>
      <c r="R614" s="30">
        <f t="shared" ca="1" si="159"/>
        <v>-0.16879108316661906</v>
      </c>
      <c r="S614" s="9" cm="1">
        <f t="array" aca="1" ref="S614" ca="1">_xll.BDH($E$6,"PX LAST",AG614)</f>
        <v>145.41999999999999</v>
      </c>
      <c r="T614" s="9" cm="1">
        <f t="array" aca="1" ref="T614" ca="1">_xll.BDH($E$6,"PX LAST",AH614)</f>
        <v>139.83000000000001</v>
      </c>
      <c r="U614" s="9" cm="1">
        <f t="array" aca="1" ref="U614" ca="1">_xll.BDH($E$6,"PX LAST",AI614)</f>
        <v>146.26</v>
      </c>
      <c r="V614" s="9" cm="1">
        <f t="array" aca="1" ref="V614" ca="1">_xll.BDH($E$6,"PX LAST",AJ614)</f>
        <v>155.22999999999999</v>
      </c>
      <c r="W614" s="9" cm="1">
        <f t="array" aca="1" ref="W614" ca="1">_xll.BDH($E$6,"PX LAST",AK614)</f>
        <v>174.95</v>
      </c>
      <c r="X614" s="24">
        <f t="shared" ca="1" si="160"/>
        <v>2.1469215793564977E-2</v>
      </c>
      <c r="Y614" s="24">
        <f t="shared" ca="1" si="161"/>
        <v>1.1607786589762137E-2</v>
      </c>
      <c r="Z614" s="24">
        <f t="shared" ca="1" si="162"/>
        <v>-3.4514217220483645E-2</v>
      </c>
      <c r="AA614" s="24">
        <f t="shared" ca="1" si="163"/>
        <v>-4.7333169795782615E-2</v>
      </c>
      <c r="AB614" s="9" cm="1">
        <f t="array" aca="1" ref="AB614" ca="1">_xll.BDH($E$8,"PX LAST",AG614)</f>
        <v>4349.6099999999997</v>
      </c>
      <c r="AC614" s="9" cm="1">
        <f t="array" aca="1" ref="AC614" ca="1">_xll.BDH($E$8,"PX LAST",AH614)</f>
        <v>4258.1899999999996</v>
      </c>
      <c r="AD614" s="9" cm="1">
        <f t="array" aca="1" ref="AD614" ca="1">_xll.BDH($E$8,"PX LAST",AI614)</f>
        <v>4299.7</v>
      </c>
      <c r="AE614" s="9" cm="1">
        <f t="array" aca="1" ref="AE614" ca="1">_xll.BDH($E$8,"PX LAST",AJ614)</f>
        <v>4505.1000000000004</v>
      </c>
      <c r="AF614" s="9" cm="1">
        <f t="array" aca="1" ref="AF614" ca="1">_xll.BDH($E$8,"PX LAST",AK614)</f>
        <v>4565.72</v>
      </c>
      <c r="AG614" s="20">
        <f t="shared" ca="1" si="169"/>
        <v>45211</v>
      </c>
      <c r="AH614" s="22">
        <f t="shared" ca="1" si="164"/>
        <v>45204</v>
      </c>
      <c r="AI614" s="22">
        <f t="shared" ca="1" si="165"/>
        <v>45197</v>
      </c>
      <c r="AJ614" s="22">
        <f t="shared" ca="1" si="166"/>
        <v>45183</v>
      </c>
      <c r="AK614" s="22">
        <f t="shared" ca="1" si="167"/>
        <v>45126</v>
      </c>
      <c r="AL614" s="22">
        <f t="shared" ca="1" si="168"/>
        <v>45037</v>
      </c>
    </row>
    <row r="615" spans="4:38" x14ac:dyDescent="0.25">
      <c r="D615" s="6">
        <f ca="1"/>
        <v>45210</v>
      </c>
      <c r="E615" s="28">
        <f ca="1"/>
        <v>147.80000000000001</v>
      </c>
      <c r="F615" s="29" cm="1">
        <f t="array" aca="1" ref="F615" ca="1">_xll.FDS($E$7,"P_BETA_LOCIDX("&amp;$AG615&amp;","&amp;$AL615&amp;",,"""&amp;$E$9&amp;""")")</f>
        <v>1.9423143</v>
      </c>
      <c r="G615" s="30">
        <f t="shared" ca="1" si="154"/>
        <v>-2.0862034790956885E-4</v>
      </c>
      <c r="H615" s="30">
        <f t="shared" ca="1" si="154"/>
        <v>-3.101980666469939E-2</v>
      </c>
      <c r="I615" s="30">
        <f t="shared" ca="1" si="154"/>
        <v>-1.1665118057410384E-3</v>
      </c>
      <c r="J615" s="30">
        <f t="shared" ca="1" si="154"/>
        <v>-8.4407930312625903E-2</v>
      </c>
      <c r="K615" s="30">
        <f t="shared" ca="1" si="155"/>
        <v>5.1567277340369352E-2</v>
      </c>
      <c r="L615" s="30">
        <f t="shared" ca="1" si="155"/>
        <v>4.6548183743165827E-2</v>
      </c>
      <c r="M615" s="30">
        <f t="shared" ca="1" si="155"/>
        <v>-3.9342446906281719E-2</v>
      </c>
      <c r="N615" s="30">
        <f t="shared" ca="1" si="155"/>
        <v>-7.5914760290714575E-2</v>
      </c>
      <c r="O615" s="30">
        <f t="shared" ca="1" si="156"/>
        <v>5.1358656992459784E-2</v>
      </c>
      <c r="P615" s="30">
        <f t="shared" ca="1" si="157"/>
        <v>1.5528377078466438E-2</v>
      </c>
      <c r="Q615" s="30">
        <f t="shared" ca="1" si="158"/>
        <v>-4.0508958712022758E-2</v>
      </c>
      <c r="R615" s="30">
        <f t="shared" ca="1" si="159"/>
        <v>-0.16032269060334048</v>
      </c>
      <c r="S615" s="9" cm="1">
        <f t="array" aca="1" ref="S615" ca="1">_xll.BDH($E$6,"PX LAST",AG615)</f>
        <v>147.80000000000001</v>
      </c>
      <c r="T615" s="9" cm="1">
        <f t="array" aca="1" ref="T615" ca="1">_xll.BDH($E$6,"PX LAST",AH615)</f>
        <v>140.58000000000001</v>
      </c>
      <c r="U615" s="9" cm="1">
        <f t="array" aca="1" ref="U615" ca="1">_xll.BDH($E$6,"PX LAST",AI615)</f>
        <v>145.54</v>
      </c>
      <c r="V615" s="9" cm="1">
        <f t="array" aca="1" ref="V615" ca="1">_xll.BDH($E$6,"PX LAST",AJ615)</f>
        <v>154.04</v>
      </c>
      <c r="W615" s="9" cm="1">
        <f t="array" aca="1" ref="W615" ca="1">_xll.BDH($E$6,"PX LAST",AK615)</f>
        <v>176.02</v>
      </c>
      <c r="X615" s="24">
        <f t="shared" ca="1" si="160"/>
        <v>2.6549399003224838E-2</v>
      </c>
      <c r="Y615" s="24">
        <f t="shared" ca="1" si="161"/>
        <v>2.3965320001590795E-2</v>
      </c>
      <c r="Z615" s="24">
        <f t="shared" ca="1" si="162"/>
        <v>-2.0255448310441682E-2</v>
      </c>
      <c r="AA615" s="24">
        <f t="shared" ca="1" si="163"/>
        <v>-3.9084694115012475E-2</v>
      </c>
      <c r="AB615" s="9" cm="1">
        <f t="array" aca="1" ref="AB615" ca="1">_xll.BDH($E$8,"PX LAST",AG615)</f>
        <v>4376.95</v>
      </c>
      <c r="AC615" s="9" cm="1">
        <f t="array" aca="1" ref="AC615" ca="1">_xll.BDH($E$8,"PX LAST",AH615)</f>
        <v>4263.75</v>
      </c>
      <c r="AD615" s="9" cm="1">
        <f t="array" aca="1" ref="AD615" ca="1">_xll.BDH($E$8,"PX LAST",AI615)</f>
        <v>4274.51</v>
      </c>
      <c r="AE615" s="9" cm="1">
        <f t="array" aca="1" ref="AE615" ca="1">_xll.BDH($E$8,"PX LAST",AJ615)</f>
        <v>4467.4399999999996</v>
      </c>
      <c r="AF615" s="9" cm="1">
        <f t="array" aca="1" ref="AF615" ca="1">_xll.BDH($E$8,"PX LAST",AK615)</f>
        <v>4554.9799999999996</v>
      </c>
      <c r="AG615" s="20">
        <f t="shared" ca="1" si="169"/>
        <v>45210</v>
      </c>
      <c r="AH615" s="22">
        <f t="shared" ca="1" si="164"/>
        <v>45203</v>
      </c>
      <c r="AI615" s="22">
        <f t="shared" ca="1" si="165"/>
        <v>45196</v>
      </c>
      <c r="AJ615" s="22">
        <f t="shared" ca="1" si="166"/>
        <v>45182</v>
      </c>
      <c r="AK615" s="22">
        <f t="shared" ca="1" si="167"/>
        <v>45125</v>
      </c>
      <c r="AL615" s="22">
        <f t="shared" ca="1" si="168"/>
        <v>45036</v>
      </c>
    </row>
    <row r="616" spans="4:38" x14ac:dyDescent="0.25">
      <c r="D616" s="6">
        <f ca="1"/>
        <v>45209</v>
      </c>
      <c r="E616" s="28">
        <f ca="1"/>
        <v>146.72</v>
      </c>
      <c r="F616" s="29" cm="1">
        <f t="array" aca="1" ref="F616" ca="1">_xll.FDS($E$7,"P_BETA_LOCIDX("&amp;$AG616&amp;","&amp;$AL616&amp;",,"""&amp;$E$9&amp;""")")</f>
        <v>1.9435756</v>
      </c>
      <c r="G616" s="30">
        <f t="shared" ca="1" si="154"/>
        <v>3.9279993850963452E-3</v>
      </c>
      <c r="H616" s="30">
        <f t="shared" ca="1" si="154"/>
        <v>-3.7160594354696291E-2</v>
      </c>
      <c r="I616" s="30">
        <f t="shared" ca="1" si="154"/>
        <v>-1.7278459720253166E-2</v>
      </c>
      <c r="J616" s="30">
        <f t="shared" ca="1" si="154"/>
        <v>-7.745338638152631E-2</v>
      </c>
      <c r="K616" s="30">
        <f t="shared" ca="1" si="155"/>
        <v>5.9183369356299212E-2</v>
      </c>
      <c r="L616" s="30">
        <f t="shared" ca="1" si="155"/>
        <v>3.8525595719697575E-2</v>
      </c>
      <c r="M616" s="30">
        <f t="shared" ca="1" si="155"/>
        <v>-4.5153644567560818E-2</v>
      </c>
      <c r="N616" s="30">
        <f t="shared" ca="1" si="155"/>
        <v>-7.0711964291952603E-2</v>
      </c>
      <c r="O616" s="30">
        <f t="shared" ca="1" si="156"/>
        <v>6.3111368741395557E-2</v>
      </c>
      <c r="P616" s="30">
        <f t="shared" ca="1" si="157"/>
        <v>1.3650013650012838E-3</v>
      </c>
      <c r="Q616" s="30">
        <f t="shared" ca="1" si="158"/>
        <v>-6.2432104287813983E-2</v>
      </c>
      <c r="R616" s="30">
        <f t="shared" ca="1" si="159"/>
        <v>-0.14816535067347891</v>
      </c>
      <c r="S616" s="9" cm="1">
        <f t="array" aca="1" ref="S616" ca="1">_xll.BDH($E$6,"PX LAST",AG616)</f>
        <v>146.72</v>
      </c>
      <c r="T616" s="9" cm="1">
        <f t="array" aca="1" ref="T616" ca="1">_xll.BDH($E$6,"PX LAST",AH616)</f>
        <v>138.01</v>
      </c>
      <c r="U616" s="9" cm="1">
        <f t="array" aca="1" ref="U616" ca="1">_xll.BDH($E$6,"PX LAST",AI616)</f>
        <v>146.52000000000001</v>
      </c>
      <c r="V616" s="9" cm="1">
        <f t="array" aca="1" ref="V616" ca="1">_xll.BDH($E$6,"PX LAST",AJ616)</f>
        <v>156.49</v>
      </c>
      <c r="W616" s="9" cm="1">
        <f t="array" aca="1" ref="W616" ca="1">_xll.BDH($E$6,"PX LAST",AK616)</f>
        <v>172.24</v>
      </c>
      <c r="X616" s="24">
        <f t="shared" ca="1" si="160"/>
        <v>3.0450767830332515E-2</v>
      </c>
      <c r="Y616" s="24">
        <f t="shared" ca="1" si="161"/>
        <v>1.9822020671435459E-2</v>
      </c>
      <c r="Z616" s="24">
        <f t="shared" ca="1" si="162"/>
        <v>-2.323225531724149E-2</v>
      </c>
      <c r="AA616" s="24">
        <f t="shared" ca="1" si="163"/>
        <v>-3.6382409972605445E-2</v>
      </c>
      <c r="AB616" s="9" cm="1">
        <f t="array" aca="1" ref="AB616" ca="1">_xll.BDH($E$8,"PX LAST",AG616)</f>
        <v>4358.24</v>
      </c>
      <c r="AC616" s="9" cm="1">
        <f t="array" aca="1" ref="AC616" ca="1">_xll.BDH($E$8,"PX LAST",AH616)</f>
        <v>4229.45</v>
      </c>
      <c r="AD616" s="9" cm="1">
        <f t="array" aca="1" ref="AD616" ca="1">_xll.BDH($E$8,"PX LAST",AI616)</f>
        <v>4273.53</v>
      </c>
      <c r="AE616" s="9" cm="1">
        <f t="array" aca="1" ref="AE616" ca="1">_xll.BDH($E$8,"PX LAST",AJ616)</f>
        <v>4461.8999999999996</v>
      </c>
      <c r="AF616" s="9" cm="1">
        <f t="array" aca="1" ref="AF616" ca="1">_xll.BDH($E$8,"PX LAST",AK616)</f>
        <v>4522.79</v>
      </c>
      <c r="AG616" s="20">
        <f t="shared" ca="1" si="169"/>
        <v>45209</v>
      </c>
      <c r="AH616" s="22">
        <f t="shared" ca="1" si="164"/>
        <v>45202</v>
      </c>
      <c r="AI616" s="22">
        <f t="shared" ca="1" si="165"/>
        <v>45195</v>
      </c>
      <c r="AJ616" s="22">
        <f t="shared" ca="1" si="166"/>
        <v>45181</v>
      </c>
      <c r="AK616" s="22">
        <f t="shared" ca="1" si="167"/>
        <v>45124</v>
      </c>
      <c r="AL616" s="22">
        <f t="shared" ca="1" si="168"/>
        <v>45035</v>
      </c>
    </row>
    <row r="617" spans="4:38" x14ac:dyDescent="0.25">
      <c r="D617" s="6">
        <f ca="1"/>
        <v>45208</v>
      </c>
      <c r="E617" s="28">
        <f ca="1"/>
        <v>147.94</v>
      </c>
      <c r="F617" s="29" cm="1">
        <f t="array" aca="1" ref="F617" ca="1">_xll.FDS($E$7,"P_BETA_LOCIDX("&amp;$AG617&amp;","&amp;$AL617&amp;",,"""&amp;$E$9&amp;""")")</f>
        <v>1.9588950999999999</v>
      </c>
      <c r="G617" s="30">
        <f t="shared" ca="1" si="154"/>
        <v>2.4585301837201621E-2</v>
      </c>
      <c r="H617" s="30">
        <f t="shared" ca="1" si="154"/>
        <v>4.195101974850372E-3</v>
      </c>
      <c r="I617" s="30">
        <f t="shared" ca="1" si="154"/>
        <v>1.0421972232164844E-2</v>
      </c>
      <c r="J617" s="30">
        <f t="shared" ca="1" si="154"/>
        <v>-6.7621811412395982E-2</v>
      </c>
      <c r="K617" s="30">
        <f t="shared" ca="1" si="155"/>
        <v>2.1592479083525264E-2</v>
      </c>
      <c r="L617" s="30">
        <f t="shared" ca="1" si="155"/>
        <v>-8.0389199112826165E-4</v>
      </c>
      <c r="M617" s="30">
        <f t="shared" ca="1" si="155"/>
        <v>-6.6264719057105792E-2</v>
      </c>
      <c r="N617" s="30">
        <f t="shared" ca="1" si="155"/>
        <v>-7.3809330134815498E-2</v>
      </c>
      <c r="O617" s="30">
        <f t="shared" ca="1" si="156"/>
        <v>4.6177780920726885E-2</v>
      </c>
      <c r="P617" s="30">
        <f t="shared" ca="1" si="157"/>
        <v>3.3912099837221099E-3</v>
      </c>
      <c r="Q617" s="30">
        <f t="shared" ca="1" si="158"/>
        <v>-5.5842746824940948E-2</v>
      </c>
      <c r="R617" s="30">
        <f t="shared" ca="1" si="159"/>
        <v>-0.14143114154721148</v>
      </c>
      <c r="S617" s="9" cm="1">
        <f t="array" aca="1" ref="S617" ca="1">_xll.BDH($E$6,"PX LAST",AG617)</f>
        <v>147.94</v>
      </c>
      <c r="T617" s="9" cm="1">
        <f t="array" aca="1" ref="T617" ca="1">_xll.BDH($E$6,"PX LAST",AH617)</f>
        <v>141.41</v>
      </c>
      <c r="U617" s="9" cm="1">
        <f t="array" aca="1" ref="U617" ca="1">_xll.BDH($E$6,"PX LAST",AI617)</f>
        <v>147.44</v>
      </c>
      <c r="V617" s="9" cm="1">
        <f t="array" aca="1" ref="V617" ca="1">_xll.BDH($E$6,"PX LAST",AJ617)</f>
        <v>156.69</v>
      </c>
      <c r="W617" s="9" cm="1">
        <f t="array" aca="1" ref="W617" ca="1">_xll.BDH($E$6,"PX LAST",AK617)</f>
        <v>172.31</v>
      </c>
      <c r="X617" s="24">
        <f t="shared" ca="1" si="160"/>
        <v>1.102278477470553E-2</v>
      </c>
      <c r="Y617" s="24">
        <f t="shared" ca="1" si="161"/>
        <v>-4.1038031649998086E-4</v>
      </c>
      <c r="Z617" s="24">
        <f t="shared" ca="1" si="162"/>
        <v>-3.3827599577489265E-2</v>
      </c>
      <c r="AA617" s="24">
        <f t="shared" ca="1" si="163"/>
        <v>-3.7679062107417338E-2</v>
      </c>
      <c r="AB617" s="9" cm="1">
        <f t="array" aca="1" ref="AB617" ca="1">_xll.BDH($E$8,"PX LAST",AG617)</f>
        <v>4335.66</v>
      </c>
      <c r="AC617" s="9" cm="1">
        <f t="array" aca="1" ref="AC617" ca="1">_xll.BDH($E$8,"PX LAST",AH617)</f>
        <v>4288.3900000000003</v>
      </c>
      <c r="AD617" s="9" cm="1">
        <f t="array" aca="1" ref="AD617" ca="1">_xll.BDH($E$8,"PX LAST",AI617)</f>
        <v>4337.4399999999996</v>
      </c>
      <c r="AE617" s="9" cm="1">
        <f t="array" aca="1" ref="AE617" ca="1">_xll.BDH($E$8,"PX LAST",AJ617)</f>
        <v>4487.46</v>
      </c>
      <c r="AF617" s="9" cm="1">
        <f t="array" aca="1" ref="AF617" ca="1">_xll.BDH($E$8,"PX LAST",AK617)</f>
        <v>4505.42</v>
      </c>
      <c r="AG617" s="20">
        <f t="shared" ca="1" si="169"/>
        <v>45208</v>
      </c>
      <c r="AH617" s="22">
        <f t="shared" ca="1" si="164"/>
        <v>45201</v>
      </c>
      <c r="AI617" s="22">
        <f t="shared" ca="1" si="165"/>
        <v>45194</v>
      </c>
      <c r="AJ617" s="22">
        <f t="shared" ca="1" si="166"/>
        <v>45180</v>
      </c>
      <c r="AK617" s="22">
        <f t="shared" ca="1" si="167"/>
        <v>45121</v>
      </c>
      <c r="AL617" s="22">
        <f t="shared" ca="1" si="168"/>
        <v>45034</v>
      </c>
    </row>
    <row r="618" spans="4:38" x14ac:dyDescent="0.25">
      <c r="D618" s="6">
        <f ca="1"/>
        <v>45205</v>
      </c>
      <c r="E618" s="28">
        <f ca="1"/>
        <v>145.56</v>
      </c>
      <c r="F618" s="29" cm="1">
        <f t="array" aca="1" ref="F618" ca="1">_xll.FDS($E$7,"P_BETA_LOCIDX("&amp;$AG618&amp;","&amp;$AL618&amp;",,"""&amp;$E$9&amp;""")")</f>
        <v>1.9589059</v>
      </c>
      <c r="G618" s="30">
        <f t="shared" ca="1" si="154"/>
        <v>2.7563018918807958E-3</v>
      </c>
      <c r="H618" s="30">
        <f t="shared" ca="1" si="154"/>
        <v>-5.4962583026501683E-3</v>
      </c>
      <c r="I618" s="30">
        <f t="shared" ca="1" si="154"/>
        <v>-1.3316756351496789E-2</v>
      </c>
      <c r="J618" s="30">
        <f t="shared" ca="1" si="154"/>
        <v>-9.5306430791222072E-2</v>
      </c>
      <c r="K618" s="30">
        <f t="shared" ca="1" si="155"/>
        <v>9.3421545119574245E-3</v>
      </c>
      <c r="L618" s="30">
        <f t="shared" ca="1" si="155"/>
        <v>-5.2418142812833872E-3</v>
      </c>
      <c r="M618" s="30">
        <f t="shared" ca="1" si="155"/>
        <v>-6.5475725137016577E-2</v>
      </c>
      <c r="N618" s="30">
        <f t="shared" ca="1" si="155"/>
        <v>-8.7537559552908609E-2</v>
      </c>
      <c r="O618" s="30">
        <f t="shared" ca="1" si="156"/>
        <v>1.209845640383822E-2</v>
      </c>
      <c r="P618" s="30">
        <f t="shared" ca="1" si="157"/>
        <v>-1.0738072583933556E-2</v>
      </c>
      <c r="Q618" s="30">
        <f t="shared" ca="1" si="158"/>
        <v>-7.8792481488513366E-2</v>
      </c>
      <c r="R618" s="30">
        <f t="shared" ca="1" si="159"/>
        <v>-0.18284399034413068</v>
      </c>
      <c r="S618" s="9" cm="1">
        <f t="array" aca="1" ref="S618" ca="1">_xll.BDH($E$6,"PX LAST",AG618)</f>
        <v>145.56</v>
      </c>
      <c r="T618" s="9" cm="1">
        <f t="array" aca="1" ref="T618" ca="1">_xll.BDH($E$6,"PX LAST",AH618)</f>
        <v>143.82</v>
      </c>
      <c r="U618" s="9" cm="1">
        <f t="array" aca="1" ref="U618" ca="1">_xll.BDH($E$6,"PX LAST",AI618)</f>
        <v>147.13999999999999</v>
      </c>
      <c r="V618" s="9" cm="1">
        <f t="array" aca="1" ref="V618" ca="1">_xll.BDH($E$6,"PX LAST",AJ618)</f>
        <v>158.01</v>
      </c>
      <c r="W618" s="9" cm="1">
        <f t="array" aca="1" ref="W618" ca="1">_xll.BDH($E$6,"PX LAST",AK618)</f>
        <v>178.13</v>
      </c>
      <c r="X618" s="24">
        <f t="shared" ca="1" si="160"/>
        <v>4.7690675248655001E-3</v>
      </c>
      <c r="Y618" s="24">
        <f t="shared" ca="1" si="161"/>
        <v>-2.6758887608043791E-3</v>
      </c>
      <c r="Z618" s="24">
        <f t="shared" ca="1" si="162"/>
        <v>-3.3424640324487553E-2</v>
      </c>
      <c r="AA618" s="24">
        <f t="shared" ca="1" si="163"/>
        <v>-4.4686965082349595E-2</v>
      </c>
      <c r="AB618" s="9" cm="1">
        <f t="array" aca="1" ref="AB618" ca="1">_xll.BDH($E$8,"PX LAST",AG618)</f>
        <v>4308.5</v>
      </c>
      <c r="AC618" s="9" cm="1">
        <f t="array" aca="1" ref="AC618" ca="1">_xll.BDH($E$8,"PX LAST",AH618)</f>
        <v>4288.05</v>
      </c>
      <c r="AD618" s="9" cm="1">
        <f t="array" aca="1" ref="AD618" ca="1">_xll.BDH($E$8,"PX LAST",AI618)</f>
        <v>4320.0600000000004</v>
      </c>
      <c r="AE618" s="9" cm="1">
        <f t="array" aca="1" ref="AE618" ca="1">_xll.BDH($E$8,"PX LAST",AJ618)</f>
        <v>4457.49</v>
      </c>
      <c r="AF618" s="9" cm="1">
        <f t="array" aca="1" ref="AF618" ca="1">_xll.BDH($E$8,"PX LAST",AK618)</f>
        <v>4510.04</v>
      </c>
      <c r="AG618" s="20">
        <f t="shared" ca="1" si="169"/>
        <v>45205</v>
      </c>
      <c r="AH618" s="22">
        <f t="shared" ca="1" si="164"/>
        <v>45198</v>
      </c>
      <c r="AI618" s="22">
        <f t="shared" ca="1" si="165"/>
        <v>45191</v>
      </c>
      <c r="AJ618" s="22">
        <f t="shared" ca="1" si="166"/>
        <v>45177</v>
      </c>
      <c r="AK618" s="22">
        <f t="shared" ca="1" si="167"/>
        <v>45120</v>
      </c>
      <c r="AL618" s="22">
        <f t="shared" ca="1" si="168"/>
        <v>45033</v>
      </c>
    </row>
    <row r="619" spans="4:38" x14ac:dyDescent="0.25">
      <c r="D619" s="6">
        <f ca="1"/>
        <v>45204</v>
      </c>
      <c r="E619" s="28">
        <f ca="1"/>
        <v>139.83000000000001</v>
      </c>
      <c r="F619" s="29" cm="1">
        <f t="array" aca="1" ref="F619" ca="1">_xll.FDS($E$7,"P_BETA_LOCIDX("&amp;$AG619&amp;","&amp;$AL619&amp;",,"""&amp;$E$9&amp;""")")</f>
        <v>1.9246159</v>
      </c>
      <c r="G619" s="30">
        <f t="shared" ca="1" si="154"/>
        <v>-2.538225243290184E-2</v>
      </c>
      <c r="H619" s="30">
        <f t="shared" ca="1" si="154"/>
        <v>-1.3936258088439693E-2</v>
      </c>
      <c r="I619" s="30">
        <f t="shared" ca="1" si="154"/>
        <v>-2.0224738575787063E-2</v>
      </c>
      <c r="J619" s="30">
        <f t="shared" ca="1" si="154"/>
        <v>-0.12284032734356229</v>
      </c>
      <c r="K619" s="30">
        <f t="shared" ca="1" si="155"/>
        <v>-1.8580553529083478E-2</v>
      </c>
      <c r="L619" s="30">
        <f t="shared" ca="1" si="155"/>
        <v>-3.1918399025173447E-2</v>
      </c>
      <c r="M619" s="30">
        <f t="shared" ca="1" si="155"/>
        <v>-8.3429107578059034E-2</v>
      </c>
      <c r="N619" s="30">
        <f t="shared" ca="1" si="155"/>
        <v>-9.2083034623761245E-2</v>
      </c>
      <c r="O619" s="30">
        <f t="shared" ca="1" si="156"/>
        <v>-4.3962805961985318E-2</v>
      </c>
      <c r="P619" s="30">
        <f t="shared" ca="1" si="157"/>
        <v>-4.585465711361314E-2</v>
      </c>
      <c r="Q619" s="30">
        <f t="shared" ca="1" si="158"/>
        <v>-0.1036538461538461</v>
      </c>
      <c r="R619" s="30">
        <f t="shared" ca="1" si="159"/>
        <v>-0.21492336196732353</v>
      </c>
      <c r="S619" s="9" cm="1">
        <f t="array" aca="1" ref="S619" ca="1">_xll.BDH($E$6,"PX LAST",AG619)</f>
        <v>139.83000000000001</v>
      </c>
      <c r="T619" s="9" cm="1">
        <f t="array" aca="1" ref="T619" ca="1">_xll.BDH($E$6,"PX LAST",AH619)</f>
        <v>146.26</v>
      </c>
      <c r="U619" s="9" cm="1">
        <f t="array" aca="1" ref="U619" ca="1">_xll.BDH($E$6,"PX LAST",AI619)</f>
        <v>146.55000000000001</v>
      </c>
      <c r="V619" s="9" cm="1">
        <f t="array" aca="1" ref="V619" ca="1">_xll.BDH($E$6,"PX LAST",AJ619)</f>
        <v>156</v>
      </c>
      <c r="W619" s="9" cm="1">
        <f t="array" aca="1" ref="W619" ca="1">_xll.BDH($E$6,"PX LAST",AK619)</f>
        <v>178.11</v>
      </c>
      <c r="X619" s="24">
        <f t="shared" ca="1" si="160"/>
        <v>-9.6541619182733962E-3</v>
      </c>
      <c r="Y619" s="24">
        <f t="shared" ca="1" si="161"/>
        <v>-1.6584295612009359E-2</v>
      </c>
      <c r="Z619" s="24">
        <f t="shared" ca="1" si="162"/>
        <v>-4.3348445566753879E-2</v>
      </c>
      <c r="AA619" s="24">
        <f t="shared" ca="1" si="163"/>
        <v>-4.7844889270509117E-2</v>
      </c>
      <c r="AB619" s="9" cm="1">
        <f t="array" aca="1" ref="AB619" ca="1">_xll.BDH($E$8,"PX LAST",AG619)</f>
        <v>4258.1899999999996</v>
      </c>
      <c r="AC619" s="9" cm="1">
        <f t="array" aca="1" ref="AC619" ca="1">_xll.BDH($E$8,"PX LAST",AH619)</f>
        <v>4299.7</v>
      </c>
      <c r="AD619" s="9" cm="1">
        <f t="array" aca="1" ref="AD619" ca="1">_xll.BDH($E$8,"PX LAST",AI619)</f>
        <v>4330</v>
      </c>
      <c r="AE619" s="9" cm="1">
        <f t="array" aca="1" ref="AE619" ca="1">_xll.BDH($E$8,"PX LAST",AJ619)</f>
        <v>4451.1400000000003</v>
      </c>
      <c r="AF619" s="9" cm="1">
        <f t="array" aca="1" ref="AF619" ca="1">_xll.BDH($E$8,"PX LAST",AK619)</f>
        <v>4472.16</v>
      </c>
      <c r="AG619" s="20">
        <f t="shared" ca="1" si="169"/>
        <v>45204</v>
      </c>
      <c r="AH619" s="22">
        <f t="shared" ca="1" si="164"/>
        <v>45197</v>
      </c>
      <c r="AI619" s="22">
        <f t="shared" ca="1" si="165"/>
        <v>45190</v>
      </c>
      <c r="AJ619" s="22">
        <f t="shared" ca="1" si="166"/>
        <v>45176</v>
      </c>
      <c r="AK619" s="22">
        <f t="shared" ca="1" si="167"/>
        <v>45119</v>
      </c>
      <c r="AL619" s="22">
        <f t="shared" ca="1" si="168"/>
        <v>45030</v>
      </c>
    </row>
    <row r="620" spans="4:38" x14ac:dyDescent="0.25">
      <c r="D620" s="6">
        <f ca="1"/>
        <v>45203</v>
      </c>
      <c r="E620" s="28">
        <f ca="1"/>
        <v>140.58000000000001</v>
      </c>
      <c r="F620" s="29" cm="1">
        <f t="array" aca="1" ref="F620" ca="1">_xll.FDS($E$7,"P_BETA_LOCIDX("&amp;$AG620&amp;","&amp;$AL620&amp;",,"""&amp;$E$9&amp;""")")</f>
        <v>1.8749199999999999</v>
      </c>
      <c r="G620" s="30">
        <f t="shared" ca="1" si="154"/>
        <v>-2.9360340159689649E-2</v>
      </c>
      <c r="H620" s="30">
        <f t="shared" ca="1" si="154"/>
        <v>-7.2572669151369368E-3</v>
      </c>
      <c r="I620" s="30">
        <f t="shared" ca="1" si="154"/>
        <v>-2.5665450516792365E-2</v>
      </c>
      <c r="J620" s="30">
        <f t="shared" ca="1" si="154"/>
        <v>-0.14051028077028377</v>
      </c>
      <c r="K620" s="30">
        <f t="shared" ca="1" si="155"/>
        <v>-4.7196378532276383E-3</v>
      </c>
      <c r="L620" s="30">
        <f t="shared" ca="1" si="155"/>
        <v>-5.8966578983235665E-2</v>
      </c>
      <c r="M620" s="30">
        <f t="shared" ca="1" si="155"/>
        <v>-8.470032596719701E-2</v>
      </c>
      <c r="N620" s="30">
        <f t="shared" ca="1" si="155"/>
        <v>-7.412659073809609E-2</v>
      </c>
      <c r="O620" s="30">
        <f t="shared" ca="1" si="156"/>
        <v>-3.4079978012917289E-2</v>
      </c>
      <c r="P620" s="30">
        <f t="shared" ca="1" si="157"/>
        <v>-6.6223845898372602E-2</v>
      </c>
      <c r="Q620" s="30">
        <f t="shared" ca="1" si="158"/>
        <v>-0.11036577648398938</v>
      </c>
      <c r="R620" s="30">
        <f t="shared" ca="1" si="159"/>
        <v>-0.21463687150837985</v>
      </c>
      <c r="S620" s="9" cm="1">
        <f t="array" aca="1" ref="S620" ca="1">_xll.BDH($E$6,"PX LAST",AG620)</f>
        <v>140.58000000000001</v>
      </c>
      <c r="T620" s="9" cm="1">
        <f t="array" aca="1" ref="T620" ca="1">_xll.BDH($E$6,"PX LAST",AH620)</f>
        <v>145.54</v>
      </c>
      <c r="U620" s="9" cm="1">
        <f t="array" aca="1" ref="U620" ca="1">_xll.BDH($E$6,"PX LAST",AI620)</f>
        <v>150.55000000000001</v>
      </c>
      <c r="V620" s="9" cm="1">
        <f t="array" aca="1" ref="V620" ca="1">_xll.BDH($E$6,"PX LAST",AJ620)</f>
        <v>158.02000000000001</v>
      </c>
      <c r="W620" s="9" cm="1">
        <f t="array" aca="1" ref="W620" ca="1">_xll.BDH($E$6,"PX LAST",AK620)</f>
        <v>179</v>
      </c>
      <c r="X620" s="24">
        <f t="shared" ca="1" si="160"/>
        <v>-2.5172475909519543E-3</v>
      </c>
      <c r="Y620" s="24">
        <f t="shared" ca="1" si="161"/>
        <v>-3.1450183998909642E-2</v>
      </c>
      <c r="Z620" s="24">
        <f t="shared" ca="1" si="162"/>
        <v>-4.5175434667717562E-2</v>
      </c>
      <c r="AA620" s="24">
        <f t="shared" ca="1" si="163"/>
        <v>-3.9535868590711121E-2</v>
      </c>
      <c r="AB620" s="9" cm="1">
        <f t="array" aca="1" ref="AB620" ca="1">_xll.BDH($E$8,"PX LAST",AG620)</f>
        <v>4263.75</v>
      </c>
      <c r="AC620" s="9" cm="1">
        <f t="array" aca="1" ref="AC620" ca="1">_xll.BDH($E$8,"PX LAST",AH620)</f>
        <v>4274.51</v>
      </c>
      <c r="AD620" s="9" cm="1">
        <f t="array" aca="1" ref="AD620" ca="1">_xll.BDH($E$8,"PX LAST",AI620)</f>
        <v>4402.2</v>
      </c>
      <c r="AE620" s="9" cm="1">
        <f t="array" aca="1" ref="AE620" ca="1">_xll.BDH($E$8,"PX LAST",AJ620)</f>
        <v>4465.4799999999996</v>
      </c>
      <c r="AF620" s="9" cm="1">
        <f t="array" aca="1" ref="AF620" ca="1">_xll.BDH($E$8,"PX LAST",AK620)</f>
        <v>4439.26</v>
      </c>
      <c r="AG620" s="20">
        <f t="shared" ca="1" si="169"/>
        <v>45203</v>
      </c>
      <c r="AH620" s="22">
        <f t="shared" ca="1" si="164"/>
        <v>45196</v>
      </c>
      <c r="AI620" s="22">
        <f t="shared" ca="1" si="165"/>
        <v>45189</v>
      </c>
      <c r="AJ620" s="22">
        <f t="shared" ca="1" si="166"/>
        <v>45175</v>
      </c>
      <c r="AK620" s="22">
        <f t="shared" ca="1" si="167"/>
        <v>45118</v>
      </c>
      <c r="AL620" s="22">
        <f t="shared" ca="1" si="168"/>
        <v>45029</v>
      </c>
    </row>
    <row r="621" spans="4:38" x14ac:dyDescent="0.25">
      <c r="D621" s="6">
        <f ca="1"/>
        <v>45202</v>
      </c>
      <c r="E621" s="28">
        <f ca="1"/>
        <v>138.01</v>
      </c>
      <c r="F621" s="29" cm="1">
        <f t="array" aca="1" ref="F621" ca="1">_xll.FDS($E$7,"P_BETA_LOCIDX("&amp;$AG621&amp;","&amp;$AL621&amp;",,"""&amp;$E$9&amp;""")")</f>
        <v>1.8628178</v>
      </c>
      <c r="G621" s="30">
        <f t="shared" ca="1" si="154"/>
        <v>-3.8866479733048916E-2</v>
      </c>
      <c r="H621" s="30">
        <f t="shared" ca="1" si="154"/>
        <v>-4.448900155653232E-3</v>
      </c>
      <c r="I621" s="30">
        <f t="shared" ca="1" si="154"/>
        <v>-8.3413287314376416E-3</v>
      </c>
      <c r="J621" s="30">
        <f t="shared" ca="1" si="154"/>
        <v>-0.17018359493046153</v>
      </c>
      <c r="K621" s="30">
        <f t="shared" ca="1" si="155"/>
        <v>-1.9214328347759262E-2</v>
      </c>
      <c r="L621" s="30">
        <f t="shared" ca="1" si="155"/>
        <v>-8.9914247032482422E-2</v>
      </c>
      <c r="M621" s="30">
        <f t="shared" ca="1" si="155"/>
        <v>-0.11076252012284207</v>
      </c>
      <c r="N621" s="30">
        <f t="shared" ca="1" si="155"/>
        <v>-7.6075280001269854E-2</v>
      </c>
      <c r="O621" s="30">
        <f t="shared" ca="1" si="156"/>
        <v>-5.8080808080808177E-2</v>
      </c>
      <c r="P621" s="30">
        <f t="shared" ca="1" si="157"/>
        <v>-9.4363147188135654E-2</v>
      </c>
      <c r="Q621" s="30">
        <f t="shared" ca="1" si="158"/>
        <v>-0.11910384885427971</v>
      </c>
      <c r="R621" s="30">
        <f t="shared" ca="1" si="159"/>
        <v>-0.24625887493173138</v>
      </c>
      <c r="S621" s="9" cm="1">
        <f t="array" aca="1" ref="S621" ca="1">_xll.BDH($E$6,"PX LAST",AG621)</f>
        <v>138.01</v>
      </c>
      <c r="T621" s="9" cm="1">
        <f t="array" aca="1" ref="T621" ca="1">_xll.BDH($E$6,"PX LAST",AH621)</f>
        <v>146.52000000000001</v>
      </c>
      <c r="U621" s="9" cm="1">
        <f t="array" aca="1" ref="U621" ca="1">_xll.BDH($E$6,"PX LAST",AI621)</f>
        <v>152.38999999999999</v>
      </c>
      <c r="V621" s="9" cm="1">
        <f t="array" aca="1" ref="V621" ca="1">_xll.BDH($E$6,"PX LAST",AJ621)</f>
        <v>156.66999999999999</v>
      </c>
      <c r="W621" s="9" cm="1">
        <f t="array" aca="1" ref="W621" ca="1">_xll.BDH($E$6,"PX LAST",AK621)</f>
        <v>183.1</v>
      </c>
      <c r="X621" s="24">
        <f t="shared" ca="1" si="160"/>
        <v>-1.0314657905759361E-2</v>
      </c>
      <c r="Y621" s="24">
        <f t="shared" ca="1" si="161"/>
        <v>-4.8267869800515339E-2</v>
      </c>
      <c r="Z621" s="24">
        <f t="shared" ca="1" si="162"/>
        <v>-5.9459663807615581E-2</v>
      </c>
      <c r="AA621" s="24">
        <f t="shared" ca="1" si="163"/>
        <v>-4.0838819556732742E-2</v>
      </c>
      <c r="AB621" s="9" cm="1">
        <f t="array" aca="1" ref="AB621" ca="1">_xll.BDH($E$8,"PX LAST",AG621)</f>
        <v>4229.45</v>
      </c>
      <c r="AC621" s="9" cm="1">
        <f t="array" aca="1" ref="AC621" ca="1">_xll.BDH($E$8,"PX LAST",AH621)</f>
        <v>4273.53</v>
      </c>
      <c r="AD621" s="9" cm="1">
        <f t="array" aca="1" ref="AD621" ca="1">_xll.BDH($E$8,"PX LAST",AI621)</f>
        <v>4443.95</v>
      </c>
      <c r="AE621" s="9" cm="1">
        <f t="array" aca="1" ref="AE621" ca="1">_xll.BDH($E$8,"PX LAST",AJ621)</f>
        <v>4496.83</v>
      </c>
      <c r="AF621" s="9" cm="1">
        <f t="array" aca="1" ref="AF621" ca="1">_xll.BDH($E$8,"PX LAST",AK621)</f>
        <v>4409.53</v>
      </c>
      <c r="AG621" s="20">
        <f t="shared" ca="1" si="169"/>
        <v>45202</v>
      </c>
      <c r="AH621" s="22">
        <f t="shared" ca="1" si="164"/>
        <v>45195</v>
      </c>
      <c r="AI621" s="22">
        <f t="shared" ca="1" si="165"/>
        <v>45188</v>
      </c>
      <c r="AJ621" s="22">
        <f t="shared" ca="1" si="166"/>
        <v>45174</v>
      </c>
      <c r="AK621" s="22">
        <f t="shared" ca="1" si="167"/>
        <v>45117</v>
      </c>
      <c r="AL621" s="22">
        <f t="shared" ca="1" si="168"/>
        <v>45028</v>
      </c>
    </row>
    <row r="622" spans="4:38" x14ac:dyDescent="0.25">
      <c r="D622" s="6">
        <f ca="1"/>
        <v>45201</v>
      </c>
      <c r="E622" s="28">
        <f ca="1"/>
        <v>141.41</v>
      </c>
      <c r="F622" s="29" cm="1">
        <f t="array" aca="1" ref="F622" ca="1">_xll.FDS($E$7,"P_BETA_LOCIDX("&amp;$AG622&amp;","&amp;$AL622&amp;",,"""&amp;$E$9&amp;""")")</f>
        <v>1.8664862</v>
      </c>
      <c r="G622" s="30">
        <f t="shared" ca="1" si="154"/>
        <v>-1.9790807495080269E-2</v>
      </c>
      <c r="H622" s="30">
        <f t="shared" ca="1" si="154"/>
        <v>-1.1587621229899731E-2</v>
      </c>
      <c r="I622" s="30">
        <f t="shared" ca="1" si="154"/>
        <v>-3.995957654873393E-2</v>
      </c>
      <c r="J622" s="30">
        <f t="shared" ca="1" si="154"/>
        <v>-0.16047657584410238</v>
      </c>
      <c r="K622" s="30">
        <f t="shared" ca="1" si="155"/>
        <v>-2.1107184908609362E-2</v>
      </c>
      <c r="L622" s="30">
        <f t="shared" ca="1" si="155"/>
        <v>-6.9210610699377534E-2</v>
      </c>
      <c r="M622" s="30">
        <f t="shared" ca="1" si="155"/>
        <v>-9.3982118698693787E-2</v>
      </c>
      <c r="N622" s="30">
        <f t="shared" ca="1" si="155"/>
        <v>-4.6910902436263023E-2</v>
      </c>
      <c r="O622" s="30">
        <f t="shared" ca="1" si="156"/>
        <v>-4.0897992403689631E-2</v>
      </c>
      <c r="P622" s="30">
        <f t="shared" ca="1" si="157"/>
        <v>-8.0798231929277264E-2</v>
      </c>
      <c r="Q622" s="30">
        <f t="shared" ca="1" si="158"/>
        <v>-0.13394169524742772</v>
      </c>
      <c r="R622" s="30">
        <f t="shared" ca="1" si="159"/>
        <v>-0.20738747828036541</v>
      </c>
      <c r="S622" s="9" cm="1">
        <f t="array" aca="1" ref="S622" ca="1">_xll.BDH($E$6,"PX LAST",AG622)</f>
        <v>141.41</v>
      </c>
      <c r="T622" s="9" cm="1">
        <f t="array" aca="1" ref="T622" ca="1">_xll.BDH($E$6,"PX LAST",AH622)</f>
        <v>147.44</v>
      </c>
      <c r="U622" s="9" cm="1">
        <f t="array" aca="1" ref="U622" ca="1">_xll.BDH($E$6,"PX LAST",AI622)</f>
        <v>153.84</v>
      </c>
      <c r="V622" s="9" cm="1">
        <f t="array" aca="1" ref="V622" ca="1">_xll.BDH($E$6,"PX LAST",AJ622)</f>
        <v>163.28</v>
      </c>
      <c r="W622" s="9" cm="1">
        <f t="array" aca="1" ref="W622" ca="1">_xll.BDH($E$6,"PX LAST",AK622)</f>
        <v>178.41</v>
      </c>
      <c r="X622" s="24">
        <f t="shared" ca="1" si="160"/>
        <v>-1.1308513777712026E-2</v>
      </c>
      <c r="Y622" s="24">
        <f t="shared" ca="1" si="161"/>
        <v>-3.7080697783555827E-2</v>
      </c>
      <c r="Z622" s="24">
        <f t="shared" ca="1" si="162"/>
        <v>-5.035243158974001E-2</v>
      </c>
      <c r="AA622" s="24">
        <f t="shared" ca="1" si="163"/>
        <v>-2.5133270439536615E-2</v>
      </c>
      <c r="AB622" s="9" cm="1">
        <f t="array" aca="1" ref="AB622" ca="1">_xll.BDH($E$8,"PX LAST",AG622)</f>
        <v>4288.3900000000003</v>
      </c>
      <c r="AC622" s="9" cm="1">
        <f t="array" aca="1" ref="AC622" ca="1">_xll.BDH($E$8,"PX LAST",AH622)</f>
        <v>4337.4399999999996</v>
      </c>
      <c r="AD622" s="9" cm="1">
        <f t="array" aca="1" ref="AD622" ca="1">_xll.BDH($E$8,"PX LAST",AI622)</f>
        <v>4453.53</v>
      </c>
      <c r="AE622" s="9" cm="1">
        <f t="array" aca="1" ref="AE622" ca="1">_xll.BDH($E$8,"PX LAST",AJ622)</f>
        <v>4515.7700000000004</v>
      </c>
      <c r="AF622" s="9" cm="1">
        <f t="array" aca="1" ref="AF622" ca="1">_xll.BDH($E$8,"PX LAST",AK622)</f>
        <v>4398.95</v>
      </c>
      <c r="AG622" s="20">
        <f t="shared" ca="1" si="169"/>
        <v>45201</v>
      </c>
      <c r="AH622" s="22">
        <f t="shared" ca="1" si="164"/>
        <v>45194</v>
      </c>
      <c r="AI622" s="22">
        <f t="shared" ca="1" si="165"/>
        <v>45187</v>
      </c>
      <c r="AJ622" s="22">
        <f t="shared" ca="1" si="166"/>
        <v>45170</v>
      </c>
      <c r="AK622" s="22">
        <f t="shared" ca="1" si="167"/>
        <v>45114</v>
      </c>
      <c r="AL622" s="22">
        <f t="shared" ca="1" si="168"/>
        <v>45027</v>
      </c>
    </row>
    <row r="623" spans="4:38" x14ac:dyDescent="0.25">
      <c r="D623" s="6">
        <f ca="1"/>
        <v>45198</v>
      </c>
      <c r="E623" s="28">
        <f ca="1"/>
        <v>143.82</v>
      </c>
      <c r="F623" s="29" cm="1">
        <f t="array" aca="1" ref="F623" ca="1">_xll.FDS($E$7,"P_BETA_LOCIDX("&amp;$AG623&amp;","&amp;$AL623&amp;",,"""&amp;$E$9&amp;""")")</f>
        <v>1.8676257999999999</v>
      </c>
      <c r="G623" s="30">
        <f t="shared" ca="1" si="154"/>
        <v>-8.7251487300938433E-3</v>
      </c>
      <c r="H623" s="30">
        <f t="shared" ca="1" si="154"/>
        <v>7.2390482115759769E-3</v>
      </c>
      <c r="I623" s="30">
        <f t="shared" ca="1" si="154"/>
        <v>-2.0410038797411795E-2</v>
      </c>
      <c r="J623" s="30">
        <f t="shared" ca="1" si="154"/>
        <v>-0.12680951325617479</v>
      </c>
      <c r="K623" s="30">
        <f t="shared" ca="1" si="155"/>
        <v>-1.3838396193108496E-2</v>
      </c>
      <c r="L623" s="30">
        <f t="shared" ca="1" si="155"/>
        <v>-6.8098392602329444E-2</v>
      </c>
      <c r="M623" s="30">
        <f t="shared" ca="1" si="155"/>
        <v>-9.0989405132152673E-2</v>
      </c>
      <c r="N623" s="30">
        <f t="shared" ca="1" si="155"/>
        <v>-5.2300075784921074E-2</v>
      </c>
      <c r="O623" s="30">
        <f t="shared" ca="1" si="156"/>
        <v>-2.2563544923202339E-2</v>
      </c>
      <c r="P623" s="30">
        <f t="shared" ca="1" si="157"/>
        <v>-6.0859344390753467E-2</v>
      </c>
      <c r="Q623" s="30">
        <f t="shared" ca="1" si="158"/>
        <v>-0.11139944392956447</v>
      </c>
      <c r="R623" s="30">
        <f t="shared" ca="1" si="159"/>
        <v>-0.17910958904109586</v>
      </c>
      <c r="S623" s="9" cm="1">
        <f t="array" aca="1" ref="S623" ca="1">_xll.BDH($E$6,"PX LAST",AG623)</f>
        <v>143.82</v>
      </c>
      <c r="T623" s="9" cm="1">
        <f t="array" aca="1" ref="T623" ca="1">_xll.BDH($E$6,"PX LAST",AH623)</f>
        <v>147.13999999999999</v>
      </c>
      <c r="U623" s="9" cm="1">
        <f t="array" aca="1" ref="U623" ca="1">_xll.BDH($E$6,"PX LAST",AI623)</f>
        <v>153.13999999999999</v>
      </c>
      <c r="V623" s="9" cm="1">
        <f t="array" aca="1" ref="V623" ca="1">_xll.BDH($E$6,"PX LAST",AJ623)</f>
        <v>161.85</v>
      </c>
      <c r="W623" s="9" cm="1">
        <f t="array" aca="1" ref="W623" ca="1">_xll.BDH($E$6,"PX LAST",AK623)</f>
        <v>175.2</v>
      </c>
      <c r="X623" s="24">
        <f t="shared" ca="1" si="160"/>
        <v>-7.4096193108429409E-3</v>
      </c>
      <c r="Y623" s="24">
        <f t="shared" ca="1" si="161"/>
        <v>-3.6462546513508998E-2</v>
      </c>
      <c r="Z623" s="24">
        <f t="shared" ca="1" si="162"/>
        <v>-4.871929116215501E-2</v>
      </c>
      <c r="AA623" s="24">
        <f t="shared" ca="1" si="163"/>
        <v>-2.800350893895398E-2</v>
      </c>
      <c r="AB623" s="9" cm="1">
        <f t="array" aca="1" ref="AB623" ca="1">_xll.BDH($E$8,"PX LAST",AG623)</f>
        <v>4288.05</v>
      </c>
      <c r="AC623" s="9" cm="1">
        <f t="array" aca="1" ref="AC623" ca="1">_xll.BDH($E$8,"PX LAST",AH623)</f>
        <v>4320.0600000000004</v>
      </c>
      <c r="AD623" s="9" cm="1">
        <f t="array" aca="1" ref="AD623" ca="1">_xll.BDH($E$8,"PX LAST",AI623)</f>
        <v>4450.32</v>
      </c>
      <c r="AE623" s="9" cm="1">
        <f t="array" aca="1" ref="AE623" ca="1">_xll.BDH($E$8,"PX LAST",AJ623)</f>
        <v>4507.66</v>
      </c>
      <c r="AF623" s="9" cm="1">
        <f t="array" aca="1" ref="AF623" ca="1">_xll.BDH($E$8,"PX LAST",AK623)</f>
        <v>4411.59</v>
      </c>
      <c r="AG623" s="20">
        <f t="shared" ca="1" si="169"/>
        <v>45198</v>
      </c>
      <c r="AH623" s="22">
        <f t="shared" ca="1" si="164"/>
        <v>45191</v>
      </c>
      <c r="AI623" s="22">
        <f t="shared" ca="1" si="165"/>
        <v>45184</v>
      </c>
      <c r="AJ623" s="22">
        <f t="shared" ca="1" si="166"/>
        <v>45169</v>
      </c>
      <c r="AK623" s="22">
        <f t="shared" ca="1" si="167"/>
        <v>45113</v>
      </c>
      <c r="AL623" s="22">
        <f t="shared" ca="1" si="168"/>
        <v>45026</v>
      </c>
    </row>
    <row r="624" spans="4:38" x14ac:dyDescent="0.25">
      <c r="D624" s="6">
        <f ca="1"/>
        <v>45197</v>
      </c>
      <c r="E624" s="28">
        <f ca="1"/>
        <v>146.26</v>
      </c>
      <c r="F624" s="29" cm="1">
        <f t="array" aca="1" ref="F624" ca="1">_xll.FDS($E$7,"P_BETA_LOCIDX("&amp;$AG624&amp;","&amp;$AL624&amp;",,"""&amp;$E$9&amp;""")")</f>
        <v>1.8415409</v>
      </c>
      <c r="G624" s="30">
        <f t="shared" ca="1" si="154"/>
        <v>1.0907686508744059E-2</v>
      </c>
      <c r="H624" s="30">
        <f t="shared" ca="1" si="154"/>
        <v>2.6175733623845218E-2</v>
      </c>
      <c r="I624" s="30">
        <f t="shared" ca="1" si="154"/>
        <v>-1.0731766232235637E-2</v>
      </c>
      <c r="J624" s="30">
        <f t="shared" ca="1" si="154"/>
        <v>-0.1114369383485732</v>
      </c>
      <c r="K624" s="30">
        <f t="shared" ca="1" si="155"/>
        <v>-1.288653331870669E-2</v>
      </c>
      <c r="L624" s="30">
        <f t="shared" ca="1" si="155"/>
        <v>-8.3960955552596125E-2</v>
      </c>
      <c r="M624" s="30">
        <f t="shared" ca="1" si="155"/>
        <v>-8.7764288994588949E-2</v>
      </c>
      <c r="N624" s="30">
        <f t="shared" ca="1" si="155"/>
        <v>-6.0926121859665908E-2</v>
      </c>
      <c r="O624" s="30">
        <f t="shared" ca="1" si="156"/>
        <v>-1.9788468099626311E-3</v>
      </c>
      <c r="P624" s="30">
        <f t="shared" ca="1" si="157"/>
        <v>-5.7785221928750907E-2</v>
      </c>
      <c r="Q624" s="30">
        <f t="shared" ca="1" si="158"/>
        <v>-9.8496055226824586E-2</v>
      </c>
      <c r="R624" s="30">
        <f t="shared" ca="1" si="159"/>
        <v>-0.17236306020823911</v>
      </c>
      <c r="S624" s="9" cm="1">
        <f t="array" aca="1" ref="S624" ca="1">_xll.BDH($E$6,"PX LAST",AG624)</f>
        <v>146.26</v>
      </c>
      <c r="T624" s="9" cm="1">
        <f t="array" aca="1" ref="T624" ca="1">_xll.BDH($E$6,"PX LAST",AH624)</f>
        <v>146.55000000000001</v>
      </c>
      <c r="U624" s="9" cm="1">
        <f t="array" aca="1" ref="U624" ca="1">_xll.BDH($E$6,"PX LAST",AI624)</f>
        <v>155.22999999999999</v>
      </c>
      <c r="V624" s="9" cm="1">
        <f t="array" aca="1" ref="V624" ca="1">_xll.BDH($E$6,"PX LAST",AJ624)</f>
        <v>162.24</v>
      </c>
      <c r="W624" s="9" cm="1">
        <f t="array" aca="1" ref="W624" ca="1">_xll.BDH($E$6,"PX LAST",AK624)</f>
        <v>176.72</v>
      </c>
      <c r="X624" s="24">
        <f t="shared" ca="1" si="160"/>
        <v>-6.9976905311778248E-3</v>
      </c>
      <c r="Y624" s="24">
        <f t="shared" ca="1" si="161"/>
        <v>-4.559277263545769E-2</v>
      </c>
      <c r="Z624" s="24">
        <f t="shared" ca="1" si="162"/>
        <v>-4.7658072103958671E-2</v>
      </c>
      <c r="AA624" s="24">
        <f t="shared" ca="1" si="163"/>
        <v>-3.3084316432866578E-2</v>
      </c>
      <c r="AB624" s="9" cm="1">
        <f t="array" aca="1" ref="AB624" ca="1">_xll.BDH($E$8,"PX LAST",AG624)</f>
        <v>4299.7</v>
      </c>
      <c r="AC624" s="9" cm="1">
        <f t="array" aca="1" ref="AC624" ca="1">_xll.BDH($E$8,"PX LAST",AH624)</f>
        <v>4330</v>
      </c>
      <c r="AD624" s="9" cm="1">
        <f t="array" aca="1" ref="AD624" ca="1">_xll.BDH($E$8,"PX LAST",AI624)</f>
        <v>4505.1000000000004</v>
      </c>
      <c r="AE624" s="9" cm="1">
        <f t="array" aca="1" ref="AE624" ca="1">_xll.BDH($E$8,"PX LAST",AJ624)</f>
        <v>4514.87</v>
      </c>
      <c r="AF624" s="9" cm="1">
        <f t="array" aca="1" ref="AF624" ca="1">_xll.BDH($E$8,"PX LAST",AK624)</f>
        <v>4446.82</v>
      </c>
      <c r="AG624" s="20">
        <f t="shared" ca="1" si="169"/>
        <v>45197</v>
      </c>
      <c r="AH624" s="22">
        <f t="shared" ca="1" si="164"/>
        <v>45190</v>
      </c>
      <c r="AI624" s="22">
        <f t="shared" ca="1" si="165"/>
        <v>45183</v>
      </c>
      <c r="AJ624" s="22">
        <f t="shared" ca="1" si="166"/>
        <v>45168</v>
      </c>
      <c r="AK624" s="22">
        <f t="shared" ca="1" si="167"/>
        <v>45112</v>
      </c>
      <c r="AL624" s="22">
        <f t="shared" ca="1" si="168"/>
        <v>45022</v>
      </c>
    </row>
    <row r="625" spans="4:38" x14ac:dyDescent="0.25">
      <c r="D625" s="6">
        <f ca="1"/>
        <v>45196</v>
      </c>
      <c r="E625" s="28">
        <f ca="1"/>
        <v>145.54</v>
      </c>
      <c r="F625" s="29" cm="1">
        <f t="array" aca="1" ref="F625" ca="1">_xll.FDS($E$7,"P_BETA_LOCIDX("&amp;$AG625&amp;","&amp;$AL625&amp;",,"""&amp;$E$9&amp;""")")</f>
        <v>1.8572952</v>
      </c>
      <c r="G625" s="30">
        <f t="shared" ca="1" si="154"/>
        <v>2.0594633884483245E-2</v>
      </c>
      <c r="H625" s="30">
        <f t="shared" ca="1" si="154"/>
        <v>2.5028318769512128E-2</v>
      </c>
      <c r="I625" s="30">
        <f t="shared" ca="1" si="154"/>
        <v>-6.1836967748833682E-3</v>
      </c>
      <c r="J625" s="30">
        <f t="shared" ca="1" si="154"/>
        <v>-0.10650941934831169</v>
      </c>
      <c r="K625" s="30">
        <f t="shared" ca="1" si="155"/>
        <v>-5.3872614621779953E-2</v>
      </c>
      <c r="L625" s="30">
        <f t="shared" ca="1" si="155"/>
        <v>-8.0208791374030433E-2</v>
      </c>
      <c r="M625" s="30">
        <f t="shared" ca="1" si="155"/>
        <v>-9.2137349009144859E-2</v>
      </c>
      <c r="N625" s="30">
        <f t="shared" ca="1" si="155"/>
        <v>-7.5482487126508416E-2</v>
      </c>
      <c r="O625" s="30">
        <f t="shared" ca="1" si="156"/>
        <v>-3.3277980737296708E-2</v>
      </c>
      <c r="P625" s="30">
        <f t="shared" ca="1" si="157"/>
        <v>-5.5180472604518305E-2</v>
      </c>
      <c r="Q625" s="30">
        <f t="shared" ca="1" si="158"/>
        <v>-9.8321045784028227E-2</v>
      </c>
      <c r="R625" s="30">
        <f t="shared" ca="1" si="159"/>
        <v>-0.18199190647482011</v>
      </c>
      <c r="S625" s="9" cm="1">
        <f t="array" aca="1" ref="S625" ca="1">_xll.BDH($E$6,"PX LAST",AG625)</f>
        <v>145.54</v>
      </c>
      <c r="T625" s="9" cm="1">
        <f t="array" aca="1" ref="T625" ca="1">_xll.BDH($E$6,"PX LAST",AH625)</f>
        <v>150.55000000000001</v>
      </c>
      <c r="U625" s="9" cm="1">
        <f t="array" aca="1" ref="U625" ca="1">_xll.BDH($E$6,"PX LAST",AI625)</f>
        <v>154.04</v>
      </c>
      <c r="V625" s="9" cm="1">
        <f t="array" aca="1" ref="V625" ca="1">_xll.BDH($E$6,"PX LAST",AJ625)</f>
        <v>161.41</v>
      </c>
      <c r="W625" s="9" cm="1">
        <f t="array" aca="1" ref="W625" ca="1">_xll.BDH($E$6,"PX LAST",AK625)</f>
        <v>177.92</v>
      </c>
      <c r="X625" s="24">
        <f t="shared" ca="1" si="160"/>
        <v>-2.9005951569669675E-2</v>
      </c>
      <c r="Y625" s="24">
        <f t="shared" ca="1" si="161"/>
        <v>-4.3185806636462765E-2</v>
      </c>
      <c r="Z625" s="24">
        <f t="shared" ca="1" si="162"/>
        <v>-4.9608349286179632E-2</v>
      </c>
      <c r="AA625" s="24">
        <f t="shared" ca="1" si="163"/>
        <v>-4.064108232579744E-2</v>
      </c>
      <c r="AB625" s="9" cm="1">
        <f t="array" aca="1" ref="AB625" ca="1">_xll.BDH($E$8,"PX LAST",AG625)</f>
        <v>4274.51</v>
      </c>
      <c r="AC625" s="9" cm="1">
        <f t="array" aca="1" ref="AC625" ca="1">_xll.BDH($E$8,"PX LAST",AH625)</f>
        <v>4402.2</v>
      </c>
      <c r="AD625" s="9" cm="1">
        <f t="array" aca="1" ref="AD625" ca="1">_xll.BDH($E$8,"PX LAST",AI625)</f>
        <v>4467.4399999999996</v>
      </c>
      <c r="AE625" s="9" cm="1">
        <f t="array" aca="1" ref="AE625" ca="1">_xll.BDH($E$8,"PX LAST",AJ625)</f>
        <v>4497.63</v>
      </c>
      <c r="AF625" s="9" cm="1">
        <f t="array" aca="1" ref="AF625" ca="1">_xll.BDH($E$8,"PX LAST",AK625)</f>
        <v>4455.59</v>
      </c>
      <c r="AG625" s="20">
        <f t="shared" ca="1" si="169"/>
        <v>45196</v>
      </c>
      <c r="AH625" s="22">
        <f t="shared" ca="1" si="164"/>
        <v>45189</v>
      </c>
      <c r="AI625" s="22">
        <f t="shared" ca="1" si="165"/>
        <v>45182</v>
      </c>
      <c r="AJ625" s="22">
        <f t="shared" ca="1" si="166"/>
        <v>45167</v>
      </c>
      <c r="AK625" s="22">
        <f t="shared" ca="1" si="167"/>
        <v>45110</v>
      </c>
      <c r="AL625" s="22">
        <f t="shared" ca="1" si="168"/>
        <v>45021</v>
      </c>
    </row>
    <row r="626" spans="4:38" x14ac:dyDescent="0.25">
      <c r="D626" s="6">
        <f ca="1"/>
        <v>45195</v>
      </c>
      <c r="E626" s="28">
        <f ca="1"/>
        <v>146.52000000000001</v>
      </c>
      <c r="F626" s="29" cm="1">
        <f t="array" aca="1" ref="F626" ca="1">_xll.FDS($E$7,"P_BETA_LOCIDX("&amp;$AG626&amp;","&amp;$AL626&amp;",,"""&amp;$E$9&amp;""")")</f>
        <v>1.9068214999999999</v>
      </c>
      <c r="G626" s="30">
        <f t="shared" ca="1" si="154"/>
        <v>3.4604664180325706E-2</v>
      </c>
      <c r="H626" s="30">
        <f t="shared" ca="1" si="154"/>
        <v>1.6790982951597547E-2</v>
      </c>
      <c r="I626" s="30">
        <f t="shared" ca="1" si="154"/>
        <v>-1.005690225840003E-2</v>
      </c>
      <c r="J626" s="30">
        <f t="shared" ca="1" si="154"/>
        <v>-0.10595318013896884</v>
      </c>
      <c r="K626" s="30">
        <f t="shared" ca="1" si="155"/>
        <v>-7.3124252079794005E-2</v>
      </c>
      <c r="L626" s="30">
        <f t="shared" ca="1" si="155"/>
        <v>-8.0501124174678931E-2</v>
      </c>
      <c r="M626" s="30">
        <f t="shared" ca="1" si="155"/>
        <v>-6.8723355522172153E-2</v>
      </c>
      <c r="N626" s="30">
        <f t="shared" ca="1" si="155"/>
        <v>-7.5773615348577156E-2</v>
      </c>
      <c r="O626" s="30">
        <f t="shared" ca="1" si="156"/>
        <v>-3.8519587899468299E-2</v>
      </c>
      <c r="P626" s="30">
        <f t="shared" ca="1" si="157"/>
        <v>-6.3710141223081385E-2</v>
      </c>
      <c r="Q626" s="30">
        <f t="shared" ca="1" si="158"/>
        <v>-7.8780257780572183E-2</v>
      </c>
      <c r="R626" s="30">
        <f t="shared" ca="1" si="159"/>
        <v>-0.181726795487546</v>
      </c>
      <c r="S626" s="9" cm="1">
        <f t="array" aca="1" ref="S626" ca="1">_xll.BDH($E$6,"PX LAST",AG626)</f>
        <v>146.52000000000001</v>
      </c>
      <c r="T626" s="9" cm="1">
        <f t="array" aca="1" ref="T626" ca="1">_xll.BDH($E$6,"PX LAST",AH626)</f>
        <v>152.38999999999999</v>
      </c>
      <c r="U626" s="9" cm="1">
        <f t="array" aca="1" ref="U626" ca="1">_xll.BDH($E$6,"PX LAST",AI626)</f>
        <v>156.49</v>
      </c>
      <c r="V626" s="9" cm="1">
        <f t="array" aca="1" ref="V626" ca="1">_xll.BDH($E$6,"PX LAST",AJ626)</f>
        <v>159.05000000000001</v>
      </c>
      <c r="W626" s="9" cm="1">
        <f t="array" aca="1" ref="W626" ca="1">_xll.BDH($E$6,"PX LAST",AK626)</f>
        <v>179.06</v>
      </c>
      <c r="X626" s="24">
        <f t="shared" ca="1" si="160"/>
        <v>-3.8348766300250969E-2</v>
      </c>
      <c r="Y626" s="24">
        <f t="shared" ca="1" si="161"/>
        <v>-4.2217441000470646E-2</v>
      </c>
      <c r="Z626" s="24">
        <f t="shared" ca="1" si="162"/>
        <v>-3.6040791192134214E-2</v>
      </c>
      <c r="AA626" s="24">
        <f t="shared" ca="1" si="163"/>
        <v>-3.9738179661062745E-2</v>
      </c>
      <c r="AB626" s="9" cm="1">
        <f t="array" aca="1" ref="AB626" ca="1">_xll.BDH($E$8,"PX LAST",AG626)</f>
        <v>4273.53</v>
      </c>
      <c r="AC626" s="9" cm="1">
        <f t="array" aca="1" ref="AC626" ca="1">_xll.BDH($E$8,"PX LAST",AH626)</f>
        <v>4443.95</v>
      </c>
      <c r="AD626" s="9" cm="1">
        <f t="array" aca="1" ref="AD626" ca="1">_xll.BDH($E$8,"PX LAST",AI626)</f>
        <v>4461.8999999999996</v>
      </c>
      <c r="AE626" s="9" cm="1">
        <f t="array" aca="1" ref="AE626" ca="1">_xll.BDH($E$8,"PX LAST",AJ626)</f>
        <v>4433.3100000000004</v>
      </c>
      <c r="AF626" s="9" cm="1">
        <f t="array" aca="1" ref="AF626" ca="1">_xll.BDH($E$8,"PX LAST",AK626)</f>
        <v>4450.38</v>
      </c>
      <c r="AG626" s="20">
        <f t="shared" ca="1" si="169"/>
        <v>45195</v>
      </c>
      <c r="AH626" s="22">
        <f t="shared" ca="1" si="164"/>
        <v>45188</v>
      </c>
      <c r="AI626" s="22">
        <f t="shared" ca="1" si="165"/>
        <v>45181</v>
      </c>
      <c r="AJ626" s="22">
        <f t="shared" ca="1" si="166"/>
        <v>45166</v>
      </c>
      <c r="AK626" s="22">
        <f t="shared" ca="1" si="167"/>
        <v>45107</v>
      </c>
      <c r="AL626" s="22">
        <f t="shared" ca="1" si="168"/>
        <v>45020</v>
      </c>
    </row>
    <row r="627" spans="4:38" x14ac:dyDescent="0.25">
      <c r="D627" s="6">
        <f ca="1"/>
        <v>45194</v>
      </c>
      <c r="E627" s="28">
        <f ca="1"/>
        <v>147.44</v>
      </c>
      <c r="F627" s="29" cm="1">
        <f t="array" aca="1" ref="F627" ca="1">_xll.FDS($E$7,"P_BETA_LOCIDX("&amp;$AG627&amp;","&amp;$AL627&amp;",,"""&amp;$E$9&amp;""")")</f>
        <v>1.9501717000000001</v>
      </c>
      <c r="G627" s="30">
        <f t="shared" ca="1" si="154"/>
        <v>9.2333887236957651E-3</v>
      </c>
      <c r="H627" s="30">
        <f t="shared" ca="1" si="154"/>
        <v>6.1623095502908731E-3</v>
      </c>
      <c r="I627" s="30">
        <f t="shared" ca="1" si="154"/>
        <v>-2.210087948109311E-2</v>
      </c>
      <c r="J627" s="30">
        <f t="shared" ca="1" si="154"/>
        <v>-0.13390627072204819</v>
      </c>
      <c r="K627" s="30">
        <f t="shared" ca="1" si="155"/>
        <v>-5.0835052790258503E-2</v>
      </c>
      <c r="L627" s="30">
        <f t="shared" ca="1" si="155"/>
        <v>-6.5196070479514173E-2</v>
      </c>
      <c r="M627" s="30">
        <f t="shared" ca="1" si="155"/>
        <v>-3.0219470178246183E-2</v>
      </c>
      <c r="N627" s="30">
        <f t="shared" ca="1" si="155"/>
        <v>-2.6171204497275065E-2</v>
      </c>
      <c r="O627" s="30">
        <f t="shared" ca="1" si="156"/>
        <v>-4.1601664066562738E-2</v>
      </c>
      <c r="P627" s="30">
        <f t="shared" ca="1" si="157"/>
        <v>-5.90337609292233E-2</v>
      </c>
      <c r="Q627" s="30">
        <f t="shared" ca="1" si="158"/>
        <v>-5.2320349659339294E-2</v>
      </c>
      <c r="R627" s="30">
        <f t="shared" ca="1" si="159"/>
        <v>-0.16007747521932325</v>
      </c>
      <c r="S627" s="9" cm="1">
        <f t="array" aca="1" ref="S627" ca="1">_xll.BDH($E$6,"PX LAST",AG627)</f>
        <v>147.44</v>
      </c>
      <c r="T627" s="9" cm="1">
        <f t="array" aca="1" ref="T627" ca="1">_xll.BDH($E$6,"PX LAST",AH627)</f>
        <v>153.84</v>
      </c>
      <c r="U627" s="9" cm="1">
        <f t="array" aca="1" ref="U627" ca="1">_xll.BDH($E$6,"PX LAST",AI627)</f>
        <v>156.69</v>
      </c>
      <c r="V627" s="9" cm="1">
        <f t="array" aca="1" ref="V627" ca="1">_xll.BDH($E$6,"PX LAST",AJ627)</f>
        <v>155.58000000000001</v>
      </c>
      <c r="W627" s="9" cm="1">
        <f t="array" aca="1" ref="W627" ca="1">_xll.BDH($E$6,"PX LAST",AK627)</f>
        <v>175.54</v>
      </c>
      <c r="X627" s="24">
        <f t="shared" ca="1" si="160"/>
        <v>-2.6066962611681066E-2</v>
      </c>
      <c r="Y627" s="24">
        <f t="shared" ca="1" si="161"/>
        <v>-3.3430938660177545E-2</v>
      </c>
      <c r="Z627" s="24">
        <f t="shared" ca="1" si="162"/>
        <v>-1.5495799768936336E-2</v>
      </c>
      <c r="AA627" s="24">
        <f t="shared" ca="1" si="163"/>
        <v>-1.3419948867720244E-2</v>
      </c>
      <c r="AB627" s="9" cm="1">
        <f t="array" aca="1" ref="AB627" ca="1">_xll.BDH($E$8,"PX LAST",AG627)</f>
        <v>4337.4399999999996</v>
      </c>
      <c r="AC627" s="9" cm="1">
        <f t="array" aca="1" ref="AC627" ca="1">_xll.BDH($E$8,"PX LAST",AH627)</f>
        <v>4453.53</v>
      </c>
      <c r="AD627" s="9" cm="1">
        <f t="array" aca="1" ref="AD627" ca="1">_xll.BDH($E$8,"PX LAST",AI627)</f>
        <v>4487.46</v>
      </c>
      <c r="AE627" s="9" cm="1">
        <f t="array" aca="1" ref="AE627" ca="1">_xll.BDH($E$8,"PX LAST",AJ627)</f>
        <v>4405.71</v>
      </c>
      <c r="AF627" s="9" cm="1">
        <f t="array" aca="1" ref="AF627" ca="1">_xll.BDH($E$8,"PX LAST",AK627)</f>
        <v>4396.4399999999996</v>
      </c>
      <c r="AG627" s="20">
        <f t="shared" ca="1" si="169"/>
        <v>45194</v>
      </c>
      <c r="AH627" s="22">
        <f t="shared" ca="1" si="164"/>
        <v>45187</v>
      </c>
      <c r="AI627" s="22">
        <f t="shared" ca="1" si="165"/>
        <v>45180</v>
      </c>
      <c r="AJ627" s="22">
        <f t="shared" ca="1" si="166"/>
        <v>45163</v>
      </c>
      <c r="AK627" s="22">
        <f t="shared" ca="1" si="167"/>
        <v>45106</v>
      </c>
      <c r="AL627" s="22">
        <f t="shared" ca="1" si="168"/>
        <v>45019</v>
      </c>
    </row>
    <row r="628" spans="4:38" x14ac:dyDescent="0.25">
      <c r="D628" s="6">
        <f ca="1"/>
        <v>45191</v>
      </c>
      <c r="E628" s="28">
        <f ca="1"/>
        <v>147.13999999999999</v>
      </c>
      <c r="F628" s="29" cm="1">
        <f t="array" aca="1" ref="F628" ca="1">_xll.FDS($E$7,"P_BETA_LOCIDX("&amp;$AG628&amp;","&amp;$AL628&amp;",,"""&amp;$E$9&amp;""")")</f>
        <v>1.9468122999999999</v>
      </c>
      <c r="G628" s="30">
        <f t="shared" ca="1" si="154"/>
        <v>1.7802981565770801E-2</v>
      </c>
      <c r="H628" s="30">
        <f t="shared" ca="1" si="154"/>
        <v>-8.7704526401387248E-3</v>
      </c>
      <c r="I628" s="30">
        <f t="shared" ca="1" si="154"/>
        <v>-2.8373857787566528E-2</v>
      </c>
      <c r="J628" s="30">
        <f t="shared" ca="1" si="154"/>
        <v>-0.13970916605575581</v>
      </c>
      <c r="K628" s="30">
        <f t="shared" ca="1" si="155"/>
        <v>-5.698281701046197E-2</v>
      </c>
      <c r="L628" s="30">
        <f t="shared" ca="1" si="155"/>
        <v>-6.0022661719711969E-2</v>
      </c>
      <c r="M628" s="30">
        <f t="shared" ca="1" si="155"/>
        <v>-2.5022951270591051E-2</v>
      </c>
      <c r="N628" s="30">
        <f t="shared" ca="1" si="155"/>
        <v>-2.5264444976535311E-2</v>
      </c>
      <c r="O628" s="30">
        <f t="shared" ca="1" si="156"/>
        <v>-3.9179835444691169E-2</v>
      </c>
      <c r="P628" s="30">
        <f t="shared" ca="1" si="157"/>
        <v>-6.8793114359850693E-2</v>
      </c>
      <c r="Q628" s="30">
        <f t="shared" ca="1" si="158"/>
        <v>-5.3396809058157579E-2</v>
      </c>
      <c r="R628" s="30">
        <f t="shared" ca="1" si="159"/>
        <v>-0.16497361103229113</v>
      </c>
      <c r="S628" s="9" cm="1">
        <f t="array" aca="1" ref="S628" ca="1">_xll.BDH($E$6,"PX LAST",AG628)</f>
        <v>147.13999999999999</v>
      </c>
      <c r="T628" s="9" cm="1">
        <f t="array" aca="1" ref="T628" ca="1">_xll.BDH($E$6,"PX LAST",AH628)</f>
        <v>153.13999999999999</v>
      </c>
      <c r="U628" s="9" cm="1">
        <f t="array" aca="1" ref="U628" ca="1">_xll.BDH($E$6,"PX LAST",AI628)</f>
        <v>158.01</v>
      </c>
      <c r="V628" s="9" cm="1">
        <f t="array" aca="1" ref="V628" ca="1">_xll.BDH($E$6,"PX LAST",AJ628)</f>
        <v>155.44</v>
      </c>
      <c r="W628" s="9" cm="1">
        <f t="array" aca="1" ref="W628" ca="1">_xll.BDH($E$6,"PX LAST",AK628)</f>
        <v>176.21</v>
      </c>
      <c r="X628" s="24">
        <f t="shared" ca="1" si="160"/>
        <v>-2.9269805317370334E-2</v>
      </c>
      <c r="Y628" s="24">
        <f t="shared" ca="1" si="161"/>
        <v>-3.0831252565905798E-2</v>
      </c>
      <c r="Z628" s="24">
        <f t="shared" ca="1" si="162"/>
        <v>-1.285329421361836E-2</v>
      </c>
      <c r="AA628" s="24">
        <f t="shared" ca="1" si="163"/>
        <v>-1.2977339919485464E-2</v>
      </c>
      <c r="AB628" s="9" cm="1">
        <f t="array" aca="1" ref="AB628" ca="1">_xll.BDH($E$8,"PX LAST",AG628)</f>
        <v>4320.0600000000004</v>
      </c>
      <c r="AC628" s="9" cm="1">
        <f t="array" aca="1" ref="AC628" ca="1">_xll.BDH($E$8,"PX LAST",AH628)</f>
        <v>4450.32</v>
      </c>
      <c r="AD628" s="9" cm="1">
        <f t="array" aca="1" ref="AD628" ca="1">_xll.BDH($E$8,"PX LAST",AI628)</f>
        <v>4457.49</v>
      </c>
      <c r="AE628" s="9" cm="1">
        <f t="array" aca="1" ref="AE628" ca="1">_xll.BDH($E$8,"PX LAST",AJ628)</f>
        <v>4376.3100000000004</v>
      </c>
      <c r="AF628" s="9" cm="1">
        <f t="array" aca="1" ref="AF628" ca="1">_xll.BDH($E$8,"PX LAST",AK628)</f>
        <v>4376.8599999999997</v>
      </c>
      <c r="AG628" s="20">
        <f t="shared" ca="1" si="169"/>
        <v>45191</v>
      </c>
      <c r="AH628" s="22">
        <f t="shared" ca="1" si="164"/>
        <v>45184</v>
      </c>
      <c r="AI628" s="22">
        <f t="shared" ca="1" si="165"/>
        <v>45177</v>
      </c>
      <c r="AJ628" s="22">
        <f t="shared" ca="1" si="166"/>
        <v>45162</v>
      </c>
      <c r="AK628" s="22">
        <f t="shared" ca="1" si="167"/>
        <v>45105</v>
      </c>
      <c r="AL628" s="22">
        <f t="shared" ca="1" si="168"/>
        <v>45016</v>
      </c>
    </row>
    <row r="629" spans="4:38" x14ac:dyDescent="0.25">
      <c r="D629" s="6">
        <f ca="1"/>
        <v>45190</v>
      </c>
      <c r="E629" s="28">
        <f ca="1"/>
        <v>146.55000000000001</v>
      </c>
      <c r="F629" s="29" cm="1">
        <f t="array" aca="1" ref="F629" ca="1">_xll.FDS($E$7,"P_BETA_LOCIDX("&amp;$AG629&amp;","&amp;$AL629&amp;",,"""&amp;$E$9&amp;""")")</f>
        <v>1.9550394</v>
      </c>
      <c r="G629" s="30">
        <f t="shared" ca="1" si="154"/>
        <v>2.0069610783251743E-2</v>
      </c>
      <c r="H629" s="30">
        <f t="shared" ca="1" si="154"/>
        <v>-7.3695485805017613E-3</v>
      </c>
      <c r="I629" s="30">
        <f t="shared" ca="1" si="154"/>
        <v>-1.3554976563101402E-2</v>
      </c>
      <c r="J629" s="30">
        <f t="shared" ca="1" si="154"/>
        <v>-0.13322834848802181</v>
      </c>
      <c r="K629" s="30">
        <f t="shared" ca="1" si="155"/>
        <v>-7.5986637131251297E-2</v>
      </c>
      <c r="L629" s="30">
        <f t="shared" ca="1" si="155"/>
        <v>-5.3207374496421211E-2</v>
      </c>
      <c r="M629" s="30">
        <f t="shared" ca="1" si="155"/>
        <v>-4.6720752837347272E-2</v>
      </c>
      <c r="N629" s="30">
        <f t="shared" ca="1" si="155"/>
        <v>-2.1615942169417618E-2</v>
      </c>
      <c r="O629" s="30">
        <f t="shared" ca="1" si="156"/>
        <v>-5.5917026347999554E-2</v>
      </c>
      <c r="P629" s="30">
        <f t="shared" ca="1" si="157"/>
        <v>-6.0576923076922973E-2</v>
      </c>
      <c r="Q629" s="30">
        <f t="shared" ca="1" si="158"/>
        <v>-6.0275729400448674E-2</v>
      </c>
      <c r="R629" s="30">
        <f t="shared" ca="1" si="159"/>
        <v>-0.15484429065743943</v>
      </c>
      <c r="S629" s="9" cm="1">
        <f t="array" aca="1" ref="S629" ca="1">_xll.BDH($E$6,"PX LAST",AG629)</f>
        <v>146.55000000000001</v>
      </c>
      <c r="T629" s="9" cm="1">
        <f t="array" aca="1" ref="T629" ca="1">_xll.BDH($E$6,"PX LAST",AH629)</f>
        <v>155.22999999999999</v>
      </c>
      <c r="U629" s="9" cm="1">
        <f t="array" aca="1" ref="U629" ca="1">_xll.BDH($E$6,"PX LAST",AI629)</f>
        <v>156</v>
      </c>
      <c r="V629" s="9" cm="1">
        <f t="array" aca="1" ref="V629" ca="1">_xll.BDH($E$6,"PX LAST",AJ629)</f>
        <v>155.94999999999999</v>
      </c>
      <c r="W629" s="9" cm="1">
        <f t="array" aca="1" ref="W629" ca="1">_xll.BDH($E$6,"PX LAST",AK629)</f>
        <v>173.4</v>
      </c>
      <c r="X629" s="24">
        <f t="shared" ca="1" si="160"/>
        <v>-3.8867061774433442E-2</v>
      </c>
      <c r="Y629" s="24">
        <f t="shared" ca="1" si="161"/>
        <v>-2.7215499849476799E-2</v>
      </c>
      <c r="Z629" s="24">
        <f t="shared" ca="1" si="162"/>
        <v>-2.389760167357613E-2</v>
      </c>
      <c r="AA629" s="24">
        <f t="shared" ca="1" si="163"/>
        <v>-1.1056525085590407E-2</v>
      </c>
      <c r="AB629" s="9" cm="1">
        <f t="array" aca="1" ref="AB629" ca="1">_xll.BDH($E$8,"PX LAST",AG629)</f>
        <v>4330</v>
      </c>
      <c r="AC629" s="9" cm="1">
        <f t="array" aca="1" ref="AC629" ca="1">_xll.BDH($E$8,"PX LAST",AH629)</f>
        <v>4505.1000000000004</v>
      </c>
      <c r="AD629" s="9" cm="1">
        <f t="array" aca="1" ref="AD629" ca="1">_xll.BDH($E$8,"PX LAST",AI629)</f>
        <v>4451.1400000000003</v>
      </c>
      <c r="AE629" s="9" cm="1">
        <f t="array" aca="1" ref="AE629" ca="1">_xll.BDH($E$8,"PX LAST",AJ629)</f>
        <v>4436.01</v>
      </c>
      <c r="AF629" s="9" cm="1">
        <f t="array" aca="1" ref="AF629" ca="1">_xll.BDH($E$8,"PX LAST",AK629)</f>
        <v>4378.41</v>
      </c>
      <c r="AG629" s="20">
        <f t="shared" ca="1" si="169"/>
        <v>45190</v>
      </c>
      <c r="AH629" s="22">
        <f t="shared" ca="1" si="164"/>
        <v>45183</v>
      </c>
      <c r="AI629" s="22">
        <f t="shared" ca="1" si="165"/>
        <v>45176</v>
      </c>
      <c r="AJ629" s="22">
        <f t="shared" ca="1" si="166"/>
        <v>45161</v>
      </c>
      <c r="AK629" s="22">
        <f t="shared" ca="1" si="167"/>
        <v>45104</v>
      </c>
      <c r="AL629" s="22">
        <f t="shared" ca="1" si="168"/>
        <v>45015</v>
      </c>
    </row>
    <row r="630" spans="4:38" x14ac:dyDescent="0.25">
      <c r="D630" s="6">
        <f ca="1"/>
        <v>45189</v>
      </c>
      <c r="E630" s="28">
        <f ca="1"/>
        <v>150.55000000000001</v>
      </c>
      <c r="F630" s="29" cm="1">
        <f t="array" aca="1" ref="F630" ca="1">_xll.FDS($E$7,"P_BETA_LOCIDX("&amp;$AG630&amp;","&amp;$AL630&amp;",,"""&amp;$E$9&amp;""")")</f>
        <v>1.9992335000000001</v>
      </c>
      <c r="G630" s="30">
        <f t="shared" ca="1" si="154"/>
        <v>6.5392371768165126E-3</v>
      </c>
      <c r="H630" s="30">
        <f t="shared" ca="1" si="154"/>
        <v>-1.8941501183181012E-2</v>
      </c>
      <c r="I630" s="30">
        <f t="shared" ca="1" si="154"/>
        <v>-2.268849913272088E-2</v>
      </c>
      <c r="J630" s="30">
        <f t="shared" ca="1" si="154"/>
        <v>-0.13104143455162309</v>
      </c>
      <c r="K630" s="30">
        <f t="shared" ca="1" si="155"/>
        <v>-2.919569004620096E-2</v>
      </c>
      <c r="L630" s="30">
        <f t="shared" ca="1" si="155"/>
        <v>-2.8330995969078218E-2</v>
      </c>
      <c r="M630" s="30">
        <f t="shared" ca="1" si="155"/>
        <v>6.6754272372960997E-3</v>
      </c>
      <c r="N630" s="30">
        <f t="shared" ca="1" si="155"/>
        <v>3.389001026376702E-2</v>
      </c>
      <c r="O630" s="30">
        <f t="shared" ca="1" si="156"/>
        <v>-2.2656452869384447E-2</v>
      </c>
      <c r="P630" s="30">
        <f t="shared" ca="1" si="157"/>
        <v>-4.727249715225923E-2</v>
      </c>
      <c r="Q630" s="30">
        <f t="shared" ca="1" si="158"/>
        <v>-1.601307189542478E-2</v>
      </c>
      <c r="R630" s="30">
        <f t="shared" ca="1" si="159"/>
        <v>-9.7151424287856059E-2</v>
      </c>
      <c r="S630" s="9" cm="1">
        <f t="array" aca="1" ref="S630" ca="1">_xll.BDH($E$6,"PX LAST",AG630)</f>
        <v>150.55000000000001</v>
      </c>
      <c r="T630" s="9" cm="1">
        <f t="array" aca="1" ref="T630" ca="1">_xll.BDH($E$6,"PX LAST",AH630)</f>
        <v>154.04</v>
      </c>
      <c r="U630" s="9" cm="1">
        <f t="array" aca="1" ref="U630" ca="1">_xll.BDH($E$6,"PX LAST",AI630)</f>
        <v>158.02000000000001</v>
      </c>
      <c r="V630" s="9" cm="1">
        <f t="array" aca="1" ref="V630" ca="1">_xll.BDH($E$6,"PX LAST",AJ630)</f>
        <v>153</v>
      </c>
      <c r="W630" s="9" cm="1">
        <f t="array" aca="1" ref="W630" ca="1">_xll.BDH($E$6,"PX LAST",AK630)</f>
        <v>166.75</v>
      </c>
      <c r="X630" s="24">
        <f t="shared" ca="1" si="160"/>
        <v>-1.4603441792167327E-2</v>
      </c>
      <c r="Y630" s="24">
        <f t="shared" ca="1" si="161"/>
        <v>-1.4170928993075704E-2</v>
      </c>
      <c r="Z630" s="24">
        <f t="shared" ca="1" si="162"/>
        <v>3.338993287825609E-3</v>
      </c>
      <c r="AA630" s="24">
        <f t="shared" ca="1" si="163"/>
        <v>1.6951501794946422E-2</v>
      </c>
      <c r="AB630" s="9" cm="1">
        <f t="array" aca="1" ref="AB630" ca="1">_xll.BDH($E$8,"PX LAST",AG630)</f>
        <v>4402.2</v>
      </c>
      <c r="AC630" s="9" cm="1">
        <f t="array" aca="1" ref="AC630" ca="1">_xll.BDH($E$8,"PX LAST",AH630)</f>
        <v>4467.4399999999996</v>
      </c>
      <c r="AD630" s="9" cm="1">
        <f t="array" aca="1" ref="AD630" ca="1">_xll.BDH($E$8,"PX LAST",AI630)</f>
        <v>4465.4799999999996</v>
      </c>
      <c r="AE630" s="9" cm="1">
        <f t="array" aca="1" ref="AE630" ca="1">_xll.BDH($E$8,"PX LAST",AJ630)</f>
        <v>4387.55</v>
      </c>
      <c r="AF630" s="9" cm="1">
        <f t="array" aca="1" ref="AF630" ca="1">_xll.BDH($E$8,"PX LAST",AK630)</f>
        <v>4328.82</v>
      </c>
      <c r="AG630" s="20">
        <f t="shared" ca="1" si="169"/>
        <v>45189</v>
      </c>
      <c r="AH630" s="22">
        <f t="shared" ca="1" si="164"/>
        <v>45182</v>
      </c>
      <c r="AI630" s="22">
        <f t="shared" ca="1" si="165"/>
        <v>45175</v>
      </c>
      <c r="AJ630" s="22">
        <f t="shared" ca="1" si="166"/>
        <v>45160</v>
      </c>
      <c r="AK630" s="22">
        <f t="shared" ca="1" si="167"/>
        <v>45103</v>
      </c>
      <c r="AL630" s="22">
        <f t="shared" ca="1" si="168"/>
        <v>45014</v>
      </c>
    </row>
    <row r="631" spans="4:38" x14ac:dyDescent="0.25">
      <c r="D631" s="6">
        <f ca="1"/>
        <v>45188</v>
      </c>
      <c r="E631" s="28">
        <f ca="1"/>
        <v>152.38999999999999</v>
      </c>
      <c r="F631" s="29" cm="1">
        <f t="array" aca="1" ref="F631" ca="1">_xll.FDS($E$7,"P_BETA_LOCIDX("&amp;$AG631&amp;","&amp;$AL631&amp;",,"""&amp;$E$9&amp;""")")</f>
        <v>2.0067482000000001</v>
      </c>
      <c r="G631" s="30">
        <f t="shared" ca="1" si="154"/>
        <v>-1.8126709773892316E-2</v>
      </c>
      <c r="H631" s="30">
        <f t="shared" ca="1" si="154"/>
        <v>-3.720423037927547E-3</v>
      </c>
      <c r="I631" s="30">
        <f t="shared" ca="1" si="154"/>
        <v>-2.796363823232741E-2</v>
      </c>
      <c r="J631" s="30">
        <f t="shared" ca="1" si="154"/>
        <v>-0.13650491050309699</v>
      </c>
      <c r="K631" s="30">
        <f t="shared" ca="1" si="155"/>
        <v>-8.073047399090082E-3</v>
      </c>
      <c r="L631" s="30">
        <f t="shared" ca="1" si="155"/>
        <v>-2.3598144652121598E-2</v>
      </c>
      <c r="M631" s="30">
        <f t="shared" ca="1" si="155"/>
        <v>2.0150629572909379E-2</v>
      </c>
      <c r="N631" s="30">
        <f t="shared" ca="1" si="155"/>
        <v>4.4128495970637067E-2</v>
      </c>
      <c r="O631" s="30">
        <f t="shared" ca="1" si="156"/>
        <v>-2.6199757172982396E-2</v>
      </c>
      <c r="P631" s="30">
        <f t="shared" ca="1" si="157"/>
        <v>-2.7318567690049145E-2</v>
      </c>
      <c r="Q631" s="30">
        <f t="shared" ca="1" si="158"/>
        <v>-7.8130086594180304E-3</v>
      </c>
      <c r="R631" s="30">
        <f t="shared" ca="1" si="159"/>
        <v>-9.2376414532459927E-2</v>
      </c>
      <c r="S631" s="9" cm="1">
        <f t="array" aca="1" ref="S631" ca="1">_xll.BDH($E$6,"PX LAST",AG631)</f>
        <v>152.38999999999999</v>
      </c>
      <c r="T631" s="9" cm="1">
        <f t="array" aca="1" ref="T631" ca="1">_xll.BDH($E$6,"PX LAST",AH631)</f>
        <v>156.49</v>
      </c>
      <c r="U631" s="9" cm="1">
        <f t="array" aca="1" ref="U631" ca="1">_xll.BDH($E$6,"PX LAST",AI631)</f>
        <v>156.66999999999999</v>
      </c>
      <c r="V631" s="9" cm="1">
        <f t="array" aca="1" ref="V631" ca="1">_xll.BDH($E$6,"PX LAST",AJ631)</f>
        <v>153.59</v>
      </c>
      <c r="W631" s="9" cm="1">
        <f t="array" aca="1" ref="W631" ca="1">_xll.BDH($E$6,"PX LAST",AK631)</f>
        <v>167.9</v>
      </c>
      <c r="X631" s="24">
        <f t="shared" ca="1" si="160"/>
        <v>-4.0229498644075434E-3</v>
      </c>
      <c r="Y631" s="24">
        <f t="shared" ca="1" si="161"/>
        <v>-1.1759394951554758E-2</v>
      </c>
      <c r="Z631" s="24">
        <f t="shared" ca="1" si="162"/>
        <v>1.0041433984049108E-2</v>
      </c>
      <c r="AA631" s="24">
        <f t="shared" ca="1" si="163"/>
        <v>2.1990051353048212E-2</v>
      </c>
      <c r="AB631" s="9" cm="1">
        <f t="array" aca="1" ref="AB631" ca="1">_xll.BDH($E$8,"PX LAST",AG631)</f>
        <v>4443.95</v>
      </c>
      <c r="AC631" s="9" cm="1">
        <f t="array" aca="1" ref="AC631" ca="1">_xll.BDH($E$8,"PX LAST",AH631)</f>
        <v>4461.8999999999996</v>
      </c>
      <c r="AD631" s="9" cm="1">
        <f t="array" aca="1" ref="AD631" ca="1">_xll.BDH($E$8,"PX LAST",AI631)</f>
        <v>4496.83</v>
      </c>
      <c r="AE631" s="9" cm="1">
        <f t="array" aca="1" ref="AE631" ca="1">_xll.BDH($E$8,"PX LAST",AJ631)</f>
        <v>4399.7700000000004</v>
      </c>
      <c r="AF631" s="9" cm="1">
        <f t="array" aca="1" ref="AF631" ca="1">_xll.BDH($E$8,"PX LAST",AK631)</f>
        <v>4348.33</v>
      </c>
      <c r="AG631" s="20">
        <f t="shared" ca="1" si="169"/>
        <v>45188</v>
      </c>
      <c r="AH631" s="22">
        <f t="shared" ca="1" si="164"/>
        <v>45181</v>
      </c>
      <c r="AI631" s="22">
        <f t="shared" ca="1" si="165"/>
        <v>45174</v>
      </c>
      <c r="AJ631" s="22">
        <f t="shared" ca="1" si="166"/>
        <v>45159</v>
      </c>
      <c r="AK631" s="22">
        <f t="shared" ca="1" si="167"/>
        <v>45100</v>
      </c>
      <c r="AL631" s="22">
        <f t="shared" ca="1" si="168"/>
        <v>45013</v>
      </c>
    </row>
    <row r="632" spans="4:38" x14ac:dyDescent="0.25">
      <c r="D632" s="6">
        <f ca="1"/>
        <v>45187</v>
      </c>
      <c r="E632" s="28">
        <f ca="1"/>
        <v>153.84</v>
      </c>
      <c r="F632" s="29" cm="1">
        <f t="array" aca="1" ref="F632" ca="1">_xll.FDS($E$7,"P_BETA_LOCIDX("&amp;$AG632&amp;","&amp;$AL632&amp;",,"""&amp;$E$9&amp;""")")</f>
        <v>2.0071509999999999</v>
      </c>
      <c r="G632" s="30">
        <f t="shared" ca="1" si="154"/>
        <v>-3.0125708170535299E-3</v>
      </c>
      <c r="H632" s="30">
        <f t="shared" ca="1" si="154"/>
        <v>-3.0150615755631206E-2</v>
      </c>
      <c r="I632" s="30">
        <f t="shared" ca="1" si="154"/>
        <v>-3.0441512639164482E-2</v>
      </c>
      <c r="J632" s="30">
        <f t="shared" ca="1" si="154"/>
        <v>-0.11491537040800563</v>
      </c>
      <c r="K632" s="30">
        <f t="shared" ca="1" si="155"/>
        <v>-1.5176209577355769E-2</v>
      </c>
      <c r="L632" s="30">
        <f t="shared" ca="1" si="155"/>
        <v>-2.76641809126686E-2</v>
      </c>
      <c r="M632" s="30">
        <f t="shared" ca="1" si="155"/>
        <v>3.8501272812154409E-2</v>
      </c>
      <c r="N632" s="30">
        <f t="shared" ca="1" si="155"/>
        <v>3.281513174452115E-2</v>
      </c>
      <c r="O632" s="30">
        <f t="shared" ca="1" si="156"/>
        <v>-1.8188780394409299E-2</v>
      </c>
      <c r="P632" s="30">
        <f t="shared" ca="1" si="157"/>
        <v>-5.7814796668299806E-2</v>
      </c>
      <c r="Q632" s="30">
        <f t="shared" ca="1" si="158"/>
        <v>8.0597601729899271E-3</v>
      </c>
      <c r="R632" s="30">
        <f t="shared" ca="1" si="159"/>
        <v>-8.2100238663484482E-2</v>
      </c>
      <c r="S632" s="9" cm="1">
        <f t="array" aca="1" ref="S632" ca="1">_xll.BDH($E$6,"PX LAST",AG632)</f>
        <v>153.84</v>
      </c>
      <c r="T632" s="9" cm="1">
        <f t="array" aca="1" ref="T632" ca="1">_xll.BDH($E$6,"PX LAST",AH632)</f>
        <v>156.69</v>
      </c>
      <c r="U632" s="9" cm="1">
        <f t="array" aca="1" ref="U632" ca="1">_xll.BDH($E$6,"PX LAST",AI632)</f>
        <v>163.28</v>
      </c>
      <c r="V632" s="9" cm="1">
        <f t="array" aca="1" ref="V632" ca="1">_xll.BDH($E$6,"PX LAST",AJ632)</f>
        <v>152.61000000000001</v>
      </c>
      <c r="W632" s="9" cm="1">
        <f t="array" aca="1" ref="W632" ca="1">_xll.BDH($E$6,"PX LAST",AK632)</f>
        <v>167.6</v>
      </c>
      <c r="X632" s="24">
        <f t="shared" ca="1" si="160"/>
        <v>-7.5610701822412807E-3</v>
      </c>
      <c r="Y632" s="24">
        <f t="shared" ca="1" si="161"/>
        <v>-1.3782810019110969E-2</v>
      </c>
      <c r="Z632" s="24">
        <f t="shared" ca="1" si="162"/>
        <v>1.9182050982788246E-2</v>
      </c>
      <c r="AA632" s="24">
        <f t="shared" ca="1" si="163"/>
        <v>1.6349109630775738E-2</v>
      </c>
      <c r="AB632" s="9" cm="1">
        <f t="array" aca="1" ref="AB632" ca="1">_xll.BDH($E$8,"PX LAST",AG632)</f>
        <v>4453.53</v>
      </c>
      <c r="AC632" s="9" cm="1">
        <f t="array" aca="1" ref="AC632" ca="1">_xll.BDH($E$8,"PX LAST",AH632)</f>
        <v>4487.46</v>
      </c>
      <c r="AD632" s="9" cm="1">
        <f t="array" aca="1" ref="AD632" ca="1">_xll.BDH($E$8,"PX LAST",AI632)</f>
        <v>4515.7700000000004</v>
      </c>
      <c r="AE632" s="9" cm="1">
        <f t="array" aca="1" ref="AE632" ca="1">_xll.BDH($E$8,"PX LAST",AJ632)</f>
        <v>4369.71</v>
      </c>
      <c r="AF632" s="9" cm="1">
        <f t="array" aca="1" ref="AF632" ca="1">_xll.BDH($E$8,"PX LAST",AK632)</f>
        <v>4381.8900000000003</v>
      </c>
      <c r="AG632" s="20">
        <f t="shared" ca="1" si="169"/>
        <v>45187</v>
      </c>
      <c r="AH632" s="22">
        <f t="shared" ca="1" si="164"/>
        <v>45180</v>
      </c>
      <c r="AI632" s="22">
        <f t="shared" ca="1" si="165"/>
        <v>45170</v>
      </c>
      <c r="AJ632" s="22">
        <f t="shared" ca="1" si="166"/>
        <v>45156</v>
      </c>
      <c r="AK632" s="22">
        <f t="shared" ca="1" si="167"/>
        <v>45099</v>
      </c>
      <c r="AL632" s="22">
        <f t="shared" ca="1" si="168"/>
        <v>45012</v>
      </c>
    </row>
    <row r="633" spans="4:38" x14ac:dyDescent="0.25">
      <c r="D633" s="6">
        <f ca="1"/>
        <v>45184</v>
      </c>
      <c r="E633" s="28">
        <f ca="1"/>
        <v>153.13999999999999</v>
      </c>
      <c r="F633" s="29" cm="1">
        <f t="array" aca="1" ref="F633" ca="1">_xll.FDS($E$7,"P_BETA_LOCIDX("&amp;$AG633&amp;","&amp;$AL633&amp;",,"""&amp;$E$9&amp;""")")</f>
        <v>1.9843322999999999</v>
      </c>
      <c r="G633" s="30">
        <f t="shared" ca="1" si="154"/>
        <v>-2.7628978934393922E-2</v>
      </c>
      <c r="H633" s="30">
        <f t="shared" ca="1" si="154"/>
        <v>-2.8573425128868131E-2</v>
      </c>
      <c r="I633" s="30">
        <f t="shared" ca="1" si="154"/>
        <v>-1.0035358372192008E-2</v>
      </c>
      <c r="J633" s="30">
        <f t="shared" ca="1" si="154"/>
        <v>-0.15525552346384497</v>
      </c>
      <c r="K633" s="30">
        <f t="shared" ca="1" si="155"/>
        <v>-3.1918551900285697E-3</v>
      </c>
      <c r="L633" s="30">
        <f t="shared" ca="1" si="155"/>
        <v>-2.5241835915308646E-2</v>
      </c>
      <c r="M633" s="30">
        <f t="shared" ca="1" si="155"/>
        <v>3.6305295377955307E-2</v>
      </c>
      <c r="N633" s="30">
        <f t="shared" ca="1" si="155"/>
        <v>3.8466781321852876E-2</v>
      </c>
      <c r="O633" s="30">
        <f t="shared" ca="1" si="156"/>
        <v>-3.0820834124422491E-2</v>
      </c>
      <c r="P633" s="30">
        <f t="shared" ca="1" si="157"/>
        <v>-5.3815261044176776E-2</v>
      </c>
      <c r="Q633" s="30">
        <f t="shared" ca="1" si="158"/>
        <v>2.62699370057633E-2</v>
      </c>
      <c r="R633" s="30">
        <f t="shared" ca="1" si="159"/>
        <v>-0.11678874214199209</v>
      </c>
      <c r="S633" s="9" cm="1">
        <f t="array" aca="1" ref="S633" ca="1">_xll.BDH($E$6,"PX LAST",AG633)</f>
        <v>153.13999999999999</v>
      </c>
      <c r="T633" s="9" cm="1">
        <f t="array" aca="1" ref="T633" ca="1">_xll.BDH($E$6,"PX LAST",AH633)</f>
        <v>158.01</v>
      </c>
      <c r="U633" s="9" cm="1">
        <f t="array" aca="1" ref="U633" ca="1">_xll.BDH($E$6,"PX LAST",AI633)</f>
        <v>161.85</v>
      </c>
      <c r="V633" s="9" cm="1">
        <f t="array" aca="1" ref="V633" ca="1">_xll.BDH($E$6,"PX LAST",AJ633)</f>
        <v>149.22</v>
      </c>
      <c r="W633" s="9" cm="1">
        <f t="array" aca="1" ref="W633" ca="1">_xll.BDH($E$6,"PX LAST",AK633)</f>
        <v>173.39</v>
      </c>
      <c r="X633" s="24">
        <f t="shared" ca="1" si="160"/>
        <v>-1.6085285665251581E-3</v>
      </c>
      <c r="Y633" s="24">
        <f t="shared" ca="1" si="161"/>
        <v>-1.2720568987013237E-2</v>
      </c>
      <c r="Z633" s="24">
        <f t="shared" ca="1" si="162"/>
        <v>1.8295975617569349E-2</v>
      </c>
      <c r="AA633" s="24">
        <f t="shared" ca="1" si="163"/>
        <v>1.9385251815864146E-2</v>
      </c>
      <c r="AB633" s="9" cm="1">
        <f t="array" aca="1" ref="AB633" ca="1">_xll.BDH($E$8,"PX LAST",AG633)</f>
        <v>4450.32</v>
      </c>
      <c r="AC633" s="9" cm="1">
        <f t="array" aca="1" ref="AC633" ca="1">_xll.BDH($E$8,"PX LAST",AH633)</f>
        <v>4457.49</v>
      </c>
      <c r="AD633" s="9" cm="1">
        <f t="array" aca="1" ref="AD633" ca="1">_xll.BDH($E$8,"PX LAST",AI633)</f>
        <v>4507.66</v>
      </c>
      <c r="AE633" s="9" cm="1">
        <f t="array" aca="1" ref="AE633" ca="1">_xll.BDH($E$8,"PX LAST",AJ633)</f>
        <v>4370.3599999999997</v>
      </c>
      <c r="AF633" s="9" cm="1">
        <f t="array" aca="1" ref="AF633" ca="1">_xll.BDH($E$8,"PX LAST",AK633)</f>
        <v>4365.6899999999996</v>
      </c>
      <c r="AG633" s="20">
        <f t="shared" ca="1" si="169"/>
        <v>45184</v>
      </c>
      <c r="AH633" s="22">
        <f t="shared" ca="1" si="164"/>
        <v>45177</v>
      </c>
      <c r="AI633" s="22">
        <f t="shared" ca="1" si="165"/>
        <v>45169</v>
      </c>
      <c r="AJ633" s="22">
        <f t="shared" ca="1" si="166"/>
        <v>45155</v>
      </c>
      <c r="AK633" s="22">
        <f t="shared" ca="1" si="167"/>
        <v>45098</v>
      </c>
      <c r="AL633" s="22">
        <f t="shared" ca="1" si="168"/>
        <v>45009</v>
      </c>
    </row>
    <row r="634" spans="4:38" x14ac:dyDescent="0.25">
      <c r="D634" s="6">
        <f ca="1"/>
        <v>45183</v>
      </c>
      <c r="E634" s="28">
        <f ca="1"/>
        <v>155.22999999999999</v>
      </c>
      <c r="F634" s="29" cm="1">
        <f t="array" aca="1" ref="F634" ca="1">_xll.FDS($E$7,"P_BETA_LOCIDX("&amp;$AG634&amp;","&amp;$AL634&amp;",,"""&amp;$E$9&amp;""")")</f>
        <v>2.0016801000000002</v>
      </c>
      <c r="G634" s="30">
        <f t="shared" ca="1" si="154"/>
        <v>-2.9201739039621394E-2</v>
      </c>
      <c r="H634" s="30">
        <f t="shared" ca="1" si="154"/>
        <v>-3.8876037170235272E-2</v>
      </c>
      <c r="I634" s="30">
        <f t="shared" ca="1" si="154"/>
        <v>-2.2190964433462537E-2</v>
      </c>
      <c r="J634" s="30">
        <f t="shared" ca="1" si="154"/>
        <v>-0.14114770705793295</v>
      </c>
      <c r="K634" s="30">
        <f t="shared" ca="1" si="155"/>
        <v>2.4265841603723887E-2</v>
      </c>
      <c r="L634" s="30">
        <f t="shared" ca="1" si="155"/>
        <v>-4.3315565181277493E-3</v>
      </c>
      <c r="M634" s="30">
        <f t="shared" ca="1" si="155"/>
        <v>4.5797954212559014E-2</v>
      </c>
      <c r="N634" s="30">
        <f t="shared" ca="1" si="155"/>
        <v>5.3085199714494928E-2</v>
      </c>
      <c r="O634" s="30">
        <f t="shared" ca="1" si="156"/>
        <v>-4.9358974358975072E-3</v>
      </c>
      <c r="P634" s="30">
        <f t="shared" ca="1" si="157"/>
        <v>-4.3207593688363022E-2</v>
      </c>
      <c r="Q634" s="30">
        <f t="shared" ca="1" si="158"/>
        <v>2.3606989779096477E-2</v>
      </c>
      <c r="R634" s="30">
        <f t="shared" ca="1" si="159"/>
        <v>-8.8062507343438012E-2</v>
      </c>
      <c r="S634" s="9" cm="1">
        <f t="array" aca="1" ref="S634" ca="1">_xll.BDH($E$6,"PX LAST",AG634)</f>
        <v>155.22999999999999</v>
      </c>
      <c r="T634" s="9" cm="1">
        <f t="array" aca="1" ref="T634" ca="1">_xll.BDH($E$6,"PX LAST",AH634)</f>
        <v>156</v>
      </c>
      <c r="U634" s="9" cm="1">
        <f t="array" aca="1" ref="U634" ca="1">_xll.BDH($E$6,"PX LAST",AI634)</f>
        <v>162.24</v>
      </c>
      <c r="V634" s="9" cm="1">
        <f t="array" aca="1" ref="V634" ca="1">_xll.BDH($E$6,"PX LAST",AJ634)</f>
        <v>151.65</v>
      </c>
      <c r="W634" s="9" cm="1">
        <f t="array" aca="1" ref="W634" ca="1">_xll.BDH($E$6,"PX LAST",AK634)</f>
        <v>170.22</v>
      </c>
      <c r="X634" s="24">
        <f t="shared" ca="1" si="160"/>
        <v>1.2122737096563974E-2</v>
      </c>
      <c r="Y634" s="24">
        <f t="shared" ca="1" si="161"/>
        <v>-2.1639604241096011E-3</v>
      </c>
      <c r="Z634" s="24">
        <f t="shared" ca="1" si="162"/>
        <v>2.2879756966439846E-2</v>
      </c>
      <c r="AA634" s="24">
        <f t="shared" ca="1" si="163"/>
        <v>2.6520321461203977E-2</v>
      </c>
      <c r="AB634" s="9" cm="1">
        <f t="array" aca="1" ref="AB634" ca="1">_xll.BDH($E$8,"PX LAST",AG634)</f>
        <v>4505.1000000000004</v>
      </c>
      <c r="AC634" s="9" cm="1">
        <f t="array" aca="1" ref="AC634" ca="1">_xll.BDH($E$8,"PX LAST",AH634)</f>
        <v>4451.1400000000003</v>
      </c>
      <c r="AD634" s="9" cm="1">
        <f t="array" aca="1" ref="AD634" ca="1">_xll.BDH($E$8,"PX LAST",AI634)</f>
        <v>4514.87</v>
      </c>
      <c r="AE634" s="9" cm="1">
        <f t="array" aca="1" ref="AE634" ca="1">_xll.BDH($E$8,"PX LAST",AJ634)</f>
        <v>4404.33</v>
      </c>
      <c r="AF634" s="9" cm="1">
        <f t="array" aca="1" ref="AF634" ca="1">_xll.BDH($E$8,"PX LAST",AK634)</f>
        <v>4388.71</v>
      </c>
      <c r="AG634" s="20">
        <f t="shared" ca="1" si="169"/>
        <v>45183</v>
      </c>
      <c r="AH634" s="22">
        <f t="shared" ca="1" si="164"/>
        <v>45176</v>
      </c>
      <c r="AI634" s="22">
        <f t="shared" ca="1" si="165"/>
        <v>45168</v>
      </c>
      <c r="AJ634" s="22">
        <f t="shared" ca="1" si="166"/>
        <v>45154</v>
      </c>
      <c r="AK634" s="22">
        <f t="shared" ca="1" si="167"/>
        <v>45097</v>
      </c>
      <c r="AL634" s="22">
        <f t="shared" ca="1" si="168"/>
        <v>45008</v>
      </c>
    </row>
    <row r="635" spans="4:38" x14ac:dyDescent="0.25">
      <c r="D635" s="6">
        <f ca="1"/>
        <v>45182</v>
      </c>
      <c r="E635" s="28">
        <f ca="1"/>
        <v>154.04</v>
      </c>
      <c r="F635" s="29" cm="1">
        <f t="array" aca="1" ref="F635" ca="1">_xll.FDS($E$7,"P_BETA_LOCIDX("&amp;$AG635&amp;","&amp;$AL635&amp;",,"""&amp;$E$9&amp;""")")</f>
        <v>1.9810277000000001</v>
      </c>
      <c r="G635" s="30">
        <f t="shared" ca="1" si="154"/>
        <v>-2.6056203017727063E-2</v>
      </c>
      <c r="H635" s="30">
        <f t="shared" ca="1" si="154"/>
        <v>-3.2362622116721314E-2</v>
      </c>
      <c r="I635" s="30">
        <f t="shared" ca="1" si="154"/>
        <v>-1.5665113153130079E-2</v>
      </c>
      <c r="J635" s="30">
        <f t="shared" ca="1" si="154"/>
        <v>-0.10935741213743236</v>
      </c>
      <c r="K635" s="30">
        <f t="shared" ca="1" si="155"/>
        <v>8.6951778800916366E-4</v>
      </c>
      <c r="L635" s="30">
        <f t="shared" ca="1" si="155"/>
        <v>-1.3297498074097129E-2</v>
      </c>
      <c r="M635" s="30">
        <f t="shared" ca="1" si="155"/>
        <v>1.3204292015971682E-2</v>
      </c>
      <c r="N635" s="30">
        <f t="shared" ca="1" si="155"/>
        <v>2.5989366912796762E-2</v>
      </c>
      <c r="O635" s="30">
        <f t="shared" ca="1" si="156"/>
        <v>-2.5186685229717898E-2</v>
      </c>
      <c r="P635" s="30">
        <f t="shared" ca="1" si="157"/>
        <v>-4.5660120190818443E-2</v>
      </c>
      <c r="Q635" s="30">
        <f t="shared" ca="1" si="158"/>
        <v>-2.4608211371583977E-3</v>
      </c>
      <c r="R635" s="30">
        <f t="shared" ca="1" si="159"/>
        <v>-8.336804522463559E-2</v>
      </c>
      <c r="S635" s="9" cm="1">
        <f t="array" aca="1" ref="S635" ca="1">_xll.BDH($E$6,"PX LAST",AG635)</f>
        <v>154.04</v>
      </c>
      <c r="T635" s="9" cm="1">
        <f t="array" aca="1" ref="T635" ca="1">_xll.BDH($E$6,"PX LAST",AH635)</f>
        <v>158.02000000000001</v>
      </c>
      <c r="U635" s="9" cm="1">
        <f t="array" aca="1" ref="U635" ca="1">_xll.BDH($E$6,"PX LAST",AI635)</f>
        <v>161.41</v>
      </c>
      <c r="V635" s="9" cm="1">
        <f t="array" aca="1" ref="V635" ca="1">_xll.BDH($E$6,"PX LAST",AJ635)</f>
        <v>154.41999999999999</v>
      </c>
      <c r="W635" s="9" cm="1">
        <f t="array" aca="1" ref="W635" ca="1">_xll.BDH($E$6,"PX LAST",AK635)</f>
        <v>168.05</v>
      </c>
      <c r="X635" s="24">
        <f t="shared" ca="1" si="160"/>
        <v>4.3892257943145552E-4</v>
      </c>
      <c r="Y635" s="24">
        <f t="shared" ca="1" si="161"/>
        <v>-6.7124240989144823E-3</v>
      </c>
      <c r="Z635" s="24">
        <f t="shared" ca="1" si="162"/>
        <v>6.6653747526961293E-3</v>
      </c>
      <c r="AA635" s="24">
        <f t="shared" ca="1" si="163"/>
        <v>1.3119133524885473E-2</v>
      </c>
      <c r="AB635" s="9" cm="1">
        <f t="array" aca="1" ref="AB635" ca="1">_xll.BDH($E$8,"PX LAST",AG635)</f>
        <v>4467.4399999999996</v>
      </c>
      <c r="AC635" s="9" cm="1">
        <f t="array" aca="1" ref="AC635" ca="1">_xll.BDH($E$8,"PX LAST",AH635)</f>
        <v>4465.4799999999996</v>
      </c>
      <c r="AD635" s="9" cm="1">
        <f t="array" aca="1" ref="AD635" ca="1">_xll.BDH($E$8,"PX LAST",AI635)</f>
        <v>4497.63</v>
      </c>
      <c r="AE635" s="9" cm="1">
        <f t="array" aca="1" ref="AE635" ca="1">_xll.BDH($E$8,"PX LAST",AJ635)</f>
        <v>4437.8599999999997</v>
      </c>
      <c r="AF635" s="9" cm="1">
        <f t="array" aca="1" ref="AF635" ca="1">_xll.BDH($E$8,"PX LAST",AK635)</f>
        <v>4409.59</v>
      </c>
      <c r="AG635" s="20">
        <f t="shared" ca="1" si="169"/>
        <v>45182</v>
      </c>
      <c r="AH635" s="22">
        <f t="shared" ca="1" si="164"/>
        <v>45175</v>
      </c>
      <c r="AI635" s="22">
        <f t="shared" ca="1" si="165"/>
        <v>45167</v>
      </c>
      <c r="AJ635" s="22">
        <f t="shared" ca="1" si="166"/>
        <v>45153</v>
      </c>
      <c r="AK635" s="22">
        <f t="shared" ca="1" si="167"/>
        <v>45093</v>
      </c>
      <c r="AL635" s="22">
        <f t="shared" ca="1" si="168"/>
        <v>45007</v>
      </c>
    </row>
    <row r="636" spans="4:38" x14ac:dyDescent="0.25">
      <c r="D636" s="6">
        <f ca="1"/>
        <v>45181</v>
      </c>
      <c r="E636" s="28">
        <f ca="1"/>
        <v>156.49</v>
      </c>
      <c r="F636" s="29" cm="1">
        <f t="array" aca="1" ref="F636" ca="1">_xll.FDS($E$7,"P_BETA_LOCIDX("&amp;$AG636&amp;","&amp;$AL636&amp;",,"""&amp;$E$9&amp;""")")</f>
        <v>2.0127193999999999</v>
      </c>
      <c r="G636" s="30">
        <f t="shared" ca="1" si="154"/>
        <v>1.4485276945848374E-2</v>
      </c>
      <c r="H636" s="30">
        <f t="shared" ca="1" si="154"/>
        <v>-2.9075405892278396E-2</v>
      </c>
      <c r="I636" s="30">
        <f t="shared" ca="1" si="154"/>
        <v>1.0112777929923062E-2</v>
      </c>
      <c r="J636" s="30">
        <f t="shared" ca="1" si="154"/>
        <v>-8.8610856034942703E-2</v>
      </c>
      <c r="K636" s="30">
        <f t="shared" ca="1" si="155"/>
        <v>-1.5634188671130683E-2</v>
      </c>
      <c r="L636" s="30">
        <f t="shared" ca="1" si="155"/>
        <v>1.2979838460653073E-2</v>
      </c>
      <c r="M636" s="30">
        <f t="shared" ca="1" si="155"/>
        <v>-1.2471569208770478E-2</v>
      </c>
      <c r="N636" s="30">
        <f t="shared" ca="1" si="155"/>
        <v>1.6398844414619161E-2</v>
      </c>
      <c r="O636" s="30">
        <f t="shared" ca="1" si="156"/>
        <v>-1.1489117252823089E-3</v>
      </c>
      <c r="P636" s="30">
        <f t="shared" ca="1" si="157"/>
        <v>-1.6095567431625324E-2</v>
      </c>
      <c r="Q636" s="30">
        <f t="shared" ca="1" si="158"/>
        <v>-2.3587912788474164E-3</v>
      </c>
      <c r="R636" s="30">
        <f t="shared" ca="1" si="159"/>
        <v>-7.2212011620323535E-2</v>
      </c>
      <c r="S636" s="9" cm="1">
        <f t="array" aca="1" ref="S636" ca="1">_xll.BDH($E$6,"PX LAST",AG636)</f>
        <v>156.49</v>
      </c>
      <c r="T636" s="9" cm="1">
        <f t="array" aca="1" ref="T636" ca="1">_xll.BDH($E$6,"PX LAST",AH636)</f>
        <v>156.66999999999999</v>
      </c>
      <c r="U636" s="9" cm="1">
        <f t="array" aca="1" ref="U636" ca="1">_xll.BDH($E$6,"PX LAST",AI636)</f>
        <v>159.05000000000001</v>
      </c>
      <c r="V636" s="9" cm="1">
        <f t="array" aca="1" ref="V636" ca="1">_xll.BDH($E$6,"PX LAST",AJ636)</f>
        <v>156.86000000000001</v>
      </c>
      <c r="W636" s="9" cm="1">
        <f t="array" aca="1" ref="W636" ca="1">_xll.BDH($E$6,"PX LAST",AK636)</f>
        <v>168.67</v>
      </c>
      <c r="X636" s="24">
        <f t="shared" ca="1" si="160"/>
        <v>-7.7676941311991543E-3</v>
      </c>
      <c r="Y636" s="24">
        <f t="shared" ca="1" si="161"/>
        <v>6.4489061220620592E-3</v>
      </c>
      <c r="Z636" s="24">
        <f t="shared" ca="1" si="162"/>
        <v>-6.1963775023833323E-3</v>
      </c>
      <c r="AA636" s="24">
        <f t="shared" ca="1" si="163"/>
        <v>8.1476058782059546E-3</v>
      </c>
      <c r="AB636" s="9" cm="1">
        <f t="array" aca="1" ref="AB636" ca="1">_xll.BDH($E$8,"PX LAST",AG636)</f>
        <v>4461.8999999999996</v>
      </c>
      <c r="AC636" s="9" cm="1">
        <f t="array" aca="1" ref="AC636" ca="1">_xll.BDH($E$8,"PX LAST",AH636)</f>
        <v>4496.83</v>
      </c>
      <c r="AD636" s="9" cm="1">
        <f t="array" aca="1" ref="AD636" ca="1">_xll.BDH($E$8,"PX LAST",AI636)</f>
        <v>4433.3100000000004</v>
      </c>
      <c r="AE636" s="9" cm="1">
        <f t="array" aca="1" ref="AE636" ca="1">_xll.BDH($E$8,"PX LAST",AJ636)</f>
        <v>4489.72</v>
      </c>
      <c r="AF636" s="9" cm="1">
        <f t="array" aca="1" ref="AF636" ca="1">_xll.BDH($E$8,"PX LAST",AK636)</f>
        <v>4425.84</v>
      </c>
      <c r="AG636" s="20">
        <f t="shared" ca="1" si="169"/>
        <v>45181</v>
      </c>
      <c r="AH636" s="22">
        <f t="shared" ca="1" si="164"/>
        <v>45174</v>
      </c>
      <c r="AI636" s="22">
        <f t="shared" ca="1" si="165"/>
        <v>45166</v>
      </c>
      <c r="AJ636" s="22">
        <f t="shared" ca="1" si="166"/>
        <v>45152</v>
      </c>
      <c r="AK636" s="22">
        <f t="shared" ca="1" si="167"/>
        <v>45092</v>
      </c>
      <c r="AL636" s="22">
        <f t="shared" ca="1" si="168"/>
        <v>45006</v>
      </c>
    </row>
    <row r="637" spans="4:38" x14ac:dyDescent="0.25">
      <c r="D637" s="6">
        <f ca="1"/>
        <v>45180</v>
      </c>
      <c r="E637" s="28">
        <f ca="1"/>
        <v>156.69</v>
      </c>
      <c r="F637" s="29" cm="1">
        <f t="array" aca="1" ref="F637" ca="1">_xll.FDS($E$7,"P_BETA_LOCIDX("&amp;$AG637&amp;","&amp;$AL637&amp;",,"""&amp;$E$9&amp;""")")</f>
        <v>2.0308904999999999</v>
      </c>
      <c r="G637" s="30">
        <f t="shared" ca="1" si="154"/>
        <v>-2.7628178173768822E-2</v>
      </c>
      <c r="H637" s="30">
        <f t="shared" ca="1" si="154"/>
        <v>-3.0549525514070079E-2</v>
      </c>
      <c r="I637" s="30">
        <f t="shared" ca="1" si="154"/>
        <v>-3.3213939989015402E-3</v>
      </c>
      <c r="J637" s="30">
        <f t="shared" ca="1" si="154"/>
        <v>-9.7983875459587366E-2</v>
      </c>
      <c r="K637" s="30">
        <f t="shared" ca="1" si="155"/>
        <v>-1.2731939415648111E-2</v>
      </c>
      <c r="L637" s="30">
        <f t="shared" ca="1" si="155"/>
        <v>3.7684118649434432E-2</v>
      </c>
      <c r="M637" s="30">
        <f t="shared" ca="1" si="155"/>
        <v>1.0650227171514665E-2</v>
      </c>
      <c r="N637" s="30">
        <f t="shared" ca="1" si="155"/>
        <v>5.3352450546472363E-2</v>
      </c>
      <c r="O637" s="30">
        <f t="shared" ca="1" si="156"/>
        <v>-4.0360117589416933E-2</v>
      </c>
      <c r="P637" s="30">
        <f t="shared" ca="1" si="157"/>
        <v>7.1345931353643532E-3</v>
      </c>
      <c r="Q637" s="30">
        <f t="shared" ca="1" si="158"/>
        <v>7.3288331726131251E-3</v>
      </c>
      <c r="R637" s="30">
        <f t="shared" ca="1" si="159"/>
        <v>-4.4631424913115003E-2</v>
      </c>
      <c r="S637" s="9" cm="1">
        <f t="array" aca="1" ref="S637" ca="1">_xll.BDH($E$6,"PX LAST",AG637)</f>
        <v>156.69</v>
      </c>
      <c r="T637" s="9" cm="1">
        <f t="array" aca="1" ref="T637" ca="1">_xll.BDH($E$6,"PX LAST",AH637)</f>
        <v>163.28</v>
      </c>
      <c r="U637" s="9" cm="1">
        <f t="array" aca="1" ref="U637" ca="1">_xll.BDH($E$6,"PX LAST",AI637)</f>
        <v>155.58000000000001</v>
      </c>
      <c r="V637" s="9" cm="1">
        <f t="array" aca="1" ref="V637" ca="1">_xll.BDH($E$6,"PX LAST",AJ637)</f>
        <v>155.55000000000001</v>
      </c>
      <c r="W637" s="9" cm="1">
        <f t="array" aca="1" ref="W637" ca="1">_xll.BDH($E$6,"PX LAST",AK637)</f>
        <v>164.01</v>
      </c>
      <c r="X637" s="24">
        <f t="shared" ca="1" si="160"/>
        <v>-6.2691412538726787E-3</v>
      </c>
      <c r="Y637" s="24">
        <f t="shared" ca="1" si="161"/>
        <v>1.8555465520880832E-2</v>
      </c>
      <c r="Z637" s="24">
        <f t="shared" ca="1" si="162"/>
        <v>5.2441168893717638E-3</v>
      </c>
      <c r="AA637" s="24">
        <f t="shared" ca="1" si="163"/>
        <v>2.6270471276748975E-2</v>
      </c>
      <c r="AB637" s="9" cm="1">
        <f t="array" aca="1" ref="AB637" ca="1">_xll.BDH($E$8,"PX LAST",AG637)</f>
        <v>4487.46</v>
      </c>
      <c r="AC637" s="9" cm="1">
        <f t="array" aca="1" ref="AC637" ca="1">_xll.BDH($E$8,"PX LAST",AH637)</f>
        <v>4515.7700000000004</v>
      </c>
      <c r="AD637" s="9" cm="1">
        <f t="array" aca="1" ref="AD637" ca="1">_xll.BDH($E$8,"PX LAST",AI637)</f>
        <v>4405.71</v>
      </c>
      <c r="AE637" s="9" cm="1">
        <f t="array" aca="1" ref="AE637" ca="1">_xll.BDH($E$8,"PX LAST",AJ637)</f>
        <v>4464.05</v>
      </c>
      <c r="AF637" s="9" cm="1">
        <f t="array" aca="1" ref="AF637" ca="1">_xll.BDH($E$8,"PX LAST",AK637)</f>
        <v>4372.59</v>
      </c>
      <c r="AG637" s="20">
        <f t="shared" ca="1" si="169"/>
        <v>45180</v>
      </c>
      <c r="AH637" s="22">
        <f t="shared" ca="1" si="164"/>
        <v>45170</v>
      </c>
      <c r="AI637" s="22">
        <f t="shared" ca="1" si="165"/>
        <v>45163</v>
      </c>
      <c r="AJ637" s="22">
        <f t="shared" ca="1" si="166"/>
        <v>45149</v>
      </c>
      <c r="AK637" s="22">
        <f t="shared" ca="1" si="167"/>
        <v>45091</v>
      </c>
      <c r="AL637" s="22">
        <f t="shared" ca="1" si="168"/>
        <v>45005</v>
      </c>
    </row>
    <row r="638" spans="4:38" x14ac:dyDescent="0.25">
      <c r="D638" s="6">
        <f ca="1"/>
        <v>45177</v>
      </c>
      <c r="E638" s="28">
        <f ca="1"/>
        <v>158.01</v>
      </c>
      <c r="F638" s="29" cm="1">
        <f t="array" aca="1" ref="F638" ca="1">_xll.FDS($E$7,"P_BETA_LOCIDX("&amp;$AG638&amp;","&amp;$AL638&amp;",,"""&amp;$E$9&amp;""")")</f>
        <v>2.1152394000000001</v>
      </c>
      <c r="G638" s="30">
        <f t="shared" ca="1" si="154"/>
        <v>-1.8317743172483955E-4</v>
      </c>
      <c r="H638" s="30">
        <f t="shared" ca="1" si="154"/>
        <v>-2.2703714035557362E-2</v>
      </c>
      <c r="I638" s="30">
        <f t="shared" ca="1" si="154"/>
        <v>3.6360666393178295E-2</v>
      </c>
      <c r="J638" s="30">
        <f t="shared" ca="1" si="154"/>
        <v>-9.3143779169947261E-2</v>
      </c>
      <c r="K638" s="30">
        <f t="shared" ca="1" si="155"/>
        <v>-2.3542494486718153E-2</v>
      </c>
      <c r="L638" s="30">
        <f t="shared" ca="1" si="155"/>
        <v>3.9237424792119321E-2</v>
      </c>
      <c r="M638" s="30">
        <f t="shared" ca="1" si="155"/>
        <v>-5.3675827444767269E-3</v>
      </c>
      <c r="N638" s="30">
        <f t="shared" ca="1" si="155"/>
        <v>4.2837251943117105E-2</v>
      </c>
      <c r="O638" s="30">
        <f t="shared" ca="1" si="156"/>
        <v>-2.3725671918442992E-2</v>
      </c>
      <c r="P638" s="30">
        <f t="shared" ca="1" si="157"/>
        <v>1.6533710756561959E-2</v>
      </c>
      <c r="Q638" s="30">
        <f t="shared" ca="1" si="158"/>
        <v>3.0993083648701569E-2</v>
      </c>
      <c r="R638" s="30">
        <f t="shared" ca="1" si="159"/>
        <v>-5.0306527226830156E-2</v>
      </c>
      <c r="S638" s="9" cm="1">
        <f t="array" aca="1" ref="S638" ca="1">_xll.BDH($E$6,"PX LAST",AG638)</f>
        <v>158.01</v>
      </c>
      <c r="T638" s="9" cm="1">
        <f t="array" aca="1" ref="T638" ca="1">_xll.BDH($E$6,"PX LAST",AH638)</f>
        <v>161.85</v>
      </c>
      <c r="U638" s="9" cm="1">
        <f t="array" aca="1" ref="U638" ca="1">_xll.BDH($E$6,"PX LAST",AI638)</f>
        <v>155.44</v>
      </c>
      <c r="V638" s="9" cm="1">
        <f t="array" aca="1" ref="V638" ca="1">_xll.BDH($E$6,"PX LAST",AJ638)</f>
        <v>153.26</v>
      </c>
      <c r="W638" s="9" cm="1">
        <f t="array" aca="1" ref="W638" ca="1">_xll.BDH($E$6,"PX LAST",AK638)</f>
        <v>166.38</v>
      </c>
      <c r="X638" s="24">
        <f t="shared" ca="1" si="160"/>
        <v>-1.1129943252152996E-2</v>
      </c>
      <c r="Y638" s="24">
        <f t="shared" ca="1" si="161"/>
        <v>1.8549874209093931E-2</v>
      </c>
      <c r="Z638" s="24">
        <f t="shared" ca="1" si="162"/>
        <v>-2.5375769496713829E-3</v>
      </c>
      <c r="AA638" s="24">
        <f t="shared" ca="1" si="163"/>
        <v>2.0251727508062256E-2</v>
      </c>
      <c r="AB638" s="9" cm="1">
        <f t="array" aca="1" ref="AB638" ca="1">_xll.BDH($E$8,"PX LAST",AG638)</f>
        <v>4457.49</v>
      </c>
      <c r="AC638" s="9" cm="1">
        <f t="array" aca="1" ref="AC638" ca="1">_xll.BDH($E$8,"PX LAST",AH638)</f>
        <v>4507.66</v>
      </c>
      <c r="AD638" s="9" cm="1">
        <f t="array" aca="1" ref="AD638" ca="1">_xll.BDH($E$8,"PX LAST",AI638)</f>
        <v>4376.3100000000004</v>
      </c>
      <c r="AE638" s="9" cm="1">
        <f t="array" aca="1" ref="AE638" ca="1">_xll.BDH($E$8,"PX LAST",AJ638)</f>
        <v>4468.83</v>
      </c>
      <c r="AF638" s="9" cm="1">
        <f t="array" aca="1" ref="AF638" ca="1">_xll.BDH($E$8,"PX LAST",AK638)</f>
        <v>4369.01</v>
      </c>
      <c r="AG638" s="20">
        <f t="shared" ca="1" si="169"/>
        <v>45177</v>
      </c>
      <c r="AH638" s="22">
        <f t="shared" ca="1" si="164"/>
        <v>45169</v>
      </c>
      <c r="AI638" s="22">
        <f t="shared" ca="1" si="165"/>
        <v>45162</v>
      </c>
      <c r="AJ638" s="22">
        <f t="shared" ca="1" si="166"/>
        <v>45148</v>
      </c>
      <c r="AK638" s="22">
        <f t="shared" ca="1" si="167"/>
        <v>45090</v>
      </c>
      <c r="AL638" s="22">
        <f t="shared" ca="1" si="168"/>
        <v>45002</v>
      </c>
    </row>
    <row r="639" spans="4:38" x14ac:dyDescent="0.25">
      <c r="D639" s="6">
        <f ca="1"/>
        <v>45176</v>
      </c>
      <c r="E639" s="28">
        <f ca="1"/>
        <v>156</v>
      </c>
      <c r="F639" s="29" cm="1">
        <f t="array" aca="1" ref="F639" ca="1">_xll.FDS($E$7,"P_BETA_LOCIDX("&amp;$AG639&amp;","&amp;$AL639&amp;",,"""&amp;$E$9&amp;""")")</f>
        <v>2.0715446000000002</v>
      </c>
      <c r="G639" s="30">
        <f t="shared" ca="1" si="154"/>
        <v>-9.220488916812191E-3</v>
      </c>
      <c r="H639" s="30">
        <f t="shared" ca="1" si="154"/>
        <v>-6.7448486072979328E-3</v>
      </c>
      <c r="I639" s="30">
        <f t="shared" ca="1" si="154"/>
        <v>3.854272804551262E-2</v>
      </c>
      <c r="J639" s="30">
        <f t="shared" ca="1" si="154"/>
        <v>-8.4748910916163725E-2</v>
      </c>
      <c r="K639" s="30">
        <f t="shared" ca="1" si="155"/>
        <v>-2.9241049544726356E-2</v>
      </c>
      <c r="L639" s="30">
        <f t="shared" ca="1" si="155"/>
        <v>7.065464189215249E-3</v>
      </c>
      <c r="M639" s="30">
        <f t="shared" ca="1" si="155"/>
        <v>-7.6830174792006378E-3</v>
      </c>
      <c r="N639" s="30">
        <f t="shared" ca="1" si="155"/>
        <v>5.3572659518821689E-2</v>
      </c>
      <c r="O639" s="30">
        <f t="shared" ca="1" si="156"/>
        <v>-3.8461538461538547E-2</v>
      </c>
      <c r="P639" s="30">
        <f t="shared" ca="1" si="157"/>
        <v>3.2061558191731621E-4</v>
      </c>
      <c r="Q639" s="30">
        <f t="shared" ca="1" si="158"/>
        <v>3.0859710566311982E-2</v>
      </c>
      <c r="R639" s="30">
        <f t="shared" ca="1" si="159"/>
        <v>-3.1176251397342036E-2</v>
      </c>
      <c r="S639" s="9" cm="1">
        <f t="array" aca="1" ref="S639" ca="1">_xll.BDH($E$6,"PX LAST",AG639)</f>
        <v>156</v>
      </c>
      <c r="T639" s="9" cm="1">
        <f t="array" aca="1" ref="T639" ca="1">_xll.BDH($E$6,"PX LAST",AH639)</f>
        <v>162.24</v>
      </c>
      <c r="U639" s="9" cm="1">
        <f t="array" aca="1" ref="U639" ca="1">_xll.BDH($E$6,"PX LAST",AI639)</f>
        <v>155.94999999999999</v>
      </c>
      <c r="V639" s="9" cm="1">
        <f t="array" aca="1" ref="V639" ca="1">_xll.BDH($E$6,"PX LAST",AJ639)</f>
        <v>151.33000000000001</v>
      </c>
      <c r="W639" s="9" cm="1">
        <f t="array" aca="1" ref="W639" ca="1">_xll.BDH($E$6,"PX LAST",AK639)</f>
        <v>161.02000000000001</v>
      </c>
      <c r="X639" s="24">
        <f t="shared" ca="1" si="160"/>
        <v>-1.4115578078659929E-2</v>
      </c>
      <c r="Y639" s="24">
        <f t="shared" ca="1" si="161"/>
        <v>3.4107226990021111E-3</v>
      </c>
      <c r="Z639" s="24">
        <f t="shared" ca="1" si="162"/>
        <v>-3.7088351750672599E-3</v>
      </c>
      <c r="AA639" s="24">
        <f t="shared" ca="1" si="163"/>
        <v>2.5861214631257123E-2</v>
      </c>
      <c r="AB639" s="9" cm="1">
        <f t="array" aca="1" ref="AB639" ca="1">_xll.BDH($E$8,"PX LAST",AG639)</f>
        <v>4451.1400000000003</v>
      </c>
      <c r="AC639" s="9" cm="1">
        <f t="array" aca="1" ref="AC639" ca="1">_xll.BDH($E$8,"PX LAST",AH639)</f>
        <v>4514.87</v>
      </c>
      <c r="AD639" s="9" cm="1">
        <f t="array" aca="1" ref="AD639" ca="1">_xll.BDH($E$8,"PX LAST",AI639)</f>
        <v>4436.01</v>
      </c>
      <c r="AE639" s="9" cm="1">
        <f t="array" aca="1" ref="AE639" ca="1">_xll.BDH($E$8,"PX LAST",AJ639)</f>
        <v>4467.71</v>
      </c>
      <c r="AF639" s="9" cm="1">
        <f t="array" aca="1" ref="AF639" ca="1">_xll.BDH($E$8,"PX LAST",AK639)</f>
        <v>4338.93</v>
      </c>
      <c r="AG639" s="20">
        <f t="shared" ca="1" si="169"/>
        <v>45176</v>
      </c>
      <c r="AH639" s="22">
        <f t="shared" ca="1" si="164"/>
        <v>45168</v>
      </c>
      <c r="AI639" s="22">
        <f t="shared" ca="1" si="165"/>
        <v>45161</v>
      </c>
      <c r="AJ639" s="22">
        <f t="shared" ca="1" si="166"/>
        <v>45147</v>
      </c>
      <c r="AK639" s="22">
        <f t="shared" ca="1" si="167"/>
        <v>45089</v>
      </c>
      <c r="AL639" s="22">
        <f t="shared" ca="1" si="168"/>
        <v>45001</v>
      </c>
    </row>
    <row r="640" spans="4:38" x14ac:dyDescent="0.25">
      <c r="D640" s="6">
        <f ca="1"/>
        <v>45175</v>
      </c>
      <c r="E640" s="28">
        <f ca="1"/>
        <v>158.02000000000001</v>
      </c>
      <c r="F640" s="29" cm="1">
        <f t="array" aca="1" ref="F640" ca="1">_xll.FDS($E$7,"P_BETA_LOCIDX("&amp;$AG640&amp;","&amp;$AL640&amp;",,"""&amp;$E$9&amp;""")")</f>
        <v>2.1314682999999999</v>
      </c>
      <c r="G640" s="30">
        <f t="shared" ca="1" si="154"/>
        <v>-5.7662349639414461E-3</v>
      </c>
      <c r="H640" s="30">
        <f t="shared" ca="1" si="154"/>
        <v>-5.047874495602768E-3</v>
      </c>
      <c r="I640" s="30">
        <f t="shared" ca="1" si="154"/>
        <v>5.3616726200976628E-2</v>
      </c>
      <c r="J640" s="30">
        <f t="shared" ca="1" si="154"/>
        <v>-6.1284968322205008E-2</v>
      </c>
      <c r="K640" s="30">
        <f t="shared" ca="1" si="155"/>
        <v>-1.52361812432328E-2</v>
      </c>
      <c r="L640" s="30">
        <f t="shared" ca="1" si="155"/>
        <v>3.7858332011942698E-2</v>
      </c>
      <c r="M640" s="30">
        <f t="shared" ca="1" si="155"/>
        <v>-1.6059273804391039E-2</v>
      </c>
      <c r="N640" s="30">
        <f t="shared" ca="1" si="155"/>
        <v>8.2613820442163616E-2</v>
      </c>
      <c r="O640" s="30">
        <f t="shared" ca="1" si="156"/>
        <v>-2.1002416207174246E-2</v>
      </c>
      <c r="P640" s="30">
        <f t="shared" ca="1" si="157"/>
        <v>3.281045751633993E-2</v>
      </c>
      <c r="Q640" s="30">
        <f t="shared" ca="1" si="158"/>
        <v>3.7557452396585589E-2</v>
      </c>
      <c r="R640" s="30">
        <f t="shared" ca="1" si="159"/>
        <v>2.1328852119958608E-2</v>
      </c>
      <c r="S640" s="9" cm="1">
        <f t="array" aca="1" ref="S640" ca="1">_xll.BDH($E$6,"PX LAST",AG640)</f>
        <v>158.02000000000001</v>
      </c>
      <c r="T640" s="9" cm="1">
        <f t="array" aca="1" ref="T640" ca="1">_xll.BDH($E$6,"PX LAST",AH640)</f>
        <v>161.41</v>
      </c>
      <c r="U640" s="9" cm="1">
        <f t="array" aca="1" ref="U640" ca="1">_xll.BDH($E$6,"PX LAST",AI640)</f>
        <v>153</v>
      </c>
      <c r="V640" s="9" cm="1">
        <f t="array" aca="1" ref="V640" ca="1">_xll.BDH($E$6,"PX LAST",AJ640)</f>
        <v>152.30000000000001</v>
      </c>
      <c r="W640" s="9" cm="1">
        <f t="array" aca="1" ref="W640" ca="1">_xll.BDH($E$6,"PX LAST",AK640)</f>
        <v>154.72</v>
      </c>
      <c r="X640" s="24">
        <f t="shared" ca="1" si="160"/>
        <v>-7.1482091679396786E-3</v>
      </c>
      <c r="Y640" s="24">
        <f t="shared" ca="1" si="161"/>
        <v>1.7761620950188517E-2</v>
      </c>
      <c r="Z640" s="24">
        <f t="shared" ca="1" si="162"/>
        <v>-7.5343714022821917E-3</v>
      </c>
      <c r="AA640" s="24">
        <f t="shared" ca="1" si="163"/>
        <v>3.8759112881089353E-2</v>
      </c>
      <c r="AB640" s="9" cm="1">
        <f t="array" aca="1" ref="AB640" ca="1">_xll.BDH($E$8,"PX LAST",AG640)</f>
        <v>4465.4799999999996</v>
      </c>
      <c r="AC640" s="9" cm="1">
        <f t="array" aca="1" ref="AC640" ca="1">_xll.BDH($E$8,"PX LAST",AH640)</f>
        <v>4497.63</v>
      </c>
      <c r="AD640" s="9" cm="1">
        <f t="array" aca="1" ref="AD640" ca="1">_xll.BDH($E$8,"PX LAST",AI640)</f>
        <v>4387.55</v>
      </c>
      <c r="AE640" s="9" cm="1">
        <f t="array" aca="1" ref="AE640" ca="1">_xll.BDH($E$8,"PX LAST",AJ640)</f>
        <v>4499.38</v>
      </c>
      <c r="AF640" s="9" cm="1">
        <f t="array" aca="1" ref="AF640" ca="1">_xll.BDH($E$8,"PX LAST",AK640)</f>
        <v>4298.8599999999997</v>
      </c>
      <c r="AG640" s="20">
        <f t="shared" ca="1" si="169"/>
        <v>45175</v>
      </c>
      <c r="AH640" s="22">
        <f t="shared" ca="1" si="164"/>
        <v>45167</v>
      </c>
      <c r="AI640" s="22">
        <f t="shared" ca="1" si="165"/>
        <v>45160</v>
      </c>
      <c r="AJ640" s="22">
        <f t="shared" ca="1" si="166"/>
        <v>45146</v>
      </c>
      <c r="AK640" s="22">
        <f t="shared" ca="1" si="167"/>
        <v>45086</v>
      </c>
      <c r="AL640" s="22">
        <f t="shared" ca="1" si="168"/>
        <v>45000</v>
      </c>
    </row>
    <row r="641" spans="4:38" x14ac:dyDescent="0.25">
      <c r="D641" s="6">
        <f ca="1"/>
        <v>45174</v>
      </c>
      <c r="E641" s="28">
        <f ca="1"/>
        <v>156.66999999999999</v>
      </c>
      <c r="F641" s="29" cm="1">
        <f t="array" aca="1" ref="F641" ca="1">_xll.FDS($E$7,"P_BETA_LOCIDX("&amp;$AG641&amp;","&amp;$AL641&amp;",,"""&amp;$E$9&amp;""")")</f>
        <v>2.1340115000000002</v>
      </c>
      <c r="G641" s="30">
        <f t="shared" ca="1" si="154"/>
        <v>-4.553974045955745E-2</v>
      </c>
      <c r="H641" s="30">
        <f t="shared" ca="1" si="154"/>
        <v>-2.7023425620525343E-2</v>
      </c>
      <c r="I641" s="30">
        <f t="shared" ca="1" si="154"/>
        <v>2.8668113314981931E-2</v>
      </c>
      <c r="J641" s="30">
        <f t="shared" ca="1" si="154"/>
        <v>-9.4349410927127564E-2</v>
      </c>
      <c r="K641" s="30">
        <f t="shared" ca="1" si="155"/>
        <v>3.0575892612968232E-2</v>
      </c>
      <c r="L641" s="30">
        <f t="shared" ca="1" si="155"/>
        <v>4.7076814513031195E-2</v>
      </c>
      <c r="M641" s="30">
        <f t="shared" ca="1" si="155"/>
        <v>-1.0206174811439211E-2</v>
      </c>
      <c r="N641" s="30">
        <f t="shared" ca="1" si="155"/>
        <v>0.10083791150531074</v>
      </c>
      <c r="O641" s="30">
        <f t="shared" ca="1" si="156"/>
        <v>-1.4963847846589218E-2</v>
      </c>
      <c r="P641" s="30">
        <f t="shared" ca="1" si="157"/>
        <v>2.0053388892505852E-2</v>
      </c>
      <c r="Q641" s="30">
        <f t="shared" ca="1" si="158"/>
        <v>1.8461938503542719E-2</v>
      </c>
      <c r="R641" s="30">
        <f t="shared" ca="1" si="159"/>
        <v>6.4885005781831762E-3</v>
      </c>
      <c r="S641" s="9" cm="1">
        <f t="array" aca="1" ref="S641" ca="1">_xll.BDH($E$6,"PX LAST",AG641)</f>
        <v>156.66999999999999</v>
      </c>
      <c r="T641" s="9" cm="1">
        <f t="array" aca="1" ref="T641" ca="1">_xll.BDH($E$6,"PX LAST",AH641)</f>
        <v>159.05000000000001</v>
      </c>
      <c r="U641" s="9" cm="1">
        <f t="array" aca="1" ref="U641" ca="1">_xll.BDH($E$6,"PX LAST",AI641)</f>
        <v>153.59</v>
      </c>
      <c r="V641" s="9" cm="1">
        <f t="array" aca="1" ref="V641" ca="1">_xll.BDH($E$6,"PX LAST",AJ641)</f>
        <v>153.83000000000001</v>
      </c>
      <c r="W641" s="9" cm="1">
        <f t="array" aca="1" ref="W641" ca="1">_xll.BDH($E$6,"PX LAST",AK641)</f>
        <v>155.66</v>
      </c>
      <c r="X641" s="24">
        <f t="shared" ca="1" si="160"/>
        <v>1.4327894958845455E-2</v>
      </c>
      <c r="Y641" s="24">
        <f t="shared" ca="1" si="161"/>
        <v>2.2060244058212053E-2</v>
      </c>
      <c r="Z641" s="24">
        <f t="shared" ca="1" si="162"/>
        <v>-4.7826240915005425E-3</v>
      </c>
      <c r="AA641" s="24">
        <f t="shared" ca="1" si="163"/>
        <v>4.7252749811943717E-2</v>
      </c>
      <c r="AB641" s="9" cm="1">
        <f t="array" aca="1" ref="AB641" ca="1">_xll.BDH($E$8,"PX LAST",AG641)</f>
        <v>4496.83</v>
      </c>
      <c r="AC641" s="9" cm="1">
        <f t="array" aca="1" ref="AC641" ca="1">_xll.BDH($E$8,"PX LAST",AH641)</f>
        <v>4433.3100000000004</v>
      </c>
      <c r="AD641" s="9" cm="1">
        <f t="array" aca="1" ref="AD641" ca="1">_xll.BDH($E$8,"PX LAST",AI641)</f>
        <v>4399.7700000000004</v>
      </c>
      <c r="AE641" s="9" cm="1">
        <f t="array" aca="1" ref="AE641" ca="1">_xll.BDH($E$8,"PX LAST",AJ641)</f>
        <v>4518.4399999999996</v>
      </c>
      <c r="AF641" s="9" cm="1">
        <f t="array" aca="1" ref="AF641" ca="1">_xll.BDH($E$8,"PX LAST",AK641)</f>
        <v>4293.93</v>
      </c>
      <c r="AG641" s="20">
        <f t="shared" ca="1" si="169"/>
        <v>45174</v>
      </c>
      <c r="AH641" s="22">
        <f t="shared" ca="1" si="164"/>
        <v>45166</v>
      </c>
      <c r="AI641" s="22">
        <f t="shared" ca="1" si="165"/>
        <v>45159</v>
      </c>
      <c r="AJ641" s="22">
        <f t="shared" ca="1" si="166"/>
        <v>45145</v>
      </c>
      <c r="AK641" s="22">
        <f t="shared" ca="1" si="167"/>
        <v>45085</v>
      </c>
      <c r="AL641" s="22">
        <f t="shared" ca="1" si="168"/>
        <v>44999</v>
      </c>
    </row>
    <row r="642" spans="4:38" x14ac:dyDescent="0.25">
      <c r="D642" s="6">
        <f ca="1"/>
        <v>45170</v>
      </c>
      <c r="E642" s="28">
        <f ca="1"/>
        <v>163.28</v>
      </c>
      <c r="F642" s="29" cm="1">
        <f t="array" aca="1" ref="F642" ca="1">_xll.FDS($E$7,"P_BETA_LOCIDX("&amp;$AG642&amp;","&amp;$AL642&amp;",,"""&amp;$E$9&amp;""")")</f>
        <v>2.1252643999999998</v>
      </c>
      <c r="G642" s="30">
        <f t="shared" ca="1" si="154"/>
        <v>-3.5994696903497436E-3</v>
      </c>
      <c r="H642" s="30">
        <f t="shared" ca="1" si="154"/>
        <v>-1.1213695378651939E-3</v>
      </c>
      <c r="I642" s="30">
        <f t="shared" ca="1" si="154"/>
        <v>4.8093761180463962E-2</v>
      </c>
      <c r="J642" s="30">
        <f t="shared" ca="1" si="154"/>
        <v>-6.0748357119418867E-2</v>
      </c>
      <c r="K642" s="30">
        <f t="shared" ca="1" si="155"/>
        <v>5.3091692341075913E-2</v>
      </c>
      <c r="L642" s="30">
        <f t="shared" ca="1" si="155"/>
        <v>7.1038150875916431E-2</v>
      </c>
      <c r="M642" s="30">
        <f t="shared" ca="1" si="155"/>
        <v>1.7911331200550749E-2</v>
      </c>
      <c r="N642" s="30">
        <f t="shared" ca="1" si="155"/>
        <v>0.12363079430207727</v>
      </c>
      <c r="O642" s="30">
        <f t="shared" ca="1" si="156"/>
        <v>4.949222265072617E-2</v>
      </c>
      <c r="P642" s="30">
        <f t="shared" ca="1" si="157"/>
        <v>6.9916781338051237E-2</v>
      </c>
      <c r="Q642" s="30">
        <f t="shared" ca="1" si="158"/>
        <v>6.6005092381014707E-2</v>
      </c>
      <c r="R642" s="30">
        <f t="shared" ca="1" si="159"/>
        <v>6.2882437182658402E-2</v>
      </c>
      <c r="S642" s="9" cm="1">
        <f t="array" aca="1" ref="S642" ca="1">_xll.BDH($E$6,"PX LAST",AG642)</f>
        <v>163.28</v>
      </c>
      <c r="T642" s="9" cm="1">
        <f t="array" aca="1" ref="T642" ca="1">_xll.BDH($E$6,"PX LAST",AH642)</f>
        <v>155.58000000000001</v>
      </c>
      <c r="U642" s="9" cm="1">
        <f t="array" aca="1" ref="U642" ca="1">_xll.BDH($E$6,"PX LAST",AI642)</f>
        <v>152.61000000000001</v>
      </c>
      <c r="V642" s="9" cm="1">
        <f t="array" aca="1" ref="V642" ca="1">_xll.BDH($E$6,"PX LAST",AJ642)</f>
        <v>153.16999999999999</v>
      </c>
      <c r="W642" s="9" cm="1">
        <f t="array" aca="1" ref="W642" ca="1">_xll.BDH($E$6,"PX LAST",AK642)</f>
        <v>153.62</v>
      </c>
      <c r="X642" s="24">
        <f t="shared" ca="1" si="160"/>
        <v>2.4981217556307778E-2</v>
      </c>
      <c r="Y642" s="24">
        <f t="shared" ca="1" si="161"/>
        <v>3.3425559133214877E-2</v>
      </c>
      <c r="Z642" s="24">
        <f t="shared" ca="1" si="162"/>
        <v>8.4278131231816378E-3</v>
      </c>
      <c r="AA642" s="24">
        <f t="shared" ca="1" si="163"/>
        <v>5.8171959358128467E-2</v>
      </c>
      <c r="AB642" s="9" cm="1">
        <f t="array" aca="1" ref="AB642" ca="1">_xll.BDH($E$8,"PX LAST",AG642)</f>
        <v>4515.7700000000004</v>
      </c>
      <c r="AC642" s="9" cm="1">
        <f t="array" aca="1" ref="AC642" ca="1">_xll.BDH($E$8,"PX LAST",AH642)</f>
        <v>4405.71</v>
      </c>
      <c r="AD642" s="9" cm="1">
        <f t="array" aca="1" ref="AD642" ca="1">_xll.BDH($E$8,"PX LAST",AI642)</f>
        <v>4369.71</v>
      </c>
      <c r="AE642" s="9" cm="1">
        <f t="array" aca="1" ref="AE642" ca="1">_xll.BDH($E$8,"PX LAST",AJ642)</f>
        <v>4478.03</v>
      </c>
      <c r="AF642" s="9" cm="1">
        <f t="array" aca="1" ref="AF642" ca="1">_xll.BDH($E$8,"PX LAST",AK642)</f>
        <v>4267.5200000000004</v>
      </c>
      <c r="AG642" s="20">
        <f t="shared" ca="1" si="169"/>
        <v>45170</v>
      </c>
      <c r="AH642" s="22">
        <f t="shared" ca="1" si="164"/>
        <v>45163</v>
      </c>
      <c r="AI642" s="22">
        <f t="shared" ca="1" si="165"/>
        <v>45156</v>
      </c>
      <c r="AJ642" s="22">
        <f t="shared" ca="1" si="166"/>
        <v>45142</v>
      </c>
      <c r="AK642" s="22">
        <f t="shared" ca="1" si="167"/>
        <v>45084</v>
      </c>
      <c r="AL642" s="22">
        <f t="shared" ca="1" si="168"/>
        <v>44998</v>
      </c>
    </row>
    <row r="643" spans="4:38" x14ac:dyDescent="0.25">
      <c r="D643" s="6">
        <f ca="1"/>
        <v>45169</v>
      </c>
      <c r="E643" s="28">
        <f ca="1"/>
        <v>161.85</v>
      </c>
      <c r="F643" s="29" cm="1">
        <f t="array" aca="1" ref="F643" ca="1">_xll.FDS($E$7,"P_BETA_LOCIDX("&amp;$AG643&amp;","&amp;$AL643&amp;",,"""&amp;$E$9&amp;""")")</f>
        <v>2.1539864999999998</v>
      </c>
      <c r="G643" s="30">
        <f t="shared" ca="1" si="154"/>
        <v>-2.3411694444303147E-2</v>
      </c>
      <c r="H643" s="30">
        <f t="shared" ca="1" si="154"/>
        <v>1.6970109162676911E-2</v>
      </c>
      <c r="I643" s="30">
        <f t="shared" ca="1" si="154"/>
        <v>5.3081138503970553E-2</v>
      </c>
      <c r="J643" s="30">
        <f t="shared" ca="1" si="154"/>
        <v>-2.5052791363468621E-2</v>
      </c>
      <c r="K643" s="30">
        <f t="shared" ca="1" si="155"/>
        <v>6.4649471078374168E-2</v>
      </c>
      <c r="L643" s="30">
        <f t="shared" ca="1" si="155"/>
        <v>6.7670019506402307E-2</v>
      </c>
      <c r="M643" s="30">
        <f t="shared" ca="1" si="155"/>
        <v>2.7607298501294347E-3</v>
      </c>
      <c r="N643" s="30">
        <f t="shared" ca="1" si="155"/>
        <v>0.11253515379039848</v>
      </c>
      <c r="O643" s="30">
        <f t="shared" ca="1" si="156"/>
        <v>4.1237776634071022E-2</v>
      </c>
      <c r="P643" s="30">
        <f t="shared" ca="1" si="157"/>
        <v>8.4640128669079218E-2</v>
      </c>
      <c r="Q643" s="30">
        <f t="shared" ca="1" si="158"/>
        <v>5.5841868354099988E-2</v>
      </c>
      <c r="R643" s="30">
        <f t="shared" ca="1" si="159"/>
        <v>8.7482362426929861E-2</v>
      </c>
      <c r="S643" s="9" cm="1">
        <f t="array" aca="1" ref="S643" ca="1">_xll.BDH($E$6,"PX LAST",AG643)</f>
        <v>161.85</v>
      </c>
      <c r="T643" s="9" cm="1">
        <f t="array" aca="1" ref="T643" ca="1">_xll.BDH($E$6,"PX LAST",AH643)</f>
        <v>155.44</v>
      </c>
      <c r="U643" s="9" cm="1">
        <f t="array" aca="1" ref="U643" ca="1">_xll.BDH($E$6,"PX LAST",AI643)</f>
        <v>149.22</v>
      </c>
      <c r="V643" s="9" cm="1">
        <f t="array" aca="1" ref="V643" ca="1">_xll.BDH($E$6,"PX LAST",AJ643)</f>
        <v>153.29</v>
      </c>
      <c r="W643" s="9" cm="1">
        <f t="array" aca="1" ref="W643" ca="1">_xll.BDH($E$6,"PX LAST",AK643)</f>
        <v>148.83000000000001</v>
      </c>
      <c r="X643" s="24">
        <f t="shared" ca="1" si="160"/>
        <v>3.0013870132600262E-2</v>
      </c>
      <c r="Y643" s="24">
        <f t="shared" ca="1" si="161"/>
        <v>3.1416176241774174E-2</v>
      </c>
      <c r="Z643" s="24">
        <f t="shared" ca="1" si="162"/>
        <v>1.2816839149778492E-3</v>
      </c>
      <c r="AA643" s="24">
        <f t="shared" ca="1" si="163"/>
        <v>5.2245059934404647E-2</v>
      </c>
      <c r="AB643" s="9" cm="1">
        <f t="array" aca="1" ref="AB643" ca="1">_xll.BDH($E$8,"PX LAST",AG643)</f>
        <v>4507.66</v>
      </c>
      <c r="AC643" s="9" cm="1">
        <f t="array" aca="1" ref="AC643" ca="1">_xll.BDH($E$8,"PX LAST",AH643)</f>
        <v>4376.3100000000004</v>
      </c>
      <c r="AD643" s="9" cm="1">
        <f t="array" aca="1" ref="AD643" ca="1">_xll.BDH($E$8,"PX LAST",AI643)</f>
        <v>4370.3599999999997</v>
      </c>
      <c r="AE643" s="9" cm="1">
        <f t="array" aca="1" ref="AE643" ca="1">_xll.BDH($E$8,"PX LAST",AJ643)</f>
        <v>4501.8900000000003</v>
      </c>
      <c r="AF643" s="9" cm="1">
        <f t="array" aca="1" ref="AF643" ca="1">_xll.BDH($E$8,"PX LAST",AK643)</f>
        <v>4283.8500000000004</v>
      </c>
      <c r="AG643" s="20">
        <f t="shared" ca="1" si="169"/>
        <v>45169</v>
      </c>
      <c r="AH643" s="22">
        <f t="shared" ca="1" si="164"/>
        <v>45162</v>
      </c>
      <c r="AI643" s="22">
        <f t="shared" ca="1" si="165"/>
        <v>45155</v>
      </c>
      <c r="AJ643" s="22">
        <f t="shared" ca="1" si="166"/>
        <v>45141</v>
      </c>
      <c r="AK643" s="22">
        <f t="shared" ca="1" si="167"/>
        <v>45083</v>
      </c>
      <c r="AL643" s="22">
        <f t="shared" ca="1" si="168"/>
        <v>44995</v>
      </c>
    </row>
    <row r="644" spans="4:38" x14ac:dyDescent="0.25">
      <c r="D644" s="6">
        <f ca="1"/>
        <v>45168</v>
      </c>
      <c r="E644" s="28">
        <f ca="1"/>
        <v>162.24</v>
      </c>
      <c r="F644" s="29" cm="1">
        <f t="array" aca="1" ref="F644" ca="1">_xll.FDS($E$7,"P_BETA_LOCIDX("&amp;$AG644&amp;","&amp;$AL644&amp;",,"""&amp;$E$9&amp;""")")</f>
        <v>2.1353599999999999</v>
      </c>
      <c r="G644" s="30">
        <f t="shared" ca="1" si="154"/>
        <v>2.3726399364841638E-3</v>
      </c>
      <c r="H644" s="30">
        <f t="shared" ca="1" si="154"/>
        <v>1.6238523449822469E-2</v>
      </c>
      <c r="I644" s="30">
        <f t="shared" ca="1" si="154"/>
        <v>-9.6654742913557704E-2</v>
      </c>
      <c r="J644" s="30">
        <f t="shared" ca="1" si="154"/>
        <v>-2.6380986611618251E-2</v>
      </c>
      <c r="K644" s="30">
        <f t="shared" ca="1" si="155"/>
        <v>3.7960800268709863E-2</v>
      </c>
      <c r="L644" s="30">
        <f t="shared" ca="1" si="155"/>
        <v>5.3593326203985707E-2</v>
      </c>
      <c r="M644" s="30">
        <f t="shared" ca="1" si="155"/>
        <v>7.0021265611876877E-4</v>
      </c>
      <c r="N644" s="30">
        <f t="shared" ca="1" si="155"/>
        <v>0.12045341226405615</v>
      </c>
      <c r="O644" s="30">
        <f t="shared" ca="1" si="156"/>
        <v>4.0333440205194027E-2</v>
      </c>
      <c r="P644" s="30">
        <f t="shared" ca="1" si="157"/>
        <v>6.9831849653808176E-2</v>
      </c>
      <c r="Q644" s="30">
        <f t="shared" ca="1" si="158"/>
        <v>-9.5954530257438941E-2</v>
      </c>
      <c r="R644" s="30">
        <f t="shared" ca="1" si="159"/>
        <v>9.4072425652437897E-2</v>
      </c>
      <c r="S644" s="9" cm="1">
        <f t="array" aca="1" ref="S644" ca="1">_xll.BDH($E$6,"PX LAST",AG644)</f>
        <v>162.24</v>
      </c>
      <c r="T644" s="9" cm="1">
        <f t="array" aca="1" ref="T644" ca="1">_xll.BDH($E$6,"PX LAST",AH644)</f>
        <v>155.94999999999999</v>
      </c>
      <c r="U644" s="9" cm="1">
        <f t="array" aca="1" ref="U644" ca="1">_xll.BDH($E$6,"PX LAST",AI644)</f>
        <v>151.65</v>
      </c>
      <c r="V644" s="9" cm="1">
        <f t="array" aca="1" ref="V644" ca="1">_xll.BDH($E$6,"PX LAST",AJ644)</f>
        <v>179.46</v>
      </c>
      <c r="W644" s="9" cm="1">
        <f t="array" aca="1" ref="W644" ca="1">_xll.BDH($E$6,"PX LAST",AK644)</f>
        <v>148.29</v>
      </c>
      <c r="X644" s="24">
        <f t="shared" ca="1" si="160"/>
        <v>1.7777236751044256E-2</v>
      </c>
      <c r="Y644" s="24">
        <f t="shared" ca="1" si="161"/>
        <v>2.5098028531013838E-2</v>
      </c>
      <c r="Z644" s="24">
        <f t="shared" ca="1" si="162"/>
        <v>3.2791316504887646E-4</v>
      </c>
      <c r="AA644" s="24">
        <f t="shared" ca="1" si="163"/>
        <v>5.6408948497703504E-2</v>
      </c>
      <c r="AB644" s="9" cm="1">
        <f t="array" aca="1" ref="AB644" ca="1">_xll.BDH($E$8,"PX LAST",AG644)</f>
        <v>4514.87</v>
      </c>
      <c r="AC644" s="9" cm="1">
        <f t="array" aca="1" ref="AC644" ca="1">_xll.BDH($E$8,"PX LAST",AH644)</f>
        <v>4436.01</v>
      </c>
      <c r="AD644" s="9" cm="1">
        <f t="array" aca="1" ref="AD644" ca="1">_xll.BDH($E$8,"PX LAST",AI644)</f>
        <v>4404.33</v>
      </c>
      <c r="AE644" s="9" cm="1">
        <f t="array" aca="1" ref="AE644" ca="1">_xll.BDH($E$8,"PX LAST",AJ644)</f>
        <v>4513.3900000000003</v>
      </c>
      <c r="AF644" s="9" cm="1">
        <f t="array" aca="1" ref="AF644" ca="1">_xll.BDH($E$8,"PX LAST",AK644)</f>
        <v>4273.79</v>
      </c>
      <c r="AG644" s="20">
        <f t="shared" ca="1" si="169"/>
        <v>45168</v>
      </c>
      <c r="AH644" s="22">
        <f t="shared" ca="1" si="164"/>
        <v>45161</v>
      </c>
      <c r="AI644" s="22">
        <f t="shared" ca="1" si="165"/>
        <v>45154</v>
      </c>
      <c r="AJ644" s="22">
        <f t="shared" ca="1" si="166"/>
        <v>45140</v>
      </c>
      <c r="AK644" s="22">
        <f t="shared" ca="1" si="167"/>
        <v>45082</v>
      </c>
      <c r="AL644" s="22">
        <f t="shared" ca="1" si="168"/>
        <v>44994</v>
      </c>
    </row>
    <row r="645" spans="4:38" x14ac:dyDescent="0.25">
      <c r="D645" s="6">
        <f ca="1"/>
        <v>45167</v>
      </c>
      <c r="E645" s="28">
        <f ca="1"/>
        <v>161.41</v>
      </c>
      <c r="F645" s="29" cm="1">
        <f t="array" aca="1" ref="F645" ca="1">_xll.FDS($E$7,"P_BETA_LOCIDX("&amp;$AG645&amp;","&amp;$AL645&amp;",,"""&amp;$E$9&amp;""")")</f>
        <v>2.1361460000000001</v>
      </c>
      <c r="G645" s="30">
        <f t="shared" ca="1" si="154"/>
        <v>1.3731841991706933E-3</v>
      </c>
      <c r="H645" s="30">
        <f t="shared" ca="1" si="154"/>
        <v>1.6496108962505182E-2</v>
      </c>
      <c r="I645" s="30">
        <f t="shared" ca="1" si="154"/>
        <v>-6.7900291029300897E-2</v>
      </c>
      <c r="J645" s="30">
        <f t="shared" ca="1" si="154"/>
        <v>-2.8878605024616616E-3</v>
      </c>
      <c r="K645" s="30">
        <f t="shared" ca="1" si="155"/>
        <v>5.3594136062267109E-2</v>
      </c>
      <c r="L645" s="30">
        <f t="shared" ca="1" si="155"/>
        <v>2.877004827101394E-2</v>
      </c>
      <c r="M645" s="30">
        <f t="shared" ca="1" si="155"/>
        <v>-3.6919186537112507E-2</v>
      </c>
      <c r="N645" s="30">
        <f t="shared" ca="1" si="155"/>
        <v>0.10737670681421758</v>
      </c>
      <c r="O645" s="30">
        <f t="shared" ca="1" si="156"/>
        <v>5.4967320261437802E-2</v>
      </c>
      <c r="P645" s="30">
        <f t="shared" ca="1" si="157"/>
        <v>4.5266157233519122E-2</v>
      </c>
      <c r="Q645" s="30">
        <f t="shared" ca="1" si="158"/>
        <v>-0.10481947756641341</v>
      </c>
      <c r="R645" s="30">
        <f t="shared" ca="1" si="159"/>
        <v>0.10448884631175592</v>
      </c>
      <c r="S645" s="9" cm="1">
        <f t="array" aca="1" ref="S645" ca="1">_xll.BDH($E$6,"PX LAST",AG645)</f>
        <v>161.41</v>
      </c>
      <c r="T645" s="9" cm="1">
        <f t="array" aca="1" ref="T645" ca="1">_xll.BDH($E$6,"PX LAST",AH645)</f>
        <v>153</v>
      </c>
      <c r="U645" s="9" cm="1">
        <f t="array" aca="1" ref="U645" ca="1">_xll.BDH($E$6,"PX LAST",AI645)</f>
        <v>154.41999999999999</v>
      </c>
      <c r="V645" s="9" cm="1">
        <f t="array" aca="1" ref="V645" ca="1">_xll.BDH($E$6,"PX LAST",AJ645)</f>
        <v>180.31</v>
      </c>
      <c r="W645" s="9" cm="1">
        <f t="array" aca="1" ref="W645" ca="1">_xll.BDH($E$6,"PX LAST",AK645)</f>
        <v>146.13999999999999</v>
      </c>
      <c r="X645" s="24">
        <f t="shared" ca="1" si="160"/>
        <v>2.5089172772959856E-2</v>
      </c>
      <c r="Y645" s="24">
        <f t="shared" ca="1" si="161"/>
        <v>1.3468203142956492E-2</v>
      </c>
      <c r="Z645" s="24">
        <f t="shared" ca="1" si="162"/>
        <v>-1.7283082025813079E-2</v>
      </c>
      <c r="AA645" s="24">
        <f t="shared" ca="1" si="163"/>
        <v>5.0266558004095963E-2</v>
      </c>
      <c r="AB645" s="9" cm="1">
        <f t="array" aca="1" ref="AB645" ca="1">_xll.BDH($E$8,"PX LAST",AG645)</f>
        <v>4497.63</v>
      </c>
      <c r="AC645" s="9" cm="1">
        <f t="array" aca="1" ref="AC645" ca="1">_xll.BDH($E$8,"PX LAST",AH645)</f>
        <v>4387.55</v>
      </c>
      <c r="AD645" s="9" cm="1">
        <f t="array" aca="1" ref="AD645" ca="1">_xll.BDH($E$8,"PX LAST",AI645)</f>
        <v>4437.8599999999997</v>
      </c>
      <c r="AE645" s="9" cm="1">
        <f t="array" aca="1" ref="AE645" ca="1">_xll.BDH($E$8,"PX LAST",AJ645)</f>
        <v>4576.7299999999996</v>
      </c>
      <c r="AF645" s="9" cm="1">
        <f t="array" aca="1" ref="AF645" ca="1">_xll.BDH($E$8,"PX LAST",AK645)</f>
        <v>4282.37</v>
      </c>
      <c r="AG645" s="20">
        <f t="shared" ca="1" si="169"/>
        <v>45167</v>
      </c>
      <c r="AH645" s="22">
        <f t="shared" ca="1" si="164"/>
        <v>45160</v>
      </c>
      <c r="AI645" s="22">
        <f t="shared" ca="1" si="165"/>
        <v>45153</v>
      </c>
      <c r="AJ645" s="22">
        <f t="shared" ca="1" si="166"/>
        <v>45139</v>
      </c>
      <c r="AK645" s="22">
        <f t="shared" ca="1" si="167"/>
        <v>45079</v>
      </c>
      <c r="AL645" s="22">
        <f t="shared" ca="1" si="168"/>
        <v>44993</v>
      </c>
    </row>
    <row r="646" spans="4:38" x14ac:dyDescent="0.25">
      <c r="D646" s="6">
        <f ca="1"/>
        <v>45166</v>
      </c>
      <c r="E646" s="28">
        <f ca="1"/>
        <v>159.05000000000001</v>
      </c>
      <c r="F646" s="29" cm="1">
        <f t="array" aca="1" ref="F646" ca="1">_xll.FDS($E$7,"P_BETA_LOCIDX("&amp;$AG646&amp;","&amp;$AL646&amp;",,"""&amp;$E$9&amp;""")")</f>
        <v>2.0971129999999998</v>
      </c>
      <c r="G646" s="30">
        <f t="shared" ca="1" si="154"/>
        <v>1.9562633280372905E-2</v>
      </c>
      <c r="H646" s="30">
        <f t="shared" ca="1" si="154"/>
        <v>4.0310162913501271E-2</v>
      </c>
      <c r="I646" s="30">
        <f t="shared" ca="1" si="154"/>
        <v>-2.2962889024564684E-2</v>
      </c>
      <c r="J646" s="30">
        <f t="shared" ca="1" si="154"/>
        <v>6.1525627397050461E-2</v>
      </c>
      <c r="K646" s="30">
        <f t="shared" ca="1" si="155"/>
        <v>1.5986556119978772E-2</v>
      </c>
      <c r="L646" s="30">
        <f t="shared" ca="1" si="155"/>
        <v>-2.6348668587350476E-2</v>
      </c>
      <c r="M646" s="30">
        <f t="shared" ca="1" si="155"/>
        <v>-7.1130634925996236E-2</v>
      </c>
      <c r="N646" s="30">
        <f t="shared" ca="1" si="155"/>
        <v>0.10547121756589641</v>
      </c>
      <c r="O646" s="30">
        <f t="shared" ca="1" si="156"/>
        <v>3.5549189400351677E-2</v>
      </c>
      <c r="P646" s="30">
        <f t="shared" ca="1" si="157"/>
        <v>1.3961494326150792E-2</v>
      </c>
      <c r="Q646" s="30">
        <f t="shared" ca="1" si="158"/>
        <v>-9.409352395056092E-2</v>
      </c>
      <c r="R646" s="30">
        <f t="shared" ca="1" si="159"/>
        <v>0.16699684496294687</v>
      </c>
      <c r="S646" s="9" cm="1">
        <f t="array" aca="1" ref="S646" ca="1">_xll.BDH($E$6,"PX LAST",AG646)</f>
        <v>159.05000000000001</v>
      </c>
      <c r="T646" s="9" cm="1">
        <f t="array" aca="1" ref="T646" ca="1">_xll.BDH($E$6,"PX LAST",AH646)</f>
        <v>153.59</v>
      </c>
      <c r="U646" s="9" cm="1">
        <f t="array" aca="1" ref="U646" ca="1">_xll.BDH($E$6,"PX LAST",AI646)</f>
        <v>156.86000000000001</v>
      </c>
      <c r="V646" s="9" cm="1">
        <f t="array" aca="1" ref="V646" ca="1">_xll.BDH($E$6,"PX LAST",AJ646)</f>
        <v>175.57</v>
      </c>
      <c r="W646" s="9" cm="1">
        <f t="array" aca="1" ref="W646" ca="1">_xll.BDH($E$6,"PX LAST",AK646)</f>
        <v>136.29</v>
      </c>
      <c r="X646" s="24">
        <f t="shared" ca="1" si="160"/>
        <v>7.6231257543006858E-3</v>
      </c>
      <c r="Y646" s="24">
        <f t="shared" ca="1" si="161"/>
        <v>-1.2564257904724485E-2</v>
      </c>
      <c r="Z646" s="24">
        <f t="shared" ca="1" si="162"/>
        <v>-3.3918360587148255E-2</v>
      </c>
      <c r="AA646" s="24">
        <f t="shared" ca="1" si="163"/>
        <v>5.0293530947496112E-2</v>
      </c>
      <c r="AB646" s="9" cm="1">
        <f t="array" aca="1" ref="AB646" ca="1">_xll.BDH($E$8,"PX LAST",AG646)</f>
        <v>4433.3100000000004</v>
      </c>
      <c r="AC646" s="9" cm="1">
        <f t="array" aca="1" ref="AC646" ca="1">_xll.BDH($E$8,"PX LAST",AH646)</f>
        <v>4399.7700000000004</v>
      </c>
      <c r="AD646" s="9" cm="1">
        <f t="array" aca="1" ref="AD646" ca="1">_xll.BDH($E$8,"PX LAST",AI646)</f>
        <v>4489.72</v>
      </c>
      <c r="AE646" s="9" cm="1">
        <f t="array" aca="1" ref="AE646" ca="1">_xll.BDH($E$8,"PX LAST",AJ646)</f>
        <v>4588.96</v>
      </c>
      <c r="AF646" s="9" cm="1">
        <f t="array" aca="1" ref="AF646" ca="1">_xll.BDH($E$8,"PX LAST",AK646)</f>
        <v>4221.0200000000004</v>
      </c>
      <c r="AG646" s="20">
        <f t="shared" ca="1" si="169"/>
        <v>45166</v>
      </c>
      <c r="AH646" s="22">
        <f t="shared" ca="1" si="164"/>
        <v>45159</v>
      </c>
      <c r="AI646" s="22">
        <f t="shared" ca="1" si="165"/>
        <v>45152</v>
      </c>
      <c r="AJ646" s="22">
        <f t="shared" ca="1" si="166"/>
        <v>45138</v>
      </c>
      <c r="AK646" s="22">
        <f t="shared" ca="1" si="167"/>
        <v>45078</v>
      </c>
      <c r="AL646" s="22">
        <f t="shared" ca="1" si="168"/>
        <v>44992</v>
      </c>
    </row>
    <row r="647" spans="4:38" x14ac:dyDescent="0.25">
      <c r="D647" s="6">
        <f ca="1"/>
        <v>45163</v>
      </c>
      <c r="E647" s="28">
        <f ca="1"/>
        <v>155.58000000000001</v>
      </c>
      <c r="F647" s="29" cm="1">
        <f t="array" aca="1" ref="F647" ca="1">_xll.FDS($E$7,"P_BETA_LOCIDX("&amp;$AG647&amp;","&amp;$AL647&amp;",,"""&amp;$E$9&amp;""")")</f>
        <v>2.0892347999999998</v>
      </c>
      <c r="G647" s="30">
        <f t="shared" ca="1" si="154"/>
        <v>2.2491422974158029E-3</v>
      </c>
      <c r="H647" s="30">
        <f t="shared" ca="1" si="154"/>
        <v>2.7496760320550356E-2</v>
      </c>
      <c r="I647" s="30">
        <f t="shared" ca="1" si="154"/>
        <v>-1.2292064963026747E-2</v>
      </c>
      <c r="J647" s="30">
        <f t="shared" ca="1" si="154"/>
        <v>1.9576012953535241E-2</v>
      </c>
      <c r="K647" s="30">
        <f t="shared" ca="1" si="155"/>
        <v>1.721222982760872E-2</v>
      </c>
      <c r="L647" s="30">
        <f t="shared" ca="1" si="155"/>
        <v>-2.7303896289692191E-2</v>
      </c>
      <c r="M647" s="30">
        <f t="shared" ca="1" si="155"/>
        <v>-8.0483023963441272E-2</v>
      </c>
      <c r="N647" s="30">
        <f t="shared" ca="1" si="155"/>
        <v>0.11290324166868053</v>
      </c>
      <c r="O647" s="30">
        <f t="shared" ca="1" si="156"/>
        <v>1.9461372125024523E-2</v>
      </c>
      <c r="P647" s="30">
        <f t="shared" ca="1" si="157"/>
        <v>1.9286403085816417E-4</v>
      </c>
      <c r="Q647" s="30">
        <f t="shared" ca="1" si="158"/>
        <v>-9.2775088926468019E-2</v>
      </c>
      <c r="R647" s="30">
        <f t="shared" ca="1" si="159"/>
        <v>0.13247925462221577</v>
      </c>
      <c r="S647" s="9" cm="1">
        <f t="array" aca="1" ref="S647" ca="1">_xll.BDH($E$6,"PX LAST",AG647)</f>
        <v>155.58000000000001</v>
      </c>
      <c r="T647" s="9" cm="1">
        <f t="array" aca="1" ref="T647" ca="1">_xll.BDH($E$6,"PX LAST",AH647)</f>
        <v>152.61000000000001</v>
      </c>
      <c r="U647" s="9" cm="1">
        <f t="array" aca="1" ref="U647" ca="1">_xll.BDH($E$6,"PX LAST",AI647)</f>
        <v>155.55000000000001</v>
      </c>
      <c r="V647" s="9" cm="1">
        <f t="array" aca="1" ref="V647" ca="1">_xll.BDH($E$6,"PX LAST",AJ647)</f>
        <v>171.49</v>
      </c>
      <c r="W647" s="9" cm="1">
        <f t="array" aca="1" ref="W647" ca="1">_xll.BDH($E$6,"PX LAST",AK647)</f>
        <v>137.38</v>
      </c>
      <c r="X647" s="24">
        <f t="shared" ca="1" si="160"/>
        <v>8.2385329918919226E-3</v>
      </c>
      <c r="Y647" s="24">
        <f t="shared" ca="1" si="161"/>
        <v>-1.3068850035281909E-2</v>
      </c>
      <c r="Z647" s="24">
        <f t="shared" ca="1" si="162"/>
        <v>-3.8522728016707974E-2</v>
      </c>
      <c r="AA647" s="24">
        <f t="shared" ca="1" si="163"/>
        <v>5.4040475330336513E-2</v>
      </c>
      <c r="AB647" s="9" cm="1">
        <f t="array" aca="1" ref="AB647" ca="1">_xll.BDH($E$8,"PX LAST",AG647)</f>
        <v>4405.71</v>
      </c>
      <c r="AC647" s="9" cm="1">
        <f t="array" aca="1" ref="AC647" ca="1">_xll.BDH($E$8,"PX LAST",AH647)</f>
        <v>4369.71</v>
      </c>
      <c r="AD647" s="9" cm="1">
        <f t="array" aca="1" ref="AD647" ca="1">_xll.BDH($E$8,"PX LAST",AI647)</f>
        <v>4464.05</v>
      </c>
      <c r="AE647" s="9" cm="1">
        <f t="array" aca="1" ref="AE647" ca="1">_xll.BDH($E$8,"PX LAST",AJ647)</f>
        <v>4582.2299999999996</v>
      </c>
      <c r="AF647" s="9" cm="1">
        <f t="array" aca="1" ref="AF647" ca="1">_xll.BDH($E$8,"PX LAST",AK647)</f>
        <v>4179.83</v>
      </c>
      <c r="AG647" s="20">
        <f t="shared" ca="1" si="169"/>
        <v>45163</v>
      </c>
      <c r="AH647" s="22">
        <f t="shared" ca="1" si="164"/>
        <v>45156</v>
      </c>
      <c r="AI647" s="22">
        <f t="shared" ca="1" si="165"/>
        <v>45149</v>
      </c>
      <c r="AJ647" s="22">
        <f t="shared" ca="1" si="166"/>
        <v>45135</v>
      </c>
      <c r="AK647" s="22">
        <f t="shared" ca="1" si="167"/>
        <v>45077</v>
      </c>
      <c r="AL647" s="22">
        <f t="shared" ca="1" si="168"/>
        <v>44991</v>
      </c>
    </row>
    <row r="648" spans="4:38" x14ac:dyDescent="0.25">
      <c r="D648" s="6">
        <f ca="1"/>
        <v>45162</v>
      </c>
      <c r="E648" s="28">
        <f ca="1"/>
        <v>155.44</v>
      </c>
      <c r="F648" s="29" cm="1">
        <f t="array" aca="1" ref="F648" ca="1">_xll.FDS($E$7,"P_BETA_LOCIDX("&amp;$AG648&amp;","&amp;$AL648&amp;",,"""&amp;$E$9&amp;""")")</f>
        <v>2.0648447999999999</v>
      </c>
      <c r="G648" s="30">
        <f t="shared" ca="1" si="154"/>
        <v>3.887225007804123E-2</v>
      </c>
      <c r="H648" s="30">
        <f t="shared" ca="1" si="154"/>
        <v>5.6973513553352159E-2</v>
      </c>
      <c r="I648" s="30">
        <f t="shared" ca="1" si="154"/>
        <v>-7.6316758730614331E-3</v>
      </c>
      <c r="J648" s="30">
        <f t="shared" ca="1" si="154"/>
        <v>-4.9352597137962834E-3</v>
      </c>
      <c r="K648" s="30">
        <f t="shared" ca="1" si="155"/>
        <v>2.8111703749810857E-3</v>
      </c>
      <c r="L648" s="30">
        <f t="shared" ca="1" si="155"/>
        <v>-4.2749319373527037E-2</v>
      </c>
      <c r="M648" s="30">
        <f t="shared" ca="1" si="155"/>
        <v>-7.3311976938385343E-2</v>
      </c>
      <c r="N648" s="30">
        <f t="shared" ca="1" si="155"/>
        <v>8.3855229173086868E-2</v>
      </c>
      <c r="O648" s="30">
        <f t="shared" ca="1" si="156"/>
        <v>4.1683420453022313E-2</v>
      </c>
      <c r="P648" s="30">
        <f t="shared" ca="1" si="157"/>
        <v>1.4224194179825123E-2</v>
      </c>
      <c r="Q648" s="30">
        <f t="shared" ca="1" si="158"/>
        <v>-8.0943652811446776E-2</v>
      </c>
      <c r="R648" s="30">
        <f t="shared" ca="1" si="159"/>
        <v>7.8919969459290584E-2</v>
      </c>
      <c r="S648" s="9" cm="1">
        <f t="array" aca="1" ref="S648" ca="1">_xll.BDH($E$6,"PX LAST",AG648)</f>
        <v>155.44</v>
      </c>
      <c r="T648" s="9" cm="1">
        <f t="array" aca="1" ref="T648" ca="1">_xll.BDH($E$6,"PX LAST",AH648)</f>
        <v>149.22</v>
      </c>
      <c r="U648" s="9" cm="1">
        <f t="array" aca="1" ref="U648" ca="1">_xll.BDH($E$6,"PX LAST",AI648)</f>
        <v>153.26</v>
      </c>
      <c r="V648" s="9" cm="1">
        <f t="array" aca="1" ref="V648" ca="1">_xll.BDH($E$6,"PX LAST",AJ648)</f>
        <v>169.13</v>
      </c>
      <c r="W648" s="9" cm="1">
        <f t="array" aca="1" ref="W648" ca="1">_xll.BDH($E$6,"PX LAST",AK648)</f>
        <v>144.07</v>
      </c>
      <c r="X648" s="24">
        <f t="shared" ca="1" si="160"/>
        <v>1.3614439085112284E-3</v>
      </c>
      <c r="Y648" s="24">
        <f t="shared" ca="1" si="161"/>
        <v>-2.0703405589382329E-2</v>
      </c>
      <c r="Z648" s="24">
        <f t="shared" ca="1" si="162"/>
        <v>-3.5504836459566036E-2</v>
      </c>
      <c r="AA648" s="24">
        <f t="shared" ca="1" si="163"/>
        <v>4.0610911373623271E-2</v>
      </c>
      <c r="AB648" s="9" cm="1">
        <f t="array" aca="1" ref="AB648" ca="1">_xll.BDH($E$8,"PX LAST",AG648)</f>
        <v>4376.3100000000004</v>
      </c>
      <c r="AC648" s="9" cm="1">
        <f t="array" aca="1" ref="AC648" ca="1">_xll.BDH($E$8,"PX LAST",AH648)</f>
        <v>4370.3599999999997</v>
      </c>
      <c r="AD648" s="9" cm="1">
        <f t="array" aca="1" ref="AD648" ca="1">_xll.BDH($E$8,"PX LAST",AI648)</f>
        <v>4468.83</v>
      </c>
      <c r="AE648" s="9" cm="1">
        <f t="array" aca="1" ref="AE648" ca="1">_xll.BDH($E$8,"PX LAST",AJ648)</f>
        <v>4537.41</v>
      </c>
      <c r="AF648" s="9" cm="1">
        <f t="array" aca="1" ref="AF648" ca="1">_xll.BDH($E$8,"PX LAST",AK648)</f>
        <v>4205.5200000000004</v>
      </c>
      <c r="AG648" s="20">
        <f t="shared" ca="1" si="169"/>
        <v>45162</v>
      </c>
      <c r="AH648" s="22">
        <f t="shared" ca="1" si="164"/>
        <v>45155</v>
      </c>
      <c r="AI648" s="22">
        <f t="shared" ca="1" si="165"/>
        <v>45148</v>
      </c>
      <c r="AJ648" s="22">
        <f t="shared" ca="1" si="166"/>
        <v>45134</v>
      </c>
      <c r="AK648" s="22">
        <f t="shared" ca="1" si="167"/>
        <v>45076</v>
      </c>
      <c r="AL648" s="22">
        <f t="shared" ca="1" si="168"/>
        <v>44988</v>
      </c>
    </row>
    <row r="649" spans="4:38" x14ac:dyDescent="0.25">
      <c r="D649" s="6">
        <f ca="1"/>
        <v>45161</v>
      </c>
      <c r="E649" s="28">
        <f ca="1"/>
        <v>155.94999999999999</v>
      </c>
      <c r="F649" s="29" cm="1">
        <f t="array" aca="1" ref="F649" ca="1">_xll.FDS($E$7,"P_BETA_LOCIDX("&amp;$AG649&amp;","&amp;$AL649&amp;",,"""&amp;$E$9&amp;""")")</f>
        <v>2.1109879999999999</v>
      </c>
      <c r="G649" s="30">
        <f t="shared" ca="1" si="154"/>
        <v>1.3170593264447401E-2</v>
      </c>
      <c r="H649" s="30">
        <f t="shared" ca="1" si="154"/>
        <v>4.5507521513521262E-2</v>
      </c>
      <c r="I649" s="30">
        <f t="shared" ca="1" si="154"/>
        <v>-1.9777538085751681E-2</v>
      </c>
      <c r="J649" s="30">
        <f t="shared" ca="1" si="154"/>
        <v>-4.8167294100894431E-2</v>
      </c>
      <c r="K649" s="30">
        <f t="shared" ca="1" si="155"/>
        <v>1.5184170995361361E-2</v>
      </c>
      <c r="L649" s="30">
        <f t="shared" ca="1" si="155"/>
        <v>-1.4978214700595944E-2</v>
      </c>
      <c r="M649" s="30">
        <f t="shared" ca="1" si="155"/>
        <v>-6.0434788661520619E-2</v>
      </c>
      <c r="N649" s="30">
        <f t="shared" ca="1" si="155"/>
        <v>0.11573301151600918</v>
      </c>
      <c r="O649" s="30">
        <f t="shared" ca="1" si="156"/>
        <v>2.8354764259808762E-2</v>
      </c>
      <c r="P649" s="30">
        <f t="shared" ca="1" si="157"/>
        <v>3.0529306812925316E-2</v>
      </c>
      <c r="Q649" s="30">
        <f t="shared" ca="1" si="158"/>
        <v>-8.02123267472723E-2</v>
      </c>
      <c r="R649" s="30">
        <f t="shared" ca="1" si="159"/>
        <v>6.7565717415114745E-2</v>
      </c>
      <c r="S649" s="9" cm="1">
        <f t="array" aca="1" ref="S649" ca="1">_xll.BDH($E$6,"PX LAST",AG649)</f>
        <v>155.94999999999999</v>
      </c>
      <c r="T649" s="9" cm="1">
        <f t="array" aca="1" ref="T649" ca="1">_xll.BDH($E$6,"PX LAST",AH649)</f>
        <v>151.65</v>
      </c>
      <c r="U649" s="9" cm="1">
        <f t="array" aca="1" ref="U649" ca="1">_xll.BDH($E$6,"PX LAST",AI649)</f>
        <v>151.33000000000001</v>
      </c>
      <c r="V649" s="9" cm="1">
        <f t="array" aca="1" ref="V649" ca="1">_xll.BDH($E$6,"PX LAST",AJ649)</f>
        <v>169.55</v>
      </c>
      <c r="W649" s="9" cm="1">
        <f t="array" aca="1" ref="W649" ca="1">_xll.BDH($E$6,"PX LAST",AK649)</f>
        <v>146.08000000000001</v>
      </c>
      <c r="X649" s="24">
        <f t="shared" ca="1" si="160"/>
        <v>7.1929215113308853E-3</v>
      </c>
      <c r="Y649" s="24">
        <f t="shared" ca="1" si="161"/>
        <v>-7.0953575769241439E-3</v>
      </c>
      <c r="Z649" s="24">
        <f t="shared" ca="1" si="162"/>
        <v>-2.8628674659221476E-2</v>
      </c>
      <c r="AA649" s="24">
        <f t="shared" ca="1" si="163"/>
        <v>5.4824097302310193E-2</v>
      </c>
      <c r="AB649" s="9" cm="1">
        <f t="array" aca="1" ref="AB649" ca="1">_xll.BDH($E$8,"PX LAST",AG649)</f>
        <v>4436.01</v>
      </c>
      <c r="AC649" s="9" cm="1">
        <f t="array" aca="1" ref="AC649" ca="1">_xll.BDH($E$8,"PX LAST",AH649)</f>
        <v>4404.33</v>
      </c>
      <c r="AD649" s="9" cm="1">
        <f t="array" aca="1" ref="AD649" ca="1">_xll.BDH($E$8,"PX LAST",AI649)</f>
        <v>4467.71</v>
      </c>
      <c r="AE649" s="9" cm="1">
        <f t="array" aca="1" ref="AE649" ca="1">_xll.BDH($E$8,"PX LAST",AJ649)</f>
        <v>4566.75</v>
      </c>
      <c r="AF649" s="9" cm="1">
        <f t="array" aca="1" ref="AF649" ca="1">_xll.BDH($E$8,"PX LAST",AK649)</f>
        <v>4205.45</v>
      </c>
      <c r="AG649" s="20">
        <f t="shared" ca="1" si="169"/>
        <v>45161</v>
      </c>
      <c r="AH649" s="22">
        <f t="shared" ca="1" si="164"/>
        <v>45154</v>
      </c>
      <c r="AI649" s="22">
        <f t="shared" ca="1" si="165"/>
        <v>45147</v>
      </c>
      <c r="AJ649" s="22">
        <f t="shared" ca="1" si="166"/>
        <v>45133</v>
      </c>
      <c r="AK649" s="22">
        <f t="shared" ca="1" si="167"/>
        <v>45072</v>
      </c>
      <c r="AL649" s="22">
        <f t="shared" ca="1" si="168"/>
        <v>44987</v>
      </c>
    </row>
    <row r="650" spans="4:38" x14ac:dyDescent="0.25">
      <c r="D650" s="6">
        <f ca="1"/>
        <v>45160</v>
      </c>
      <c r="E650" s="28">
        <f ca="1"/>
        <v>153</v>
      </c>
      <c r="F650" s="29" cm="1">
        <f t="array" aca="1" ref="F650" ca="1">_xll.FDS($E$7,"P_BETA_LOCIDX("&amp;$AG650&amp;","&amp;$AL650&amp;",,"""&amp;$E$9&amp;""")")</f>
        <v>2.0912250999999999</v>
      </c>
      <c r="G650" s="30">
        <f t="shared" ca="1" si="154"/>
        <v>1.4511567603882523E-2</v>
      </c>
      <c r="H650" s="30">
        <f t="shared" ca="1" si="154"/>
        <v>5.6572620242117018E-2</v>
      </c>
      <c r="I650" s="30">
        <f t="shared" ca="1" si="154"/>
        <v>-4.5186548725786271E-2</v>
      </c>
      <c r="J650" s="30">
        <f t="shared" ca="1" si="154"/>
        <v>2.6101842387387747E-2</v>
      </c>
      <c r="K650" s="30">
        <f t="shared" ca="1" si="155"/>
        <v>-2.3707267642737472E-2</v>
      </c>
      <c r="L650" s="30">
        <f t="shared" ca="1" si="155"/>
        <v>-5.1976428515262137E-2</v>
      </c>
      <c r="M650" s="30">
        <f t="shared" ca="1" si="155"/>
        <v>-8.2372326794542247E-2</v>
      </c>
      <c r="N650" s="30">
        <f t="shared" ca="1" si="155"/>
        <v>0.11902202558656619</v>
      </c>
      <c r="O650" s="30">
        <f t="shared" ca="1" si="156"/>
        <v>-9.1957000388549481E-3</v>
      </c>
      <c r="P650" s="30">
        <f t="shared" ca="1" si="157"/>
        <v>4.5961917268548813E-3</v>
      </c>
      <c r="Q650" s="30">
        <f t="shared" ca="1" si="158"/>
        <v>-0.12755887552032852</v>
      </c>
      <c r="R650" s="30">
        <f t="shared" ca="1" si="159"/>
        <v>0.14512386797395394</v>
      </c>
      <c r="S650" s="9" cm="1">
        <f t="array" aca="1" ref="S650" ca="1">_xll.BDH($E$6,"PX LAST",AG650)</f>
        <v>153</v>
      </c>
      <c r="T650" s="9" cm="1">
        <f t="array" aca="1" ref="T650" ca="1">_xll.BDH($E$6,"PX LAST",AH650)</f>
        <v>154.41999999999999</v>
      </c>
      <c r="U650" s="9" cm="1">
        <f t="array" aca="1" ref="U650" ca="1">_xll.BDH($E$6,"PX LAST",AI650)</f>
        <v>152.30000000000001</v>
      </c>
      <c r="V650" s="9" cm="1">
        <f t="array" aca="1" ref="V650" ca="1">_xll.BDH($E$6,"PX LAST",AJ650)</f>
        <v>175.37</v>
      </c>
      <c r="W650" s="9" cm="1">
        <f t="array" aca="1" ref="W650" ca="1">_xll.BDH($E$6,"PX LAST",AK650)</f>
        <v>133.61000000000001</v>
      </c>
      <c r="X650" s="24">
        <f t="shared" ca="1" si="160"/>
        <v>-1.1336545091553019E-2</v>
      </c>
      <c r="Y650" s="24">
        <f t="shared" ca="1" si="161"/>
        <v>-2.4854535513781917E-2</v>
      </c>
      <c r="Z650" s="24">
        <f t="shared" ca="1" si="162"/>
        <v>-3.9389507516212507E-2</v>
      </c>
      <c r="AA650" s="24">
        <f t="shared" ca="1" si="163"/>
        <v>5.6914975621976893E-2</v>
      </c>
      <c r="AB650" s="9" cm="1">
        <f t="array" aca="1" ref="AB650" ca="1">_xll.BDH($E$8,"PX LAST",AG650)</f>
        <v>4387.55</v>
      </c>
      <c r="AC650" s="9" cm="1">
        <f t="array" aca="1" ref="AC650" ca="1">_xll.BDH($E$8,"PX LAST",AH650)</f>
        <v>4437.8599999999997</v>
      </c>
      <c r="AD650" s="9" cm="1">
        <f t="array" aca="1" ref="AD650" ca="1">_xll.BDH($E$8,"PX LAST",AI650)</f>
        <v>4499.38</v>
      </c>
      <c r="AE650" s="9" cm="1">
        <f t="array" aca="1" ref="AE650" ca="1">_xll.BDH($E$8,"PX LAST",AJ650)</f>
        <v>4567.46</v>
      </c>
      <c r="AF650" s="9" cm="1">
        <f t="array" aca="1" ref="AF650" ca="1">_xll.BDH($E$8,"PX LAST",AK650)</f>
        <v>4151.28</v>
      </c>
      <c r="AG650" s="20">
        <f t="shared" ca="1" si="169"/>
        <v>45160</v>
      </c>
      <c r="AH650" s="22">
        <f t="shared" ca="1" si="164"/>
        <v>45153</v>
      </c>
      <c r="AI650" s="22">
        <f t="shared" ca="1" si="165"/>
        <v>45146</v>
      </c>
      <c r="AJ650" s="22">
        <f t="shared" ca="1" si="166"/>
        <v>45132</v>
      </c>
      <c r="AK650" s="22">
        <f t="shared" ca="1" si="167"/>
        <v>45071</v>
      </c>
      <c r="AL650" s="22">
        <f t="shared" ca="1" si="168"/>
        <v>44986</v>
      </c>
    </row>
    <row r="651" spans="4:38" x14ac:dyDescent="0.25">
      <c r="D651" s="6">
        <f ca="1"/>
        <v>45159</v>
      </c>
      <c r="E651" s="28">
        <f ca="1"/>
        <v>153.59</v>
      </c>
      <c r="F651" s="29" cm="1">
        <f t="array" aca="1" ref="F651" ca="1">_xll.FDS($E$7,"P_BETA_LOCIDX("&amp;$AG651&amp;","&amp;$AL651&amp;",,"""&amp;$E$9&amp;""")")</f>
        <v>2.0907263999999999</v>
      </c>
      <c r="G651" s="30">
        <f t="shared" ca="1" si="154"/>
        <v>2.10403713838253E-2</v>
      </c>
      <c r="H651" s="30">
        <f t="shared" ca="1" si="154"/>
        <v>5.3349606344182017E-2</v>
      </c>
      <c r="I651" s="30">
        <f t="shared" ca="1" si="154"/>
        <v>-5.1653572354034796E-2</v>
      </c>
      <c r="J651" s="30">
        <f t="shared" ca="1" si="154"/>
        <v>5.7904315448115251E-2</v>
      </c>
      <c r="K651" s="30">
        <f t="shared" ca="1" si="155"/>
        <v>-4.1886986199584635E-2</v>
      </c>
      <c r="L651" s="30">
        <f t="shared" ca="1" si="155"/>
        <v>-5.4909770161382827E-2</v>
      </c>
      <c r="M651" s="30">
        <f t="shared" ca="1" si="155"/>
        <v>-7.1090316154075781E-2</v>
      </c>
      <c r="N651" s="30">
        <f t="shared" ca="1" si="155"/>
        <v>0.14455399505059285</v>
      </c>
      <c r="O651" s="30">
        <f t="shared" ca="1" si="156"/>
        <v>-2.0846614815759335E-2</v>
      </c>
      <c r="P651" s="30">
        <f t="shared" ca="1" si="157"/>
        <v>-1.5601638172008103E-3</v>
      </c>
      <c r="Q651" s="30">
        <f t="shared" ca="1" si="158"/>
        <v>-0.12274388850811058</v>
      </c>
      <c r="R651" s="30">
        <f t="shared" ca="1" si="159"/>
        <v>0.20245831049870811</v>
      </c>
      <c r="S651" s="9" cm="1">
        <f t="array" aca="1" ref="S651" ca="1">_xll.BDH($E$6,"PX LAST",AG651)</f>
        <v>153.59</v>
      </c>
      <c r="T651" s="9" cm="1">
        <f t="array" aca="1" ref="T651" ca="1">_xll.BDH($E$6,"PX LAST",AH651)</f>
        <v>156.86000000000001</v>
      </c>
      <c r="U651" s="9" cm="1">
        <f t="array" aca="1" ref="U651" ca="1">_xll.BDH($E$6,"PX LAST",AI651)</f>
        <v>153.83000000000001</v>
      </c>
      <c r="V651" s="9" cm="1">
        <f t="array" aca="1" ref="V651" ca="1">_xll.BDH($E$6,"PX LAST",AJ651)</f>
        <v>175.08</v>
      </c>
      <c r="W651" s="9" cm="1">
        <f t="array" aca="1" ref="W651" ca="1">_xll.BDH($E$6,"PX LAST",AK651)</f>
        <v>127.73</v>
      </c>
      <c r="X651" s="24">
        <f t="shared" ca="1" si="160"/>
        <v>-2.0034656949653784E-2</v>
      </c>
      <c r="Y651" s="24">
        <f t="shared" ca="1" si="161"/>
        <v>-2.6263489168828036E-2</v>
      </c>
      <c r="Z651" s="24">
        <f t="shared" ca="1" si="162"/>
        <v>-3.400268736936396E-2</v>
      </c>
      <c r="AA651" s="24">
        <f t="shared" ca="1" si="163"/>
        <v>6.9140560453339495E-2</v>
      </c>
      <c r="AB651" s="9" cm="1">
        <f t="array" aca="1" ref="AB651" ca="1">_xll.BDH($E$8,"PX LAST",AG651)</f>
        <v>4399.7700000000004</v>
      </c>
      <c r="AC651" s="9" cm="1">
        <f t="array" aca="1" ref="AC651" ca="1">_xll.BDH($E$8,"PX LAST",AH651)</f>
        <v>4489.72</v>
      </c>
      <c r="AD651" s="9" cm="1">
        <f t="array" aca="1" ref="AD651" ca="1">_xll.BDH($E$8,"PX LAST",AI651)</f>
        <v>4518.4399999999996</v>
      </c>
      <c r="AE651" s="9" cm="1">
        <f t="array" aca="1" ref="AE651" ca="1">_xll.BDH($E$8,"PX LAST",AJ651)</f>
        <v>4554.6400000000003</v>
      </c>
      <c r="AF651" s="9" cm="1">
        <f t="array" aca="1" ref="AF651" ca="1">_xll.BDH($E$8,"PX LAST",AK651)</f>
        <v>4115.24</v>
      </c>
      <c r="AG651" s="20">
        <f t="shared" ca="1" si="169"/>
        <v>45159</v>
      </c>
      <c r="AH651" s="22">
        <f t="shared" ca="1" si="164"/>
        <v>45152</v>
      </c>
      <c r="AI651" s="22">
        <f t="shared" ca="1" si="165"/>
        <v>45145</v>
      </c>
      <c r="AJ651" s="22">
        <f t="shared" ca="1" si="166"/>
        <v>45131</v>
      </c>
      <c r="AK651" s="22">
        <f t="shared" ca="1" si="167"/>
        <v>45070</v>
      </c>
      <c r="AL651" s="22">
        <f t="shared" ca="1" si="168"/>
        <v>44985</v>
      </c>
    </row>
    <row r="652" spans="4:38" x14ac:dyDescent="0.25">
      <c r="D652" s="6">
        <f ca="1"/>
        <v>45156</v>
      </c>
      <c r="E652" s="28">
        <f ca="1"/>
        <v>152.61000000000001</v>
      </c>
      <c r="F652" s="29" cm="1">
        <f t="array" aca="1" ref="F652" ca="1">_xll.FDS($E$7,"P_BETA_LOCIDX("&amp;$AG652&amp;","&amp;$AL652&amp;",,"""&amp;$E$9&amp;""")")</f>
        <v>2.0984337000000002</v>
      </c>
      <c r="G652" s="30">
        <f t="shared" ca="1" si="154"/>
        <v>2.5446103183573474E-2</v>
      </c>
      <c r="H652" s="30">
        <f t="shared" ca="1" si="154"/>
        <v>4.7103381244434035E-2</v>
      </c>
      <c r="I652" s="30">
        <f t="shared" ca="1" si="154"/>
        <v>-4.9315126010690796E-2</v>
      </c>
      <c r="J652" s="30">
        <f t="shared" ca="1" si="154"/>
        <v>5.5615530859309537E-2</v>
      </c>
      <c r="K652" s="30">
        <f t="shared" ca="1" si="155"/>
        <v>-4.4346778207681445E-2</v>
      </c>
      <c r="L652" s="30">
        <f t="shared" ca="1" si="155"/>
        <v>-5.0759449665142904E-2</v>
      </c>
      <c r="M652" s="30">
        <f t="shared" ca="1" si="155"/>
        <v>-7.7080202857590069E-2</v>
      </c>
      <c r="N652" s="30">
        <f t="shared" ca="1" si="155"/>
        <v>0.11345142179887963</v>
      </c>
      <c r="O652" s="30">
        <f t="shared" ca="1" si="156"/>
        <v>-1.8900675024107971E-2</v>
      </c>
      <c r="P652" s="30">
        <f t="shared" ca="1" si="157"/>
        <v>-3.6560684207088689E-3</v>
      </c>
      <c r="Q652" s="30">
        <f t="shared" ca="1" si="158"/>
        <v>-0.12639532886828087</v>
      </c>
      <c r="R652" s="30">
        <f t="shared" ca="1" si="159"/>
        <v>0.16906695265818916</v>
      </c>
      <c r="S652" s="9" cm="1">
        <f t="array" aca="1" ref="S652" ca="1">_xll.BDH($E$6,"PX LAST",AG652)</f>
        <v>152.61000000000001</v>
      </c>
      <c r="T652" s="9" cm="1">
        <f t="array" aca="1" ref="T652" ca="1">_xll.BDH($E$6,"PX LAST",AH652)</f>
        <v>155.55000000000001</v>
      </c>
      <c r="U652" s="9" cm="1">
        <f t="array" aca="1" ref="U652" ca="1">_xll.BDH($E$6,"PX LAST",AI652)</f>
        <v>153.16999999999999</v>
      </c>
      <c r="V652" s="9" cm="1">
        <f t="array" aca="1" ref="V652" ca="1">_xll.BDH($E$6,"PX LAST",AJ652)</f>
        <v>174.69</v>
      </c>
      <c r="W652" s="9" cm="1">
        <f t="array" aca="1" ref="W652" ca="1">_xll.BDH($E$6,"PX LAST",AK652)</f>
        <v>130.54</v>
      </c>
      <c r="X652" s="24">
        <f t="shared" ca="1" si="160"/>
        <v>-2.1133275836964227E-2</v>
      </c>
      <c r="Y652" s="24">
        <f t="shared" ca="1" si="161"/>
        <v>-2.4189208200927625E-2</v>
      </c>
      <c r="Z652" s="24">
        <f t="shared" ca="1" si="162"/>
        <v>-3.6732255518766244E-2</v>
      </c>
      <c r="AA652" s="24">
        <f t="shared" ca="1" si="163"/>
        <v>5.4064811196503193E-2</v>
      </c>
      <c r="AB652" s="9" cm="1">
        <f t="array" aca="1" ref="AB652" ca="1">_xll.BDH($E$8,"PX LAST",AG652)</f>
        <v>4369.71</v>
      </c>
      <c r="AC652" s="9" cm="1">
        <f t="array" aca="1" ref="AC652" ca="1">_xll.BDH($E$8,"PX LAST",AH652)</f>
        <v>4464.05</v>
      </c>
      <c r="AD652" s="9" cm="1">
        <f t="array" aca="1" ref="AD652" ca="1">_xll.BDH($E$8,"PX LAST",AI652)</f>
        <v>4478.03</v>
      </c>
      <c r="AE652" s="9" cm="1">
        <f t="array" aca="1" ref="AE652" ca="1">_xll.BDH($E$8,"PX LAST",AJ652)</f>
        <v>4536.34</v>
      </c>
      <c r="AF652" s="9" cm="1">
        <f t="array" aca="1" ref="AF652" ca="1">_xll.BDH($E$8,"PX LAST",AK652)</f>
        <v>4145.58</v>
      </c>
      <c r="AG652" s="20">
        <f t="shared" ca="1" si="169"/>
        <v>45156</v>
      </c>
      <c r="AH652" s="22">
        <f t="shared" ca="1" si="164"/>
        <v>45149</v>
      </c>
      <c r="AI652" s="22">
        <f t="shared" ca="1" si="165"/>
        <v>45142</v>
      </c>
      <c r="AJ652" s="22">
        <f t="shared" ca="1" si="166"/>
        <v>45128</v>
      </c>
      <c r="AK652" s="22">
        <f t="shared" ca="1" si="167"/>
        <v>45069</v>
      </c>
      <c r="AL652" s="22">
        <f t="shared" ca="1" si="168"/>
        <v>44984</v>
      </c>
    </row>
    <row r="653" spans="4:38" x14ac:dyDescent="0.25">
      <c r="D653" s="6">
        <f ca="1"/>
        <v>45155</v>
      </c>
      <c r="E653" s="28">
        <f ca="1"/>
        <v>149.22</v>
      </c>
      <c r="F653" s="29" cm="1">
        <f t="array" aca="1" ref="F653" ca="1">_xll.FDS($E$7,"P_BETA_LOCIDX("&amp;$AG653&amp;","&amp;$AL653&amp;",,"""&amp;$E$9&amp;""")")</f>
        <v>2.0556611999999999</v>
      </c>
      <c r="G653" s="30">
        <f t="shared" ca="1" si="154"/>
        <v>1.8935753528404785E-2</v>
      </c>
      <c r="H653" s="30">
        <f t="shared" ca="1" si="154"/>
        <v>3.3508486032307015E-2</v>
      </c>
      <c r="I653" s="30">
        <f t="shared" ca="1" si="154"/>
        <v>-7.8452764094007366E-2</v>
      </c>
      <c r="J653" s="30">
        <f t="shared" ca="1" si="154"/>
        <v>2.4698011658375166E-2</v>
      </c>
      <c r="K653" s="30">
        <f t="shared" ca="1" si="155"/>
        <v>-4.529618677908983E-2</v>
      </c>
      <c r="L653" s="30">
        <f t="shared" ca="1" si="155"/>
        <v>-6.0059467831511136E-2</v>
      </c>
      <c r="M653" s="30">
        <f t="shared" ca="1" si="155"/>
        <v>-7.457255092472348E-2</v>
      </c>
      <c r="N653" s="30">
        <f t="shared" ca="1" si="155"/>
        <v>8.7141642614778733E-2</v>
      </c>
      <c r="O653" s="30">
        <f t="shared" ca="1" si="156"/>
        <v>-2.6360433250685045E-2</v>
      </c>
      <c r="P653" s="30">
        <f t="shared" ca="1" si="157"/>
        <v>-2.6550981799204121E-2</v>
      </c>
      <c r="Q653" s="30">
        <f t="shared" ca="1" si="158"/>
        <v>-0.15302531501873085</v>
      </c>
      <c r="R653" s="30">
        <f t="shared" ca="1" si="159"/>
        <v>0.1118396542731539</v>
      </c>
      <c r="S653" s="9" cm="1">
        <f t="array" aca="1" ref="S653" ca="1">_xll.BDH($E$6,"PX LAST",AG653)</f>
        <v>149.22</v>
      </c>
      <c r="T653" s="9" cm="1">
        <f t="array" aca="1" ref="T653" ca="1">_xll.BDH($E$6,"PX LAST",AH653)</f>
        <v>153.26</v>
      </c>
      <c r="U653" s="9" cm="1">
        <f t="array" aca="1" ref="U653" ca="1">_xll.BDH($E$6,"PX LAST",AI653)</f>
        <v>153.29</v>
      </c>
      <c r="V653" s="9" cm="1">
        <f t="array" aca="1" ref="V653" ca="1">_xll.BDH($E$6,"PX LAST",AJ653)</f>
        <v>176.18</v>
      </c>
      <c r="W653" s="9" cm="1">
        <f t="array" aca="1" ref="W653" ca="1">_xll.BDH($E$6,"PX LAST",AK653)</f>
        <v>134.21</v>
      </c>
      <c r="X653" s="24">
        <f t="shared" ca="1" si="160"/>
        <v>-2.2034850285197694E-2</v>
      </c>
      <c r="Y653" s="24">
        <f t="shared" ca="1" si="161"/>
        <v>-2.9216617909367137E-2</v>
      </c>
      <c r="Z653" s="24">
        <f t="shared" ca="1" si="162"/>
        <v>-3.6276673862756903E-2</v>
      </c>
      <c r="AA653" s="24">
        <f t="shared" ca="1" si="163"/>
        <v>4.2391052871348034E-2</v>
      </c>
      <c r="AB653" s="9" cm="1">
        <f t="array" aca="1" ref="AB653" ca="1">_xll.BDH($E$8,"PX LAST",AG653)</f>
        <v>4370.3599999999997</v>
      </c>
      <c r="AC653" s="9" cm="1">
        <f t="array" aca="1" ref="AC653" ca="1">_xll.BDH($E$8,"PX LAST",AH653)</f>
        <v>4468.83</v>
      </c>
      <c r="AD653" s="9" cm="1">
        <f t="array" aca="1" ref="AD653" ca="1">_xll.BDH($E$8,"PX LAST",AI653)</f>
        <v>4501.8900000000003</v>
      </c>
      <c r="AE653" s="9" cm="1">
        <f t="array" aca="1" ref="AE653" ca="1">_xll.BDH($E$8,"PX LAST",AJ653)</f>
        <v>4534.87</v>
      </c>
      <c r="AF653" s="9" cm="1">
        <f t="array" aca="1" ref="AF653" ca="1">_xll.BDH($E$8,"PX LAST",AK653)</f>
        <v>4192.63</v>
      </c>
      <c r="AG653" s="20">
        <f t="shared" ca="1" si="169"/>
        <v>45155</v>
      </c>
      <c r="AH653" s="22">
        <f t="shared" ca="1" si="164"/>
        <v>45148</v>
      </c>
      <c r="AI653" s="22">
        <f t="shared" ca="1" si="165"/>
        <v>45141</v>
      </c>
      <c r="AJ653" s="22">
        <f t="shared" ca="1" si="166"/>
        <v>45127</v>
      </c>
      <c r="AK653" s="22">
        <f t="shared" ca="1" si="167"/>
        <v>45068</v>
      </c>
      <c r="AL653" s="22">
        <f t="shared" ca="1" si="168"/>
        <v>44981</v>
      </c>
    </row>
    <row r="654" spans="4:38" x14ac:dyDescent="0.25">
      <c r="D654" s="6">
        <f ca="1"/>
        <v>45154</v>
      </c>
      <c r="E654" s="28">
        <f ca="1"/>
        <v>151.65</v>
      </c>
      <c r="F654" s="29" cm="1">
        <f t="array" aca="1" ref="F654" ca="1">_xll.FDS($E$7,"P_BETA_LOCIDX("&amp;$AG654&amp;","&amp;$AL654&amp;",,"""&amp;$E$9&amp;""")")</f>
        <v>2.0552779999999999</v>
      </c>
      <c r="G654" s="30">
        <f t="shared" ca="1" si="154"/>
        <v>3.127124809342504E-2</v>
      </c>
      <c r="H654" s="30">
        <f t="shared" ca="1" si="154"/>
        <v>-0.10530186563493363</v>
      </c>
      <c r="I654" s="30">
        <f t="shared" ca="1" si="154"/>
        <v>-6.0530523695781643E-2</v>
      </c>
      <c r="J654" s="30">
        <f t="shared" ca="1" si="154"/>
        <v>2.5832925007301749E-2</v>
      </c>
      <c r="K654" s="30">
        <f t="shared" ca="1" si="155"/>
        <v>-2.9156664071750514E-2</v>
      </c>
      <c r="L654" s="30">
        <f t="shared" ca="1" si="155"/>
        <v>-4.966302904911854E-2</v>
      </c>
      <c r="M654" s="30">
        <f t="shared" ca="1" si="155"/>
        <v>-7.2650385135312814E-2</v>
      </c>
      <c r="N654" s="30">
        <f t="shared" ca="1" si="155"/>
        <v>0.10411268262253201</v>
      </c>
      <c r="O654" s="30">
        <f t="shared" ca="1" si="156"/>
        <v>2.114584021674526E-3</v>
      </c>
      <c r="P654" s="30">
        <f t="shared" ca="1" si="157"/>
        <v>-0.15496489468405217</v>
      </c>
      <c r="Q654" s="30">
        <f t="shared" ca="1" si="158"/>
        <v>-0.13318090883109446</v>
      </c>
      <c r="R654" s="30">
        <f t="shared" ca="1" si="159"/>
        <v>0.12994560762983376</v>
      </c>
      <c r="S654" s="9" cm="1">
        <f t="array" aca="1" ref="S654" ca="1">_xll.BDH($E$6,"PX LAST",AG654)</f>
        <v>151.65</v>
      </c>
      <c r="T654" s="9" cm="1">
        <f t="array" aca="1" ref="T654" ca="1">_xll.BDH($E$6,"PX LAST",AH654)</f>
        <v>151.33000000000001</v>
      </c>
      <c r="U654" s="9" cm="1">
        <f t="array" aca="1" ref="U654" ca="1">_xll.BDH($E$6,"PX LAST",AI654)</f>
        <v>179.46</v>
      </c>
      <c r="V654" s="9" cm="1">
        <f t="array" aca="1" ref="V654" ca="1">_xll.BDH($E$6,"PX LAST",AJ654)</f>
        <v>174.95</v>
      </c>
      <c r="W654" s="9" cm="1">
        <f t="array" aca="1" ref="W654" ca="1">_xll.BDH($E$6,"PX LAST",AK654)</f>
        <v>134.21</v>
      </c>
      <c r="X654" s="24">
        <f t="shared" ca="1" si="160"/>
        <v>-1.4186238587553857E-2</v>
      </c>
      <c r="Y654" s="24">
        <f t="shared" ca="1" si="161"/>
        <v>-2.4163655256913441E-2</v>
      </c>
      <c r="Z654" s="24">
        <f t="shared" ca="1" si="162"/>
        <v>-3.5348203569207093E-2</v>
      </c>
      <c r="AA654" s="24">
        <f t="shared" ca="1" si="163"/>
        <v>5.0656253130978879E-2</v>
      </c>
      <c r="AB654" s="9" cm="1">
        <f t="array" aca="1" ref="AB654" ca="1">_xll.BDH($E$8,"PX LAST",AG654)</f>
        <v>4404.33</v>
      </c>
      <c r="AC654" s="9" cm="1">
        <f t="array" aca="1" ref="AC654" ca="1">_xll.BDH($E$8,"PX LAST",AH654)</f>
        <v>4467.71</v>
      </c>
      <c r="AD654" s="9" cm="1">
        <f t="array" aca="1" ref="AD654" ca="1">_xll.BDH($E$8,"PX LAST",AI654)</f>
        <v>4513.3900000000003</v>
      </c>
      <c r="AE654" s="9" cm="1">
        <f t="array" aca="1" ref="AE654" ca="1">_xll.BDH($E$8,"PX LAST",AJ654)</f>
        <v>4565.72</v>
      </c>
      <c r="AF654" s="9" cm="1">
        <f t="array" aca="1" ref="AF654" ca="1">_xll.BDH($E$8,"PX LAST",AK654)</f>
        <v>4191.9799999999996</v>
      </c>
      <c r="AG654" s="20">
        <f t="shared" ca="1" si="169"/>
        <v>45154</v>
      </c>
      <c r="AH654" s="22">
        <f t="shared" ca="1" si="164"/>
        <v>45147</v>
      </c>
      <c r="AI654" s="22">
        <f t="shared" ca="1" si="165"/>
        <v>45140</v>
      </c>
      <c r="AJ654" s="22">
        <f t="shared" ca="1" si="166"/>
        <v>45126</v>
      </c>
      <c r="AK654" s="22">
        <f t="shared" ca="1" si="167"/>
        <v>45065</v>
      </c>
      <c r="AL654" s="22">
        <f t="shared" ca="1" si="168"/>
        <v>44980</v>
      </c>
    </row>
    <row r="655" spans="4:38" x14ac:dyDescent="0.25">
      <c r="D655" s="6">
        <f ca="1"/>
        <v>45153</v>
      </c>
      <c r="E655" s="28">
        <f ca="1"/>
        <v>154.41999999999999</v>
      </c>
      <c r="F655" s="29" cm="1">
        <f t="array" aca="1" ref="F655" ca="1">_xll.FDS($E$7,"P_BETA_LOCIDX("&amp;$AG655&amp;","&amp;$AL655&amp;",,"""&amp;$E$9&amp;""")")</f>
        <v>2.0540476000000001</v>
      </c>
      <c r="G655" s="30">
        <f t="shared" ca="1" si="154"/>
        <v>4.2004877397771638E-2</v>
      </c>
      <c r="H655" s="30">
        <f t="shared" ca="1" si="154"/>
        <v>-8.1260851144502586E-2</v>
      </c>
      <c r="I655" s="30">
        <f t="shared" ca="1" si="154"/>
        <v>-6.9898594505840878E-2</v>
      </c>
      <c r="J655" s="30">
        <f t="shared" ca="1" si="154"/>
        <v>1.5938917384161963E-2</v>
      </c>
      <c r="K655" s="30">
        <f t="shared" ca="1" si="155"/>
        <v>-2.8084982453582645E-2</v>
      </c>
      <c r="L655" s="30">
        <f t="shared" ca="1" si="155"/>
        <v>-6.2325195109171741E-2</v>
      </c>
      <c r="M655" s="30">
        <f t="shared" ca="1" si="155"/>
        <v>-5.2814733525064855E-2</v>
      </c>
      <c r="N655" s="30">
        <f t="shared" ca="1" si="155"/>
        <v>0.11733570466192635</v>
      </c>
      <c r="O655" s="30">
        <f t="shared" ca="1" si="156"/>
        <v>1.3919894944188993E-2</v>
      </c>
      <c r="P655" s="30">
        <f t="shared" ca="1" si="157"/>
        <v>-0.14358604625367433</v>
      </c>
      <c r="Q655" s="30">
        <f t="shared" ca="1" si="158"/>
        <v>-0.12271332803090573</v>
      </c>
      <c r="R655" s="30">
        <f t="shared" ca="1" si="159"/>
        <v>0.13327462204608831</v>
      </c>
      <c r="S655" s="9" cm="1">
        <f t="array" aca="1" ref="S655" ca="1">_xll.BDH($E$6,"PX LAST",AG655)</f>
        <v>154.41999999999999</v>
      </c>
      <c r="T655" s="9" cm="1">
        <f t="array" aca="1" ref="T655" ca="1">_xll.BDH($E$6,"PX LAST",AH655)</f>
        <v>152.30000000000001</v>
      </c>
      <c r="U655" s="9" cm="1">
        <f t="array" aca="1" ref="U655" ca="1">_xll.BDH($E$6,"PX LAST",AI655)</f>
        <v>180.31</v>
      </c>
      <c r="V655" s="9" cm="1">
        <f t="array" aca="1" ref="V655" ca="1">_xll.BDH($E$6,"PX LAST",AJ655)</f>
        <v>176.02</v>
      </c>
      <c r="W655" s="9" cm="1">
        <f t="array" aca="1" ref="W655" ca="1">_xll.BDH($E$6,"PX LAST",AK655)</f>
        <v>136.26</v>
      </c>
      <c r="X655" s="24">
        <f t="shared" ca="1" si="160"/>
        <v>-1.3672994945970407E-2</v>
      </c>
      <c r="Y655" s="24">
        <f t="shared" ca="1" si="161"/>
        <v>-3.03426245376065E-2</v>
      </c>
      <c r="Z655" s="24">
        <f t="shared" ca="1" si="162"/>
        <v>-2.5712516849689782E-2</v>
      </c>
      <c r="AA655" s="24">
        <f t="shared" ca="1" si="163"/>
        <v>5.7124140970212345E-2</v>
      </c>
      <c r="AB655" s="9" cm="1">
        <f t="array" aca="1" ref="AB655" ca="1">_xll.BDH($E$8,"PX LAST",AG655)</f>
        <v>4437.8599999999997</v>
      </c>
      <c r="AC655" s="9" cm="1">
        <f t="array" aca="1" ref="AC655" ca="1">_xll.BDH($E$8,"PX LAST",AH655)</f>
        <v>4499.38</v>
      </c>
      <c r="AD655" s="9" cm="1">
        <f t="array" aca="1" ref="AD655" ca="1">_xll.BDH($E$8,"PX LAST",AI655)</f>
        <v>4576.7299999999996</v>
      </c>
      <c r="AE655" s="9" cm="1">
        <f t="array" aca="1" ref="AE655" ca="1">_xll.BDH($E$8,"PX LAST",AJ655)</f>
        <v>4554.9799999999996</v>
      </c>
      <c r="AF655" s="9" cm="1">
        <f t="array" aca="1" ref="AF655" ca="1">_xll.BDH($E$8,"PX LAST",AK655)</f>
        <v>4198.05</v>
      </c>
      <c r="AG655" s="20">
        <f t="shared" ca="1" si="169"/>
        <v>45153</v>
      </c>
      <c r="AH655" s="22">
        <f t="shared" ca="1" si="164"/>
        <v>45146</v>
      </c>
      <c r="AI655" s="22">
        <f t="shared" ca="1" si="165"/>
        <v>45139</v>
      </c>
      <c r="AJ655" s="22">
        <f t="shared" ca="1" si="166"/>
        <v>45125</v>
      </c>
      <c r="AK655" s="22">
        <f t="shared" ca="1" si="167"/>
        <v>45064</v>
      </c>
      <c r="AL655" s="22">
        <f t="shared" ca="1" si="168"/>
        <v>44979</v>
      </c>
    </row>
    <row r="656" spans="4:38" x14ac:dyDescent="0.25">
      <c r="D656" s="6">
        <f ca="1"/>
        <v>45152</v>
      </c>
      <c r="E656" s="28">
        <f ca="1"/>
        <v>156.86000000000001</v>
      </c>
      <c r="F656" s="29" cm="1">
        <f t="array" aca="1" ref="F656" ca="1">_xll.FDS($E$7,"P_BETA_LOCIDX("&amp;$AG656&amp;","&amp;$AL656&amp;",,"""&amp;$E$9&amp;""")")</f>
        <v>2.0555143</v>
      </c>
      <c r="G656" s="30">
        <f t="shared" ca="1" si="154"/>
        <v>3.2762278905592045E-2</v>
      </c>
      <c r="H656" s="30">
        <f t="shared" ca="1" si="154"/>
        <v>-6.2115009200715762E-2</v>
      </c>
      <c r="I656" s="30">
        <f t="shared" ca="1" si="154"/>
        <v>-7.4264378883710735E-2</v>
      </c>
      <c r="J656" s="30">
        <f t="shared" ca="1" si="154"/>
        <v>2.0988867302207281E-2</v>
      </c>
      <c r="K656" s="30">
        <f t="shared" ca="1" si="155"/>
        <v>-1.3065210713431828E-2</v>
      </c>
      <c r="L656" s="30">
        <f t="shared" ca="1" si="155"/>
        <v>-4.4452171980579283E-2</v>
      </c>
      <c r="M656" s="30">
        <f t="shared" ca="1" si="155"/>
        <v>-1.5029629476716605E-2</v>
      </c>
      <c r="N656" s="30">
        <f t="shared" ca="1" si="155"/>
        <v>0.16357539791452747</v>
      </c>
      <c r="O656" s="30">
        <f t="shared" ca="1" si="156"/>
        <v>1.9697068192160216E-2</v>
      </c>
      <c r="P656" s="30">
        <f t="shared" ca="1" si="157"/>
        <v>-0.10656718118129505</v>
      </c>
      <c r="Q656" s="30">
        <f t="shared" ca="1" si="158"/>
        <v>-8.9294008360427335E-2</v>
      </c>
      <c r="R656" s="30">
        <f t="shared" ca="1" si="159"/>
        <v>0.18456426521673475</v>
      </c>
      <c r="S656" s="9" cm="1">
        <f t="array" aca="1" ref="S656" ca="1">_xll.BDH($E$6,"PX LAST",AG656)</f>
        <v>156.86000000000001</v>
      </c>
      <c r="T656" s="9" cm="1">
        <f t="array" aca="1" ref="T656" ca="1">_xll.BDH($E$6,"PX LAST",AH656)</f>
        <v>153.83000000000001</v>
      </c>
      <c r="U656" s="9" cm="1">
        <f t="array" aca="1" ref="U656" ca="1">_xll.BDH($E$6,"PX LAST",AI656)</f>
        <v>175.57</v>
      </c>
      <c r="V656" s="9" cm="1">
        <f t="array" aca="1" ref="V656" ca="1">_xll.BDH($E$6,"PX LAST",AJ656)</f>
        <v>172.24</v>
      </c>
      <c r="W656" s="9" cm="1">
        <f t="array" aca="1" ref="W656" ca="1">_xll.BDH($E$6,"PX LAST",AK656)</f>
        <v>132.41999999999999</v>
      </c>
      <c r="X656" s="24">
        <f t="shared" ca="1" si="160"/>
        <v>-6.3561760253537658E-3</v>
      </c>
      <c r="Y656" s="24">
        <f t="shared" ca="1" si="161"/>
        <v>-2.1625814999476911E-2</v>
      </c>
      <c r="Z656" s="24">
        <f t="shared" ca="1" si="162"/>
        <v>-7.3118583882956223E-3</v>
      </c>
      <c r="AA656" s="24">
        <f t="shared" ca="1" si="163"/>
        <v>7.9578817775447952E-2</v>
      </c>
      <c r="AB656" s="9" cm="1">
        <f t="array" aca="1" ref="AB656" ca="1">_xll.BDH($E$8,"PX LAST",AG656)</f>
        <v>4489.72</v>
      </c>
      <c r="AC656" s="9" cm="1">
        <f t="array" aca="1" ref="AC656" ca="1">_xll.BDH($E$8,"PX LAST",AH656)</f>
        <v>4518.4399999999996</v>
      </c>
      <c r="AD656" s="9" cm="1">
        <f t="array" aca="1" ref="AD656" ca="1">_xll.BDH($E$8,"PX LAST",AI656)</f>
        <v>4588.96</v>
      </c>
      <c r="AE656" s="9" cm="1">
        <f t="array" aca="1" ref="AE656" ca="1">_xll.BDH($E$8,"PX LAST",AJ656)</f>
        <v>4522.79</v>
      </c>
      <c r="AF656" s="9" cm="1">
        <f t="array" aca="1" ref="AF656" ca="1">_xll.BDH($E$8,"PX LAST",AK656)</f>
        <v>4158.7700000000004</v>
      </c>
      <c r="AG656" s="20">
        <f t="shared" ca="1" si="169"/>
        <v>45152</v>
      </c>
      <c r="AH656" s="22">
        <f t="shared" ca="1" si="164"/>
        <v>45145</v>
      </c>
      <c r="AI656" s="22">
        <f t="shared" ca="1" si="165"/>
        <v>45138</v>
      </c>
      <c r="AJ656" s="22">
        <f t="shared" ca="1" si="166"/>
        <v>45124</v>
      </c>
      <c r="AK656" s="22">
        <f t="shared" ca="1" si="167"/>
        <v>45063</v>
      </c>
      <c r="AL656" s="22">
        <f t="shared" ca="1" si="168"/>
        <v>44978</v>
      </c>
    </row>
    <row r="657" spans="4:38" x14ac:dyDescent="0.25">
      <c r="D657" s="6">
        <f ca="1"/>
        <v>45149</v>
      </c>
      <c r="E657" s="28">
        <f ca="1"/>
        <v>155.55000000000001</v>
      </c>
      <c r="F657" s="29" cm="1">
        <f t="array" aca="1" ref="F657" ca="1">_xll.FDS($E$7,"P_BETA_LOCIDX("&amp;$AG657&amp;","&amp;$AL657&amp;",,"""&amp;$E$9&amp;""")")</f>
        <v>2.0616927</v>
      </c>
      <c r="G657" s="30">
        <f t="shared" ca="1" si="154"/>
        <v>2.1974706789245894E-2</v>
      </c>
      <c r="H657" s="30">
        <f t="shared" ca="1" si="154"/>
        <v>-3.9777042063460992E-2</v>
      </c>
      <c r="I657" s="30">
        <f t="shared" ca="1" si="154"/>
        <v>-7.833552761390776E-2</v>
      </c>
      <c r="J657" s="30">
        <f t="shared" ca="1" si="154"/>
        <v>3.700898245805348E-2</v>
      </c>
      <c r="K657" s="30">
        <f t="shared" ca="1" si="155"/>
        <v>-6.4364160012323965E-3</v>
      </c>
      <c r="L657" s="30">
        <f t="shared" ca="1" si="155"/>
        <v>-5.3172984177136125E-2</v>
      </c>
      <c r="M657" s="30">
        <f t="shared" ca="1" si="155"/>
        <v>-1.8931026851880594E-2</v>
      </c>
      <c r="N657" s="30">
        <f t="shared" ca="1" si="155"/>
        <v>0.17765601832283065</v>
      </c>
      <c r="O657" s="30">
        <f t="shared" ca="1" si="156"/>
        <v>1.5538290788013498E-2</v>
      </c>
      <c r="P657" s="30">
        <f t="shared" ca="1" si="157"/>
        <v>-9.2950026240597117E-2</v>
      </c>
      <c r="Q657" s="30">
        <f t="shared" ca="1" si="158"/>
        <v>-9.7266554465788357E-2</v>
      </c>
      <c r="R657" s="30">
        <f t="shared" ca="1" si="159"/>
        <v>0.21466500078088413</v>
      </c>
      <c r="S657" s="9" cm="1">
        <f t="array" aca="1" ref="S657" ca="1">_xll.BDH($E$6,"PX LAST",AG657)</f>
        <v>155.55000000000001</v>
      </c>
      <c r="T657" s="9" cm="1">
        <f t="array" aca="1" ref="T657" ca="1">_xll.BDH($E$6,"PX LAST",AH657)</f>
        <v>153.16999999999999</v>
      </c>
      <c r="U657" s="9" cm="1">
        <f t="array" aca="1" ref="U657" ca="1">_xll.BDH($E$6,"PX LAST",AI657)</f>
        <v>171.49</v>
      </c>
      <c r="V657" s="9" cm="1">
        <f t="array" aca="1" ref="V657" ca="1">_xll.BDH($E$6,"PX LAST",AJ657)</f>
        <v>172.31</v>
      </c>
      <c r="W657" s="9" cm="1">
        <f t="array" aca="1" ref="W657" ca="1">_xll.BDH($E$6,"PX LAST",AK657)</f>
        <v>128.06</v>
      </c>
      <c r="X657" s="24">
        <f t="shared" ca="1" si="160"/>
        <v>-3.1219085178079142E-3</v>
      </c>
      <c r="Y657" s="24">
        <f t="shared" ca="1" si="161"/>
        <v>-2.5790935854376418E-2</v>
      </c>
      <c r="Z657" s="24">
        <f t="shared" ca="1" si="162"/>
        <v>-9.1822737946739563E-3</v>
      </c>
      <c r="AA657" s="24">
        <f t="shared" ca="1" si="163"/>
        <v>8.6169979804861629E-2</v>
      </c>
      <c r="AB657" s="9" cm="1">
        <f t="array" aca="1" ref="AB657" ca="1">_xll.BDH($E$8,"PX LAST",AG657)</f>
        <v>4464.05</v>
      </c>
      <c r="AC657" s="9" cm="1">
        <f t="array" aca="1" ref="AC657" ca="1">_xll.BDH($E$8,"PX LAST",AH657)</f>
        <v>4478.03</v>
      </c>
      <c r="AD657" s="9" cm="1">
        <f t="array" aca="1" ref="AD657" ca="1">_xll.BDH($E$8,"PX LAST",AI657)</f>
        <v>4582.2299999999996</v>
      </c>
      <c r="AE657" s="9" cm="1">
        <f t="array" aca="1" ref="AE657" ca="1">_xll.BDH($E$8,"PX LAST",AJ657)</f>
        <v>4505.42</v>
      </c>
      <c r="AF657" s="9" cm="1">
        <f t="array" aca="1" ref="AF657" ca="1">_xll.BDH($E$8,"PX LAST",AK657)</f>
        <v>4109.8999999999996</v>
      </c>
      <c r="AG657" s="20">
        <f t="shared" ca="1" si="169"/>
        <v>45149</v>
      </c>
      <c r="AH657" s="22">
        <f t="shared" ca="1" si="164"/>
        <v>45142</v>
      </c>
      <c r="AI657" s="22">
        <f t="shared" ca="1" si="165"/>
        <v>45135</v>
      </c>
      <c r="AJ657" s="22">
        <f t="shared" ca="1" si="166"/>
        <v>45121</v>
      </c>
      <c r="AK657" s="22">
        <f t="shared" ca="1" si="167"/>
        <v>45062</v>
      </c>
      <c r="AL657" s="22">
        <f t="shared" ca="1" si="168"/>
        <v>44974</v>
      </c>
    </row>
    <row r="658" spans="4:38" x14ac:dyDescent="0.25">
      <c r="D658" s="6">
        <f ca="1"/>
        <v>45148</v>
      </c>
      <c r="E658" s="28">
        <f ca="1"/>
        <v>153.26</v>
      </c>
      <c r="F658" s="29" cm="1">
        <f t="array" aca="1" ref="F658" ca="1">_xll.FDS($E$7,"P_BETA_LOCIDX("&amp;$AG658&amp;","&amp;$AL658&amp;",,"""&amp;$E$9&amp;""")")</f>
        <v>2.0137955999999999</v>
      </c>
      <c r="G658" s="30">
        <f t="shared" ca="1" si="154"/>
        <v>1.4592766366434183E-2</v>
      </c>
      <c r="H658" s="30">
        <f t="shared" ca="1" si="154"/>
        <v>-6.3395935831338041E-2</v>
      </c>
      <c r="I658" s="30">
        <f t="shared" ca="1" si="154"/>
        <v>-0.12121629527421918</v>
      </c>
      <c r="J658" s="30">
        <f t="shared" ca="1" si="154"/>
        <v>-2.9523830252922156E-3</v>
      </c>
      <c r="K658" s="30">
        <f t="shared" ca="1" si="155"/>
        <v>-1.4788473848983562E-2</v>
      </c>
      <c r="L658" s="30">
        <f t="shared" ca="1" si="155"/>
        <v>-3.04372102692946E-2</v>
      </c>
      <c r="M658" s="30">
        <f t="shared" ca="1" si="155"/>
        <v>-1.8400838279926668E-2</v>
      </c>
      <c r="N658" s="30">
        <f t="shared" ca="1" si="155"/>
        <v>0.16190580105312025</v>
      </c>
      <c r="O658" s="30">
        <f t="shared" ca="1" si="156"/>
        <v>-1.9570748254937875E-4</v>
      </c>
      <c r="P658" s="30">
        <f t="shared" ca="1" si="157"/>
        <v>-9.3833146100632647E-2</v>
      </c>
      <c r="Q658" s="30">
        <f t="shared" ca="1" si="158"/>
        <v>-0.13961713355414584</v>
      </c>
      <c r="R658" s="30">
        <f t="shared" ca="1" si="159"/>
        <v>0.15895341802782803</v>
      </c>
      <c r="S658" s="9" cm="1">
        <f t="array" aca="1" ref="S658" ca="1">_xll.BDH($E$6,"PX LAST",AG658)</f>
        <v>153.26</v>
      </c>
      <c r="T658" s="9" cm="1">
        <f t="array" aca="1" ref="T658" ca="1">_xll.BDH($E$6,"PX LAST",AH658)</f>
        <v>153.29</v>
      </c>
      <c r="U658" s="9" cm="1">
        <f t="array" aca="1" ref="U658" ca="1">_xll.BDH($E$6,"PX LAST",AI658)</f>
        <v>169.13</v>
      </c>
      <c r="V658" s="9" cm="1">
        <f t="array" aca="1" ref="V658" ca="1">_xll.BDH($E$6,"PX LAST",AJ658)</f>
        <v>178.13</v>
      </c>
      <c r="W658" s="9" cm="1">
        <f t="array" aca="1" ref="W658" ca="1">_xll.BDH($E$6,"PX LAST",AK658)</f>
        <v>132.24</v>
      </c>
      <c r="X658" s="24">
        <f t="shared" ca="1" si="160"/>
        <v>-7.3435823620746632E-3</v>
      </c>
      <c r="Y658" s="24">
        <f t="shared" ca="1" si="161"/>
        <v>-1.5114349375524805E-2</v>
      </c>
      <c r="Z658" s="24">
        <f t="shared" ca="1" si="162"/>
        <v>-9.1373912426497839E-3</v>
      </c>
      <c r="AA658" s="24">
        <f t="shared" ca="1" si="163"/>
        <v>8.039832893324439E-2</v>
      </c>
      <c r="AB658" s="9" cm="1">
        <f t="array" aca="1" ref="AB658" ca="1">_xll.BDH($E$8,"PX LAST",AG658)</f>
        <v>4468.83</v>
      </c>
      <c r="AC658" s="9" cm="1">
        <f t="array" aca="1" ref="AC658" ca="1">_xll.BDH($E$8,"PX LAST",AH658)</f>
        <v>4501.8900000000003</v>
      </c>
      <c r="AD658" s="9" cm="1">
        <f t="array" aca="1" ref="AD658" ca="1">_xll.BDH($E$8,"PX LAST",AI658)</f>
        <v>4537.41</v>
      </c>
      <c r="AE658" s="9" cm="1">
        <f t="array" aca="1" ref="AE658" ca="1">_xll.BDH($E$8,"PX LAST",AJ658)</f>
        <v>4510.04</v>
      </c>
      <c r="AF658" s="9" cm="1">
        <f t="array" aca="1" ref="AF658" ca="1">_xll.BDH($E$8,"PX LAST",AK658)</f>
        <v>4136.28</v>
      </c>
      <c r="AG658" s="20">
        <f t="shared" ca="1" si="169"/>
        <v>45148</v>
      </c>
      <c r="AH658" s="22">
        <f t="shared" ca="1" si="164"/>
        <v>45141</v>
      </c>
      <c r="AI658" s="22">
        <f t="shared" ca="1" si="165"/>
        <v>45134</v>
      </c>
      <c r="AJ658" s="22">
        <f t="shared" ca="1" si="166"/>
        <v>45120</v>
      </c>
      <c r="AK658" s="22">
        <f t="shared" ca="1" si="167"/>
        <v>45061</v>
      </c>
      <c r="AL658" s="22">
        <f t="shared" ca="1" si="168"/>
        <v>44973</v>
      </c>
    </row>
    <row r="659" spans="4:38" x14ac:dyDescent="0.25">
      <c r="D659" s="6">
        <f ca="1"/>
        <v>45147</v>
      </c>
      <c r="E659" s="28">
        <f ca="1"/>
        <v>151.33000000000001</v>
      </c>
      <c r="F659" s="29" cm="1">
        <f t="array" aca="1" ref="F659" ca="1">_xll.FDS($E$7,"P_BETA_LOCIDX("&amp;$AG659&amp;","&amp;$AL659&amp;",,"""&amp;$E$9&amp;""")")</f>
        <v>2.0237250000000002</v>
      </c>
      <c r="G659" s="30">
        <f t="shared" ca="1" si="154"/>
        <v>-0.13626591017114981</v>
      </c>
      <c r="H659" s="30">
        <f t="shared" ca="1" si="154"/>
        <v>-6.3572006289290106E-2</v>
      </c>
      <c r="I659" s="30">
        <f t="shared" ca="1" si="154"/>
        <v>-0.14834282401065263</v>
      </c>
      <c r="J659" s="30">
        <f t="shared" ca="1" si="154"/>
        <v>1.1890814645333841E-2</v>
      </c>
      <c r="K659" s="30">
        <f t="shared" ca="1" si="155"/>
        <v>-2.0482111672157913E-2</v>
      </c>
      <c r="L659" s="30">
        <f t="shared" ca="1" si="155"/>
        <v>-4.3888919691246593E-2</v>
      </c>
      <c r="M659" s="30">
        <f t="shared" ca="1" si="155"/>
        <v>-2.0136972402597293E-3</v>
      </c>
      <c r="N659" s="30">
        <f t="shared" ca="1" si="155"/>
        <v>0.1686224859241334</v>
      </c>
      <c r="O659" s="30">
        <f t="shared" ca="1" si="156"/>
        <v>-0.15674802184330772</v>
      </c>
      <c r="P659" s="30">
        <f t="shared" ca="1" si="157"/>
        <v>-0.10746092598053669</v>
      </c>
      <c r="Q659" s="30">
        <f t="shared" ca="1" si="158"/>
        <v>-0.15035652125091237</v>
      </c>
      <c r="R659" s="30">
        <f t="shared" ca="1" si="159"/>
        <v>0.18051330056946724</v>
      </c>
      <c r="S659" s="9" cm="1">
        <f t="array" aca="1" ref="S659" ca="1">_xll.BDH($E$6,"PX LAST",AG659)</f>
        <v>151.33000000000001</v>
      </c>
      <c r="T659" s="9" cm="1">
        <f t="array" aca="1" ref="T659" ca="1">_xll.BDH($E$6,"PX LAST",AH659)</f>
        <v>179.46</v>
      </c>
      <c r="U659" s="9" cm="1">
        <f t="array" aca="1" ref="U659" ca="1">_xll.BDH($E$6,"PX LAST",AI659)</f>
        <v>169.55</v>
      </c>
      <c r="V659" s="9" cm="1">
        <f t="array" aca="1" ref="V659" ca="1">_xll.BDH($E$6,"PX LAST",AJ659)</f>
        <v>178.11</v>
      </c>
      <c r="W659" s="9" cm="1">
        <f t="array" aca="1" ref="W659" ca="1">_xll.BDH($E$6,"PX LAST",AK659)</f>
        <v>128.19</v>
      </c>
      <c r="X659" s="24">
        <f t="shared" ca="1" si="160"/>
        <v>-1.0120995526644139E-2</v>
      </c>
      <c r="Y659" s="24">
        <f t="shared" ca="1" si="161"/>
        <v>-2.1687195489133448E-2</v>
      </c>
      <c r="Z659" s="24">
        <f t="shared" ca="1" si="162"/>
        <v>-9.9504490000357215E-4</v>
      </c>
      <c r="AA659" s="24">
        <f t="shared" ca="1" si="163"/>
        <v>8.3322825939361023E-2</v>
      </c>
      <c r="AB659" s="9" cm="1">
        <f t="array" aca="1" ref="AB659" ca="1">_xll.BDH($E$8,"PX LAST",AG659)</f>
        <v>4467.71</v>
      </c>
      <c r="AC659" s="9" cm="1">
        <f t="array" aca="1" ref="AC659" ca="1">_xll.BDH($E$8,"PX LAST",AH659)</f>
        <v>4513.3900000000003</v>
      </c>
      <c r="AD659" s="9" cm="1">
        <f t="array" aca="1" ref="AD659" ca="1">_xll.BDH($E$8,"PX LAST",AI659)</f>
        <v>4566.75</v>
      </c>
      <c r="AE659" s="9" cm="1">
        <f t="array" aca="1" ref="AE659" ca="1">_xll.BDH($E$8,"PX LAST",AJ659)</f>
        <v>4472.16</v>
      </c>
      <c r="AF659" s="9" cm="1">
        <f t="array" aca="1" ref="AF659" ca="1">_xll.BDH($E$8,"PX LAST",AK659)</f>
        <v>4124.08</v>
      </c>
      <c r="AG659" s="20">
        <f t="shared" ca="1" si="169"/>
        <v>45147</v>
      </c>
      <c r="AH659" s="22">
        <f t="shared" ca="1" si="164"/>
        <v>45140</v>
      </c>
      <c r="AI659" s="22">
        <f t="shared" ca="1" si="165"/>
        <v>45133</v>
      </c>
      <c r="AJ659" s="22">
        <f t="shared" ca="1" si="166"/>
        <v>45119</v>
      </c>
      <c r="AK659" s="22">
        <f t="shared" ca="1" si="167"/>
        <v>45058</v>
      </c>
      <c r="AL659" s="22">
        <f t="shared" ca="1" si="168"/>
        <v>44972</v>
      </c>
    </row>
    <row r="660" spans="4:38" x14ac:dyDescent="0.25">
      <c r="D660" s="6">
        <f ca="1"/>
        <v>45146</v>
      </c>
      <c r="E660" s="28">
        <f ca="1"/>
        <v>152.30000000000001</v>
      </c>
      <c r="F660" s="29" cm="1">
        <f t="array" aca="1" ref="F660" ca="1">_xll.FDS($E$7,"P_BETA_LOCIDX("&amp;$AG660&amp;","&amp;$AL660&amp;",,"""&amp;$E$9&amp;""")")</f>
        <v>2.0223135999999999</v>
      </c>
      <c r="G660" s="30">
        <f t="shared" ca="1" si="154"/>
        <v>-0.12116503329677411</v>
      </c>
      <c r="H660" s="30">
        <f t="shared" ca="1" si="154"/>
        <v>-0.10140696262955111</v>
      </c>
      <c r="I660" s="30">
        <f t="shared" ca="1" si="154"/>
        <v>-0.17654979509032356</v>
      </c>
      <c r="J660" s="30">
        <f t="shared" ca="1" si="154"/>
        <v>1.0139439695928731E-2</v>
      </c>
      <c r="K660" s="30">
        <f t="shared" ca="1" si="155"/>
        <v>-3.4178541657471327E-2</v>
      </c>
      <c r="L660" s="30">
        <f t="shared" ca="1" si="155"/>
        <v>-3.014347359101106E-2</v>
      </c>
      <c r="M660" s="30">
        <f t="shared" ca="1" si="155"/>
        <v>2.738778391713929E-2</v>
      </c>
      <c r="N660" s="30">
        <f t="shared" ca="1" si="155"/>
        <v>0.18054150784531137</v>
      </c>
      <c r="O660" s="30">
        <f t="shared" ca="1" si="156"/>
        <v>-0.15534357495424544</v>
      </c>
      <c r="P660" s="30">
        <f t="shared" ca="1" si="157"/>
        <v>-0.13155043622056217</v>
      </c>
      <c r="Q660" s="30">
        <f t="shared" ca="1" si="158"/>
        <v>-0.14916201117318428</v>
      </c>
      <c r="R660" s="30">
        <f t="shared" ca="1" si="159"/>
        <v>0.1906809475412401</v>
      </c>
      <c r="S660" s="9" cm="1">
        <f t="array" aca="1" ref="S660" ca="1">_xll.BDH($E$6,"PX LAST",AG660)</f>
        <v>152.30000000000001</v>
      </c>
      <c r="T660" s="9" cm="1">
        <f t="array" aca="1" ref="T660" ca="1">_xll.BDH($E$6,"PX LAST",AH660)</f>
        <v>180.31</v>
      </c>
      <c r="U660" s="9" cm="1">
        <f t="array" aca="1" ref="U660" ca="1">_xll.BDH($E$6,"PX LAST",AI660)</f>
        <v>175.37</v>
      </c>
      <c r="V660" s="9" cm="1">
        <f t="array" aca="1" ref="V660" ca="1">_xll.BDH($E$6,"PX LAST",AJ660)</f>
        <v>179</v>
      </c>
      <c r="W660" s="9" cm="1">
        <f t="array" aca="1" ref="W660" ca="1">_xll.BDH($E$6,"PX LAST",AK660)</f>
        <v>127.91</v>
      </c>
      <c r="X660" s="24">
        <f t="shared" ca="1" si="160"/>
        <v>-1.6900712954445507E-2</v>
      </c>
      <c r="Y660" s="24">
        <f t="shared" ca="1" si="161"/>
        <v>-1.490543978491321E-2</v>
      </c>
      <c r="Z660" s="24">
        <f t="shared" ca="1" si="162"/>
        <v>1.3542797673486096E-2</v>
      </c>
      <c r="AA660" s="24">
        <f t="shared" ca="1" si="163"/>
        <v>8.9274733575104959E-2</v>
      </c>
      <c r="AB660" s="9" cm="1">
        <f t="array" aca="1" ref="AB660" ca="1">_xll.BDH($E$8,"PX LAST",AG660)</f>
        <v>4499.38</v>
      </c>
      <c r="AC660" s="9" cm="1">
        <f t="array" aca="1" ref="AC660" ca="1">_xll.BDH($E$8,"PX LAST",AH660)</f>
        <v>4576.7299999999996</v>
      </c>
      <c r="AD660" s="9" cm="1">
        <f t="array" aca="1" ref="AD660" ca="1">_xll.BDH($E$8,"PX LAST",AI660)</f>
        <v>4567.46</v>
      </c>
      <c r="AE660" s="9" cm="1">
        <f t="array" aca="1" ref="AE660" ca="1">_xll.BDH($E$8,"PX LAST",AJ660)</f>
        <v>4439.26</v>
      </c>
      <c r="AF660" s="9" cm="1">
        <f t="array" aca="1" ref="AF660" ca="1">_xll.BDH($E$8,"PX LAST",AK660)</f>
        <v>4130.62</v>
      </c>
      <c r="AG660" s="20">
        <f t="shared" ca="1" si="169"/>
        <v>45146</v>
      </c>
      <c r="AH660" s="22">
        <f t="shared" ca="1" si="164"/>
        <v>45139</v>
      </c>
      <c r="AI660" s="22">
        <f t="shared" ca="1" si="165"/>
        <v>45132</v>
      </c>
      <c r="AJ660" s="22">
        <f t="shared" ca="1" si="166"/>
        <v>45118</v>
      </c>
      <c r="AK660" s="22">
        <f t="shared" ca="1" si="167"/>
        <v>45057</v>
      </c>
      <c r="AL660" s="22">
        <f t="shared" ca="1" si="168"/>
        <v>44971</v>
      </c>
    </row>
    <row r="661" spans="4:38" x14ac:dyDescent="0.25">
      <c r="D661" s="6">
        <f ca="1"/>
        <v>45145</v>
      </c>
      <c r="E661" s="28">
        <f ca="1"/>
        <v>153.83000000000001</v>
      </c>
      <c r="F661" s="29" cm="1">
        <f t="array" aca="1" ref="F661" ca="1">_xll.FDS($E$7,"P_BETA_LOCIDX("&amp;$AG661&amp;","&amp;$AL661&amp;",,"""&amp;$E$9&amp;""")")</f>
        <v>2.0317395</v>
      </c>
      <c r="G661" s="30">
        <f t="shared" ca="1" si="154"/>
        <v>-9.2602871263401804E-2</v>
      </c>
      <c r="H661" s="30">
        <f t="shared" ca="1" si="154"/>
        <v>-0.1052249453747534</v>
      </c>
      <c r="I661" s="30">
        <f t="shared" ca="1" si="154"/>
        <v>-0.21003948277968981</v>
      </c>
      <c r="J661" s="30">
        <f t="shared" ref="J661:J724" ca="1" si="170">+R661-N661</f>
        <v>5.9556359985587781E-3</v>
      </c>
      <c r="K661" s="30">
        <f t="shared" ca="1" si="155"/>
        <v>-3.1222383620689881E-2</v>
      </c>
      <c r="L661" s="30">
        <f t="shared" ca="1" si="155"/>
        <v>-1.6148141214234538E-2</v>
      </c>
      <c r="M661" s="30">
        <f t="shared" ca="1" si="155"/>
        <v>5.0181481687390624E-2</v>
      </c>
      <c r="N661" s="30">
        <f t="shared" ref="N661:N724" ca="1" si="171">+AA661*$F661</f>
        <v>0.18698736516468303</v>
      </c>
      <c r="O661" s="30">
        <f t="shared" ca="1" si="156"/>
        <v>-0.12382525488409168</v>
      </c>
      <c r="P661" s="30">
        <f t="shared" ca="1" si="157"/>
        <v>-0.12137308658898793</v>
      </c>
      <c r="Q661" s="30">
        <f t="shared" ca="1" si="158"/>
        <v>-0.1598580010922992</v>
      </c>
      <c r="R661" s="30">
        <f t="shared" ca="1" si="159"/>
        <v>0.19294300116324181</v>
      </c>
      <c r="S661" s="9" cm="1">
        <f t="array" aca="1" ref="S661" ca="1">_xll.BDH($E$6,"PX LAST",AG661)</f>
        <v>153.83000000000001</v>
      </c>
      <c r="T661" s="9" cm="1">
        <f t="array" aca="1" ref="T661" ca="1">_xll.BDH($E$6,"PX LAST",AH661)</f>
        <v>175.57</v>
      </c>
      <c r="U661" s="9" cm="1">
        <f t="array" aca="1" ref="U661" ca="1">_xll.BDH($E$6,"PX LAST",AI661)</f>
        <v>175.08</v>
      </c>
      <c r="V661" s="9" cm="1">
        <f t="array" aca="1" ref="V661" ca="1">_xll.BDH($E$6,"PX LAST",AJ661)</f>
        <v>183.1</v>
      </c>
      <c r="W661" s="9" cm="1">
        <f t="array" aca="1" ref="W661" ca="1">_xll.BDH($E$6,"PX LAST",AK661)</f>
        <v>128.94999999999999</v>
      </c>
      <c r="X661" s="24">
        <f t="shared" ca="1" si="160"/>
        <v>-1.5367316341829196E-2</v>
      </c>
      <c r="Y661" s="24">
        <f t="shared" ca="1" si="161"/>
        <v>-7.9479388052624556E-3</v>
      </c>
      <c r="Z661" s="24">
        <f t="shared" ca="1" si="162"/>
        <v>2.4698777420722795E-2</v>
      </c>
      <c r="AA661" s="24">
        <f t="shared" ca="1" si="163"/>
        <v>9.2033139664156272E-2</v>
      </c>
      <c r="AB661" s="9" cm="1">
        <f t="array" aca="1" ref="AB661" ca="1">_xll.BDH($E$8,"PX LAST",AG661)</f>
        <v>4518.4399999999996</v>
      </c>
      <c r="AC661" s="9" cm="1">
        <f t="array" aca="1" ref="AC661" ca="1">_xll.BDH($E$8,"PX LAST",AH661)</f>
        <v>4588.96</v>
      </c>
      <c r="AD661" s="9" cm="1">
        <f t="array" aca="1" ref="AD661" ca="1">_xll.BDH($E$8,"PX LAST",AI661)</f>
        <v>4554.6400000000003</v>
      </c>
      <c r="AE661" s="9" cm="1">
        <f t="array" aca="1" ref="AE661" ca="1">_xll.BDH($E$8,"PX LAST",AJ661)</f>
        <v>4409.53</v>
      </c>
      <c r="AF661" s="9" cm="1">
        <f t="array" aca="1" ref="AF661" ca="1">_xll.BDH($E$8,"PX LAST",AK661)</f>
        <v>4137.6400000000003</v>
      </c>
      <c r="AG661" s="20">
        <f t="shared" ca="1" si="169"/>
        <v>45145</v>
      </c>
      <c r="AH661" s="22">
        <f t="shared" ca="1" si="164"/>
        <v>45138</v>
      </c>
      <c r="AI661" s="22">
        <f t="shared" ca="1" si="165"/>
        <v>45131</v>
      </c>
      <c r="AJ661" s="22">
        <f t="shared" ca="1" si="166"/>
        <v>45117</v>
      </c>
      <c r="AK661" s="22">
        <f t="shared" ca="1" si="167"/>
        <v>45056</v>
      </c>
      <c r="AL661" s="22">
        <f t="shared" ca="1" si="168"/>
        <v>44970</v>
      </c>
    </row>
    <row r="662" spans="4:38" x14ac:dyDescent="0.25">
      <c r="D662" s="6">
        <f ca="1"/>
        <v>45142</v>
      </c>
      <c r="E662" s="28">
        <f ca="1"/>
        <v>153.16999999999999</v>
      </c>
      <c r="F662" s="29" cm="1">
        <f t="array" aca="1" ref="F662" ca="1">_xll.FDS($E$7,"P_BETA_LOCIDX("&amp;$AG662&amp;","&amp;$AL662&amp;",,"""&amp;$E$9&amp;""")")</f>
        <v>2.0445107999999999</v>
      </c>
      <c r="G662" s="30">
        <f t="shared" ref="G662:J725" ca="1" si="172">+O662-K662</f>
        <v>-6.0336170835651813E-2</v>
      </c>
      <c r="H662" s="30">
        <f t="shared" ca="1" si="172"/>
        <v>-9.6909559955970906E-2</v>
      </c>
      <c r="I662" s="30">
        <f t="shared" ca="1" si="172"/>
        <v>-0.17822609649368351</v>
      </c>
      <c r="J662" s="30">
        <f t="shared" ca="1" si="170"/>
        <v>-6.465247897233406E-3</v>
      </c>
      <c r="K662" s="30">
        <f t="shared" ref="K662:N725" ca="1" si="173">+X662*$F662</f>
        <v>-4.6492215659187687E-2</v>
      </c>
      <c r="L662" s="30">
        <f t="shared" ca="1" si="173"/>
        <v>-2.6280090281592883E-2</v>
      </c>
      <c r="M662" s="30">
        <f t="shared" ca="1" si="173"/>
        <v>3.6754205904590921E-2</v>
      </c>
      <c r="N662" s="30">
        <f t="shared" ca="1" si="171"/>
        <v>0.17811674334586797</v>
      </c>
      <c r="O662" s="30">
        <f t="shared" ref="O662:O725" ca="1" si="174">+S662/T662-1</f>
        <v>-0.1068283864948395</v>
      </c>
      <c r="P662" s="30">
        <f t="shared" ref="P662:P725" ca="1" si="175">+S662/U662-1</f>
        <v>-0.12318965023756379</v>
      </c>
      <c r="Q662" s="30">
        <f t="shared" ref="Q662:Q725" ca="1" si="176">+S662/V662-1</f>
        <v>-0.1414718905890926</v>
      </c>
      <c r="R662" s="30">
        <f t="shared" ref="R662:R725" ca="1" si="177">+S662/W662-1</f>
        <v>0.17165149544863456</v>
      </c>
      <c r="S662" s="9" cm="1">
        <f t="array" aca="1" ref="S662" ca="1">_xll.BDH($E$6,"PX LAST",AG662)</f>
        <v>153.16999999999999</v>
      </c>
      <c r="T662" s="9" cm="1">
        <f t="array" aca="1" ref="T662" ca="1">_xll.BDH($E$6,"PX LAST",AH662)</f>
        <v>171.49</v>
      </c>
      <c r="U662" s="9" cm="1">
        <f t="array" aca="1" ref="U662" ca="1">_xll.BDH($E$6,"PX LAST",AI662)</f>
        <v>174.69</v>
      </c>
      <c r="V662" s="9" cm="1">
        <f t="array" aca="1" ref="V662" ca="1">_xll.BDH($E$6,"PX LAST",AJ662)</f>
        <v>178.41</v>
      </c>
      <c r="W662" s="9" cm="1">
        <f t="array" aca="1" ref="W662" ca="1">_xll.BDH($E$6,"PX LAST",AK662)</f>
        <v>130.72999999999999</v>
      </c>
      <c r="X662" s="24">
        <f t="shared" ref="X662:X725" ca="1" si="178">+AB662/AC662-1</f>
        <v>-2.2740019597444872E-2</v>
      </c>
      <c r="Y662" s="24">
        <f t="shared" ref="Y662:Y725" ca="1" si="179">+AB662/AD662-1</f>
        <v>-1.2853974790249523E-2</v>
      </c>
      <c r="Z662" s="24">
        <f t="shared" ref="Z662:Z725" ca="1" si="180">+AB662/AE662-1</f>
        <v>1.7977017242751137E-2</v>
      </c>
      <c r="AA662" s="24">
        <f t="shared" ref="AA662:AA725" ca="1" si="181">+AB662/AF662-1</f>
        <v>8.7119492519123876E-2</v>
      </c>
      <c r="AB662" s="9" cm="1">
        <f t="array" aca="1" ref="AB662" ca="1">_xll.BDH($E$8,"PX LAST",AG662)</f>
        <v>4478.03</v>
      </c>
      <c r="AC662" s="9" cm="1">
        <f t="array" aca="1" ref="AC662" ca="1">_xll.BDH($E$8,"PX LAST",AH662)</f>
        <v>4582.2299999999996</v>
      </c>
      <c r="AD662" s="9" cm="1">
        <f t="array" aca="1" ref="AD662" ca="1">_xll.BDH($E$8,"PX LAST",AI662)</f>
        <v>4536.34</v>
      </c>
      <c r="AE662" s="9" cm="1">
        <f t="array" aca="1" ref="AE662" ca="1">_xll.BDH($E$8,"PX LAST",AJ662)</f>
        <v>4398.95</v>
      </c>
      <c r="AF662" s="9" cm="1">
        <f t="array" aca="1" ref="AF662" ca="1">_xll.BDH($E$8,"PX LAST",AK662)</f>
        <v>4119.17</v>
      </c>
      <c r="AG662" s="20">
        <f t="shared" ca="1" si="169"/>
        <v>45142</v>
      </c>
      <c r="AH662" s="22">
        <f t="shared" ref="AH662:AH725" ca="1" si="182">+WORKDAY($AG662, -5, $AN$2:$AN$100)</f>
        <v>45135</v>
      </c>
      <c r="AI662" s="22">
        <f t="shared" ref="AI662:AI725" ca="1" si="183">+WORKDAY($AG662, -10, $AN$2:$AN$100)</f>
        <v>45128</v>
      </c>
      <c r="AJ662" s="22">
        <f t="shared" ref="AJ662:AJ725" ca="1" si="184">+WORKDAY($AG662, -20, $AN$2:$AN$100)</f>
        <v>45114</v>
      </c>
      <c r="AK662" s="22">
        <f t="shared" ref="AK662:AK725" ca="1" si="185">+WORKDAY($AG662, -60, $AN$2:$AN$100)</f>
        <v>45055</v>
      </c>
      <c r="AL662" s="22">
        <f t="shared" ref="AL662:AL725" ca="1" si="186">+WORKDAY($AG662, -120, $AN$2:$AN$100)</f>
        <v>44967</v>
      </c>
    </row>
    <row r="663" spans="4:38" x14ac:dyDescent="0.25">
      <c r="D663" s="6">
        <f ca="1"/>
        <v>45141</v>
      </c>
      <c r="E663" s="28">
        <f ca="1"/>
        <v>153.29</v>
      </c>
      <c r="F663" s="29" cm="1">
        <f t="array" aca="1" ref="F663" ca="1">_xll.FDS($E$7,"P_BETA_LOCIDX("&amp;$AG663&amp;","&amp;$AL663&amp;",,"""&amp;$E$9&amp;""")")</f>
        <v>2.0522822999999999</v>
      </c>
      <c r="G663" s="30">
        <f t="shared" ca="1" si="172"/>
        <v>-7.7589979715829066E-2</v>
      </c>
      <c r="H663" s="30">
        <f t="shared" ca="1" si="172"/>
        <v>-0.11499864692689946</v>
      </c>
      <c r="I663" s="30">
        <f t="shared" ca="1" si="172"/>
        <v>-0.16706485524996484</v>
      </c>
      <c r="J663" s="30">
        <f t="shared" ca="1" si="170"/>
        <v>-1.668200608551107E-4</v>
      </c>
      <c r="K663" s="30">
        <f t="shared" ca="1" si="173"/>
        <v>-1.6065788036787244E-2</v>
      </c>
      <c r="L663" s="30">
        <f t="shared" ca="1" si="173"/>
        <v>-1.4925294496644682E-2</v>
      </c>
      <c r="M663" s="30">
        <f t="shared" ca="1" si="173"/>
        <v>4.2007777624394123E-2</v>
      </c>
      <c r="N663" s="30">
        <f t="shared" ca="1" si="171"/>
        <v>0.1804101215699403</v>
      </c>
      <c r="O663" s="30">
        <f t="shared" ca="1" si="174"/>
        <v>-9.3655767752616303E-2</v>
      </c>
      <c r="P663" s="30">
        <f t="shared" ca="1" si="175"/>
        <v>-0.12992394142354413</v>
      </c>
      <c r="Q663" s="30">
        <f t="shared" ca="1" si="176"/>
        <v>-0.12505707762557072</v>
      </c>
      <c r="R663" s="30">
        <f t="shared" ca="1" si="177"/>
        <v>0.18024330150908519</v>
      </c>
      <c r="S663" s="9" cm="1">
        <f t="array" aca="1" ref="S663" ca="1">_xll.BDH($E$6,"PX LAST",AG663)</f>
        <v>153.29</v>
      </c>
      <c r="T663" s="9" cm="1">
        <f t="array" aca="1" ref="T663" ca="1">_xll.BDH($E$6,"PX LAST",AH663)</f>
        <v>169.13</v>
      </c>
      <c r="U663" s="9" cm="1">
        <f t="array" aca="1" ref="U663" ca="1">_xll.BDH($E$6,"PX LAST",AI663)</f>
        <v>176.18</v>
      </c>
      <c r="V663" s="9" cm="1">
        <f t="array" aca="1" ref="V663" ca="1">_xll.BDH($E$6,"PX LAST",AJ663)</f>
        <v>175.2</v>
      </c>
      <c r="W663" s="9" cm="1">
        <f t="array" aca="1" ref="W663" ca="1">_xll.BDH($E$6,"PX LAST",AK663)</f>
        <v>129.88</v>
      </c>
      <c r="X663" s="24">
        <f t="shared" ca="1" si="178"/>
        <v>-7.8282544447161317E-3</v>
      </c>
      <c r="Y663" s="24">
        <f t="shared" ca="1" si="179"/>
        <v>-7.272534824592447E-3</v>
      </c>
      <c r="Z663" s="24">
        <f t="shared" ca="1" si="180"/>
        <v>2.0468810564898465E-2</v>
      </c>
      <c r="AA663" s="24">
        <f t="shared" ca="1" si="181"/>
        <v>8.7907068910519914E-2</v>
      </c>
      <c r="AB663" s="9" cm="1">
        <f t="array" aca="1" ref="AB663" ca="1">_xll.BDH($E$8,"PX LAST",AG663)</f>
        <v>4501.8900000000003</v>
      </c>
      <c r="AC663" s="9" cm="1">
        <f t="array" aca="1" ref="AC663" ca="1">_xll.BDH($E$8,"PX LAST",AH663)</f>
        <v>4537.41</v>
      </c>
      <c r="AD663" s="9" cm="1">
        <f t="array" aca="1" ref="AD663" ca="1">_xll.BDH($E$8,"PX LAST",AI663)</f>
        <v>4534.87</v>
      </c>
      <c r="AE663" s="9" cm="1">
        <f t="array" aca="1" ref="AE663" ca="1">_xll.BDH($E$8,"PX LAST",AJ663)</f>
        <v>4411.59</v>
      </c>
      <c r="AF663" s="9" cm="1">
        <f t="array" aca="1" ref="AF663" ca="1">_xll.BDH($E$8,"PX LAST",AK663)</f>
        <v>4138.12</v>
      </c>
      <c r="AG663" s="20">
        <f t="shared" ref="AG663:AG726" ca="1" si="187">+WORKDAY(D663, 0, $AN$2:$AN$59)</f>
        <v>45141</v>
      </c>
      <c r="AH663" s="22">
        <f t="shared" ca="1" si="182"/>
        <v>45134</v>
      </c>
      <c r="AI663" s="22">
        <f t="shared" ca="1" si="183"/>
        <v>45127</v>
      </c>
      <c r="AJ663" s="22">
        <f t="shared" ca="1" si="184"/>
        <v>45113</v>
      </c>
      <c r="AK663" s="22">
        <f t="shared" ca="1" si="185"/>
        <v>45054</v>
      </c>
      <c r="AL663" s="22">
        <f t="shared" ca="1" si="186"/>
        <v>44966</v>
      </c>
    </row>
    <row r="664" spans="4:38" x14ac:dyDescent="0.25">
      <c r="D664" s="6">
        <f ca="1"/>
        <v>45140</v>
      </c>
      <c r="E664" s="28">
        <f ca="1"/>
        <v>179.46</v>
      </c>
      <c r="F664" s="29" cm="1">
        <f t="array" aca="1" ref="F664" ca="1">_xll.FDS($E$7,"P_BETA_LOCIDX("&amp;$AG664&amp;","&amp;$AL664&amp;",,"""&amp;$E$9&amp;""")")</f>
        <v>1.9862854000000001</v>
      </c>
      <c r="G664" s="30">
        <f t="shared" ca="1" si="172"/>
        <v>8.1657504105504625E-2</v>
      </c>
      <c r="H664" s="30">
        <f t="shared" ca="1" si="172"/>
        <v>4.8544604148935688E-2</v>
      </c>
      <c r="I664" s="30">
        <f t="shared" ca="1" si="172"/>
        <v>-1.4230432553693054E-2</v>
      </c>
      <c r="J664" s="30">
        <f t="shared" ca="1" si="170"/>
        <v>0.19967224997059027</v>
      </c>
      <c r="K664" s="30">
        <f t="shared" ca="1" si="173"/>
        <v>-2.3208668953632019E-2</v>
      </c>
      <c r="L664" s="30">
        <f t="shared" ca="1" si="173"/>
        <v>-2.2765810207809434E-2</v>
      </c>
      <c r="M664" s="30">
        <f t="shared" ca="1" si="173"/>
        <v>2.9735185835721104E-2</v>
      </c>
      <c r="N664" s="30">
        <f t="shared" ca="1" si="171"/>
        <v>0.18110793007095796</v>
      </c>
      <c r="O664" s="30">
        <f t="shared" ca="1" si="174"/>
        <v>5.8448835151872602E-2</v>
      </c>
      <c r="P664" s="30">
        <f t="shared" ca="1" si="175"/>
        <v>2.5778793941126255E-2</v>
      </c>
      <c r="Q664" s="30">
        <f t="shared" ca="1" si="176"/>
        <v>1.550475328202805E-2</v>
      </c>
      <c r="R664" s="30">
        <f t="shared" ca="1" si="177"/>
        <v>0.38078018004154823</v>
      </c>
      <c r="S664" s="9" cm="1">
        <f t="array" aca="1" ref="S664" ca="1">_xll.BDH($E$6,"PX LAST",AG664)</f>
        <v>179.46</v>
      </c>
      <c r="T664" s="9" cm="1">
        <f t="array" aca="1" ref="T664" ca="1">_xll.BDH($E$6,"PX LAST",AH664)</f>
        <v>169.55</v>
      </c>
      <c r="U664" s="9" cm="1">
        <f t="array" aca="1" ref="U664" ca="1">_xll.BDH($E$6,"PX LAST",AI664)</f>
        <v>174.95</v>
      </c>
      <c r="V664" s="9" cm="1">
        <f t="array" aca="1" ref="V664" ca="1">_xll.BDH($E$6,"PX LAST",AJ664)</f>
        <v>176.72</v>
      </c>
      <c r="W664" s="9" cm="1">
        <f t="array" aca="1" ref="W664" ca="1">_xll.BDH($E$6,"PX LAST",AK664)</f>
        <v>129.97</v>
      </c>
      <c r="X664" s="24">
        <f t="shared" ca="1" si="178"/>
        <v>-1.1684458312804402E-2</v>
      </c>
      <c r="Y664" s="24">
        <f t="shared" ca="1" si="179"/>
        <v>-1.1461500048185136E-2</v>
      </c>
      <c r="Z664" s="24">
        <f t="shared" ca="1" si="180"/>
        <v>1.4970248402229158E-2</v>
      </c>
      <c r="AA664" s="24">
        <f t="shared" ca="1" si="181"/>
        <v>9.1179208220006025E-2</v>
      </c>
      <c r="AB664" s="9" cm="1">
        <f t="array" aca="1" ref="AB664" ca="1">_xll.BDH($E$8,"PX LAST",AG664)</f>
        <v>4513.3900000000003</v>
      </c>
      <c r="AC664" s="9" cm="1">
        <f t="array" aca="1" ref="AC664" ca="1">_xll.BDH($E$8,"PX LAST",AH664)</f>
        <v>4566.75</v>
      </c>
      <c r="AD664" s="9" cm="1">
        <f t="array" aca="1" ref="AD664" ca="1">_xll.BDH($E$8,"PX LAST",AI664)</f>
        <v>4565.72</v>
      </c>
      <c r="AE664" s="9" cm="1">
        <f t="array" aca="1" ref="AE664" ca="1">_xll.BDH($E$8,"PX LAST",AJ664)</f>
        <v>4446.82</v>
      </c>
      <c r="AF664" s="9" cm="1">
        <f t="array" aca="1" ref="AF664" ca="1">_xll.BDH($E$8,"PX LAST",AK664)</f>
        <v>4136.25</v>
      </c>
      <c r="AG664" s="20">
        <f t="shared" ca="1" si="187"/>
        <v>45140</v>
      </c>
      <c r="AH664" s="22">
        <f t="shared" ca="1" si="182"/>
        <v>45133</v>
      </c>
      <c r="AI664" s="22">
        <f t="shared" ca="1" si="183"/>
        <v>45126</v>
      </c>
      <c r="AJ664" s="22">
        <f t="shared" ca="1" si="184"/>
        <v>45112</v>
      </c>
      <c r="AK664" s="22">
        <f t="shared" ca="1" si="185"/>
        <v>45051</v>
      </c>
      <c r="AL664" s="22">
        <f t="shared" ca="1" si="186"/>
        <v>44965</v>
      </c>
    </row>
    <row r="665" spans="4:38" x14ac:dyDescent="0.25">
      <c r="D665" s="6">
        <f ca="1"/>
        <v>45139</v>
      </c>
      <c r="E665" s="28">
        <f ca="1"/>
        <v>180.31</v>
      </c>
      <c r="F665" s="29" cm="1">
        <f t="array" aca="1" ref="F665" ca="1">_xll.FDS($E$7,"P_BETA_LOCIDX("&amp;$AG665&amp;","&amp;$AL665&amp;",,"""&amp;$E$9&amp;""")")</f>
        <v>2.0032747</v>
      </c>
      <c r="G665" s="30">
        <f t="shared" ca="1" si="172"/>
        <v>2.4103218988545609E-2</v>
      </c>
      <c r="H665" s="30">
        <f t="shared" ca="1" si="172"/>
        <v>1.4806606709924985E-2</v>
      </c>
      <c r="I665" s="30">
        <f t="shared" ca="1" si="172"/>
        <v>-4.1032666978042497E-2</v>
      </c>
      <c r="J665" s="30">
        <f t="shared" ca="1" si="170"/>
        <v>0.21320076061075793</v>
      </c>
      <c r="K665" s="30">
        <f t="shared" ca="1" si="173"/>
        <v>4.0657950959613973E-3</v>
      </c>
      <c r="L665" s="30">
        <f t="shared" ca="1" si="173"/>
        <v>9.5656237184354679E-3</v>
      </c>
      <c r="M665" s="30">
        <f t="shared" ca="1" si="173"/>
        <v>5.4465670575164903E-2</v>
      </c>
      <c r="N665" s="30">
        <f t="shared" ca="1" si="171"/>
        <v>0.2542852001607892</v>
      </c>
      <c r="O665" s="30">
        <f t="shared" ca="1" si="174"/>
        <v>2.8169014084507005E-2</v>
      </c>
      <c r="P665" s="30">
        <f t="shared" ca="1" si="175"/>
        <v>2.4372230428360453E-2</v>
      </c>
      <c r="Q665" s="30">
        <f t="shared" ca="1" si="176"/>
        <v>1.3433003597122406E-2</v>
      </c>
      <c r="R665" s="30">
        <f t="shared" ca="1" si="177"/>
        <v>0.46748596077154714</v>
      </c>
      <c r="S665" s="9" cm="1">
        <f t="array" aca="1" ref="S665" ca="1">_xll.BDH($E$6,"PX LAST",AG665)</f>
        <v>180.31</v>
      </c>
      <c r="T665" s="9" cm="1">
        <f t="array" aca="1" ref="T665" ca="1">_xll.BDH($E$6,"PX LAST",AH665)</f>
        <v>175.37</v>
      </c>
      <c r="U665" s="9" cm="1">
        <f t="array" aca="1" ref="U665" ca="1">_xll.BDH($E$6,"PX LAST",AI665)</f>
        <v>176.02</v>
      </c>
      <c r="V665" s="9" cm="1">
        <f t="array" aca="1" ref="V665" ca="1">_xll.BDH($E$6,"PX LAST",AJ665)</f>
        <v>177.92</v>
      </c>
      <c r="W665" s="9" cm="1">
        <f t="array" aca="1" ref="W665" ca="1">_xll.BDH($E$6,"PX LAST",AK665)</f>
        <v>122.87</v>
      </c>
      <c r="X665" s="24">
        <f t="shared" ca="1" si="178"/>
        <v>2.0295744242970759E-3</v>
      </c>
      <c r="Y665" s="24">
        <f t="shared" ca="1" si="179"/>
        <v>4.7749935235719132E-3</v>
      </c>
      <c r="Z665" s="24">
        <f t="shared" ca="1" si="180"/>
        <v>2.7188318494295816E-2</v>
      </c>
      <c r="AA665" s="24">
        <f t="shared" ca="1" si="181"/>
        <v>0.12693476344546717</v>
      </c>
      <c r="AB665" s="9" cm="1">
        <f t="array" aca="1" ref="AB665" ca="1">_xll.BDH($E$8,"PX LAST",AG665)</f>
        <v>4576.7299999999996</v>
      </c>
      <c r="AC665" s="9" cm="1">
        <f t="array" aca="1" ref="AC665" ca="1">_xll.BDH($E$8,"PX LAST",AH665)</f>
        <v>4567.46</v>
      </c>
      <c r="AD665" s="9" cm="1">
        <f t="array" aca="1" ref="AD665" ca="1">_xll.BDH($E$8,"PX LAST",AI665)</f>
        <v>4554.9799999999996</v>
      </c>
      <c r="AE665" s="9" cm="1">
        <f t="array" aca="1" ref="AE665" ca="1">_xll.BDH($E$8,"PX LAST",AJ665)</f>
        <v>4455.59</v>
      </c>
      <c r="AF665" s="9" cm="1">
        <f t="array" aca="1" ref="AF665" ca="1">_xll.BDH($E$8,"PX LAST",AK665)</f>
        <v>4061.22</v>
      </c>
      <c r="AG665" s="20">
        <f t="shared" ca="1" si="187"/>
        <v>45139</v>
      </c>
      <c r="AH665" s="22">
        <f t="shared" ca="1" si="182"/>
        <v>45132</v>
      </c>
      <c r="AI665" s="22">
        <f t="shared" ca="1" si="183"/>
        <v>45125</v>
      </c>
      <c r="AJ665" s="22">
        <f t="shared" ca="1" si="184"/>
        <v>45110</v>
      </c>
      <c r="AK665" s="22">
        <f t="shared" ca="1" si="185"/>
        <v>45050</v>
      </c>
      <c r="AL665" s="22">
        <f t="shared" ca="1" si="186"/>
        <v>44964</v>
      </c>
    </row>
    <row r="666" spans="4:38" x14ac:dyDescent="0.25">
      <c r="D666" s="6">
        <f ca="1"/>
        <v>45138</v>
      </c>
      <c r="E666" s="28">
        <f ca="1"/>
        <v>175.57</v>
      </c>
      <c r="F666" s="29" cm="1">
        <f t="array" aca="1" ref="F666" ca="1">_xll.FDS($E$7,"P_BETA_LOCIDX("&amp;$AG666&amp;","&amp;$AL666&amp;",,"""&amp;$E$9&amp;""")")</f>
        <v>2.0071626</v>
      </c>
      <c r="G666" s="30">
        <f t="shared" ca="1" si="172"/>
        <v>-1.2325596689815952E-2</v>
      </c>
      <c r="H666" s="30">
        <f t="shared" ca="1" si="172"/>
        <v>-1.0032002888625689E-2</v>
      </c>
      <c r="I666" s="30">
        <f t="shared" ca="1" si="172"/>
        <v>-8.1991537063291264E-2</v>
      </c>
      <c r="J666" s="30">
        <f t="shared" ca="1" si="170"/>
        <v>-2.5892000805265686E-2</v>
      </c>
      <c r="K666" s="30">
        <f t="shared" ca="1" si="173"/>
        <v>1.5124317274691355E-2</v>
      </c>
      <c r="L666" s="30">
        <f t="shared" ca="1" si="173"/>
        <v>2.9365491044686862E-2</v>
      </c>
      <c r="M666" s="30">
        <f t="shared" ca="1" si="173"/>
        <v>6.2500863546034402E-2</v>
      </c>
      <c r="N666" s="30">
        <f t="shared" ca="1" si="171"/>
        <v>0.24445113461981308</v>
      </c>
      <c r="O666" s="30">
        <f t="shared" ca="1" si="174"/>
        <v>2.7987205848754027E-3</v>
      </c>
      <c r="P666" s="30">
        <f t="shared" ca="1" si="175"/>
        <v>1.9333488156061174E-2</v>
      </c>
      <c r="Q666" s="30">
        <f t="shared" ca="1" si="176"/>
        <v>-1.9490673517256862E-2</v>
      </c>
      <c r="R666" s="30">
        <f t="shared" ca="1" si="177"/>
        <v>0.21855913381454739</v>
      </c>
      <c r="S666" s="9" cm="1">
        <f t="array" aca="1" ref="S666" ca="1">_xll.BDH($E$6,"PX LAST",AG666)</f>
        <v>175.57</v>
      </c>
      <c r="T666" s="9" cm="1">
        <f t="array" aca="1" ref="T666" ca="1">_xll.BDH($E$6,"PX LAST",AH666)</f>
        <v>175.08</v>
      </c>
      <c r="U666" s="9" cm="1">
        <f t="array" aca="1" ref="U666" ca="1">_xll.BDH($E$6,"PX LAST",AI666)</f>
        <v>172.24</v>
      </c>
      <c r="V666" s="9" cm="1">
        <f t="array" aca="1" ref="V666" ca="1">_xll.BDH($E$6,"PX LAST",AJ666)</f>
        <v>179.06</v>
      </c>
      <c r="W666" s="9" cm="1">
        <f t="array" aca="1" ref="W666" ca="1">_xll.BDH($E$6,"PX LAST",AK666)</f>
        <v>144.08000000000001</v>
      </c>
      <c r="X666" s="24">
        <f t="shared" ca="1" si="178"/>
        <v>7.5351729225581199E-3</v>
      </c>
      <c r="Y666" s="24">
        <f t="shared" ca="1" si="179"/>
        <v>1.4630349850424107E-2</v>
      </c>
      <c r="Z666" s="24">
        <f t="shared" ca="1" si="180"/>
        <v>3.1138913980379268E-2</v>
      </c>
      <c r="AA666" s="24">
        <f t="shared" ca="1" si="181"/>
        <v>0.12178940292122475</v>
      </c>
      <c r="AB666" s="9" cm="1">
        <f t="array" aca="1" ref="AB666" ca="1">_xll.BDH($E$8,"PX LAST",AG666)</f>
        <v>4588.96</v>
      </c>
      <c r="AC666" s="9" cm="1">
        <f t="array" aca="1" ref="AC666" ca="1">_xll.BDH($E$8,"PX LAST",AH666)</f>
        <v>4554.6400000000003</v>
      </c>
      <c r="AD666" s="9" cm="1">
        <f t="array" aca="1" ref="AD666" ca="1">_xll.BDH($E$8,"PX LAST",AI666)</f>
        <v>4522.79</v>
      </c>
      <c r="AE666" s="9" cm="1">
        <f t="array" aca="1" ref="AE666" ca="1">_xll.BDH($E$8,"PX LAST",AJ666)</f>
        <v>4450.38</v>
      </c>
      <c r="AF666" s="9" cm="1">
        <f t="array" aca="1" ref="AF666" ca="1">_xll.BDH($E$8,"PX LAST",AK666)</f>
        <v>4090.75</v>
      </c>
      <c r="AG666" s="20">
        <f t="shared" ca="1" si="187"/>
        <v>45138</v>
      </c>
      <c r="AH666" s="22">
        <f t="shared" ca="1" si="182"/>
        <v>45131</v>
      </c>
      <c r="AI666" s="22">
        <f t="shared" ca="1" si="183"/>
        <v>45124</v>
      </c>
      <c r="AJ666" s="22">
        <f t="shared" ca="1" si="184"/>
        <v>45107</v>
      </c>
      <c r="AK666" s="22">
        <f t="shared" ca="1" si="185"/>
        <v>45049</v>
      </c>
      <c r="AL666" s="22">
        <f t="shared" ca="1" si="186"/>
        <v>44963</v>
      </c>
    </row>
    <row r="667" spans="4:38" x14ac:dyDescent="0.25">
      <c r="D667" s="6">
        <f ca="1"/>
        <v>45135</v>
      </c>
      <c r="E667" s="28">
        <f ca="1"/>
        <v>171.49</v>
      </c>
      <c r="F667" s="29" cm="1">
        <f t="array" aca="1" ref="F667" ca="1">_xll.FDS($E$7,"P_BETA_LOCIDX("&amp;$AG667&amp;","&amp;$AL667&amp;",,"""&amp;$E$9&amp;""")")</f>
        <v>1.9700154000000001</v>
      </c>
      <c r="G667" s="30">
        <f t="shared" ca="1" si="172"/>
        <v>-3.8247006394982852E-2</v>
      </c>
      <c r="H667" s="30">
        <f t="shared" ca="1" si="172"/>
        <v>-3.8344386913152353E-2</v>
      </c>
      <c r="I667" s="30">
        <f t="shared" ca="1" si="172"/>
        <v>-0.106322922678974</v>
      </c>
      <c r="J667" s="30">
        <f t="shared" ca="1" si="170"/>
        <v>-2.4355637319853435E-2</v>
      </c>
      <c r="K667" s="30">
        <f t="shared" ca="1" si="173"/>
        <v>1.9928842790884194E-2</v>
      </c>
      <c r="L667" s="30">
        <f t="shared" ca="1" si="173"/>
        <v>3.3585522076520782E-2</v>
      </c>
      <c r="M667" s="30">
        <f t="shared" ca="1" si="173"/>
        <v>8.3251258101100095E-2</v>
      </c>
      <c r="N667" s="30">
        <f t="shared" ca="1" si="171"/>
        <v>0.22124285116686623</v>
      </c>
      <c r="O667" s="30">
        <f t="shared" ca="1" si="174"/>
        <v>-1.8318163604098658E-2</v>
      </c>
      <c r="P667" s="30">
        <f t="shared" ca="1" si="175"/>
        <v>-4.7588648366315711E-3</v>
      </c>
      <c r="Q667" s="30">
        <f t="shared" ca="1" si="176"/>
        <v>-2.3071664577873907E-2</v>
      </c>
      <c r="R667" s="30">
        <f t="shared" ca="1" si="177"/>
        <v>0.1968872138470128</v>
      </c>
      <c r="S667" s="9" cm="1">
        <f t="array" aca="1" ref="S667" ca="1">_xll.BDH($E$6,"PX LAST",AG667)</f>
        <v>171.49</v>
      </c>
      <c r="T667" s="9" cm="1">
        <f t="array" aca="1" ref="T667" ca="1">_xll.BDH($E$6,"PX LAST",AH667)</f>
        <v>174.69</v>
      </c>
      <c r="U667" s="9" cm="1">
        <f t="array" aca="1" ref="U667" ca="1">_xll.BDH($E$6,"PX LAST",AI667)</f>
        <v>172.31</v>
      </c>
      <c r="V667" s="9" cm="1">
        <f t="array" aca="1" ref="V667" ca="1">_xll.BDH($E$6,"PX LAST",AJ667)</f>
        <v>175.54</v>
      </c>
      <c r="W667" s="9" cm="1">
        <f t="array" aca="1" ref="W667" ca="1">_xll.BDH($E$6,"PX LAST",AK667)</f>
        <v>143.28</v>
      </c>
      <c r="X667" s="24">
        <f t="shared" ca="1" si="178"/>
        <v>1.0116084773187151E-2</v>
      </c>
      <c r="Y667" s="24">
        <f t="shared" ca="1" si="179"/>
        <v>1.7048355092310841E-2</v>
      </c>
      <c r="Z667" s="24">
        <f t="shared" ca="1" si="180"/>
        <v>4.2259191527690643E-2</v>
      </c>
      <c r="AA667" s="24">
        <f t="shared" ca="1" si="181"/>
        <v>0.11230513790240737</v>
      </c>
      <c r="AB667" s="9" cm="1">
        <f t="array" aca="1" ref="AB667" ca="1">_xll.BDH($E$8,"PX LAST",AG667)</f>
        <v>4582.2299999999996</v>
      </c>
      <c r="AC667" s="9" cm="1">
        <f t="array" aca="1" ref="AC667" ca="1">_xll.BDH($E$8,"PX LAST",AH667)</f>
        <v>4536.34</v>
      </c>
      <c r="AD667" s="9" cm="1">
        <f t="array" aca="1" ref="AD667" ca="1">_xll.BDH($E$8,"PX LAST",AI667)</f>
        <v>4505.42</v>
      </c>
      <c r="AE667" s="9" cm="1">
        <f t="array" aca="1" ref="AE667" ca="1">_xll.BDH($E$8,"PX LAST",AJ667)</f>
        <v>4396.4399999999996</v>
      </c>
      <c r="AF667" s="9" cm="1">
        <f t="array" aca="1" ref="AF667" ca="1">_xll.BDH($E$8,"PX LAST",AK667)</f>
        <v>4119.58</v>
      </c>
      <c r="AG667" s="20">
        <f t="shared" ca="1" si="187"/>
        <v>45135</v>
      </c>
      <c r="AH667" s="22">
        <f t="shared" ca="1" si="182"/>
        <v>45128</v>
      </c>
      <c r="AI667" s="22">
        <f t="shared" ca="1" si="183"/>
        <v>45121</v>
      </c>
      <c r="AJ667" s="22">
        <f t="shared" ca="1" si="184"/>
        <v>45106</v>
      </c>
      <c r="AK667" s="22">
        <f t="shared" ca="1" si="185"/>
        <v>45048</v>
      </c>
      <c r="AL667" s="22">
        <f t="shared" ca="1" si="186"/>
        <v>44960</v>
      </c>
    </row>
    <row r="668" spans="4:38" x14ac:dyDescent="0.25">
      <c r="D668" s="6">
        <f ca="1"/>
        <v>45134</v>
      </c>
      <c r="E668" s="28">
        <f ca="1"/>
        <v>169.13</v>
      </c>
      <c r="F668" s="29" cm="1">
        <f t="array" aca="1" ref="F668" ca="1">_xll.FDS($E$7,"P_BETA_LOCIDX("&amp;$AG668&amp;","&amp;$AL668&amp;",,"""&amp;$E$9&amp;""")")</f>
        <v>1.9315195999999999</v>
      </c>
      <c r="G668" s="30">
        <f t="shared" ca="1" si="172"/>
        <v>-4.1097745190742822E-2</v>
      </c>
      <c r="H668" s="30">
        <f t="shared" ca="1" si="172"/>
        <v>-6.2246676389495173E-2</v>
      </c>
      <c r="I668" s="30">
        <f t="shared" ca="1" si="172"/>
        <v>-0.11103046032070907</v>
      </c>
      <c r="J668" s="30">
        <f t="shared" ca="1" si="170"/>
        <v>6.7753802917007999E-3</v>
      </c>
      <c r="K668" s="30">
        <f t="shared" ca="1" si="173"/>
        <v>1.0818523538713655E-3</v>
      </c>
      <c r="L668" s="30">
        <f t="shared" ca="1" si="173"/>
        <v>1.1721778842759666E-2</v>
      </c>
      <c r="M668" s="30">
        <f t="shared" ca="1" si="173"/>
        <v>7.0851128841224242E-2</v>
      </c>
      <c r="N668" s="30">
        <f t="shared" ca="1" si="171"/>
        <v>0.17125624191349528</v>
      </c>
      <c r="O668" s="30">
        <f t="shared" ca="1" si="174"/>
        <v>-4.0015892836871458E-2</v>
      </c>
      <c r="P668" s="30">
        <f t="shared" ca="1" si="175"/>
        <v>-5.0524897546735503E-2</v>
      </c>
      <c r="Q668" s="30">
        <f t="shared" ca="1" si="176"/>
        <v>-4.0179331479484826E-2</v>
      </c>
      <c r="R668" s="30">
        <f t="shared" ca="1" si="177"/>
        <v>0.17803162220519608</v>
      </c>
      <c r="S668" s="9" cm="1">
        <f t="array" aca="1" ref="S668" ca="1">_xll.BDH($E$6,"PX LAST",AG668)</f>
        <v>169.13</v>
      </c>
      <c r="T668" s="9" cm="1">
        <f t="array" aca="1" ref="T668" ca="1">_xll.BDH($E$6,"PX LAST",AH668)</f>
        <v>176.18</v>
      </c>
      <c r="U668" s="9" cm="1">
        <f t="array" aca="1" ref="U668" ca="1">_xll.BDH($E$6,"PX LAST",AI668)</f>
        <v>178.13</v>
      </c>
      <c r="V668" s="9" cm="1">
        <f t="array" aca="1" ref="V668" ca="1">_xll.BDH($E$6,"PX LAST",AJ668)</f>
        <v>176.21</v>
      </c>
      <c r="W668" s="9" cm="1">
        <f t="array" aca="1" ref="W668" ca="1">_xll.BDH($E$6,"PX LAST",AK668)</f>
        <v>143.57</v>
      </c>
      <c r="X668" s="24">
        <f t="shared" ca="1" si="178"/>
        <v>5.6010425877706105E-4</v>
      </c>
      <c r="Y668" s="24">
        <f t="shared" ca="1" si="179"/>
        <v>6.068682317673435E-3</v>
      </c>
      <c r="Z668" s="24">
        <f t="shared" ca="1" si="180"/>
        <v>3.6681547959039218E-2</v>
      </c>
      <c r="AA668" s="24">
        <f t="shared" ca="1" si="181"/>
        <v>8.8663993838579369E-2</v>
      </c>
      <c r="AB668" s="9" cm="1">
        <f t="array" aca="1" ref="AB668" ca="1">_xll.BDH($E$8,"PX LAST",AG668)</f>
        <v>4537.41</v>
      </c>
      <c r="AC668" s="9" cm="1">
        <f t="array" aca="1" ref="AC668" ca="1">_xll.BDH($E$8,"PX LAST",AH668)</f>
        <v>4534.87</v>
      </c>
      <c r="AD668" s="9" cm="1">
        <f t="array" aca="1" ref="AD668" ca="1">_xll.BDH($E$8,"PX LAST",AI668)</f>
        <v>4510.04</v>
      </c>
      <c r="AE668" s="9" cm="1">
        <f t="array" aca="1" ref="AE668" ca="1">_xll.BDH($E$8,"PX LAST",AJ668)</f>
        <v>4376.8599999999997</v>
      </c>
      <c r="AF668" s="9" cm="1">
        <f t="array" aca="1" ref="AF668" ca="1">_xll.BDH($E$8,"PX LAST",AK668)</f>
        <v>4167.87</v>
      </c>
      <c r="AG668" s="20">
        <f t="shared" ca="1" si="187"/>
        <v>45134</v>
      </c>
      <c r="AH668" s="22">
        <f t="shared" ca="1" si="182"/>
        <v>45127</v>
      </c>
      <c r="AI668" s="22">
        <f t="shared" ca="1" si="183"/>
        <v>45120</v>
      </c>
      <c r="AJ668" s="22">
        <f t="shared" ca="1" si="184"/>
        <v>45105</v>
      </c>
      <c r="AK668" s="22">
        <f t="shared" ca="1" si="185"/>
        <v>45047</v>
      </c>
      <c r="AL668" s="22">
        <f t="shared" ca="1" si="186"/>
        <v>44959</v>
      </c>
    </row>
    <row r="669" spans="4:38" x14ac:dyDescent="0.25">
      <c r="D669" s="6">
        <f ca="1"/>
        <v>45133</v>
      </c>
      <c r="E669" s="28">
        <f ca="1"/>
        <v>169.55</v>
      </c>
      <c r="F669" s="29" cm="1">
        <f t="array" aca="1" ref="F669" ca="1">_xll.FDS($E$7,"P_BETA_LOCIDX("&amp;$AG669&amp;","&amp;$AL669&amp;",,"""&amp;$E$9&amp;""")")</f>
        <v>1.9380558000000001</v>
      </c>
      <c r="G669" s="30">
        <f t="shared" ca="1" si="172"/>
        <v>-3.1303175871974294E-2</v>
      </c>
      <c r="H669" s="30">
        <f t="shared" ca="1" si="172"/>
        <v>-8.9051721396786229E-2</v>
      </c>
      <c r="I669" s="30">
        <f t="shared" ca="1" si="172"/>
        <v>-0.10556966148714508</v>
      </c>
      <c r="J669" s="30">
        <f t="shared" ca="1" si="170"/>
        <v>-7.2283054213529707E-3</v>
      </c>
      <c r="K669" s="30">
        <f t="shared" ca="1" si="173"/>
        <v>4.3721416863063545E-4</v>
      </c>
      <c r="L669" s="30">
        <f t="shared" ca="1" si="173"/>
        <v>4.0991533872222694E-2</v>
      </c>
      <c r="M669" s="30">
        <f t="shared" ca="1" si="173"/>
        <v>8.3366662640547706E-2</v>
      </c>
      <c r="N669" s="30">
        <f t="shared" ca="1" si="171"/>
        <v>0.18465886097690851</v>
      </c>
      <c r="O669" s="30">
        <f t="shared" ca="1" si="174"/>
        <v>-3.0865961703343658E-2</v>
      </c>
      <c r="P669" s="30">
        <f t="shared" ca="1" si="175"/>
        <v>-4.8060187524563536E-2</v>
      </c>
      <c r="Q669" s="30">
        <f t="shared" ca="1" si="176"/>
        <v>-2.2202998846597377E-2</v>
      </c>
      <c r="R669" s="30">
        <f t="shared" ca="1" si="177"/>
        <v>0.17743055555555554</v>
      </c>
      <c r="S669" s="9" cm="1">
        <f t="array" aca="1" ref="S669" ca="1">_xll.BDH($E$6,"PX LAST",AG669)</f>
        <v>169.55</v>
      </c>
      <c r="T669" s="9" cm="1">
        <f t="array" aca="1" ref="T669" ca="1">_xll.BDH($E$6,"PX LAST",AH669)</f>
        <v>174.95</v>
      </c>
      <c r="U669" s="9" cm="1">
        <f t="array" aca="1" ref="U669" ca="1">_xll.BDH($E$6,"PX LAST",AI669)</f>
        <v>178.11</v>
      </c>
      <c r="V669" s="9" cm="1">
        <f t="array" aca="1" ref="V669" ca="1">_xll.BDH($E$6,"PX LAST",AJ669)</f>
        <v>173.4</v>
      </c>
      <c r="W669" s="9" cm="1">
        <f t="array" aca="1" ref="W669" ca="1">_xll.BDH($E$6,"PX LAST",AK669)</f>
        <v>144</v>
      </c>
      <c r="X669" s="24">
        <f t="shared" ca="1" si="178"/>
        <v>2.2559421077072983E-4</v>
      </c>
      <c r="Y669" s="24">
        <f t="shared" ca="1" si="179"/>
        <v>2.1150853278952386E-2</v>
      </c>
      <c r="Z669" s="24">
        <f t="shared" ca="1" si="180"/>
        <v>4.3015615257593565E-2</v>
      </c>
      <c r="AA669" s="24">
        <f t="shared" ca="1" si="181"/>
        <v>9.5280466628932192E-2</v>
      </c>
      <c r="AB669" s="9" cm="1">
        <f t="array" aca="1" ref="AB669" ca="1">_xll.BDH($E$8,"PX LAST",AG669)</f>
        <v>4566.75</v>
      </c>
      <c r="AC669" s="9" cm="1">
        <f t="array" aca="1" ref="AC669" ca="1">_xll.BDH($E$8,"PX LAST",AH669)</f>
        <v>4565.72</v>
      </c>
      <c r="AD669" s="9" cm="1">
        <f t="array" aca="1" ref="AD669" ca="1">_xll.BDH($E$8,"PX LAST",AI669)</f>
        <v>4472.16</v>
      </c>
      <c r="AE669" s="9" cm="1">
        <f t="array" aca="1" ref="AE669" ca="1">_xll.BDH($E$8,"PX LAST",AJ669)</f>
        <v>4378.41</v>
      </c>
      <c r="AF669" s="9" cm="1">
        <f t="array" aca="1" ref="AF669" ca="1">_xll.BDH($E$8,"PX LAST",AK669)</f>
        <v>4169.4799999999996</v>
      </c>
      <c r="AG669" s="20">
        <f t="shared" ca="1" si="187"/>
        <v>45133</v>
      </c>
      <c r="AH669" s="22">
        <f t="shared" ca="1" si="182"/>
        <v>45126</v>
      </c>
      <c r="AI669" s="22">
        <f t="shared" ca="1" si="183"/>
        <v>45119</v>
      </c>
      <c r="AJ669" s="22">
        <f t="shared" ca="1" si="184"/>
        <v>45104</v>
      </c>
      <c r="AK669" s="22">
        <f t="shared" ca="1" si="185"/>
        <v>45044</v>
      </c>
      <c r="AL669" s="22">
        <f t="shared" ca="1" si="186"/>
        <v>44958</v>
      </c>
    </row>
    <row r="670" spans="4:38" x14ac:dyDescent="0.25">
      <c r="D670" s="6">
        <f ca="1"/>
        <v>45132</v>
      </c>
      <c r="E670" s="28">
        <f ca="1"/>
        <v>175.37</v>
      </c>
      <c r="F670" s="29" cm="1">
        <f t="array" aca="1" ref="F670" ca="1">_xll.FDS($E$7,"P_BETA_LOCIDX("&amp;$AG670&amp;","&amp;$AL670&amp;",,"""&amp;$E$9&amp;""")")</f>
        <v>1.9434353</v>
      </c>
      <c r="G670" s="30">
        <f t="shared" ca="1" si="172"/>
        <v>-9.0174996260165216E-3</v>
      </c>
      <c r="H670" s="30">
        <f t="shared" ca="1" si="172"/>
        <v>-7.6403189319791218E-2</v>
      </c>
      <c r="I670" s="30">
        <f t="shared" ca="1" si="172"/>
        <v>-5.5443912413436214E-2</v>
      </c>
      <c r="J670" s="30">
        <f t="shared" ca="1" si="170"/>
        <v>2.4148858373369358E-2</v>
      </c>
      <c r="K670" s="30">
        <f t="shared" ca="1" si="173"/>
        <v>5.3247374399012721E-3</v>
      </c>
      <c r="L670" s="30">
        <f t="shared" ca="1" si="173"/>
        <v>5.6123859710852694E-2</v>
      </c>
      <c r="M670" s="30">
        <f t="shared" ca="1" si="173"/>
        <v>0.1071380653369744</v>
      </c>
      <c r="N670" s="30">
        <f t="shared" ca="1" si="171"/>
        <v>0.20307297507659558</v>
      </c>
      <c r="O670" s="30">
        <f t="shared" ca="1" si="174"/>
        <v>-3.6927621861152504E-3</v>
      </c>
      <c r="P670" s="30">
        <f t="shared" ca="1" si="175"/>
        <v>-2.0279329608938523E-2</v>
      </c>
      <c r="Q670" s="30">
        <f t="shared" ca="1" si="176"/>
        <v>5.1694152923538184E-2</v>
      </c>
      <c r="R670" s="30">
        <f t="shared" ca="1" si="177"/>
        <v>0.22722183344996494</v>
      </c>
      <c r="S670" s="9" cm="1">
        <f t="array" aca="1" ref="S670" ca="1">_xll.BDH($E$6,"PX LAST",AG670)</f>
        <v>175.37</v>
      </c>
      <c r="T670" s="9" cm="1">
        <f t="array" aca="1" ref="T670" ca="1">_xll.BDH($E$6,"PX LAST",AH670)</f>
        <v>176.02</v>
      </c>
      <c r="U670" s="9" cm="1">
        <f t="array" aca="1" ref="U670" ca="1">_xll.BDH($E$6,"PX LAST",AI670)</f>
        <v>179</v>
      </c>
      <c r="V670" s="9" cm="1">
        <f t="array" aca="1" ref="V670" ca="1">_xll.BDH($E$6,"PX LAST",AJ670)</f>
        <v>166.75</v>
      </c>
      <c r="W670" s="9" cm="1">
        <f t="array" aca="1" ref="W670" ca="1">_xll.BDH($E$6,"PX LAST",AK670)</f>
        <v>142.9</v>
      </c>
      <c r="X670" s="24">
        <f t="shared" ca="1" si="178"/>
        <v>2.7398583528359666E-3</v>
      </c>
      <c r="Y670" s="24">
        <f t="shared" ca="1" si="179"/>
        <v>2.8878686988371927E-2</v>
      </c>
      <c r="Z670" s="24">
        <f t="shared" ca="1" si="180"/>
        <v>5.5128187358217895E-2</v>
      </c>
      <c r="AA670" s="24">
        <f t="shared" ca="1" si="181"/>
        <v>0.10449176006867611</v>
      </c>
      <c r="AB670" s="9" cm="1">
        <f t="array" aca="1" ref="AB670" ca="1">_xll.BDH($E$8,"PX LAST",AG670)</f>
        <v>4567.46</v>
      </c>
      <c r="AC670" s="9" cm="1">
        <f t="array" aca="1" ref="AC670" ca="1">_xll.BDH($E$8,"PX LAST",AH670)</f>
        <v>4554.9799999999996</v>
      </c>
      <c r="AD670" s="9" cm="1">
        <f t="array" aca="1" ref="AD670" ca="1">_xll.BDH($E$8,"PX LAST",AI670)</f>
        <v>4439.26</v>
      </c>
      <c r="AE670" s="9" cm="1">
        <f t="array" aca="1" ref="AE670" ca="1">_xll.BDH($E$8,"PX LAST",AJ670)</f>
        <v>4328.82</v>
      </c>
      <c r="AF670" s="9" cm="1">
        <f t="array" aca="1" ref="AF670" ca="1">_xll.BDH($E$8,"PX LAST",AK670)</f>
        <v>4135.3500000000004</v>
      </c>
      <c r="AG670" s="20">
        <f t="shared" ca="1" si="187"/>
        <v>45132</v>
      </c>
      <c r="AH670" s="22">
        <f t="shared" ca="1" si="182"/>
        <v>45125</v>
      </c>
      <c r="AI670" s="22">
        <f t="shared" ca="1" si="183"/>
        <v>45118</v>
      </c>
      <c r="AJ670" s="22">
        <f t="shared" ca="1" si="184"/>
        <v>45103</v>
      </c>
      <c r="AK670" s="22">
        <f t="shared" ca="1" si="185"/>
        <v>45043</v>
      </c>
      <c r="AL670" s="22">
        <f t="shared" ca="1" si="186"/>
        <v>44957</v>
      </c>
    </row>
    <row r="671" spans="4:38" x14ac:dyDescent="0.25">
      <c r="D671" s="6">
        <f ca="1"/>
        <v>45131</v>
      </c>
      <c r="E671" s="28">
        <f ca="1"/>
        <v>175.08</v>
      </c>
      <c r="F671" s="29" cm="1">
        <f t="array" aca="1" ref="F671" ca="1">_xll.FDS($E$7,"P_BETA_LOCIDX("&amp;$AG671&amp;","&amp;$AL671&amp;",,"""&amp;$E$9&amp;""")")</f>
        <v>1.9195852</v>
      </c>
      <c r="G671" s="30">
        <f t="shared" ca="1" si="172"/>
        <v>2.9706838974591834E-3</v>
      </c>
      <c r="H671" s="30">
        <f t="shared" ca="1" si="172"/>
        <v>-0.10697142791887961</v>
      </c>
      <c r="I671" s="30">
        <f t="shared" ca="1" si="172"/>
        <v>-4.8312707730536891E-2</v>
      </c>
      <c r="J671" s="30">
        <f t="shared" ca="1" si="170"/>
        <v>4.2705969135418631E-2</v>
      </c>
      <c r="K671" s="30">
        <f t="shared" ca="1" si="173"/>
        <v>1.3517936632034664E-2</v>
      </c>
      <c r="L671" s="30">
        <f t="shared" ca="1" si="173"/>
        <v>6.3170226389660647E-2</v>
      </c>
      <c r="M671" s="30">
        <f t="shared" ca="1" si="173"/>
        <v>9.1076257462520266E-2</v>
      </c>
      <c r="N671" s="30">
        <f t="shared" ca="1" si="171"/>
        <v>0.23599692306440628</v>
      </c>
      <c r="O671" s="30">
        <f t="shared" ca="1" si="174"/>
        <v>1.6488620529493847E-2</v>
      </c>
      <c r="P671" s="30">
        <f t="shared" ca="1" si="175"/>
        <v>-4.3801201529218958E-2</v>
      </c>
      <c r="Q671" s="30">
        <f t="shared" ca="1" si="176"/>
        <v>4.2763549731983375E-2</v>
      </c>
      <c r="R671" s="30">
        <f t="shared" ca="1" si="177"/>
        <v>0.27870289219982491</v>
      </c>
      <c r="S671" s="9" cm="1">
        <f t="array" aca="1" ref="S671" ca="1">_xll.BDH($E$6,"PX LAST",AG671)</f>
        <v>175.08</v>
      </c>
      <c r="T671" s="9" cm="1">
        <f t="array" aca="1" ref="T671" ca="1">_xll.BDH($E$6,"PX LAST",AH671)</f>
        <v>172.24</v>
      </c>
      <c r="U671" s="9" cm="1">
        <f t="array" aca="1" ref="U671" ca="1">_xll.BDH($E$6,"PX LAST",AI671)</f>
        <v>183.1</v>
      </c>
      <c r="V671" s="9" cm="1">
        <f t="array" aca="1" ref="V671" ca="1">_xll.BDH($E$6,"PX LAST",AJ671)</f>
        <v>167.9</v>
      </c>
      <c r="W671" s="9" cm="1">
        <f t="array" aca="1" ref="W671" ca="1">_xll.BDH($E$6,"PX LAST",AK671)</f>
        <v>136.91999999999999</v>
      </c>
      <c r="X671" s="24">
        <f t="shared" ca="1" si="178"/>
        <v>7.0421133857641038E-3</v>
      </c>
      <c r="Y671" s="24">
        <f t="shared" ca="1" si="179"/>
        <v>3.2908269135259349E-2</v>
      </c>
      <c r="Z671" s="24">
        <f t="shared" ca="1" si="180"/>
        <v>4.7445801031660517E-2</v>
      </c>
      <c r="AA671" s="24">
        <f t="shared" ca="1" si="181"/>
        <v>0.12294162460952829</v>
      </c>
      <c r="AB671" s="9" cm="1">
        <f t="array" aca="1" ref="AB671" ca="1">_xll.BDH($E$8,"PX LAST",AG671)</f>
        <v>4554.6400000000003</v>
      </c>
      <c r="AC671" s="9" cm="1">
        <f t="array" aca="1" ref="AC671" ca="1">_xll.BDH($E$8,"PX LAST",AH671)</f>
        <v>4522.79</v>
      </c>
      <c r="AD671" s="9" cm="1">
        <f t="array" aca="1" ref="AD671" ca="1">_xll.BDH($E$8,"PX LAST",AI671)</f>
        <v>4409.53</v>
      </c>
      <c r="AE671" s="9" cm="1">
        <f t="array" aca="1" ref="AE671" ca="1">_xll.BDH($E$8,"PX LAST",AJ671)</f>
        <v>4348.33</v>
      </c>
      <c r="AF671" s="9" cm="1">
        <f t="array" aca="1" ref="AF671" ca="1">_xll.BDH($E$8,"PX LAST",AK671)</f>
        <v>4055.99</v>
      </c>
      <c r="AG671" s="20">
        <f t="shared" ca="1" si="187"/>
        <v>45131</v>
      </c>
      <c r="AH671" s="22">
        <f t="shared" ca="1" si="182"/>
        <v>45124</v>
      </c>
      <c r="AI671" s="22">
        <f t="shared" ca="1" si="183"/>
        <v>45117</v>
      </c>
      <c r="AJ671" s="22">
        <f t="shared" ca="1" si="184"/>
        <v>45100</v>
      </c>
      <c r="AK671" s="22">
        <f t="shared" ca="1" si="185"/>
        <v>45042</v>
      </c>
      <c r="AL671" s="22">
        <f t="shared" ca="1" si="186"/>
        <v>44956</v>
      </c>
    </row>
    <row r="672" spans="4:38" x14ac:dyDescent="0.25">
      <c r="D672" s="6">
        <f ca="1"/>
        <v>45128</v>
      </c>
      <c r="E672" s="28">
        <f ca="1"/>
        <v>174.69</v>
      </c>
      <c r="F672" s="29" cm="1">
        <f t="array" aca="1" ref="F672" ca="1">_xll.FDS($E$7,"P_BETA_LOCIDX("&amp;$AG672&amp;","&amp;$AL672&amp;",,"""&amp;$E$9&amp;""")")</f>
        <v>1.9235423</v>
      </c>
      <c r="G672" s="30">
        <f t="shared" ca="1" si="172"/>
        <v>6.1134198204510805E-4</v>
      </c>
      <c r="H672" s="30">
        <f t="shared" ca="1" si="172"/>
        <v>-8.0927794028807634E-2</v>
      </c>
      <c r="I672" s="30">
        <f t="shared" ca="1" si="172"/>
        <v>-2.5496661457095324E-2</v>
      </c>
      <c r="J672" s="30">
        <f t="shared" ca="1" si="170"/>
        <v>1.1537317331218461E-2</v>
      </c>
      <c r="K672" s="30">
        <f t="shared" ca="1" si="173"/>
        <v>1.3200973031593113E-2</v>
      </c>
      <c r="L672" s="30">
        <f t="shared" ca="1" si="173"/>
        <v>6.0076944861160067E-2</v>
      </c>
      <c r="M672" s="30">
        <f t="shared" ca="1" si="173"/>
        <v>6.7799764082393785E-2</v>
      </c>
      <c r="N672" s="30">
        <f t="shared" ca="1" si="171"/>
        <v>0.21954090677026147</v>
      </c>
      <c r="O672" s="30">
        <f t="shared" ca="1" si="174"/>
        <v>1.3812315013638221E-2</v>
      </c>
      <c r="P672" s="30">
        <f t="shared" ca="1" si="175"/>
        <v>-2.0850849167647567E-2</v>
      </c>
      <c r="Q672" s="30">
        <f t="shared" ca="1" si="176"/>
        <v>4.2303102625298461E-2</v>
      </c>
      <c r="R672" s="30">
        <f t="shared" ca="1" si="177"/>
        <v>0.23107822410147993</v>
      </c>
      <c r="S672" s="9" cm="1">
        <f t="array" aca="1" ref="S672" ca="1">_xll.BDH($E$6,"PX LAST",AG672)</f>
        <v>174.69</v>
      </c>
      <c r="T672" s="9" cm="1">
        <f t="array" aca="1" ref="T672" ca="1">_xll.BDH($E$6,"PX LAST",AH672)</f>
        <v>172.31</v>
      </c>
      <c r="U672" s="9" cm="1">
        <f t="array" aca="1" ref="U672" ca="1">_xll.BDH($E$6,"PX LAST",AI672)</f>
        <v>178.41</v>
      </c>
      <c r="V672" s="9" cm="1">
        <f t="array" aca="1" ref="V672" ca="1">_xll.BDH($E$6,"PX LAST",AJ672)</f>
        <v>167.6</v>
      </c>
      <c r="W672" s="9" cm="1">
        <f t="array" aca="1" ref="W672" ca="1">_xll.BDH($E$6,"PX LAST",AK672)</f>
        <v>141.9</v>
      </c>
      <c r="X672" s="24">
        <f t="shared" ca="1" si="178"/>
        <v>6.8628451953425262E-3</v>
      </c>
      <c r="Y672" s="24">
        <f t="shared" ca="1" si="179"/>
        <v>3.1232453199058874E-2</v>
      </c>
      <c r="Z672" s="24">
        <f t="shared" ca="1" si="180"/>
        <v>3.5247347605713575E-2</v>
      </c>
      <c r="AA672" s="24">
        <f t="shared" ca="1" si="181"/>
        <v>0.1141336516333753</v>
      </c>
      <c r="AB672" s="9" cm="1">
        <f t="array" aca="1" ref="AB672" ca="1">_xll.BDH($E$8,"PX LAST",AG672)</f>
        <v>4536.34</v>
      </c>
      <c r="AC672" s="9" cm="1">
        <f t="array" aca="1" ref="AC672" ca="1">_xll.BDH($E$8,"PX LAST",AH672)</f>
        <v>4505.42</v>
      </c>
      <c r="AD672" s="9" cm="1">
        <f t="array" aca="1" ref="AD672" ca="1">_xll.BDH($E$8,"PX LAST",AI672)</f>
        <v>4398.95</v>
      </c>
      <c r="AE672" s="9" cm="1">
        <f t="array" aca="1" ref="AE672" ca="1">_xll.BDH($E$8,"PX LAST",AJ672)</f>
        <v>4381.8900000000003</v>
      </c>
      <c r="AF672" s="9" cm="1">
        <f t="array" aca="1" ref="AF672" ca="1">_xll.BDH($E$8,"PX LAST",AK672)</f>
        <v>4071.63</v>
      </c>
      <c r="AG672" s="20">
        <f t="shared" ca="1" si="187"/>
        <v>45128</v>
      </c>
      <c r="AH672" s="22">
        <f t="shared" ca="1" si="182"/>
        <v>45121</v>
      </c>
      <c r="AI672" s="22">
        <f t="shared" ca="1" si="183"/>
        <v>45114</v>
      </c>
      <c r="AJ672" s="22">
        <f t="shared" ca="1" si="184"/>
        <v>45099</v>
      </c>
      <c r="AK672" s="22">
        <f t="shared" ca="1" si="185"/>
        <v>45041</v>
      </c>
      <c r="AL672" s="22">
        <f t="shared" ca="1" si="186"/>
        <v>44953</v>
      </c>
    </row>
    <row r="673" spans="4:38" x14ac:dyDescent="0.25">
      <c r="D673" s="6">
        <f ca="1"/>
        <v>45127</v>
      </c>
      <c r="E673" s="28">
        <f ca="1"/>
        <v>176.18</v>
      </c>
      <c r="F673" s="29" cm="1">
        <f t="array" aca="1" ref="F673" ca="1">_xll.FDS($E$7,"P_BETA_LOCIDX("&amp;$AG673&amp;","&amp;$AL673&amp;",,"""&amp;$E$9&amp;""")")</f>
        <v>1.9343851000000001</v>
      </c>
      <c r="G673" s="30">
        <f t="shared" ca="1" si="172"/>
        <v>-2.1596807486156309E-2</v>
      </c>
      <c r="H673" s="30">
        <f t="shared" ca="1" si="172"/>
        <v>-4.8461958856830585E-2</v>
      </c>
      <c r="I673" s="30">
        <f t="shared" ca="1" si="172"/>
        <v>-5.8870744138357814E-2</v>
      </c>
      <c r="J673" s="30">
        <f t="shared" ca="1" si="170"/>
        <v>4.6528932461163519E-2</v>
      </c>
      <c r="K673" s="30">
        <f t="shared" ca="1" si="173"/>
        <v>1.0649746351030307E-2</v>
      </c>
      <c r="L673" s="30">
        <f t="shared" ca="1" si="173"/>
        <v>5.4055566162766751E-2</v>
      </c>
      <c r="M673" s="30">
        <f t="shared" ca="1" si="173"/>
        <v>7.496163750014341E-2</v>
      </c>
      <c r="N673" s="30">
        <f t="shared" ca="1" si="171"/>
        <v>0.18601619136701619</v>
      </c>
      <c r="O673" s="30">
        <f t="shared" ca="1" si="174"/>
        <v>-1.0947061135126002E-2</v>
      </c>
      <c r="P673" s="30">
        <f t="shared" ca="1" si="175"/>
        <v>5.5936073059361657E-3</v>
      </c>
      <c r="Q673" s="30">
        <f t="shared" ca="1" si="176"/>
        <v>1.6090893361785596E-2</v>
      </c>
      <c r="R673" s="30">
        <f t="shared" ca="1" si="177"/>
        <v>0.23254512382817971</v>
      </c>
      <c r="S673" s="9" cm="1">
        <f t="array" aca="1" ref="S673" ca="1">_xll.BDH($E$6,"PX LAST",AG673)</f>
        <v>176.18</v>
      </c>
      <c r="T673" s="9" cm="1">
        <f t="array" aca="1" ref="T673" ca="1">_xll.BDH($E$6,"PX LAST",AH673)</f>
        <v>178.13</v>
      </c>
      <c r="U673" s="9" cm="1">
        <f t="array" aca="1" ref="U673" ca="1">_xll.BDH($E$6,"PX LAST",AI673)</f>
        <v>175.2</v>
      </c>
      <c r="V673" s="9" cm="1">
        <f t="array" aca="1" ref="V673" ca="1">_xll.BDH($E$6,"PX LAST",AJ673)</f>
        <v>173.39</v>
      </c>
      <c r="W673" s="9" cm="1">
        <f t="array" aca="1" ref="W673" ca="1">_xll.BDH($E$6,"PX LAST",AK673)</f>
        <v>142.94</v>
      </c>
      <c r="X673" s="24">
        <f t="shared" ca="1" si="178"/>
        <v>5.5054944080319412E-3</v>
      </c>
      <c r="Y673" s="24">
        <f t="shared" ca="1" si="179"/>
        <v>2.7944573271768247E-2</v>
      </c>
      <c r="Z673" s="24">
        <f t="shared" ca="1" si="180"/>
        <v>3.8752178922461411E-2</v>
      </c>
      <c r="AA673" s="24">
        <f t="shared" ca="1" si="181"/>
        <v>9.6162957090093482E-2</v>
      </c>
      <c r="AB673" s="9" cm="1">
        <f t="array" aca="1" ref="AB673" ca="1">_xll.BDH($E$8,"PX LAST",AG673)</f>
        <v>4534.87</v>
      </c>
      <c r="AC673" s="9" cm="1">
        <f t="array" aca="1" ref="AC673" ca="1">_xll.BDH($E$8,"PX LAST",AH673)</f>
        <v>4510.04</v>
      </c>
      <c r="AD673" s="9" cm="1">
        <f t="array" aca="1" ref="AD673" ca="1">_xll.BDH($E$8,"PX LAST",AI673)</f>
        <v>4411.59</v>
      </c>
      <c r="AE673" s="9" cm="1">
        <f t="array" aca="1" ref="AE673" ca="1">_xll.BDH($E$8,"PX LAST",AJ673)</f>
        <v>4365.6899999999996</v>
      </c>
      <c r="AF673" s="9" cm="1">
        <f t="array" aca="1" ref="AF673" ca="1">_xll.BDH($E$8,"PX LAST",AK673)</f>
        <v>4137.04</v>
      </c>
      <c r="AG673" s="20">
        <f t="shared" ca="1" si="187"/>
        <v>45127</v>
      </c>
      <c r="AH673" s="22">
        <f t="shared" ca="1" si="182"/>
        <v>45120</v>
      </c>
      <c r="AI673" s="22">
        <f t="shared" ca="1" si="183"/>
        <v>45113</v>
      </c>
      <c r="AJ673" s="22">
        <f t="shared" ca="1" si="184"/>
        <v>45098</v>
      </c>
      <c r="AK673" s="22">
        <f t="shared" ca="1" si="185"/>
        <v>45040</v>
      </c>
      <c r="AL673" s="22">
        <f t="shared" ca="1" si="186"/>
        <v>44952</v>
      </c>
    </row>
    <row r="674" spans="4:38" x14ac:dyDescent="0.25">
      <c r="D674" s="6">
        <f ca="1"/>
        <v>45126</v>
      </c>
      <c r="E674" s="28">
        <f ca="1"/>
        <v>174.95</v>
      </c>
      <c r="F674" s="29" cm="1">
        <f t="array" aca="1" ref="F674" ca="1">_xll.FDS($E$7,"P_BETA_LOCIDX("&amp;$AG674&amp;","&amp;$AL674&amp;",,"""&amp;$E$9&amp;""")")</f>
        <v>1.9513997999999999</v>
      </c>
      <c r="G674" s="30">
        <f t="shared" ca="1" si="172"/>
        <v>-5.8566181553888964E-2</v>
      </c>
      <c r="H674" s="30">
        <f t="shared" ca="1" si="172"/>
        <v>-6.2192778851395222E-2</v>
      </c>
      <c r="I674" s="30">
        <f t="shared" ca="1" si="172"/>
        <v>-5.0918310056426386E-2</v>
      </c>
      <c r="J674" s="30">
        <f t="shared" ca="1" si="170"/>
        <v>2.7137267468488963E-2</v>
      </c>
      <c r="K674" s="30">
        <f t="shared" ca="1" si="173"/>
        <v>4.0824336626596715E-2</v>
      </c>
      <c r="L674" s="30">
        <f t="shared" ca="1" si="173"/>
        <v>5.2176934577968279E-2</v>
      </c>
      <c r="M674" s="30">
        <f t="shared" ca="1" si="173"/>
        <v>7.8705879084742636E-2</v>
      </c>
      <c r="N674" s="30">
        <f t="shared" ca="1" si="171"/>
        <v>0.20403796124368548</v>
      </c>
      <c r="O674" s="30">
        <f t="shared" ca="1" si="174"/>
        <v>-1.774184492729225E-2</v>
      </c>
      <c r="P674" s="30">
        <f t="shared" ca="1" si="175"/>
        <v>-1.0015844273426944E-2</v>
      </c>
      <c r="Q674" s="30">
        <f t="shared" ca="1" si="176"/>
        <v>2.778756902831625E-2</v>
      </c>
      <c r="R674" s="30">
        <f t="shared" ca="1" si="177"/>
        <v>0.23117522871217444</v>
      </c>
      <c r="S674" s="9" cm="1">
        <f t="array" aca="1" ref="S674" ca="1">_xll.BDH($E$6,"PX LAST",AG674)</f>
        <v>174.95</v>
      </c>
      <c r="T674" s="9" cm="1">
        <f t="array" aca="1" ref="T674" ca="1">_xll.BDH($E$6,"PX LAST",AH674)</f>
        <v>178.11</v>
      </c>
      <c r="U674" s="9" cm="1">
        <f t="array" aca="1" ref="U674" ca="1">_xll.BDH($E$6,"PX LAST",AI674)</f>
        <v>176.72</v>
      </c>
      <c r="V674" s="9" cm="1">
        <f t="array" aca="1" ref="V674" ca="1">_xll.BDH($E$6,"PX LAST",AJ674)</f>
        <v>170.22</v>
      </c>
      <c r="W674" s="9" cm="1">
        <f t="array" aca="1" ref="W674" ca="1">_xll.BDH($E$6,"PX LAST",AK674)</f>
        <v>142.1</v>
      </c>
      <c r="X674" s="24">
        <f t="shared" ca="1" si="178"/>
        <v>2.0920539515580927E-2</v>
      </c>
      <c r="Y674" s="24">
        <f t="shared" ca="1" si="179"/>
        <v>2.6738208427595556E-2</v>
      </c>
      <c r="Z674" s="24">
        <f t="shared" ca="1" si="180"/>
        <v>4.03330363592036E-2</v>
      </c>
      <c r="AA674" s="24">
        <f t="shared" ca="1" si="181"/>
        <v>0.10455979407381588</v>
      </c>
      <c r="AB674" s="9" cm="1">
        <f t="array" aca="1" ref="AB674" ca="1">_xll.BDH($E$8,"PX LAST",AG674)</f>
        <v>4565.72</v>
      </c>
      <c r="AC674" s="9" cm="1">
        <f t="array" aca="1" ref="AC674" ca="1">_xll.BDH($E$8,"PX LAST",AH674)</f>
        <v>4472.16</v>
      </c>
      <c r="AD674" s="9" cm="1">
        <f t="array" aca="1" ref="AD674" ca="1">_xll.BDH($E$8,"PX LAST",AI674)</f>
        <v>4446.82</v>
      </c>
      <c r="AE674" s="9" cm="1">
        <f t="array" aca="1" ref="AE674" ca="1">_xll.BDH($E$8,"PX LAST",AJ674)</f>
        <v>4388.71</v>
      </c>
      <c r="AF674" s="9" cm="1">
        <f t="array" aca="1" ref="AF674" ca="1">_xll.BDH($E$8,"PX LAST",AK674)</f>
        <v>4133.5200000000004</v>
      </c>
      <c r="AG674" s="20">
        <f t="shared" ca="1" si="187"/>
        <v>45126</v>
      </c>
      <c r="AH674" s="22">
        <f t="shared" ca="1" si="182"/>
        <v>45119</v>
      </c>
      <c r="AI674" s="22">
        <f t="shared" ca="1" si="183"/>
        <v>45112</v>
      </c>
      <c r="AJ674" s="22">
        <f t="shared" ca="1" si="184"/>
        <v>45097</v>
      </c>
      <c r="AK674" s="22">
        <f t="shared" ca="1" si="185"/>
        <v>45037</v>
      </c>
      <c r="AL674" s="22">
        <f t="shared" ca="1" si="186"/>
        <v>44951</v>
      </c>
    </row>
    <row r="675" spans="4:38" x14ac:dyDescent="0.25">
      <c r="D675" s="6">
        <f ca="1"/>
        <v>45125</v>
      </c>
      <c r="E675" s="28">
        <f ca="1"/>
        <v>176.02</v>
      </c>
      <c r="F675" s="29" cm="1">
        <f t="array" aca="1" ref="F675" ca="1">_xll.FDS($E$7,"P_BETA_LOCIDX("&amp;$AG675&amp;","&amp;$AL675&amp;",,"""&amp;$E$9&amp;""")")</f>
        <v>1.9523889999999999</v>
      </c>
      <c r="G675" s="30">
        <f t="shared" ca="1" si="172"/>
        <v>-6.7541764610020705E-2</v>
      </c>
      <c r="H675" s="30">
        <f t="shared" ca="1" si="172"/>
        <v>-5.4230527492963386E-2</v>
      </c>
      <c r="I675" s="30">
        <f t="shared" ca="1" si="172"/>
        <v>-1.6946479971418987E-2</v>
      </c>
      <c r="J675" s="30">
        <f t="shared" ca="1" si="170"/>
        <v>3.0758727606155362E-2</v>
      </c>
      <c r="K675" s="30">
        <f t="shared" ca="1" si="173"/>
        <v>5.0893719917283309E-2</v>
      </c>
      <c r="L675" s="30">
        <f t="shared" ca="1" si="173"/>
        <v>4.3551570658431148E-2</v>
      </c>
      <c r="M675" s="30">
        <f t="shared" ca="1" si="173"/>
        <v>6.4372841173442136E-2</v>
      </c>
      <c r="N675" s="30">
        <f t="shared" ca="1" si="171"/>
        <v>0.20101174125318691</v>
      </c>
      <c r="O675" s="30">
        <f t="shared" ca="1" si="174"/>
        <v>-1.6648044692737396E-2</v>
      </c>
      <c r="P675" s="30">
        <f t="shared" ca="1" si="175"/>
        <v>-1.0678956834532238E-2</v>
      </c>
      <c r="Q675" s="30">
        <f t="shared" ca="1" si="176"/>
        <v>4.7426361202023148E-2</v>
      </c>
      <c r="R675" s="30">
        <f t="shared" ca="1" si="177"/>
        <v>0.23177046885934227</v>
      </c>
      <c r="S675" s="9" cm="1">
        <f t="array" aca="1" ref="S675" ca="1">_xll.BDH($E$6,"PX LAST",AG675)</f>
        <v>176.02</v>
      </c>
      <c r="T675" s="9" cm="1">
        <f t="array" aca="1" ref="T675" ca="1">_xll.BDH($E$6,"PX LAST",AH675)</f>
        <v>179</v>
      </c>
      <c r="U675" s="9" cm="1">
        <f t="array" aca="1" ref="U675" ca="1">_xll.BDH($E$6,"PX LAST",AI675)</f>
        <v>177.92</v>
      </c>
      <c r="V675" s="9" cm="1">
        <f t="array" aca="1" ref="V675" ca="1">_xll.BDH($E$6,"PX LAST",AJ675)</f>
        <v>168.05</v>
      </c>
      <c r="W675" s="9" cm="1">
        <f t="array" aca="1" ref="W675" ca="1">_xll.BDH($E$6,"PX LAST",AK675)</f>
        <v>142.9</v>
      </c>
      <c r="X675" s="24">
        <f t="shared" ca="1" si="178"/>
        <v>2.606740763100146E-2</v>
      </c>
      <c r="Y675" s="24">
        <f t="shared" ca="1" si="179"/>
        <v>2.2306810096979213E-2</v>
      </c>
      <c r="Z675" s="24">
        <f t="shared" ca="1" si="180"/>
        <v>3.2971319329007764E-2</v>
      </c>
      <c r="AA675" s="24">
        <f t="shared" ca="1" si="181"/>
        <v>0.10295680894185888</v>
      </c>
      <c r="AB675" s="9" cm="1">
        <f t="array" aca="1" ref="AB675" ca="1">_xll.BDH($E$8,"PX LAST",AG675)</f>
        <v>4554.9799999999996</v>
      </c>
      <c r="AC675" s="9" cm="1">
        <f t="array" aca="1" ref="AC675" ca="1">_xll.BDH($E$8,"PX LAST",AH675)</f>
        <v>4439.26</v>
      </c>
      <c r="AD675" s="9" cm="1">
        <f t="array" aca="1" ref="AD675" ca="1">_xll.BDH($E$8,"PX LAST",AI675)</f>
        <v>4455.59</v>
      </c>
      <c r="AE675" s="9" cm="1">
        <f t="array" aca="1" ref="AE675" ca="1">_xll.BDH($E$8,"PX LAST",AJ675)</f>
        <v>4409.59</v>
      </c>
      <c r="AF675" s="9" cm="1">
        <f t="array" aca="1" ref="AF675" ca="1">_xll.BDH($E$8,"PX LAST",AK675)</f>
        <v>4129.79</v>
      </c>
      <c r="AG675" s="20">
        <f t="shared" ca="1" si="187"/>
        <v>45125</v>
      </c>
      <c r="AH675" s="22">
        <f t="shared" ca="1" si="182"/>
        <v>45118</v>
      </c>
      <c r="AI675" s="22">
        <f t="shared" ca="1" si="183"/>
        <v>45110</v>
      </c>
      <c r="AJ675" s="22">
        <f t="shared" ca="1" si="184"/>
        <v>45093</v>
      </c>
      <c r="AK675" s="22">
        <f t="shared" ca="1" si="185"/>
        <v>45036</v>
      </c>
      <c r="AL675" s="22">
        <f t="shared" ca="1" si="186"/>
        <v>44950</v>
      </c>
    </row>
    <row r="676" spans="4:38" x14ac:dyDescent="0.25">
      <c r="D676" s="6">
        <f ca="1"/>
        <v>45124</v>
      </c>
      <c r="E676" s="28">
        <f ca="1"/>
        <v>172.24</v>
      </c>
      <c r="F676" s="29" cm="1">
        <f t="array" aca="1" ref="F676" ca="1">_xll.FDS($E$7,"P_BETA_LOCIDX("&amp;$AG676&amp;","&amp;$AL676&amp;",,"""&amp;$E$9&amp;""")")</f>
        <v>1.9359599000000001</v>
      </c>
      <c r="G676" s="30">
        <f t="shared" ca="1" si="172"/>
        <v>-0.10903751796368255</v>
      </c>
      <c r="H676" s="30">
        <f t="shared" ca="1" si="172"/>
        <v>-6.9586867466854815E-2</v>
      </c>
      <c r="I676" s="30">
        <f t="shared" ca="1" si="172"/>
        <v>-2.1242475817663559E-2</v>
      </c>
      <c r="J676" s="30">
        <f t="shared" ca="1" si="170"/>
        <v>4.1860775302645536E-2</v>
      </c>
      <c r="K676" s="30">
        <f t="shared" ca="1" si="173"/>
        <v>4.9725666516386109E-2</v>
      </c>
      <c r="L676" s="30">
        <f t="shared" ca="1" si="173"/>
        <v>3.1499075665224127E-2</v>
      </c>
      <c r="M676" s="30">
        <f t="shared" ca="1" si="173"/>
        <v>4.2408065430517089E-2</v>
      </c>
      <c r="N676" s="30">
        <f t="shared" ca="1" si="171"/>
        <v>0.17160970518206631</v>
      </c>
      <c r="O676" s="30">
        <f t="shared" ca="1" si="174"/>
        <v>-5.9311851447296449E-2</v>
      </c>
      <c r="P676" s="30">
        <f t="shared" ca="1" si="175"/>
        <v>-3.8087791801630688E-2</v>
      </c>
      <c r="Q676" s="30">
        <f t="shared" ca="1" si="176"/>
        <v>2.116558961285353E-2</v>
      </c>
      <c r="R676" s="30">
        <f t="shared" ca="1" si="177"/>
        <v>0.21347048048471184</v>
      </c>
      <c r="S676" s="9" cm="1">
        <f t="array" aca="1" ref="S676" ca="1">_xll.BDH($E$6,"PX LAST",AG676)</f>
        <v>172.24</v>
      </c>
      <c r="T676" s="9" cm="1">
        <f t="array" aca="1" ref="T676" ca="1">_xll.BDH($E$6,"PX LAST",AH676)</f>
        <v>183.1</v>
      </c>
      <c r="U676" s="9" cm="1">
        <f t="array" aca="1" ref="U676" ca="1">_xll.BDH($E$6,"PX LAST",AI676)</f>
        <v>179.06</v>
      </c>
      <c r="V676" s="9" cm="1">
        <f t="array" aca="1" ref="V676" ca="1">_xll.BDH($E$6,"PX LAST",AJ676)</f>
        <v>168.67</v>
      </c>
      <c r="W676" s="9" cm="1">
        <f t="array" aca="1" ref="W676" ca="1">_xll.BDH($E$6,"PX LAST",AK676)</f>
        <v>141.94</v>
      </c>
      <c r="X676" s="24">
        <f t="shared" ca="1" si="178"/>
        <v>2.5685277115701677E-2</v>
      </c>
      <c r="Y676" s="24">
        <f t="shared" ca="1" si="179"/>
        <v>1.6270520719579018E-2</v>
      </c>
      <c r="Z676" s="24">
        <f t="shared" ca="1" si="180"/>
        <v>2.1905446197783895E-2</v>
      </c>
      <c r="AA676" s="24">
        <f t="shared" ca="1" si="181"/>
        <v>8.864321269364428E-2</v>
      </c>
      <c r="AB676" s="9" cm="1">
        <f t="array" aca="1" ref="AB676" ca="1">_xll.BDH($E$8,"PX LAST",AG676)</f>
        <v>4522.79</v>
      </c>
      <c r="AC676" s="9" cm="1">
        <f t="array" aca="1" ref="AC676" ca="1">_xll.BDH($E$8,"PX LAST",AH676)</f>
        <v>4409.53</v>
      </c>
      <c r="AD676" s="9" cm="1">
        <f t="array" aca="1" ref="AD676" ca="1">_xll.BDH($E$8,"PX LAST",AI676)</f>
        <v>4450.38</v>
      </c>
      <c r="AE676" s="9" cm="1">
        <f t="array" aca="1" ref="AE676" ca="1">_xll.BDH($E$8,"PX LAST",AJ676)</f>
        <v>4425.84</v>
      </c>
      <c r="AF676" s="9" cm="1">
        <f t="array" aca="1" ref="AF676" ca="1">_xll.BDH($E$8,"PX LAST",AK676)</f>
        <v>4154.5200000000004</v>
      </c>
      <c r="AG676" s="20">
        <f t="shared" ca="1" si="187"/>
        <v>45124</v>
      </c>
      <c r="AH676" s="22">
        <f t="shared" ca="1" si="182"/>
        <v>45117</v>
      </c>
      <c r="AI676" s="22">
        <f t="shared" ca="1" si="183"/>
        <v>45107</v>
      </c>
      <c r="AJ676" s="22">
        <f t="shared" ca="1" si="184"/>
        <v>45092</v>
      </c>
      <c r="AK676" s="22">
        <f t="shared" ca="1" si="185"/>
        <v>45035</v>
      </c>
      <c r="AL676" s="22">
        <f t="shared" ca="1" si="186"/>
        <v>44949</v>
      </c>
    </row>
    <row r="677" spans="4:38" x14ac:dyDescent="0.25">
      <c r="D677" s="6">
        <f ca="1"/>
        <v>45121</v>
      </c>
      <c r="E677" s="28">
        <f ca="1"/>
        <v>172.31</v>
      </c>
      <c r="F677" s="29" cm="1">
        <f t="array" aca="1" ref="F677" ca="1">_xll.FDS($E$7,"P_BETA_LOCIDX("&amp;$AG677&amp;","&amp;$AL677&amp;",,"""&amp;$E$9&amp;""")")</f>
        <v>1.9265251999999999</v>
      </c>
      <c r="G677" s="30">
        <f t="shared" ca="1" si="172"/>
        <v>-8.0819567248539601E-2</v>
      </c>
      <c r="H677" s="30">
        <f t="shared" ca="1" si="172"/>
        <v>-6.6155529289797954E-2</v>
      </c>
      <c r="I677" s="30">
        <f t="shared" ca="1" si="172"/>
        <v>-7.9170747130864888E-3</v>
      </c>
      <c r="J677" s="30">
        <f t="shared" ca="1" si="170"/>
        <v>3.9061296400068085E-2</v>
      </c>
      <c r="K677" s="30">
        <f t="shared" ca="1" si="173"/>
        <v>4.6628658667182063E-2</v>
      </c>
      <c r="L677" s="30">
        <f t="shared" ca="1" si="173"/>
        <v>4.7755164700530643E-2</v>
      </c>
      <c r="M677" s="30">
        <f t="shared" ca="1" si="173"/>
        <v>5.8523745038066829E-2</v>
      </c>
      <c r="N677" s="30">
        <f t="shared" ca="1" si="171"/>
        <v>0.16254260876032231</v>
      </c>
      <c r="O677" s="30">
        <f t="shared" ca="1" si="174"/>
        <v>-3.4190908581357538E-2</v>
      </c>
      <c r="P677" s="30">
        <f t="shared" ca="1" si="175"/>
        <v>-1.8400364589267304E-2</v>
      </c>
      <c r="Q677" s="30">
        <f t="shared" ca="1" si="176"/>
        <v>5.0606670324980341E-2</v>
      </c>
      <c r="R677" s="30">
        <f t="shared" ca="1" si="177"/>
        <v>0.2016039051603904</v>
      </c>
      <c r="S677" s="9" cm="1">
        <f t="array" aca="1" ref="S677" ca="1">_xll.BDH($E$6,"PX LAST",AG677)</f>
        <v>172.31</v>
      </c>
      <c r="T677" s="9" cm="1">
        <f t="array" aca="1" ref="T677" ca="1">_xll.BDH($E$6,"PX LAST",AH677)</f>
        <v>178.41</v>
      </c>
      <c r="U677" s="9" cm="1">
        <f t="array" aca="1" ref="U677" ca="1">_xll.BDH($E$6,"PX LAST",AI677)</f>
        <v>175.54</v>
      </c>
      <c r="V677" s="9" cm="1">
        <f t="array" aca="1" ref="V677" ca="1">_xll.BDH($E$6,"PX LAST",AJ677)</f>
        <v>164.01</v>
      </c>
      <c r="W677" s="9" cm="1">
        <f t="array" aca="1" ref="W677" ca="1">_xll.BDH($E$6,"PX LAST",AK677)</f>
        <v>143.4</v>
      </c>
      <c r="X677" s="24">
        <f t="shared" ca="1" si="178"/>
        <v>2.4203503108696456E-2</v>
      </c>
      <c r="Y677" s="24">
        <f t="shared" ca="1" si="179"/>
        <v>2.4788237756002696E-2</v>
      </c>
      <c r="Z677" s="24">
        <f t="shared" ca="1" si="180"/>
        <v>3.0377876727523123E-2</v>
      </c>
      <c r="AA677" s="24">
        <f t="shared" ca="1" si="181"/>
        <v>8.4370870809435727E-2</v>
      </c>
      <c r="AB677" s="9" cm="1">
        <f t="array" aca="1" ref="AB677" ca="1">_xll.BDH($E$8,"PX LAST",AG677)</f>
        <v>4505.42</v>
      </c>
      <c r="AC677" s="9" cm="1">
        <f t="array" aca="1" ref="AC677" ca="1">_xll.BDH($E$8,"PX LAST",AH677)</f>
        <v>4398.95</v>
      </c>
      <c r="AD677" s="9" cm="1">
        <f t="array" aca="1" ref="AD677" ca="1">_xll.BDH($E$8,"PX LAST",AI677)</f>
        <v>4396.4399999999996</v>
      </c>
      <c r="AE677" s="9" cm="1">
        <f t="array" aca="1" ref="AE677" ca="1">_xll.BDH($E$8,"PX LAST",AJ677)</f>
        <v>4372.59</v>
      </c>
      <c r="AF677" s="9" cm="1">
        <f t="array" aca="1" ref="AF677" ca="1">_xll.BDH($E$8,"PX LAST",AK677)</f>
        <v>4154.87</v>
      </c>
      <c r="AG677" s="20">
        <f t="shared" ca="1" si="187"/>
        <v>45121</v>
      </c>
      <c r="AH677" s="22">
        <f t="shared" ca="1" si="182"/>
        <v>45114</v>
      </c>
      <c r="AI677" s="22">
        <f t="shared" ca="1" si="183"/>
        <v>45106</v>
      </c>
      <c r="AJ677" s="22">
        <f t="shared" ca="1" si="184"/>
        <v>45091</v>
      </c>
      <c r="AK677" s="22">
        <f t="shared" ca="1" si="185"/>
        <v>45034</v>
      </c>
      <c r="AL677" s="22">
        <f t="shared" ca="1" si="186"/>
        <v>44946</v>
      </c>
    </row>
    <row r="678" spans="4:38" x14ac:dyDescent="0.25">
      <c r="D678" s="6">
        <f ca="1"/>
        <v>45120</v>
      </c>
      <c r="E678" s="28">
        <f ca="1"/>
        <v>178.13</v>
      </c>
      <c r="F678" s="29" cm="1">
        <f t="array" aca="1" ref="F678" ca="1">_xll.FDS($E$7,"P_BETA_LOCIDX("&amp;$AG678&amp;","&amp;$AL678&amp;",,"""&amp;$E$9&amp;""")")</f>
        <v>1.919092</v>
      </c>
      <c r="G678" s="30">
        <f t="shared" ca="1" si="172"/>
        <v>-2.6103129329291173E-2</v>
      </c>
      <c r="H678" s="30">
        <f t="shared" ca="1" si="172"/>
        <v>-4.7498437818905614E-2</v>
      </c>
      <c r="I678" s="30">
        <f t="shared" ca="1" si="172"/>
        <v>8.6739007680922894E-3</v>
      </c>
      <c r="J678" s="30">
        <f t="shared" ca="1" si="170"/>
        <v>0.11200278074374653</v>
      </c>
      <c r="K678" s="30">
        <f t="shared" ca="1" si="173"/>
        <v>4.2826873621528615E-2</v>
      </c>
      <c r="L678" s="30">
        <f t="shared" ca="1" si="173"/>
        <v>5.8394527711647104E-2</v>
      </c>
      <c r="M678" s="30">
        <f t="shared" ca="1" si="173"/>
        <v>6.1947568158461343E-2</v>
      </c>
      <c r="N678" s="30">
        <f t="shared" ca="1" si="171"/>
        <v>0.16583079170962506</v>
      </c>
      <c r="O678" s="30">
        <f t="shared" ca="1" si="174"/>
        <v>1.6723744292237441E-2</v>
      </c>
      <c r="P678" s="30">
        <f t="shared" ca="1" si="175"/>
        <v>1.089608989274149E-2</v>
      </c>
      <c r="Q678" s="30">
        <f t="shared" ca="1" si="176"/>
        <v>7.0621468926553632E-2</v>
      </c>
      <c r="R678" s="30">
        <f t="shared" ca="1" si="177"/>
        <v>0.27783357245337159</v>
      </c>
      <c r="S678" s="9" cm="1">
        <f t="array" aca="1" ref="S678" ca="1">_xll.BDH($E$6,"PX LAST",AG678)</f>
        <v>178.13</v>
      </c>
      <c r="T678" s="9" cm="1">
        <f t="array" aca="1" ref="T678" ca="1">_xll.BDH($E$6,"PX LAST",AH678)</f>
        <v>175.2</v>
      </c>
      <c r="U678" s="9" cm="1">
        <f t="array" aca="1" ref="U678" ca="1">_xll.BDH($E$6,"PX LAST",AI678)</f>
        <v>176.21</v>
      </c>
      <c r="V678" s="9" cm="1">
        <f t="array" aca="1" ref="V678" ca="1">_xll.BDH($E$6,"PX LAST",AJ678)</f>
        <v>166.38</v>
      </c>
      <c r="W678" s="9" cm="1">
        <f t="array" aca="1" ref="W678" ca="1">_xll.BDH($E$6,"PX LAST",AK678)</f>
        <v>139.4</v>
      </c>
      <c r="X678" s="24">
        <f t="shared" ca="1" si="178"/>
        <v>2.2316217055528664E-2</v>
      </c>
      <c r="Y678" s="24">
        <f t="shared" ca="1" si="179"/>
        <v>3.0428206522484125E-2</v>
      </c>
      <c r="Z678" s="24">
        <f t="shared" ca="1" si="180"/>
        <v>3.227962398804296E-2</v>
      </c>
      <c r="AA678" s="24">
        <f t="shared" ca="1" si="181"/>
        <v>8.6411069250262651E-2</v>
      </c>
      <c r="AB678" s="9" cm="1">
        <f t="array" aca="1" ref="AB678" ca="1">_xll.BDH($E$8,"PX LAST",AG678)</f>
        <v>4510.04</v>
      </c>
      <c r="AC678" s="9" cm="1">
        <f t="array" aca="1" ref="AC678" ca="1">_xll.BDH($E$8,"PX LAST",AH678)</f>
        <v>4411.59</v>
      </c>
      <c r="AD678" s="9" cm="1">
        <f t="array" aca="1" ref="AD678" ca="1">_xll.BDH($E$8,"PX LAST",AI678)</f>
        <v>4376.8599999999997</v>
      </c>
      <c r="AE678" s="9" cm="1">
        <f t="array" aca="1" ref="AE678" ca="1">_xll.BDH($E$8,"PX LAST",AJ678)</f>
        <v>4369.01</v>
      </c>
      <c r="AF678" s="9" cm="1">
        <f t="array" aca="1" ref="AF678" ca="1">_xll.BDH($E$8,"PX LAST",AK678)</f>
        <v>4151.32</v>
      </c>
      <c r="AG678" s="20">
        <f t="shared" ca="1" si="187"/>
        <v>45120</v>
      </c>
      <c r="AH678" s="22">
        <f t="shared" ca="1" si="182"/>
        <v>45113</v>
      </c>
      <c r="AI678" s="22">
        <f t="shared" ca="1" si="183"/>
        <v>45105</v>
      </c>
      <c r="AJ678" s="22">
        <f t="shared" ca="1" si="184"/>
        <v>45090</v>
      </c>
      <c r="AK678" s="22">
        <f t="shared" ca="1" si="185"/>
        <v>45033</v>
      </c>
      <c r="AL678" s="22">
        <f t="shared" ca="1" si="186"/>
        <v>44945</v>
      </c>
    </row>
    <row r="679" spans="4:38" x14ac:dyDescent="0.25">
      <c r="D679" s="6">
        <f ca="1"/>
        <v>45119</v>
      </c>
      <c r="E679" s="28">
        <f ca="1"/>
        <v>178.11</v>
      </c>
      <c r="F679" s="29" cm="1">
        <f t="array" aca="1" ref="F679" ca="1">_xll.FDS($E$7,"P_BETA_LOCIDX("&amp;$AG679&amp;","&amp;$AL679&amp;",,"""&amp;$E$9&amp;""")")</f>
        <v>1.9117512999999999</v>
      </c>
      <c r="G679" s="30">
        <f t="shared" ca="1" si="172"/>
        <v>-3.0284771567878534E-3</v>
      </c>
      <c r="H679" s="30">
        <f t="shared" ca="1" si="172"/>
        <v>-1.3771564247572469E-2</v>
      </c>
      <c r="I679" s="30">
        <f t="shared" ca="1" si="172"/>
        <v>4.7434170254415139E-2</v>
      </c>
      <c r="J679" s="30">
        <f t="shared" ca="1" si="170"/>
        <v>0.14153824217147482</v>
      </c>
      <c r="K679" s="30">
        <f t="shared" ca="1" si="173"/>
        <v>1.0894027179422635E-2</v>
      </c>
      <c r="L679" s="30">
        <f t="shared" ca="1" si="173"/>
        <v>4.0934194005358075E-2</v>
      </c>
      <c r="M679" s="30">
        <f t="shared" ca="1" si="173"/>
        <v>5.8701713486734988E-2</v>
      </c>
      <c r="N679" s="30">
        <f t="shared" ca="1" si="171"/>
        <v>0.15456130665693468</v>
      </c>
      <c r="O679" s="30">
        <f t="shared" ca="1" si="174"/>
        <v>7.8655500226347819E-3</v>
      </c>
      <c r="P679" s="30">
        <f t="shared" ca="1" si="175"/>
        <v>2.7162629757785606E-2</v>
      </c>
      <c r="Q679" s="30">
        <f t="shared" ca="1" si="176"/>
        <v>0.10613588374115013</v>
      </c>
      <c r="R679" s="30">
        <f t="shared" ca="1" si="177"/>
        <v>0.2960995488284095</v>
      </c>
      <c r="S679" s="9" cm="1">
        <f t="array" aca="1" ref="S679" ca="1">_xll.BDH($E$6,"PX LAST",AG679)</f>
        <v>178.11</v>
      </c>
      <c r="T679" s="9" cm="1">
        <f t="array" aca="1" ref="T679" ca="1">_xll.BDH($E$6,"PX LAST",AH679)</f>
        <v>176.72</v>
      </c>
      <c r="U679" s="9" cm="1">
        <f t="array" aca="1" ref="U679" ca="1">_xll.BDH($E$6,"PX LAST",AI679)</f>
        <v>173.4</v>
      </c>
      <c r="V679" s="9" cm="1">
        <f t="array" aca="1" ref="V679" ca="1">_xll.BDH($E$6,"PX LAST",AJ679)</f>
        <v>161.02000000000001</v>
      </c>
      <c r="W679" s="9" cm="1">
        <f t="array" aca="1" ref="W679" ca="1">_xll.BDH($E$6,"PX LAST",AK679)</f>
        <v>137.41999999999999</v>
      </c>
      <c r="X679" s="24">
        <f t="shared" ca="1" si="178"/>
        <v>5.6984541762428176E-3</v>
      </c>
      <c r="Y679" s="24">
        <f t="shared" ca="1" si="179"/>
        <v>2.1411882395664161E-2</v>
      </c>
      <c r="Z679" s="24">
        <f t="shared" ca="1" si="180"/>
        <v>3.0705726987990012E-2</v>
      </c>
      <c r="AA679" s="24">
        <f t="shared" ca="1" si="181"/>
        <v>8.0848019644048197E-2</v>
      </c>
      <c r="AB679" s="9" cm="1">
        <f t="array" aca="1" ref="AB679" ca="1">_xll.BDH($E$8,"PX LAST",AG679)</f>
        <v>4472.16</v>
      </c>
      <c r="AC679" s="9" cm="1">
        <f t="array" aca="1" ref="AC679" ca="1">_xll.BDH($E$8,"PX LAST",AH679)</f>
        <v>4446.82</v>
      </c>
      <c r="AD679" s="9" cm="1">
        <f t="array" aca="1" ref="AD679" ca="1">_xll.BDH($E$8,"PX LAST",AI679)</f>
        <v>4378.41</v>
      </c>
      <c r="AE679" s="9" cm="1">
        <f t="array" aca="1" ref="AE679" ca="1">_xll.BDH($E$8,"PX LAST",AJ679)</f>
        <v>4338.93</v>
      </c>
      <c r="AF679" s="9" cm="1">
        <f t="array" aca="1" ref="AF679" ca="1">_xll.BDH($E$8,"PX LAST",AK679)</f>
        <v>4137.6400000000003</v>
      </c>
      <c r="AG679" s="20">
        <f t="shared" ca="1" si="187"/>
        <v>45119</v>
      </c>
      <c r="AH679" s="22">
        <f t="shared" ca="1" si="182"/>
        <v>45112</v>
      </c>
      <c r="AI679" s="22">
        <f t="shared" ca="1" si="183"/>
        <v>45104</v>
      </c>
      <c r="AJ679" s="22">
        <f t="shared" ca="1" si="184"/>
        <v>45089</v>
      </c>
      <c r="AK679" s="22">
        <f t="shared" ca="1" si="185"/>
        <v>45030</v>
      </c>
      <c r="AL679" s="22">
        <f t="shared" ca="1" si="186"/>
        <v>44944</v>
      </c>
    </row>
    <row r="680" spans="4:38" x14ac:dyDescent="0.25">
      <c r="D680" s="6">
        <f ca="1"/>
        <v>45118</v>
      </c>
      <c r="E680" s="28">
        <f ca="1"/>
        <v>179</v>
      </c>
      <c r="F680" s="29" cm="1">
        <f t="array" aca="1" ref="F680" ca="1">_xll.FDS($E$7,"P_BETA_LOCIDX("&amp;$AG680&amp;","&amp;$AL680&amp;",,"""&amp;$E$9&amp;""")")</f>
        <v>1.9260995000000001</v>
      </c>
      <c r="G680" s="30">
        <f t="shared" ca="1" si="172"/>
        <v>1.3129412092918503E-2</v>
      </c>
      <c r="H680" s="30">
        <f t="shared" ca="1" si="172"/>
        <v>2.4323218934332251E-2</v>
      </c>
      <c r="I680" s="30">
        <f t="shared" ca="1" si="172"/>
        <v>9.4022579547062321E-2</v>
      </c>
      <c r="J680" s="30">
        <f t="shared" ca="1" si="170"/>
        <v>0.17005815064817556</v>
      </c>
      <c r="K680" s="30">
        <f t="shared" ca="1" si="173"/>
        <v>-7.0592682080262599E-3</v>
      </c>
      <c r="L680" s="30">
        <f t="shared" ca="1" si="173"/>
        <v>4.9140049431484929E-2</v>
      </c>
      <c r="M680" s="30">
        <f t="shared" ca="1" si="173"/>
        <v>6.2906065747663734E-2</v>
      </c>
      <c r="N680" s="30">
        <f t="shared" ca="1" si="171"/>
        <v>0.13612982366589341</v>
      </c>
      <c r="O680" s="30">
        <f t="shared" ca="1" si="174"/>
        <v>6.0701438848922429E-3</v>
      </c>
      <c r="P680" s="30">
        <f t="shared" ca="1" si="175"/>
        <v>7.346326836581718E-2</v>
      </c>
      <c r="Q680" s="30">
        <f t="shared" ca="1" si="176"/>
        <v>0.15692864529472605</v>
      </c>
      <c r="R680" s="30">
        <f t="shared" ca="1" si="177"/>
        <v>0.30618797431406897</v>
      </c>
      <c r="S680" s="9" cm="1">
        <f t="array" aca="1" ref="S680" ca="1">_xll.BDH($E$6,"PX LAST",AG680)</f>
        <v>179</v>
      </c>
      <c r="T680" s="9" cm="1">
        <f t="array" aca="1" ref="T680" ca="1">_xll.BDH($E$6,"PX LAST",AH680)</f>
        <v>177.92</v>
      </c>
      <c r="U680" s="9" cm="1">
        <f t="array" aca="1" ref="U680" ca="1">_xll.BDH($E$6,"PX LAST",AI680)</f>
        <v>166.75</v>
      </c>
      <c r="V680" s="9" cm="1">
        <f t="array" aca="1" ref="V680" ca="1">_xll.BDH($E$6,"PX LAST",AJ680)</f>
        <v>154.72</v>
      </c>
      <c r="W680" s="9" cm="1">
        <f t="array" aca="1" ref="W680" ca="1">_xll.BDH($E$6,"PX LAST",AK680)</f>
        <v>137.04</v>
      </c>
      <c r="X680" s="24">
        <f t="shared" ca="1" si="178"/>
        <v>-3.6650589484220619E-3</v>
      </c>
      <c r="Y680" s="24">
        <f t="shared" ca="1" si="179"/>
        <v>2.5512726331887281E-2</v>
      </c>
      <c r="Z680" s="24">
        <f t="shared" ca="1" si="180"/>
        <v>3.265982144103341E-2</v>
      </c>
      <c r="AA680" s="24">
        <f t="shared" ca="1" si="181"/>
        <v>7.0676423344636863E-2</v>
      </c>
      <c r="AB680" s="9" cm="1">
        <f t="array" aca="1" ref="AB680" ca="1">_xll.BDH($E$8,"PX LAST",AG680)</f>
        <v>4439.26</v>
      </c>
      <c r="AC680" s="9" cm="1">
        <f t="array" aca="1" ref="AC680" ca="1">_xll.BDH($E$8,"PX LAST",AH680)</f>
        <v>4455.59</v>
      </c>
      <c r="AD680" s="9" cm="1">
        <f t="array" aca="1" ref="AD680" ca="1">_xll.BDH($E$8,"PX LAST",AI680)</f>
        <v>4328.82</v>
      </c>
      <c r="AE680" s="9" cm="1">
        <f t="array" aca="1" ref="AE680" ca="1">_xll.BDH($E$8,"PX LAST",AJ680)</f>
        <v>4298.8599999999997</v>
      </c>
      <c r="AF680" s="9" cm="1">
        <f t="array" aca="1" ref="AF680" ca="1">_xll.BDH($E$8,"PX LAST",AK680)</f>
        <v>4146.22</v>
      </c>
      <c r="AG680" s="20">
        <f t="shared" ca="1" si="187"/>
        <v>45118</v>
      </c>
      <c r="AH680" s="22">
        <f t="shared" ca="1" si="182"/>
        <v>45110</v>
      </c>
      <c r="AI680" s="22">
        <f t="shared" ca="1" si="183"/>
        <v>45103</v>
      </c>
      <c r="AJ680" s="22">
        <f t="shared" ca="1" si="184"/>
        <v>45086</v>
      </c>
      <c r="AK680" s="22">
        <f t="shared" ca="1" si="185"/>
        <v>45029</v>
      </c>
      <c r="AL680" s="22">
        <f t="shared" ca="1" si="186"/>
        <v>44943</v>
      </c>
    </row>
    <row r="681" spans="4:38" x14ac:dyDescent="0.25">
      <c r="D681" s="6">
        <f ca="1"/>
        <v>45117</v>
      </c>
      <c r="E681" s="28">
        <f ca="1"/>
        <v>183.1</v>
      </c>
      <c r="F681" s="29" cm="1">
        <f t="array" aca="1" ref="F681" ca="1">_xll.FDS($E$7,"P_BETA_LOCIDX("&amp;$AG681&amp;","&amp;$AL681&amp;",,"""&amp;$E$9&amp;""")")</f>
        <v>1.9461884</v>
      </c>
      <c r="G681" s="30">
        <f t="shared" ca="1" si="172"/>
        <v>4.0426316327427513E-2</v>
      </c>
      <c r="H681" s="30">
        <f t="shared" ca="1" si="172"/>
        <v>6.3138704168800408E-2</v>
      </c>
      <c r="I681" s="30">
        <f t="shared" ca="1" si="172"/>
        <v>0.12388689175933737</v>
      </c>
      <c r="J681" s="30">
        <f t="shared" ca="1" si="170"/>
        <v>0.18603646342342403</v>
      </c>
      <c r="K681" s="30">
        <f t="shared" ca="1" si="173"/>
        <v>-1.7864046697136114E-2</v>
      </c>
      <c r="L681" s="30">
        <f t="shared" ca="1" si="173"/>
        <v>2.7391373258239475E-2</v>
      </c>
      <c r="M681" s="30">
        <f t="shared" ca="1" si="173"/>
        <v>5.2394747711303875E-2</v>
      </c>
      <c r="N681" s="30">
        <f t="shared" ca="1" si="171"/>
        <v>0.15104547027016438</v>
      </c>
      <c r="O681" s="30">
        <f t="shared" ca="1" si="174"/>
        <v>2.2562269630291398E-2</v>
      </c>
      <c r="P681" s="30">
        <f t="shared" ca="1" si="175"/>
        <v>9.053007742703989E-2</v>
      </c>
      <c r="Q681" s="30">
        <f t="shared" ca="1" si="176"/>
        <v>0.17628163947064124</v>
      </c>
      <c r="R681" s="30">
        <f t="shared" ca="1" si="177"/>
        <v>0.33708193369358841</v>
      </c>
      <c r="S681" s="9" cm="1">
        <f t="array" aca="1" ref="S681" ca="1">_xll.BDH($E$6,"PX LAST",AG681)</f>
        <v>183.1</v>
      </c>
      <c r="T681" s="9" cm="1">
        <f t="array" aca="1" ref="T681" ca="1">_xll.BDH($E$6,"PX LAST",AH681)</f>
        <v>179.06</v>
      </c>
      <c r="U681" s="9" cm="1">
        <f t="array" aca="1" ref="U681" ca="1">_xll.BDH($E$6,"PX LAST",AI681)</f>
        <v>167.9</v>
      </c>
      <c r="V681" s="9" cm="1">
        <f t="array" aca="1" ref="V681" ca="1">_xll.BDH($E$6,"PX LAST",AJ681)</f>
        <v>155.66</v>
      </c>
      <c r="W681" s="9" cm="1">
        <f t="array" aca="1" ref="W681" ca="1">_xll.BDH($E$6,"PX LAST",AK681)</f>
        <v>136.94</v>
      </c>
      <c r="X681" s="24">
        <f t="shared" ca="1" si="178"/>
        <v>-9.1789914569093689E-3</v>
      </c>
      <c r="Y681" s="24">
        <f t="shared" ca="1" si="179"/>
        <v>1.4074368780658375E-2</v>
      </c>
      <c r="Z681" s="24">
        <f t="shared" ca="1" si="180"/>
        <v>2.6921724387682033E-2</v>
      </c>
      <c r="AA681" s="24">
        <f t="shared" ca="1" si="181"/>
        <v>7.7610918999498901E-2</v>
      </c>
      <c r="AB681" s="9" cm="1">
        <f t="array" aca="1" ref="AB681" ca="1">_xll.BDH($E$8,"PX LAST",AG681)</f>
        <v>4409.53</v>
      </c>
      <c r="AC681" s="9" cm="1">
        <f t="array" aca="1" ref="AC681" ca="1">_xll.BDH($E$8,"PX LAST",AH681)</f>
        <v>4450.38</v>
      </c>
      <c r="AD681" s="9" cm="1">
        <f t="array" aca="1" ref="AD681" ca="1">_xll.BDH($E$8,"PX LAST",AI681)</f>
        <v>4348.33</v>
      </c>
      <c r="AE681" s="9" cm="1">
        <f t="array" aca="1" ref="AE681" ca="1">_xll.BDH($E$8,"PX LAST",AJ681)</f>
        <v>4293.93</v>
      </c>
      <c r="AF681" s="9" cm="1">
        <f t="array" aca="1" ref="AF681" ca="1">_xll.BDH($E$8,"PX LAST",AK681)</f>
        <v>4091.95</v>
      </c>
      <c r="AG681" s="20">
        <f t="shared" ca="1" si="187"/>
        <v>45117</v>
      </c>
      <c r="AH681" s="22">
        <f t="shared" ca="1" si="182"/>
        <v>45107</v>
      </c>
      <c r="AI681" s="22">
        <f t="shared" ca="1" si="183"/>
        <v>45100</v>
      </c>
      <c r="AJ681" s="22">
        <f t="shared" ca="1" si="184"/>
        <v>45085</v>
      </c>
      <c r="AK681" s="22">
        <f t="shared" ca="1" si="185"/>
        <v>45028</v>
      </c>
      <c r="AL681" s="22">
        <f t="shared" ca="1" si="186"/>
        <v>44939</v>
      </c>
    </row>
    <row r="682" spans="4:38" x14ac:dyDescent="0.25">
      <c r="D682" s="6">
        <f ca="1"/>
        <v>45114</v>
      </c>
      <c r="E682" s="28">
        <f ca="1"/>
        <v>178.41</v>
      </c>
      <c r="F682" s="29" cm="1">
        <f t="array" aca="1" ref="F682" ca="1">_xll.FDS($E$7,"P_BETA_LOCIDX("&amp;$AG682&amp;","&amp;$AL682&amp;",,"""&amp;$E$9&amp;""")")</f>
        <v>1.9433488000000001</v>
      </c>
      <c r="G682" s="30">
        <f t="shared" ca="1" si="172"/>
        <v>1.5240060125620734E-2</v>
      </c>
      <c r="H682" s="30">
        <f t="shared" ca="1" si="172"/>
        <v>5.6932772270942823E-2</v>
      </c>
      <c r="I682" s="30">
        <f t="shared" ca="1" si="172"/>
        <v>0.10152145306579299</v>
      </c>
      <c r="J682" s="30">
        <f t="shared" ca="1" si="170"/>
        <v>0.17082916408605173</v>
      </c>
      <c r="K682" s="30">
        <f t="shared" ca="1" si="173"/>
        <v>1.109489834502432E-3</v>
      </c>
      <c r="L682" s="30">
        <f t="shared" ca="1" si="173"/>
        <v>7.5660344116347455E-3</v>
      </c>
      <c r="M682" s="30">
        <f t="shared" ca="1" si="173"/>
        <v>5.9850764093431014E-2</v>
      </c>
      <c r="N682" s="30">
        <f t="shared" ca="1" si="171"/>
        <v>0.13716203825998921</v>
      </c>
      <c r="O682" s="30">
        <f t="shared" ca="1" si="174"/>
        <v>1.6349549960123166E-2</v>
      </c>
      <c r="P682" s="30">
        <f t="shared" ca="1" si="175"/>
        <v>6.449880668257757E-2</v>
      </c>
      <c r="Q682" s="30">
        <f t="shared" ca="1" si="176"/>
        <v>0.16137221715922401</v>
      </c>
      <c r="R682" s="30">
        <f t="shared" ca="1" si="177"/>
        <v>0.30799120234604094</v>
      </c>
      <c r="S682" s="9" cm="1">
        <f t="array" aca="1" ref="S682" ca="1">_xll.BDH($E$6,"PX LAST",AG682)</f>
        <v>178.41</v>
      </c>
      <c r="T682" s="9" cm="1">
        <f t="array" aca="1" ref="T682" ca="1">_xll.BDH($E$6,"PX LAST",AH682)</f>
        <v>175.54</v>
      </c>
      <c r="U682" s="9" cm="1">
        <f t="array" aca="1" ref="U682" ca="1">_xll.BDH($E$6,"PX LAST",AI682)</f>
        <v>167.6</v>
      </c>
      <c r="V682" s="9" cm="1">
        <f t="array" aca="1" ref="V682" ca="1">_xll.BDH($E$6,"PX LAST",AJ682)</f>
        <v>153.62</v>
      </c>
      <c r="W682" s="9" cm="1">
        <f t="array" aca="1" ref="W682" ca="1">_xll.BDH($E$6,"PX LAST",AK682)</f>
        <v>136.4</v>
      </c>
      <c r="X682" s="24">
        <f t="shared" ca="1" si="178"/>
        <v>5.7091646877927005E-4</v>
      </c>
      <c r="Y682" s="24">
        <f t="shared" ca="1" si="179"/>
        <v>3.8932971845480058E-3</v>
      </c>
      <c r="Z682" s="24">
        <f t="shared" ca="1" si="180"/>
        <v>3.0797746700659712E-2</v>
      </c>
      <c r="AA682" s="24">
        <f t="shared" ca="1" si="181"/>
        <v>7.0580246973672045E-2</v>
      </c>
      <c r="AB682" s="9" cm="1">
        <f t="array" aca="1" ref="AB682" ca="1">_xll.BDH($E$8,"PX LAST",AG682)</f>
        <v>4398.95</v>
      </c>
      <c r="AC682" s="9" cm="1">
        <f t="array" aca="1" ref="AC682" ca="1">_xll.BDH($E$8,"PX LAST",AH682)</f>
        <v>4396.4399999999996</v>
      </c>
      <c r="AD682" s="9" cm="1">
        <f t="array" aca="1" ref="AD682" ca="1">_xll.BDH($E$8,"PX LAST",AI682)</f>
        <v>4381.8900000000003</v>
      </c>
      <c r="AE682" s="9" cm="1">
        <f t="array" aca="1" ref="AE682" ca="1">_xll.BDH($E$8,"PX LAST",AJ682)</f>
        <v>4267.5200000000004</v>
      </c>
      <c r="AF682" s="9" cm="1">
        <f t="array" aca="1" ref="AF682" ca="1">_xll.BDH($E$8,"PX LAST",AK682)</f>
        <v>4108.9399999999996</v>
      </c>
      <c r="AG682" s="20">
        <f t="shared" ca="1" si="187"/>
        <v>45114</v>
      </c>
      <c r="AH682" s="22">
        <f t="shared" ca="1" si="182"/>
        <v>45106</v>
      </c>
      <c r="AI682" s="22">
        <f t="shared" ca="1" si="183"/>
        <v>45099</v>
      </c>
      <c r="AJ682" s="22">
        <f t="shared" ca="1" si="184"/>
        <v>45084</v>
      </c>
      <c r="AK682" s="22">
        <f t="shared" ca="1" si="185"/>
        <v>45027</v>
      </c>
      <c r="AL682" s="22">
        <f t="shared" ca="1" si="186"/>
        <v>44938</v>
      </c>
    </row>
    <row r="683" spans="4:38" x14ac:dyDescent="0.25">
      <c r="D683" s="6">
        <f ca="1"/>
        <v>45113</v>
      </c>
      <c r="E683" s="28">
        <f ca="1"/>
        <v>175.2</v>
      </c>
      <c r="F683" s="29" cm="1">
        <f t="array" aca="1" ref="F683" ca="1">_xll.FDS($E$7,"P_BETA_LOCIDX("&amp;$AG683&amp;","&amp;$AL683&amp;",,"""&amp;$E$9&amp;""")")</f>
        <v>1.9089596</v>
      </c>
      <c r="G683" s="30">
        <f t="shared" ca="1" si="172"/>
        <v>-2.0879224188805327E-2</v>
      </c>
      <c r="H683" s="30">
        <f t="shared" ca="1" si="172"/>
        <v>-9.6315281729633211E-3</v>
      </c>
      <c r="I683" s="30">
        <f t="shared" ca="1" si="172"/>
        <v>0.12025880831950772</v>
      </c>
      <c r="J683" s="30">
        <f t="shared" ca="1" si="170"/>
        <v>0.13924382822199421</v>
      </c>
      <c r="K683" s="30">
        <f t="shared" ca="1" si="173"/>
        <v>1.5147426901477573E-2</v>
      </c>
      <c r="L683" s="30">
        <f t="shared" ca="1" si="173"/>
        <v>2.007042314960562E-2</v>
      </c>
      <c r="M683" s="30">
        <f t="shared" ca="1" si="173"/>
        <v>5.6923211434573927E-2</v>
      </c>
      <c r="N683" s="30">
        <f t="shared" ca="1" si="171"/>
        <v>0.14052242451723129</v>
      </c>
      <c r="O683" s="30">
        <f t="shared" ca="1" si="174"/>
        <v>-5.7317972873277556E-3</v>
      </c>
      <c r="P683" s="30">
        <f t="shared" ca="1" si="175"/>
        <v>1.0438894976642299E-2</v>
      </c>
      <c r="Q683" s="30">
        <f t="shared" ca="1" si="176"/>
        <v>0.17718201975408165</v>
      </c>
      <c r="R683" s="30">
        <f t="shared" ca="1" si="177"/>
        <v>0.27976625273922551</v>
      </c>
      <c r="S683" s="9" cm="1">
        <f t="array" aca="1" ref="S683" ca="1">_xll.BDH($E$6,"PX LAST",AG683)</f>
        <v>175.2</v>
      </c>
      <c r="T683" s="9" cm="1">
        <f t="array" aca="1" ref="T683" ca="1">_xll.BDH($E$6,"PX LAST",AH683)</f>
        <v>176.21</v>
      </c>
      <c r="U683" s="9" cm="1">
        <f t="array" aca="1" ref="U683" ca="1">_xll.BDH($E$6,"PX LAST",AI683)</f>
        <v>173.39</v>
      </c>
      <c r="V683" s="9" cm="1">
        <f t="array" aca="1" ref="V683" ca="1">_xll.BDH($E$6,"PX LAST",AJ683)</f>
        <v>148.83000000000001</v>
      </c>
      <c r="W683" s="9" cm="1">
        <f t="array" aca="1" ref="W683" ca="1">_xll.BDH($E$6,"PX LAST",AK683)</f>
        <v>136.9</v>
      </c>
      <c r="X683" s="24">
        <f t="shared" ca="1" si="178"/>
        <v>7.9349122430236729E-3</v>
      </c>
      <c r="Y683" s="24">
        <f t="shared" ca="1" si="179"/>
        <v>1.0513801941961276E-2</v>
      </c>
      <c r="Z683" s="24">
        <f t="shared" ca="1" si="180"/>
        <v>2.9818971252494775E-2</v>
      </c>
      <c r="AA683" s="24">
        <f t="shared" ca="1" si="181"/>
        <v>7.3612047377656031E-2</v>
      </c>
      <c r="AB683" s="9" cm="1">
        <f t="array" aca="1" ref="AB683" ca="1">_xll.BDH($E$8,"PX LAST",AG683)</f>
        <v>4411.59</v>
      </c>
      <c r="AC683" s="9" cm="1">
        <f t="array" aca="1" ref="AC683" ca="1">_xll.BDH($E$8,"PX LAST",AH683)</f>
        <v>4376.8599999999997</v>
      </c>
      <c r="AD683" s="9" cm="1">
        <f t="array" aca="1" ref="AD683" ca="1">_xll.BDH($E$8,"PX LAST",AI683)</f>
        <v>4365.6899999999996</v>
      </c>
      <c r="AE683" s="9" cm="1">
        <f t="array" aca="1" ref="AE683" ca="1">_xll.BDH($E$8,"PX LAST",AJ683)</f>
        <v>4283.8500000000004</v>
      </c>
      <c r="AF683" s="9" cm="1">
        <f t="array" aca="1" ref="AF683" ca="1">_xll.BDH($E$8,"PX LAST",AK683)</f>
        <v>4109.1099999999997</v>
      </c>
      <c r="AG683" s="20">
        <f t="shared" ca="1" si="187"/>
        <v>45113</v>
      </c>
      <c r="AH683" s="22">
        <f t="shared" ca="1" si="182"/>
        <v>45105</v>
      </c>
      <c r="AI683" s="22">
        <f t="shared" ca="1" si="183"/>
        <v>45098</v>
      </c>
      <c r="AJ683" s="22">
        <f t="shared" ca="1" si="184"/>
        <v>45083</v>
      </c>
      <c r="AK683" s="22">
        <f t="shared" ca="1" si="185"/>
        <v>45026</v>
      </c>
      <c r="AL683" s="22">
        <f t="shared" ca="1" si="186"/>
        <v>44937</v>
      </c>
    </row>
    <row r="684" spans="4:38" x14ac:dyDescent="0.25">
      <c r="D684" s="6">
        <f ca="1"/>
        <v>45112</v>
      </c>
      <c r="E684" s="28">
        <f ca="1"/>
        <v>176.72</v>
      </c>
      <c r="F684" s="29" cm="1">
        <f t="array" aca="1" ref="F684" ca="1">_xll.FDS($E$7,"P_BETA_LOCIDX("&amp;$AG684&amp;","&amp;$AL684&amp;",,"""&amp;$E$9&amp;""")")</f>
        <v>1.9264615</v>
      </c>
      <c r="G684" s="30">
        <f t="shared" ca="1" si="172"/>
        <v>-1.0953310088838535E-2</v>
      </c>
      <c r="H684" s="30">
        <f t="shared" ca="1" si="172"/>
        <v>1.2677999440273331E-2</v>
      </c>
      <c r="I684" s="30">
        <f t="shared" ca="1" si="172"/>
        <v>0.11372360568995767</v>
      </c>
      <c r="J684" s="30">
        <f t="shared" ca="1" si="170"/>
        <v>0.15909054919085602</v>
      </c>
      <c r="K684" s="30">
        <f t="shared" ca="1" si="173"/>
        <v>3.0099792211099201E-2</v>
      </c>
      <c r="L684" s="30">
        <f t="shared" ca="1" si="173"/>
        <v>2.5507877659949923E-2</v>
      </c>
      <c r="M684" s="30">
        <f t="shared" ca="1" si="173"/>
        <v>7.7995323435404815E-2</v>
      </c>
      <c r="N684" s="30">
        <f t="shared" ca="1" si="171"/>
        <v>0.16040470952638436</v>
      </c>
      <c r="O684" s="30">
        <f t="shared" ca="1" si="174"/>
        <v>1.9146482122260666E-2</v>
      </c>
      <c r="P684" s="30">
        <f t="shared" ca="1" si="175"/>
        <v>3.8185877100223253E-2</v>
      </c>
      <c r="Q684" s="30">
        <f t="shared" ca="1" si="176"/>
        <v>0.19171892912536248</v>
      </c>
      <c r="R684" s="30">
        <f t="shared" ca="1" si="177"/>
        <v>0.31949525871724038</v>
      </c>
      <c r="S684" s="9" cm="1">
        <f t="array" aca="1" ref="S684" ca="1">_xll.BDH($E$6,"PX LAST",AG684)</f>
        <v>176.72</v>
      </c>
      <c r="T684" s="9" cm="1">
        <f t="array" aca="1" ref="T684" ca="1">_xll.BDH($E$6,"PX LAST",AH684)</f>
        <v>173.4</v>
      </c>
      <c r="U684" s="9" cm="1">
        <f t="array" aca="1" ref="U684" ca="1">_xll.BDH($E$6,"PX LAST",AI684)</f>
        <v>170.22</v>
      </c>
      <c r="V684" s="9" cm="1">
        <f t="array" aca="1" ref="V684" ca="1">_xll.BDH($E$6,"PX LAST",AJ684)</f>
        <v>148.29</v>
      </c>
      <c r="W684" s="9" cm="1">
        <f t="array" aca="1" ref="W684" ca="1">_xll.BDH($E$6,"PX LAST",AK684)</f>
        <v>133.93</v>
      </c>
      <c r="X684" s="24">
        <f t="shared" ca="1" si="178"/>
        <v>1.5624393329998654E-2</v>
      </c>
      <c r="Y684" s="24">
        <f t="shared" ca="1" si="179"/>
        <v>1.3240792852569294E-2</v>
      </c>
      <c r="Z684" s="24">
        <f t="shared" ca="1" si="180"/>
        <v>4.0486313085106973E-2</v>
      </c>
      <c r="AA684" s="24">
        <f t="shared" ca="1" si="181"/>
        <v>8.3263906144184219E-2</v>
      </c>
      <c r="AB684" s="9" cm="1">
        <f t="array" aca="1" ref="AB684" ca="1">_xll.BDH($E$8,"PX LAST",AG684)</f>
        <v>4446.82</v>
      </c>
      <c r="AC684" s="9" cm="1">
        <f t="array" aca="1" ref="AC684" ca="1">_xll.BDH($E$8,"PX LAST",AH684)</f>
        <v>4378.41</v>
      </c>
      <c r="AD684" s="9" cm="1">
        <f t="array" aca="1" ref="AD684" ca="1">_xll.BDH($E$8,"PX LAST",AI684)</f>
        <v>4388.71</v>
      </c>
      <c r="AE684" s="9" cm="1">
        <f t="array" aca="1" ref="AE684" ca="1">_xll.BDH($E$8,"PX LAST",AJ684)</f>
        <v>4273.79</v>
      </c>
      <c r="AF684" s="9" cm="1">
        <f t="array" aca="1" ref="AF684" ca="1">_xll.BDH($E$8,"PX LAST",AK684)</f>
        <v>4105.0200000000004</v>
      </c>
      <c r="AG684" s="20">
        <f t="shared" ca="1" si="187"/>
        <v>45112</v>
      </c>
      <c r="AH684" s="22">
        <f t="shared" ca="1" si="182"/>
        <v>45104</v>
      </c>
      <c r="AI684" s="22">
        <f t="shared" ca="1" si="183"/>
        <v>45097</v>
      </c>
      <c r="AJ684" s="22">
        <f t="shared" ca="1" si="184"/>
        <v>45082</v>
      </c>
      <c r="AK684" s="22">
        <f t="shared" ca="1" si="185"/>
        <v>45022</v>
      </c>
      <c r="AL684" s="22">
        <f t="shared" ca="1" si="186"/>
        <v>44936</v>
      </c>
    </row>
    <row r="685" spans="4:38" x14ac:dyDescent="0.25">
      <c r="D685" s="6">
        <f ca="1"/>
        <v>45110</v>
      </c>
      <c r="E685" s="28">
        <f ca="1"/>
        <v>177.92</v>
      </c>
      <c r="F685" s="29" cm="1">
        <f t="array" aca="1" ref="F685" ca="1">_xll.FDS($E$7,"P_BETA_LOCIDX("&amp;$AG685&amp;","&amp;$AL685&amp;",,"""&amp;$E$9&amp;""")")</f>
        <v>1.9216736999999999</v>
      </c>
      <c r="G685" s="30">
        <f t="shared" ca="1" si="172"/>
        <v>1.0710067682631948E-2</v>
      </c>
      <c r="H685" s="30">
        <f t="shared" ca="1" si="172"/>
        <v>3.8685987367114705E-2</v>
      </c>
      <c r="I685" s="30">
        <f t="shared" ca="1" si="172"/>
        <v>0.13973184340280553</v>
      </c>
      <c r="J685" s="30">
        <f t="shared" ca="1" si="170"/>
        <v>0.11220987457724463</v>
      </c>
      <c r="K685" s="30">
        <f t="shared" ca="1" si="173"/>
        <v>5.6276439063994703E-2</v>
      </c>
      <c r="L685" s="30">
        <f t="shared" ca="1" si="173"/>
        <v>2.0046532716193725E-2</v>
      </c>
      <c r="M685" s="30">
        <f t="shared" ca="1" si="173"/>
        <v>7.7730863590488655E-2</v>
      </c>
      <c r="N685" s="30">
        <f t="shared" ca="1" si="171"/>
        <v>0.17157683442051841</v>
      </c>
      <c r="O685" s="30">
        <f t="shared" ca="1" si="174"/>
        <v>6.6986506746626651E-2</v>
      </c>
      <c r="P685" s="30">
        <f t="shared" ca="1" si="175"/>
        <v>5.8732520083308426E-2</v>
      </c>
      <c r="Q685" s="30">
        <f t="shared" ca="1" si="176"/>
        <v>0.21746270699329417</v>
      </c>
      <c r="R685" s="30">
        <f t="shared" ca="1" si="177"/>
        <v>0.28378670899776304</v>
      </c>
      <c r="S685" s="9" cm="1">
        <f t="array" aca="1" ref="S685" ca="1">_xll.BDH($E$6,"PX LAST",AG685)</f>
        <v>177.92</v>
      </c>
      <c r="T685" s="9" cm="1">
        <f t="array" aca="1" ref="T685" ca="1">_xll.BDH($E$6,"PX LAST",AH685)</f>
        <v>166.75</v>
      </c>
      <c r="U685" s="9" cm="1">
        <f t="array" aca="1" ref="U685" ca="1">_xll.BDH($E$6,"PX LAST",AI685)</f>
        <v>168.05</v>
      </c>
      <c r="V685" s="9" cm="1">
        <f t="array" aca="1" ref="V685" ca="1">_xll.BDH($E$6,"PX LAST",AJ685)</f>
        <v>146.13999999999999</v>
      </c>
      <c r="W685" s="9" cm="1">
        <f t="array" aca="1" ref="W685" ca="1">_xll.BDH($E$6,"PX LAST",AK685)</f>
        <v>138.59</v>
      </c>
      <c r="X685" s="24">
        <f t="shared" ca="1" si="178"/>
        <v>2.9285116960280355E-2</v>
      </c>
      <c r="Y685" s="24">
        <f t="shared" ca="1" si="179"/>
        <v>1.0431808852977342E-2</v>
      </c>
      <c r="Z685" s="24">
        <f t="shared" ca="1" si="180"/>
        <v>4.0449564143219874E-2</v>
      </c>
      <c r="AA685" s="24">
        <f t="shared" ca="1" si="181"/>
        <v>8.9285103095555929E-2</v>
      </c>
      <c r="AB685" s="9" cm="1">
        <f t="array" aca="1" ref="AB685" ca="1">_xll.BDH($E$8,"PX LAST",AG685)</f>
        <v>4455.59</v>
      </c>
      <c r="AC685" s="9" cm="1">
        <f t="array" aca="1" ref="AC685" ca="1">_xll.BDH($E$8,"PX LAST",AH685)</f>
        <v>4328.82</v>
      </c>
      <c r="AD685" s="9" cm="1">
        <f t="array" aca="1" ref="AD685" ca="1">_xll.BDH($E$8,"PX LAST",AI685)</f>
        <v>4409.59</v>
      </c>
      <c r="AE685" s="9" cm="1">
        <f t="array" aca="1" ref="AE685" ca="1">_xll.BDH($E$8,"PX LAST",AJ685)</f>
        <v>4282.37</v>
      </c>
      <c r="AF685" s="9" cm="1">
        <f t="array" aca="1" ref="AF685" ca="1">_xll.BDH($E$8,"PX LAST",AK685)</f>
        <v>4090.38</v>
      </c>
      <c r="AG685" s="20">
        <f t="shared" ca="1" si="187"/>
        <v>45110</v>
      </c>
      <c r="AH685" s="22">
        <f t="shared" ca="1" si="182"/>
        <v>45103</v>
      </c>
      <c r="AI685" s="22">
        <f t="shared" ca="1" si="183"/>
        <v>45093</v>
      </c>
      <c r="AJ685" s="22">
        <f t="shared" ca="1" si="184"/>
        <v>45079</v>
      </c>
      <c r="AK685" s="22">
        <f t="shared" ca="1" si="185"/>
        <v>45021</v>
      </c>
      <c r="AL685" s="22">
        <f t="shared" ca="1" si="186"/>
        <v>44935</v>
      </c>
    </row>
    <row r="686" spans="4:38" x14ac:dyDescent="0.25">
      <c r="D686" s="6">
        <f ca="1"/>
        <v>45107</v>
      </c>
      <c r="E686" s="28">
        <f ca="1"/>
        <v>179.06</v>
      </c>
      <c r="F686" s="29" cm="1">
        <f t="array" aca="1" ref="F686" ca="1">_xll.FDS($E$7,"P_BETA_LOCIDX("&amp;$AG686&amp;","&amp;$AL686&amp;",,"""&amp;$E$9&amp;""")")</f>
        <v>1.9023348</v>
      </c>
      <c r="G686" s="30">
        <f t="shared" ca="1" si="172"/>
        <v>2.182265894768258E-2</v>
      </c>
      <c r="H686" s="30">
        <f t="shared" ca="1" si="172"/>
        <v>5.10516780439315E-2</v>
      </c>
      <c r="I686" s="30">
        <f t="shared" ca="1" si="172"/>
        <v>0.21044786337101479</v>
      </c>
      <c r="J686" s="30">
        <f t="shared" ca="1" si="170"/>
        <v>9.3940172480493717E-2</v>
      </c>
      <c r="K686" s="30">
        <f t="shared" ca="1" si="173"/>
        <v>4.4645476847433432E-2</v>
      </c>
      <c r="L686" s="30">
        <f t="shared" ca="1" si="173"/>
        <v>1.0547895087034477E-2</v>
      </c>
      <c r="M686" s="30">
        <f t="shared" ca="1" si="173"/>
        <v>0.10336826400443461</v>
      </c>
      <c r="N686" s="30">
        <f t="shared" ca="1" si="171"/>
        <v>0.16226861101887499</v>
      </c>
      <c r="O686" s="30">
        <f t="shared" ca="1" si="174"/>
        <v>6.6468135795116012E-2</v>
      </c>
      <c r="P686" s="30">
        <f t="shared" ca="1" si="175"/>
        <v>6.1599573130965979E-2</v>
      </c>
      <c r="Q686" s="30">
        <f t="shared" ca="1" si="176"/>
        <v>0.31381612737544939</v>
      </c>
      <c r="R686" s="30">
        <f t="shared" ca="1" si="177"/>
        <v>0.25620878349936871</v>
      </c>
      <c r="S686" s="9" cm="1">
        <f t="array" aca="1" ref="S686" ca="1">_xll.BDH($E$6,"PX LAST",AG686)</f>
        <v>179.06</v>
      </c>
      <c r="T686" s="9" cm="1">
        <f t="array" aca="1" ref="T686" ca="1">_xll.BDH($E$6,"PX LAST",AH686)</f>
        <v>167.9</v>
      </c>
      <c r="U686" s="9" cm="1">
        <f t="array" aca="1" ref="U686" ca="1">_xll.BDH($E$6,"PX LAST",AI686)</f>
        <v>168.67</v>
      </c>
      <c r="V686" s="9" cm="1">
        <f t="array" aca="1" ref="V686" ca="1">_xll.BDH($E$6,"PX LAST",AJ686)</f>
        <v>136.29</v>
      </c>
      <c r="W686" s="9" cm="1">
        <f t="array" aca="1" ref="W686" ca="1">_xll.BDH($E$6,"PX LAST",AK686)</f>
        <v>142.54</v>
      </c>
      <c r="X686" s="24">
        <f t="shared" ca="1" si="178"/>
        <v>2.3468779968401687E-2</v>
      </c>
      <c r="Y686" s="24">
        <f t="shared" ca="1" si="179"/>
        <v>5.5447101567160928E-3</v>
      </c>
      <c r="Z686" s="24">
        <f t="shared" ca="1" si="180"/>
        <v>5.4337577173289686E-2</v>
      </c>
      <c r="AA686" s="24">
        <f t="shared" ca="1" si="181"/>
        <v>8.5299712237233427E-2</v>
      </c>
      <c r="AB686" s="9" cm="1">
        <f t="array" aca="1" ref="AB686" ca="1">_xll.BDH($E$8,"PX LAST",AG686)</f>
        <v>4450.38</v>
      </c>
      <c r="AC686" s="9" cm="1">
        <f t="array" aca="1" ref="AC686" ca="1">_xll.BDH($E$8,"PX LAST",AH686)</f>
        <v>4348.33</v>
      </c>
      <c r="AD686" s="9" cm="1">
        <f t="array" aca="1" ref="AD686" ca="1">_xll.BDH($E$8,"PX LAST",AI686)</f>
        <v>4425.84</v>
      </c>
      <c r="AE686" s="9" cm="1">
        <f t="array" aca="1" ref="AE686" ca="1">_xll.BDH($E$8,"PX LAST",AJ686)</f>
        <v>4221.0200000000004</v>
      </c>
      <c r="AF686" s="9" cm="1">
        <f t="array" aca="1" ref="AF686" ca="1">_xll.BDH($E$8,"PX LAST",AK686)</f>
        <v>4100.6000000000004</v>
      </c>
      <c r="AG686" s="20">
        <f t="shared" ca="1" si="187"/>
        <v>45107</v>
      </c>
      <c r="AH686" s="22">
        <f t="shared" ca="1" si="182"/>
        <v>45100</v>
      </c>
      <c r="AI686" s="22">
        <f t="shared" ca="1" si="183"/>
        <v>45092</v>
      </c>
      <c r="AJ686" s="22">
        <f t="shared" ca="1" si="184"/>
        <v>45078</v>
      </c>
      <c r="AK686" s="22">
        <f t="shared" ca="1" si="185"/>
        <v>45020</v>
      </c>
      <c r="AL686" s="22">
        <f t="shared" ca="1" si="186"/>
        <v>44932</v>
      </c>
    </row>
    <row r="687" spans="4:38" x14ac:dyDescent="0.25">
      <c r="D687" s="6">
        <f ca="1"/>
        <v>45106</v>
      </c>
      <c r="E687" s="28">
        <f ca="1"/>
        <v>175.54</v>
      </c>
      <c r="F687" s="29" cm="1">
        <f t="array" aca="1" ref="F687" ca="1">_xll.FDS($E$7,"P_BETA_LOCIDX("&amp;$AG687&amp;","&amp;$AL687&amp;",,"""&amp;$E$9&amp;""")")</f>
        <v>1.9026833000000001</v>
      </c>
      <c r="G687" s="30">
        <f t="shared" ca="1" si="172"/>
        <v>4.1056870320473823E-2</v>
      </c>
      <c r="H687" s="30">
        <f t="shared" ca="1" si="172"/>
        <v>5.9922532495460451E-2</v>
      </c>
      <c r="I687" s="30">
        <f t="shared" ca="1" si="172"/>
        <v>0.17916753872011815</v>
      </c>
      <c r="J687" s="30">
        <f t="shared" ca="1" si="170"/>
        <v>2.9348050889873883E-2</v>
      </c>
      <c r="K687" s="30">
        <f t="shared" ca="1" si="173"/>
        <v>6.3178313501704546E-3</v>
      </c>
      <c r="L687" s="30">
        <f t="shared" ca="1" si="173"/>
        <v>1.0378058931891558E-2</v>
      </c>
      <c r="M687" s="30">
        <f t="shared" ca="1" si="173"/>
        <v>9.8602151191077056E-2</v>
      </c>
      <c r="N687" s="30">
        <f t="shared" ca="1" si="171"/>
        <v>0.12544439697539814</v>
      </c>
      <c r="O687" s="30">
        <f t="shared" ca="1" si="174"/>
        <v>4.7374701670644281E-2</v>
      </c>
      <c r="P687" s="30">
        <f t="shared" ca="1" si="175"/>
        <v>7.030059142735201E-2</v>
      </c>
      <c r="Q687" s="30">
        <f t="shared" ca="1" si="176"/>
        <v>0.27776968991119522</v>
      </c>
      <c r="R687" s="30">
        <f t="shared" ca="1" si="177"/>
        <v>0.15479244786527202</v>
      </c>
      <c r="S687" s="9" cm="1">
        <f t="array" aca="1" ref="S687" ca="1">_xll.BDH($E$6,"PX LAST",AG687)</f>
        <v>175.54</v>
      </c>
      <c r="T687" s="9" cm="1">
        <f t="array" aca="1" ref="T687" ca="1">_xll.BDH($E$6,"PX LAST",AH687)</f>
        <v>167.6</v>
      </c>
      <c r="U687" s="9" cm="1">
        <f t="array" aca="1" ref="U687" ca="1">_xll.BDH($E$6,"PX LAST",AI687)</f>
        <v>164.01</v>
      </c>
      <c r="V687" s="9" cm="1">
        <f t="array" aca="1" ref="V687" ca="1">_xll.BDH($E$6,"PX LAST",AJ687)</f>
        <v>137.38</v>
      </c>
      <c r="W687" s="9" cm="1">
        <f t="array" aca="1" ref="W687" ca="1">_xll.BDH($E$6,"PX LAST",AK687)</f>
        <v>152.01</v>
      </c>
      <c r="X687" s="24">
        <f t="shared" ca="1" si="178"/>
        <v>3.3204849962000793E-3</v>
      </c>
      <c r="Y687" s="24">
        <f t="shared" ca="1" si="179"/>
        <v>5.4544331849086802E-3</v>
      </c>
      <c r="Z687" s="24">
        <f t="shared" ca="1" si="180"/>
        <v>5.1822681783708857E-2</v>
      </c>
      <c r="AA687" s="24">
        <f t="shared" ca="1" si="181"/>
        <v>6.593025595767732E-2</v>
      </c>
      <c r="AB687" s="9" cm="1">
        <f t="array" aca="1" ref="AB687" ca="1">_xll.BDH($E$8,"PX LAST",AG687)</f>
        <v>4396.4399999999996</v>
      </c>
      <c r="AC687" s="9" cm="1">
        <f t="array" aca="1" ref="AC687" ca="1">_xll.BDH($E$8,"PX LAST",AH687)</f>
        <v>4381.8900000000003</v>
      </c>
      <c r="AD687" s="9" cm="1">
        <f t="array" aca="1" ref="AD687" ca="1">_xll.BDH($E$8,"PX LAST",AI687)</f>
        <v>4372.59</v>
      </c>
      <c r="AE687" s="9" cm="1">
        <f t="array" aca="1" ref="AE687" ca="1">_xll.BDH($E$8,"PX LAST",AJ687)</f>
        <v>4179.83</v>
      </c>
      <c r="AF687" s="9" cm="1">
        <f t="array" aca="1" ref="AF687" ca="1">_xll.BDH($E$8,"PX LAST",AK687)</f>
        <v>4124.51</v>
      </c>
      <c r="AG687" s="20">
        <f t="shared" ca="1" si="187"/>
        <v>45106</v>
      </c>
      <c r="AH687" s="22">
        <f t="shared" ca="1" si="182"/>
        <v>45099</v>
      </c>
      <c r="AI687" s="22">
        <f t="shared" ca="1" si="183"/>
        <v>45091</v>
      </c>
      <c r="AJ687" s="22">
        <f t="shared" ca="1" si="184"/>
        <v>45077</v>
      </c>
      <c r="AK687" s="22">
        <f t="shared" ca="1" si="185"/>
        <v>45019</v>
      </c>
      <c r="AL687" s="22">
        <f t="shared" ca="1" si="186"/>
        <v>44931</v>
      </c>
    </row>
    <row r="688" spans="4:38" x14ac:dyDescent="0.25">
      <c r="D688" s="6">
        <f ca="1"/>
        <v>45105</v>
      </c>
      <c r="E688" s="28">
        <f ca="1"/>
        <v>176.21</v>
      </c>
      <c r="F688" s="29" cm="1">
        <f t="array" aca="1" ref="F688" ca="1">_xll.FDS($E$7,"P_BETA_LOCIDX("&amp;$AG688&amp;","&amp;$AL688&amp;",,"""&amp;$E$9&amp;""")")</f>
        <v>1.9141237</v>
      </c>
      <c r="G688" s="30">
        <f t="shared" ca="1" si="172"/>
        <v>1.1366460688118496E-2</v>
      </c>
      <c r="H688" s="30">
        <f t="shared" ca="1" si="172"/>
        <v>5.5642426829486731E-2</v>
      </c>
      <c r="I688" s="30">
        <f t="shared" ca="1" si="172"/>
        <v>0.14510136187158434</v>
      </c>
      <c r="J688" s="30">
        <f t="shared" ca="1" si="170"/>
        <v>1.5597343692806021E-2</v>
      </c>
      <c r="K688" s="30">
        <f t="shared" ca="1" si="173"/>
        <v>4.8974530323960038E-3</v>
      </c>
      <c r="L688" s="30">
        <f t="shared" ca="1" si="173"/>
        <v>3.4391935575791475E-3</v>
      </c>
      <c r="M688" s="30">
        <f t="shared" ca="1" si="173"/>
        <v>7.798463798959436E-2</v>
      </c>
      <c r="N688" s="30">
        <f t="shared" ca="1" si="171"/>
        <v>0.12462525239882077</v>
      </c>
      <c r="O688" s="30">
        <f t="shared" ca="1" si="174"/>
        <v>1.62639137205145E-2</v>
      </c>
      <c r="P688" s="30">
        <f t="shared" ca="1" si="175"/>
        <v>5.9081620387065881E-2</v>
      </c>
      <c r="Q688" s="30">
        <f t="shared" ca="1" si="176"/>
        <v>0.22308599986117872</v>
      </c>
      <c r="R688" s="30">
        <f t="shared" ca="1" si="177"/>
        <v>0.14022259609162679</v>
      </c>
      <c r="S688" s="9" cm="1">
        <f t="array" aca="1" ref="S688" ca="1">_xll.BDH($E$6,"PX LAST",AG688)</f>
        <v>176.21</v>
      </c>
      <c r="T688" s="9" cm="1">
        <f t="array" aca="1" ref="T688" ca="1">_xll.BDH($E$6,"PX LAST",AH688)</f>
        <v>173.39</v>
      </c>
      <c r="U688" s="9" cm="1">
        <f t="array" aca="1" ref="U688" ca="1">_xll.BDH($E$6,"PX LAST",AI688)</f>
        <v>166.38</v>
      </c>
      <c r="V688" s="9" cm="1">
        <f t="array" aca="1" ref="V688" ca="1">_xll.BDH($E$6,"PX LAST",AJ688)</f>
        <v>144.07</v>
      </c>
      <c r="W688" s="9" cm="1">
        <f t="array" aca="1" ref="W688" ca="1">_xll.BDH($E$6,"PX LAST",AK688)</f>
        <v>154.54</v>
      </c>
      <c r="X688" s="24">
        <f t="shared" ca="1" si="178"/>
        <v>2.5585875314098061E-3</v>
      </c>
      <c r="Y688" s="24">
        <f t="shared" ca="1" si="179"/>
        <v>1.7967457158485356E-3</v>
      </c>
      <c r="Z688" s="24">
        <f t="shared" ca="1" si="180"/>
        <v>4.0741691871635233E-2</v>
      </c>
      <c r="AA688" s="24">
        <f t="shared" ca="1" si="181"/>
        <v>6.510825418379218E-2</v>
      </c>
      <c r="AB688" s="9" cm="1">
        <f t="array" aca="1" ref="AB688" ca="1">_xll.BDH($E$8,"PX LAST",AG688)</f>
        <v>4376.8599999999997</v>
      </c>
      <c r="AC688" s="9" cm="1">
        <f t="array" aca="1" ref="AC688" ca="1">_xll.BDH($E$8,"PX LAST",AH688)</f>
        <v>4365.6899999999996</v>
      </c>
      <c r="AD688" s="9" cm="1">
        <f t="array" aca="1" ref="AD688" ca="1">_xll.BDH($E$8,"PX LAST",AI688)</f>
        <v>4369.01</v>
      </c>
      <c r="AE688" s="9" cm="1">
        <f t="array" aca="1" ref="AE688" ca="1">_xll.BDH($E$8,"PX LAST",AJ688)</f>
        <v>4205.5200000000004</v>
      </c>
      <c r="AF688" s="9" cm="1">
        <f t="array" aca="1" ref="AF688" ca="1">_xll.BDH($E$8,"PX LAST",AK688)</f>
        <v>4109.3100000000004</v>
      </c>
      <c r="AG688" s="20">
        <f t="shared" ca="1" si="187"/>
        <v>45105</v>
      </c>
      <c r="AH688" s="22">
        <f t="shared" ca="1" si="182"/>
        <v>45098</v>
      </c>
      <c r="AI688" s="22">
        <f t="shared" ca="1" si="183"/>
        <v>45090</v>
      </c>
      <c r="AJ688" s="22">
        <f t="shared" ca="1" si="184"/>
        <v>45076</v>
      </c>
      <c r="AK688" s="22">
        <f t="shared" ca="1" si="185"/>
        <v>45016</v>
      </c>
      <c r="AL688" s="22">
        <f t="shared" ca="1" si="186"/>
        <v>44930</v>
      </c>
    </row>
    <row r="689" spans="4:38" x14ac:dyDescent="0.25">
      <c r="D689" s="6">
        <f ca="1"/>
        <v>45104</v>
      </c>
      <c r="E689" s="28">
        <f ca="1"/>
        <v>173.4</v>
      </c>
      <c r="F689" s="29" cm="1">
        <f t="array" aca="1" ref="F689" ca="1">_xll.FDS($E$7,"P_BETA_LOCIDX("&amp;$AG689&amp;","&amp;$AL689&amp;",,"""&amp;$E$9&amp;""")")</f>
        <v>1.9150168000000001</v>
      </c>
      <c r="G689" s="30">
        <f t="shared" ca="1" si="172"/>
        <v>2.3176118517724595E-2</v>
      </c>
      <c r="H689" s="30">
        <f t="shared" ca="1" si="172"/>
        <v>5.9460087648292491E-2</v>
      </c>
      <c r="I689" s="30">
        <f t="shared" ca="1" si="172"/>
        <v>0.10826079536111663</v>
      </c>
      <c r="J689" s="30">
        <f t="shared" ca="1" si="170"/>
        <v>-5.2999367740892978E-3</v>
      </c>
      <c r="K689" s="30">
        <f t="shared" ca="1" si="173"/>
        <v>-4.4944124902306214E-3</v>
      </c>
      <c r="L689" s="30">
        <f t="shared" ca="1" si="173"/>
        <v>1.7424771375431171E-2</v>
      </c>
      <c r="M689" s="30">
        <f t="shared" ca="1" si="173"/>
        <v>7.8760015153669732E-2</v>
      </c>
      <c r="N689" s="30">
        <f t="shared" ca="1" si="171"/>
        <v>0.15486238705253003</v>
      </c>
      <c r="O689" s="30">
        <f t="shared" ca="1" si="174"/>
        <v>1.8681706027493972E-2</v>
      </c>
      <c r="P689" s="30">
        <f t="shared" ca="1" si="175"/>
        <v>7.6884859023723662E-2</v>
      </c>
      <c r="Q689" s="30">
        <f t="shared" ca="1" si="176"/>
        <v>0.18702081051478636</v>
      </c>
      <c r="R689" s="30">
        <f t="shared" ca="1" si="177"/>
        <v>0.14956245027844073</v>
      </c>
      <c r="S689" s="9" cm="1">
        <f t="array" aca="1" ref="S689" ca="1">_xll.BDH($E$6,"PX LAST",AG689)</f>
        <v>173.4</v>
      </c>
      <c r="T689" s="9" cm="1">
        <f t="array" aca="1" ref="T689" ca="1">_xll.BDH($E$6,"PX LAST",AH689)</f>
        <v>170.22</v>
      </c>
      <c r="U689" s="9" cm="1">
        <f t="array" aca="1" ref="U689" ca="1">_xll.BDH($E$6,"PX LAST",AI689)</f>
        <v>161.02000000000001</v>
      </c>
      <c r="V689" s="9" cm="1">
        <f t="array" aca="1" ref="V689" ca="1">_xll.BDH($E$6,"PX LAST",AJ689)</f>
        <v>146.08000000000001</v>
      </c>
      <c r="W689" s="9" cm="1">
        <f t="array" aca="1" ref="W689" ca="1">_xll.BDH($E$6,"PX LAST",AK689)</f>
        <v>150.84</v>
      </c>
      <c r="X689" s="24">
        <f t="shared" ca="1" si="178"/>
        <v>-2.346931102761407E-3</v>
      </c>
      <c r="Y689" s="24">
        <f t="shared" ca="1" si="179"/>
        <v>9.0990174997060969E-3</v>
      </c>
      <c r="Z689" s="24">
        <f t="shared" ca="1" si="180"/>
        <v>4.1127584443995335E-2</v>
      </c>
      <c r="AA689" s="24">
        <f t="shared" ca="1" si="181"/>
        <v>8.0867377796649098E-2</v>
      </c>
      <c r="AB689" s="9" cm="1">
        <f t="array" aca="1" ref="AB689" ca="1">_xll.BDH($E$8,"PX LAST",AG689)</f>
        <v>4378.41</v>
      </c>
      <c r="AC689" s="9" cm="1">
        <f t="array" aca="1" ref="AC689" ca="1">_xll.BDH($E$8,"PX LAST",AH689)</f>
        <v>4388.71</v>
      </c>
      <c r="AD689" s="9" cm="1">
        <f t="array" aca="1" ref="AD689" ca="1">_xll.BDH($E$8,"PX LAST",AI689)</f>
        <v>4338.93</v>
      </c>
      <c r="AE689" s="9" cm="1">
        <f t="array" aca="1" ref="AE689" ca="1">_xll.BDH($E$8,"PX LAST",AJ689)</f>
        <v>4205.45</v>
      </c>
      <c r="AF689" s="9" cm="1">
        <f t="array" aca="1" ref="AF689" ca="1">_xll.BDH($E$8,"PX LAST",AK689)</f>
        <v>4050.83</v>
      </c>
      <c r="AG689" s="20">
        <f t="shared" ca="1" si="187"/>
        <v>45104</v>
      </c>
      <c r="AH689" s="22">
        <f t="shared" ca="1" si="182"/>
        <v>45097</v>
      </c>
      <c r="AI689" s="22">
        <f t="shared" ca="1" si="183"/>
        <v>45089</v>
      </c>
      <c r="AJ689" s="22">
        <f t="shared" ca="1" si="184"/>
        <v>45072</v>
      </c>
      <c r="AK689" s="22">
        <f t="shared" ca="1" si="185"/>
        <v>45015</v>
      </c>
      <c r="AL689" s="22">
        <f t="shared" ca="1" si="186"/>
        <v>44929</v>
      </c>
    </row>
    <row r="690" spans="4:38" x14ac:dyDescent="0.25">
      <c r="D690" s="6">
        <f ca="1"/>
        <v>45103</v>
      </c>
      <c r="E690" s="28">
        <f ca="1"/>
        <v>166.75</v>
      </c>
      <c r="F690" s="29" cm="1">
        <f t="array" aca="1" ref="F690" ca="1">_xll.FDS($E$7,"P_BETA_LOCIDX("&amp;$AG690&amp;","&amp;$AL690&amp;",,"""&amp;$E$9&amp;""")")</f>
        <v>1.8932758999999999</v>
      </c>
      <c r="G690" s="30">
        <f t="shared" ca="1" si="172"/>
        <v>2.6943144225722325E-2</v>
      </c>
      <c r="H690" s="30">
        <f t="shared" ca="1" si="172"/>
        <v>6.4558572997886893E-2</v>
      </c>
      <c r="I690" s="30">
        <f t="shared" ca="1" si="172"/>
        <v>0.16706458916891948</v>
      </c>
      <c r="J690" s="30">
        <f t="shared" ca="1" si="170"/>
        <v>-1.9274542900823699E-2</v>
      </c>
      <c r="K690" s="30">
        <f t="shared" ca="1" si="173"/>
        <v>-3.4678937144496567E-2</v>
      </c>
      <c r="L690" s="30">
        <f t="shared" ca="1" si="173"/>
        <v>1.3194787912144046E-2</v>
      </c>
      <c r="M690" s="30">
        <f t="shared" ca="1" si="173"/>
        <v>8.0970737528183886E-2</v>
      </c>
      <c r="N690" s="30">
        <f t="shared" ca="1" si="171"/>
        <v>0.14149003519505615</v>
      </c>
      <c r="O690" s="30">
        <f t="shared" ca="1" si="174"/>
        <v>-7.7357929187742425E-3</v>
      </c>
      <c r="P690" s="30">
        <f t="shared" ca="1" si="175"/>
        <v>7.7753360910030933E-2</v>
      </c>
      <c r="Q690" s="30">
        <f t="shared" ca="1" si="176"/>
        <v>0.24803532669710338</v>
      </c>
      <c r="R690" s="30">
        <f t="shared" ca="1" si="177"/>
        <v>0.12221549229423245</v>
      </c>
      <c r="S690" s="9" cm="1">
        <f t="array" aca="1" ref="S690" ca="1">_xll.BDH($E$6,"PX LAST",AG690)</f>
        <v>166.75</v>
      </c>
      <c r="T690" s="9" cm="1">
        <f t="array" aca="1" ref="T690" ca="1">_xll.BDH($E$6,"PX LAST",AH690)</f>
        <v>168.05</v>
      </c>
      <c r="U690" s="9" cm="1">
        <f t="array" aca="1" ref="U690" ca="1">_xll.BDH($E$6,"PX LAST",AI690)</f>
        <v>154.72</v>
      </c>
      <c r="V690" s="9" cm="1">
        <f t="array" aca="1" ref="V690" ca="1">_xll.BDH($E$6,"PX LAST",AJ690)</f>
        <v>133.61000000000001</v>
      </c>
      <c r="W690" s="9" cm="1">
        <f t="array" aca="1" ref="W690" ca="1">_xll.BDH($E$6,"PX LAST",AK690)</f>
        <v>148.59</v>
      </c>
      <c r="X690" s="24">
        <f t="shared" ca="1" si="178"/>
        <v>-1.8316895675108191E-2</v>
      </c>
      <c r="Y690" s="24">
        <f t="shared" ca="1" si="179"/>
        <v>6.969289532573697E-3</v>
      </c>
      <c r="Z690" s="24">
        <f t="shared" ca="1" si="180"/>
        <v>4.276753194195515E-2</v>
      </c>
      <c r="AA690" s="24">
        <f t="shared" ca="1" si="181"/>
        <v>7.4732919378024176E-2</v>
      </c>
      <c r="AB690" s="9" cm="1">
        <f t="array" aca="1" ref="AB690" ca="1">_xll.BDH($E$8,"PX LAST",AG690)</f>
        <v>4328.82</v>
      </c>
      <c r="AC690" s="9" cm="1">
        <f t="array" aca="1" ref="AC690" ca="1">_xll.BDH($E$8,"PX LAST",AH690)</f>
        <v>4409.59</v>
      </c>
      <c r="AD690" s="9" cm="1">
        <f t="array" aca="1" ref="AD690" ca="1">_xll.BDH($E$8,"PX LAST",AI690)</f>
        <v>4298.8599999999997</v>
      </c>
      <c r="AE690" s="9" cm="1">
        <f t="array" aca="1" ref="AE690" ca="1">_xll.BDH($E$8,"PX LAST",AJ690)</f>
        <v>4151.28</v>
      </c>
      <c r="AF690" s="9" cm="1">
        <f t="array" aca="1" ref="AF690" ca="1">_xll.BDH($E$8,"PX LAST",AK690)</f>
        <v>4027.81</v>
      </c>
      <c r="AG690" s="20">
        <f t="shared" ca="1" si="187"/>
        <v>45103</v>
      </c>
      <c r="AH690" s="22">
        <f t="shared" ca="1" si="182"/>
        <v>45093</v>
      </c>
      <c r="AI690" s="22">
        <f t="shared" ca="1" si="183"/>
        <v>45086</v>
      </c>
      <c r="AJ690" s="22">
        <f t="shared" ca="1" si="184"/>
        <v>45071</v>
      </c>
      <c r="AK690" s="22">
        <f t="shared" ca="1" si="185"/>
        <v>45014</v>
      </c>
      <c r="AL690" s="22">
        <f t="shared" ca="1" si="186"/>
        <v>44925</v>
      </c>
    </row>
    <row r="691" spans="4:38" x14ac:dyDescent="0.25">
      <c r="D691" s="6">
        <f ca="1"/>
        <v>45100</v>
      </c>
      <c r="E691" s="28">
        <f ca="1"/>
        <v>167.9</v>
      </c>
      <c r="F691" s="29" cm="1">
        <f t="array" aca="1" ref="F691" ca="1">_xll.FDS($E$7,"P_BETA_LOCIDX("&amp;$AG691&amp;","&amp;$AL691&amp;",,"""&amp;$E$9&amp;""")")</f>
        <v>1.8994135999999999</v>
      </c>
      <c r="G691" s="30">
        <f t="shared" ca="1" si="172"/>
        <v>2.8699416539172781E-2</v>
      </c>
      <c r="H691" s="30">
        <f t="shared" ca="1" si="172"/>
        <v>5.4569158162728837E-2</v>
      </c>
      <c r="I691" s="30">
        <f t="shared" ca="1" si="172"/>
        <v>0.20690742390477398</v>
      </c>
      <c r="J691" s="30">
        <f t="shared" ca="1" si="170"/>
        <v>-6.0534299785569012E-3</v>
      </c>
      <c r="K691" s="30">
        <f t="shared" ca="1" si="173"/>
        <v>-3.3264543710572456E-2</v>
      </c>
      <c r="L691" s="30">
        <f t="shared" ca="1" si="173"/>
        <v>2.4063759735253935E-2</v>
      </c>
      <c r="M691" s="30">
        <f t="shared" ca="1" si="173"/>
        <v>0.10758408161468105</v>
      </c>
      <c r="N691" s="30">
        <f t="shared" ca="1" si="171"/>
        <v>0.1803435404835228</v>
      </c>
      <c r="O691" s="30">
        <f t="shared" ca="1" si="174"/>
        <v>-4.5651271713996744E-3</v>
      </c>
      <c r="P691" s="30">
        <f t="shared" ca="1" si="175"/>
        <v>7.8632917897982768E-2</v>
      </c>
      <c r="Q691" s="30">
        <f t="shared" ca="1" si="176"/>
        <v>0.31449150551945504</v>
      </c>
      <c r="R691" s="30">
        <f t="shared" ca="1" si="177"/>
        <v>0.1742901105049659</v>
      </c>
      <c r="S691" s="9" cm="1">
        <f t="array" aca="1" ref="S691" ca="1">_xll.BDH($E$6,"PX LAST",AG691)</f>
        <v>167.9</v>
      </c>
      <c r="T691" s="9" cm="1">
        <f t="array" aca="1" ref="T691" ca="1">_xll.BDH($E$6,"PX LAST",AH691)</f>
        <v>168.67</v>
      </c>
      <c r="U691" s="9" cm="1">
        <f t="array" aca="1" ref="U691" ca="1">_xll.BDH($E$6,"PX LAST",AI691)</f>
        <v>155.66</v>
      </c>
      <c r="V691" s="9" cm="1">
        <f t="array" aca="1" ref="V691" ca="1">_xll.BDH($E$6,"PX LAST",AJ691)</f>
        <v>127.73</v>
      </c>
      <c r="W691" s="9" cm="1">
        <f t="array" aca="1" ref="W691" ca="1">_xll.BDH($E$6,"PX LAST",AK691)</f>
        <v>142.97999999999999</v>
      </c>
      <c r="X691" s="24">
        <f t="shared" ca="1" si="178"/>
        <v>-1.7513059667769282E-2</v>
      </c>
      <c r="Y691" s="24">
        <f t="shared" ca="1" si="179"/>
        <v>1.266904677067382E-2</v>
      </c>
      <c r="Z691" s="24">
        <f t="shared" ca="1" si="180"/>
        <v>5.6640681952935923E-2</v>
      </c>
      <c r="AA691" s="24">
        <f t="shared" ca="1" si="181"/>
        <v>9.4946956515170156E-2</v>
      </c>
      <c r="AB691" s="9" cm="1">
        <f t="array" aca="1" ref="AB691" ca="1">_xll.BDH($E$8,"PX LAST",AG691)</f>
        <v>4348.33</v>
      </c>
      <c r="AC691" s="9" cm="1">
        <f t="array" aca="1" ref="AC691" ca="1">_xll.BDH($E$8,"PX LAST",AH691)</f>
        <v>4425.84</v>
      </c>
      <c r="AD691" s="9" cm="1">
        <f t="array" aca="1" ref="AD691" ca="1">_xll.BDH($E$8,"PX LAST",AI691)</f>
        <v>4293.93</v>
      </c>
      <c r="AE691" s="9" cm="1">
        <f t="array" aca="1" ref="AE691" ca="1">_xll.BDH($E$8,"PX LAST",AJ691)</f>
        <v>4115.24</v>
      </c>
      <c r="AF691" s="9" cm="1">
        <f t="array" aca="1" ref="AF691" ca="1">_xll.BDH($E$8,"PX LAST",AK691)</f>
        <v>3971.27</v>
      </c>
      <c r="AG691" s="20">
        <f t="shared" ca="1" si="187"/>
        <v>45100</v>
      </c>
      <c r="AH691" s="22">
        <f t="shared" ca="1" si="182"/>
        <v>45092</v>
      </c>
      <c r="AI691" s="22">
        <f t="shared" ca="1" si="183"/>
        <v>45085</v>
      </c>
      <c r="AJ691" s="22">
        <f t="shared" ca="1" si="184"/>
        <v>45070</v>
      </c>
      <c r="AK691" s="22">
        <f t="shared" ca="1" si="185"/>
        <v>45013</v>
      </c>
      <c r="AL691" s="22">
        <f t="shared" ca="1" si="186"/>
        <v>44924</v>
      </c>
    </row>
    <row r="692" spans="4:38" x14ac:dyDescent="0.25">
      <c r="D692" s="6">
        <f ca="1"/>
        <v>45099</v>
      </c>
      <c r="E692" s="28">
        <f ca="1"/>
        <v>167.6</v>
      </c>
      <c r="F692" s="29" cm="1">
        <f t="array" aca="1" ref="F692" ca="1">_xll.FDS($E$7,"P_BETA_LOCIDX("&amp;$AG692&amp;","&amp;$AL692&amp;",,"""&amp;$E$9&amp;""")")</f>
        <v>1.9279417999999999</v>
      </c>
      <c r="G692" s="30">
        <f t="shared" ca="1" si="172"/>
        <v>1.7788396990119852E-2</v>
      </c>
      <c r="H692" s="30">
        <f t="shared" ca="1" si="172"/>
        <v>3.9334725688312193E-2</v>
      </c>
      <c r="I692" s="30">
        <f t="shared" ca="1" si="172"/>
        <v>0.17399942047922312</v>
      </c>
      <c r="J692" s="30">
        <f t="shared" ca="1" si="170"/>
        <v>-1.3383043440477332E-2</v>
      </c>
      <c r="K692" s="30">
        <f t="shared" ca="1" si="173"/>
        <v>4.1005122227330635E-3</v>
      </c>
      <c r="L692" s="30">
        <f t="shared" ca="1" si="173"/>
        <v>5.166904986174637E-2</v>
      </c>
      <c r="M692" s="30">
        <f t="shared" ca="1" si="173"/>
        <v>0.10989823541169164</v>
      </c>
      <c r="N692" s="30">
        <f t="shared" ca="1" si="171"/>
        <v>0.19599664773062694</v>
      </c>
      <c r="O692" s="30">
        <f t="shared" ca="1" si="174"/>
        <v>2.1888909212852914E-2</v>
      </c>
      <c r="P692" s="30">
        <f t="shared" ca="1" si="175"/>
        <v>9.1003775550058563E-2</v>
      </c>
      <c r="Q692" s="30">
        <f t="shared" ca="1" si="176"/>
        <v>0.28389765589091476</v>
      </c>
      <c r="R692" s="30">
        <f t="shared" ca="1" si="177"/>
        <v>0.18261360429014961</v>
      </c>
      <c r="S692" s="9" cm="1">
        <f t="array" aca="1" ref="S692" ca="1">_xll.BDH($E$6,"PX LAST",AG692)</f>
        <v>167.6</v>
      </c>
      <c r="T692" s="9" cm="1">
        <f t="array" aca="1" ref="T692" ca="1">_xll.BDH($E$6,"PX LAST",AH692)</f>
        <v>164.01</v>
      </c>
      <c r="U692" s="9" cm="1">
        <f t="array" aca="1" ref="U692" ca="1">_xll.BDH($E$6,"PX LAST",AI692)</f>
        <v>153.62</v>
      </c>
      <c r="V692" s="9" cm="1">
        <f t="array" aca="1" ref="V692" ca="1">_xll.BDH($E$6,"PX LAST",AJ692)</f>
        <v>130.54</v>
      </c>
      <c r="W692" s="9" cm="1">
        <f t="array" aca="1" ref="W692" ca="1">_xll.BDH($E$6,"PX LAST",AK692)</f>
        <v>141.72</v>
      </c>
      <c r="X692" s="24">
        <f t="shared" ca="1" si="178"/>
        <v>2.1268858960021841E-3</v>
      </c>
      <c r="Y692" s="24">
        <f t="shared" ca="1" si="179"/>
        <v>2.6800108728254335E-2</v>
      </c>
      <c r="Z692" s="24">
        <f t="shared" ca="1" si="180"/>
        <v>5.7002880175994752E-2</v>
      </c>
      <c r="AA692" s="24">
        <f t="shared" ca="1" si="181"/>
        <v>0.10166108112320971</v>
      </c>
      <c r="AB692" s="9" cm="1">
        <f t="array" aca="1" ref="AB692" ca="1">_xll.BDH($E$8,"PX LAST",AG692)</f>
        <v>4381.8900000000003</v>
      </c>
      <c r="AC692" s="9" cm="1">
        <f t="array" aca="1" ref="AC692" ca="1">_xll.BDH($E$8,"PX LAST",AH692)</f>
        <v>4372.59</v>
      </c>
      <c r="AD692" s="9" cm="1">
        <f t="array" aca="1" ref="AD692" ca="1">_xll.BDH($E$8,"PX LAST",AI692)</f>
        <v>4267.5200000000004</v>
      </c>
      <c r="AE692" s="9" cm="1">
        <f t="array" aca="1" ref="AE692" ca="1">_xll.BDH($E$8,"PX LAST",AJ692)</f>
        <v>4145.58</v>
      </c>
      <c r="AF692" s="9" cm="1">
        <f t="array" aca="1" ref="AF692" ca="1">_xll.BDH($E$8,"PX LAST",AK692)</f>
        <v>3977.53</v>
      </c>
      <c r="AG692" s="20">
        <f t="shared" ca="1" si="187"/>
        <v>45099</v>
      </c>
      <c r="AH692" s="22">
        <f t="shared" ca="1" si="182"/>
        <v>45091</v>
      </c>
      <c r="AI692" s="22">
        <f t="shared" ca="1" si="183"/>
        <v>45084</v>
      </c>
      <c r="AJ692" s="22">
        <f t="shared" ca="1" si="184"/>
        <v>45069</v>
      </c>
      <c r="AK692" s="22">
        <f t="shared" ca="1" si="185"/>
        <v>45012</v>
      </c>
      <c r="AL692" s="22">
        <f t="shared" ca="1" si="186"/>
        <v>44923</v>
      </c>
    </row>
    <row r="693" spans="4:38" x14ac:dyDescent="0.25">
      <c r="D693" s="6">
        <f ca="1"/>
        <v>45098</v>
      </c>
      <c r="E693" s="28">
        <f ca="1"/>
        <v>173.39</v>
      </c>
      <c r="F693" s="29" cm="1">
        <f t="array" aca="1" ref="F693" ca="1">_xll.FDS($E$7,"P_BETA_LOCIDX("&amp;$AG693&amp;","&amp;$AL693&amp;",,"""&amp;$E$9&amp;""")")</f>
        <v>1.9317530000000001</v>
      </c>
      <c r="G693" s="30">
        <f t="shared" ca="1" si="172"/>
        <v>4.3600402218841837E-2</v>
      </c>
      <c r="H693" s="30">
        <f t="shared" ca="1" si="172"/>
        <v>0.12811568430027567</v>
      </c>
      <c r="I693" s="30">
        <f t="shared" ca="1" si="172"/>
        <v>0.2121932141156469</v>
      </c>
      <c r="J693" s="30">
        <f t="shared" ca="1" si="170"/>
        <v>6.3167641265516494E-2</v>
      </c>
      <c r="K693" s="30">
        <f t="shared" ca="1" si="173"/>
        <v>-1.4679343741490168E-3</v>
      </c>
      <c r="L693" s="30">
        <f t="shared" ca="1" si="173"/>
        <v>3.6904808879862555E-2</v>
      </c>
      <c r="M693" s="30">
        <f t="shared" ca="1" si="173"/>
        <v>7.9737342474770892E-2</v>
      </c>
      <c r="N693" s="30">
        <f t="shared" ca="1" si="171"/>
        <v>0.19200826723310821</v>
      </c>
      <c r="O693" s="30">
        <f t="shared" ca="1" si="174"/>
        <v>4.2132467844692822E-2</v>
      </c>
      <c r="P693" s="30">
        <f t="shared" ca="1" si="175"/>
        <v>0.16502049318013823</v>
      </c>
      <c r="Q693" s="30">
        <f t="shared" ca="1" si="176"/>
        <v>0.29193055659041778</v>
      </c>
      <c r="R693" s="30">
        <f t="shared" ca="1" si="177"/>
        <v>0.2551759084986247</v>
      </c>
      <c r="S693" s="9" cm="1">
        <f t="array" aca="1" ref="S693" ca="1">_xll.BDH($E$6,"PX LAST",AG693)</f>
        <v>173.39</v>
      </c>
      <c r="T693" s="9" cm="1">
        <f t="array" aca="1" ref="T693" ca="1">_xll.BDH($E$6,"PX LAST",AH693)</f>
        <v>166.38</v>
      </c>
      <c r="U693" s="9" cm="1">
        <f t="array" aca="1" ref="U693" ca="1">_xll.BDH($E$6,"PX LAST",AI693)</f>
        <v>148.83000000000001</v>
      </c>
      <c r="V693" s="9" cm="1">
        <f t="array" aca="1" ref="V693" ca="1">_xll.BDH($E$6,"PX LAST",AJ693)</f>
        <v>134.21</v>
      </c>
      <c r="W693" s="9" cm="1">
        <f t="array" aca="1" ref="W693" ca="1">_xll.BDH($E$6,"PX LAST",AK693)</f>
        <v>138.13999999999999</v>
      </c>
      <c r="X693" s="24">
        <f t="shared" ca="1" si="178"/>
        <v>-7.5989755116157021E-4</v>
      </c>
      <c r="Y693" s="24">
        <f t="shared" ca="1" si="179"/>
        <v>1.9104310375013034E-2</v>
      </c>
      <c r="Z693" s="24">
        <f t="shared" ca="1" si="180"/>
        <v>4.1277193551541469E-2</v>
      </c>
      <c r="AA693" s="24">
        <f t="shared" ca="1" si="181"/>
        <v>9.939586853656146E-2</v>
      </c>
      <c r="AB693" s="9" cm="1">
        <f t="array" aca="1" ref="AB693" ca="1">_xll.BDH($E$8,"PX LAST",AG693)</f>
        <v>4365.6899999999996</v>
      </c>
      <c r="AC693" s="9" cm="1">
        <f t="array" aca="1" ref="AC693" ca="1">_xll.BDH($E$8,"PX LAST",AH693)</f>
        <v>4369.01</v>
      </c>
      <c r="AD693" s="9" cm="1">
        <f t="array" aca="1" ref="AD693" ca="1">_xll.BDH($E$8,"PX LAST",AI693)</f>
        <v>4283.8500000000004</v>
      </c>
      <c r="AE693" s="9" cm="1">
        <f t="array" aca="1" ref="AE693" ca="1">_xll.BDH($E$8,"PX LAST",AJ693)</f>
        <v>4192.63</v>
      </c>
      <c r="AF693" s="9" cm="1">
        <f t="array" aca="1" ref="AF693" ca="1">_xll.BDH($E$8,"PX LAST",AK693)</f>
        <v>3970.99</v>
      </c>
      <c r="AG693" s="20">
        <f t="shared" ca="1" si="187"/>
        <v>45098</v>
      </c>
      <c r="AH693" s="22">
        <f t="shared" ca="1" si="182"/>
        <v>45090</v>
      </c>
      <c r="AI693" s="22">
        <f t="shared" ca="1" si="183"/>
        <v>45083</v>
      </c>
      <c r="AJ693" s="22">
        <f t="shared" ca="1" si="184"/>
        <v>45068</v>
      </c>
      <c r="AK693" s="22">
        <f t="shared" ca="1" si="185"/>
        <v>45009</v>
      </c>
      <c r="AL693" s="22">
        <f t="shared" ca="1" si="186"/>
        <v>44922</v>
      </c>
    </row>
    <row r="694" spans="4:38" x14ac:dyDescent="0.25">
      <c r="D694" s="6">
        <f ca="1"/>
        <v>45097</v>
      </c>
      <c r="E694" s="28">
        <f ca="1"/>
        <v>170.22</v>
      </c>
      <c r="F694" s="29" cm="1">
        <f t="array" aca="1" ref="F694" ca="1">_xll.FDS($E$7,"P_BETA_LOCIDX("&amp;$AG694&amp;","&amp;$AL694&amp;",,"""&amp;$E$9&amp;""")")</f>
        <v>1.9520773</v>
      </c>
      <c r="G694" s="30">
        <f t="shared" ca="1" si="172"/>
        <v>3.4739821365272358E-2</v>
      </c>
      <c r="H694" s="30">
        <f t="shared" ca="1" si="172"/>
        <v>9.539555150017312E-2</v>
      </c>
      <c r="I694" s="30">
        <f t="shared" ca="1" si="172"/>
        <v>0.17669969212952524</v>
      </c>
      <c r="J694" s="30">
        <f t="shared" ca="1" si="170"/>
        <v>-9.5927414052699167E-3</v>
      </c>
      <c r="K694" s="30">
        <f t="shared" ca="1" si="173"/>
        <v>2.2395938167704757E-2</v>
      </c>
      <c r="L694" s="30">
        <f t="shared" ca="1" si="173"/>
        <v>5.2490347751293548E-2</v>
      </c>
      <c r="M694" s="30">
        <f t="shared" ca="1" si="173"/>
        <v>9.161116399147913E-2</v>
      </c>
      <c r="N694" s="30">
        <f t="shared" ca="1" si="171"/>
        <v>0.21751212829144653</v>
      </c>
      <c r="O694" s="30">
        <f t="shared" ca="1" si="174"/>
        <v>5.7135759532977115E-2</v>
      </c>
      <c r="P694" s="30">
        <f t="shared" ca="1" si="175"/>
        <v>0.14788589925146667</v>
      </c>
      <c r="Q694" s="30">
        <f t="shared" ca="1" si="176"/>
        <v>0.26831085612100436</v>
      </c>
      <c r="R694" s="30">
        <f t="shared" ca="1" si="177"/>
        <v>0.20791938688617662</v>
      </c>
      <c r="S694" s="9" cm="1">
        <f t="array" aca="1" ref="S694" ca="1">_xll.BDH($E$6,"PX LAST",AG694)</f>
        <v>170.22</v>
      </c>
      <c r="T694" s="9" cm="1">
        <f t="array" aca="1" ref="T694" ca="1">_xll.BDH($E$6,"PX LAST",AH694)</f>
        <v>161.02000000000001</v>
      </c>
      <c r="U694" s="9" cm="1">
        <f t="array" aca="1" ref="U694" ca="1">_xll.BDH($E$6,"PX LAST",AI694)</f>
        <v>148.29</v>
      </c>
      <c r="V694" s="9" cm="1">
        <f t="array" aca="1" ref="V694" ca="1">_xll.BDH($E$6,"PX LAST",AJ694)</f>
        <v>134.21</v>
      </c>
      <c r="W694" s="9" cm="1">
        <f t="array" aca="1" ref="W694" ca="1">_xll.BDH($E$6,"PX LAST",AK694)</f>
        <v>140.91999999999999</v>
      </c>
      <c r="X694" s="24">
        <f t="shared" ca="1" si="178"/>
        <v>1.1472874648818854E-2</v>
      </c>
      <c r="Y694" s="24">
        <f t="shared" ca="1" si="179"/>
        <v>2.6889482169222267E-2</v>
      </c>
      <c r="Z694" s="24">
        <f t="shared" ca="1" si="180"/>
        <v>4.6930090315316475E-2</v>
      </c>
      <c r="AA694" s="24">
        <f t="shared" ca="1" si="181"/>
        <v>0.11142598107741253</v>
      </c>
      <c r="AB694" s="9" cm="1">
        <f t="array" aca="1" ref="AB694" ca="1">_xll.BDH($E$8,"PX LAST",AG694)</f>
        <v>4388.71</v>
      </c>
      <c r="AC694" s="9" cm="1">
        <f t="array" aca="1" ref="AC694" ca="1">_xll.BDH($E$8,"PX LAST",AH694)</f>
        <v>4338.93</v>
      </c>
      <c r="AD694" s="9" cm="1">
        <f t="array" aca="1" ref="AD694" ca="1">_xll.BDH($E$8,"PX LAST",AI694)</f>
        <v>4273.79</v>
      </c>
      <c r="AE694" s="9" cm="1">
        <f t="array" aca="1" ref="AE694" ca="1">_xll.BDH($E$8,"PX LAST",AJ694)</f>
        <v>4191.9799999999996</v>
      </c>
      <c r="AF694" s="9" cm="1">
        <f t="array" aca="1" ref="AF694" ca="1">_xll.BDH($E$8,"PX LAST",AK694)</f>
        <v>3948.72</v>
      </c>
      <c r="AG694" s="20">
        <f t="shared" ca="1" si="187"/>
        <v>45097</v>
      </c>
      <c r="AH694" s="22">
        <f t="shared" ca="1" si="182"/>
        <v>45089</v>
      </c>
      <c r="AI694" s="22">
        <f t="shared" ca="1" si="183"/>
        <v>45082</v>
      </c>
      <c r="AJ694" s="22">
        <f t="shared" ca="1" si="184"/>
        <v>45065</v>
      </c>
      <c r="AK694" s="22">
        <f t="shared" ca="1" si="185"/>
        <v>45008</v>
      </c>
      <c r="AL694" s="22">
        <f t="shared" ca="1" si="186"/>
        <v>44918</v>
      </c>
    </row>
    <row r="695" spans="4:38" x14ac:dyDescent="0.25">
      <c r="D695" s="6">
        <f ca="1"/>
        <v>45093</v>
      </c>
      <c r="E695" s="28">
        <f ca="1"/>
        <v>168.05</v>
      </c>
      <c r="F695" s="29" cm="1">
        <f t="array" aca="1" ref="F695" ca="1">_xll.FDS($E$7,"P_BETA_LOCIDX("&amp;$AG695&amp;","&amp;$AL695&amp;",,"""&amp;$E$9&amp;""")")</f>
        <v>1.9696364</v>
      </c>
      <c r="G695" s="30">
        <f t="shared" ca="1" si="172"/>
        <v>3.5421758035761336E-2</v>
      </c>
      <c r="H695" s="30">
        <f t="shared" ca="1" si="172"/>
        <v>9.1411069563233888E-2</v>
      </c>
      <c r="I695" s="30">
        <f t="shared" ca="1" si="172"/>
        <v>0.13405387727261264</v>
      </c>
      <c r="J695" s="30">
        <f t="shared" ca="1" si="170"/>
        <v>-7.0325121285955389E-2</v>
      </c>
      <c r="K695" s="30">
        <f t="shared" ca="1" si="173"/>
        <v>5.0733877951829237E-2</v>
      </c>
      <c r="L695" s="30">
        <f t="shared" ca="1" si="173"/>
        <v>5.8513660148002161E-2</v>
      </c>
      <c r="M695" s="30">
        <f t="shared" ca="1" si="173"/>
        <v>9.9250100417098364E-2</v>
      </c>
      <c r="N695" s="30">
        <f t="shared" ca="1" si="171"/>
        <v>0.23644822169536486</v>
      </c>
      <c r="O695" s="30">
        <f t="shared" ca="1" si="174"/>
        <v>8.6155635987590573E-2</v>
      </c>
      <c r="P695" s="30">
        <f t="shared" ca="1" si="175"/>
        <v>0.14992472971123605</v>
      </c>
      <c r="Q695" s="30">
        <f t="shared" ca="1" si="176"/>
        <v>0.23330397768971101</v>
      </c>
      <c r="R695" s="30">
        <f t="shared" ca="1" si="177"/>
        <v>0.16612310040940947</v>
      </c>
      <c r="S695" s="9" cm="1">
        <f t="array" aca="1" ref="S695" ca="1">_xll.BDH($E$6,"PX LAST",AG695)</f>
        <v>168.05</v>
      </c>
      <c r="T695" s="9" cm="1">
        <f t="array" aca="1" ref="T695" ca="1">_xll.BDH($E$6,"PX LAST",AH695)</f>
        <v>154.72</v>
      </c>
      <c r="U695" s="9" cm="1">
        <f t="array" aca="1" ref="U695" ca="1">_xll.BDH($E$6,"PX LAST",AI695)</f>
        <v>146.13999999999999</v>
      </c>
      <c r="V695" s="9" cm="1">
        <f t="array" aca="1" ref="V695" ca="1">_xll.BDH($E$6,"PX LAST",AJ695)</f>
        <v>136.26</v>
      </c>
      <c r="W695" s="9" cm="1">
        <f t="array" aca="1" ref="W695" ca="1">_xll.BDH($E$6,"PX LAST",AK695)</f>
        <v>144.11000000000001</v>
      </c>
      <c r="X695" s="24">
        <f t="shared" ca="1" si="178"/>
        <v>2.5757991653601264E-2</v>
      </c>
      <c r="Y695" s="24">
        <f t="shared" ca="1" si="179"/>
        <v>2.9707848691262084E-2</v>
      </c>
      <c r="Z695" s="24">
        <f t="shared" ca="1" si="180"/>
        <v>5.0390062052619644E-2</v>
      </c>
      <c r="AA695" s="24">
        <f t="shared" ca="1" si="181"/>
        <v>0.12004663484862732</v>
      </c>
      <c r="AB695" s="9" cm="1">
        <f t="array" aca="1" ref="AB695" ca="1">_xll.BDH($E$8,"PX LAST",AG695)</f>
        <v>4409.59</v>
      </c>
      <c r="AC695" s="9" cm="1">
        <f t="array" aca="1" ref="AC695" ca="1">_xll.BDH($E$8,"PX LAST",AH695)</f>
        <v>4298.8599999999997</v>
      </c>
      <c r="AD695" s="9" cm="1">
        <f t="array" aca="1" ref="AD695" ca="1">_xll.BDH($E$8,"PX LAST",AI695)</f>
        <v>4282.37</v>
      </c>
      <c r="AE695" s="9" cm="1">
        <f t="array" aca="1" ref="AE695" ca="1">_xll.BDH($E$8,"PX LAST",AJ695)</f>
        <v>4198.05</v>
      </c>
      <c r="AF695" s="9" cm="1">
        <f t="array" aca="1" ref="AF695" ca="1">_xll.BDH($E$8,"PX LAST",AK695)</f>
        <v>3936.97</v>
      </c>
      <c r="AG695" s="20">
        <f t="shared" ca="1" si="187"/>
        <v>45093</v>
      </c>
      <c r="AH695" s="22">
        <f t="shared" ca="1" si="182"/>
        <v>45086</v>
      </c>
      <c r="AI695" s="22">
        <f t="shared" ca="1" si="183"/>
        <v>45079</v>
      </c>
      <c r="AJ695" s="22">
        <f t="shared" ca="1" si="184"/>
        <v>45064</v>
      </c>
      <c r="AK695" s="22">
        <f t="shared" ca="1" si="185"/>
        <v>45007</v>
      </c>
      <c r="AL695" s="22">
        <f t="shared" ca="1" si="186"/>
        <v>44917</v>
      </c>
    </row>
    <row r="696" spans="4:38" x14ac:dyDescent="0.25">
      <c r="D696" s="6">
        <f ca="1"/>
        <v>45092</v>
      </c>
      <c r="E696" s="28">
        <f ca="1"/>
        <v>168.67</v>
      </c>
      <c r="F696" s="29" cm="1">
        <f t="array" aca="1" ref="F696" ca="1">_xll.FDS($E$7,"P_BETA_LOCIDX("&amp;$AG696&amp;","&amp;$AL696&amp;",,"""&amp;$E$9&amp;""")")</f>
        <v>1.9696586</v>
      </c>
      <c r="G696" s="30">
        <f t="shared" ca="1" si="172"/>
        <v>2.3071468588512466E-2</v>
      </c>
      <c r="H696" s="30">
        <f t="shared" ca="1" si="172"/>
        <v>0.14200627490207926</v>
      </c>
      <c r="I696" s="30">
        <f t="shared" ca="1" si="172"/>
        <v>0.14726165437031535</v>
      </c>
      <c r="J696" s="30">
        <f t="shared" ca="1" si="170"/>
        <v>-6.5066843191198931E-2</v>
      </c>
      <c r="K696" s="30">
        <f t="shared" ca="1" si="173"/>
        <v>6.050812796808528E-2</v>
      </c>
      <c r="L696" s="30">
        <f t="shared" ca="1" si="173"/>
        <v>9.5575352510056583E-2</v>
      </c>
      <c r="M696" s="30">
        <f t="shared" ca="1" si="173"/>
        <v>0.1264885344229183</v>
      </c>
      <c r="N696" s="30">
        <f t="shared" ca="1" si="171"/>
        <v>0.208127293177645</v>
      </c>
      <c r="O696" s="30">
        <f t="shared" ca="1" si="174"/>
        <v>8.3579596556597746E-2</v>
      </c>
      <c r="P696" s="30">
        <f t="shared" ca="1" si="175"/>
        <v>0.23758162741213584</v>
      </c>
      <c r="Q696" s="30">
        <f t="shared" ca="1" si="176"/>
        <v>0.27375018879323365</v>
      </c>
      <c r="R696" s="30">
        <f t="shared" ca="1" si="177"/>
        <v>0.14306044998644607</v>
      </c>
      <c r="S696" s="9" cm="1">
        <f t="array" aca="1" ref="S696" ca="1">_xll.BDH($E$6,"PX LAST",AG696)</f>
        <v>168.67</v>
      </c>
      <c r="T696" s="9" cm="1">
        <f t="array" aca="1" ref="T696" ca="1">_xll.BDH($E$6,"PX LAST",AH696)</f>
        <v>155.66</v>
      </c>
      <c r="U696" s="9" cm="1">
        <f t="array" aca="1" ref="U696" ca="1">_xll.BDH($E$6,"PX LAST",AI696)</f>
        <v>136.29</v>
      </c>
      <c r="V696" s="9" cm="1">
        <f t="array" aca="1" ref="V696" ca="1">_xll.BDH($E$6,"PX LAST",AJ696)</f>
        <v>132.41999999999999</v>
      </c>
      <c r="W696" s="9" cm="1">
        <f t="array" aca="1" ref="W696" ca="1">_xll.BDH($E$6,"PX LAST",AK696)</f>
        <v>147.56</v>
      </c>
      <c r="X696" s="24">
        <f t="shared" ca="1" si="178"/>
        <v>3.0720109549992713E-2</v>
      </c>
      <c r="Y696" s="24">
        <f t="shared" ca="1" si="179"/>
        <v>4.8523816518282192E-2</v>
      </c>
      <c r="Z696" s="24">
        <f t="shared" ca="1" si="180"/>
        <v>6.4218506914303974E-2</v>
      </c>
      <c r="AA696" s="24">
        <f t="shared" ca="1" si="181"/>
        <v>0.10566668415411939</v>
      </c>
      <c r="AB696" s="9" cm="1">
        <f t="array" aca="1" ref="AB696" ca="1">_xll.BDH($E$8,"PX LAST",AG696)</f>
        <v>4425.84</v>
      </c>
      <c r="AC696" s="9" cm="1">
        <f t="array" aca="1" ref="AC696" ca="1">_xll.BDH($E$8,"PX LAST",AH696)</f>
        <v>4293.93</v>
      </c>
      <c r="AD696" s="9" cm="1">
        <f t="array" aca="1" ref="AD696" ca="1">_xll.BDH($E$8,"PX LAST",AI696)</f>
        <v>4221.0200000000004</v>
      </c>
      <c r="AE696" s="9" cm="1">
        <f t="array" aca="1" ref="AE696" ca="1">_xll.BDH($E$8,"PX LAST",AJ696)</f>
        <v>4158.7700000000004</v>
      </c>
      <c r="AF696" s="9" cm="1">
        <f t="array" aca="1" ref="AF696" ca="1">_xll.BDH($E$8,"PX LAST",AK696)</f>
        <v>4002.87</v>
      </c>
      <c r="AG696" s="20">
        <f t="shared" ca="1" si="187"/>
        <v>45092</v>
      </c>
      <c r="AH696" s="22">
        <f t="shared" ca="1" si="182"/>
        <v>45085</v>
      </c>
      <c r="AI696" s="22">
        <f t="shared" ca="1" si="183"/>
        <v>45078</v>
      </c>
      <c r="AJ696" s="22">
        <f t="shared" ca="1" si="184"/>
        <v>45063</v>
      </c>
      <c r="AK696" s="22">
        <f t="shared" ca="1" si="185"/>
        <v>45006</v>
      </c>
      <c r="AL696" s="22">
        <f t="shared" ca="1" si="186"/>
        <v>44916</v>
      </c>
    </row>
    <row r="697" spans="4:38" x14ac:dyDescent="0.25">
      <c r="D697" s="6">
        <f ca="1"/>
        <v>45091</v>
      </c>
      <c r="E697" s="28">
        <f ca="1"/>
        <v>164.01</v>
      </c>
      <c r="F697" s="29" cm="1">
        <f t="array" aca="1" ref="F697" ca="1">_xll.FDS($E$7,"P_BETA_LOCIDX("&amp;$AG697&amp;","&amp;$AL697&amp;",,"""&amp;$E$9&amp;""")")</f>
        <v>1.9659021999999999</v>
      </c>
      <c r="G697" s="30">
        <f t="shared" ca="1" si="172"/>
        <v>1.9232225504549533E-2</v>
      </c>
      <c r="H697" s="30">
        <f t="shared" ca="1" si="172"/>
        <v>0.10318096048178496</v>
      </c>
      <c r="I697" s="30">
        <f t="shared" ca="1" si="172"/>
        <v>0.15507439838743931</v>
      </c>
      <c r="J697" s="30">
        <f t="shared" ca="1" si="170"/>
        <v>-5.2175072701232256E-2</v>
      </c>
      <c r="K697" s="30">
        <f t="shared" ca="1" si="173"/>
        <v>4.8402197096674232E-2</v>
      </c>
      <c r="L697" s="30">
        <f t="shared" ca="1" si="173"/>
        <v>9.0660937902259237E-2</v>
      </c>
      <c r="M697" s="30">
        <f t="shared" ca="1" si="173"/>
        <v>0.12565338546388027</v>
      </c>
      <c r="N697" s="30">
        <f t="shared" ca="1" si="171"/>
        <v>0.20945703713815014</v>
      </c>
      <c r="O697" s="30">
        <f t="shared" ca="1" si="174"/>
        <v>6.7634422601223765E-2</v>
      </c>
      <c r="P697" s="30">
        <f t="shared" ca="1" si="175"/>
        <v>0.1938418983840442</v>
      </c>
      <c r="Q697" s="30">
        <f t="shared" ca="1" si="176"/>
        <v>0.28072778385131958</v>
      </c>
      <c r="R697" s="30">
        <f t="shared" ca="1" si="177"/>
        <v>0.15728196443691789</v>
      </c>
      <c r="S697" s="9" cm="1">
        <f t="array" aca="1" ref="S697" ca="1">_xll.BDH($E$6,"PX LAST",AG697)</f>
        <v>164.01</v>
      </c>
      <c r="T697" s="9" cm="1">
        <f t="array" aca="1" ref="T697" ca="1">_xll.BDH($E$6,"PX LAST",AH697)</f>
        <v>153.62</v>
      </c>
      <c r="U697" s="9" cm="1">
        <f t="array" aca="1" ref="U697" ca="1">_xll.BDH($E$6,"PX LAST",AI697)</f>
        <v>137.38</v>
      </c>
      <c r="V697" s="9" cm="1">
        <f t="array" aca="1" ref="V697" ca="1">_xll.BDH($E$6,"PX LAST",AJ697)</f>
        <v>128.06</v>
      </c>
      <c r="W697" s="9" cm="1">
        <f t="array" aca="1" ref="W697" ca="1">_xll.BDH($E$6,"PX LAST",AK697)</f>
        <v>141.72</v>
      </c>
      <c r="X697" s="24">
        <f t="shared" ca="1" si="178"/>
        <v>2.4620857078584191E-2</v>
      </c>
      <c r="Y697" s="24">
        <f t="shared" ca="1" si="179"/>
        <v>4.6116708095783832E-2</v>
      </c>
      <c r="Z697" s="24">
        <f t="shared" ca="1" si="180"/>
        <v>6.3916396992627744E-2</v>
      </c>
      <c r="AA697" s="24">
        <f t="shared" ca="1" si="181"/>
        <v>0.10654499350890911</v>
      </c>
      <c r="AB697" s="9" cm="1">
        <f t="array" aca="1" ref="AB697" ca="1">_xll.BDH($E$8,"PX LAST",AG697)</f>
        <v>4372.59</v>
      </c>
      <c r="AC697" s="9" cm="1">
        <f t="array" aca="1" ref="AC697" ca="1">_xll.BDH($E$8,"PX LAST",AH697)</f>
        <v>4267.5200000000004</v>
      </c>
      <c r="AD697" s="9" cm="1">
        <f t="array" aca="1" ref="AD697" ca="1">_xll.BDH($E$8,"PX LAST",AI697)</f>
        <v>4179.83</v>
      </c>
      <c r="AE697" s="9" cm="1">
        <f t="array" aca="1" ref="AE697" ca="1">_xll.BDH($E$8,"PX LAST",AJ697)</f>
        <v>4109.8999999999996</v>
      </c>
      <c r="AF697" s="9" cm="1">
        <f t="array" aca="1" ref="AF697" ca="1">_xll.BDH($E$8,"PX LAST",AK697)</f>
        <v>3951.57</v>
      </c>
      <c r="AG697" s="20">
        <f t="shared" ca="1" si="187"/>
        <v>45091</v>
      </c>
      <c r="AH697" s="22">
        <f t="shared" ca="1" si="182"/>
        <v>45084</v>
      </c>
      <c r="AI697" s="22">
        <f t="shared" ca="1" si="183"/>
        <v>45077</v>
      </c>
      <c r="AJ697" s="22">
        <f t="shared" ca="1" si="184"/>
        <v>45062</v>
      </c>
      <c r="AK697" s="22">
        <f t="shared" ca="1" si="185"/>
        <v>45005</v>
      </c>
      <c r="AL697" s="22">
        <f t="shared" ca="1" si="186"/>
        <v>44915</v>
      </c>
    </row>
    <row r="698" spans="4:38" x14ac:dyDescent="0.25">
      <c r="D698" s="6">
        <f ca="1"/>
        <v>45090</v>
      </c>
      <c r="E698" s="28">
        <f ca="1"/>
        <v>166.38</v>
      </c>
      <c r="F698" s="29" cm="1">
        <f t="array" aca="1" ref="F698" ca="1">_xll.FDS($E$7,"P_BETA_LOCIDX("&amp;$AG698&amp;","&amp;$AL698&amp;",,"""&amp;$E$9&amp;""")")</f>
        <v>1.9378607999999999</v>
      </c>
      <c r="G698" s="30">
        <f t="shared" ca="1" si="172"/>
        <v>7.9396430581373648E-2</v>
      </c>
      <c r="H698" s="30">
        <f t="shared" ca="1" si="172"/>
        <v>7.9520751160147438E-2</v>
      </c>
      <c r="I698" s="30">
        <f t="shared" ca="1" si="172"/>
        <v>0.14913219781044193</v>
      </c>
      <c r="J698" s="30">
        <f t="shared" ca="1" si="170"/>
        <v>-2.3562269644838457E-2</v>
      </c>
      <c r="K698" s="30">
        <f t="shared" ca="1" si="173"/>
        <v>3.8523343657690876E-2</v>
      </c>
      <c r="L698" s="30">
        <f t="shared" ca="1" si="173"/>
        <v>7.5334527523825759E-2</v>
      </c>
      <c r="M698" s="30">
        <f t="shared" ca="1" si="173"/>
        <v>0.1090347713365635</v>
      </c>
      <c r="N698" s="30">
        <f t="shared" ca="1" si="171"/>
        <v>0.22382197242942939</v>
      </c>
      <c r="O698" s="30">
        <f t="shared" ca="1" si="174"/>
        <v>0.11791977423906452</v>
      </c>
      <c r="P698" s="30">
        <f t="shared" ca="1" si="175"/>
        <v>0.1548552786839732</v>
      </c>
      <c r="Q698" s="30">
        <f t="shared" ca="1" si="176"/>
        <v>0.25816696914700543</v>
      </c>
      <c r="R698" s="30">
        <f t="shared" ca="1" si="177"/>
        <v>0.20025970278459093</v>
      </c>
      <c r="S698" s="9" cm="1">
        <f t="array" aca="1" ref="S698" ca="1">_xll.BDH($E$6,"PX LAST",AG698)</f>
        <v>166.38</v>
      </c>
      <c r="T698" s="9" cm="1">
        <f t="array" aca="1" ref="T698" ca="1">_xll.BDH($E$6,"PX LAST",AH698)</f>
        <v>148.83000000000001</v>
      </c>
      <c r="U698" s="9" cm="1">
        <f t="array" aca="1" ref="U698" ca="1">_xll.BDH($E$6,"PX LAST",AI698)</f>
        <v>144.07</v>
      </c>
      <c r="V698" s="9" cm="1">
        <f t="array" aca="1" ref="V698" ca="1">_xll.BDH($E$6,"PX LAST",AJ698)</f>
        <v>132.24</v>
      </c>
      <c r="W698" s="9" cm="1">
        <f t="array" aca="1" ref="W698" ca="1">_xll.BDH($E$6,"PX LAST",AK698)</f>
        <v>138.62</v>
      </c>
      <c r="X698" s="24">
        <f t="shared" ca="1" si="178"/>
        <v>1.9879314168329776E-2</v>
      </c>
      <c r="Y698" s="24">
        <f t="shared" ca="1" si="179"/>
        <v>3.8875097490916666E-2</v>
      </c>
      <c r="Z698" s="24">
        <f t="shared" ca="1" si="180"/>
        <v>5.6265533281112612E-2</v>
      </c>
      <c r="AA698" s="24">
        <f t="shared" ca="1" si="181"/>
        <v>0.11549950978389645</v>
      </c>
      <c r="AB698" s="9" cm="1">
        <f t="array" aca="1" ref="AB698" ca="1">_xll.BDH($E$8,"PX LAST",AG698)</f>
        <v>4369.01</v>
      </c>
      <c r="AC698" s="9" cm="1">
        <f t="array" aca="1" ref="AC698" ca="1">_xll.BDH($E$8,"PX LAST",AH698)</f>
        <v>4283.8500000000004</v>
      </c>
      <c r="AD698" s="9" cm="1">
        <f t="array" aca="1" ref="AD698" ca="1">_xll.BDH($E$8,"PX LAST",AI698)</f>
        <v>4205.5200000000004</v>
      </c>
      <c r="AE698" s="9" cm="1">
        <f t="array" aca="1" ref="AE698" ca="1">_xll.BDH($E$8,"PX LAST",AJ698)</f>
        <v>4136.28</v>
      </c>
      <c r="AF698" s="9" cm="1">
        <f t="array" aca="1" ref="AF698" ca="1">_xll.BDH($E$8,"PX LAST",AK698)</f>
        <v>3916.64</v>
      </c>
      <c r="AG698" s="20">
        <f t="shared" ca="1" si="187"/>
        <v>45090</v>
      </c>
      <c r="AH698" s="22">
        <f t="shared" ca="1" si="182"/>
        <v>45083</v>
      </c>
      <c r="AI698" s="22">
        <f t="shared" ca="1" si="183"/>
        <v>45076</v>
      </c>
      <c r="AJ698" s="22">
        <f t="shared" ca="1" si="184"/>
        <v>45061</v>
      </c>
      <c r="AK698" s="22">
        <f t="shared" ca="1" si="185"/>
        <v>45002</v>
      </c>
      <c r="AL698" s="22">
        <f t="shared" ca="1" si="186"/>
        <v>44914</v>
      </c>
    </row>
    <row r="699" spans="4:38" x14ac:dyDescent="0.25">
      <c r="D699" s="6">
        <f ca="1"/>
        <v>45089</v>
      </c>
      <c r="E699" s="28">
        <f ca="1"/>
        <v>161.02000000000001</v>
      </c>
      <c r="F699" s="29" cm="1">
        <f t="array" aca="1" ref="F699" ca="1">_xll.FDS($E$7,"P_BETA_LOCIDX("&amp;$AG699&amp;","&amp;$AL699&amp;",,"""&amp;$E$9&amp;""")")</f>
        <v>1.91214</v>
      </c>
      <c r="G699" s="30">
        <f t="shared" ca="1" si="172"/>
        <v>5.6700960606601084E-2</v>
      </c>
      <c r="H699" s="30">
        <f t="shared" ca="1" si="172"/>
        <v>4.1581850624568026E-2</v>
      </c>
      <c r="I699" s="30">
        <f t="shared" ca="1" si="172"/>
        <v>0.15648848078760719</v>
      </c>
      <c r="J699" s="30">
        <f t="shared" ca="1" si="170"/>
        <v>-8.9308957763408803E-2</v>
      </c>
      <c r="K699" s="30">
        <f t="shared" ca="1" si="173"/>
        <v>2.9144342515659494E-2</v>
      </c>
      <c r="L699" s="30">
        <f t="shared" ca="1" si="173"/>
        <v>6.0690876648159267E-2</v>
      </c>
      <c r="M699" s="30">
        <f t="shared" ca="1" si="173"/>
        <v>9.9615739510388088E-2</v>
      </c>
      <c r="N699" s="30">
        <f t="shared" ca="1" si="171"/>
        <v>0.18282338900279776</v>
      </c>
      <c r="O699" s="30">
        <f t="shared" ca="1" si="174"/>
        <v>8.5845303122260574E-2</v>
      </c>
      <c r="P699" s="30">
        <f t="shared" ca="1" si="175"/>
        <v>0.10227272727272729</v>
      </c>
      <c r="Q699" s="30">
        <f t="shared" ca="1" si="176"/>
        <v>0.25610422029799529</v>
      </c>
      <c r="R699" s="30">
        <f t="shared" ca="1" si="177"/>
        <v>9.3514431239388962E-2</v>
      </c>
      <c r="S699" s="9" cm="1">
        <f t="array" aca="1" ref="S699" ca="1">_xll.BDH($E$6,"PX LAST",AG699)</f>
        <v>161.02000000000001</v>
      </c>
      <c r="T699" s="9" cm="1">
        <f t="array" aca="1" ref="T699" ca="1">_xll.BDH($E$6,"PX LAST",AH699)</f>
        <v>148.29</v>
      </c>
      <c r="U699" s="9" cm="1">
        <f t="array" aca="1" ref="U699" ca="1">_xll.BDH($E$6,"PX LAST",AI699)</f>
        <v>146.08000000000001</v>
      </c>
      <c r="V699" s="9" cm="1">
        <f t="array" aca="1" ref="V699" ca="1">_xll.BDH($E$6,"PX LAST",AJ699)</f>
        <v>128.19</v>
      </c>
      <c r="W699" s="9" cm="1">
        <f t="array" aca="1" ref="W699" ca="1">_xll.BDH($E$6,"PX LAST",AK699)</f>
        <v>147.25</v>
      </c>
      <c r="X699" s="24">
        <f t="shared" ca="1" si="178"/>
        <v>1.5241740937200987E-2</v>
      </c>
      <c r="Y699" s="24">
        <f t="shared" ca="1" si="179"/>
        <v>3.1739766255692192E-2</v>
      </c>
      <c r="Z699" s="24">
        <f t="shared" ca="1" si="180"/>
        <v>5.2096467575798888E-2</v>
      </c>
      <c r="AA699" s="24">
        <f t="shared" ca="1" si="181"/>
        <v>9.5611926429444383E-2</v>
      </c>
      <c r="AB699" s="9" cm="1">
        <f t="array" aca="1" ref="AB699" ca="1">_xll.BDH($E$8,"PX LAST",AG699)</f>
        <v>4338.93</v>
      </c>
      <c r="AC699" s="9" cm="1">
        <f t="array" aca="1" ref="AC699" ca="1">_xll.BDH($E$8,"PX LAST",AH699)</f>
        <v>4273.79</v>
      </c>
      <c r="AD699" s="9" cm="1">
        <f t="array" aca="1" ref="AD699" ca="1">_xll.BDH($E$8,"PX LAST",AI699)</f>
        <v>4205.45</v>
      </c>
      <c r="AE699" s="9" cm="1">
        <f t="array" aca="1" ref="AE699" ca="1">_xll.BDH($E$8,"PX LAST",AJ699)</f>
        <v>4124.08</v>
      </c>
      <c r="AF699" s="9" cm="1">
        <f t="array" aca="1" ref="AF699" ca="1">_xll.BDH($E$8,"PX LAST",AK699)</f>
        <v>3960.28</v>
      </c>
      <c r="AG699" s="20">
        <f t="shared" ca="1" si="187"/>
        <v>45089</v>
      </c>
      <c r="AH699" s="22">
        <f t="shared" ca="1" si="182"/>
        <v>45082</v>
      </c>
      <c r="AI699" s="22">
        <f t="shared" ca="1" si="183"/>
        <v>45072</v>
      </c>
      <c r="AJ699" s="22">
        <f t="shared" ca="1" si="184"/>
        <v>45058</v>
      </c>
      <c r="AK699" s="22">
        <f t="shared" ca="1" si="185"/>
        <v>45001</v>
      </c>
      <c r="AL699" s="22">
        <f t="shared" ca="1" si="186"/>
        <v>44911</v>
      </c>
    </row>
    <row r="700" spans="4:38" x14ac:dyDescent="0.25">
      <c r="D700" s="6">
        <f ca="1"/>
        <v>45086</v>
      </c>
      <c r="E700" s="28">
        <f ca="1"/>
        <v>154.72</v>
      </c>
      <c r="F700" s="29" cm="1">
        <f t="array" aca="1" ref="F700" ca="1">_xll.FDS($E$7,"P_BETA_LOCIDX("&amp;$AG700&amp;","&amp;$AL700&amp;",,"""&amp;$E$9&amp;""")")</f>
        <v>1.8868088999999999</v>
      </c>
      <c r="G700" s="30">
        <f t="shared" ca="1" si="172"/>
        <v>5.1445344028005859E-2</v>
      </c>
      <c r="H700" s="30">
        <f t="shared" ca="1" si="172"/>
        <v>9.0920192299434821E-2</v>
      </c>
      <c r="I700" s="30">
        <f t="shared" ca="1" si="172"/>
        <v>0.1327508435603359</v>
      </c>
      <c r="J700" s="30">
        <f t="shared" ca="1" si="170"/>
        <v>-0.12729362449156476</v>
      </c>
      <c r="K700" s="30">
        <f t="shared" ca="1" si="173"/>
        <v>7.2654812080692119E-3</v>
      </c>
      <c r="L700" s="30">
        <f t="shared" ca="1" si="173"/>
        <v>6.7076963602069495E-2</v>
      </c>
      <c r="M700" s="30">
        <f t="shared" ca="1" si="173"/>
        <v>7.6849656791474097E-2</v>
      </c>
      <c r="N700" s="30">
        <f t="shared" ca="1" si="171"/>
        <v>0.19727979323292019</v>
      </c>
      <c r="O700" s="30">
        <f t="shared" ca="1" si="174"/>
        <v>5.871082523607507E-2</v>
      </c>
      <c r="P700" s="30">
        <f t="shared" ca="1" si="175"/>
        <v>0.15799715590150432</v>
      </c>
      <c r="Q700" s="30">
        <f t="shared" ca="1" si="176"/>
        <v>0.20960050035180999</v>
      </c>
      <c r="R700" s="30">
        <f t="shared" ca="1" si="177"/>
        <v>6.9986168741355437E-2</v>
      </c>
      <c r="S700" s="9" cm="1">
        <f t="array" aca="1" ref="S700" ca="1">_xll.BDH($E$6,"PX LAST",AG700)</f>
        <v>154.72</v>
      </c>
      <c r="T700" s="9" cm="1">
        <f t="array" aca="1" ref="T700" ca="1">_xll.BDH($E$6,"PX LAST",AH700)</f>
        <v>146.13999999999999</v>
      </c>
      <c r="U700" s="9" cm="1">
        <f t="array" aca="1" ref="U700" ca="1">_xll.BDH($E$6,"PX LAST",AI700)</f>
        <v>133.61000000000001</v>
      </c>
      <c r="V700" s="9" cm="1">
        <f t="array" aca="1" ref="V700" ca="1">_xll.BDH($E$6,"PX LAST",AJ700)</f>
        <v>127.91</v>
      </c>
      <c r="W700" s="9" cm="1">
        <f t="array" aca="1" ref="W700" ca="1">_xll.BDH($E$6,"PX LAST",AK700)</f>
        <v>144.6</v>
      </c>
      <c r="X700" s="24">
        <f t="shared" ca="1" si="178"/>
        <v>3.8506714739734438E-3</v>
      </c>
      <c r="Y700" s="24">
        <f t="shared" ca="1" si="179"/>
        <v>3.5550480815555563E-2</v>
      </c>
      <c r="Z700" s="24">
        <f t="shared" ca="1" si="180"/>
        <v>4.0729963056393315E-2</v>
      </c>
      <c r="AA700" s="24">
        <f t="shared" ca="1" si="181"/>
        <v>0.10455737898677508</v>
      </c>
      <c r="AB700" s="9" cm="1">
        <f t="array" aca="1" ref="AB700" ca="1">_xll.BDH($E$8,"PX LAST",AG700)</f>
        <v>4298.8599999999997</v>
      </c>
      <c r="AC700" s="9" cm="1">
        <f t="array" aca="1" ref="AC700" ca="1">_xll.BDH($E$8,"PX LAST",AH700)</f>
        <v>4282.37</v>
      </c>
      <c r="AD700" s="9" cm="1">
        <f t="array" aca="1" ref="AD700" ca="1">_xll.BDH($E$8,"PX LAST",AI700)</f>
        <v>4151.28</v>
      </c>
      <c r="AE700" s="9" cm="1">
        <f t="array" aca="1" ref="AE700" ca="1">_xll.BDH($E$8,"PX LAST",AJ700)</f>
        <v>4130.62</v>
      </c>
      <c r="AF700" s="9" cm="1">
        <f t="array" aca="1" ref="AF700" ca="1">_xll.BDH($E$8,"PX LAST",AK700)</f>
        <v>3891.93</v>
      </c>
      <c r="AG700" s="20">
        <f t="shared" ca="1" si="187"/>
        <v>45086</v>
      </c>
      <c r="AH700" s="22">
        <f t="shared" ca="1" si="182"/>
        <v>45079</v>
      </c>
      <c r="AI700" s="22">
        <f t="shared" ca="1" si="183"/>
        <v>45071</v>
      </c>
      <c r="AJ700" s="22">
        <f t="shared" ca="1" si="184"/>
        <v>45057</v>
      </c>
      <c r="AK700" s="22">
        <f t="shared" ca="1" si="185"/>
        <v>45000</v>
      </c>
      <c r="AL700" s="22">
        <f t="shared" ca="1" si="186"/>
        <v>44910</v>
      </c>
    </row>
    <row r="701" spans="4:38" x14ac:dyDescent="0.25">
      <c r="D701" s="6">
        <f ca="1"/>
        <v>45085</v>
      </c>
      <c r="E701" s="28">
        <f ca="1"/>
        <v>155.66</v>
      </c>
      <c r="F701" s="29" cm="1">
        <f t="array" aca="1" ref="F701" ca="1">_xll.FDS($E$7,"P_BETA_LOCIDX("&amp;$AG701&amp;","&amp;$AL701&amp;",,"""&amp;$E$9&amp;""")")</f>
        <v>1.8887457000000001</v>
      </c>
      <c r="G701" s="30">
        <f t="shared" ca="1" si="172"/>
        <v>0.10949896495684946</v>
      </c>
      <c r="H701" s="30">
        <f t="shared" ca="1" si="172"/>
        <v>0.13665214993704911</v>
      </c>
      <c r="I701" s="30">
        <f t="shared" ca="1" si="172"/>
        <v>0.13579144799199705</v>
      </c>
      <c r="J701" s="30">
        <f t="shared" ca="1" si="170"/>
        <v>-0.17796650152953136</v>
      </c>
      <c r="K701" s="30">
        <f t="shared" ca="1" si="173"/>
        <v>3.2624448353004647E-2</v>
      </c>
      <c r="L701" s="30">
        <f t="shared" ca="1" si="173"/>
        <v>8.2012220218748197E-2</v>
      </c>
      <c r="M701" s="30">
        <f t="shared" ca="1" si="173"/>
        <v>7.1343100282528008E-2</v>
      </c>
      <c r="N701" s="30">
        <f t="shared" ca="1" si="171"/>
        <v>0.18054282511577374</v>
      </c>
      <c r="O701" s="30">
        <f t="shared" ca="1" si="174"/>
        <v>0.14212341330985412</v>
      </c>
      <c r="P701" s="30">
        <f t="shared" ca="1" si="175"/>
        <v>0.21866437015579732</v>
      </c>
      <c r="Q701" s="30">
        <f t="shared" ca="1" si="176"/>
        <v>0.20713454827452504</v>
      </c>
      <c r="R701" s="30">
        <f t="shared" ca="1" si="177"/>
        <v>2.5763235862423794E-3</v>
      </c>
      <c r="S701" s="9" cm="1">
        <f t="array" aca="1" ref="S701" ca="1">_xll.BDH($E$6,"PX LAST",AG701)</f>
        <v>155.66</v>
      </c>
      <c r="T701" s="9" cm="1">
        <f t="array" aca="1" ref="T701" ca="1">_xll.BDH($E$6,"PX LAST",AH701)</f>
        <v>136.29</v>
      </c>
      <c r="U701" s="9" cm="1">
        <f t="array" aca="1" ref="U701" ca="1">_xll.BDH($E$6,"PX LAST",AI701)</f>
        <v>127.73</v>
      </c>
      <c r="V701" s="9" cm="1">
        <f t="array" aca="1" ref="V701" ca="1">_xll.BDH($E$6,"PX LAST",AJ701)</f>
        <v>128.94999999999999</v>
      </c>
      <c r="W701" s="9" cm="1">
        <f t="array" aca="1" ref="W701" ca="1">_xll.BDH($E$6,"PX LAST",AK701)</f>
        <v>155.26</v>
      </c>
      <c r="X701" s="24">
        <f t="shared" ca="1" si="178"/>
        <v>1.727307617590057E-2</v>
      </c>
      <c r="Y701" s="24">
        <f t="shared" ca="1" si="179"/>
        <v>4.3421525840534381E-2</v>
      </c>
      <c r="Z701" s="24">
        <f t="shared" ca="1" si="180"/>
        <v>3.777274001604769E-2</v>
      </c>
      <c r="AA701" s="24">
        <f t="shared" ca="1" si="181"/>
        <v>9.5588741838445346E-2</v>
      </c>
      <c r="AB701" s="9" cm="1">
        <f t="array" aca="1" ref="AB701" ca="1">_xll.BDH($E$8,"PX LAST",AG701)</f>
        <v>4293.93</v>
      </c>
      <c r="AC701" s="9" cm="1">
        <f t="array" aca="1" ref="AC701" ca="1">_xll.BDH($E$8,"PX LAST",AH701)</f>
        <v>4221.0200000000004</v>
      </c>
      <c r="AD701" s="9" cm="1">
        <f t="array" aca="1" ref="AD701" ca="1">_xll.BDH($E$8,"PX LAST",AI701)</f>
        <v>4115.24</v>
      </c>
      <c r="AE701" s="9" cm="1">
        <f t="array" aca="1" ref="AE701" ca="1">_xll.BDH($E$8,"PX LAST",AJ701)</f>
        <v>4137.6400000000003</v>
      </c>
      <c r="AF701" s="9" cm="1">
        <f t="array" aca="1" ref="AF701" ca="1">_xll.BDH($E$8,"PX LAST",AK701)</f>
        <v>3919.29</v>
      </c>
      <c r="AG701" s="20">
        <f t="shared" ca="1" si="187"/>
        <v>45085</v>
      </c>
      <c r="AH701" s="22">
        <f t="shared" ca="1" si="182"/>
        <v>45078</v>
      </c>
      <c r="AI701" s="22">
        <f t="shared" ca="1" si="183"/>
        <v>45070</v>
      </c>
      <c r="AJ701" s="22">
        <f t="shared" ca="1" si="184"/>
        <v>45056</v>
      </c>
      <c r="AK701" s="22">
        <f t="shared" ca="1" si="185"/>
        <v>44999</v>
      </c>
      <c r="AL701" s="22">
        <f t="shared" ca="1" si="186"/>
        <v>44909</v>
      </c>
    </row>
    <row r="702" spans="4:38" x14ac:dyDescent="0.25">
      <c r="D702" s="6">
        <f ca="1"/>
        <v>45084</v>
      </c>
      <c r="E702" s="28">
        <f ca="1"/>
        <v>153.62</v>
      </c>
      <c r="F702" s="29" cm="1">
        <f t="array" aca="1" ref="F702" ca="1">_xll.FDS($E$7,"P_BETA_LOCIDX("&amp;$AG702&amp;","&amp;$AL702&amp;",,"""&amp;$E$9&amp;""")")</f>
        <v>1.8982009</v>
      </c>
      <c r="G702" s="30">
        <f t="shared" ca="1" si="172"/>
        <v>7.8389289830500419E-2</v>
      </c>
      <c r="H702" s="30">
        <f t="shared" ca="1" si="172"/>
        <v>0.12096948895831922</v>
      </c>
      <c r="I702" s="30">
        <f t="shared" ca="1" si="172"/>
        <v>0.10673087820796023</v>
      </c>
      <c r="J702" s="30">
        <f t="shared" ca="1" si="170"/>
        <v>-0.19265070982647031</v>
      </c>
      <c r="K702" s="30">
        <f t="shared" ca="1" si="173"/>
        <v>3.9822968140092237E-2</v>
      </c>
      <c r="L702" s="30">
        <f t="shared" ca="1" si="173"/>
        <v>5.5834555778926209E-2</v>
      </c>
      <c r="M702" s="30">
        <f t="shared" ca="1" si="173"/>
        <v>6.8362826374002705E-2</v>
      </c>
      <c r="N702" s="30">
        <f t="shared" ca="1" si="171"/>
        <v>0.20271054282009243</v>
      </c>
      <c r="O702" s="30">
        <f t="shared" ca="1" si="174"/>
        <v>0.11821225797059265</v>
      </c>
      <c r="P702" s="30">
        <f t="shared" ca="1" si="175"/>
        <v>0.17680404473724542</v>
      </c>
      <c r="Q702" s="30">
        <f t="shared" ca="1" si="176"/>
        <v>0.17509370458196294</v>
      </c>
      <c r="R702" s="30">
        <f t="shared" ca="1" si="177"/>
        <v>1.005983299362212E-2</v>
      </c>
      <c r="S702" s="9" cm="1">
        <f t="array" aca="1" ref="S702" ca="1">_xll.BDH($E$6,"PX LAST",AG702)</f>
        <v>153.62</v>
      </c>
      <c r="T702" s="9" cm="1">
        <f t="array" aca="1" ref="T702" ca="1">_xll.BDH($E$6,"PX LAST",AH702)</f>
        <v>137.38</v>
      </c>
      <c r="U702" s="9" cm="1">
        <f t="array" aca="1" ref="U702" ca="1">_xll.BDH($E$6,"PX LAST",AI702)</f>
        <v>130.54</v>
      </c>
      <c r="V702" s="9" cm="1">
        <f t="array" aca="1" ref="V702" ca="1">_xll.BDH($E$6,"PX LAST",AJ702)</f>
        <v>130.72999999999999</v>
      </c>
      <c r="W702" s="9" cm="1">
        <f t="array" aca="1" ref="W702" ca="1">_xll.BDH($E$6,"PX LAST",AK702)</f>
        <v>152.09</v>
      </c>
      <c r="X702" s="24">
        <f t="shared" ca="1" si="178"/>
        <v>2.0979322125541211E-2</v>
      </c>
      <c r="Y702" s="24">
        <f t="shared" ca="1" si="179"/>
        <v>2.9414460702724465E-2</v>
      </c>
      <c r="Z702" s="24">
        <f t="shared" ca="1" si="180"/>
        <v>3.6014536909134698E-2</v>
      </c>
      <c r="AA702" s="24">
        <f t="shared" ca="1" si="181"/>
        <v>0.10679087910035889</v>
      </c>
      <c r="AB702" s="9" cm="1">
        <f t="array" aca="1" ref="AB702" ca="1">_xll.BDH($E$8,"PX LAST",AG702)</f>
        <v>4267.5200000000004</v>
      </c>
      <c r="AC702" s="9" cm="1">
        <f t="array" aca="1" ref="AC702" ca="1">_xll.BDH($E$8,"PX LAST",AH702)</f>
        <v>4179.83</v>
      </c>
      <c r="AD702" s="9" cm="1">
        <f t="array" aca="1" ref="AD702" ca="1">_xll.BDH($E$8,"PX LAST",AI702)</f>
        <v>4145.58</v>
      </c>
      <c r="AE702" s="9" cm="1">
        <f t="array" aca="1" ref="AE702" ca="1">_xll.BDH($E$8,"PX LAST",AJ702)</f>
        <v>4119.17</v>
      </c>
      <c r="AF702" s="9" cm="1">
        <f t="array" aca="1" ref="AF702" ca="1">_xll.BDH($E$8,"PX LAST",AK702)</f>
        <v>3855.76</v>
      </c>
      <c r="AG702" s="20">
        <f t="shared" ca="1" si="187"/>
        <v>45084</v>
      </c>
      <c r="AH702" s="22">
        <f t="shared" ca="1" si="182"/>
        <v>45077</v>
      </c>
      <c r="AI702" s="22">
        <f t="shared" ca="1" si="183"/>
        <v>45069</v>
      </c>
      <c r="AJ702" s="22">
        <f t="shared" ca="1" si="184"/>
        <v>45055</v>
      </c>
      <c r="AK702" s="22">
        <f t="shared" ca="1" si="185"/>
        <v>44998</v>
      </c>
      <c r="AL702" s="22">
        <f t="shared" ca="1" si="186"/>
        <v>44908</v>
      </c>
    </row>
    <row r="703" spans="4:38" x14ac:dyDescent="0.25">
      <c r="D703" s="6">
        <f ca="1"/>
        <v>45083</v>
      </c>
      <c r="E703" s="28">
        <f ca="1"/>
        <v>148.83000000000001</v>
      </c>
      <c r="F703" s="29" cm="1">
        <f t="array" aca="1" ref="F703" ca="1">_xll.FDS($E$7,"P_BETA_LOCIDX("&amp;$AG703&amp;","&amp;$AL703&amp;",,"""&amp;$E$9&amp;""")")</f>
        <v>1.9095367000000001</v>
      </c>
      <c r="G703" s="30">
        <f t="shared" ca="1" si="172"/>
        <v>-2.526620727512599E-3</v>
      </c>
      <c r="H703" s="30">
        <f t="shared" ca="1" si="172"/>
        <v>6.7387538278848413E-2</v>
      </c>
      <c r="I703" s="30">
        <f t="shared" ca="1" si="172"/>
        <v>7.8656759627342601E-2</v>
      </c>
      <c r="J703" s="30">
        <f t="shared" ca="1" si="170"/>
        <v>-0.27064355573985671</v>
      </c>
      <c r="K703" s="30">
        <f t="shared" ca="1" si="173"/>
        <v>3.5566115417593983E-2</v>
      </c>
      <c r="L703" s="30">
        <f t="shared" ca="1" si="173"/>
        <v>4.1546222245702646E-2</v>
      </c>
      <c r="M703" s="30">
        <f t="shared" ca="1" si="173"/>
        <v>6.7247151675398562E-2</v>
      </c>
      <c r="N703" s="30">
        <f t="shared" ca="1" si="171"/>
        <v>0.20880543168539395</v>
      </c>
      <c r="O703" s="30">
        <f t="shared" ca="1" si="174"/>
        <v>3.3039494690081384E-2</v>
      </c>
      <c r="P703" s="30">
        <f t="shared" ca="1" si="175"/>
        <v>0.10893376052455106</v>
      </c>
      <c r="Q703" s="30">
        <f t="shared" ca="1" si="176"/>
        <v>0.14590391130274116</v>
      </c>
      <c r="R703" s="30">
        <f t="shared" ca="1" si="177"/>
        <v>-6.1838124054462762E-2</v>
      </c>
      <c r="S703" s="9" cm="1">
        <f t="array" aca="1" ref="S703" ca="1">_xll.BDH($E$6,"PX LAST",AG703)</f>
        <v>148.83000000000001</v>
      </c>
      <c r="T703" s="9" cm="1">
        <f t="array" aca="1" ref="T703" ca="1">_xll.BDH($E$6,"PX LAST",AH703)</f>
        <v>144.07</v>
      </c>
      <c r="U703" s="9" cm="1">
        <f t="array" aca="1" ref="U703" ca="1">_xll.BDH($E$6,"PX LAST",AI703)</f>
        <v>134.21</v>
      </c>
      <c r="V703" s="9" cm="1">
        <f t="array" aca="1" ref="V703" ca="1">_xll.BDH($E$6,"PX LAST",AJ703)</f>
        <v>129.88</v>
      </c>
      <c r="W703" s="9" cm="1">
        <f t="array" aca="1" ref="W703" ca="1">_xll.BDH($E$6,"PX LAST",AK703)</f>
        <v>158.63999999999999</v>
      </c>
      <c r="X703" s="24">
        <f t="shared" ca="1" si="178"/>
        <v>1.8625520744164792E-2</v>
      </c>
      <c r="Y703" s="24">
        <f t="shared" ca="1" si="179"/>
        <v>2.1757226371036831E-2</v>
      </c>
      <c r="Z703" s="24">
        <f t="shared" ca="1" si="180"/>
        <v>3.5216475114303147E-2</v>
      </c>
      <c r="AA703" s="24">
        <f t="shared" ca="1" si="181"/>
        <v>0.10934873976781589</v>
      </c>
      <c r="AB703" s="9" cm="1">
        <f t="array" aca="1" ref="AB703" ca="1">_xll.BDH($E$8,"PX LAST",AG703)</f>
        <v>4283.8500000000004</v>
      </c>
      <c r="AC703" s="9" cm="1">
        <f t="array" aca="1" ref="AC703" ca="1">_xll.BDH($E$8,"PX LAST",AH703)</f>
        <v>4205.5200000000004</v>
      </c>
      <c r="AD703" s="9" cm="1">
        <f t="array" aca="1" ref="AD703" ca="1">_xll.BDH($E$8,"PX LAST",AI703)</f>
        <v>4192.63</v>
      </c>
      <c r="AE703" s="9" cm="1">
        <f t="array" aca="1" ref="AE703" ca="1">_xll.BDH($E$8,"PX LAST",AJ703)</f>
        <v>4138.12</v>
      </c>
      <c r="AF703" s="9" cm="1">
        <f t="array" aca="1" ref="AF703" ca="1">_xll.BDH($E$8,"PX LAST",AK703)</f>
        <v>3861.59</v>
      </c>
      <c r="AG703" s="20">
        <f t="shared" ca="1" si="187"/>
        <v>45083</v>
      </c>
      <c r="AH703" s="22">
        <f t="shared" ca="1" si="182"/>
        <v>45076</v>
      </c>
      <c r="AI703" s="22">
        <f t="shared" ca="1" si="183"/>
        <v>45068</v>
      </c>
      <c r="AJ703" s="22">
        <f t="shared" ca="1" si="184"/>
        <v>45054</v>
      </c>
      <c r="AK703" s="22">
        <f t="shared" ca="1" si="185"/>
        <v>44995</v>
      </c>
      <c r="AL703" s="22">
        <f t="shared" ca="1" si="186"/>
        <v>44907</v>
      </c>
    </row>
    <row r="704" spans="4:38" x14ac:dyDescent="0.25">
      <c r="D704" s="6">
        <f ca="1"/>
        <v>45082</v>
      </c>
      <c r="E704" s="28">
        <f ca="1"/>
        <v>148.29</v>
      </c>
      <c r="F704" s="29" cm="1">
        <f t="array" aca="1" ref="F704" ca="1">_xll.FDS($E$7,"P_BETA_LOCIDX("&amp;$AG704&amp;","&amp;$AL704&amp;",,"""&amp;$E$9&amp;""")")</f>
        <v>1.911761</v>
      </c>
      <c r="G704" s="30">
        <f t="shared" ca="1" si="172"/>
        <v>-1.5938073120399816E-2</v>
      </c>
      <c r="H704" s="30">
        <f t="shared" ca="1" si="172"/>
        <v>6.7600598539727191E-2</v>
      </c>
      <c r="I704" s="30">
        <f t="shared" ca="1" si="172"/>
        <v>7.7385074359351602E-2</v>
      </c>
      <c r="J704" s="30">
        <f t="shared" ca="1" si="170"/>
        <v>-0.28194764746620138</v>
      </c>
      <c r="K704" s="30">
        <f t="shared" ca="1" si="173"/>
        <v>3.1066769724999849E-2</v>
      </c>
      <c r="L704" s="30">
        <f t="shared" ca="1" si="173"/>
        <v>3.7309616794450461E-2</v>
      </c>
      <c r="M704" s="30">
        <f t="shared" ca="1" si="173"/>
        <v>6.3570530780296064E-2</v>
      </c>
      <c r="N704" s="30">
        <f t="shared" ca="1" si="171"/>
        <v>0.17343496260387112</v>
      </c>
      <c r="O704" s="30">
        <f t="shared" ca="1" si="174"/>
        <v>1.5128696604600034E-2</v>
      </c>
      <c r="P704" s="30">
        <f t="shared" ca="1" si="175"/>
        <v>0.10491021533417766</v>
      </c>
      <c r="Q704" s="30">
        <f t="shared" ca="1" si="176"/>
        <v>0.14095560513964767</v>
      </c>
      <c r="R704" s="30">
        <f t="shared" ca="1" si="177"/>
        <v>-0.10851268486233023</v>
      </c>
      <c r="S704" s="9" cm="1">
        <f t="array" aca="1" ref="S704" ca="1">_xll.BDH($E$6,"PX LAST",AG704)</f>
        <v>148.29</v>
      </c>
      <c r="T704" s="9" cm="1">
        <f t="array" aca="1" ref="T704" ca="1">_xll.BDH($E$6,"PX LAST",AH704)</f>
        <v>146.08000000000001</v>
      </c>
      <c r="U704" s="9" cm="1">
        <f t="array" aca="1" ref="U704" ca="1">_xll.BDH($E$6,"PX LAST",AI704)</f>
        <v>134.21</v>
      </c>
      <c r="V704" s="9" cm="1">
        <f t="array" aca="1" ref="V704" ca="1">_xll.BDH($E$6,"PX LAST",AJ704)</f>
        <v>129.97</v>
      </c>
      <c r="W704" s="9" cm="1">
        <f t="array" aca="1" ref="W704" ca="1">_xll.BDH($E$6,"PX LAST",AK704)</f>
        <v>166.34</v>
      </c>
      <c r="X704" s="24">
        <f t="shared" ca="1" si="178"/>
        <v>1.625034181835483E-2</v>
      </c>
      <c r="Y704" s="24">
        <f t="shared" ca="1" si="179"/>
        <v>1.9515837384720403E-2</v>
      </c>
      <c r="Z704" s="24">
        <f t="shared" ca="1" si="180"/>
        <v>3.3252342097310317E-2</v>
      </c>
      <c r="AA704" s="24">
        <f t="shared" ca="1" si="181"/>
        <v>9.0720002450029646E-2</v>
      </c>
      <c r="AB704" s="9" cm="1">
        <f t="array" aca="1" ref="AB704" ca="1">_xll.BDH($E$8,"PX LAST",AG704)</f>
        <v>4273.79</v>
      </c>
      <c r="AC704" s="9" cm="1">
        <f t="array" aca="1" ref="AC704" ca="1">_xll.BDH($E$8,"PX LAST",AH704)</f>
        <v>4205.45</v>
      </c>
      <c r="AD704" s="9" cm="1">
        <f t="array" aca="1" ref="AD704" ca="1">_xll.BDH($E$8,"PX LAST",AI704)</f>
        <v>4191.9799999999996</v>
      </c>
      <c r="AE704" s="9" cm="1">
        <f t="array" aca="1" ref="AE704" ca="1">_xll.BDH($E$8,"PX LAST",AJ704)</f>
        <v>4136.25</v>
      </c>
      <c r="AF704" s="9" cm="1">
        <f t="array" aca="1" ref="AF704" ca="1">_xll.BDH($E$8,"PX LAST",AK704)</f>
        <v>3918.32</v>
      </c>
      <c r="AG704" s="20">
        <f t="shared" ca="1" si="187"/>
        <v>45082</v>
      </c>
      <c r="AH704" s="22">
        <f t="shared" ca="1" si="182"/>
        <v>45072</v>
      </c>
      <c r="AI704" s="22">
        <f t="shared" ca="1" si="183"/>
        <v>45065</v>
      </c>
      <c r="AJ704" s="22">
        <f t="shared" ca="1" si="184"/>
        <v>45051</v>
      </c>
      <c r="AK704" s="22">
        <f t="shared" ca="1" si="185"/>
        <v>44994</v>
      </c>
      <c r="AL704" s="22">
        <f t="shared" ca="1" si="186"/>
        <v>44904</v>
      </c>
    </row>
    <row r="705" spans="4:38" x14ac:dyDescent="0.25">
      <c r="D705" s="6">
        <f ca="1"/>
        <v>45079</v>
      </c>
      <c r="E705" s="28">
        <f ca="1"/>
        <v>146.13999999999999</v>
      </c>
      <c r="F705" s="29" cm="1">
        <f t="array" aca="1" ref="F705" ca="1">_xll.FDS($E$7,"P_BETA_LOCIDX("&amp;$AG705&amp;","&amp;$AL705&amp;",,"""&amp;$E$9&amp;""")")</f>
        <v>1.9077495</v>
      </c>
      <c r="G705" s="30">
        <f t="shared" ca="1" si="172"/>
        <v>3.3537087463629586E-2</v>
      </c>
      <c r="H705" s="30">
        <f t="shared" ca="1" si="172"/>
        <v>3.4190306842978982E-2</v>
      </c>
      <c r="I705" s="30">
        <f t="shared" ca="1" si="172"/>
        <v>8.5502412690791688E-2</v>
      </c>
      <c r="J705" s="30">
        <f t="shared" ca="1" si="170"/>
        <v>-0.29039196580420323</v>
      </c>
      <c r="K705" s="30">
        <f t="shared" ca="1" si="173"/>
        <v>6.0243318194629372E-2</v>
      </c>
      <c r="L705" s="30">
        <f t="shared" ca="1" si="173"/>
        <v>3.8318132904562527E-2</v>
      </c>
      <c r="M705" s="30">
        <f t="shared" ca="1" si="173"/>
        <v>0.10388474446718003</v>
      </c>
      <c r="N705" s="30">
        <f t="shared" ca="1" si="171"/>
        <v>0.13876071072467222</v>
      </c>
      <c r="O705" s="30">
        <f t="shared" ca="1" si="174"/>
        <v>9.3780405658258958E-2</v>
      </c>
      <c r="P705" s="30">
        <f t="shared" ca="1" si="175"/>
        <v>7.2508439747541509E-2</v>
      </c>
      <c r="Q705" s="30">
        <f t="shared" ca="1" si="176"/>
        <v>0.18938715715797172</v>
      </c>
      <c r="R705" s="30">
        <f t="shared" ca="1" si="177"/>
        <v>-0.15163125507953101</v>
      </c>
      <c r="S705" s="9" cm="1">
        <f t="array" aca="1" ref="S705" ca="1">_xll.BDH($E$6,"PX LAST",AG705)</f>
        <v>146.13999999999999</v>
      </c>
      <c r="T705" s="9" cm="1">
        <f t="array" aca="1" ref="T705" ca="1">_xll.BDH($E$6,"PX LAST",AH705)</f>
        <v>133.61000000000001</v>
      </c>
      <c r="U705" s="9" cm="1">
        <f t="array" aca="1" ref="U705" ca="1">_xll.BDH($E$6,"PX LAST",AI705)</f>
        <v>136.26</v>
      </c>
      <c r="V705" s="9" cm="1">
        <f t="array" aca="1" ref="V705" ca="1">_xll.BDH($E$6,"PX LAST",AJ705)</f>
        <v>122.87</v>
      </c>
      <c r="W705" s="9" cm="1">
        <f t="array" aca="1" ref="W705" ca="1">_xll.BDH($E$6,"PX LAST",AK705)</f>
        <v>172.26</v>
      </c>
      <c r="X705" s="24">
        <f t="shared" ca="1" si="178"/>
        <v>3.1578212021352581E-2</v>
      </c>
      <c r="Y705" s="24">
        <f t="shared" ca="1" si="179"/>
        <v>2.0085515894284089E-2</v>
      </c>
      <c r="Z705" s="24">
        <f t="shared" ca="1" si="180"/>
        <v>5.4454080300993413E-2</v>
      </c>
      <c r="AA705" s="24">
        <f t="shared" ca="1" si="181"/>
        <v>7.2735288739256498E-2</v>
      </c>
      <c r="AB705" s="9" cm="1">
        <f t="array" aca="1" ref="AB705" ca="1">_xll.BDH($E$8,"PX LAST",AG705)</f>
        <v>4282.37</v>
      </c>
      <c r="AC705" s="9" cm="1">
        <f t="array" aca="1" ref="AC705" ca="1">_xll.BDH($E$8,"PX LAST",AH705)</f>
        <v>4151.28</v>
      </c>
      <c r="AD705" s="9" cm="1">
        <f t="array" aca="1" ref="AD705" ca="1">_xll.BDH($E$8,"PX LAST",AI705)</f>
        <v>4198.05</v>
      </c>
      <c r="AE705" s="9" cm="1">
        <f t="array" aca="1" ref="AE705" ca="1">_xll.BDH($E$8,"PX LAST",AJ705)</f>
        <v>4061.22</v>
      </c>
      <c r="AF705" s="9" cm="1">
        <f t="array" aca="1" ref="AF705" ca="1">_xll.BDH($E$8,"PX LAST",AK705)</f>
        <v>3992.01</v>
      </c>
      <c r="AG705" s="20">
        <f t="shared" ca="1" si="187"/>
        <v>45079</v>
      </c>
      <c r="AH705" s="22">
        <f t="shared" ca="1" si="182"/>
        <v>45071</v>
      </c>
      <c r="AI705" s="22">
        <f t="shared" ca="1" si="183"/>
        <v>45064</v>
      </c>
      <c r="AJ705" s="22">
        <f t="shared" ca="1" si="184"/>
        <v>45050</v>
      </c>
      <c r="AK705" s="22">
        <f t="shared" ca="1" si="185"/>
        <v>44993</v>
      </c>
      <c r="AL705" s="22">
        <f t="shared" ca="1" si="186"/>
        <v>44903</v>
      </c>
    </row>
    <row r="706" spans="4:38" x14ac:dyDescent="0.25">
      <c r="D706" s="6">
        <f ca="1"/>
        <v>45078</v>
      </c>
      <c r="E706" s="28">
        <f ca="1"/>
        <v>136.29</v>
      </c>
      <c r="F706" s="29" cm="1">
        <f t="array" aca="1" ref="F706" ca="1">_xll.FDS($E$7,"P_BETA_LOCIDX("&amp;$AG706&amp;","&amp;$AL706&amp;",,"""&amp;$E$9&amp;""")")</f>
        <v>1.8503925999999999</v>
      </c>
      <c r="G706" s="30">
        <f t="shared" ca="1" si="172"/>
        <v>1.9453029947803943E-2</v>
      </c>
      <c r="H706" s="30">
        <f t="shared" ca="1" si="172"/>
        <v>1.5278350932098825E-3</v>
      </c>
      <c r="I706" s="30">
        <f t="shared" ca="1" si="172"/>
        <v>-0.11299296721152509</v>
      </c>
      <c r="J706" s="30">
        <f t="shared" ca="1" si="170"/>
        <v>-0.3096587163725546</v>
      </c>
      <c r="K706" s="30">
        <f t="shared" ca="1" si="173"/>
        <v>4.7563332692139651E-2</v>
      </c>
      <c r="L706" s="30">
        <f t="shared" ca="1" si="173"/>
        <v>2.7697357475888397E-2</v>
      </c>
      <c r="M706" s="30">
        <f t="shared" ca="1" si="173"/>
        <v>5.8925782314245626E-2</v>
      </c>
      <c r="N706" s="30">
        <f t="shared" ca="1" si="171"/>
        <v>0.10891980011639693</v>
      </c>
      <c r="O706" s="30">
        <f t="shared" ca="1" si="174"/>
        <v>6.7016362639943594E-2</v>
      </c>
      <c r="P706" s="30">
        <f t="shared" ca="1" si="175"/>
        <v>2.9225192569098279E-2</v>
      </c>
      <c r="Q706" s="30">
        <f t="shared" ca="1" si="176"/>
        <v>-5.4067184897279463E-2</v>
      </c>
      <c r="R706" s="30">
        <f t="shared" ca="1" si="177"/>
        <v>-0.2007389162561577</v>
      </c>
      <c r="S706" s="9" cm="1">
        <f t="array" aca="1" ref="S706" ca="1">_xll.BDH($E$6,"PX LAST",AG706)</f>
        <v>136.29</v>
      </c>
      <c r="T706" s="9" cm="1">
        <f t="array" aca="1" ref="T706" ca="1">_xll.BDH($E$6,"PX LAST",AH706)</f>
        <v>127.73</v>
      </c>
      <c r="U706" s="9" cm="1">
        <f t="array" aca="1" ref="U706" ca="1">_xll.BDH($E$6,"PX LAST",AI706)</f>
        <v>132.41999999999999</v>
      </c>
      <c r="V706" s="9" cm="1">
        <f t="array" aca="1" ref="V706" ca="1">_xll.BDH($E$6,"PX LAST",AJ706)</f>
        <v>144.08000000000001</v>
      </c>
      <c r="W706" s="9" cm="1">
        <f t="array" aca="1" ref="W706" ca="1">_xll.BDH($E$6,"PX LAST",AK706)</f>
        <v>170.52</v>
      </c>
      <c r="X706" s="24">
        <f t="shared" ca="1" si="178"/>
        <v>2.5704454661210629E-2</v>
      </c>
      <c r="Y706" s="24">
        <f t="shared" ca="1" si="179"/>
        <v>1.4968368051130554E-2</v>
      </c>
      <c r="Z706" s="24">
        <f t="shared" ca="1" si="180"/>
        <v>3.1845016195074294E-2</v>
      </c>
      <c r="AA706" s="24">
        <f t="shared" ca="1" si="181"/>
        <v>5.8863075931235853E-2</v>
      </c>
      <c r="AB706" s="9" cm="1">
        <f t="array" aca="1" ref="AB706" ca="1">_xll.BDH($E$8,"PX LAST",AG706)</f>
        <v>4221.0200000000004</v>
      </c>
      <c r="AC706" s="9" cm="1">
        <f t="array" aca="1" ref="AC706" ca="1">_xll.BDH($E$8,"PX LAST",AH706)</f>
        <v>4115.24</v>
      </c>
      <c r="AD706" s="9" cm="1">
        <f t="array" aca="1" ref="AD706" ca="1">_xll.BDH($E$8,"PX LAST",AI706)</f>
        <v>4158.7700000000004</v>
      </c>
      <c r="AE706" s="9" cm="1">
        <f t="array" aca="1" ref="AE706" ca="1">_xll.BDH($E$8,"PX LAST",AJ706)</f>
        <v>4090.75</v>
      </c>
      <c r="AF706" s="9" cm="1">
        <f t="array" aca="1" ref="AF706" ca="1">_xll.BDH($E$8,"PX LAST",AK706)</f>
        <v>3986.37</v>
      </c>
      <c r="AG706" s="20">
        <f t="shared" ca="1" si="187"/>
        <v>45078</v>
      </c>
      <c r="AH706" s="22">
        <f t="shared" ca="1" si="182"/>
        <v>45070</v>
      </c>
      <c r="AI706" s="22">
        <f t="shared" ca="1" si="183"/>
        <v>45063</v>
      </c>
      <c r="AJ706" s="22">
        <f t="shared" ca="1" si="184"/>
        <v>45049</v>
      </c>
      <c r="AK706" s="22">
        <f t="shared" ca="1" si="185"/>
        <v>44992</v>
      </c>
      <c r="AL706" s="22">
        <f t="shared" ca="1" si="186"/>
        <v>44902</v>
      </c>
    </row>
    <row r="707" spans="4:38" x14ac:dyDescent="0.25">
      <c r="D707" s="6">
        <f ca="1"/>
        <v>45077</v>
      </c>
      <c r="E707" s="28">
        <f ca="1"/>
        <v>137.38</v>
      </c>
      <c r="F707" s="29" cm="1">
        <f t="array" aca="1" ref="F707" ca="1">_xll.FDS($E$7,"P_BETA_LOCIDX("&amp;$AG707&amp;","&amp;$AL707&amp;",,"""&amp;$E$9&amp;""")")</f>
        <v>1.8428089999999999</v>
      </c>
      <c r="G707" s="30">
        <f t="shared" ca="1" si="172"/>
        <v>3.7172792137622201E-2</v>
      </c>
      <c r="H707" s="30">
        <f t="shared" ca="1" si="172"/>
        <v>4.1422966905248264E-2</v>
      </c>
      <c r="I707" s="30">
        <f t="shared" ca="1" si="172"/>
        <v>-6.8129705484923225E-2</v>
      </c>
      <c r="J707" s="30">
        <f t="shared" ca="1" si="170"/>
        <v>-0.2577383322992054</v>
      </c>
      <c r="K707" s="30">
        <f t="shared" ca="1" si="173"/>
        <v>1.5224940358164516E-2</v>
      </c>
      <c r="L707" s="30">
        <f t="shared" ca="1" si="173"/>
        <v>3.1355418226721173E-2</v>
      </c>
      <c r="M707" s="30">
        <f t="shared" ca="1" si="173"/>
        <v>2.6951592698770198E-2</v>
      </c>
      <c r="N707" s="30">
        <f t="shared" ca="1" si="171"/>
        <v>5.9816800304810201E-2</v>
      </c>
      <c r="O707" s="30">
        <f t="shared" ca="1" si="174"/>
        <v>5.239773249578672E-2</v>
      </c>
      <c r="P707" s="30">
        <f t="shared" ca="1" si="175"/>
        <v>7.2778385131969436E-2</v>
      </c>
      <c r="Q707" s="30">
        <f t="shared" ca="1" si="176"/>
        <v>-4.1178112786153021E-2</v>
      </c>
      <c r="R707" s="30">
        <f t="shared" ca="1" si="177"/>
        <v>-0.19792153199439522</v>
      </c>
      <c r="S707" s="9" cm="1">
        <f t="array" aca="1" ref="S707" ca="1">_xll.BDH($E$6,"PX LAST",AG707)</f>
        <v>137.38</v>
      </c>
      <c r="T707" s="9" cm="1">
        <f t="array" aca="1" ref="T707" ca="1">_xll.BDH($E$6,"PX LAST",AH707)</f>
        <v>130.54</v>
      </c>
      <c r="U707" s="9" cm="1">
        <f t="array" aca="1" ref="U707" ca="1">_xll.BDH($E$6,"PX LAST",AI707)</f>
        <v>128.06</v>
      </c>
      <c r="V707" s="9" cm="1">
        <f t="array" aca="1" ref="V707" ca="1">_xll.BDH($E$6,"PX LAST",AJ707)</f>
        <v>143.28</v>
      </c>
      <c r="W707" s="9" cm="1">
        <f t="array" aca="1" ref="W707" ca="1">_xll.BDH($E$6,"PX LAST",AK707)</f>
        <v>171.28</v>
      </c>
      <c r="X707" s="24">
        <f t="shared" ca="1" si="178"/>
        <v>8.2618113750065891E-3</v>
      </c>
      <c r="Y707" s="24">
        <f t="shared" ca="1" si="179"/>
        <v>1.7015012530718687E-2</v>
      </c>
      <c r="Z707" s="24">
        <f t="shared" ca="1" si="180"/>
        <v>1.4625277334097131E-2</v>
      </c>
      <c r="AA707" s="24">
        <f t="shared" ca="1" si="181"/>
        <v>3.2459576822562841E-2</v>
      </c>
      <c r="AB707" s="9" cm="1">
        <f t="array" aca="1" ref="AB707" ca="1">_xll.BDH($E$8,"PX LAST",AG707)</f>
        <v>4179.83</v>
      </c>
      <c r="AC707" s="9" cm="1">
        <f t="array" aca="1" ref="AC707" ca="1">_xll.BDH($E$8,"PX LAST",AH707)</f>
        <v>4145.58</v>
      </c>
      <c r="AD707" s="9" cm="1">
        <f t="array" aca="1" ref="AD707" ca="1">_xll.BDH($E$8,"PX LAST",AI707)</f>
        <v>4109.8999999999996</v>
      </c>
      <c r="AE707" s="9" cm="1">
        <f t="array" aca="1" ref="AE707" ca="1">_xll.BDH($E$8,"PX LAST",AJ707)</f>
        <v>4119.58</v>
      </c>
      <c r="AF707" s="9" cm="1">
        <f t="array" aca="1" ref="AF707" ca="1">_xll.BDH($E$8,"PX LAST",AK707)</f>
        <v>4048.42</v>
      </c>
      <c r="AG707" s="20">
        <f t="shared" ca="1" si="187"/>
        <v>45077</v>
      </c>
      <c r="AH707" s="22">
        <f t="shared" ca="1" si="182"/>
        <v>45069</v>
      </c>
      <c r="AI707" s="22">
        <f t="shared" ca="1" si="183"/>
        <v>45062</v>
      </c>
      <c r="AJ707" s="22">
        <f t="shared" ca="1" si="184"/>
        <v>45048</v>
      </c>
      <c r="AK707" s="22">
        <f t="shared" ca="1" si="185"/>
        <v>44991</v>
      </c>
      <c r="AL707" s="22">
        <f t="shared" ca="1" si="186"/>
        <v>44901</v>
      </c>
    </row>
    <row r="708" spans="4:38" x14ac:dyDescent="0.25">
      <c r="D708" s="6">
        <f ca="1"/>
        <v>45076</v>
      </c>
      <c r="E708" s="28">
        <f ca="1"/>
        <v>144.07</v>
      </c>
      <c r="F708" s="29" cm="1">
        <f t="array" aca="1" ref="F708" ca="1">_xll.FDS($E$7,"P_BETA_LOCIDX("&amp;$AG708&amp;","&amp;$AL708&amp;",,"""&amp;$E$9&amp;""")")</f>
        <v>1.8487883000000001</v>
      </c>
      <c r="G708" s="30">
        <f t="shared" ca="1" si="172"/>
        <v>6.7782961387074001E-2</v>
      </c>
      <c r="H708" s="30">
        <f t="shared" ca="1" si="172"/>
        <v>5.8510437268639963E-2</v>
      </c>
      <c r="I708" s="30">
        <f t="shared" ca="1" si="172"/>
        <v>-1.3218206162079339E-2</v>
      </c>
      <c r="J708" s="30">
        <f t="shared" ca="1" si="170"/>
        <v>-0.23879292580896402</v>
      </c>
      <c r="K708" s="30">
        <f t="shared" ca="1" si="173"/>
        <v>5.6839933852976367E-3</v>
      </c>
      <c r="L708" s="30">
        <f t="shared" ca="1" si="173"/>
        <v>3.094812292494737E-2</v>
      </c>
      <c r="M708" s="30">
        <f t="shared" ca="1" si="173"/>
        <v>1.6700827879708481E-2</v>
      </c>
      <c r="N708" s="30">
        <f t="shared" ca="1" si="171"/>
        <v>7.3062426069546577E-2</v>
      </c>
      <c r="O708" s="30">
        <f t="shared" ca="1" si="174"/>
        <v>7.346695477237164E-2</v>
      </c>
      <c r="P708" s="30">
        <f t="shared" ca="1" si="175"/>
        <v>8.9458560193587333E-2</v>
      </c>
      <c r="Q708" s="30">
        <f t="shared" ca="1" si="176"/>
        <v>3.4826217176291419E-3</v>
      </c>
      <c r="R708" s="30">
        <f t="shared" ca="1" si="177"/>
        <v>-0.16573049973941745</v>
      </c>
      <c r="S708" s="9" cm="1">
        <f t="array" aca="1" ref="S708" ca="1">_xll.BDH($E$6,"PX LAST",AG708)</f>
        <v>144.07</v>
      </c>
      <c r="T708" s="9" cm="1">
        <f t="array" aca="1" ref="T708" ca="1">_xll.BDH($E$6,"PX LAST",AH708)</f>
        <v>134.21</v>
      </c>
      <c r="U708" s="9" cm="1">
        <f t="array" aca="1" ref="U708" ca="1">_xll.BDH($E$6,"PX LAST",AI708)</f>
        <v>132.24</v>
      </c>
      <c r="V708" s="9" cm="1">
        <f t="array" aca="1" ref="V708" ca="1">_xll.BDH($E$6,"PX LAST",AJ708)</f>
        <v>143.57</v>
      </c>
      <c r="W708" s="9" cm="1">
        <f t="array" aca="1" ref="W708" ca="1">_xll.BDH($E$6,"PX LAST",AK708)</f>
        <v>172.69</v>
      </c>
      <c r="X708" s="24">
        <f t="shared" ca="1" si="178"/>
        <v>3.074442533684163E-3</v>
      </c>
      <c r="Y708" s="24">
        <f t="shared" ca="1" si="179"/>
        <v>1.6739679131973828E-2</v>
      </c>
      <c r="Z708" s="24">
        <f t="shared" ca="1" si="180"/>
        <v>9.0333911566340408E-3</v>
      </c>
      <c r="AA708" s="24">
        <f t="shared" ca="1" si="181"/>
        <v>3.951908721487829E-2</v>
      </c>
      <c r="AB708" s="9" cm="1">
        <f t="array" aca="1" ref="AB708" ca="1">_xll.BDH($E$8,"PX LAST",AG708)</f>
        <v>4205.5200000000004</v>
      </c>
      <c r="AC708" s="9" cm="1">
        <f t="array" aca="1" ref="AC708" ca="1">_xll.BDH($E$8,"PX LAST",AH708)</f>
        <v>4192.63</v>
      </c>
      <c r="AD708" s="9" cm="1">
        <f t="array" aca="1" ref="AD708" ca="1">_xll.BDH($E$8,"PX LAST",AI708)</f>
        <v>4136.28</v>
      </c>
      <c r="AE708" s="9" cm="1">
        <f t="array" aca="1" ref="AE708" ca="1">_xll.BDH($E$8,"PX LAST",AJ708)</f>
        <v>4167.87</v>
      </c>
      <c r="AF708" s="9" cm="1">
        <f t="array" aca="1" ref="AF708" ca="1">_xll.BDH($E$8,"PX LAST",AK708)</f>
        <v>4045.64</v>
      </c>
      <c r="AG708" s="20">
        <f t="shared" ca="1" si="187"/>
        <v>45076</v>
      </c>
      <c r="AH708" s="22">
        <f t="shared" ca="1" si="182"/>
        <v>45068</v>
      </c>
      <c r="AI708" s="22">
        <f t="shared" ca="1" si="183"/>
        <v>45061</v>
      </c>
      <c r="AJ708" s="22">
        <f t="shared" ca="1" si="184"/>
        <v>45047</v>
      </c>
      <c r="AK708" s="22">
        <f t="shared" ca="1" si="185"/>
        <v>44988</v>
      </c>
      <c r="AL708" s="22">
        <f t="shared" ca="1" si="186"/>
        <v>44900</v>
      </c>
    </row>
    <row r="709" spans="4:38" x14ac:dyDescent="0.25">
      <c r="D709" s="6">
        <f ca="1"/>
        <v>45072</v>
      </c>
      <c r="E709" s="28">
        <f ca="1"/>
        <v>146.08000000000001</v>
      </c>
      <c r="F709" s="29" cm="1">
        <f t="array" aca="1" ref="F709" ca="1">_xll.FDS($E$7,"P_BETA_LOCIDX("&amp;$AG709&amp;","&amp;$AL709&amp;",,"""&amp;$E$9&amp;""")")</f>
        <v>1.8478295</v>
      </c>
      <c r="G709" s="30">
        <f t="shared" ca="1" si="172"/>
        <v>8.2505892938271874E-2</v>
      </c>
      <c r="H709" s="30">
        <f t="shared" ca="1" si="172"/>
        <v>0.10309993983598378</v>
      </c>
      <c r="I709" s="30">
        <f t="shared" ca="1" si="172"/>
        <v>-1.4967345790788886E-3</v>
      </c>
      <c r="J709" s="30">
        <f t="shared" ca="1" si="170"/>
        <v>-0.24532160751055709</v>
      </c>
      <c r="K709" s="30">
        <f t="shared" ca="1" si="173"/>
        <v>5.9375911538225787E-3</v>
      </c>
      <c r="L709" s="30">
        <f t="shared" ca="1" si="173"/>
        <v>3.6458528063228551E-2</v>
      </c>
      <c r="M709" s="30">
        <f t="shared" ca="1" si="173"/>
        <v>1.5941179023523371E-2</v>
      </c>
      <c r="N709" s="30">
        <f t="shared" ca="1" si="171"/>
        <v>0.10400959246235586</v>
      </c>
      <c r="O709" s="30">
        <f t="shared" ca="1" si="174"/>
        <v>8.844348409209446E-2</v>
      </c>
      <c r="P709" s="30">
        <f t="shared" ca="1" si="175"/>
        <v>0.13955846789921234</v>
      </c>
      <c r="Q709" s="30">
        <f t="shared" ca="1" si="176"/>
        <v>1.4444444444444482E-2</v>
      </c>
      <c r="R709" s="30">
        <f t="shared" ca="1" si="177"/>
        <v>-0.14131201504820123</v>
      </c>
      <c r="S709" s="9" cm="1">
        <f t="array" aca="1" ref="S709" ca="1">_xll.BDH($E$6,"PX LAST",AG709)</f>
        <v>146.08000000000001</v>
      </c>
      <c r="T709" s="9" cm="1">
        <f t="array" aca="1" ref="T709" ca="1">_xll.BDH($E$6,"PX LAST",AH709)</f>
        <v>134.21</v>
      </c>
      <c r="U709" s="9" cm="1">
        <f t="array" aca="1" ref="U709" ca="1">_xll.BDH($E$6,"PX LAST",AI709)</f>
        <v>128.19</v>
      </c>
      <c r="V709" s="9" cm="1">
        <f t="array" aca="1" ref="V709" ca="1">_xll.BDH($E$6,"PX LAST",AJ709)</f>
        <v>144</v>
      </c>
      <c r="W709" s="9" cm="1">
        <f t="array" aca="1" ref="W709" ca="1">_xll.BDH($E$6,"PX LAST",AK709)</f>
        <v>170.12</v>
      </c>
      <c r="X709" s="24">
        <f t="shared" ca="1" si="178"/>
        <v>3.2132786893068754E-3</v>
      </c>
      <c r="Y709" s="24">
        <f t="shared" ca="1" si="179"/>
        <v>1.9730461096777896E-2</v>
      </c>
      <c r="Z709" s="24">
        <f t="shared" ca="1" si="180"/>
        <v>8.6269750664351719E-3</v>
      </c>
      <c r="AA709" s="24">
        <f t="shared" ca="1" si="181"/>
        <v>5.6287440189885407E-2</v>
      </c>
      <c r="AB709" s="9" cm="1">
        <f t="array" aca="1" ref="AB709" ca="1">_xll.BDH($E$8,"PX LAST",AG709)</f>
        <v>4205.45</v>
      </c>
      <c r="AC709" s="9" cm="1">
        <f t="array" aca="1" ref="AC709" ca="1">_xll.BDH($E$8,"PX LAST",AH709)</f>
        <v>4191.9799999999996</v>
      </c>
      <c r="AD709" s="9" cm="1">
        <f t="array" aca="1" ref="AD709" ca="1">_xll.BDH($E$8,"PX LAST",AI709)</f>
        <v>4124.08</v>
      </c>
      <c r="AE709" s="9" cm="1">
        <f t="array" aca="1" ref="AE709" ca="1">_xll.BDH($E$8,"PX LAST",AJ709)</f>
        <v>4169.4799999999996</v>
      </c>
      <c r="AF709" s="9" cm="1">
        <f t="array" aca="1" ref="AF709" ca="1">_xll.BDH($E$8,"PX LAST",AK709)</f>
        <v>3981.35</v>
      </c>
      <c r="AG709" s="20">
        <f t="shared" ca="1" si="187"/>
        <v>45072</v>
      </c>
      <c r="AH709" s="22">
        <f t="shared" ca="1" si="182"/>
        <v>45065</v>
      </c>
      <c r="AI709" s="22">
        <f t="shared" ca="1" si="183"/>
        <v>45058</v>
      </c>
      <c r="AJ709" s="22">
        <f t="shared" ca="1" si="184"/>
        <v>45044</v>
      </c>
      <c r="AK709" s="22">
        <f t="shared" ca="1" si="185"/>
        <v>44987</v>
      </c>
      <c r="AL709" s="22">
        <f t="shared" ca="1" si="186"/>
        <v>44897</v>
      </c>
    </row>
    <row r="710" spans="4:38" x14ac:dyDescent="0.25">
      <c r="D710" s="6">
        <f ca="1"/>
        <v>45071</v>
      </c>
      <c r="E710" s="28">
        <f ca="1"/>
        <v>133.61000000000001</v>
      </c>
      <c r="F710" s="29" cm="1">
        <f t="array" aca="1" ref="F710" ca="1">_xll.FDS($E$7,"P_BETA_LOCIDX("&amp;$AG710&amp;","&amp;$AL710&amp;",,"""&amp;$E$9&amp;""")")</f>
        <v>1.7745006999999999</v>
      </c>
      <c r="G710" s="30">
        <f t="shared" ca="1" si="172"/>
        <v>3.2139759686936401E-4</v>
      </c>
      <c r="H710" s="30">
        <f t="shared" ca="1" si="172"/>
        <v>3.5687115349023885E-2</v>
      </c>
      <c r="I710" s="30">
        <f t="shared" ca="1" si="172"/>
        <v>-7.1846144656087893E-2</v>
      </c>
      <c r="J710" s="30">
        <f t="shared" ca="1" si="170"/>
        <v>-0.29706466911640234</v>
      </c>
      <c r="K710" s="30">
        <f t="shared" ca="1" si="173"/>
        <v>-1.9769511496766454E-2</v>
      </c>
      <c r="L710" s="30">
        <f t="shared" ca="1" si="173"/>
        <v>8.875467717194746E-3</v>
      </c>
      <c r="M710" s="30">
        <f t="shared" ca="1" si="173"/>
        <v>6.8356478051432674E-3</v>
      </c>
      <c r="N710" s="30">
        <f t="shared" ca="1" si="171"/>
        <v>8.9767131293797819E-2</v>
      </c>
      <c r="O710" s="30">
        <f t="shared" ca="1" si="174"/>
        <v>-1.944811389989709E-2</v>
      </c>
      <c r="P710" s="30">
        <f t="shared" ca="1" si="175"/>
        <v>4.4562583066218631E-2</v>
      </c>
      <c r="Q710" s="30">
        <f t="shared" ca="1" si="176"/>
        <v>-6.5010496850944621E-2</v>
      </c>
      <c r="R710" s="30">
        <f t="shared" ca="1" si="177"/>
        <v>-0.20729753782260452</v>
      </c>
      <c r="S710" s="9" cm="1">
        <f t="array" aca="1" ref="S710" ca="1">_xll.BDH($E$6,"PX LAST",AG710)</f>
        <v>133.61000000000001</v>
      </c>
      <c r="T710" s="9" cm="1">
        <f t="array" aca="1" ref="T710" ca="1">_xll.BDH($E$6,"PX LAST",AH710)</f>
        <v>136.26</v>
      </c>
      <c r="U710" s="9" cm="1">
        <f t="array" aca="1" ref="U710" ca="1">_xll.BDH($E$6,"PX LAST",AI710)</f>
        <v>127.91</v>
      </c>
      <c r="V710" s="9" cm="1">
        <f t="array" aca="1" ref="V710" ca="1">_xll.BDH($E$6,"PX LAST",AJ710)</f>
        <v>142.9</v>
      </c>
      <c r="W710" s="9" cm="1">
        <f t="array" aca="1" ref="W710" ca="1">_xll.BDH($E$6,"PX LAST",AK710)</f>
        <v>168.55</v>
      </c>
      <c r="X710" s="24">
        <f t="shared" ca="1" si="178"/>
        <v>-1.1140886840318776E-2</v>
      </c>
      <c r="Y710" s="24">
        <f t="shared" ca="1" si="179"/>
        <v>5.0016704514090904E-3</v>
      </c>
      <c r="Z710" s="24">
        <f t="shared" ca="1" si="180"/>
        <v>3.8521527802966027E-3</v>
      </c>
      <c r="AA710" s="24">
        <f t="shared" ca="1" si="181"/>
        <v>5.0587261697782271E-2</v>
      </c>
      <c r="AB710" s="9" cm="1">
        <f t="array" aca="1" ref="AB710" ca="1">_xll.BDH($E$8,"PX LAST",AG710)</f>
        <v>4151.28</v>
      </c>
      <c r="AC710" s="9" cm="1">
        <f t="array" aca="1" ref="AC710" ca="1">_xll.BDH($E$8,"PX LAST",AH710)</f>
        <v>4198.05</v>
      </c>
      <c r="AD710" s="9" cm="1">
        <f t="array" aca="1" ref="AD710" ca="1">_xll.BDH($E$8,"PX LAST",AI710)</f>
        <v>4130.62</v>
      </c>
      <c r="AE710" s="9" cm="1">
        <f t="array" aca="1" ref="AE710" ca="1">_xll.BDH($E$8,"PX LAST",AJ710)</f>
        <v>4135.3500000000004</v>
      </c>
      <c r="AF710" s="9" cm="1">
        <f t="array" aca="1" ref="AF710" ca="1">_xll.BDH($E$8,"PX LAST",AK710)</f>
        <v>3951.39</v>
      </c>
      <c r="AG710" s="20">
        <f t="shared" ca="1" si="187"/>
        <v>45071</v>
      </c>
      <c r="AH710" s="22">
        <f t="shared" ca="1" si="182"/>
        <v>45064</v>
      </c>
      <c r="AI710" s="22">
        <f t="shared" ca="1" si="183"/>
        <v>45057</v>
      </c>
      <c r="AJ710" s="22">
        <f t="shared" ca="1" si="184"/>
        <v>45043</v>
      </c>
      <c r="AK710" s="22">
        <f t="shared" ca="1" si="185"/>
        <v>44986</v>
      </c>
      <c r="AL710" s="22">
        <f t="shared" ca="1" si="186"/>
        <v>44896</v>
      </c>
    </row>
    <row r="711" spans="4:38" x14ac:dyDescent="0.25">
      <c r="D711" s="6">
        <f ca="1"/>
        <v>45070</v>
      </c>
      <c r="E711" s="28">
        <f ca="1"/>
        <v>127.73</v>
      </c>
      <c r="F711" s="29" cm="1">
        <f t="array" aca="1" ref="F711" ca="1">_xll.FDS($E$7,"P_BETA_LOCIDX("&amp;$AG711&amp;","&amp;$AL711&amp;",,"""&amp;$E$9&amp;""")")</f>
        <v>1.6763212999999999</v>
      </c>
      <c r="G711" s="30">
        <f t="shared" ca="1" si="172"/>
        <v>-1.7871493345992445E-2</v>
      </c>
      <c r="H711" s="30">
        <f t="shared" ca="1" si="172"/>
        <v>-3.8590715311603505E-4</v>
      </c>
      <c r="I711" s="30">
        <f t="shared" ca="1" si="172"/>
        <v>-9.1607227917537809E-2</v>
      </c>
      <c r="J711" s="30">
        <f t="shared" ca="1" si="170"/>
        <v>-0.28985193798050413</v>
      </c>
      <c r="K711" s="30">
        <f t="shared" ca="1" si="173"/>
        <v>-1.7546117286842328E-2</v>
      </c>
      <c r="L711" s="30">
        <f t="shared" ca="1" si="173"/>
        <v>-9.0751242544061562E-3</v>
      </c>
      <c r="M711" s="30">
        <f t="shared" ca="1" si="173"/>
        <v>2.4487742086395675E-2</v>
      </c>
      <c r="N711" s="30">
        <f t="shared" ca="1" si="171"/>
        <v>6.1261528510761387E-2</v>
      </c>
      <c r="O711" s="30">
        <f t="shared" ca="1" si="174"/>
        <v>-3.5417610632834773E-2</v>
      </c>
      <c r="P711" s="30">
        <f t="shared" ca="1" si="175"/>
        <v>-9.4610314075221913E-3</v>
      </c>
      <c r="Q711" s="30">
        <f t="shared" ca="1" si="176"/>
        <v>-6.7119485831142134E-2</v>
      </c>
      <c r="R711" s="30">
        <f t="shared" ca="1" si="177"/>
        <v>-0.22859040946974274</v>
      </c>
      <c r="S711" s="9" cm="1">
        <f t="array" aca="1" ref="S711" ca="1">_xll.BDH($E$6,"PX LAST",AG711)</f>
        <v>127.73</v>
      </c>
      <c r="T711" s="9" cm="1">
        <f t="array" aca="1" ref="T711" ca="1">_xll.BDH($E$6,"PX LAST",AH711)</f>
        <v>132.41999999999999</v>
      </c>
      <c r="U711" s="9" cm="1">
        <f t="array" aca="1" ref="U711" ca="1">_xll.BDH($E$6,"PX LAST",AI711)</f>
        <v>128.94999999999999</v>
      </c>
      <c r="V711" s="9" cm="1">
        <f t="array" aca="1" ref="V711" ca="1">_xll.BDH($E$6,"PX LAST",AJ711)</f>
        <v>136.91999999999999</v>
      </c>
      <c r="W711" s="9" cm="1">
        <f t="array" aca="1" ref="W711" ca="1">_xll.BDH($E$6,"PX LAST",AK711)</f>
        <v>165.58</v>
      </c>
      <c r="X711" s="24">
        <f t="shared" ca="1" si="178"/>
        <v>-1.0467037128766621E-2</v>
      </c>
      <c r="Y711" s="24">
        <f t="shared" ca="1" si="179"/>
        <v>-5.4137140978917087E-3</v>
      </c>
      <c r="Z711" s="24">
        <f t="shared" ca="1" si="180"/>
        <v>1.4608024181519186E-2</v>
      </c>
      <c r="AA711" s="24">
        <f t="shared" ca="1" si="181"/>
        <v>3.6545218694507664E-2</v>
      </c>
      <c r="AB711" s="9" cm="1">
        <f t="array" aca="1" ref="AB711" ca="1">_xll.BDH($E$8,"PX LAST",AG711)</f>
        <v>4115.24</v>
      </c>
      <c r="AC711" s="9" cm="1">
        <f t="array" aca="1" ref="AC711" ca="1">_xll.BDH($E$8,"PX LAST",AH711)</f>
        <v>4158.7700000000004</v>
      </c>
      <c r="AD711" s="9" cm="1">
        <f t="array" aca="1" ref="AD711" ca="1">_xll.BDH($E$8,"PX LAST",AI711)</f>
        <v>4137.6400000000003</v>
      </c>
      <c r="AE711" s="9" cm="1">
        <f t="array" aca="1" ref="AE711" ca="1">_xll.BDH($E$8,"PX LAST",AJ711)</f>
        <v>4055.99</v>
      </c>
      <c r="AF711" s="9" cm="1">
        <f t="array" aca="1" ref="AF711" ca="1">_xll.BDH($E$8,"PX LAST",AK711)</f>
        <v>3970.15</v>
      </c>
      <c r="AG711" s="20">
        <f t="shared" ca="1" si="187"/>
        <v>45070</v>
      </c>
      <c r="AH711" s="22">
        <f t="shared" ca="1" si="182"/>
        <v>45063</v>
      </c>
      <c r="AI711" s="22">
        <f t="shared" ca="1" si="183"/>
        <v>45056</v>
      </c>
      <c r="AJ711" s="22">
        <f t="shared" ca="1" si="184"/>
        <v>45042</v>
      </c>
      <c r="AK711" s="22">
        <f t="shared" ca="1" si="185"/>
        <v>44985</v>
      </c>
      <c r="AL711" s="22">
        <f t="shared" ca="1" si="186"/>
        <v>44895</v>
      </c>
    </row>
    <row r="712" spans="4:38" x14ac:dyDescent="0.25">
      <c r="D712" s="6">
        <f ca="1"/>
        <v>45069</v>
      </c>
      <c r="E712" s="28">
        <f ca="1"/>
        <v>130.54</v>
      </c>
      <c r="F712" s="29" cm="1">
        <f t="array" aca="1" ref="F712" ca="1">_xll.FDS($E$7,"P_BETA_LOCIDX("&amp;$AG712&amp;","&amp;$AL712&amp;",,"""&amp;$E$9&amp;""")")</f>
        <v>1.6676526</v>
      </c>
      <c r="G712" s="30">
        <f t="shared" ca="1" si="172"/>
        <v>4.8882354753746089E-3</v>
      </c>
      <c r="H712" s="30">
        <f t="shared" ca="1" si="172"/>
        <v>-1.2145508168926577E-2</v>
      </c>
      <c r="I712" s="30">
        <f t="shared" ca="1" si="172"/>
        <v>-0.11034471674244538</v>
      </c>
      <c r="J712" s="30">
        <f t="shared" ca="1" si="170"/>
        <v>-0.28291580876828848</v>
      </c>
      <c r="K712" s="30">
        <f t="shared" ca="1" si="173"/>
        <v>1.447768674858289E-2</v>
      </c>
      <c r="L712" s="30">
        <f t="shared" ca="1" si="173"/>
        <v>1.0692130979299119E-2</v>
      </c>
      <c r="M712" s="30">
        <f t="shared" ca="1" si="173"/>
        <v>3.0288339011648947E-2</v>
      </c>
      <c r="N712" s="30">
        <f t="shared" ca="1" si="171"/>
        <v>6.8402300133593177E-2</v>
      </c>
      <c r="O712" s="30">
        <f t="shared" ca="1" si="174"/>
        <v>1.9365922223957499E-2</v>
      </c>
      <c r="P712" s="30">
        <f t="shared" ca="1" si="175"/>
        <v>-1.4533771896274583E-3</v>
      </c>
      <c r="Q712" s="30">
        <f t="shared" ca="1" si="176"/>
        <v>-8.0056377730796435E-2</v>
      </c>
      <c r="R712" s="30">
        <f t="shared" ca="1" si="177"/>
        <v>-0.21451350863469532</v>
      </c>
      <c r="S712" s="9" cm="1">
        <f t="array" aca="1" ref="S712" ca="1">_xll.BDH($E$6,"PX LAST",AG712)</f>
        <v>130.54</v>
      </c>
      <c r="T712" s="9" cm="1">
        <f t="array" aca="1" ref="T712" ca="1">_xll.BDH($E$6,"PX LAST",AH712)</f>
        <v>128.06</v>
      </c>
      <c r="U712" s="9" cm="1">
        <f t="array" aca="1" ref="U712" ca="1">_xll.BDH($E$6,"PX LAST",AI712)</f>
        <v>130.72999999999999</v>
      </c>
      <c r="V712" s="9" cm="1">
        <f t="array" aca="1" ref="V712" ca="1">_xll.BDH($E$6,"PX LAST",AJ712)</f>
        <v>141.9</v>
      </c>
      <c r="W712" s="9" cm="1">
        <f t="array" aca="1" ref="W712" ca="1">_xll.BDH($E$6,"PX LAST",AK712)</f>
        <v>166.19</v>
      </c>
      <c r="X712" s="24">
        <f t="shared" ca="1" si="178"/>
        <v>8.6814764349498752E-3</v>
      </c>
      <c r="Y712" s="24">
        <f t="shared" ca="1" si="179"/>
        <v>6.4114858090342786E-3</v>
      </c>
      <c r="Z712" s="24">
        <f t="shared" ca="1" si="180"/>
        <v>1.8162259340853693E-2</v>
      </c>
      <c r="AA712" s="24">
        <f t="shared" ca="1" si="181"/>
        <v>4.1017115995017894E-2</v>
      </c>
      <c r="AB712" s="9" cm="1">
        <f t="array" aca="1" ref="AB712" ca="1">_xll.BDH($E$8,"PX LAST",AG712)</f>
        <v>4145.58</v>
      </c>
      <c r="AC712" s="9" cm="1">
        <f t="array" aca="1" ref="AC712" ca="1">_xll.BDH($E$8,"PX LAST",AH712)</f>
        <v>4109.8999999999996</v>
      </c>
      <c r="AD712" s="9" cm="1">
        <f t="array" aca="1" ref="AD712" ca="1">_xll.BDH($E$8,"PX LAST",AI712)</f>
        <v>4119.17</v>
      </c>
      <c r="AE712" s="9" cm="1">
        <f t="array" aca="1" ref="AE712" ca="1">_xll.BDH($E$8,"PX LAST",AJ712)</f>
        <v>4071.63</v>
      </c>
      <c r="AF712" s="9" cm="1">
        <f t="array" aca="1" ref="AF712" ca="1">_xll.BDH($E$8,"PX LAST",AK712)</f>
        <v>3982.24</v>
      </c>
      <c r="AG712" s="20">
        <f t="shared" ca="1" si="187"/>
        <v>45069</v>
      </c>
      <c r="AH712" s="22">
        <f t="shared" ca="1" si="182"/>
        <v>45062</v>
      </c>
      <c r="AI712" s="22">
        <f t="shared" ca="1" si="183"/>
        <v>45055</v>
      </c>
      <c r="AJ712" s="22">
        <f t="shared" ca="1" si="184"/>
        <v>45041</v>
      </c>
      <c r="AK712" s="22">
        <f t="shared" ca="1" si="185"/>
        <v>44984</v>
      </c>
      <c r="AL712" s="22">
        <f t="shared" ca="1" si="186"/>
        <v>44894</v>
      </c>
    </row>
    <row r="713" spans="4:38" x14ac:dyDescent="0.25">
      <c r="D713" s="6">
        <f ca="1"/>
        <v>45068</v>
      </c>
      <c r="E713" s="28">
        <f ca="1"/>
        <v>134.21</v>
      </c>
      <c r="F713" s="29" cm="1">
        <f t="array" aca="1" ref="F713" ca="1">_xll.FDS($E$7,"P_BETA_LOCIDX("&amp;$AG713&amp;","&amp;$AL713&amp;",,"""&amp;$E$9&amp;""")")</f>
        <v>1.6646744</v>
      </c>
      <c r="G713" s="30">
        <f t="shared" ca="1" si="172"/>
        <v>-7.7812892714546472E-3</v>
      </c>
      <c r="H713" s="30">
        <f t="shared" ca="1" si="172"/>
        <v>1.141029562322279E-2</v>
      </c>
      <c r="I713" s="30">
        <f t="shared" ca="1" si="172"/>
        <v>-8.3443045480621855E-2</v>
      </c>
      <c r="J713" s="30">
        <f t="shared" ca="1" si="170"/>
        <v>-0.27438114827811771</v>
      </c>
      <c r="K713" s="30">
        <f t="shared" ca="1" si="173"/>
        <v>2.2678445956270152E-2</v>
      </c>
      <c r="L713" s="30">
        <f t="shared" ca="1" si="173"/>
        <v>2.1928170653340216E-2</v>
      </c>
      <c r="M713" s="30">
        <f t="shared" ca="1" si="173"/>
        <v>2.2368468735134303E-2</v>
      </c>
      <c r="N713" s="30">
        <f t="shared" ca="1" si="171"/>
        <v>9.3334040638381396E-2</v>
      </c>
      <c r="O713" s="30">
        <f t="shared" ca="1" si="174"/>
        <v>1.4897156684815505E-2</v>
      </c>
      <c r="P713" s="30">
        <f t="shared" ca="1" si="175"/>
        <v>3.3338466276563006E-2</v>
      </c>
      <c r="Q713" s="30">
        <f t="shared" ca="1" si="176"/>
        <v>-6.1074576745487552E-2</v>
      </c>
      <c r="R713" s="30">
        <f t="shared" ca="1" si="177"/>
        <v>-0.1810471076397363</v>
      </c>
      <c r="S713" s="9" cm="1">
        <f t="array" aca="1" ref="S713" ca="1">_xll.BDH($E$6,"PX LAST",AG713)</f>
        <v>134.21</v>
      </c>
      <c r="T713" s="9" cm="1">
        <f t="array" aca="1" ref="T713" ca="1">_xll.BDH($E$6,"PX LAST",AH713)</f>
        <v>132.24</v>
      </c>
      <c r="U713" s="9" cm="1">
        <f t="array" aca="1" ref="U713" ca="1">_xll.BDH($E$6,"PX LAST",AI713)</f>
        <v>129.88</v>
      </c>
      <c r="V713" s="9" cm="1">
        <f t="array" aca="1" ref="V713" ca="1">_xll.BDH($E$6,"PX LAST",AJ713)</f>
        <v>142.94</v>
      </c>
      <c r="W713" s="9" cm="1">
        <f t="array" aca="1" ref="W713" ca="1">_xll.BDH($E$6,"PX LAST",AK713)</f>
        <v>163.88</v>
      </c>
      <c r="X713" s="24">
        <f t="shared" ca="1" si="178"/>
        <v>1.362335238426815E-2</v>
      </c>
      <c r="Y713" s="24">
        <f t="shared" ca="1" si="179"/>
        <v>1.3172648449054192E-2</v>
      </c>
      <c r="Z713" s="24">
        <f t="shared" ca="1" si="180"/>
        <v>1.3437143464892776E-2</v>
      </c>
      <c r="AA713" s="24">
        <f t="shared" ca="1" si="181"/>
        <v>5.6067445164280416E-2</v>
      </c>
      <c r="AB713" s="9" cm="1">
        <f t="array" aca="1" ref="AB713" ca="1">_xll.BDH($E$8,"PX LAST",AG713)</f>
        <v>4192.63</v>
      </c>
      <c r="AC713" s="9" cm="1">
        <f t="array" aca="1" ref="AC713" ca="1">_xll.BDH($E$8,"PX LAST",AH713)</f>
        <v>4136.28</v>
      </c>
      <c r="AD713" s="9" cm="1">
        <f t="array" aca="1" ref="AD713" ca="1">_xll.BDH($E$8,"PX LAST",AI713)</f>
        <v>4138.12</v>
      </c>
      <c r="AE713" s="9" cm="1">
        <f t="array" aca="1" ref="AE713" ca="1">_xll.BDH($E$8,"PX LAST",AJ713)</f>
        <v>4137.04</v>
      </c>
      <c r="AF713" s="9" cm="1">
        <f t="array" aca="1" ref="AF713" ca="1">_xll.BDH($E$8,"PX LAST",AK713)</f>
        <v>3970.04</v>
      </c>
      <c r="AG713" s="20">
        <f t="shared" ca="1" si="187"/>
        <v>45068</v>
      </c>
      <c r="AH713" s="22">
        <f t="shared" ca="1" si="182"/>
        <v>45061</v>
      </c>
      <c r="AI713" s="22">
        <f t="shared" ca="1" si="183"/>
        <v>45054</v>
      </c>
      <c r="AJ713" s="22">
        <f t="shared" ca="1" si="184"/>
        <v>45040</v>
      </c>
      <c r="AK713" s="22">
        <f t="shared" ca="1" si="185"/>
        <v>44981</v>
      </c>
      <c r="AL713" s="22">
        <f t="shared" ca="1" si="186"/>
        <v>44893</v>
      </c>
    </row>
    <row r="714" spans="4:38" x14ac:dyDescent="0.25">
      <c r="D714" s="6">
        <f ca="1"/>
        <v>45065</v>
      </c>
      <c r="E714" s="28">
        <f ca="1"/>
        <v>134.21</v>
      </c>
      <c r="F714" s="29" cm="1">
        <f t="array" aca="1" ref="F714" ca="1">_xll.FDS($E$7,"P_BETA_LOCIDX("&amp;$AG714&amp;","&amp;$AL714&amp;",,"""&amp;$E$9&amp;""")")</f>
        <v>1.6642668</v>
      </c>
      <c r="G714" s="30">
        <f t="shared" ca="1" si="172"/>
        <v>1.9560590044849342E-2</v>
      </c>
      <c r="H714" s="30">
        <f t="shared" ca="1" si="172"/>
        <v>1.0199319443744564E-2</v>
      </c>
      <c r="I714" s="30">
        <f t="shared" ca="1" si="172"/>
        <v>-7.9061853704567003E-2</v>
      </c>
      <c r="J714" s="30">
        <f t="shared" ca="1" si="170"/>
        <v>-0.24972996647069762</v>
      </c>
      <c r="K714" s="30">
        <f t="shared" ca="1" si="173"/>
        <v>2.7400951417043344E-2</v>
      </c>
      <c r="L714" s="30">
        <f t="shared" ca="1" si="173"/>
        <v>2.242359353617392E-2</v>
      </c>
      <c r="M714" s="30">
        <f t="shared" ca="1" si="173"/>
        <v>2.3537575027579048E-2</v>
      </c>
      <c r="N714" s="30">
        <f t="shared" ca="1" si="171"/>
        <v>7.4521018584758639E-2</v>
      </c>
      <c r="O714" s="30">
        <f t="shared" ca="1" si="174"/>
        <v>4.6961541461892686E-2</v>
      </c>
      <c r="P714" s="30">
        <f t="shared" ca="1" si="175"/>
        <v>3.2622912979918484E-2</v>
      </c>
      <c r="Q714" s="30">
        <f t="shared" ca="1" si="176"/>
        <v>-5.5524278676987948E-2</v>
      </c>
      <c r="R714" s="30">
        <f t="shared" ca="1" si="177"/>
        <v>-0.17520894788593899</v>
      </c>
      <c r="S714" s="9" cm="1">
        <f t="array" aca="1" ref="S714" ca="1">_xll.BDH($E$6,"PX LAST",AG714)</f>
        <v>134.21</v>
      </c>
      <c r="T714" s="9" cm="1">
        <f t="array" aca="1" ref="T714" ca="1">_xll.BDH($E$6,"PX LAST",AH714)</f>
        <v>128.19</v>
      </c>
      <c r="U714" s="9" cm="1">
        <f t="array" aca="1" ref="U714" ca="1">_xll.BDH($E$6,"PX LAST",AI714)</f>
        <v>129.97</v>
      </c>
      <c r="V714" s="9" cm="1">
        <f t="array" aca="1" ref="V714" ca="1">_xll.BDH($E$6,"PX LAST",AJ714)</f>
        <v>142.1</v>
      </c>
      <c r="W714" s="9" cm="1">
        <f t="array" aca="1" ref="W714" ca="1">_xll.BDH($E$6,"PX LAST",AK714)</f>
        <v>162.72</v>
      </c>
      <c r="X714" s="24">
        <f t="shared" ca="1" si="178"/>
        <v>1.6464278093538454E-2</v>
      </c>
      <c r="Y714" s="24">
        <f t="shared" ca="1" si="179"/>
        <v>1.3473556965850619E-2</v>
      </c>
      <c r="Z714" s="24">
        <f t="shared" ca="1" si="180"/>
        <v>1.4142909675046722E-2</v>
      </c>
      <c r="AA714" s="24">
        <f t="shared" ca="1" si="181"/>
        <v>4.4777086573353886E-2</v>
      </c>
      <c r="AB714" s="9" cm="1">
        <f t="array" aca="1" ref="AB714" ca="1">_xll.BDH($E$8,"PX LAST",AG714)</f>
        <v>4191.9799999999996</v>
      </c>
      <c r="AC714" s="9" cm="1">
        <f t="array" aca="1" ref="AC714" ca="1">_xll.BDH($E$8,"PX LAST",AH714)</f>
        <v>4124.08</v>
      </c>
      <c r="AD714" s="9" cm="1">
        <f t="array" aca="1" ref="AD714" ca="1">_xll.BDH($E$8,"PX LAST",AI714)</f>
        <v>4136.25</v>
      </c>
      <c r="AE714" s="9" cm="1">
        <f t="array" aca="1" ref="AE714" ca="1">_xll.BDH($E$8,"PX LAST",AJ714)</f>
        <v>4133.5200000000004</v>
      </c>
      <c r="AF714" s="9" cm="1">
        <f t="array" aca="1" ref="AF714" ca="1">_xll.BDH($E$8,"PX LAST",AK714)</f>
        <v>4012.32</v>
      </c>
      <c r="AG714" s="20">
        <f t="shared" ca="1" si="187"/>
        <v>45065</v>
      </c>
      <c r="AH714" s="22">
        <f t="shared" ca="1" si="182"/>
        <v>45058</v>
      </c>
      <c r="AI714" s="22">
        <f t="shared" ca="1" si="183"/>
        <v>45051</v>
      </c>
      <c r="AJ714" s="22">
        <f t="shared" ca="1" si="184"/>
        <v>45037</v>
      </c>
      <c r="AK714" s="22">
        <f t="shared" ca="1" si="185"/>
        <v>44980</v>
      </c>
      <c r="AL714" s="22">
        <f t="shared" ca="1" si="186"/>
        <v>44890</v>
      </c>
    </row>
    <row r="715" spans="4:38" x14ac:dyDescent="0.25">
      <c r="D715" s="6">
        <f ca="1"/>
        <v>45064</v>
      </c>
      <c r="E715" s="28">
        <f ca="1"/>
        <v>136.26</v>
      </c>
      <c r="F715" s="29" cm="1">
        <f t="array" aca="1" ref="F715" ca="1">_xll.FDS($E$7,"P_BETA_LOCIDX("&amp;$AG715&amp;","&amp;$AL715&amp;",,"""&amp;$E$9&amp;""")")</f>
        <v>1.6571298000000001</v>
      </c>
      <c r="G715" s="30">
        <f t="shared" ca="1" si="172"/>
        <v>3.8228582611268019E-2</v>
      </c>
      <c r="H715" s="30">
        <f t="shared" ca="1" si="172"/>
        <v>5.3145205018343501E-2</v>
      </c>
      <c r="I715" s="30">
        <f t="shared" ca="1" si="172"/>
        <v>-7.3856237442290446E-2</v>
      </c>
      <c r="J715" s="30">
        <f t="shared" ca="1" si="170"/>
        <v>-0.24385001973738446</v>
      </c>
      <c r="K715" s="30">
        <f t="shared" ca="1" si="173"/>
        <v>2.7051692582227314E-2</v>
      </c>
      <c r="L715" s="30">
        <f t="shared" ca="1" si="173"/>
        <v>5.5831762508310588E-2</v>
      </c>
      <c r="M715" s="30">
        <f t="shared" ca="1" si="173"/>
        <v>2.7390177260344904E-2</v>
      </c>
      <c r="N715" s="30">
        <f t="shared" ca="1" si="171"/>
        <v>8.5948777539745211E-2</v>
      </c>
      <c r="O715" s="30">
        <f t="shared" ca="1" si="174"/>
        <v>6.528027519349533E-2</v>
      </c>
      <c r="P715" s="30">
        <f t="shared" ca="1" si="175"/>
        <v>0.10897696752665409</v>
      </c>
      <c r="Q715" s="30">
        <f t="shared" ca="1" si="176"/>
        <v>-4.6466060181945545E-2</v>
      </c>
      <c r="R715" s="30">
        <f t="shared" ca="1" si="177"/>
        <v>-0.15790124219763924</v>
      </c>
      <c r="S715" s="9" cm="1">
        <f t="array" aca="1" ref="S715" ca="1">_xll.BDH($E$6,"PX LAST",AG715)</f>
        <v>136.26</v>
      </c>
      <c r="T715" s="9" cm="1">
        <f t="array" aca="1" ref="T715" ca="1">_xll.BDH($E$6,"PX LAST",AH715)</f>
        <v>127.91</v>
      </c>
      <c r="U715" s="9" cm="1">
        <f t="array" aca="1" ref="U715" ca="1">_xll.BDH($E$6,"PX LAST",AI715)</f>
        <v>122.87</v>
      </c>
      <c r="V715" s="9" cm="1">
        <f t="array" aca="1" ref="V715" ca="1">_xll.BDH($E$6,"PX LAST",AJ715)</f>
        <v>142.9</v>
      </c>
      <c r="W715" s="9" cm="1">
        <f t="array" aca="1" ref="W715" ca="1">_xll.BDH($E$6,"PX LAST",AK715)</f>
        <v>161.81</v>
      </c>
      <c r="X715" s="24">
        <f t="shared" ca="1" si="178"/>
        <v>1.6324425873113446E-2</v>
      </c>
      <c r="Y715" s="24">
        <f t="shared" ca="1" si="179"/>
        <v>3.3691846292493555E-2</v>
      </c>
      <c r="Z715" s="24">
        <f t="shared" ca="1" si="180"/>
        <v>1.6528685477954053E-2</v>
      </c>
      <c r="AA715" s="24">
        <f t="shared" ca="1" si="181"/>
        <v>5.1866050287518339E-2</v>
      </c>
      <c r="AB715" s="9" cm="1">
        <f t="array" aca="1" ref="AB715" ca="1">_xll.BDH($E$8,"PX LAST",AG715)</f>
        <v>4198.05</v>
      </c>
      <c r="AC715" s="9" cm="1">
        <f t="array" aca="1" ref="AC715" ca="1">_xll.BDH($E$8,"PX LAST",AH715)</f>
        <v>4130.62</v>
      </c>
      <c r="AD715" s="9" cm="1">
        <f t="array" aca="1" ref="AD715" ca="1">_xll.BDH($E$8,"PX LAST",AI715)</f>
        <v>4061.22</v>
      </c>
      <c r="AE715" s="9" cm="1">
        <f t="array" aca="1" ref="AE715" ca="1">_xll.BDH($E$8,"PX LAST",AJ715)</f>
        <v>4129.79</v>
      </c>
      <c r="AF715" s="9" cm="1">
        <f t="array" aca="1" ref="AF715" ca="1">_xll.BDH($E$8,"PX LAST",AK715)</f>
        <v>3991.05</v>
      </c>
      <c r="AG715" s="20">
        <f t="shared" ca="1" si="187"/>
        <v>45064</v>
      </c>
      <c r="AH715" s="22">
        <f t="shared" ca="1" si="182"/>
        <v>45057</v>
      </c>
      <c r="AI715" s="22">
        <f t="shared" ca="1" si="183"/>
        <v>45050</v>
      </c>
      <c r="AJ715" s="22">
        <f t="shared" ca="1" si="184"/>
        <v>45036</v>
      </c>
      <c r="AK715" s="22">
        <f t="shared" ca="1" si="185"/>
        <v>44979</v>
      </c>
      <c r="AL715" s="22">
        <f t="shared" ca="1" si="186"/>
        <v>44888</v>
      </c>
    </row>
    <row r="716" spans="4:38" x14ac:dyDescent="0.25">
      <c r="D716" s="6">
        <f ca="1"/>
        <v>45063</v>
      </c>
      <c r="E716" s="28">
        <f ca="1"/>
        <v>132.41999999999999</v>
      </c>
      <c r="F716" s="29" cm="1">
        <f t="array" aca="1" ref="F716" ca="1">_xll.FDS($E$7,"P_BETA_LOCIDX("&amp;$AG716&amp;","&amp;$AL716&amp;",,"""&amp;$E$9&amp;""")")</f>
        <v>1.6377918</v>
      </c>
      <c r="G716" s="30">
        <f t="shared" ca="1" si="172"/>
        <v>1.8545819304514505E-2</v>
      </c>
      <c r="H716" s="30">
        <f t="shared" ca="1" si="172"/>
        <v>-0.10816006792087718</v>
      </c>
      <c r="I716" s="30">
        <f t="shared" ca="1" si="172"/>
        <v>-6.8746025063341668E-2</v>
      </c>
      <c r="J716" s="30">
        <f t="shared" ca="1" si="170"/>
        <v>-0.25059642295708834</v>
      </c>
      <c r="K716" s="30">
        <f t="shared" ca="1" si="173"/>
        <v>8.3638356004873508E-3</v>
      </c>
      <c r="L716" s="30">
        <f t="shared" ca="1" si="173"/>
        <v>2.7232805289005853E-2</v>
      </c>
      <c r="M716" s="30">
        <f t="shared" ca="1" si="173"/>
        <v>1.6754318549436315E-3</v>
      </c>
      <c r="N716" s="30">
        <f t="shared" ca="1" si="171"/>
        <v>6.614116644418562E-2</v>
      </c>
      <c r="O716" s="30">
        <f t="shared" ca="1" si="174"/>
        <v>2.6909654905001856E-2</v>
      </c>
      <c r="P716" s="30">
        <f t="shared" ca="1" si="175"/>
        <v>-8.0927262631871333E-2</v>
      </c>
      <c r="Q716" s="30">
        <f t="shared" ca="1" si="176"/>
        <v>-6.7070593208398033E-2</v>
      </c>
      <c r="R716" s="30">
        <f t="shared" ca="1" si="177"/>
        <v>-0.18445525651290273</v>
      </c>
      <c r="S716" s="9" cm="1">
        <f t="array" aca="1" ref="S716" ca="1">_xll.BDH($E$6,"PX LAST",AG716)</f>
        <v>132.41999999999999</v>
      </c>
      <c r="T716" s="9" cm="1">
        <f t="array" aca="1" ref="T716" ca="1">_xll.BDH($E$6,"PX LAST",AH716)</f>
        <v>128.94999999999999</v>
      </c>
      <c r="U716" s="9" cm="1">
        <f t="array" aca="1" ref="U716" ca="1">_xll.BDH($E$6,"PX LAST",AI716)</f>
        <v>144.08000000000001</v>
      </c>
      <c r="V716" s="9" cm="1">
        <f t="array" aca="1" ref="V716" ca="1">_xll.BDH($E$6,"PX LAST",AJ716)</f>
        <v>141.94</v>
      </c>
      <c r="W716" s="9" cm="1">
        <f t="array" aca="1" ref="W716" ca="1">_xll.BDH($E$6,"PX LAST",AK716)</f>
        <v>162.37</v>
      </c>
      <c r="X716" s="24">
        <f t="shared" ca="1" si="178"/>
        <v>5.1067758432343791E-3</v>
      </c>
      <c r="Y716" s="24">
        <f t="shared" ca="1" si="179"/>
        <v>1.6627757746134675E-2</v>
      </c>
      <c r="Z716" s="24">
        <f t="shared" ca="1" si="180"/>
        <v>1.0229821977028042E-3</v>
      </c>
      <c r="AA716" s="24">
        <f t="shared" ca="1" si="181"/>
        <v>4.0384355596471799E-2</v>
      </c>
      <c r="AB716" s="9" cm="1">
        <f t="array" aca="1" ref="AB716" ca="1">_xll.BDH($E$8,"PX LAST",AG716)</f>
        <v>4158.7700000000004</v>
      </c>
      <c r="AC716" s="9" cm="1">
        <f t="array" aca="1" ref="AC716" ca="1">_xll.BDH($E$8,"PX LAST",AH716)</f>
        <v>4137.6400000000003</v>
      </c>
      <c r="AD716" s="9" cm="1">
        <f t="array" aca="1" ref="AD716" ca="1">_xll.BDH($E$8,"PX LAST",AI716)</f>
        <v>4090.75</v>
      </c>
      <c r="AE716" s="9" cm="1">
        <f t="array" aca="1" ref="AE716" ca="1">_xll.BDH($E$8,"PX LAST",AJ716)</f>
        <v>4154.5200000000004</v>
      </c>
      <c r="AF716" s="9" cm="1">
        <f t="array" aca="1" ref="AF716" ca="1">_xll.BDH($E$8,"PX LAST",AK716)</f>
        <v>3997.34</v>
      </c>
      <c r="AG716" s="20">
        <f t="shared" ca="1" si="187"/>
        <v>45063</v>
      </c>
      <c r="AH716" s="22">
        <f t="shared" ca="1" si="182"/>
        <v>45056</v>
      </c>
      <c r="AI716" s="22">
        <f t="shared" ca="1" si="183"/>
        <v>45049</v>
      </c>
      <c r="AJ716" s="22">
        <f t="shared" ca="1" si="184"/>
        <v>45035</v>
      </c>
      <c r="AK716" s="22">
        <f t="shared" ca="1" si="185"/>
        <v>44978</v>
      </c>
      <c r="AL716" s="22">
        <f t="shared" ca="1" si="186"/>
        <v>44887</v>
      </c>
    </row>
    <row r="717" spans="4:38" x14ac:dyDescent="0.25">
      <c r="D717" s="6">
        <f ca="1"/>
        <v>45062</v>
      </c>
      <c r="E717" s="28">
        <f ca="1"/>
        <v>128.06</v>
      </c>
      <c r="F717" s="29" cm="1">
        <f t="array" aca="1" ref="F717" ca="1">_xll.FDS($E$7,"P_BETA_LOCIDX("&amp;$AG717&amp;","&amp;$AL717&amp;",,"""&amp;$E$9&amp;""")")</f>
        <v>1.6259798999999999</v>
      </c>
      <c r="G717" s="30">
        <f t="shared" ca="1" si="172"/>
        <v>-1.6764582248771843E-2</v>
      </c>
      <c r="H717" s="30">
        <f t="shared" ca="1" si="172"/>
        <v>-0.10240491936756776</v>
      </c>
      <c r="I717" s="30">
        <f t="shared" ca="1" si="172"/>
        <v>-8.9374799389487253E-2</v>
      </c>
      <c r="J717" s="30">
        <f t="shared" ca="1" si="170"/>
        <v>-0.25322728061395033</v>
      </c>
      <c r="K717" s="30">
        <f t="shared" ca="1" si="173"/>
        <v>-3.6591919423089253E-3</v>
      </c>
      <c r="L717" s="30">
        <f t="shared" ca="1" si="173"/>
        <v>-3.8206529384065329E-3</v>
      </c>
      <c r="M717" s="30">
        <f t="shared" ca="1" si="173"/>
        <v>-1.7598701307862865E-2</v>
      </c>
      <c r="N717" s="30">
        <f t="shared" ca="1" si="171"/>
        <v>1.2281278598657864E-2</v>
      </c>
      <c r="O717" s="30">
        <f t="shared" ca="1" si="174"/>
        <v>-2.0423774191080768E-2</v>
      </c>
      <c r="P717" s="30">
        <f t="shared" ca="1" si="175"/>
        <v>-0.10622557230597429</v>
      </c>
      <c r="Q717" s="30">
        <f t="shared" ca="1" si="176"/>
        <v>-0.10697350069735012</v>
      </c>
      <c r="R717" s="30">
        <f t="shared" ca="1" si="177"/>
        <v>-0.24094600201529248</v>
      </c>
      <c r="S717" s="9" cm="1">
        <f t="array" aca="1" ref="S717" ca="1">_xll.BDH($E$6,"PX LAST",AG717)</f>
        <v>128.06</v>
      </c>
      <c r="T717" s="9" cm="1">
        <f t="array" aca="1" ref="T717" ca="1">_xll.BDH($E$6,"PX LAST",AH717)</f>
        <v>130.72999999999999</v>
      </c>
      <c r="U717" s="9" cm="1">
        <f t="array" aca="1" ref="U717" ca="1">_xll.BDH($E$6,"PX LAST",AI717)</f>
        <v>143.28</v>
      </c>
      <c r="V717" s="9" cm="1">
        <f t="array" aca="1" ref="V717" ca="1">_xll.BDH($E$6,"PX LAST",AJ717)</f>
        <v>143.4</v>
      </c>
      <c r="W717" s="9" cm="1">
        <f t="array" aca="1" ref="W717" ca="1">_xll.BDH($E$6,"PX LAST",AK717)</f>
        <v>168.71</v>
      </c>
      <c r="X717" s="24">
        <f t="shared" ca="1" si="178"/>
        <v>-2.2504533680329786E-3</v>
      </c>
      <c r="Y717" s="24">
        <f t="shared" ca="1" si="179"/>
        <v>-2.3497541011463507E-3</v>
      </c>
      <c r="Z717" s="24">
        <f t="shared" ca="1" si="180"/>
        <v>-1.0823443332763749E-2</v>
      </c>
      <c r="AA717" s="24">
        <f t="shared" ca="1" si="181"/>
        <v>7.5531552380554423E-3</v>
      </c>
      <c r="AB717" s="9" cm="1">
        <f t="array" aca="1" ref="AB717" ca="1">_xll.BDH($E$8,"PX LAST",AG717)</f>
        <v>4109.8999999999996</v>
      </c>
      <c r="AC717" s="9" cm="1">
        <f t="array" aca="1" ref="AC717" ca="1">_xll.BDH($E$8,"PX LAST",AH717)</f>
        <v>4119.17</v>
      </c>
      <c r="AD717" s="9" cm="1">
        <f t="array" aca="1" ref="AD717" ca="1">_xll.BDH($E$8,"PX LAST",AI717)</f>
        <v>4119.58</v>
      </c>
      <c r="AE717" s="9" cm="1">
        <f t="array" aca="1" ref="AE717" ca="1">_xll.BDH($E$8,"PX LAST",AJ717)</f>
        <v>4154.87</v>
      </c>
      <c r="AF717" s="9" cm="1">
        <f t="array" aca="1" ref="AF717" ca="1">_xll.BDH($E$8,"PX LAST",AK717)</f>
        <v>4079.09</v>
      </c>
      <c r="AG717" s="20">
        <f t="shared" ca="1" si="187"/>
        <v>45062</v>
      </c>
      <c r="AH717" s="22">
        <f t="shared" ca="1" si="182"/>
        <v>45055</v>
      </c>
      <c r="AI717" s="22">
        <f t="shared" ca="1" si="183"/>
        <v>45048</v>
      </c>
      <c r="AJ717" s="22">
        <f t="shared" ca="1" si="184"/>
        <v>45034</v>
      </c>
      <c r="AK717" s="22">
        <f t="shared" ca="1" si="185"/>
        <v>44974</v>
      </c>
      <c r="AL717" s="22">
        <f t="shared" ca="1" si="186"/>
        <v>44886</v>
      </c>
    </row>
    <row r="718" spans="4:38" x14ac:dyDescent="0.25">
      <c r="D718" s="6">
        <f ca="1"/>
        <v>45061</v>
      </c>
      <c r="E718" s="28">
        <f ca="1"/>
        <v>132.24</v>
      </c>
      <c r="F718" s="29" cm="1">
        <f t="array" aca="1" ref="F718" ca="1">_xll.FDS($E$7,"P_BETA_LOCIDX("&amp;$AG718&amp;","&amp;$AL718&amp;",,"""&amp;$E$9&amp;""")")</f>
        <v>1.6184769999999999</v>
      </c>
      <c r="G718" s="30">
        <f t="shared" ca="1" si="172"/>
        <v>1.8890268941607731E-2</v>
      </c>
      <c r="H718" s="30">
        <f t="shared" ca="1" si="172"/>
        <v>-6.6649105637470993E-2</v>
      </c>
      <c r="I718" s="30">
        <f t="shared" ca="1" si="172"/>
        <v>-4.549933263737542E-2</v>
      </c>
      <c r="J718" s="30">
        <f t="shared" ca="1" si="170"/>
        <v>-0.24913360712262234</v>
      </c>
      <c r="K718" s="30">
        <f t="shared" ca="1" si="173"/>
        <v>-7.1964990865414666E-4</v>
      </c>
      <c r="L718" s="30">
        <f t="shared" ca="1" si="173"/>
        <v>-1.2267102484002715E-2</v>
      </c>
      <c r="M718" s="30">
        <f t="shared" ca="1" si="173"/>
        <v>-5.863651580702082E-3</v>
      </c>
      <c r="N718" s="30">
        <f t="shared" ca="1" si="171"/>
        <v>1.8149657366865253E-2</v>
      </c>
      <c r="O718" s="30">
        <f t="shared" ca="1" si="174"/>
        <v>1.8170619032953583E-2</v>
      </c>
      <c r="P718" s="30">
        <f t="shared" ca="1" si="175"/>
        <v>-7.8916208121473708E-2</v>
      </c>
      <c r="Q718" s="30">
        <f t="shared" ca="1" si="176"/>
        <v>-5.1362984218077501E-2</v>
      </c>
      <c r="R718" s="30">
        <f t="shared" ca="1" si="177"/>
        <v>-0.23098394975575709</v>
      </c>
      <c r="S718" s="9" cm="1">
        <f t="array" aca="1" ref="S718" ca="1">_xll.BDH($E$6,"PX LAST",AG718)</f>
        <v>132.24</v>
      </c>
      <c r="T718" s="9" cm="1">
        <f t="array" aca="1" ref="T718" ca="1">_xll.BDH($E$6,"PX LAST",AH718)</f>
        <v>129.88</v>
      </c>
      <c r="U718" s="9" cm="1">
        <f t="array" aca="1" ref="U718" ca="1">_xll.BDH($E$6,"PX LAST",AI718)</f>
        <v>143.57</v>
      </c>
      <c r="V718" s="9" cm="1">
        <f t="array" aca="1" ref="V718" ca="1">_xll.BDH($E$6,"PX LAST",AJ718)</f>
        <v>139.4</v>
      </c>
      <c r="W718" s="9" cm="1">
        <f t="array" aca="1" ref="W718" ca="1">_xll.BDH($E$6,"PX LAST",AK718)</f>
        <v>171.96</v>
      </c>
      <c r="X718" s="24">
        <f t="shared" ca="1" si="178"/>
        <v>-4.4464636114949219E-4</v>
      </c>
      <c r="Y718" s="24">
        <f t="shared" ca="1" si="179"/>
        <v>-7.579411066084174E-3</v>
      </c>
      <c r="Z718" s="24">
        <f t="shared" ca="1" si="180"/>
        <v>-3.6229440274418989E-3</v>
      </c>
      <c r="AA718" s="24">
        <f t="shared" ca="1" si="181"/>
        <v>1.1214034778909587E-2</v>
      </c>
      <c r="AB718" s="9" cm="1">
        <f t="array" aca="1" ref="AB718" ca="1">_xll.BDH($E$8,"PX LAST",AG718)</f>
        <v>4136.28</v>
      </c>
      <c r="AC718" s="9" cm="1">
        <f t="array" aca="1" ref="AC718" ca="1">_xll.BDH($E$8,"PX LAST",AH718)</f>
        <v>4138.12</v>
      </c>
      <c r="AD718" s="9" cm="1">
        <f t="array" aca="1" ref="AD718" ca="1">_xll.BDH($E$8,"PX LAST",AI718)</f>
        <v>4167.87</v>
      </c>
      <c r="AE718" s="9" cm="1">
        <f t="array" aca="1" ref="AE718" ca="1">_xll.BDH($E$8,"PX LAST",AJ718)</f>
        <v>4151.32</v>
      </c>
      <c r="AF718" s="9" cm="1">
        <f t="array" aca="1" ref="AF718" ca="1">_xll.BDH($E$8,"PX LAST",AK718)</f>
        <v>4090.41</v>
      </c>
      <c r="AG718" s="20">
        <f t="shared" ca="1" si="187"/>
        <v>45061</v>
      </c>
      <c r="AH718" s="22">
        <f t="shared" ca="1" si="182"/>
        <v>45054</v>
      </c>
      <c r="AI718" s="22">
        <f t="shared" ca="1" si="183"/>
        <v>45047</v>
      </c>
      <c r="AJ718" s="22">
        <f t="shared" ca="1" si="184"/>
        <v>45033</v>
      </c>
      <c r="AK718" s="22">
        <f t="shared" ca="1" si="185"/>
        <v>44973</v>
      </c>
      <c r="AL718" s="22">
        <f t="shared" ca="1" si="186"/>
        <v>44883</v>
      </c>
    </row>
    <row r="719" spans="4:38" x14ac:dyDescent="0.25">
      <c r="D719" s="6">
        <f ca="1"/>
        <v>45058</v>
      </c>
      <c r="E719" s="28">
        <f ca="1"/>
        <v>128.19</v>
      </c>
      <c r="F719" s="29" cm="1">
        <f t="array" aca="1" ref="F719" ca="1">_xll.FDS($E$7,"P_BETA_LOCIDX("&amp;$AG719&amp;","&amp;$AL719&amp;",,"""&amp;$E$9&amp;""")")</f>
        <v>1.6203225000000001</v>
      </c>
      <c r="G719" s="30">
        <f t="shared" ca="1" si="172"/>
        <v>-8.9280279129803179E-3</v>
      </c>
      <c r="H719" s="30">
        <f t="shared" ca="1" si="172"/>
        <v>-9.214854534218514E-2</v>
      </c>
      <c r="I719" s="30">
        <f t="shared" ca="1" si="172"/>
        <v>-6.1856181017204942E-2</v>
      </c>
      <c r="J719" s="30">
        <f t="shared" ca="1" si="170"/>
        <v>-0.24638647012990653</v>
      </c>
      <c r="K719" s="30">
        <f t="shared" ca="1" si="173"/>
        <v>-4.7674402719854918E-3</v>
      </c>
      <c r="L719" s="30">
        <f t="shared" ca="1" si="173"/>
        <v>-1.7643121324481599E-2</v>
      </c>
      <c r="M719" s="30">
        <f t="shared" ca="1" si="173"/>
        <v>-5.310170314478866E-3</v>
      </c>
      <c r="N719" s="30">
        <f t="shared" ca="1" si="171"/>
        <v>-9.1884427620794549E-3</v>
      </c>
      <c r="O719" s="30">
        <f t="shared" ca="1" si="174"/>
        <v>-1.3695468184965809E-2</v>
      </c>
      <c r="P719" s="30">
        <f t="shared" ca="1" si="175"/>
        <v>-0.10979166666666673</v>
      </c>
      <c r="Q719" s="30">
        <f t="shared" ca="1" si="176"/>
        <v>-6.7166351331683805E-2</v>
      </c>
      <c r="R719" s="30">
        <f t="shared" ca="1" si="177"/>
        <v>-0.25557491289198597</v>
      </c>
      <c r="S719" s="9" cm="1">
        <f t="array" aca="1" ref="S719" ca="1">_xll.BDH($E$6,"PX LAST",AG719)</f>
        <v>128.19</v>
      </c>
      <c r="T719" s="9" cm="1">
        <f t="array" aca="1" ref="T719" ca="1">_xll.BDH($E$6,"PX LAST",AH719)</f>
        <v>129.97</v>
      </c>
      <c r="U719" s="9" cm="1">
        <f t="array" aca="1" ref="U719" ca="1">_xll.BDH($E$6,"PX LAST",AI719)</f>
        <v>144</v>
      </c>
      <c r="V719" s="9" cm="1">
        <f t="array" aca="1" ref="V719" ca="1">_xll.BDH($E$6,"PX LAST",AJ719)</f>
        <v>137.41999999999999</v>
      </c>
      <c r="W719" s="9" cm="1">
        <f t="array" aca="1" ref="W719" ca="1">_xll.BDH($E$6,"PX LAST",AK719)</f>
        <v>172.2</v>
      </c>
      <c r="X719" s="24">
        <f t="shared" ca="1" si="178"/>
        <v>-2.9422786340284057E-3</v>
      </c>
      <c r="Y719" s="24">
        <f t="shared" ca="1" si="179"/>
        <v>-1.088864798488054E-2</v>
      </c>
      <c r="Z719" s="24">
        <f t="shared" ca="1" si="180"/>
        <v>-3.2772304985451139E-3</v>
      </c>
      <c r="AA719" s="24">
        <f t="shared" ca="1" si="181"/>
        <v>-5.6707493490212313E-3</v>
      </c>
      <c r="AB719" s="9" cm="1">
        <f t="array" aca="1" ref="AB719" ca="1">_xll.BDH($E$8,"PX LAST",AG719)</f>
        <v>4124.08</v>
      </c>
      <c r="AC719" s="9" cm="1">
        <f t="array" aca="1" ref="AC719" ca="1">_xll.BDH($E$8,"PX LAST",AH719)</f>
        <v>4136.25</v>
      </c>
      <c r="AD719" s="9" cm="1">
        <f t="array" aca="1" ref="AD719" ca="1">_xll.BDH($E$8,"PX LAST",AI719)</f>
        <v>4169.4799999999996</v>
      </c>
      <c r="AE719" s="9" cm="1">
        <f t="array" aca="1" ref="AE719" ca="1">_xll.BDH($E$8,"PX LAST",AJ719)</f>
        <v>4137.6400000000003</v>
      </c>
      <c r="AF719" s="9" cm="1">
        <f t="array" aca="1" ref="AF719" ca="1">_xll.BDH($E$8,"PX LAST",AK719)</f>
        <v>4147.6000000000004</v>
      </c>
      <c r="AG719" s="20">
        <f t="shared" ca="1" si="187"/>
        <v>45058</v>
      </c>
      <c r="AH719" s="22">
        <f t="shared" ca="1" si="182"/>
        <v>45051</v>
      </c>
      <c r="AI719" s="22">
        <f t="shared" ca="1" si="183"/>
        <v>45044</v>
      </c>
      <c r="AJ719" s="22">
        <f t="shared" ca="1" si="184"/>
        <v>45030</v>
      </c>
      <c r="AK719" s="22">
        <f t="shared" ca="1" si="185"/>
        <v>44972</v>
      </c>
      <c r="AL719" s="22">
        <f t="shared" ca="1" si="186"/>
        <v>44882</v>
      </c>
    </row>
    <row r="720" spans="4:38" x14ac:dyDescent="0.25">
      <c r="D720" s="6">
        <f ca="1"/>
        <v>45057</v>
      </c>
      <c r="E720" s="28">
        <f ca="1"/>
        <v>127.91</v>
      </c>
      <c r="F720" s="29" cm="1">
        <f t="array" aca="1" ref="F720" ca="1">_xll.FDS($E$7,"P_BETA_LOCIDX("&amp;$AG720&amp;","&amp;$AL720&amp;",,"""&amp;$E$9&amp;""")")</f>
        <v>1.6133829</v>
      </c>
      <c r="G720" s="30">
        <f t="shared" ca="1" si="172"/>
        <v>1.3448732201158282E-2</v>
      </c>
      <c r="H720" s="30">
        <f t="shared" ca="1" si="172"/>
        <v>-0.1030531482804701</v>
      </c>
      <c r="I720" s="30">
        <f t="shared" ca="1" si="172"/>
        <v>-6.055259010658124E-2</v>
      </c>
      <c r="J720" s="30">
        <f t="shared" ca="1" si="170"/>
        <v>-0.22609977554221505</v>
      </c>
      <c r="K720" s="30">
        <f t="shared" ca="1" si="173"/>
        <v>2.7570230930606947E-2</v>
      </c>
      <c r="L720" s="30">
        <f t="shared" ca="1" si="173"/>
        <v>-1.8453821603977346E-3</v>
      </c>
      <c r="M720" s="30">
        <f t="shared" ca="1" si="173"/>
        <v>-6.0702937229574969E-3</v>
      </c>
      <c r="N720" s="30">
        <f t="shared" ca="1" si="171"/>
        <v>-2.1492892580746792E-3</v>
      </c>
      <c r="O720" s="30">
        <f t="shared" ca="1" si="174"/>
        <v>4.1018963131765229E-2</v>
      </c>
      <c r="P720" s="30">
        <f t="shared" ca="1" si="175"/>
        <v>-0.10489853044086783</v>
      </c>
      <c r="Q720" s="30">
        <f t="shared" ca="1" si="176"/>
        <v>-6.6622883829538737E-2</v>
      </c>
      <c r="R720" s="30">
        <f t="shared" ca="1" si="177"/>
        <v>-0.22824906480028972</v>
      </c>
      <c r="S720" s="9" cm="1">
        <f t="array" aca="1" ref="S720" ca="1">_xll.BDH($E$6,"PX LAST",AG720)</f>
        <v>127.91</v>
      </c>
      <c r="T720" s="9" cm="1">
        <f t="array" aca="1" ref="T720" ca="1">_xll.BDH($E$6,"PX LAST",AH720)</f>
        <v>122.87</v>
      </c>
      <c r="U720" s="9" cm="1">
        <f t="array" aca="1" ref="U720" ca="1">_xll.BDH($E$6,"PX LAST",AI720)</f>
        <v>142.9</v>
      </c>
      <c r="V720" s="9" cm="1">
        <f t="array" aca="1" ref="V720" ca="1">_xll.BDH($E$6,"PX LAST",AJ720)</f>
        <v>137.04</v>
      </c>
      <c r="W720" s="9" cm="1">
        <f t="array" aca="1" ref="W720" ca="1">_xll.BDH($E$6,"PX LAST",AK720)</f>
        <v>165.74</v>
      </c>
      <c r="X720" s="24">
        <f t="shared" ca="1" si="178"/>
        <v>1.7088461102821251E-2</v>
      </c>
      <c r="Y720" s="24">
        <f t="shared" ca="1" si="179"/>
        <v>-1.1437967765728363E-3</v>
      </c>
      <c r="Z720" s="24">
        <f t="shared" ca="1" si="180"/>
        <v>-3.7624631592150237E-3</v>
      </c>
      <c r="AA720" s="24">
        <f t="shared" ca="1" si="181"/>
        <v>-1.3321631573476322E-3</v>
      </c>
      <c r="AB720" s="9" cm="1">
        <f t="array" aca="1" ref="AB720" ca="1">_xll.BDH($E$8,"PX LAST",AG720)</f>
        <v>4130.62</v>
      </c>
      <c r="AC720" s="9" cm="1">
        <f t="array" aca="1" ref="AC720" ca="1">_xll.BDH($E$8,"PX LAST",AH720)</f>
        <v>4061.22</v>
      </c>
      <c r="AD720" s="9" cm="1">
        <f t="array" aca="1" ref="AD720" ca="1">_xll.BDH($E$8,"PX LAST",AI720)</f>
        <v>4135.3500000000004</v>
      </c>
      <c r="AE720" s="9" cm="1">
        <f t="array" aca="1" ref="AE720" ca="1">_xll.BDH($E$8,"PX LAST",AJ720)</f>
        <v>4146.22</v>
      </c>
      <c r="AF720" s="9" cm="1">
        <f t="array" aca="1" ref="AF720" ca="1">_xll.BDH($E$8,"PX LAST",AK720)</f>
        <v>4136.13</v>
      </c>
      <c r="AG720" s="20">
        <f t="shared" ca="1" si="187"/>
        <v>45057</v>
      </c>
      <c r="AH720" s="22">
        <f t="shared" ca="1" si="182"/>
        <v>45050</v>
      </c>
      <c r="AI720" s="22">
        <f t="shared" ca="1" si="183"/>
        <v>45043</v>
      </c>
      <c r="AJ720" s="22">
        <f t="shared" ca="1" si="184"/>
        <v>45029</v>
      </c>
      <c r="AK720" s="22">
        <f t="shared" ca="1" si="185"/>
        <v>44971</v>
      </c>
      <c r="AL720" s="22">
        <f t="shared" ca="1" si="186"/>
        <v>44881</v>
      </c>
    </row>
    <row r="721" spans="4:38" x14ac:dyDescent="0.25">
      <c r="D721" s="6">
        <f ca="1"/>
        <v>45056</v>
      </c>
      <c r="E721" s="28">
        <f ca="1"/>
        <v>128.94999999999999</v>
      </c>
      <c r="F721" s="29" cm="1">
        <f t="array" aca="1" ref="F721" ca="1">_xll.FDS($E$7,"P_BETA_LOCIDX("&amp;$AG721&amp;","&amp;$AL721&amp;",,"""&amp;$E$9&amp;""")")</f>
        <v>1.5909281</v>
      </c>
      <c r="G721" s="30">
        <f t="shared" ca="1" si="172"/>
        <v>-0.12324703199884057</v>
      </c>
      <c r="H721" s="30">
        <f t="shared" ca="1" si="172"/>
        <v>-9.0235701748301061E-2</v>
      </c>
      <c r="I721" s="30">
        <f t="shared" ca="1" si="172"/>
        <v>-7.6110746873650631E-2</v>
      </c>
      <c r="J721" s="30">
        <f t="shared" ca="1" si="170"/>
        <v>-0.15831450590102256</v>
      </c>
      <c r="K721" s="30">
        <f t="shared" ca="1" si="173"/>
        <v>1.8235927057141381E-2</v>
      </c>
      <c r="L721" s="30">
        <f t="shared" ca="1" si="173"/>
        <v>3.2026528508452966E-2</v>
      </c>
      <c r="M721" s="30">
        <f t="shared" ca="1" si="173"/>
        <v>1.776402568188775E-2</v>
      </c>
      <c r="N721" s="30">
        <f t="shared" ca="1" si="171"/>
        <v>1.3458685153820574E-4</v>
      </c>
      <c r="O721" s="30">
        <f t="shared" ca="1" si="174"/>
        <v>-0.10501110494169918</v>
      </c>
      <c r="P721" s="30">
        <f t="shared" ca="1" si="175"/>
        <v>-5.8209173239848089E-2</v>
      </c>
      <c r="Q721" s="30">
        <f t="shared" ca="1" si="176"/>
        <v>-5.8346721191762874E-2</v>
      </c>
      <c r="R721" s="30">
        <f t="shared" ca="1" si="177"/>
        <v>-0.15817991904948436</v>
      </c>
      <c r="S721" s="9" cm="1">
        <f t="array" aca="1" ref="S721" ca="1">_xll.BDH($E$6,"PX LAST",AG721)</f>
        <v>128.94999999999999</v>
      </c>
      <c r="T721" s="9" cm="1">
        <f t="array" aca="1" ref="T721" ca="1">_xll.BDH($E$6,"PX LAST",AH721)</f>
        <v>144.08000000000001</v>
      </c>
      <c r="U721" s="9" cm="1">
        <f t="array" aca="1" ref="U721" ca="1">_xll.BDH($E$6,"PX LAST",AI721)</f>
        <v>136.91999999999999</v>
      </c>
      <c r="V721" s="9" cm="1">
        <f t="array" aca="1" ref="V721" ca="1">_xll.BDH($E$6,"PX LAST",AJ721)</f>
        <v>136.94</v>
      </c>
      <c r="W721" s="9" cm="1">
        <f t="array" aca="1" ref="W721" ca="1">_xll.BDH($E$6,"PX LAST",AK721)</f>
        <v>153.18</v>
      </c>
      <c r="X721" s="24">
        <f t="shared" ca="1" si="178"/>
        <v>1.1462445761779794E-2</v>
      </c>
      <c r="Y721" s="24">
        <f t="shared" ca="1" si="179"/>
        <v>2.013072024339313E-2</v>
      </c>
      <c r="Z721" s="24">
        <f t="shared" ca="1" si="180"/>
        <v>1.1165825584379174E-2</v>
      </c>
      <c r="AA721" s="24">
        <f t="shared" ca="1" si="181"/>
        <v>8.4596438731709966E-5</v>
      </c>
      <c r="AB721" s="9" cm="1">
        <f t="array" aca="1" ref="AB721" ca="1">_xll.BDH($E$8,"PX LAST",AG721)</f>
        <v>4137.6400000000003</v>
      </c>
      <c r="AC721" s="9" cm="1">
        <f t="array" aca="1" ref="AC721" ca="1">_xll.BDH($E$8,"PX LAST",AH721)</f>
        <v>4090.75</v>
      </c>
      <c r="AD721" s="9" cm="1">
        <f t="array" aca="1" ref="AD721" ca="1">_xll.BDH($E$8,"PX LAST",AI721)</f>
        <v>4055.99</v>
      </c>
      <c r="AE721" s="9" cm="1">
        <f t="array" aca="1" ref="AE721" ca="1">_xll.BDH($E$8,"PX LAST",AJ721)</f>
        <v>4091.95</v>
      </c>
      <c r="AF721" s="9" cm="1">
        <f t="array" aca="1" ref="AF721" ca="1">_xll.BDH($E$8,"PX LAST",AK721)</f>
        <v>4137.29</v>
      </c>
      <c r="AG721" s="20">
        <f t="shared" ca="1" si="187"/>
        <v>45056</v>
      </c>
      <c r="AH721" s="22">
        <f t="shared" ca="1" si="182"/>
        <v>45049</v>
      </c>
      <c r="AI721" s="22">
        <f t="shared" ca="1" si="183"/>
        <v>45042</v>
      </c>
      <c r="AJ721" s="22">
        <f t="shared" ca="1" si="184"/>
        <v>45028</v>
      </c>
      <c r="AK721" s="22">
        <f t="shared" ca="1" si="185"/>
        <v>44970</v>
      </c>
      <c r="AL721" s="22">
        <f t="shared" ca="1" si="186"/>
        <v>44880</v>
      </c>
    </row>
    <row r="722" spans="4:38" x14ac:dyDescent="0.25">
      <c r="D722" s="6">
        <f ca="1"/>
        <v>45055</v>
      </c>
      <c r="E722" s="28">
        <f ca="1"/>
        <v>130.72999999999999</v>
      </c>
      <c r="F722" s="29" cm="1">
        <f t="array" aca="1" ref="F722" ca="1">_xll.FDS($E$7,"P_BETA_LOCIDX("&amp;$AG722&amp;","&amp;$AL722&amp;",,"""&amp;$E$9&amp;""")")</f>
        <v>1.5911845</v>
      </c>
      <c r="G722" s="30">
        <f t="shared" ca="1" si="172"/>
        <v>-8.7432369260896217E-2</v>
      </c>
      <c r="H722" s="30">
        <f t="shared" ca="1" si="172"/>
        <v>-9.7295939332414413E-2</v>
      </c>
      <c r="I722" s="30">
        <f t="shared" ca="1" si="172"/>
        <v>-4.553047619443383E-2</v>
      </c>
      <c r="J722" s="30">
        <f t="shared" ca="1" si="170"/>
        <v>-0.1324882287385277</v>
      </c>
      <c r="K722" s="30">
        <f t="shared" ca="1" si="173"/>
        <v>-1.5836217405644525E-4</v>
      </c>
      <c r="L722" s="30">
        <f t="shared" ca="1" si="173"/>
        <v>1.8578532708030986E-2</v>
      </c>
      <c r="M722" s="30">
        <f t="shared" ca="1" si="173"/>
        <v>3.961561238421939E-3</v>
      </c>
      <c r="N722" s="30">
        <f t="shared" ca="1" si="171"/>
        <v>1.1168158836659094E-2</v>
      </c>
      <c r="O722" s="30">
        <f t="shared" ca="1" si="174"/>
        <v>-8.7590731434952662E-2</v>
      </c>
      <c r="P722" s="30">
        <f t="shared" ca="1" si="175"/>
        <v>-7.8717406624383424E-2</v>
      </c>
      <c r="Q722" s="30">
        <f t="shared" ca="1" si="176"/>
        <v>-4.1568914956011893E-2</v>
      </c>
      <c r="R722" s="30">
        <f t="shared" ca="1" si="177"/>
        <v>-0.12132006990186861</v>
      </c>
      <c r="S722" s="9" cm="1">
        <f t="array" aca="1" ref="S722" ca="1">_xll.BDH($E$6,"PX LAST",AG722)</f>
        <v>130.72999999999999</v>
      </c>
      <c r="T722" s="9" cm="1">
        <f t="array" aca="1" ref="T722" ca="1">_xll.BDH($E$6,"PX LAST",AH722)</f>
        <v>143.28</v>
      </c>
      <c r="U722" s="9" cm="1">
        <f t="array" aca="1" ref="U722" ca="1">_xll.BDH($E$6,"PX LAST",AI722)</f>
        <v>141.9</v>
      </c>
      <c r="V722" s="9" cm="1">
        <f t="array" aca="1" ref="V722" ca="1">_xll.BDH($E$6,"PX LAST",AJ722)</f>
        <v>136.4</v>
      </c>
      <c r="W722" s="9" cm="1">
        <f t="array" aca="1" ref="W722" ca="1">_xll.BDH($E$6,"PX LAST",AK722)</f>
        <v>148.78</v>
      </c>
      <c r="X722" s="24">
        <f t="shared" ca="1" si="178"/>
        <v>-9.9524708829457076E-5</v>
      </c>
      <c r="Y722" s="24">
        <f t="shared" ca="1" si="179"/>
        <v>1.1675913577608998E-2</v>
      </c>
      <c r="Z722" s="24">
        <f t="shared" ca="1" si="180"/>
        <v>2.4896932055471499E-3</v>
      </c>
      <c r="AA722" s="24">
        <f t="shared" ca="1" si="181"/>
        <v>7.0187705050288596E-3</v>
      </c>
      <c r="AB722" s="9" cm="1">
        <f t="array" aca="1" ref="AB722" ca="1">_xll.BDH($E$8,"PX LAST",AG722)</f>
        <v>4119.17</v>
      </c>
      <c r="AC722" s="9" cm="1">
        <f t="array" aca="1" ref="AC722" ca="1">_xll.BDH($E$8,"PX LAST",AH722)</f>
        <v>4119.58</v>
      </c>
      <c r="AD722" s="9" cm="1">
        <f t="array" aca="1" ref="AD722" ca="1">_xll.BDH($E$8,"PX LAST",AI722)</f>
        <v>4071.63</v>
      </c>
      <c r="AE722" s="9" cm="1">
        <f t="array" aca="1" ref="AE722" ca="1">_xll.BDH($E$8,"PX LAST",AJ722)</f>
        <v>4108.9399999999996</v>
      </c>
      <c r="AF722" s="9" cm="1">
        <f t="array" aca="1" ref="AF722" ca="1">_xll.BDH($E$8,"PX LAST",AK722)</f>
        <v>4090.46</v>
      </c>
      <c r="AG722" s="20">
        <f t="shared" ca="1" si="187"/>
        <v>45055</v>
      </c>
      <c r="AH722" s="22">
        <f t="shared" ca="1" si="182"/>
        <v>45048</v>
      </c>
      <c r="AI722" s="22">
        <f t="shared" ca="1" si="183"/>
        <v>45041</v>
      </c>
      <c r="AJ722" s="22">
        <f t="shared" ca="1" si="184"/>
        <v>45027</v>
      </c>
      <c r="AK722" s="22">
        <f t="shared" ca="1" si="185"/>
        <v>44967</v>
      </c>
      <c r="AL722" s="22">
        <f t="shared" ca="1" si="186"/>
        <v>44879</v>
      </c>
    </row>
    <row r="723" spans="4:38" x14ac:dyDescent="0.25">
      <c r="D723" s="6">
        <f ca="1"/>
        <v>45054</v>
      </c>
      <c r="E723" s="28">
        <f ca="1"/>
        <v>129.88</v>
      </c>
      <c r="F723" s="29" cm="1">
        <f t="array" aca="1" ref="F723" ca="1">_xll.FDS($E$7,"P_BETA_LOCIDX("&amp;$AG723&amp;","&amp;$AL723&amp;",,"""&amp;$E$9&amp;""")")</f>
        <v>1.616066</v>
      </c>
      <c r="G723" s="30">
        <f t="shared" ca="1" si="172"/>
        <v>-8.3818802806375617E-2</v>
      </c>
      <c r="H723" s="30">
        <f t="shared" ca="1" si="172"/>
        <v>-9.1788891207564657E-2</v>
      </c>
      <c r="I723" s="30">
        <f t="shared" ca="1" si="172"/>
        <v>-6.2687606777197938E-2</v>
      </c>
      <c r="J723" s="30">
        <f t="shared" ca="1" si="170"/>
        <v>-0.14992098575349519</v>
      </c>
      <c r="K723" s="30">
        <f t="shared" ca="1" si="173"/>
        <v>-1.153537982230728E-2</v>
      </c>
      <c r="L723" s="30">
        <f t="shared" ca="1" si="173"/>
        <v>4.2188407170344117E-4</v>
      </c>
      <c r="M723" s="30">
        <f t="shared" ca="1" si="173"/>
        <v>1.1409301444838496E-2</v>
      </c>
      <c r="N723" s="30">
        <f t="shared" ca="1" si="171"/>
        <v>2.2418634551022963E-2</v>
      </c>
      <c r="O723" s="30">
        <f t="shared" ca="1" si="174"/>
        <v>-9.5354182628682893E-2</v>
      </c>
      <c r="P723" s="30">
        <f t="shared" ca="1" si="175"/>
        <v>-9.1367007135861211E-2</v>
      </c>
      <c r="Q723" s="30">
        <f t="shared" ca="1" si="176"/>
        <v>-5.1278305332359442E-2</v>
      </c>
      <c r="R723" s="30">
        <f t="shared" ca="1" si="177"/>
        <v>-0.12750235120247222</v>
      </c>
      <c r="S723" s="9" cm="1">
        <f t="array" aca="1" ref="S723" ca="1">_xll.BDH($E$6,"PX LAST",AG723)</f>
        <v>129.88</v>
      </c>
      <c r="T723" s="9" cm="1">
        <f t="array" aca="1" ref="T723" ca="1">_xll.BDH($E$6,"PX LAST",AH723)</f>
        <v>143.57</v>
      </c>
      <c r="U723" s="9" cm="1">
        <f t="array" aca="1" ref="U723" ca="1">_xll.BDH($E$6,"PX LAST",AI723)</f>
        <v>142.94</v>
      </c>
      <c r="V723" s="9" cm="1">
        <f t="array" aca="1" ref="V723" ca="1">_xll.BDH($E$6,"PX LAST",AJ723)</f>
        <v>136.9</v>
      </c>
      <c r="W723" s="9" cm="1">
        <f t="array" aca="1" ref="W723" ca="1">_xll.BDH($E$6,"PX LAST",AK723)</f>
        <v>148.86000000000001</v>
      </c>
      <c r="X723" s="24">
        <f t="shared" ca="1" si="178"/>
        <v>-7.1379385633428827E-3</v>
      </c>
      <c r="Y723" s="24">
        <f t="shared" ca="1" si="179"/>
        <v>2.610562141047712E-4</v>
      </c>
      <c r="Z723" s="24">
        <f t="shared" ca="1" si="180"/>
        <v>7.0599229516854489E-3</v>
      </c>
      <c r="AA723" s="24">
        <f t="shared" ca="1" si="181"/>
        <v>1.3872350851402704E-2</v>
      </c>
      <c r="AB723" s="9" cm="1">
        <f t="array" aca="1" ref="AB723" ca="1">_xll.BDH($E$8,"PX LAST",AG723)</f>
        <v>4138.12</v>
      </c>
      <c r="AC723" s="9" cm="1">
        <f t="array" aca="1" ref="AC723" ca="1">_xll.BDH($E$8,"PX LAST",AH723)</f>
        <v>4167.87</v>
      </c>
      <c r="AD723" s="9" cm="1">
        <f t="array" aca="1" ref="AD723" ca="1">_xll.BDH($E$8,"PX LAST",AI723)</f>
        <v>4137.04</v>
      </c>
      <c r="AE723" s="9" cm="1">
        <f t="array" aca="1" ref="AE723" ca="1">_xll.BDH($E$8,"PX LAST",AJ723)</f>
        <v>4109.1099999999997</v>
      </c>
      <c r="AF723" s="9" cm="1">
        <f t="array" aca="1" ref="AF723" ca="1">_xll.BDH($E$8,"PX LAST",AK723)</f>
        <v>4081.5</v>
      </c>
      <c r="AG723" s="20">
        <f t="shared" ca="1" si="187"/>
        <v>45054</v>
      </c>
      <c r="AH723" s="22">
        <f t="shared" ca="1" si="182"/>
        <v>45047</v>
      </c>
      <c r="AI723" s="22">
        <f t="shared" ca="1" si="183"/>
        <v>45040</v>
      </c>
      <c r="AJ723" s="22">
        <f t="shared" ca="1" si="184"/>
        <v>45026</v>
      </c>
      <c r="AK723" s="22">
        <f t="shared" ca="1" si="185"/>
        <v>44966</v>
      </c>
      <c r="AL723" s="22">
        <f t="shared" ca="1" si="186"/>
        <v>44876</v>
      </c>
    </row>
    <row r="724" spans="4:38" x14ac:dyDescent="0.25">
      <c r="D724" s="6">
        <f ca="1"/>
        <v>45051</v>
      </c>
      <c r="E724" s="28">
        <f ca="1"/>
        <v>129.97</v>
      </c>
      <c r="F724" s="29" cm="1">
        <f t="array" aca="1" ref="F724" ca="1">_xll.FDS($E$7,"P_BETA_LOCIDX("&amp;$AG724&amp;","&amp;$AL724&amp;",,"""&amp;$E$9&amp;""")")</f>
        <v>1.4810783999999999</v>
      </c>
      <c r="G724" s="30">
        <f t="shared" ca="1" si="172"/>
        <v>-8.5626629111011029E-2</v>
      </c>
      <c r="H724" s="30">
        <f t="shared" ca="1" si="172"/>
        <v>-8.6340605049178051E-2</v>
      </c>
      <c r="I724" s="30">
        <f t="shared" ca="1" si="172"/>
        <v>-4.0835371110333578E-2</v>
      </c>
      <c r="J724" s="30">
        <f t="shared" ca="1" si="170"/>
        <v>-0.14968814425810567</v>
      </c>
      <c r="K724" s="30">
        <f t="shared" ca="1" si="173"/>
        <v>-1.1803926444544541E-2</v>
      </c>
      <c r="L724" s="30">
        <f t="shared" ca="1" si="173"/>
        <v>9.7818421877692149E-4</v>
      </c>
      <c r="M724" s="30">
        <f t="shared" ca="1" si="173"/>
        <v>1.1267686498969413E-2</v>
      </c>
      <c r="N724" s="30">
        <f t="shared" ca="1" si="171"/>
        <v>6.6143656598331392E-3</v>
      </c>
      <c r="O724" s="30">
        <f t="shared" ca="1" si="174"/>
        <v>-9.7430555555555576E-2</v>
      </c>
      <c r="P724" s="30">
        <f t="shared" ca="1" si="175"/>
        <v>-8.5362420830401131E-2</v>
      </c>
      <c r="Q724" s="30">
        <f t="shared" ca="1" si="176"/>
        <v>-2.9567684611364164E-2</v>
      </c>
      <c r="R724" s="30">
        <f t="shared" ca="1" si="177"/>
        <v>-0.14307377859827253</v>
      </c>
      <c r="S724" s="9" cm="1">
        <f t="array" aca="1" ref="S724" ca="1">_xll.BDH($E$6,"PX LAST",AG724)</f>
        <v>129.97</v>
      </c>
      <c r="T724" s="9" cm="1">
        <f t="array" aca="1" ref="T724" ca="1">_xll.BDH($E$6,"PX LAST",AH724)</f>
        <v>144</v>
      </c>
      <c r="U724" s="9" cm="1">
        <f t="array" aca="1" ref="U724" ca="1">_xll.BDH($E$6,"PX LAST",AI724)</f>
        <v>142.1</v>
      </c>
      <c r="V724" s="9" cm="1">
        <f t="array" aca="1" ref="V724" ca="1">_xll.BDH($E$6,"PX LAST",AJ724)</f>
        <v>133.93</v>
      </c>
      <c r="W724" s="9" cm="1">
        <f t="array" aca="1" ref="W724" ca="1">_xll.BDH($E$6,"PX LAST",AK724)</f>
        <v>151.66999999999999</v>
      </c>
      <c r="X724" s="24">
        <f t="shared" ca="1" si="178"/>
        <v>-7.9698187783607821E-3</v>
      </c>
      <c r="Y724" s="24">
        <f t="shared" ca="1" si="179"/>
        <v>6.604540440107165E-4</v>
      </c>
      <c r="Z724" s="24">
        <f t="shared" ca="1" si="180"/>
        <v>7.6077583056841647E-3</v>
      </c>
      <c r="AA724" s="24">
        <f t="shared" ca="1" si="181"/>
        <v>4.4659119056986718E-3</v>
      </c>
      <c r="AB724" s="9" cm="1">
        <f t="array" aca="1" ref="AB724" ca="1">_xll.BDH($E$8,"PX LAST",AG724)</f>
        <v>4136.25</v>
      </c>
      <c r="AC724" s="9" cm="1">
        <f t="array" aca="1" ref="AC724" ca="1">_xll.BDH($E$8,"PX LAST",AH724)</f>
        <v>4169.4799999999996</v>
      </c>
      <c r="AD724" s="9" cm="1">
        <f t="array" aca="1" ref="AD724" ca="1">_xll.BDH($E$8,"PX LAST",AI724)</f>
        <v>4133.5200000000004</v>
      </c>
      <c r="AE724" s="9" cm="1">
        <f t="array" aca="1" ref="AE724" ca="1">_xll.BDH($E$8,"PX LAST",AJ724)</f>
        <v>4105.0200000000004</v>
      </c>
      <c r="AF724" s="9" cm="1">
        <f t="array" aca="1" ref="AF724" ca="1">_xll.BDH($E$8,"PX LAST",AK724)</f>
        <v>4117.8599999999997</v>
      </c>
      <c r="AG724" s="20">
        <f t="shared" ca="1" si="187"/>
        <v>45051</v>
      </c>
      <c r="AH724" s="22">
        <f t="shared" ca="1" si="182"/>
        <v>45044</v>
      </c>
      <c r="AI724" s="22">
        <f t="shared" ca="1" si="183"/>
        <v>45037</v>
      </c>
      <c r="AJ724" s="22">
        <f t="shared" ca="1" si="184"/>
        <v>45022</v>
      </c>
      <c r="AK724" s="22">
        <f t="shared" ca="1" si="185"/>
        <v>44965</v>
      </c>
      <c r="AL724" s="22">
        <f t="shared" ca="1" si="186"/>
        <v>44875</v>
      </c>
    </row>
    <row r="725" spans="4:38" x14ac:dyDescent="0.25">
      <c r="D725" s="6">
        <f ca="1"/>
        <v>45050</v>
      </c>
      <c r="E725" s="28">
        <f ca="1"/>
        <v>122.87</v>
      </c>
      <c r="F725" s="29" cm="1">
        <f t="array" aca="1" ref="F725" ca="1">_xll.FDS($E$7,"P_BETA_LOCIDX("&amp;$AG725&amp;","&amp;$AL725&amp;",,"""&amp;$E$9&amp;""")")</f>
        <v>1.4213935</v>
      </c>
      <c r="G725" s="30">
        <f t="shared" ca="1" si="172"/>
        <v>-0.11468814738434889</v>
      </c>
      <c r="H725" s="30">
        <f t="shared" ca="1" si="172"/>
        <v>-0.11656748753471902</v>
      </c>
      <c r="I725" s="30">
        <f t="shared" ca="1" si="172"/>
        <v>-0.10329509386220809</v>
      </c>
      <c r="J725" s="30">
        <f t="shared" ca="1" si="172"/>
        <v>-0.16804176169587479</v>
      </c>
      <c r="K725" s="30">
        <f t="shared" ca="1" si="173"/>
        <v>-2.5479802230766582E-2</v>
      </c>
      <c r="L725" s="30">
        <f t="shared" ca="1" si="173"/>
        <v>-2.3600462080396453E-2</v>
      </c>
      <c r="M725" s="30">
        <f t="shared" ca="1" si="173"/>
        <v>-1.0133003403106917E-2</v>
      </c>
      <c r="N725" s="30">
        <f t="shared" ca="1" si="173"/>
        <v>-3.508425166426523E-2</v>
      </c>
      <c r="O725" s="30">
        <f t="shared" ca="1" si="174"/>
        <v>-0.14016794961511547</v>
      </c>
      <c r="P725" s="30">
        <f t="shared" ca="1" si="175"/>
        <v>-0.14016794961511547</v>
      </c>
      <c r="Q725" s="30">
        <f t="shared" ca="1" si="176"/>
        <v>-0.113428097265315</v>
      </c>
      <c r="R725" s="30">
        <f t="shared" ca="1" si="177"/>
        <v>-0.20312601336014002</v>
      </c>
      <c r="S725" s="9" cm="1">
        <f t="array" aca="1" ref="S725" ca="1">_xll.BDH($E$6,"PX LAST",AG725)</f>
        <v>122.87</v>
      </c>
      <c r="T725" s="9" cm="1">
        <f t="array" aca="1" ref="T725" ca="1">_xll.BDH($E$6,"PX LAST",AH725)</f>
        <v>142.9</v>
      </c>
      <c r="U725" s="9" cm="1">
        <f t="array" aca="1" ref="U725" ca="1">_xll.BDH($E$6,"PX LAST",AI725)</f>
        <v>142.9</v>
      </c>
      <c r="V725" s="9" cm="1">
        <f t="array" aca="1" ref="V725" ca="1">_xll.BDH($E$6,"PX LAST",AJ725)</f>
        <v>138.59</v>
      </c>
      <c r="W725" s="9" cm="1">
        <f t="array" aca="1" ref="W725" ca="1">_xll.BDH($E$6,"PX LAST",AK725)</f>
        <v>154.19</v>
      </c>
      <c r="X725" s="24">
        <f t="shared" ca="1" si="178"/>
        <v>-1.7925931299648257E-2</v>
      </c>
      <c r="Y725" s="24">
        <f t="shared" ca="1" si="179"/>
        <v>-1.6603749827473147E-2</v>
      </c>
      <c r="Z725" s="24">
        <f t="shared" ca="1" si="180"/>
        <v>-7.1289220072463522E-3</v>
      </c>
      <c r="AA725" s="24">
        <f t="shared" ca="1" si="181"/>
        <v>-2.4682997118155692E-2</v>
      </c>
      <c r="AB725" s="9" cm="1">
        <f t="array" aca="1" ref="AB725" ca="1">_xll.BDH($E$8,"PX LAST",AG725)</f>
        <v>4061.22</v>
      </c>
      <c r="AC725" s="9" cm="1">
        <f t="array" aca="1" ref="AC725" ca="1">_xll.BDH($E$8,"PX LAST",AH725)</f>
        <v>4135.3500000000004</v>
      </c>
      <c r="AD725" s="9" cm="1">
        <f t="array" aca="1" ref="AD725" ca="1">_xll.BDH($E$8,"PX LAST",AI725)</f>
        <v>4129.79</v>
      </c>
      <c r="AE725" s="9" cm="1">
        <f t="array" aca="1" ref="AE725" ca="1">_xll.BDH($E$8,"PX LAST",AJ725)</f>
        <v>4090.38</v>
      </c>
      <c r="AF725" s="9" cm="1">
        <f t="array" aca="1" ref="AF725" ca="1">_xll.BDH($E$8,"PX LAST",AK725)</f>
        <v>4164</v>
      </c>
      <c r="AG725" s="20">
        <f t="shared" ca="1" si="187"/>
        <v>45050</v>
      </c>
      <c r="AH725" s="22">
        <f t="shared" ca="1" si="182"/>
        <v>45043</v>
      </c>
      <c r="AI725" s="22">
        <f t="shared" ca="1" si="183"/>
        <v>45036</v>
      </c>
      <c r="AJ725" s="22">
        <f t="shared" ca="1" si="184"/>
        <v>45021</v>
      </c>
      <c r="AK725" s="22">
        <f t="shared" ca="1" si="185"/>
        <v>44964</v>
      </c>
      <c r="AL725" s="22">
        <f t="shared" ca="1" si="186"/>
        <v>44874</v>
      </c>
    </row>
    <row r="726" spans="4:38" x14ac:dyDescent="0.25">
      <c r="D726" s="6">
        <f ca="1"/>
        <v>45049</v>
      </c>
      <c r="E726" s="28">
        <f ca="1"/>
        <v>144.08000000000001</v>
      </c>
      <c r="F726" s="29" cm="1">
        <f t="array" aca="1" ref="F726" ca="1">_xll.FDS($E$7,"P_BETA_LOCIDX("&amp;$AG726&amp;","&amp;$AL726&amp;",,"""&amp;$E$9&amp;""")")</f>
        <v>1.3574107</v>
      </c>
      <c r="G726" s="30">
        <f t="shared" ref="G726:J773" ca="1" si="188">+O726-K726</f>
        <v>4.0660244808508043E-2</v>
      </c>
      <c r="H726" s="30">
        <f t="shared" ca="1" si="188"/>
        <v>3.5912432348287379E-2</v>
      </c>
      <c r="I726" s="30">
        <f t="shared" ca="1" si="188"/>
        <v>1.406460412036782E-2</v>
      </c>
      <c r="J726" s="30">
        <f t="shared" ca="1" si="188"/>
        <v>-4.9799713514253149E-2</v>
      </c>
      <c r="K726" s="30">
        <f t="shared" ref="K726:N773" ca="1" si="189">+X726*$F726</f>
        <v>1.1633065153513708E-2</v>
      </c>
      <c r="L726" s="30">
        <f t="shared" ca="1" si="189"/>
        <v>-2.0835639337155858E-2</v>
      </c>
      <c r="M726" s="30">
        <f t="shared" ca="1" si="189"/>
        <v>-3.2606192740087928E-3</v>
      </c>
      <c r="N726" s="30">
        <f t="shared" ca="1" si="189"/>
        <v>-6.7126301436605355E-3</v>
      </c>
      <c r="O726" s="30">
        <f t="shared" ref="O726:O773" ca="1" si="190">+S726/T726-1</f>
        <v>5.229330996202175E-2</v>
      </c>
      <c r="P726" s="30">
        <f t="shared" ref="P726:P773" ca="1" si="191">+S726/U726-1</f>
        <v>1.5076793011131517E-2</v>
      </c>
      <c r="Q726" s="30">
        <f t="shared" ref="Q726:Q773" ca="1" si="192">+S726/V726-1</f>
        <v>1.0803984846359027E-2</v>
      </c>
      <c r="R726" s="30">
        <f t="shared" ref="R726:R773" ca="1" si="193">+S726/W726-1</f>
        <v>-5.6512343657913688E-2</v>
      </c>
      <c r="S726" s="9" cm="1">
        <f t="array" aca="1" ref="S726" ca="1">_xll.BDH($E$6,"PX LAST",AG726)</f>
        <v>144.08000000000001</v>
      </c>
      <c r="T726" s="9" cm="1">
        <f t="array" aca="1" ref="T726" ca="1">_xll.BDH($E$6,"PX LAST",AH726)</f>
        <v>136.91999999999999</v>
      </c>
      <c r="U726" s="9" cm="1">
        <f t="array" aca="1" ref="U726" ca="1">_xll.BDH($E$6,"PX LAST",AI726)</f>
        <v>141.94</v>
      </c>
      <c r="V726" s="9" cm="1">
        <f t="array" aca="1" ref="V726" ca="1">_xll.BDH($E$6,"PX LAST",AJ726)</f>
        <v>142.54</v>
      </c>
      <c r="W726" s="9" cm="1">
        <f t="array" aca="1" ref="W726" ca="1">_xll.BDH($E$6,"PX LAST",AK726)</f>
        <v>152.71</v>
      </c>
      <c r="X726" s="24">
        <f t="shared" ref="X726:X773" ca="1" si="194">+AB726/AC726-1</f>
        <v>8.5700408531579342E-3</v>
      </c>
      <c r="Y726" s="24">
        <f t="shared" ref="Y726:Y773" ca="1" si="195">+AB726/AD726-1</f>
        <v>-1.5349546999412822E-2</v>
      </c>
      <c r="Z726" s="24">
        <f t="shared" ref="Z726:Z773" ca="1" si="196">+AB726/AE726-1</f>
        <v>-2.4020874993904151E-3</v>
      </c>
      <c r="AA726" s="24">
        <f t="shared" ref="AA726:AA773" ca="1" si="197">+AB726/AF726-1</f>
        <v>-4.9451725580625938E-3</v>
      </c>
      <c r="AB726" s="9" cm="1">
        <f t="array" aca="1" ref="AB726" ca="1">_xll.BDH($E$8,"PX LAST",AG726)</f>
        <v>4090.75</v>
      </c>
      <c r="AC726" s="9" cm="1">
        <f t="array" aca="1" ref="AC726" ca="1">_xll.BDH($E$8,"PX LAST",AH726)</f>
        <v>4055.99</v>
      </c>
      <c r="AD726" s="9" cm="1">
        <f t="array" aca="1" ref="AD726" ca="1">_xll.BDH($E$8,"PX LAST",AI726)</f>
        <v>4154.5200000000004</v>
      </c>
      <c r="AE726" s="9" cm="1">
        <f t="array" aca="1" ref="AE726" ca="1">_xll.BDH($E$8,"PX LAST",AJ726)</f>
        <v>4100.6000000000004</v>
      </c>
      <c r="AF726" s="9" cm="1">
        <f t="array" aca="1" ref="AF726" ca="1">_xll.BDH($E$8,"PX LAST",AK726)</f>
        <v>4111.08</v>
      </c>
      <c r="AG726" s="20">
        <f t="shared" ca="1" si="187"/>
        <v>45049</v>
      </c>
      <c r="AH726" s="22">
        <f t="shared" ref="AH726:AH773" ca="1" si="198">+WORKDAY($AG726, -5, $AN$2:$AN$100)</f>
        <v>45042</v>
      </c>
      <c r="AI726" s="22">
        <f t="shared" ref="AI726:AI773" ca="1" si="199">+WORKDAY($AG726, -10, $AN$2:$AN$100)</f>
        <v>45035</v>
      </c>
      <c r="AJ726" s="22">
        <f t="shared" ref="AJ726:AJ773" ca="1" si="200">+WORKDAY($AG726, -20, $AN$2:$AN$100)</f>
        <v>45020</v>
      </c>
      <c r="AK726" s="22">
        <f t="shared" ref="AK726:AK773" ca="1" si="201">+WORKDAY($AG726, -60, $AN$2:$AN$100)</f>
        <v>44963</v>
      </c>
      <c r="AL726" s="22">
        <f t="shared" ref="AL726:AL773" ca="1" si="202">+WORKDAY($AG726, -120, $AN$2:$AN$100)</f>
        <v>44873</v>
      </c>
    </row>
    <row r="727" spans="4:38" x14ac:dyDescent="0.25">
      <c r="D727" s="6">
        <f ca="1"/>
        <v>45048</v>
      </c>
      <c r="E727" s="28">
        <f ca="1"/>
        <v>143.28</v>
      </c>
      <c r="F727" s="29" cm="1">
        <f t="array" aca="1" ref="F727" ca="1">_xll.FDS($E$7,"P_BETA_LOCIDX("&amp;$AG727&amp;","&amp;$AL727&amp;",,"""&amp;$E$9&amp;""")")</f>
        <v>1.3567587000000001</v>
      </c>
      <c r="G727" s="30">
        <f t="shared" ca="1" si="188"/>
        <v>-6.2528599867144805E-3</v>
      </c>
      <c r="H727" s="30">
        <f t="shared" ca="1" si="188"/>
        <v>1.0687009668632742E-2</v>
      </c>
      <c r="I727" s="30">
        <f t="shared" ca="1" si="188"/>
        <v>-5.5808707351151433E-2</v>
      </c>
      <c r="J727" s="30">
        <f t="shared" ca="1" si="188"/>
        <v>-5.6637741269103661E-2</v>
      </c>
      <c r="K727" s="30">
        <f t="shared" ca="1" si="189"/>
        <v>1.5978018549082366E-2</v>
      </c>
      <c r="L727" s="30">
        <f t="shared" ca="1" si="189"/>
        <v>-1.1523829752314764E-2</v>
      </c>
      <c r="M727" s="30">
        <f t="shared" ca="1" si="189"/>
        <v>-1.6217248572558325E-3</v>
      </c>
      <c r="N727" s="30">
        <f t="shared" ca="1" si="189"/>
        <v>-5.5431724630602801E-3</v>
      </c>
      <c r="O727" s="30">
        <f t="shared" ca="1" si="190"/>
        <v>9.725158562367886E-3</v>
      </c>
      <c r="P727" s="30">
        <f t="shared" ca="1" si="191"/>
        <v>-8.3682008368202165E-4</v>
      </c>
      <c r="Q727" s="30">
        <f t="shared" ca="1" si="192"/>
        <v>-5.7430432208407267E-2</v>
      </c>
      <c r="R727" s="30">
        <f t="shared" ca="1" si="193"/>
        <v>-6.2180913732163945E-2</v>
      </c>
      <c r="S727" s="9" cm="1">
        <f t="array" aca="1" ref="S727" ca="1">_xll.BDH($E$6,"PX LAST",AG727)</f>
        <v>143.28</v>
      </c>
      <c r="T727" s="9" cm="1">
        <f t="array" aca="1" ref="T727" ca="1">_xll.BDH($E$6,"PX LAST",AH727)</f>
        <v>141.9</v>
      </c>
      <c r="U727" s="9" cm="1">
        <f t="array" aca="1" ref="U727" ca="1">_xll.BDH($E$6,"PX LAST",AI727)</f>
        <v>143.4</v>
      </c>
      <c r="V727" s="9" cm="1">
        <f t="array" aca="1" ref="V727" ca="1">_xll.BDH($E$6,"PX LAST",AJ727)</f>
        <v>152.01</v>
      </c>
      <c r="W727" s="9" cm="1">
        <f t="array" aca="1" ref="W727" ca="1">_xll.BDH($E$6,"PX LAST",AK727)</f>
        <v>152.78</v>
      </c>
      <c r="X727" s="24">
        <f t="shared" ca="1" si="194"/>
        <v>1.1776610350154648E-2</v>
      </c>
      <c r="Y727" s="24">
        <f t="shared" ca="1" si="195"/>
        <v>-8.4936472139922614E-3</v>
      </c>
      <c r="Z727" s="24">
        <f t="shared" ca="1" si="196"/>
        <v>-1.1952935015311361E-3</v>
      </c>
      <c r="AA727" s="24">
        <f t="shared" ca="1" si="197"/>
        <v>-4.0855993501720533E-3</v>
      </c>
      <c r="AB727" s="9" cm="1">
        <f t="array" aca="1" ref="AB727" ca="1">_xll.BDH($E$8,"PX LAST",AG727)</f>
        <v>4119.58</v>
      </c>
      <c r="AC727" s="9" cm="1">
        <f t="array" aca="1" ref="AC727" ca="1">_xll.BDH($E$8,"PX LAST",AH727)</f>
        <v>4071.63</v>
      </c>
      <c r="AD727" s="9" cm="1">
        <f t="array" aca="1" ref="AD727" ca="1">_xll.BDH($E$8,"PX LAST",AI727)</f>
        <v>4154.87</v>
      </c>
      <c r="AE727" s="9" cm="1">
        <f t="array" aca="1" ref="AE727" ca="1">_xll.BDH($E$8,"PX LAST",AJ727)</f>
        <v>4124.51</v>
      </c>
      <c r="AF727" s="9" cm="1">
        <f t="array" aca="1" ref="AF727" ca="1">_xll.BDH($E$8,"PX LAST",AK727)</f>
        <v>4136.4799999999996</v>
      </c>
      <c r="AG727" s="20">
        <f t="shared" ref="AG727:AG773" ca="1" si="203">+WORKDAY(D727, 0, $AN$2:$AN$59)</f>
        <v>45048</v>
      </c>
      <c r="AH727" s="22">
        <f t="shared" ca="1" si="198"/>
        <v>45041</v>
      </c>
      <c r="AI727" s="22">
        <f t="shared" ca="1" si="199"/>
        <v>45034</v>
      </c>
      <c r="AJ727" s="22">
        <f t="shared" ca="1" si="200"/>
        <v>45019</v>
      </c>
      <c r="AK727" s="22">
        <f t="shared" ca="1" si="201"/>
        <v>44960</v>
      </c>
      <c r="AL727" s="22">
        <f t="shared" ca="1" si="202"/>
        <v>44872</v>
      </c>
    </row>
    <row r="728" spans="4:38" x14ac:dyDescent="0.25">
      <c r="D728" s="6">
        <f ca="1"/>
        <v>45047</v>
      </c>
      <c r="E728" s="28">
        <f ca="1"/>
        <v>143.57</v>
      </c>
      <c r="F728" s="29" cm="1">
        <f t="array" aca="1" ref="F728" ca="1">_xll.FDS($E$7,"P_BETA_LOCIDX("&amp;$AG728&amp;","&amp;$AL728&amp;",,"""&amp;$E$9&amp;""")")</f>
        <v>1.3754481000000001</v>
      </c>
      <c r="G728" s="30">
        <f t="shared" ca="1" si="188"/>
        <v>-5.8426541948040523E-3</v>
      </c>
      <c r="H728" s="30">
        <f t="shared" ca="1" si="188"/>
        <v>2.443044019203474E-2</v>
      </c>
      <c r="I728" s="30">
        <f t="shared" ca="1" si="188"/>
        <v>-9.0585774437082461E-2</v>
      </c>
      <c r="J728" s="30">
        <f t="shared" ca="1" si="188"/>
        <v>-5.1361383768527641E-2</v>
      </c>
      <c r="K728" s="30">
        <f t="shared" ca="1" si="189"/>
        <v>1.0250097877468044E-2</v>
      </c>
      <c r="L728" s="30">
        <f t="shared" ca="1" si="189"/>
        <v>5.4834765941918296E-3</v>
      </c>
      <c r="M728" s="30">
        <f t="shared" ca="1" si="189"/>
        <v>1.9600916147966409E-2</v>
      </c>
      <c r="N728" s="30">
        <f t="shared" ca="1" si="189"/>
        <v>-3.9126834815875451E-3</v>
      </c>
      <c r="O728" s="30">
        <f t="shared" ca="1" si="190"/>
        <v>4.4074436826639918E-3</v>
      </c>
      <c r="P728" s="30">
        <f t="shared" ca="1" si="191"/>
        <v>2.9913916786226569E-2</v>
      </c>
      <c r="Q728" s="30">
        <f t="shared" ca="1" si="192"/>
        <v>-7.0984858289116048E-2</v>
      </c>
      <c r="R728" s="30">
        <f t="shared" ca="1" si="193"/>
        <v>-5.5274067250115189E-2</v>
      </c>
      <c r="S728" s="9" cm="1">
        <f t="array" aca="1" ref="S728" ca="1">_xll.BDH($E$6,"PX LAST",AG728)</f>
        <v>143.57</v>
      </c>
      <c r="T728" s="9" cm="1">
        <f t="array" aca="1" ref="T728" ca="1">_xll.BDH($E$6,"PX LAST",AH728)</f>
        <v>142.94</v>
      </c>
      <c r="U728" s="9" cm="1">
        <f t="array" aca="1" ref="U728" ca="1">_xll.BDH($E$6,"PX LAST",AI728)</f>
        <v>139.4</v>
      </c>
      <c r="V728" s="9" cm="1">
        <f t="array" aca="1" ref="V728" ca="1">_xll.BDH($E$6,"PX LAST",AJ728)</f>
        <v>154.54</v>
      </c>
      <c r="W728" s="9" cm="1">
        <f t="array" aca="1" ref="W728" ca="1">_xll.BDH($E$6,"PX LAST",AK728)</f>
        <v>151.97</v>
      </c>
      <c r="X728" s="24">
        <f t="shared" ca="1" si="194"/>
        <v>7.4521880378242145E-3</v>
      </c>
      <c r="Y728" s="24">
        <f t="shared" ca="1" si="195"/>
        <v>3.9866837536013389E-3</v>
      </c>
      <c r="Z728" s="24">
        <f t="shared" ca="1" si="196"/>
        <v>1.4250567613540932E-2</v>
      </c>
      <c r="AA728" s="24">
        <f t="shared" ca="1" si="197"/>
        <v>-2.8446609374701559E-3</v>
      </c>
      <c r="AB728" s="9" cm="1">
        <f t="array" aca="1" ref="AB728" ca="1">_xll.BDH($E$8,"PX LAST",AG728)</f>
        <v>4167.87</v>
      </c>
      <c r="AC728" s="9" cm="1">
        <f t="array" aca="1" ref="AC728" ca="1">_xll.BDH($E$8,"PX LAST",AH728)</f>
        <v>4137.04</v>
      </c>
      <c r="AD728" s="9" cm="1">
        <f t="array" aca="1" ref="AD728" ca="1">_xll.BDH($E$8,"PX LAST",AI728)</f>
        <v>4151.32</v>
      </c>
      <c r="AE728" s="9" cm="1">
        <f t="array" aca="1" ref="AE728" ca="1">_xll.BDH($E$8,"PX LAST",AJ728)</f>
        <v>4109.3100000000004</v>
      </c>
      <c r="AF728" s="9" cm="1">
        <f t="array" aca="1" ref="AF728" ca="1">_xll.BDH($E$8,"PX LAST",AK728)</f>
        <v>4179.76</v>
      </c>
      <c r="AG728" s="20">
        <f t="shared" ca="1" si="203"/>
        <v>45047</v>
      </c>
      <c r="AH728" s="22">
        <f t="shared" ca="1" si="198"/>
        <v>45040</v>
      </c>
      <c r="AI728" s="22">
        <f t="shared" ca="1" si="199"/>
        <v>45033</v>
      </c>
      <c r="AJ728" s="22">
        <f t="shared" ca="1" si="200"/>
        <v>45016</v>
      </c>
      <c r="AK728" s="22">
        <f t="shared" ca="1" si="201"/>
        <v>44959</v>
      </c>
      <c r="AL728" s="22">
        <f t="shared" ca="1" si="202"/>
        <v>44869</v>
      </c>
    </row>
    <row r="729" spans="4:38" x14ac:dyDescent="0.25">
      <c r="D729" s="6">
        <f ca="1"/>
        <v>45044</v>
      </c>
      <c r="E729" s="28">
        <f ca="1"/>
        <v>144</v>
      </c>
      <c r="F729" s="29" cm="1">
        <f t="array" aca="1" ref="F729" ca="1">_xll.FDS($E$7,"P_BETA_LOCIDX("&amp;$AG729&amp;","&amp;$AL729&amp;",,"""&amp;$E$9&amp;""")")</f>
        <v>1.4727330000000001</v>
      </c>
      <c r="G729" s="30">
        <f t="shared" ca="1" si="188"/>
        <v>5.5866710303021858E-4</v>
      </c>
      <c r="H729" s="30">
        <f t="shared" ca="1" si="188"/>
        <v>3.6549417697236561E-2</v>
      </c>
      <c r="I729" s="30">
        <f t="shared" ca="1" si="188"/>
        <v>-8.8482844008302475E-2</v>
      </c>
      <c r="J729" s="30">
        <f t="shared" ca="1" si="188"/>
        <v>-6.8480648248013198E-2</v>
      </c>
      <c r="K729" s="30">
        <f t="shared" ca="1" si="189"/>
        <v>1.2812198484584137E-2</v>
      </c>
      <c r="L729" s="30">
        <f t="shared" ca="1" si="189"/>
        <v>1.1332986610724526E-2</v>
      </c>
      <c r="M729" s="30">
        <f t="shared" ca="1" si="189"/>
        <v>4.3136781955796462E-2</v>
      </c>
      <c r="N729" s="30">
        <f t="shared" ca="1" si="189"/>
        <v>1.7972933623194579E-2</v>
      </c>
      <c r="O729" s="30">
        <f t="shared" ca="1" si="190"/>
        <v>1.3370865587614356E-2</v>
      </c>
      <c r="P729" s="30">
        <f t="shared" ca="1" si="191"/>
        <v>4.7882404307961091E-2</v>
      </c>
      <c r="Q729" s="30">
        <f t="shared" ca="1" si="192"/>
        <v>-4.534606205250602E-2</v>
      </c>
      <c r="R729" s="30">
        <f t="shared" ca="1" si="193"/>
        <v>-5.0507714624818623E-2</v>
      </c>
      <c r="S729" s="9" cm="1">
        <f t="array" aca="1" ref="S729" ca="1">_xll.BDH($E$6,"PX LAST",AG729)</f>
        <v>144</v>
      </c>
      <c r="T729" s="9" cm="1">
        <f t="array" aca="1" ref="T729" ca="1">_xll.BDH($E$6,"PX LAST",AH729)</f>
        <v>142.1</v>
      </c>
      <c r="U729" s="9" cm="1">
        <f t="array" aca="1" ref="U729" ca="1">_xll.BDH($E$6,"PX LAST",AI729)</f>
        <v>137.41999999999999</v>
      </c>
      <c r="V729" s="9" cm="1">
        <f t="array" aca="1" ref="V729" ca="1">_xll.BDH($E$6,"PX LAST",AJ729)</f>
        <v>150.84</v>
      </c>
      <c r="W729" s="9" cm="1">
        <f t="array" aca="1" ref="W729" ca="1">_xll.BDH($E$6,"PX LAST",AK729)</f>
        <v>151.66</v>
      </c>
      <c r="X729" s="24">
        <f t="shared" ca="1" si="194"/>
        <v>8.6996071145171161E-3</v>
      </c>
      <c r="Y729" s="24">
        <f t="shared" ca="1" si="195"/>
        <v>7.6952078962884141E-3</v>
      </c>
      <c r="Z729" s="24">
        <f t="shared" ca="1" si="196"/>
        <v>2.9290293594152139E-2</v>
      </c>
      <c r="AA729" s="24">
        <f t="shared" ca="1" si="197"/>
        <v>1.2203796359010477E-2</v>
      </c>
      <c r="AB729" s="9" cm="1">
        <f t="array" aca="1" ref="AB729" ca="1">_xll.BDH($E$8,"PX LAST",AG729)</f>
        <v>4169.4799999999996</v>
      </c>
      <c r="AC729" s="9" cm="1">
        <f t="array" aca="1" ref="AC729" ca="1">_xll.BDH($E$8,"PX LAST",AH729)</f>
        <v>4133.5200000000004</v>
      </c>
      <c r="AD729" s="9" cm="1">
        <f t="array" aca="1" ref="AD729" ca="1">_xll.BDH($E$8,"PX LAST",AI729)</f>
        <v>4137.6400000000003</v>
      </c>
      <c r="AE729" s="9" cm="1">
        <f t="array" aca="1" ref="AE729" ca="1">_xll.BDH($E$8,"PX LAST",AJ729)</f>
        <v>4050.83</v>
      </c>
      <c r="AF729" s="9" cm="1">
        <f t="array" aca="1" ref="AF729" ca="1">_xll.BDH($E$8,"PX LAST",AK729)</f>
        <v>4119.21</v>
      </c>
      <c r="AG729" s="20">
        <f t="shared" ca="1" si="203"/>
        <v>45044</v>
      </c>
      <c r="AH729" s="22">
        <f t="shared" ca="1" si="198"/>
        <v>45037</v>
      </c>
      <c r="AI729" s="22">
        <f t="shared" ca="1" si="199"/>
        <v>45030</v>
      </c>
      <c r="AJ729" s="22">
        <f t="shared" ca="1" si="200"/>
        <v>45015</v>
      </c>
      <c r="AK729" s="22">
        <f t="shared" ca="1" si="201"/>
        <v>44958</v>
      </c>
      <c r="AL729" s="22">
        <f t="shared" ca="1" si="202"/>
        <v>44868</v>
      </c>
    </row>
    <row r="730" spans="4:38" x14ac:dyDescent="0.25">
      <c r="D730" s="6">
        <f ca="1"/>
        <v>45043</v>
      </c>
      <c r="E730" s="28">
        <f ca="1"/>
        <v>142.9</v>
      </c>
      <c r="F730" s="29" cm="1">
        <f t="array" aca="1" ref="F730" ca="1">_xll.FDS($E$7,"P_BETA_LOCIDX("&amp;$AG730&amp;","&amp;$AL730&amp;",,"""&amp;$E$9&amp;""")")</f>
        <v>1.4503804</v>
      </c>
      <c r="G730" s="30">
        <f t="shared" ca="1" si="188"/>
        <v>-1.9526695120093262E-3</v>
      </c>
      <c r="H730" s="30">
        <f t="shared" ca="1" si="188"/>
        <v>4.6563649176496219E-2</v>
      </c>
      <c r="I730" s="30">
        <f t="shared" ca="1" si="188"/>
        <v>-7.7017536990413651E-2</v>
      </c>
      <c r="J730" s="30">
        <f t="shared" ca="1" si="188"/>
        <v>-6.1906144742754105E-2</v>
      </c>
      <c r="K730" s="30">
        <f t="shared" ca="1" si="189"/>
        <v>1.9526695120093262E-3</v>
      </c>
      <c r="L730" s="30">
        <f t="shared" ca="1" si="189"/>
        <v>-3.8024115816332753E-3</v>
      </c>
      <c r="M730" s="30">
        <f t="shared" ca="1" si="189"/>
        <v>3.8724246728619474E-2</v>
      </c>
      <c r="N730" s="30">
        <f t="shared" ca="1" si="189"/>
        <v>2.0902185276946508E-2</v>
      </c>
      <c r="O730" s="30">
        <f t="shared" ca="1" si="190"/>
        <v>0</v>
      </c>
      <c r="P730" s="30">
        <f t="shared" ca="1" si="191"/>
        <v>4.2761237594862944E-2</v>
      </c>
      <c r="Q730" s="30">
        <f t="shared" ca="1" si="192"/>
        <v>-3.8293290261794177E-2</v>
      </c>
      <c r="R730" s="30">
        <f t="shared" ca="1" si="193"/>
        <v>-4.1003959465807593E-2</v>
      </c>
      <c r="S730" s="9" cm="1">
        <f t="array" aca="1" ref="S730" ca="1">_xll.BDH($E$6,"PX LAST",AG730)</f>
        <v>142.9</v>
      </c>
      <c r="T730" s="9" cm="1">
        <f t="array" aca="1" ref="T730" ca="1">_xll.BDH($E$6,"PX LAST",AH730)</f>
        <v>142.9</v>
      </c>
      <c r="U730" s="9" cm="1">
        <f t="array" aca="1" ref="U730" ca="1">_xll.BDH($E$6,"PX LAST",AI730)</f>
        <v>137.04</v>
      </c>
      <c r="V730" s="9" cm="1">
        <f t="array" aca="1" ref="V730" ca="1">_xll.BDH($E$6,"PX LAST",AJ730)</f>
        <v>148.59</v>
      </c>
      <c r="W730" s="9" cm="1">
        <f t="array" aca="1" ref="W730" ca="1">_xll.BDH($E$6,"PX LAST",AK730)</f>
        <v>149.01</v>
      </c>
      <c r="X730" s="24">
        <f t="shared" ca="1" si="194"/>
        <v>1.3463154300825675E-3</v>
      </c>
      <c r="Y730" s="24">
        <f t="shared" ca="1" si="195"/>
        <v>-2.6216650346579939E-3</v>
      </c>
      <c r="Z730" s="24">
        <f t="shared" ca="1" si="196"/>
        <v>2.6699372611915795E-2</v>
      </c>
      <c r="AA730" s="24">
        <f t="shared" ca="1" si="197"/>
        <v>1.4411519403424444E-2</v>
      </c>
      <c r="AB730" s="9" cm="1">
        <f t="array" aca="1" ref="AB730" ca="1">_xll.BDH($E$8,"PX LAST",AG730)</f>
        <v>4135.3500000000004</v>
      </c>
      <c r="AC730" s="9" cm="1">
        <f t="array" aca="1" ref="AC730" ca="1">_xll.BDH($E$8,"PX LAST",AH730)</f>
        <v>4129.79</v>
      </c>
      <c r="AD730" s="9" cm="1">
        <f t="array" aca="1" ref="AD730" ca="1">_xll.BDH($E$8,"PX LAST",AI730)</f>
        <v>4146.22</v>
      </c>
      <c r="AE730" s="9" cm="1">
        <f t="array" aca="1" ref="AE730" ca="1">_xll.BDH($E$8,"PX LAST",AJ730)</f>
        <v>4027.81</v>
      </c>
      <c r="AF730" s="9" cm="1">
        <f t="array" aca="1" ref="AF730" ca="1">_xll.BDH($E$8,"PX LAST",AK730)</f>
        <v>4076.6</v>
      </c>
      <c r="AG730" s="20">
        <f t="shared" ca="1" si="203"/>
        <v>45043</v>
      </c>
      <c r="AH730" s="22">
        <f t="shared" ca="1" si="198"/>
        <v>45036</v>
      </c>
      <c r="AI730" s="22">
        <f t="shared" ca="1" si="199"/>
        <v>45029</v>
      </c>
      <c r="AJ730" s="22">
        <f t="shared" ca="1" si="200"/>
        <v>45014</v>
      </c>
      <c r="AK730" s="22">
        <f t="shared" ca="1" si="201"/>
        <v>44957</v>
      </c>
      <c r="AL730" s="22">
        <f t="shared" ca="1" si="202"/>
        <v>44867</v>
      </c>
    </row>
    <row r="731" spans="4:38" x14ac:dyDescent="0.25">
      <c r="D731" s="6">
        <f ca="1"/>
        <v>45042</v>
      </c>
      <c r="E731" s="28">
        <f ca="1"/>
        <v>136.91999999999999</v>
      </c>
      <c r="F731" s="29" cm="1">
        <f t="array" aca="1" ref="F731" ca="1">_xll.FDS($E$7,"P_BETA_LOCIDX("&amp;$AG731&amp;","&amp;$AL731&amp;",,"""&amp;$E$9&amp;""")")</f>
        <v>1.4254376</v>
      </c>
      <c r="G731" s="30">
        <f t="shared" ca="1" si="188"/>
        <v>-1.5608967711780233E-3</v>
      </c>
      <c r="H731" s="30">
        <f t="shared" ca="1" si="188"/>
        <v>1.2380676547410405E-2</v>
      </c>
      <c r="I731" s="30">
        <f t="shared" ca="1" si="188"/>
        <v>-7.2792732466887153E-2</v>
      </c>
      <c r="J731" s="30">
        <f t="shared" ca="1" si="188"/>
        <v>-6.3056519315788581E-2</v>
      </c>
      <c r="K731" s="30">
        <f t="shared" ca="1" si="189"/>
        <v>-3.3806159731569717E-2</v>
      </c>
      <c r="L731" s="30">
        <f t="shared" ca="1" si="189"/>
        <v>-1.2526725912095724E-2</v>
      </c>
      <c r="M731" s="30">
        <f t="shared" ca="1" si="189"/>
        <v>3.0409182320013481E-2</v>
      </c>
      <c r="N731" s="30">
        <f t="shared" ca="1" si="189"/>
        <v>1.3559816781946048E-2</v>
      </c>
      <c r="O731" s="30">
        <f t="shared" ca="1" si="190"/>
        <v>-3.536705650274774E-2</v>
      </c>
      <c r="P731" s="30">
        <f t="shared" ca="1" si="191"/>
        <v>-1.4604936468531893E-4</v>
      </c>
      <c r="Q731" s="30">
        <f t="shared" ca="1" si="192"/>
        <v>-4.2383550146873672E-2</v>
      </c>
      <c r="R731" s="30">
        <f t="shared" ca="1" si="193"/>
        <v>-4.9496702533842529E-2</v>
      </c>
      <c r="S731" s="9" cm="1">
        <f t="array" aca="1" ref="S731" ca="1">_xll.BDH($E$6,"PX LAST",AG731)</f>
        <v>136.91999999999999</v>
      </c>
      <c r="T731" s="9" cm="1">
        <f t="array" aca="1" ref="T731" ca="1">_xll.BDH($E$6,"PX LAST",AH731)</f>
        <v>141.94</v>
      </c>
      <c r="U731" s="9" cm="1">
        <f t="array" aca="1" ref="U731" ca="1">_xll.BDH($E$6,"PX LAST",AI731)</f>
        <v>136.94</v>
      </c>
      <c r="V731" s="9" cm="1">
        <f t="array" aca="1" ref="V731" ca="1">_xll.BDH($E$6,"PX LAST",AJ731)</f>
        <v>142.97999999999999</v>
      </c>
      <c r="W731" s="9" cm="1">
        <f t="array" aca="1" ref="W731" ca="1">_xll.BDH($E$6,"PX LAST",AK731)</f>
        <v>144.05000000000001</v>
      </c>
      <c r="X731" s="24">
        <f t="shared" ca="1" si="194"/>
        <v>-2.3716337868153414E-2</v>
      </c>
      <c r="Y731" s="24">
        <f t="shared" ca="1" si="195"/>
        <v>-8.7879861679639459E-3</v>
      </c>
      <c r="Z731" s="24">
        <f t="shared" ca="1" si="196"/>
        <v>2.1333225894990759E-2</v>
      </c>
      <c r="AA731" s="24">
        <f t="shared" ca="1" si="197"/>
        <v>9.5127396540866105E-3</v>
      </c>
      <c r="AB731" s="9" cm="1">
        <f t="array" aca="1" ref="AB731" ca="1">_xll.BDH($E$8,"PX LAST",AG731)</f>
        <v>4055.99</v>
      </c>
      <c r="AC731" s="9" cm="1">
        <f t="array" aca="1" ref="AC731" ca="1">_xll.BDH($E$8,"PX LAST",AH731)</f>
        <v>4154.5200000000004</v>
      </c>
      <c r="AD731" s="9" cm="1">
        <f t="array" aca="1" ref="AD731" ca="1">_xll.BDH($E$8,"PX LAST",AI731)</f>
        <v>4091.95</v>
      </c>
      <c r="AE731" s="9" cm="1">
        <f t="array" aca="1" ref="AE731" ca="1">_xll.BDH($E$8,"PX LAST",AJ731)</f>
        <v>3971.27</v>
      </c>
      <c r="AF731" s="9" cm="1">
        <f t="array" aca="1" ref="AF731" ca="1">_xll.BDH($E$8,"PX LAST",AK731)</f>
        <v>4017.77</v>
      </c>
      <c r="AG731" s="20">
        <f t="shared" ca="1" si="203"/>
        <v>45042</v>
      </c>
      <c r="AH731" s="22">
        <f t="shared" ca="1" si="198"/>
        <v>45035</v>
      </c>
      <c r="AI731" s="22">
        <f t="shared" ca="1" si="199"/>
        <v>45028</v>
      </c>
      <c r="AJ731" s="22">
        <f t="shared" ca="1" si="200"/>
        <v>45013</v>
      </c>
      <c r="AK731" s="22">
        <f t="shared" ca="1" si="201"/>
        <v>44956</v>
      </c>
      <c r="AL731" s="22">
        <f t="shared" ca="1" si="202"/>
        <v>44866</v>
      </c>
    </row>
    <row r="732" spans="4:38" x14ac:dyDescent="0.25">
      <c r="D732" s="6">
        <f ca="1"/>
        <v>45041</v>
      </c>
      <c r="E732" s="28">
        <f ca="1"/>
        <v>141.9</v>
      </c>
      <c r="F732" s="29" cm="1">
        <f t="array" aca="1" ref="F732" ca="1">_xll.FDS($E$7,"P_BETA_LOCIDX("&amp;$AG732&amp;","&amp;$AL732&amp;",,"""&amp;$E$9&amp;""")")</f>
        <v>1.4128673</v>
      </c>
      <c r="G732" s="30">
        <f t="shared" ca="1" si="188"/>
        <v>1.7845586212902314E-2</v>
      </c>
      <c r="H732" s="30">
        <f t="shared" ca="1" si="188"/>
        <v>5.3151699338303306E-2</v>
      </c>
      <c r="I732" s="30">
        <f t="shared" ca="1" si="188"/>
        <v>-3.2155360738595394E-2</v>
      </c>
      <c r="J732" s="30">
        <f t="shared" ca="1" si="188"/>
        <v>-2.4845472893224828E-2</v>
      </c>
      <c r="K732" s="30">
        <f t="shared" ca="1" si="189"/>
        <v>-2.8305837258927418E-2</v>
      </c>
      <c r="L732" s="30">
        <f t="shared" ca="1" si="189"/>
        <v>-1.2829118693142051E-2</v>
      </c>
      <c r="M732" s="30">
        <f t="shared" ca="1" si="189"/>
        <v>3.3425470814802093E-2</v>
      </c>
      <c r="N732" s="30">
        <f t="shared" ca="1" si="189"/>
        <v>3.7139067130811135E-4</v>
      </c>
      <c r="O732" s="30">
        <f t="shared" ca="1" si="190"/>
        <v>-1.0460251046025104E-2</v>
      </c>
      <c r="P732" s="30">
        <f t="shared" ca="1" si="191"/>
        <v>4.0322580645161255E-2</v>
      </c>
      <c r="Q732" s="30">
        <f t="shared" ca="1" si="192"/>
        <v>1.2701100762066986E-3</v>
      </c>
      <c r="R732" s="30">
        <f t="shared" ca="1" si="193"/>
        <v>-2.4474082221916715E-2</v>
      </c>
      <c r="S732" s="9" cm="1">
        <f t="array" aca="1" ref="S732" ca="1">_xll.BDH($E$6,"PX LAST",AG732)</f>
        <v>141.9</v>
      </c>
      <c r="T732" s="9" cm="1">
        <f t="array" aca="1" ref="T732" ca="1">_xll.BDH($E$6,"PX LAST",AH732)</f>
        <v>143.4</v>
      </c>
      <c r="U732" s="9" cm="1">
        <f t="array" aca="1" ref="U732" ca="1">_xll.BDH($E$6,"PX LAST",AI732)</f>
        <v>136.4</v>
      </c>
      <c r="V732" s="9" cm="1">
        <f t="array" aca="1" ref="V732" ca="1">_xll.BDH($E$6,"PX LAST",AJ732)</f>
        <v>141.72</v>
      </c>
      <c r="W732" s="9" cm="1">
        <f t="array" aca="1" ref="W732" ca="1">_xll.BDH($E$6,"PX LAST",AK732)</f>
        <v>145.46</v>
      </c>
      <c r="X732" s="24">
        <f t="shared" ca="1" si="194"/>
        <v>-2.0034321170096736E-2</v>
      </c>
      <c r="Y732" s="24">
        <f t="shared" ca="1" si="195"/>
        <v>-9.0802007330356149E-3</v>
      </c>
      <c r="Z732" s="24">
        <f t="shared" ca="1" si="196"/>
        <v>2.3657898243382158E-2</v>
      </c>
      <c r="AA732" s="24">
        <f t="shared" ca="1" si="197"/>
        <v>2.6286309500411775E-4</v>
      </c>
      <c r="AB732" s="9" cm="1">
        <f t="array" aca="1" ref="AB732" ca="1">_xll.BDH($E$8,"PX LAST",AG732)</f>
        <v>4071.63</v>
      </c>
      <c r="AC732" s="9" cm="1">
        <f t="array" aca="1" ref="AC732" ca="1">_xll.BDH($E$8,"PX LAST",AH732)</f>
        <v>4154.87</v>
      </c>
      <c r="AD732" s="9" cm="1">
        <f t="array" aca="1" ref="AD732" ca="1">_xll.BDH($E$8,"PX LAST",AI732)</f>
        <v>4108.9399999999996</v>
      </c>
      <c r="AE732" s="9" cm="1">
        <f t="array" aca="1" ref="AE732" ca="1">_xll.BDH($E$8,"PX LAST",AJ732)</f>
        <v>3977.53</v>
      </c>
      <c r="AF732" s="9" cm="1">
        <f t="array" aca="1" ref="AF732" ca="1">_xll.BDH($E$8,"PX LAST",AK732)</f>
        <v>4070.56</v>
      </c>
      <c r="AG732" s="20">
        <f t="shared" ca="1" si="203"/>
        <v>45041</v>
      </c>
      <c r="AH732" s="22">
        <f t="shared" ca="1" si="198"/>
        <v>45034</v>
      </c>
      <c r="AI732" s="22">
        <f t="shared" ca="1" si="199"/>
        <v>45027</v>
      </c>
      <c r="AJ732" s="22">
        <f t="shared" ca="1" si="200"/>
        <v>45012</v>
      </c>
      <c r="AK732" s="22">
        <f t="shared" ca="1" si="201"/>
        <v>44953</v>
      </c>
      <c r="AL732" s="22">
        <f t="shared" ca="1" si="202"/>
        <v>44865</v>
      </c>
    </row>
    <row r="733" spans="4:38" x14ac:dyDescent="0.25">
      <c r="D733" s="6">
        <f ca="1"/>
        <v>45040</v>
      </c>
      <c r="E733" s="28">
        <f ca="1"/>
        <v>142.94</v>
      </c>
      <c r="F733" s="29" cm="1">
        <f t="array" aca="1" ref="F733" ca="1">_xll.FDS($E$7,"P_BETA_LOCIDX("&amp;$AG733&amp;","&amp;$AL733&amp;",,"""&amp;$E$9&amp;""")")</f>
        <v>1.4164810000000001</v>
      </c>
      <c r="G733" s="30">
        <f t="shared" ca="1" si="188"/>
        <v>3.0267058175573753E-2</v>
      </c>
      <c r="H733" s="30">
        <f t="shared" ca="1" si="188"/>
        <v>3.4491843352561211E-2</v>
      </c>
      <c r="I733" s="30">
        <f t="shared" ca="1" si="188"/>
        <v>-2.4483884342795768E-2</v>
      </c>
      <c r="J733" s="30">
        <f t="shared" ca="1" si="188"/>
        <v>-2.812263187394291E-2</v>
      </c>
      <c r="K733" s="30">
        <f t="shared" ca="1" si="189"/>
        <v>-4.8725101124460672E-3</v>
      </c>
      <c r="L733" s="30">
        <f t="shared" ca="1" si="189"/>
        <v>9.6279521185855428E-3</v>
      </c>
      <c r="M733" s="30">
        <f t="shared" ca="1" si="189"/>
        <v>5.9231242095799962E-2</v>
      </c>
      <c r="N733" s="30">
        <f t="shared" ca="1" si="189"/>
        <v>2.6725398396228877E-2</v>
      </c>
      <c r="O733" s="30">
        <f t="shared" ca="1" si="190"/>
        <v>2.5394548063127687E-2</v>
      </c>
      <c r="P733" s="30">
        <f t="shared" ca="1" si="191"/>
        <v>4.411979547114675E-2</v>
      </c>
      <c r="Q733" s="30">
        <f t="shared" ca="1" si="192"/>
        <v>3.4747357753004193E-2</v>
      </c>
      <c r="R733" s="30">
        <f t="shared" ca="1" si="193"/>
        <v>-1.3972334777140327E-3</v>
      </c>
      <c r="S733" s="9" cm="1">
        <f t="array" aca="1" ref="S733" ca="1">_xll.BDH($E$6,"PX LAST",AG733)</f>
        <v>142.94</v>
      </c>
      <c r="T733" s="9" cm="1">
        <f t="array" aca="1" ref="T733" ca="1">_xll.BDH($E$6,"PX LAST",AH733)</f>
        <v>139.4</v>
      </c>
      <c r="U733" s="9" cm="1">
        <f t="array" aca="1" ref="U733" ca="1">_xll.BDH($E$6,"PX LAST",AI733)</f>
        <v>136.9</v>
      </c>
      <c r="V733" s="9" cm="1">
        <f t="array" aca="1" ref="V733" ca="1">_xll.BDH($E$6,"PX LAST",AJ733)</f>
        <v>138.13999999999999</v>
      </c>
      <c r="W733" s="9" cm="1">
        <f t="array" aca="1" ref="W733" ca="1">_xll.BDH($E$6,"PX LAST",AK733)</f>
        <v>143.13999999999999</v>
      </c>
      <c r="X733" s="24">
        <f t="shared" ca="1" si="194"/>
        <v>-3.4398697281827761E-3</v>
      </c>
      <c r="Y733" s="24">
        <f t="shared" ca="1" si="195"/>
        <v>6.797092314394293E-3</v>
      </c>
      <c r="Z733" s="24">
        <f t="shared" ca="1" si="196"/>
        <v>4.1815768863683989E-2</v>
      </c>
      <c r="AA733" s="24">
        <f t="shared" ca="1" si="197"/>
        <v>1.8867459850311352E-2</v>
      </c>
      <c r="AB733" s="9" cm="1">
        <f t="array" aca="1" ref="AB733" ca="1">_xll.BDH($E$8,"PX LAST",AG733)</f>
        <v>4137.04</v>
      </c>
      <c r="AC733" s="9" cm="1">
        <f t="array" aca="1" ref="AC733" ca="1">_xll.BDH($E$8,"PX LAST",AH733)</f>
        <v>4151.32</v>
      </c>
      <c r="AD733" s="9" cm="1">
        <f t="array" aca="1" ref="AD733" ca="1">_xll.BDH($E$8,"PX LAST",AI733)</f>
        <v>4109.1099999999997</v>
      </c>
      <c r="AE733" s="9" cm="1">
        <f t="array" aca="1" ref="AE733" ca="1">_xll.BDH($E$8,"PX LAST",AJ733)</f>
        <v>3970.99</v>
      </c>
      <c r="AF733" s="9" cm="1">
        <f t="array" aca="1" ref="AF733" ca="1">_xll.BDH($E$8,"PX LAST",AK733)</f>
        <v>4060.43</v>
      </c>
      <c r="AG733" s="20">
        <f t="shared" ca="1" si="203"/>
        <v>45040</v>
      </c>
      <c r="AH733" s="22">
        <f t="shared" ca="1" si="198"/>
        <v>45033</v>
      </c>
      <c r="AI733" s="22">
        <f t="shared" ca="1" si="199"/>
        <v>45026</v>
      </c>
      <c r="AJ733" s="22">
        <f t="shared" ca="1" si="200"/>
        <v>45009</v>
      </c>
      <c r="AK733" s="22">
        <f t="shared" ca="1" si="201"/>
        <v>44952</v>
      </c>
      <c r="AL733" s="22">
        <f t="shared" ca="1" si="202"/>
        <v>44862</v>
      </c>
    </row>
    <row r="734" spans="4:38" x14ac:dyDescent="0.25">
      <c r="D734" s="6">
        <f ca="1"/>
        <v>45037</v>
      </c>
      <c r="E734" s="28">
        <f ca="1"/>
        <v>142.1</v>
      </c>
      <c r="F734" s="29" cm="1">
        <f t="array" aca="1" ref="F734" ca="1">_xll.FDS($E$7,"P_BETA_LOCIDX("&amp;$AG734&amp;","&amp;$AL734&amp;",,"""&amp;$E$9&amp;""")")</f>
        <v>1.4123266000000001</v>
      </c>
      <c r="G734" s="30">
        <f t="shared" ca="1" si="188"/>
        <v>3.5462483568223867E-2</v>
      </c>
      <c r="H734" s="30">
        <f t="shared" ca="1" si="188"/>
        <v>5.1196629378674335E-2</v>
      </c>
      <c r="I734" s="30">
        <f t="shared" ca="1" si="188"/>
        <v>-5.7723305270059422E-2</v>
      </c>
      <c r="J734" s="30">
        <f t="shared" ca="1" si="188"/>
        <v>-1.6957422182839389E-2</v>
      </c>
      <c r="K734" s="30">
        <f t="shared" ca="1" si="189"/>
        <v>-1.4063054282150375E-3</v>
      </c>
      <c r="L734" s="30">
        <f t="shared" ca="1" si="189"/>
        <v>9.8053865998217506E-3</v>
      </c>
      <c r="M734" s="30">
        <f t="shared" ca="1" si="189"/>
        <v>6.6096850543973851E-2</v>
      </c>
      <c r="N734" s="30">
        <f t="shared" ca="1" si="189"/>
        <v>4.1249211990379266E-2</v>
      </c>
      <c r="O734" s="30">
        <f t="shared" ca="1" si="190"/>
        <v>3.405617814000883E-2</v>
      </c>
      <c r="P734" s="30">
        <f t="shared" ca="1" si="191"/>
        <v>6.1002015978496082E-2</v>
      </c>
      <c r="Q734" s="30">
        <f t="shared" ca="1" si="192"/>
        <v>8.3735452739144289E-3</v>
      </c>
      <c r="R734" s="30">
        <f t="shared" ca="1" si="193"/>
        <v>2.4291789807539876E-2</v>
      </c>
      <c r="S734" s="9" cm="1">
        <f t="array" aca="1" ref="S734" ca="1">_xll.BDH($E$6,"PX LAST",AG734)</f>
        <v>142.1</v>
      </c>
      <c r="T734" s="9" cm="1">
        <f t="array" aca="1" ref="T734" ca="1">_xll.BDH($E$6,"PX LAST",AH734)</f>
        <v>137.41999999999999</v>
      </c>
      <c r="U734" s="9" cm="1">
        <f t="array" aca="1" ref="U734" ca="1">_xll.BDH($E$6,"PX LAST",AI734)</f>
        <v>133.93</v>
      </c>
      <c r="V734" s="9" cm="1">
        <f t="array" aca="1" ref="V734" ca="1">_xll.BDH($E$6,"PX LAST",AJ734)</f>
        <v>140.91999999999999</v>
      </c>
      <c r="W734" s="9" cm="1">
        <f t="array" aca="1" ref="W734" ca="1">_xll.BDH($E$6,"PX LAST",AK734)</f>
        <v>138.72999999999999</v>
      </c>
      <c r="X734" s="24">
        <f t="shared" ca="1" si="194"/>
        <v>-9.9573670014785343E-4</v>
      </c>
      <c r="Y734" s="24">
        <f t="shared" ca="1" si="195"/>
        <v>6.9427189148896229E-3</v>
      </c>
      <c r="Z734" s="24">
        <f t="shared" ca="1" si="196"/>
        <v>4.6799975688324391E-2</v>
      </c>
      <c r="AA734" s="24">
        <f t="shared" ca="1" si="197"/>
        <v>2.9206567369317593E-2</v>
      </c>
      <c r="AB734" s="9" cm="1">
        <f t="array" aca="1" ref="AB734" ca="1">_xll.BDH($E$8,"PX LAST",AG734)</f>
        <v>4133.5200000000004</v>
      </c>
      <c r="AC734" s="9" cm="1">
        <f t="array" aca="1" ref="AC734" ca="1">_xll.BDH($E$8,"PX LAST",AH734)</f>
        <v>4137.6400000000003</v>
      </c>
      <c r="AD734" s="9" cm="1">
        <f t="array" aca="1" ref="AD734" ca="1">_xll.BDH($E$8,"PX LAST",AI734)</f>
        <v>4105.0200000000004</v>
      </c>
      <c r="AE734" s="9" cm="1">
        <f t="array" aca="1" ref="AE734" ca="1">_xll.BDH($E$8,"PX LAST",AJ734)</f>
        <v>3948.72</v>
      </c>
      <c r="AF734" s="9" cm="1">
        <f t="array" aca="1" ref="AF734" ca="1">_xll.BDH($E$8,"PX LAST",AK734)</f>
        <v>4016.22</v>
      </c>
      <c r="AG734" s="20">
        <f t="shared" ca="1" si="203"/>
        <v>45037</v>
      </c>
      <c r="AH734" s="22">
        <f t="shared" ca="1" si="198"/>
        <v>45030</v>
      </c>
      <c r="AI734" s="22">
        <f t="shared" ca="1" si="199"/>
        <v>45022</v>
      </c>
      <c r="AJ734" s="22">
        <f t="shared" ca="1" si="200"/>
        <v>45008</v>
      </c>
      <c r="AK734" s="22">
        <f t="shared" ca="1" si="201"/>
        <v>44951</v>
      </c>
      <c r="AL734" s="22">
        <f t="shared" ca="1" si="202"/>
        <v>44861</v>
      </c>
    </row>
    <row r="735" spans="4:38" x14ac:dyDescent="0.25">
      <c r="D735" s="6">
        <f ca="1"/>
        <v>45036</v>
      </c>
      <c r="E735" s="28">
        <f ca="1"/>
        <v>142.9</v>
      </c>
      <c r="F735" s="29" cm="1">
        <f t="array" aca="1" ref="F735" ca="1">_xll.FDS($E$7,"P_BETA_LOCIDX("&amp;$AG735&amp;","&amp;$AL735&amp;",,"""&amp;$E$9&amp;""")")</f>
        <v>1.4053743000000001</v>
      </c>
      <c r="G735" s="30">
        <f t="shared" ca="1" si="188"/>
        <v>4.8330237732096486E-2</v>
      </c>
      <c r="H735" s="30">
        <f t="shared" ca="1" si="188"/>
        <v>1.755842225261485E-2</v>
      </c>
      <c r="I735" s="30">
        <f t="shared" ca="1" si="188"/>
        <v>-7.7227031261320286E-2</v>
      </c>
      <c r="J735" s="30">
        <f t="shared" ca="1" si="188"/>
        <v>-5.9183601269942321E-3</v>
      </c>
      <c r="K735" s="30">
        <f t="shared" ca="1" si="189"/>
        <v>-5.5690001372335389E-3</v>
      </c>
      <c r="L735" s="30">
        <f t="shared" ca="1" si="189"/>
        <v>1.3540502633740502E-2</v>
      </c>
      <c r="M735" s="30">
        <f t="shared" ca="1" si="189"/>
        <v>6.8830667372624152E-2</v>
      </c>
      <c r="N735" s="30">
        <f t="shared" ca="1" si="189"/>
        <v>3.9478319623594965E-2</v>
      </c>
      <c r="O735" s="30">
        <f t="shared" ca="1" si="190"/>
        <v>4.2761237594862944E-2</v>
      </c>
      <c r="P735" s="30">
        <f t="shared" ca="1" si="191"/>
        <v>3.109892488635535E-2</v>
      </c>
      <c r="Q735" s="30">
        <f t="shared" ca="1" si="192"/>
        <v>-8.3963638886961345E-3</v>
      </c>
      <c r="R735" s="30">
        <f t="shared" ca="1" si="193"/>
        <v>3.3559959496600733E-2</v>
      </c>
      <c r="S735" s="9" cm="1">
        <f t="array" aca="1" ref="S735" ca="1">_xll.BDH($E$6,"PX LAST",AG735)</f>
        <v>142.9</v>
      </c>
      <c r="T735" s="9" cm="1">
        <f t="array" aca="1" ref="T735" ca="1">_xll.BDH($E$6,"PX LAST",AH735)</f>
        <v>137.04</v>
      </c>
      <c r="U735" s="9" cm="1">
        <f t="array" aca="1" ref="U735" ca="1">_xll.BDH($E$6,"PX LAST",AI735)</f>
        <v>138.59</v>
      </c>
      <c r="V735" s="9" cm="1">
        <f t="array" aca="1" ref="V735" ca="1">_xll.BDH($E$6,"PX LAST",AJ735)</f>
        <v>144.11000000000001</v>
      </c>
      <c r="W735" s="9" cm="1">
        <f t="array" aca="1" ref="W735" ca="1">_xll.BDH($E$6,"PX LAST",AK735)</f>
        <v>138.26</v>
      </c>
      <c r="X735" s="24">
        <f t="shared" ca="1" si="194"/>
        <v>-3.9626454939680755E-3</v>
      </c>
      <c r="Y735" s="24">
        <f t="shared" ca="1" si="195"/>
        <v>9.6348016565697137E-3</v>
      </c>
      <c r="Z735" s="24">
        <f t="shared" ca="1" si="196"/>
        <v>4.8976751156346143E-2</v>
      </c>
      <c r="AA735" s="24">
        <f t="shared" ca="1" si="197"/>
        <v>2.8090964537771157E-2</v>
      </c>
      <c r="AB735" s="9" cm="1">
        <f t="array" aca="1" ref="AB735" ca="1">_xll.BDH($E$8,"PX LAST",AG735)</f>
        <v>4129.79</v>
      </c>
      <c r="AC735" s="9" cm="1">
        <f t="array" aca="1" ref="AC735" ca="1">_xll.BDH($E$8,"PX LAST",AH735)</f>
        <v>4146.22</v>
      </c>
      <c r="AD735" s="9" cm="1">
        <f t="array" aca="1" ref="AD735" ca="1">_xll.BDH($E$8,"PX LAST",AI735)</f>
        <v>4090.38</v>
      </c>
      <c r="AE735" s="9" cm="1">
        <f t="array" aca="1" ref="AE735" ca="1">_xll.BDH($E$8,"PX LAST",AJ735)</f>
        <v>3936.97</v>
      </c>
      <c r="AF735" s="9" cm="1">
        <f t="array" aca="1" ref="AF735" ca="1">_xll.BDH($E$8,"PX LAST",AK735)</f>
        <v>4016.95</v>
      </c>
      <c r="AG735" s="20">
        <f t="shared" ca="1" si="203"/>
        <v>45036</v>
      </c>
      <c r="AH735" s="22">
        <f t="shared" ca="1" si="198"/>
        <v>45029</v>
      </c>
      <c r="AI735" s="22">
        <f t="shared" ca="1" si="199"/>
        <v>45021</v>
      </c>
      <c r="AJ735" s="22">
        <f t="shared" ca="1" si="200"/>
        <v>45007</v>
      </c>
      <c r="AK735" s="22">
        <f t="shared" ca="1" si="201"/>
        <v>44950</v>
      </c>
      <c r="AL735" s="22">
        <f t="shared" ca="1" si="202"/>
        <v>44860</v>
      </c>
    </row>
    <row r="736" spans="4:38" x14ac:dyDescent="0.25">
      <c r="D736" s="6">
        <f ca="1"/>
        <v>45035</v>
      </c>
      <c r="E736" s="28">
        <f ca="1"/>
        <v>141.94</v>
      </c>
      <c r="F736" s="29" cm="1">
        <f t="array" aca="1" ref="F736" ca="1">_xll.FDS($E$7,"P_BETA_LOCIDX("&amp;$AG736&amp;","&amp;$AL736&amp;",,"""&amp;$E$9&amp;""")")</f>
        <v>1.4090971999999999</v>
      </c>
      <c r="G736" s="30">
        <f t="shared" ca="1" si="188"/>
        <v>1.4965838451585528E-2</v>
      </c>
      <c r="H736" s="30">
        <f t="shared" ca="1" si="188"/>
        <v>-2.2737979828981077E-2</v>
      </c>
      <c r="I736" s="30">
        <f t="shared" ca="1" si="188"/>
        <v>-9.1470296730016054E-2</v>
      </c>
      <c r="J736" s="30">
        <f t="shared" ca="1" si="188"/>
        <v>-1.8670284268710167E-2</v>
      </c>
      <c r="K736" s="30">
        <f t="shared" ca="1" si="189"/>
        <v>2.1546502719730437E-2</v>
      </c>
      <c r="L736" s="30">
        <f t="shared" ca="1" si="189"/>
        <v>1.8528635083646446E-2</v>
      </c>
      <c r="M736" s="30">
        <f t="shared" ca="1" si="189"/>
        <v>5.33840945071914E-2</v>
      </c>
      <c r="N736" s="30">
        <f t="shared" ca="1" si="189"/>
        <v>4.7221008906391214E-2</v>
      </c>
      <c r="O736" s="30">
        <f t="shared" ca="1" si="190"/>
        <v>3.6512341171315965E-2</v>
      </c>
      <c r="P736" s="30">
        <f t="shared" ca="1" si="191"/>
        <v>-4.2093447453346311E-3</v>
      </c>
      <c r="Q736" s="30">
        <f t="shared" ca="1" si="192"/>
        <v>-3.8086202222824661E-2</v>
      </c>
      <c r="R736" s="30">
        <f t="shared" ca="1" si="193"/>
        <v>2.8550724637681046E-2</v>
      </c>
      <c r="S736" s="9" cm="1">
        <f t="array" aca="1" ref="S736" ca="1">_xll.BDH($E$6,"PX LAST",AG736)</f>
        <v>141.94</v>
      </c>
      <c r="T736" s="9" cm="1">
        <f t="array" aca="1" ref="T736" ca="1">_xll.BDH($E$6,"PX LAST",AH736)</f>
        <v>136.94</v>
      </c>
      <c r="U736" s="9" cm="1">
        <f t="array" aca="1" ref="U736" ca="1">_xll.BDH($E$6,"PX LAST",AI736)</f>
        <v>142.54</v>
      </c>
      <c r="V736" s="9" cm="1">
        <f t="array" aca="1" ref="V736" ca="1">_xll.BDH($E$6,"PX LAST",AJ736)</f>
        <v>147.56</v>
      </c>
      <c r="W736" s="9" cm="1">
        <f t="array" aca="1" ref="W736" ca="1">_xll.BDH($E$6,"PX LAST",AK736)</f>
        <v>138</v>
      </c>
      <c r="X736" s="24">
        <f t="shared" ca="1" si="194"/>
        <v>1.5290998179352311E-2</v>
      </c>
      <c r="Y736" s="24">
        <f t="shared" ca="1" si="195"/>
        <v>1.3149295225089119E-2</v>
      </c>
      <c r="Z736" s="24">
        <f t="shared" ca="1" si="196"/>
        <v>3.7885317284848341E-2</v>
      </c>
      <c r="AA736" s="24">
        <f t="shared" ca="1" si="197"/>
        <v>3.3511534127234954E-2</v>
      </c>
      <c r="AB736" s="9" cm="1">
        <f t="array" aca="1" ref="AB736" ca="1">_xll.BDH($E$8,"PX LAST",AG736)</f>
        <v>4154.5200000000004</v>
      </c>
      <c r="AC736" s="9" cm="1">
        <f t="array" aca="1" ref="AC736" ca="1">_xll.BDH($E$8,"PX LAST",AH736)</f>
        <v>4091.95</v>
      </c>
      <c r="AD736" s="9" cm="1">
        <f t="array" aca="1" ref="AD736" ca="1">_xll.BDH($E$8,"PX LAST",AI736)</f>
        <v>4100.6000000000004</v>
      </c>
      <c r="AE736" s="9" cm="1">
        <f t="array" aca="1" ref="AE736" ca="1">_xll.BDH($E$8,"PX LAST",AJ736)</f>
        <v>4002.87</v>
      </c>
      <c r="AF736" s="9" cm="1">
        <f t="array" aca="1" ref="AF736" ca="1">_xll.BDH($E$8,"PX LAST",AK736)</f>
        <v>4019.81</v>
      </c>
      <c r="AG736" s="20">
        <f t="shared" ca="1" si="203"/>
        <v>45035</v>
      </c>
      <c r="AH736" s="22">
        <f t="shared" ca="1" si="198"/>
        <v>45028</v>
      </c>
      <c r="AI736" s="22">
        <f t="shared" ca="1" si="199"/>
        <v>45020</v>
      </c>
      <c r="AJ736" s="22">
        <f t="shared" ca="1" si="200"/>
        <v>45006</v>
      </c>
      <c r="AK736" s="22">
        <f t="shared" ca="1" si="201"/>
        <v>44949</v>
      </c>
      <c r="AL736" s="22">
        <f t="shared" ca="1" si="202"/>
        <v>44859</v>
      </c>
    </row>
    <row r="737" spans="4:38" x14ac:dyDescent="0.25">
      <c r="D737" s="6">
        <f ca="1"/>
        <v>45034</v>
      </c>
      <c r="E737" s="28">
        <f ca="1"/>
        <v>143.4</v>
      </c>
      <c r="F737" s="29" cm="1">
        <f t="array" aca="1" ref="F737" ca="1">_xll.FDS($E$7,"P_BETA_LOCIDX("&amp;$AG737&amp;","&amp;$AL737&amp;",,"""&amp;$E$9&amp;""")")</f>
        <v>1.4167727999999999</v>
      </c>
      <c r="G737" s="30">
        <f t="shared" ca="1" si="188"/>
        <v>3.5482869093904856E-2</v>
      </c>
      <c r="H737" s="30">
        <f t="shared" ca="1" si="188"/>
        <v>-6.7069697069398845E-2</v>
      </c>
      <c r="I737" s="30">
        <f t="shared" ca="1" si="188"/>
        <v>-6.1035632440826978E-2</v>
      </c>
      <c r="J737" s="30">
        <f t="shared" ca="1" si="188"/>
        <v>-1.1053554295427245E-2</v>
      </c>
      <c r="K737" s="30">
        <f t="shared" ca="1" si="189"/>
        <v>1.583677899993674E-2</v>
      </c>
      <c r="L737" s="30">
        <f t="shared" ca="1" si="189"/>
        <v>1.0428686609560795E-2</v>
      </c>
      <c r="M737" s="30">
        <f t="shared" ca="1" si="189"/>
        <v>7.2889993152088758E-2</v>
      </c>
      <c r="N737" s="30">
        <f t="shared" ca="1" si="189"/>
        <v>6.500034247711188E-2</v>
      </c>
      <c r="O737" s="30">
        <f t="shared" ca="1" si="190"/>
        <v>5.1319648093841597E-2</v>
      </c>
      <c r="P737" s="30">
        <f t="shared" ca="1" si="191"/>
        <v>-5.6641010459838048E-2</v>
      </c>
      <c r="Q737" s="30">
        <f t="shared" ca="1" si="192"/>
        <v>1.185436071126178E-2</v>
      </c>
      <c r="R737" s="30">
        <f t="shared" ca="1" si="193"/>
        <v>5.3946788181684635E-2</v>
      </c>
      <c r="S737" s="9" cm="1">
        <f t="array" aca="1" ref="S737" ca="1">_xll.BDH($E$6,"PX LAST",AG737)</f>
        <v>143.4</v>
      </c>
      <c r="T737" s="9" cm="1">
        <f t="array" aca="1" ref="T737" ca="1">_xll.BDH($E$6,"PX LAST",AH737)</f>
        <v>136.4</v>
      </c>
      <c r="U737" s="9" cm="1">
        <f t="array" aca="1" ref="U737" ca="1">_xll.BDH($E$6,"PX LAST",AI737)</f>
        <v>152.01</v>
      </c>
      <c r="V737" s="9" cm="1">
        <f t="array" aca="1" ref="V737" ca="1">_xll.BDH($E$6,"PX LAST",AJ737)</f>
        <v>141.72</v>
      </c>
      <c r="W737" s="9" cm="1">
        <f t="array" aca="1" ref="W737" ca="1">_xll.BDH($E$6,"PX LAST",AK737)</f>
        <v>136.06</v>
      </c>
      <c r="X737" s="24">
        <f t="shared" ca="1" si="194"/>
        <v>1.1178065389127134E-2</v>
      </c>
      <c r="Y737" s="24">
        <f t="shared" ca="1" si="195"/>
        <v>7.3608743826538703E-3</v>
      </c>
      <c r="Z737" s="24">
        <f t="shared" ca="1" si="196"/>
        <v>5.1447905516035286E-2</v>
      </c>
      <c r="AA737" s="24">
        <f t="shared" ca="1" si="197"/>
        <v>4.5879157531194759E-2</v>
      </c>
      <c r="AB737" s="9" cm="1">
        <f t="array" aca="1" ref="AB737" ca="1">_xll.BDH($E$8,"PX LAST",AG737)</f>
        <v>4154.87</v>
      </c>
      <c r="AC737" s="9" cm="1">
        <f t="array" aca="1" ref="AC737" ca="1">_xll.BDH($E$8,"PX LAST",AH737)</f>
        <v>4108.9399999999996</v>
      </c>
      <c r="AD737" s="9" cm="1">
        <f t="array" aca="1" ref="AD737" ca="1">_xll.BDH($E$8,"PX LAST",AI737)</f>
        <v>4124.51</v>
      </c>
      <c r="AE737" s="9" cm="1">
        <f t="array" aca="1" ref="AE737" ca="1">_xll.BDH($E$8,"PX LAST",AJ737)</f>
        <v>3951.57</v>
      </c>
      <c r="AF737" s="9" cm="1">
        <f t="array" aca="1" ref="AF737" ca="1">_xll.BDH($E$8,"PX LAST",AK737)</f>
        <v>3972.61</v>
      </c>
      <c r="AG737" s="20">
        <f t="shared" ca="1" si="203"/>
        <v>45034</v>
      </c>
      <c r="AH737" s="22">
        <f t="shared" ca="1" si="198"/>
        <v>45027</v>
      </c>
      <c r="AI737" s="22">
        <f t="shared" ca="1" si="199"/>
        <v>45019</v>
      </c>
      <c r="AJ737" s="22">
        <f t="shared" ca="1" si="200"/>
        <v>45005</v>
      </c>
      <c r="AK737" s="22">
        <f t="shared" ca="1" si="201"/>
        <v>44946</v>
      </c>
      <c r="AL737" s="22">
        <f t="shared" ca="1" si="202"/>
        <v>44858</v>
      </c>
    </row>
    <row r="738" spans="4:38" x14ac:dyDescent="0.25">
      <c r="D738" s="6">
        <f ca="1"/>
        <v>45033</v>
      </c>
      <c r="E738" s="28">
        <f ca="1"/>
        <v>139.4</v>
      </c>
      <c r="F738" s="29" cm="1">
        <f t="array" aca="1" ref="F738" ca="1">_xll.FDS($E$7,"P_BETA_LOCIDX("&amp;$AG738&amp;","&amp;$AL738&amp;",,"""&amp;$E$9&amp;""")")</f>
        <v>1.4382976000000001</v>
      </c>
      <c r="G738" s="30">
        <f t="shared" ca="1" si="188"/>
        <v>3.486884040344071E-3</v>
      </c>
      <c r="H738" s="30">
        <f t="shared" ca="1" si="188"/>
        <v>-0.11267206330652832</v>
      </c>
      <c r="I738" s="30">
        <f t="shared" ca="1" si="188"/>
        <v>-8.0554037123518857E-2</v>
      </c>
      <c r="J738" s="30">
        <f t="shared" ca="1" si="188"/>
        <v>-3.7076343314722454E-2</v>
      </c>
      <c r="K738" s="30">
        <f t="shared" ca="1" si="189"/>
        <v>1.4774620707647193E-2</v>
      </c>
      <c r="L738" s="30">
        <f t="shared" ca="1" si="189"/>
        <v>1.4703899724284293E-2</v>
      </c>
      <c r="M738" s="30">
        <f t="shared" ca="1" si="189"/>
        <v>8.6180930789656524E-2</v>
      </c>
      <c r="N738" s="30">
        <f t="shared" ca="1" si="189"/>
        <v>9.3136949375328598E-2</v>
      </c>
      <c r="O738" s="30">
        <f t="shared" ca="1" si="190"/>
        <v>1.8261504747991264E-2</v>
      </c>
      <c r="P738" s="30">
        <f t="shared" ca="1" si="191"/>
        <v>-9.7968163582244028E-2</v>
      </c>
      <c r="Q738" s="30">
        <f t="shared" ca="1" si="192"/>
        <v>5.6268936661376667E-3</v>
      </c>
      <c r="R738" s="30">
        <f t="shared" ca="1" si="193"/>
        <v>5.6060606060606144E-2</v>
      </c>
      <c r="S738" s="9" cm="1">
        <f t="array" aca="1" ref="S738" ca="1">_xll.BDH($E$6,"PX LAST",AG738)</f>
        <v>139.4</v>
      </c>
      <c r="T738" s="9" cm="1">
        <f t="array" aca="1" ref="T738" ca="1">_xll.BDH($E$6,"PX LAST",AH738)</f>
        <v>136.9</v>
      </c>
      <c r="U738" s="9" cm="1">
        <f t="array" aca="1" ref="U738" ca="1">_xll.BDH($E$6,"PX LAST",AI738)</f>
        <v>154.54</v>
      </c>
      <c r="V738" s="9" cm="1">
        <f t="array" aca="1" ref="V738" ca="1">_xll.BDH($E$6,"PX LAST",AJ738)</f>
        <v>138.62</v>
      </c>
      <c r="W738" s="9" cm="1">
        <f t="array" aca="1" ref="W738" ca="1">_xll.BDH($E$6,"PX LAST",AK738)</f>
        <v>132</v>
      </c>
      <c r="X738" s="24">
        <f t="shared" ca="1" si="194"/>
        <v>1.0272297407467823E-2</v>
      </c>
      <c r="Y738" s="24">
        <f t="shared" ca="1" si="195"/>
        <v>1.0223127483689254E-2</v>
      </c>
      <c r="Z738" s="24">
        <f t="shared" ca="1" si="196"/>
        <v>5.9918705829486552E-2</v>
      </c>
      <c r="AA738" s="24">
        <f t="shared" ca="1" si="197"/>
        <v>6.4754991856573074E-2</v>
      </c>
      <c r="AB738" s="9" cm="1">
        <f t="array" aca="1" ref="AB738" ca="1">_xll.BDH($E$8,"PX LAST",AG738)</f>
        <v>4151.32</v>
      </c>
      <c r="AC738" s="9" cm="1">
        <f t="array" aca="1" ref="AC738" ca="1">_xll.BDH($E$8,"PX LAST",AH738)</f>
        <v>4109.1099999999997</v>
      </c>
      <c r="AD738" s="9" cm="1">
        <f t="array" aca="1" ref="AD738" ca="1">_xll.BDH($E$8,"PX LAST",AI738)</f>
        <v>4109.3100000000004</v>
      </c>
      <c r="AE738" s="9" cm="1">
        <f t="array" aca="1" ref="AE738" ca="1">_xll.BDH($E$8,"PX LAST",AJ738)</f>
        <v>3916.64</v>
      </c>
      <c r="AF738" s="9" cm="1">
        <f t="array" aca="1" ref="AF738" ca="1">_xll.BDH($E$8,"PX LAST",AK738)</f>
        <v>3898.85</v>
      </c>
      <c r="AG738" s="20">
        <f t="shared" ca="1" si="203"/>
        <v>45033</v>
      </c>
      <c r="AH738" s="22">
        <f t="shared" ca="1" si="198"/>
        <v>45026</v>
      </c>
      <c r="AI738" s="22">
        <f t="shared" ca="1" si="199"/>
        <v>45016</v>
      </c>
      <c r="AJ738" s="22">
        <f t="shared" ca="1" si="200"/>
        <v>45002</v>
      </c>
      <c r="AK738" s="22">
        <f t="shared" ca="1" si="201"/>
        <v>44945</v>
      </c>
      <c r="AL738" s="22">
        <f t="shared" ca="1" si="202"/>
        <v>44855</v>
      </c>
    </row>
    <row r="739" spans="4:38" x14ac:dyDescent="0.25">
      <c r="D739" s="6">
        <f ca="1"/>
        <v>45030</v>
      </c>
      <c r="E739" s="28">
        <f ca="1"/>
        <v>137.41999999999999</v>
      </c>
      <c r="F739" s="29" cm="1">
        <f t="array" aca="1" ref="F739" ca="1">_xll.FDS($E$7,"P_BETA_LOCIDX("&amp;$AG739&amp;","&amp;$AL739&amp;",,"""&amp;$E$9&amp;""")")</f>
        <v>1.4458628</v>
      </c>
      <c r="G739" s="30">
        <f t="shared" ca="1" si="188"/>
        <v>1.4569030671826362E-2</v>
      </c>
      <c r="H739" s="30">
        <f t="shared" ca="1" si="188"/>
        <v>-0.11995353771450966</v>
      </c>
      <c r="I739" s="30">
        <f t="shared" ca="1" si="188"/>
        <v>-0.131509764986911</v>
      </c>
      <c r="J739" s="30">
        <f t="shared" ca="1" si="188"/>
        <v>-5.0698282915173143E-2</v>
      </c>
      <c r="K739" s="30">
        <f t="shared" ca="1" si="189"/>
        <v>1.1489358038693991E-2</v>
      </c>
      <c r="L739" s="30">
        <f t="shared" ca="1" si="189"/>
        <v>3.0985094330791756E-2</v>
      </c>
      <c r="M739" s="30">
        <f t="shared" ca="1" si="189"/>
        <v>6.47525493672165E-2</v>
      </c>
      <c r="N739" s="30">
        <f t="shared" ca="1" si="189"/>
        <v>7.6833288888888907E-2</v>
      </c>
      <c r="O739" s="30">
        <f t="shared" ca="1" si="190"/>
        <v>2.6058388710520353E-2</v>
      </c>
      <c r="P739" s="30">
        <f t="shared" ca="1" si="191"/>
        <v>-8.8968443383717899E-2</v>
      </c>
      <c r="Q739" s="30">
        <f t="shared" ca="1" si="192"/>
        <v>-6.6757215619694499E-2</v>
      </c>
      <c r="R739" s="30">
        <f t="shared" ca="1" si="193"/>
        <v>2.6135005973715764E-2</v>
      </c>
      <c r="S739" s="9" cm="1">
        <f t="array" aca="1" ref="S739" ca="1">_xll.BDH($E$6,"PX LAST",AG739)</f>
        <v>137.41999999999999</v>
      </c>
      <c r="T739" s="9" cm="1">
        <f t="array" aca="1" ref="T739" ca="1">_xll.BDH($E$6,"PX LAST",AH739)</f>
        <v>133.93</v>
      </c>
      <c r="U739" s="9" cm="1">
        <f t="array" aca="1" ref="U739" ca="1">_xll.BDH($E$6,"PX LAST",AI739)</f>
        <v>150.84</v>
      </c>
      <c r="V739" s="9" cm="1">
        <f t="array" aca="1" ref="V739" ca="1">_xll.BDH($E$6,"PX LAST",AJ739)</f>
        <v>147.25</v>
      </c>
      <c r="W739" s="9" cm="1">
        <f t="array" aca="1" ref="W739" ca="1">_xll.BDH($E$6,"PX LAST",AK739)</f>
        <v>133.91999999999999</v>
      </c>
      <c r="X739" s="24">
        <f t="shared" ca="1" si="194"/>
        <v>7.9463681053928426E-3</v>
      </c>
      <c r="Y739" s="24">
        <f t="shared" ca="1" si="195"/>
        <v>2.143017603799735E-2</v>
      </c>
      <c r="Z739" s="24">
        <f t="shared" ca="1" si="196"/>
        <v>4.4784712192067255E-2</v>
      </c>
      <c r="AA739" s="24">
        <f t="shared" ca="1" si="197"/>
        <v>5.3140096618357502E-2</v>
      </c>
      <c r="AB739" s="9" cm="1">
        <f t="array" aca="1" ref="AB739" ca="1">_xll.BDH($E$8,"PX LAST",AG739)</f>
        <v>4137.6400000000003</v>
      </c>
      <c r="AC739" s="9" cm="1">
        <f t="array" aca="1" ref="AC739" ca="1">_xll.BDH($E$8,"PX LAST",AH739)</f>
        <v>4105.0200000000004</v>
      </c>
      <c r="AD739" s="9" cm="1">
        <f t="array" aca="1" ref="AD739" ca="1">_xll.BDH($E$8,"PX LAST",AI739)</f>
        <v>4050.83</v>
      </c>
      <c r="AE739" s="9" cm="1">
        <f t="array" aca="1" ref="AE739" ca="1">_xll.BDH($E$8,"PX LAST",AJ739)</f>
        <v>3960.28</v>
      </c>
      <c r="AF739" s="9" cm="1">
        <f t="array" aca="1" ref="AF739" ca="1">_xll.BDH($E$8,"PX LAST",AK739)</f>
        <v>3928.86</v>
      </c>
      <c r="AG739" s="20">
        <f t="shared" ca="1" si="203"/>
        <v>45030</v>
      </c>
      <c r="AH739" s="22">
        <f t="shared" ca="1" si="198"/>
        <v>45022</v>
      </c>
      <c r="AI739" s="22">
        <f t="shared" ca="1" si="199"/>
        <v>45015</v>
      </c>
      <c r="AJ739" s="22">
        <f t="shared" ca="1" si="200"/>
        <v>45001</v>
      </c>
      <c r="AK739" s="22">
        <f t="shared" ca="1" si="201"/>
        <v>44944</v>
      </c>
      <c r="AL739" s="22">
        <f t="shared" ca="1" si="202"/>
        <v>44854</v>
      </c>
    </row>
    <row r="740" spans="4:38" x14ac:dyDescent="0.25">
      <c r="D740" s="6">
        <f ca="1"/>
        <v>45029</v>
      </c>
      <c r="E740" s="28">
        <f ca="1"/>
        <v>137.04</v>
      </c>
      <c r="F740" s="29" cm="1">
        <f t="array" aca="1" ref="F740" ca="1">_xll.FDS($E$7,"P_BETA_LOCIDX("&amp;$AG740&amp;","&amp;$AL740&amp;",,"""&amp;$E$9&amp;""")")</f>
        <v>1.4526018000000001</v>
      </c>
      <c r="G740" s="30">
        <f t="shared" ca="1" si="188"/>
        <v>-3.1014324597354578E-2</v>
      </c>
      <c r="H740" s="30">
        <f t="shared" ca="1" si="188"/>
        <v>-0.12043441526544618</v>
      </c>
      <c r="I740" s="30">
        <f t="shared" ca="1" si="188"/>
        <v>-0.14719190983581704</v>
      </c>
      <c r="J740" s="30">
        <f t="shared" ca="1" si="188"/>
        <v>-5.1151231366348603E-2</v>
      </c>
      <c r="K740" s="30">
        <f t="shared" ca="1" si="189"/>
        <v>1.9830256482771966E-2</v>
      </c>
      <c r="L740" s="30">
        <f t="shared" ca="1" si="189"/>
        <v>4.2703746983596698E-2</v>
      </c>
      <c r="M740" s="30">
        <f t="shared" ca="1" si="189"/>
        <v>9.4909752159468466E-2</v>
      </c>
      <c r="N740" s="30">
        <f t="shared" ca="1" si="189"/>
        <v>5.6506671172672406E-2</v>
      </c>
      <c r="O740" s="30">
        <f t="shared" ca="1" si="190"/>
        <v>-1.1184068114582613E-2</v>
      </c>
      <c r="P740" s="30">
        <f t="shared" ca="1" si="191"/>
        <v>-7.7730668281849491E-2</v>
      </c>
      <c r="Q740" s="30">
        <f t="shared" ca="1" si="192"/>
        <v>-5.2282157676348584E-2</v>
      </c>
      <c r="R740" s="30">
        <f t="shared" ca="1" si="193"/>
        <v>5.3554398063238029E-3</v>
      </c>
      <c r="S740" s="9" cm="1">
        <f t="array" aca="1" ref="S740" ca="1">_xll.BDH($E$6,"PX LAST",AG740)</f>
        <v>137.04</v>
      </c>
      <c r="T740" s="9" cm="1">
        <f t="array" aca="1" ref="T740" ca="1">_xll.BDH($E$6,"PX LAST",AH740)</f>
        <v>138.59</v>
      </c>
      <c r="U740" s="9" cm="1">
        <f t="array" aca="1" ref="U740" ca="1">_xll.BDH($E$6,"PX LAST",AI740)</f>
        <v>148.59</v>
      </c>
      <c r="V740" s="9" cm="1">
        <f t="array" aca="1" ref="V740" ca="1">_xll.BDH($E$6,"PX LAST",AJ740)</f>
        <v>144.6</v>
      </c>
      <c r="W740" s="9" cm="1">
        <f t="array" aca="1" ref="W740" ca="1">_xll.BDH($E$6,"PX LAST",AK740)</f>
        <v>136.31</v>
      </c>
      <c r="X740" s="24">
        <f t="shared" ca="1" si="194"/>
        <v>1.3651543377388053E-2</v>
      </c>
      <c r="Y740" s="24">
        <f t="shared" ca="1" si="195"/>
        <v>2.9398109642709169E-2</v>
      </c>
      <c r="Z740" s="24">
        <f t="shared" ca="1" si="196"/>
        <v>6.5337763012181638E-2</v>
      </c>
      <c r="AA740" s="24">
        <f t="shared" ca="1" si="197"/>
        <v>3.89003174666811E-2</v>
      </c>
      <c r="AB740" s="9" cm="1">
        <f t="array" aca="1" ref="AB740" ca="1">_xll.BDH($E$8,"PX LAST",AG740)</f>
        <v>4146.22</v>
      </c>
      <c r="AC740" s="9" cm="1">
        <f t="array" aca="1" ref="AC740" ca="1">_xll.BDH($E$8,"PX LAST",AH740)</f>
        <v>4090.38</v>
      </c>
      <c r="AD740" s="9" cm="1">
        <f t="array" aca="1" ref="AD740" ca="1">_xll.BDH($E$8,"PX LAST",AI740)</f>
        <v>4027.81</v>
      </c>
      <c r="AE740" s="9" cm="1">
        <f t="array" aca="1" ref="AE740" ca="1">_xll.BDH($E$8,"PX LAST",AJ740)</f>
        <v>3891.93</v>
      </c>
      <c r="AF740" s="9" cm="1">
        <f t="array" aca="1" ref="AF740" ca="1">_xll.BDH($E$8,"PX LAST",AK740)</f>
        <v>3990.97</v>
      </c>
      <c r="AG740" s="20">
        <f t="shared" ca="1" si="203"/>
        <v>45029</v>
      </c>
      <c r="AH740" s="22">
        <f t="shared" ca="1" si="198"/>
        <v>45021</v>
      </c>
      <c r="AI740" s="22">
        <f t="shared" ca="1" si="199"/>
        <v>45014</v>
      </c>
      <c r="AJ740" s="22">
        <f t="shared" ca="1" si="200"/>
        <v>45000</v>
      </c>
      <c r="AK740" s="22">
        <f t="shared" ca="1" si="201"/>
        <v>44943</v>
      </c>
      <c r="AL740" s="22">
        <f t="shared" ca="1" si="202"/>
        <v>44853</v>
      </c>
    </row>
    <row r="741" spans="4:38" x14ac:dyDescent="0.25">
      <c r="D741" s="6">
        <f ca="1"/>
        <v>45028</v>
      </c>
      <c r="E741" s="28">
        <f ca="1"/>
        <v>136.94</v>
      </c>
      <c r="F741" s="29" cm="1">
        <f t="array" aca="1" ref="F741" ca="1">_xll.FDS($E$7,"P_BETA_LOCIDX("&amp;$AG741&amp;","&amp;$AL741&amp;",,"""&amp;$E$9&amp;""")")</f>
        <v>1.4684048000000001</v>
      </c>
      <c r="G741" s="30">
        <f t="shared" ca="1" si="188"/>
        <v>-3.6189694938637801E-2</v>
      </c>
      <c r="H741" s="30">
        <f t="shared" ca="1" si="188"/>
        <v>-8.6865942730117607E-2</v>
      </c>
      <c r="I741" s="30">
        <f t="shared" ca="1" si="188"/>
        <v>-0.18268457482279787</v>
      </c>
      <c r="J741" s="30">
        <f t="shared" ca="1" si="188"/>
        <v>-3.4753564932022529E-2</v>
      </c>
      <c r="K741" s="30">
        <f t="shared" ca="1" si="189"/>
        <v>-3.0975226844854602E-3</v>
      </c>
      <c r="L741" s="30">
        <f t="shared" ca="1" si="189"/>
        <v>4.4622272286699016E-2</v>
      </c>
      <c r="M741" s="30">
        <f t="shared" ca="1" si="189"/>
        <v>6.4688954572894489E-2</v>
      </c>
      <c r="N741" s="30">
        <f t="shared" ca="1" si="189"/>
        <v>3.4096774448186817E-2</v>
      </c>
      <c r="O741" s="30">
        <f t="shared" ca="1" si="190"/>
        <v>-3.9287217623123261E-2</v>
      </c>
      <c r="P741" s="30">
        <f t="shared" ca="1" si="191"/>
        <v>-4.2243670443418591E-2</v>
      </c>
      <c r="Q741" s="30">
        <f t="shared" ca="1" si="192"/>
        <v>-0.1179956202499034</v>
      </c>
      <c r="R741" s="30">
        <f t="shared" ca="1" si="193"/>
        <v>-6.5679048383571192E-4</v>
      </c>
      <c r="S741" s="9" cm="1">
        <f t="array" aca="1" ref="S741" ca="1">_xll.BDH($E$6,"PX LAST",AG741)</f>
        <v>136.94</v>
      </c>
      <c r="T741" s="9" cm="1">
        <f t="array" aca="1" ref="T741" ca="1">_xll.BDH($E$6,"PX LAST",AH741)</f>
        <v>142.54</v>
      </c>
      <c r="U741" s="9" cm="1">
        <f t="array" aca="1" ref="U741" ca="1">_xll.BDH($E$6,"PX LAST",AI741)</f>
        <v>142.97999999999999</v>
      </c>
      <c r="V741" s="9" cm="1">
        <f t="array" aca="1" ref="V741" ca="1">_xll.BDH($E$6,"PX LAST",AJ741)</f>
        <v>155.26</v>
      </c>
      <c r="W741" s="9" cm="1">
        <f t="array" aca="1" ref="W741" ca="1">_xll.BDH($E$6,"PX LAST",AK741)</f>
        <v>137.03</v>
      </c>
      <c r="X741" s="24">
        <f t="shared" ca="1" si="194"/>
        <v>-2.1094473979419437E-3</v>
      </c>
      <c r="Y741" s="24">
        <f t="shared" ca="1" si="195"/>
        <v>3.038826370405423E-2</v>
      </c>
      <c r="Z741" s="24">
        <f t="shared" ca="1" si="196"/>
        <v>4.4053897517152274E-2</v>
      </c>
      <c r="AA741" s="24">
        <f t="shared" ca="1" si="197"/>
        <v>2.3220282614294652E-2</v>
      </c>
      <c r="AB741" s="9" cm="1">
        <f t="array" aca="1" ref="AB741" ca="1">_xll.BDH($E$8,"PX LAST",AG741)</f>
        <v>4091.95</v>
      </c>
      <c r="AC741" s="9" cm="1">
        <f t="array" aca="1" ref="AC741" ca="1">_xll.BDH($E$8,"PX LAST",AH741)</f>
        <v>4100.6000000000004</v>
      </c>
      <c r="AD741" s="9" cm="1">
        <f t="array" aca="1" ref="AD741" ca="1">_xll.BDH($E$8,"PX LAST",AI741)</f>
        <v>3971.27</v>
      </c>
      <c r="AE741" s="9" cm="1">
        <f t="array" aca="1" ref="AE741" ca="1">_xll.BDH($E$8,"PX LAST",AJ741)</f>
        <v>3919.29</v>
      </c>
      <c r="AF741" s="9" cm="1">
        <f t="array" aca="1" ref="AF741" ca="1">_xll.BDH($E$8,"PX LAST",AK741)</f>
        <v>3999.09</v>
      </c>
      <c r="AG741" s="20">
        <f t="shared" ca="1" si="203"/>
        <v>45028</v>
      </c>
      <c r="AH741" s="22">
        <f t="shared" ca="1" si="198"/>
        <v>45020</v>
      </c>
      <c r="AI741" s="22">
        <f t="shared" ca="1" si="199"/>
        <v>45013</v>
      </c>
      <c r="AJ741" s="22">
        <f t="shared" ca="1" si="200"/>
        <v>44999</v>
      </c>
      <c r="AK741" s="22">
        <f t="shared" ca="1" si="201"/>
        <v>44939</v>
      </c>
      <c r="AL741" s="22">
        <f t="shared" ca="1" si="202"/>
        <v>44852</v>
      </c>
    </row>
    <row r="742" spans="4:38" x14ac:dyDescent="0.25">
      <c r="D742" s="6">
        <f ca="1"/>
        <v>45027</v>
      </c>
      <c r="E742" s="28">
        <f ca="1"/>
        <v>136.4</v>
      </c>
      <c r="F742" s="29" cm="1">
        <f t="array" aca="1" ref="F742" ca="1">_xll.FDS($E$7,"P_BETA_LOCIDX("&amp;$AG742&amp;","&amp;$AL742&amp;",,"""&amp;$E$9&amp;""")")</f>
        <v>1.4986299000000001</v>
      </c>
      <c r="G742" s="30">
        <f t="shared" ca="1" si="188"/>
        <v>-9.703329376172759E-2</v>
      </c>
      <c r="H742" s="30">
        <f t="shared" ca="1" si="188"/>
        <v>-8.7050680648183526E-2</v>
      </c>
      <c r="I742" s="30">
        <f t="shared" ca="1" si="188"/>
        <v>-0.20156683737224387</v>
      </c>
      <c r="J742" s="30">
        <f t="shared" ca="1" si="188"/>
        <v>-5.0608040387424509E-2</v>
      </c>
      <c r="K742" s="30">
        <f t="shared" ca="1" si="189"/>
        <v>-5.6573186979788619E-3</v>
      </c>
      <c r="L742" s="30">
        <f t="shared" ca="1" si="189"/>
        <v>4.9511871729188341E-2</v>
      </c>
      <c r="M742" s="30">
        <f t="shared" ca="1" si="189"/>
        <v>9.8404236280784846E-2</v>
      </c>
      <c r="N742" s="30">
        <f t="shared" ca="1" si="189"/>
        <v>4.7319768556953308E-2</v>
      </c>
      <c r="O742" s="30">
        <f t="shared" ca="1" si="190"/>
        <v>-0.10269061245970645</v>
      </c>
      <c r="P742" s="30">
        <f t="shared" ca="1" si="191"/>
        <v>-3.7538808918995192E-2</v>
      </c>
      <c r="Q742" s="30">
        <f t="shared" ca="1" si="192"/>
        <v>-0.10316260109145903</v>
      </c>
      <c r="R742" s="30">
        <f t="shared" ca="1" si="193"/>
        <v>-3.2882718304712011E-3</v>
      </c>
      <c r="S742" s="9" cm="1">
        <f t="array" aca="1" ref="S742" ca="1">_xll.BDH($E$6,"PX LAST",AG742)</f>
        <v>136.4</v>
      </c>
      <c r="T742" s="9" cm="1">
        <f t="array" aca="1" ref="T742" ca="1">_xll.BDH($E$6,"PX LAST",AH742)</f>
        <v>152.01</v>
      </c>
      <c r="U742" s="9" cm="1">
        <f t="array" aca="1" ref="U742" ca="1">_xll.BDH($E$6,"PX LAST",AI742)</f>
        <v>141.72</v>
      </c>
      <c r="V742" s="9" cm="1">
        <f t="array" aca="1" ref="V742" ca="1">_xll.BDH($E$6,"PX LAST",AJ742)</f>
        <v>152.09</v>
      </c>
      <c r="W742" s="9" cm="1">
        <f t="array" aca="1" ref="W742" ca="1">_xll.BDH($E$6,"PX LAST",AK742)</f>
        <v>136.85</v>
      </c>
      <c r="X742" s="24">
        <f t="shared" ca="1" si="194"/>
        <v>-3.774993878060795E-3</v>
      </c>
      <c r="Y742" s="24">
        <f t="shared" ca="1" si="195"/>
        <v>3.303809147888237E-2</v>
      </c>
      <c r="Z742" s="24">
        <f t="shared" ca="1" si="196"/>
        <v>6.5662800589248116E-2</v>
      </c>
      <c r="AA742" s="24">
        <f t="shared" ca="1" si="197"/>
        <v>3.1575353299005515E-2</v>
      </c>
      <c r="AB742" s="9" cm="1">
        <f t="array" aca="1" ref="AB742" ca="1">_xll.BDH($E$8,"PX LAST",AG742)</f>
        <v>4108.9399999999996</v>
      </c>
      <c r="AC742" s="9" cm="1">
        <f t="array" aca="1" ref="AC742" ca="1">_xll.BDH($E$8,"PX LAST",AH742)</f>
        <v>4124.51</v>
      </c>
      <c r="AD742" s="9" cm="1">
        <f t="array" aca="1" ref="AD742" ca="1">_xll.BDH($E$8,"PX LAST",AI742)</f>
        <v>3977.53</v>
      </c>
      <c r="AE742" s="9" cm="1">
        <f t="array" aca="1" ref="AE742" ca="1">_xll.BDH($E$8,"PX LAST",AJ742)</f>
        <v>3855.76</v>
      </c>
      <c r="AF742" s="9" cm="1">
        <f t="array" aca="1" ref="AF742" ca="1">_xll.BDH($E$8,"PX LAST",AK742)</f>
        <v>3983.17</v>
      </c>
      <c r="AG742" s="20">
        <f t="shared" ca="1" si="203"/>
        <v>45027</v>
      </c>
      <c r="AH742" s="22">
        <f t="shared" ca="1" si="198"/>
        <v>45019</v>
      </c>
      <c r="AI742" s="22">
        <f t="shared" ca="1" si="199"/>
        <v>45012</v>
      </c>
      <c r="AJ742" s="22">
        <f t="shared" ca="1" si="200"/>
        <v>44998</v>
      </c>
      <c r="AK742" s="22">
        <f t="shared" ca="1" si="201"/>
        <v>44938</v>
      </c>
      <c r="AL742" s="22">
        <f t="shared" ca="1" si="202"/>
        <v>44851</v>
      </c>
    </row>
    <row r="743" spans="4:38" x14ac:dyDescent="0.25">
      <c r="D743" s="6">
        <f ca="1"/>
        <v>45026</v>
      </c>
      <c r="E743" s="28">
        <f ca="1"/>
        <v>136.9</v>
      </c>
      <c r="F743" s="29" cm="1">
        <f t="array" aca="1" ref="F743" ca="1">_xll.FDS($E$7,"P_BETA_LOCIDX("&amp;$AG743&amp;","&amp;$AL743&amp;",,"""&amp;$E$9&amp;""")")</f>
        <v>1.5305702999999999</v>
      </c>
      <c r="G743" s="30">
        <f t="shared" ca="1" si="188"/>
        <v>-0.11407071231222446</v>
      </c>
      <c r="H743" s="30">
        <f t="shared" ca="1" si="188"/>
        <v>-6.2213092317431232E-2</v>
      </c>
      <c r="I743" s="30">
        <f t="shared" ca="1" si="188"/>
        <v>-0.23514625610300791</v>
      </c>
      <c r="J743" s="30">
        <f t="shared" ca="1" si="188"/>
        <v>-4.3976858097954888E-2</v>
      </c>
      <c r="K743" s="30">
        <f t="shared" ca="1" si="189"/>
        <v>-7.4492812662228219E-5</v>
      </c>
      <c r="L743" s="30">
        <f t="shared" ca="1" si="189"/>
        <v>5.3236691564571906E-2</v>
      </c>
      <c r="M743" s="30">
        <f t="shared" ca="1" si="189"/>
        <v>9.8106417474667112E-2</v>
      </c>
      <c r="N743" s="30">
        <f t="shared" ca="1" si="189"/>
        <v>5.3787288134098568E-2</v>
      </c>
      <c r="O743" s="30">
        <f t="shared" ca="1" si="190"/>
        <v>-0.11414520512488668</v>
      </c>
      <c r="P743" s="30">
        <f t="shared" ca="1" si="191"/>
        <v>-8.9764007528593259E-3</v>
      </c>
      <c r="Q743" s="30">
        <f t="shared" ca="1" si="192"/>
        <v>-0.13703983862834079</v>
      </c>
      <c r="R743" s="30">
        <f t="shared" ca="1" si="193"/>
        <v>9.8104300361436803E-3</v>
      </c>
      <c r="S743" s="9" cm="1">
        <f t="array" aca="1" ref="S743" ca="1">_xll.BDH($E$6,"PX LAST",AG743)</f>
        <v>136.9</v>
      </c>
      <c r="T743" s="9" cm="1">
        <f t="array" aca="1" ref="T743" ca="1">_xll.BDH($E$6,"PX LAST",AH743)</f>
        <v>154.54</v>
      </c>
      <c r="U743" s="9" cm="1">
        <f t="array" aca="1" ref="U743" ca="1">_xll.BDH($E$6,"PX LAST",AI743)</f>
        <v>138.13999999999999</v>
      </c>
      <c r="V743" s="9" cm="1">
        <f t="array" aca="1" ref="V743" ca="1">_xll.BDH($E$6,"PX LAST",AJ743)</f>
        <v>158.63999999999999</v>
      </c>
      <c r="W743" s="9" cm="1">
        <f t="array" aca="1" ref="W743" ca="1">_xll.BDH($E$6,"PX LAST",AK743)</f>
        <v>135.57</v>
      </c>
      <c r="X743" s="24">
        <f t="shared" ca="1" si="194"/>
        <v>-4.8669971357884201E-5</v>
      </c>
      <c r="Y743" s="24">
        <f t="shared" ca="1" si="195"/>
        <v>3.4782258328527549E-2</v>
      </c>
      <c r="Z743" s="24">
        <f t="shared" ca="1" si="196"/>
        <v>6.4097949290318201E-2</v>
      </c>
      <c r="AA743" s="24">
        <f t="shared" ca="1" si="197"/>
        <v>3.514199127874007E-2</v>
      </c>
      <c r="AB743" s="9" cm="1">
        <f t="array" aca="1" ref="AB743" ca="1">_xll.BDH($E$8,"PX LAST",AG743)</f>
        <v>4109.1099999999997</v>
      </c>
      <c r="AC743" s="9" cm="1">
        <f t="array" aca="1" ref="AC743" ca="1">_xll.BDH($E$8,"PX LAST",AH743)</f>
        <v>4109.3100000000004</v>
      </c>
      <c r="AD743" s="9" cm="1">
        <f t="array" aca="1" ref="AD743" ca="1">_xll.BDH($E$8,"PX LAST",AI743)</f>
        <v>3970.99</v>
      </c>
      <c r="AE743" s="9" cm="1">
        <f t="array" aca="1" ref="AE743" ca="1">_xll.BDH($E$8,"PX LAST",AJ743)</f>
        <v>3861.59</v>
      </c>
      <c r="AF743" s="9" cm="1">
        <f t="array" aca="1" ref="AF743" ca="1">_xll.BDH($E$8,"PX LAST",AK743)</f>
        <v>3969.61</v>
      </c>
      <c r="AG743" s="20">
        <f t="shared" ca="1" si="203"/>
        <v>45026</v>
      </c>
      <c r="AH743" s="22">
        <f t="shared" ca="1" si="198"/>
        <v>45016</v>
      </c>
      <c r="AI743" s="22">
        <f t="shared" ca="1" si="199"/>
        <v>45009</v>
      </c>
      <c r="AJ743" s="22">
        <f t="shared" ca="1" si="200"/>
        <v>44995</v>
      </c>
      <c r="AK743" s="22">
        <f t="shared" ca="1" si="201"/>
        <v>44937</v>
      </c>
      <c r="AL743" s="22">
        <f t="shared" ca="1" si="202"/>
        <v>44848</v>
      </c>
    </row>
    <row r="744" spans="4:38" x14ac:dyDescent="0.25">
      <c r="D744" s="6">
        <f ca="1"/>
        <v>45022</v>
      </c>
      <c r="E744" s="28">
        <f ca="1"/>
        <v>133.93</v>
      </c>
      <c r="F744" s="29" cm="1">
        <f t="array" aca="1" ref="F744" ca="1">_xll.FDS($E$7,"P_BETA_LOCIDX("&amp;$AG744&amp;","&amp;$AL744&amp;",,"""&amp;$E$9&amp;""")")</f>
        <v>1.5245754</v>
      </c>
      <c r="G744" s="30">
        <f t="shared" ca="1" si="188"/>
        <v>-0.13250055786760317</v>
      </c>
      <c r="H744" s="30">
        <f t="shared" ca="1" si="188"/>
        <v>-0.10994903633323616</v>
      </c>
      <c r="I744" s="30">
        <f t="shared" ca="1" si="188"/>
        <v>-0.26748481543484876</v>
      </c>
      <c r="J744" s="30">
        <f t="shared" ca="1" si="188"/>
        <v>-9.3672659775259501E-2</v>
      </c>
      <c r="K744" s="30">
        <f t="shared" ca="1" si="189"/>
        <v>2.0395015571130111E-2</v>
      </c>
      <c r="L744" s="30">
        <f t="shared" ca="1" si="189"/>
        <v>6.0346424922506747E-2</v>
      </c>
      <c r="M744" s="30">
        <f t="shared" ca="1" si="189"/>
        <v>7.2642925330243788E-2</v>
      </c>
      <c r="N744" s="30">
        <f t="shared" ca="1" si="189"/>
        <v>7.2263920918033117E-2</v>
      </c>
      <c r="O744" s="30">
        <f t="shared" ca="1" si="190"/>
        <v>-0.11210554229647307</v>
      </c>
      <c r="P744" s="30">
        <f t="shared" ca="1" si="191"/>
        <v>-4.9602611410729414E-2</v>
      </c>
      <c r="Q744" s="30">
        <f t="shared" ca="1" si="192"/>
        <v>-0.19484189010460495</v>
      </c>
      <c r="R744" s="30">
        <f t="shared" ca="1" si="193"/>
        <v>-2.1408738857226384E-2</v>
      </c>
      <c r="S744" s="9" cm="1">
        <f t="array" aca="1" ref="S744" ca="1">_xll.BDH($E$6,"PX LAST",AG744)</f>
        <v>133.93</v>
      </c>
      <c r="T744" s="9" cm="1">
        <f t="array" aca="1" ref="T744" ca="1">_xll.BDH($E$6,"PX LAST",AH744)</f>
        <v>150.84</v>
      </c>
      <c r="U744" s="9" cm="1">
        <f t="array" aca="1" ref="U744" ca="1">_xll.BDH($E$6,"PX LAST",AI744)</f>
        <v>140.91999999999999</v>
      </c>
      <c r="V744" s="9" cm="1">
        <f t="array" aca="1" ref="V744" ca="1">_xll.BDH($E$6,"PX LAST",AJ744)</f>
        <v>166.34</v>
      </c>
      <c r="W744" s="9" cm="1">
        <f t="array" aca="1" ref="W744" ca="1">_xll.BDH($E$6,"PX LAST",AK744)</f>
        <v>136.86000000000001</v>
      </c>
      <c r="X744" s="24">
        <f t="shared" ca="1" si="194"/>
        <v>1.3377505350755436E-2</v>
      </c>
      <c r="Y744" s="24">
        <f t="shared" ca="1" si="195"/>
        <v>3.9582446970157559E-2</v>
      </c>
      <c r="Z744" s="24">
        <f t="shared" ca="1" si="196"/>
        <v>4.7647971579656723E-2</v>
      </c>
      <c r="AA744" s="24">
        <f t="shared" ca="1" si="197"/>
        <v>4.7399374880398248E-2</v>
      </c>
      <c r="AB744" s="9" cm="1">
        <f t="array" aca="1" ref="AB744" ca="1">_xll.BDH($E$8,"PX LAST",AG744)</f>
        <v>4105.0200000000004</v>
      </c>
      <c r="AC744" s="9" cm="1">
        <f t="array" aca="1" ref="AC744" ca="1">_xll.BDH($E$8,"PX LAST",AH744)</f>
        <v>4050.83</v>
      </c>
      <c r="AD744" s="9" cm="1">
        <f t="array" aca="1" ref="AD744" ca="1">_xll.BDH($E$8,"PX LAST",AI744)</f>
        <v>3948.72</v>
      </c>
      <c r="AE744" s="9" cm="1">
        <f t="array" aca="1" ref="AE744" ca="1">_xll.BDH($E$8,"PX LAST",AJ744)</f>
        <v>3918.32</v>
      </c>
      <c r="AF744" s="9" cm="1">
        <f t="array" aca="1" ref="AF744" ca="1">_xll.BDH($E$8,"PX LAST",AK744)</f>
        <v>3919.25</v>
      </c>
      <c r="AG744" s="20">
        <f t="shared" ca="1" si="203"/>
        <v>45022</v>
      </c>
      <c r="AH744" s="22">
        <f t="shared" ca="1" si="198"/>
        <v>45015</v>
      </c>
      <c r="AI744" s="22">
        <f t="shared" ca="1" si="199"/>
        <v>45008</v>
      </c>
      <c r="AJ744" s="22">
        <f t="shared" ca="1" si="200"/>
        <v>44994</v>
      </c>
      <c r="AK744" s="22">
        <f t="shared" ca="1" si="201"/>
        <v>44936</v>
      </c>
      <c r="AL744" s="22">
        <f t="shared" ca="1" si="202"/>
        <v>44847</v>
      </c>
    </row>
    <row r="745" spans="4:38" x14ac:dyDescent="0.25">
      <c r="D745" s="6">
        <f ca="1"/>
        <v>45021</v>
      </c>
      <c r="E745" s="28">
        <f ca="1"/>
        <v>138.59</v>
      </c>
      <c r="F745" s="29" cm="1">
        <f t="array" aca="1" ref="F745" ca="1">_xll.FDS($E$7,"P_BETA_LOCIDX("&amp;$AG745&amp;","&amp;$AL745&amp;",,"""&amp;$E$9&amp;""")")</f>
        <v>1.5312843</v>
      </c>
      <c r="G745" s="30">
        <f t="shared" ca="1" si="188"/>
        <v>-9.1087010364385546E-2</v>
      </c>
      <c r="H745" s="30">
        <f t="shared" ca="1" si="188"/>
        <v>-9.797288570493537E-2</v>
      </c>
      <c r="I745" s="30">
        <f t="shared" ca="1" si="188"/>
        <v>-0.23319383241036518</v>
      </c>
      <c r="J745" s="30">
        <f t="shared" ca="1" si="188"/>
        <v>-3.17360978730893E-2</v>
      </c>
      <c r="K745" s="30">
        <f t="shared" ca="1" si="189"/>
        <v>2.378773046668042E-2</v>
      </c>
      <c r="L745" s="30">
        <f t="shared" ca="1" si="189"/>
        <v>5.9668812427577746E-2</v>
      </c>
      <c r="M745" s="30">
        <f t="shared" ca="1" si="189"/>
        <v>3.7733481777600816E-2</v>
      </c>
      <c r="N745" s="30">
        <f t="shared" ca="1" si="189"/>
        <v>7.8014219570205282E-2</v>
      </c>
      <c r="O745" s="30">
        <f t="shared" ca="1" si="190"/>
        <v>-6.7299279897705122E-2</v>
      </c>
      <c r="P745" s="30">
        <f t="shared" ca="1" si="191"/>
        <v>-3.8304073277357631E-2</v>
      </c>
      <c r="Q745" s="30">
        <f t="shared" ca="1" si="192"/>
        <v>-0.19546035063276435</v>
      </c>
      <c r="R745" s="30">
        <f t="shared" ca="1" si="193"/>
        <v>4.6278121697115981E-2</v>
      </c>
      <c r="S745" s="9" cm="1">
        <f t="array" aca="1" ref="S745" ca="1">_xll.BDH($E$6,"PX LAST",AG745)</f>
        <v>138.59</v>
      </c>
      <c r="T745" s="9" cm="1">
        <f t="array" aca="1" ref="T745" ca="1">_xll.BDH($E$6,"PX LAST",AH745)</f>
        <v>148.59</v>
      </c>
      <c r="U745" s="9" cm="1">
        <f t="array" aca="1" ref="U745" ca="1">_xll.BDH($E$6,"PX LAST",AI745)</f>
        <v>144.11000000000001</v>
      </c>
      <c r="V745" s="9" cm="1">
        <f t="array" aca="1" ref="V745" ca="1">_xll.BDH($E$6,"PX LAST",AJ745)</f>
        <v>172.26</v>
      </c>
      <c r="W745" s="9" cm="1">
        <f t="array" aca="1" ref="W745" ca="1">_xll.BDH($E$6,"PX LAST",AK745)</f>
        <v>132.46</v>
      </c>
      <c r="X745" s="24">
        <f t="shared" ca="1" si="194"/>
        <v>1.5534496413683874E-2</v>
      </c>
      <c r="Y745" s="24">
        <f t="shared" ca="1" si="195"/>
        <v>3.8966514857873058E-2</v>
      </c>
      <c r="Z745" s="24">
        <f t="shared" ca="1" si="196"/>
        <v>2.4641721839374187E-2</v>
      </c>
      <c r="AA745" s="24">
        <f t="shared" ca="1" si="197"/>
        <v>5.0946920549113761E-2</v>
      </c>
      <c r="AB745" s="9" cm="1">
        <f t="array" aca="1" ref="AB745" ca="1">_xll.BDH($E$8,"PX LAST",AG745)</f>
        <v>4090.38</v>
      </c>
      <c r="AC745" s="9" cm="1">
        <f t="array" aca="1" ref="AC745" ca="1">_xll.BDH($E$8,"PX LAST",AH745)</f>
        <v>4027.81</v>
      </c>
      <c r="AD745" s="9" cm="1">
        <f t="array" aca="1" ref="AD745" ca="1">_xll.BDH($E$8,"PX LAST",AI745)</f>
        <v>3936.97</v>
      </c>
      <c r="AE745" s="9" cm="1">
        <f t="array" aca="1" ref="AE745" ca="1">_xll.BDH($E$8,"PX LAST",AJ745)</f>
        <v>3992.01</v>
      </c>
      <c r="AF745" s="9" cm="1">
        <f t="array" aca="1" ref="AF745" ca="1">_xll.BDH($E$8,"PX LAST",AK745)</f>
        <v>3892.09</v>
      </c>
      <c r="AG745" s="20">
        <f t="shared" ca="1" si="203"/>
        <v>45021</v>
      </c>
      <c r="AH745" s="22">
        <f t="shared" ca="1" si="198"/>
        <v>45014</v>
      </c>
      <c r="AI745" s="22">
        <f t="shared" ca="1" si="199"/>
        <v>45007</v>
      </c>
      <c r="AJ745" s="22">
        <f t="shared" ca="1" si="200"/>
        <v>44993</v>
      </c>
      <c r="AK745" s="22">
        <f t="shared" ca="1" si="201"/>
        <v>44935</v>
      </c>
      <c r="AL745" s="22">
        <f t="shared" ca="1" si="202"/>
        <v>44846</v>
      </c>
    </row>
    <row r="746" spans="4:38" x14ac:dyDescent="0.25">
      <c r="D746" s="6">
        <f ca="1"/>
        <v>45020</v>
      </c>
      <c r="E746" s="28">
        <f ca="1"/>
        <v>142.54</v>
      </c>
      <c r="F746" s="29" cm="1">
        <f t="array" aca="1" ref="F746" ca="1">_xll.FDS($E$7,"P_BETA_LOCIDX("&amp;$AG746&amp;","&amp;$AL746&amp;",,"""&amp;$E$9&amp;""")")</f>
        <v>1.5236155</v>
      </c>
      <c r="G746" s="30">
        <f t="shared" ca="1" si="188"/>
        <v>-5.2696037830134115E-2</v>
      </c>
      <c r="H746" s="30">
        <f t="shared" ca="1" si="188"/>
        <v>-7.1219105025441765E-2</v>
      </c>
      <c r="I746" s="30">
        <f t="shared" ca="1" si="188"/>
        <v>-0.20774574329672041</v>
      </c>
      <c r="J746" s="30">
        <f t="shared" ca="1" si="188"/>
        <v>1.4133023224284585E-2</v>
      </c>
      <c r="K746" s="30">
        <f t="shared" ca="1" si="189"/>
        <v>4.9618684354123546E-2</v>
      </c>
      <c r="L746" s="30">
        <f t="shared" ca="1" si="189"/>
        <v>3.7199045388683731E-2</v>
      </c>
      <c r="M746" s="30">
        <f t="shared" ca="1" si="189"/>
        <v>4.3659419111873932E-2</v>
      </c>
      <c r="N746" s="30">
        <f t="shared" ca="1" si="189"/>
        <v>8.0392047803896277E-2</v>
      </c>
      <c r="O746" s="30">
        <f t="shared" ca="1" si="190"/>
        <v>-3.0773534760105692E-3</v>
      </c>
      <c r="P746" s="30">
        <f t="shared" ca="1" si="191"/>
        <v>-3.4020059636758027E-2</v>
      </c>
      <c r="Q746" s="30">
        <f t="shared" ca="1" si="192"/>
        <v>-0.16408632418484648</v>
      </c>
      <c r="R746" s="30">
        <f t="shared" ca="1" si="193"/>
        <v>9.4525071028180863E-2</v>
      </c>
      <c r="S746" s="9" cm="1">
        <f t="array" aca="1" ref="S746" ca="1">_xll.BDH($E$6,"PX LAST",AG746)</f>
        <v>142.54</v>
      </c>
      <c r="T746" s="9" cm="1">
        <f t="array" aca="1" ref="T746" ca="1">_xll.BDH($E$6,"PX LAST",AH746)</f>
        <v>142.97999999999999</v>
      </c>
      <c r="U746" s="9" cm="1">
        <f t="array" aca="1" ref="U746" ca="1">_xll.BDH($E$6,"PX LAST",AI746)</f>
        <v>147.56</v>
      </c>
      <c r="V746" s="9" cm="1">
        <f t="array" aca="1" ref="V746" ca="1">_xll.BDH($E$6,"PX LAST",AJ746)</f>
        <v>170.52</v>
      </c>
      <c r="W746" s="9" cm="1">
        <f t="array" aca="1" ref="W746" ca="1">_xll.BDH($E$6,"PX LAST",AK746)</f>
        <v>130.22999999999999</v>
      </c>
      <c r="X746" s="24">
        <f t="shared" ca="1" si="194"/>
        <v>3.2566408227091115E-2</v>
      </c>
      <c r="Y746" s="24">
        <f t="shared" ca="1" si="195"/>
        <v>2.4414982250235528E-2</v>
      </c>
      <c r="Z746" s="24">
        <f t="shared" ca="1" si="196"/>
        <v>2.8655142397720379E-2</v>
      </c>
      <c r="AA746" s="24">
        <f t="shared" ca="1" si="197"/>
        <v>5.2763999712457821E-2</v>
      </c>
      <c r="AB746" s="9" cm="1">
        <f t="array" aca="1" ref="AB746" ca="1">_xll.BDH($E$8,"PX LAST",AG746)</f>
        <v>4100.6000000000004</v>
      </c>
      <c r="AC746" s="9" cm="1">
        <f t="array" aca="1" ref="AC746" ca="1">_xll.BDH($E$8,"PX LAST",AH746)</f>
        <v>3971.27</v>
      </c>
      <c r="AD746" s="9" cm="1">
        <f t="array" aca="1" ref="AD746" ca="1">_xll.BDH($E$8,"PX LAST",AI746)</f>
        <v>4002.87</v>
      </c>
      <c r="AE746" s="9" cm="1">
        <f t="array" aca="1" ref="AE746" ca="1">_xll.BDH($E$8,"PX LAST",AJ746)</f>
        <v>3986.37</v>
      </c>
      <c r="AF746" s="9" cm="1">
        <f t="array" aca="1" ref="AF746" ca="1">_xll.BDH($E$8,"PX LAST",AK746)</f>
        <v>3895.08</v>
      </c>
      <c r="AG746" s="20">
        <f t="shared" ca="1" si="203"/>
        <v>45020</v>
      </c>
      <c r="AH746" s="22">
        <f t="shared" ca="1" si="198"/>
        <v>45013</v>
      </c>
      <c r="AI746" s="22">
        <f t="shared" ca="1" si="199"/>
        <v>45006</v>
      </c>
      <c r="AJ746" s="22">
        <f t="shared" ca="1" si="200"/>
        <v>44992</v>
      </c>
      <c r="AK746" s="22">
        <f t="shared" ca="1" si="201"/>
        <v>44932</v>
      </c>
      <c r="AL746" s="22">
        <f t="shared" ca="1" si="202"/>
        <v>44845</v>
      </c>
    </row>
    <row r="747" spans="4:38" x14ac:dyDescent="0.25">
      <c r="D747" s="6">
        <f ca="1"/>
        <v>45019</v>
      </c>
      <c r="E747" s="28">
        <f ca="1"/>
        <v>152.01</v>
      </c>
      <c r="F747" s="29" cm="1">
        <f t="array" aca="1" ref="F747" ca="1">_xll.FDS($E$7,"P_BETA_LOCIDX("&amp;$AG747&amp;","&amp;$AL747&amp;",,"""&amp;$E$9&amp;""")")</f>
        <v>1.5039951</v>
      </c>
      <c r="G747" s="30">
        <f t="shared" ca="1" si="188"/>
        <v>1.7031458412927136E-2</v>
      </c>
      <c r="H747" s="30">
        <f t="shared" ca="1" si="188"/>
        <v>6.7857892838228961E-3</v>
      </c>
      <c r="I747" s="30">
        <f t="shared" ca="1" si="188"/>
        <v>-0.14077340627383023</v>
      </c>
      <c r="J747" s="30">
        <f t="shared" ca="1" si="188"/>
        <v>8.4054360455631194E-2</v>
      </c>
      <c r="K747" s="30">
        <f t="shared" ca="1" si="189"/>
        <v>5.5576500943550322E-2</v>
      </c>
      <c r="L747" s="30">
        <f t="shared" ca="1" si="189"/>
        <v>6.5822170072654562E-2</v>
      </c>
      <c r="M747" s="30">
        <f t="shared" ca="1" si="189"/>
        <v>2.8267567880556021E-2</v>
      </c>
      <c r="N747" s="30">
        <f t="shared" ca="1" si="189"/>
        <v>0.12496496667393209</v>
      </c>
      <c r="O747" s="30">
        <f t="shared" ca="1" si="190"/>
        <v>7.2607959356477458E-2</v>
      </c>
      <c r="P747" s="30">
        <f t="shared" ca="1" si="191"/>
        <v>7.2607959356477458E-2</v>
      </c>
      <c r="Q747" s="30">
        <f t="shared" ca="1" si="192"/>
        <v>-0.11250583839327422</v>
      </c>
      <c r="R747" s="30">
        <f t="shared" ca="1" si="193"/>
        <v>0.20901932712956328</v>
      </c>
      <c r="S747" s="9" cm="1">
        <f t="array" aca="1" ref="S747" ca="1">_xll.BDH($E$6,"PX LAST",AG747)</f>
        <v>152.01</v>
      </c>
      <c r="T747" s="9" cm="1">
        <f t="array" aca="1" ref="T747" ca="1">_xll.BDH($E$6,"PX LAST",AH747)</f>
        <v>141.72</v>
      </c>
      <c r="U747" s="9" cm="1">
        <f t="array" aca="1" ref="U747" ca="1">_xll.BDH($E$6,"PX LAST",AI747)</f>
        <v>141.72</v>
      </c>
      <c r="V747" s="9" cm="1">
        <f t="array" aca="1" ref="V747" ca="1">_xll.BDH($E$6,"PX LAST",AJ747)</f>
        <v>171.28</v>
      </c>
      <c r="W747" s="9" cm="1">
        <f t="array" aca="1" ref="W747" ca="1">_xll.BDH($E$6,"PX LAST",AK747)</f>
        <v>125.73</v>
      </c>
      <c r="X747" s="24">
        <f t="shared" ca="1" si="194"/>
        <v>3.6952581124466644E-2</v>
      </c>
      <c r="Y747" s="24">
        <f t="shared" ca="1" si="195"/>
        <v>4.3764883324855619E-2</v>
      </c>
      <c r="Z747" s="24">
        <f t="shared" ca="1" si="196"/>
        <v>1.8794986686164084E-2</v>
      </c>
      <c r="AA747" s="24">
        <f t="shared" ca="1" si="197"/>
        <v>8.3088679393923615E-2</v>
      </c>
      <c r="AB747" s="9" cm="1">
        <f t="array" aca="1" ref="AB747" ca="1">_xll.BDH($E$8,"PX LAST",AG747)</f>
        <v>4124.51</v>
      </c>
      <c r="AC747" s="9" cm="1">
        <f t="array" aca="1" ref="AC747" ca="1">_xll.BDH($E$8,"PX LAST",AH747)</f>
        <v>3977.53</v>
      </c>
      <c r="AD747" s="9" cm="1">
        <f t="array" aca="1" ref="AD747" ca="1">_xll.BDH($E$8,"PX LAST",AI747)</f>
        <v>3951.57</v>
      </c>
      <c r="AE747" s="9" cm="1">
        <f t="array" aca="1" ref="AE747" ca="1">_xll.BDH($E$8,"PX LAST",AJ747)</f>
        <v>4048.42</v>
      </c>
      <c r="AF747" s="9" cm="1">
        <f t="array" aca="1" ref="AF747" ca="1">_xll.BDH($E$8,"PX LAST",AK747)</f>
        <v>3808.1</v>
      </c>
      <c r="AG747" s="20">
        <f t="shared" ca="1" si="203"/>
        <v>45019</v>
      </c>
      <c r="AH747" s="22">
        <f t="shared" ca="1" si="198"/>
        <v>45012</v>
      </c>
      <c r="AI747" s="22">
        <f t="shared" ca="1" si="199"/>
        <v>45005</v>
      </c>
      <c r="AJ747" s="22">
        <f t="shared" ca="1" si="200"/>
        <v>44991</v>
      </c>
      <c r="AK747" s="22">
        <f t="shared" ca="1" si="201"/>
        <v>44931</v>
      </c>
      <c r="AL747" s="22">
        <f t="shared" ca="1" si="202"/>
        <v>44844</v>
      </c>
    </row>
    <row r="748" spans="4:38" x14ac:dyDescent="0.25">
      <c r="D748" s="6">
        <f ca="1"/>
        <v>45016</v>
      </c>
      <c r="E748" s="28">
        <f ca="1"/>
        <v>154.54</v>
      </c>
      <c r="F748" s="29" cm="1">
        <f t="array" aca="1" ref="F748" ca="1">_xll.FDS($E$7,"P_BETA_LOCIDX("&amp;$AG748&amp;","&amp;$AL748&amp;",,"""&amp;$E$9&amp;""")")</f>
        <v>1.4889733000000001</v>
      </c>
      <c r="G748" s="30">
        <f t="shared" ca="1" si="188"/>
        <v>6.6855292476092787E-2</v>
      </c>
      <c r="H748" s="30">
        <f t="shared" ca="1" si="188"/>
        <v>4.1599762360868903E-2</v>
      </c>
      <c r="I748" s="30">
        <f t="shared" ca="1" si="188"/>
        <v>-0.12853498508247035</v>
      </c>
      <c r="J748" s="30">
        <f t="shared" ca="1" si="188"/>
        <v>0.10799871493381208</v>
      </c>
      <c r="K748" s="30">
        <f t="shared" ca="1" si="189"/>
        <v>5.1864846513338218E-2</v>
      </c>
      <c r="L748" s="30">
        <f t="shared" ca="1" si="189"/>
        <v>7.3246580158247948E-2</v>
      </c>
      <c r="M748" s="30">
        <f t="shared" ca="1" si="189"/>
        <v>2.3433357889233897E-2</v>
      </c>
      <c r="N748" s="30">
        <f t="shared" ca="1" si="189"/>
        <v>9.9062130180614161E-2</v>
      </c>
      <c r="O748" s="30">
        <f t="shared" ca="1" si="190"/>
        <v>0.11872013898943101</v>
      </c>
      <c r="P748" s="30">
        <f t="shared" ca="1" si="191"/>
        <v>0.11484634251911685</v>
      </c>
      <c r="Q748" s="30">
        <f t="shared" ca="1" si="192"/>
        <v>-0.10510162719323646</v>
      </c>
      <c r="R748" s="30">
        <f t="shared" ca="1" si="193"/>
        <v>0.20706084511442624</v>
      </c>
      <c r="S748" s="9" cm="1">
        <f t="array" aca="1" ref="S748" ca="1">_xll.BDH($E$6,"PX LAST",AG748)</f>
        <v>154.54</v>
      </c>
      <c r="T748" s="9" cm="1">
        <f t="array" aca="1" ref="T748" ca="1">_xll.BDH($E$6,"PX LAST",AH748)</f>
        <v>138.13999999999999</v>
      </c>
      <c r="U748" s="9" cm="1">
        <f t="array" aca="1" ref="U748" ca="1">_xll.BDH($E$6,"PX LAST",AI748)</f>
        <v>138.62</v>
      </c>
      <c r="V748" s="9" cm="1">
        <f t="array" aca="1" ref="V748" ca="1">_xll.BDH($E$6,"PX LAST",AJ748)</f>
        <v>172.69</v>
      </c>
      <c r="W748" s="9" cm="1">
        <f t="array" aca="1" ref="W748" ca="1">_xll.BDH($E$6,"PX LAST",AK748)</f>
        <v>128.03</v>
      </c>
      <c r="X748" s="24">
        <f t="shared" ca="1" si="194"/>
        <v>3.4832623602678581E-2</v>
      </c>
      <c r="Y748" s="24">
        <f t="shared" ca="1" si="195"/>
        <v>4.9192675354385429E-2</v>
      </c>
      <c r="Z748" s="24">
        <f t="shared" ca="1" si="196"/>
        <v>1.5737930216232821E-2</v>
      </c>
      <c r="AA748" s="24">
        <f t="shared" ca="1" si="197"/>
        <v>6.6530494657368378E-2</v>
      </c>
      <c r="AB748" s="9" cm="1">
        <f t="array" aca="1" ref="AB748" ca="1">_xll.BDH($E$8,"PX LAST",AG748)</f>
        <v>4109.3100000000004</v>
      </c>
      <c r="AC748" s="9" cm="1">
        <f t="array" aca="1" ref="AC748" ca="1">_xll.BDH($E$8,"PX LAST",AH748)</f>
        <v>3970.99</v>
      </c>
      <c r="AD748" s="9" cm="1">
        <f t="array" aca="1" ref="AD748" ca="1">_xll.BDH($E$8,"PX LAST",AI748)</f>
        <v>3916.64</v>
      </c>
      <c r="AE748" s="9" cm="1">
        <f t="array" aca="1" ref="AE748" ca="1">_xll.BDH($E$8,"PX LAST",AJ748)</f>
        <v>4045.64</v>
      </c>
      <c r="AF748" s="9" cm="1">
        <f t="array" aca="1" ref="AF748" ca="1">_xll.BDH($E$8,"PX LAST",AK748)</f>
        <v>3852.97</v>
      </c>
      <c r="AG748" s="20">
        <f t="shared" ca="1" si="203"/>
        <v>45016</v>
      </c>
      <c r="AH748" s="22">
        <f t="shared" ca="1" si="198"/>
        <v>45009</v>
      </c>
      <c r="AI748" s="22">
        <f t="shared" ca="1" si="199"/>
        <v>45002</v>
      </c>
      <c r="AJ748" s="22">
        <f t="shared" ca="1" si="200"/>
        <v>44988</v>
      </c>
      <c r="AK748" s="22">
        <f t="shared" ca="1" si="201"/>
        <v>44930</v>
      </c>
      <c r="AL748" s="22">
        <f t="shared" ca="1" si="202"/>
        <v>44841</v>
      </c>
    </row>
    <row r="749" spans="4:38" x14ac:dyDescent="0.25">
      <c r="D749" s="6">
        <f ca="1"/>
        <v>45015</v>
      </c>
      <c r="E749" s="28">
        <f ca="1"/>
        <v>150.84</v>
      </c>
      <c r="F749" s="29" cm="1">
        <f t="array" aca="1" ref="F749" ca="1">_xll.FDS($E$7,"P_BETA_LOCIDX("&amp;$AG749&amp;","&amp;$AL749&amp;",,"""&amp;$E$9&amp;""")")</f>
        <v>1.4895879999999999</v>
      </c>
      <c r="G749" s="30">
        <f t="shared" ca="1" si="188"/>
        <v>3.1875275326762702E-2</v>
      </c>
      <c r="H749" s="30">
        <f t="shared" ca="1" si="188"/>
        <v>-9.6784461522097728E-3</v>
      </c>
      <c r="I749" s="30">
        <f t="shared" ca="1" si="188"/>
        <v>-0.13932711267712466</v>
      </c>
      <c r="J749" s="30">
        <f t="shared" ca="1" si="188"/>
        <v>0.12103133591069359</v>
      </c>
      <c r="K749" s="30">
        <f t="shared" ca="1" si="189"/>
        <v>3.8519274772584551E-2</v>
      </c>
      <c r="L749" s="30">
        <f t="shared" ca="1" si="189"/>
        <v>3.4058751754926307E-2</v>
      </c>
      <c r="M749" s="30">
        <f t="shared" ca="1" si="189"/>
        <v>2.599534686475697E-2</v>
      </c>
      <c r="N749" s="30">
        <f t="shared" ca="1" si="189"/>
        <v>8.8300821549420316E-2</v>
      </c>
      <c r="O749" s="30">
        <f t="shared" ca="1" si="190"/>
        <v>7.0394550099347253E-2</v>
      </c>
      <c r="P749" s="30">
        <f t="shared" ca="1" si="191"/>
        <v>2.4380305602716534E-2</v>
      </c>
      <c r="Q749" s="30">
        <f t="shared" ca="1" si="192"/>
        <v>-0.1133317658123677</v>
      </c>
      <c r="R749" s="30">
        <f t="shared" ca="1" si="193"/>
        <v>0.20933215746011391</v>
      </c>
      <c r="S749" s="9" cm="1">
        <f t="array" aca="1" ref="S749" ca="1">_xll.BDH($E$6,"PX LAST",AG749)</f>
        <v>150.84</v>
      </c>
      <c r="T749" s="9" cm="1">
        <f t="array" aca="1" ref="T749" ca="1">_xll.BDH($E$6,"PX LAST",AH749)</f>
        <v>140.91999999999999</v>
      </c>
      <c r="U749" s="9" cm="1">
        <f t="array" aca="1" ref="U749" ca="1">_xll.BDH($E$6,"PX LAST",AI749)</f>
        <v>147.25</v>
      </c>
      <c r="V749" s="9" cm="1">
        <f t="array" aca="1" ref="V749" ca="1">_xll.BDH($E$6,"PX LAST",AJ749)</f>
        <v>170.12</v>
      </c>
      <c r="W749" s="9" cm="1">
        <f t="array" aca="1" ref="W749" ca="1">_xll.BDH($E$6,"PX LAST",AK749)</f>
        <v>124.73</v>
      </c>
      <c r="X749" s="24">
        <f t="shared" ca="1" si="194"/>
        <v>2.5859012540772719E-2</v>
      </c>
      <c r="Y749" s="24">
        <f t="shared" ca="1" si="195"/>
        <v>2.2864544931166408E-2</v>
      </c>
      <c r="Z749" s="24">
        <f t="shared" ca="1" si="196"/>
        <v>1.7451366998631146E-2</v>
      </c>
      <c r="AA749" s="24">
        <f t="shared" ca="1" si="197"/>
        <v>5.9278687495750715E-2</v>
      </c>
      <c r="AB749" s="9" cm="1">
        <f t="array" aca="1" ref="AB749" ca="1">_xll.BDH($E$8,"PX LAST",AG749)</f>
        <v>4050.83</v>
      </c>
      <c r="AC749" s="9" cm="1">
        <f t="array" aca="1" ref="AC749" ca="1">_xll.BDH($E$8,"PX LAST",AH749)</f>
        <v>3948.72</v>
      </c>
      <c r="AD749" s="9" cm="1">
        <f t="array" aca="1" ref="AD749" ca="1">_xll.BDH($E$8,"PX LAST",AI749)</f>
        <v>3960.28</v>
      </c>
      <c r="AE749" s="9" cm="1">
        <f t="array" aca="1" ref="AE749" ca="1">_xll.BDH($E$8,"PX LAST",AJ749)</f>
        <v>3981.35</v>
      </c>
      <c r="AF749" s="9" cm="1">
        <f t="array" aca="1" ref="AF749" ca="1">_xll.BDH($E$8,"PX LAST",AK749)</f>
        <v>3824.14</v>
      </c>
      <c r="AG749" s="20">
        <f t="shared" ca="1" si="203"/>
        <v>45015</v>
      </c>
      <c r="AH749" s="22">
        <f t="shared" ca="1" si="198"/>
        <v>45008</v>
      </c>
      <c r="AI749" s="22">
        <f t="shared" ca="1" si="199"/>
        <v>45001</v>
      </c>
      <c r="AJ749" s="22">
        <f t="shared" ca="1" si="200"/>
        <v>44987</v>
      </c>
      <c r="AK749" s="22">
        <f t="shared" ca="1" si="201"/>
        <v>44929</v>
      </c>
      <c r="AL749" s="22">
        <f t="shared" ca="1" si="202"/>
        <v>44840</v>
      </c>
    </row>
    <row r="750" spans="4:38" x14ac:dyDescent="0.25">
      <c r="D750" s="6">
        <f ca="1"/>
        <v>45014</v>
      </c>
      <c r="E750" s="28">
        <f ca="1"/>
        <v>148.59</v>
      </c>
      <c r="F750" s="29" cm="1">
        <f t="array" aca="1" ref="F750" ca="1">_xll.FDS($E$7,"P_BETA_LOCIDX("&amp;$AG750&amp;","&amp;$AL750&amp;",,"""&amp;$E$9&amp;""")")</f>
        <v>1.4870148000000001</v>
      </c>
      <c r="G750" s="30">
        <f t="shared" ca="1" si="188"/>
        <v>-3.223394055914125E-3</v>
      </c>
      <c r="H750" s="30">
        <f t="shared" ca="1" si="188"/>
        <v>-2.4323187098282621E-2</v>
      </c>
      <c r="I750" s="30">
        <f t="shared" ca="1" si="188"/>
        <v>-0.14718074369668363</v>
      </c>
      <c r="J750" s="30">
        <f t="shared" ca="1" si="188"/>
        <v>0.113889778282296</v>
      </c>
      <c r="K750" s="30">
        <f t="shared" ca="1" si="189"/>
        <v>3.4310757875218673E-2</v>
      </c>
      <c r="L750" s="30">
        <f t="shared" ca="1" si="189"/>
        <v>5.1916548094133368E-2</v>
      </c>
      <c r="M750" s="30">
        <f t="shared" ca="1" si="189"/>
        <v>2.8758910412791511E-2</v>
      </c>
      <c r="N750" s="30">
        <f t="shared" ca="1" si="189"/>
        <v>7.2931307979684792E-2</v>
      </c>
      <c r="O750" s="30">
        <f t="shared" ca="1" si="190"/>
        <v>3.1087363819304548E-2</v>
      </c>
      <c r="P750" s="30">
        <f t="shared" ca="1" si="191"/>
        <v>2.7593360995850746E-2</v>
      </c>
      <c r="Q750" s="30">
        <f t="shared" ca="1" si="192"/>
        <v>-0.11842183328389211</v>
      </c>
      <c r="R750" s="30">
        <f t="shared" ca="1" si="193"/>
        <v>0.1868210862619808</v>
      </c>
      <c r="S750" s="9" cm="1">
        <f t="array" aca="1" ref="S750" ca="1">_xll.BDH($E$6,"PX LAST",AG750)</f>
        <v>148.59</v>
      </c>
      <c r="T750" s="9" cm="1">
        <f t="array" aca="1" ref="T750" ca="1">_xll.BDH($E$6,"PX LAST",AH750)</f>
        <v>144.11000000000001</v>
      </c>
      <c r="U750" s="9" cm="1">
        <f t="array" aca="1" ref="U750" ca="1">_xll.BDH($E$6,"PX LAST",AI750)</f>
        <v>144.6</v>
      </c>
      <c r="V750" s="9" cm="1">
        <f t="array" aca="1" ref="V750" ca="1">_xll.BDH($E$6,"PX LAST",AJ750)</f>
        <v>168.55</v>
      </c>
      <c r="W750" s="9" cm="1">
        <f t="array" aca="1" ref="W750" ca="1">_xll.BDH($E$6,"PX LAST",AK750)</f>
        <v>125.2</v>
      </c>
      <c r="X750" s="24">
        <f t="shared" ca="1" si="194"/>
        <v>2.307358196785847E-2</v>
      </c>
      <c r="Y750" s="24">
        <f t="shared" ca="1" si="195"/>
        <v>3.4913269252016432E-2</v>
      </c>
      <c r="Z750" s="24">
        <f t="shared" ca="1" si="196"/>
        <v>1.9340029711063744E-2</v>
      </c>
      <c r="AA750" s="24">
        <f t="shared" ca="1" si="197"/>
        <v>4.9045448626123145E-2</v>
      </c>
      <c r="AB750" s="9" cm="1">
        <f t="array" aca="1" ref="AB750" ca="1">_xll.BDH($E$8,"PX LAST",AG750)</f>
        <v>4027.81</v>
      </c>
      <c r="AC750" s="9" cm="1">
        <f t="array" aca="1" ref="AC750" ca="1">_xll.BDH($E$8,"PX LAST",AH750)</f>
        <v>3936.97</v>
      </c>
      <c r="AD750" s="9" cm="1">
        <f t="array" aca="1" ref="AD750" ca="1">_xll.BDH($E$8,"PX LAST",AI750)</f>
        <v>3891.93</v>
      </c>
      <c r="AE750" s="9" cm="1">
        <f t="array" aca="1" ref="AE750" ca="1">_xll.BDH($E$8,"PX LAST",AJ750)</f>
        <v>3951.39</v>
      </c>
      <c r="AF750" s="9" cm="1">
        <f t="array" aca="1" ref="AF750" ca="1">_xll.BDH($E$8,"PX LAST",AK750)</f>
        <v>3839.5</v>
      </c>
      <c r="AG750" s="20">
        <f t="shared" ca="1" si="203"/>
        <v>45014</v>
      </c>
      <c r="AH750" s="22">
        <f t="shared" ca="1" si="198"/>
        <v>45007</v>
      </c>
      <c r="AI750" s="22">
        <f t="shared" ca="1" si="199"/>
        <v>45000</v>
      </c>
      <c r="AJ750" s="22">
        <f t="shared" ca="1" si="200"/>
        <v>44986</v>
      </c>
      <c r="AK750" s="22">
        <f t="shared" ca="1" si="201"/>
        <v>44925</v>
      </c>
      <c r="AL750" s="22">
        <f t="shared" ca="1" si="202"/>
        <v>44839</v>
      </c>
    </row>
    <row r="751" spans="4:38" x14ac:dyDescent="0.25">
      <c r="D751" s="6">
        <f ca="1"/>
        <v>45013</v>
      </c>
      <c r="E751" s="28">
        <f ca="1"/>
        <v>142.97999999999999</v>
      </c>
      <c r="F751" s="29" cm="1">
        <f t="array" aca="1" ref="F751" ca="1">_xll.FDS($E$7,"P_BETA_LOCIDX("&amp;$AG751&amp;","&amp;$AL751&amp;",,"""&amp;$E$9&amp;""")")</f>
        <v>1.4882637000000001</v>
      </c>
      <c r="G751" s="30">
        <f t="shared" ca="1" si="188"/>
        <v>-1.9289368312643482E-2</v>
      </c>
      <c r="H751" s="30">
        <f t="shared" ca="1" si="188"/>
        <v>-9.8831389528090466E-2</v>
      </c>
      <c r="I751" s="30">
        <f t="shared" ca="1" si="188"/>
        <v>-0.13690976118466855</v>
      </c>
      <c r="J751" s="30">
        <f t="shared" ca="1" si="188"/>
        <v>0.10348634006072956</v>
      </c>
      <c r="K751" s="30">
        <f t="shared" ca="1" si="189"/>
        <v>-1.1748853427665641E-2</v>
      </c>
      <c r="L751" s="30">
        <f t="shared" ca="1" si="189"/>
        <v>1.9738255430447844E-2</v>
      </c>
      <c r="M751" s="30">
        <f t="shared" ca="1" si="189"/>
        <v>4.1984694381809701E-4</v>
      </c>
      <c r="N751" s="30">
        <f t="shared" ca="1" si="189"/>
        <v>4.7165518944581861E-2</v>
      </c>
      <c r="O751" s="30">
        <f t="shared" ca="1" si="190"/>
        <v>-3.1038221740309124E-2</v>
      </c>
      <c r="P751" s="30">
        <f t="shared" ca="1" si="191"/>
        <v>-7.9093134097642626E-2</v>
      </c>
      <c r="Q751" s="30">
        <f t="shared" ca="1" si="192"/>
        <v>-0.13648991424085044</v>
      </c>
      <c r="R751" s="30">
        <f t="shared" ca="1" si="193"/>
        <v>0.15065185900531142</v>
      </c>
      <c r="S751" s="9" cm="1">
        <f t="array" aca="1" ref="S751" ca="1">_xll.BDH($E$6,"PX LAST",AG751)</f>
        <v>142.97999999999999</v>
      </c>
      <c r="T751" s="9" cm="1">
        <f t="array" aca="1" ref="T751" ca="1">_xll.BDH($E$6,"PX LAST",AH751)</f>
        <v>147.56</v>
      </c>
      <c r="U751" s="9" cm="1">
        <f t="array" aca="1" ref="U751" ca="1">_xll.BDH($E$6,"PX LAST",AI751)</f>
        <v>155.26</v>
      </c>
      <c r="V751" s="9" cm="1">
        <f t="array" aca="1" ref="V751" ca="1">_xll.BDH($E$6,"PX LAST",AJ751)</f>
        <v>165.58</v>
      </c>
      <c r="W751" s="9" cm="1">
        <f t="array" aca="1" ref="W751" ca="1">_xll.BDH($E$6,"PX LAST",AK751)</f>
        <v>124.26</v>
      </c>
      <c r="X751" s="24">
        <f t="shared" ca="1" si="194"/>
        <v>-7.8943358140534103E-3</v>
      </c>
      <c r="Y751" s="24">
        <f t="shared" ca="1" si="195"/>
        <v>1.3262606237354202E-2</v>
      </c>
      <c r="Z751" s="24">
        <f t="shared" ca="1" si="196"/>
        <v>2.8210521013050105E-4</v>
      </c>
      <c r="AA751" s="24">
        <f t="shared" ca="1" si="197"/>
        <v>3.1691641034167439E-2</v>
      </c>
      <c r="AB751" s="9" cm="1">
        <f t="array" aca="1" ref="AB751" ca="1">_xll.BDH($E$8,"PX LAST",AG751)</f>
        <v>3971.27</v>
      </c>
      <c r="AC751" s="9" cm="1">
        <f t="array" aca="1" ref="AC751" ca="1">_xll.BDH($E$8,"PX LAST",AH751)</f>
        <v>4002.87</v>
      </c>
      <c r="AD751" s="9" cm="1">
        <f t="array" aca="1" ref="AD751" ca="1">_xll.BDH($E$8,"PX LAST",AI751)</f>
        <v>3919.29</v>
      </c>
      <c r="AE751" s="9" cm="1">
        <f t="array" aca="1" ref="AE751" ca="1">_xll.BDH($E$8,"PX LAST",AJ751)</f>
        <v>3970.15</v>
      </c>
      <c r="AF751" s="9" cm="1">
        <f t="array" aca="1" ref="AF751" ca="1">_xll.BDH($E$8,"PX LAST",AK751)</f>
        <v>3849.28</v>
      </c>
      <c r="AG751" s="20">
        <f t="shared" ca="1" si="203"/>
        <v>45013</v>
      </c>
      <c r="AH751" s="22">
        <f t="shared" ca="1" si="198"/>
        <v>45006</v>
      </c>
      <c r="AI751" s="22">
        <f t="shared" ca="1" si="199"/>
        <v>44999</v>
      </c>
      <c r="AJ751" s="22">
        <f t="shared" ca="1" si="200"/>
        <v>44985</v>
      </c>
      <c r="AK751" s="22">
        <f t="shared" ca="1" si="201"/>
        <v>44924</v>
      </c>
      <c r="AL751" s="22">
        <f t="shared" ca="1" si="202"/>
        <v>44838</v>
      </c>
    </row>
    <row r="752" spans="4:38" x14ac:dyDescent="0.25">
      <c r="D752" s="6">
        <f ca="1"/>
        <v>45012</v>
      </c>
      <c r="E752" s="28">
        <f ca="1"/>
        <v>141.72</v>
      </c>
      <c r="F752" s="29" cm="1">
        <f t="array" aca="1" ref="F752" ca="1">_xll.FDS($E$7,"P_BETA_LOCIDX("&amp;$AG752&amp;","&amp;$AL752&amp;",,"""&amp;$E$9&amp;""")")</f>
        <v>1.4784984999999999</v>
      </c>
      <c r="G752" s="30">
        <f t="shared" ca="1" si="188"/>
        <v>-9.7130560916295506E-3</v>
      </c>
      <c r="H752" s="30">
        <f t="shared" ca="1" si="188"/>
        <v>-0.11487625044025948</v>
      </c>
      <c r="I752" s="30">
        <f t="shared" ca="1" si="188"/>
        <v>-0.14549241337852489</v>
      </c>
      <c r="J752" s="30">
        <f t="shared" ca="1" si="188"/>
        <v>0.10752837709098396</v>
      </c>
      <c r="K752" s="30">
        <f t="shared" ca="1" si="189"/>
        <v>9.7130560916295506E-3</v>
      </c>
      <c r="L752" s="30">
        <f t="shared" ca="1" si="189"/>
        <v>4.6692937927931243E-2</v>
      </c>
      <c r="M752" s="30">
        <f t="shared" ca="1" si="189"/>
        <v>-1.748696194854991E-3</v>
      </c>
      <c r="N752" s="30">
        <f t="shared" ca="1" si="189"/>
        <v>7.5937176144924221E-2</v>
      </c>
      <c r="O752" s="30">
        <f t="shared" ca="1" si="190"/>
        <v>0</v>
      </c>
      <c r="P752" s="30">
        <f t="shared" ca="1" si="191"/>
        <v>-6.8183312512328231E-2</v>
      </c>
      <c r="Q752" s="30">
        <f t="shared" ca="1" si="192"/>
        <v>-0.14724110957337988</v>
      </c>
      <c r="R752" s="30">
        <f t="shared" ca="1" si="193"/>
        <v>0.18346555323590819</v>
      </c>
      <c r="S752" s="9" cm="1">
        <f t="array" aca="1" ref="S752" ca="1">_xll.BDH($E$6,"PX LAST",AG752)</f>
        <v>141.72</v>
      </c>
      <c r="T752" s="9" cm="1">
        <f t="array" aca="1" ref="T752" ca="1">_xll.BDH($E$6,"PX LAST",AH752)</f>
        <v>141.72</v>
      </c>
      <c r="U752" s="9" cm="1">
        <f t="array" aca="1" ref="U752" ca="1">_xll.BDH($E$6,"PX LAST",AI752)</f>
        <v>152.09</v>
      </c>
      <c r="V752" s="9" cm="1">
        <f t="array" aca="1" ref="V752" ca="1">_xll.BDH($E$6,"PX LAST",AJ752)</f>
        <v>166.19</v>
      </c>
      <c r="W752" s="9" cm="1">
        <f t="array" aca="1" ref="W752" ca="1">_xll.BDH($E$6,"PX LAST",AK752)</f>
        <v>119.75</v>
      </c>
      <c r="X752" s="24">
        <f t="shared" ca="1" si="194"/>
        <v>6.5695407141972417E-3</v>
      </c>
      <c r="Y752" s="24">
        <f t="shared" ca="1" si="195"/>
        <v>3.1581322488951624E-2</v>
      </c>
      <c r="Z752" s="24">
        <f t="shared" ca="1" si="196"/>
        <v>-1.182751416288208E-3</v>
      </c>
      <c r="AA752" s="24">
        <f t="shared" ca="1" si="197"/>
        <v>5.1361009933337254E-2</v>
      </c>
      <c r="AB752" s="9" cm="1">
        <f t="array" aca="1" ref="AB752" ca="1">_xll.BDH($E$8,"PX LAST",AG752)</f>
        <v>3977.53</v>
      </c>
      <c r="AC752" s="9" cm="1">
        <f t="array" aca="1" ref="AC752" ca="1">_xll.BDH($E$8,"PX LAST",AH752)</f>
        <v>3951.57</v>
      </c>
      <c r="AD752" s="9" cm="1">
        <f t="array" aca="1" ref="AD752" ca="1">_xll.BDH($E$8,"PX LAST",AI752)</f>
        <v>3855.76</v>
      </c>
      <c r="AE752" s="9" cm="1">
        <f t="array" aca="1" ref="AE752" ca="1">_xll.BDH($E$8,"PX LAST",AJ752)</f>
        <v>3982.24</v>
      </c>
      <c r="AF752" s="9" cm="1">
        <f t="array" aca="1" ref="AF752" ca="1">_xll.BDH($E$8,"PX LAST",AK752)</f>
        <v>3783.22</v>
      </c>
      <c r="AG752" s="20">
        <f t="shared" ca="1" si="203"/>
        <v>45012</v>
      </c>
      <c r="AH752" s="22">
        <f t="shared" ca="1" si="198"/>
        <v>45005</v>
      </c>
      <c r="AI752" s="22">
        <f t="shared" ca="1" si="199"/>
        <v>44998</v>
      </c>
      <c r="AJ752" s="22">
        <f t="shared" ca="1" si="200"/>
        <v>44984</v>
      </c>
      <c r="AK752" s="22">
        <f t="shared" ca="1" si="201"/>
        <v>44923</v>
      </c>
      <c r="AL752" s="22">
        <f t="shared" ca="1" si="202"/>
        <v>44837</v>
      </c>
    </row>
    <row r="753" spans="4:38" x14ac:dyDescent="0.25">
      <c r="D753" s="6">
        <f ca="1"/>
        <v>45009</v>
      </c>
      <c r="E753" s="28">
        <f ca="1"/>
        <v>138.13999999999999</v>
      </c>
      <c r="F753" s="29" cm="1">
        <f t="array" aca="1" ref="F753" ca="1">_xll.FDS($E$7,"P_BETA_LOCIDX("&amp;$AG753&amp;","&amp;$AL753&amp;",,"""&amp;$E$9&amp;""")")</f>
        <v>1.4468030999999999</v>
      </c>
      <c r="G753" s="30">
        <f t="shared" ca="1" si="188"/>
        <v>-2.3539542228765319E-2</v>
      </c>
      <c r="H753" s="30">
        <f t="shared" ca="1" si="188"/>
        <v>-0.17021176356418866</v>
      </c>
      <c r="I753" s="30">
        <f t="shared" ca="1" si="188"/>
        <v>-0.15741235480092411</v>
      </c>
      <c r="J753" s="30">
        <f t="shared" ca="1" si="188"/>
        <v>6.0838204924842383E-2</v>
      </c>
      <c r="K753" s="30">
        <f t="shared" ca="1" si="189"/>
        <v>2.0076838434218935E-2</v>
      </c>
      <c r="L753" s="30">
        <f t="shared" ca="1" si="189"/>
        <v>4.0988364673618757E-2</v>
      </c>
      <c r="M753" s="30">
        <f t="shared" ca="1" si="189"/>
        <v>3.4620884046513697E-4</v>
      </c>
      <c r="N753" s="30">
        <f t="shared" ca="1" si="189"/>
        <v>5.3553534345890157E-2</v>
      </c>
      <c r="O753" s="30">
        <f t="shared" ca="1" si="190"/>
        <v>-3.4627037945463846E-3</v>
      </c>
      <c r="P753" s="30">
        <f t="shared" ca="1" si="191"/>
        <v>-0.12922339889056988</v>
      </c>
      <c r="Q753" s="30">
        <f t="shared" ca="1" si="192"/>
        <v>-0.15706614596045898</v>
      </c>
      <c r="R753" s="30">
        <f t="shared" ca="1" si="193"/>
        <v>0.11439173927073254</v>
      </c>
      <c r="S753" s="9" cm="1">
        <f t="array" aca="1" ref="S753" ca="1">_xll.BDH($E$6,"PX LAST",AG753)</f>
        <v>138.13999999999999</v>
      </c>
      <c r="T753" s="9" cm="1">
        <f t="array" aca="1" ref="T753" ca="1">_xll.BDH($E$6,"PX LAST",AH753)</f>
        <v>138.62</v>
      </c>
      <c r="U753" s="9" cm="1">
        <f t="array" aca="1" ref="U753" ca="1">_xll.BDH($E$6,"PX LAST",AI753)</f>
        <v>158.63999999999999</v>
      </c>
      <c r="V753" s="9" cm="1">
        <f t="array" aca="1" ref="V753" ca="1">_xll.BDH($E$6,"PX LAST",AJ753)</f>
        <v>163.88</v>
      </c>
      <c r="W753" s="9" cm="1">
        <f t="array" aca="1" ref="W753" ca="1">_xll.BDH($E$6,"PX LAST",AK753)</f>
        <v>123.96</v>
      </c>
      <c r="X753" s="24">
        <f t="shared" ca="1" si="194"/>
        <v>1.3876690224273736E-2</v>
      </c>
      <c r="Y753" s="24">
        <f t="shared" ca="1" si="195"/>
        <v>2.8330299177281804E-2</v>
      </c>
      <c r="Z753" s="24">
        <f t="shared" ca="1" si="196"/>
        <v>2.3929229932195817E-4</v>
      </c>
      <c r="AA753" s="24">
        <f t="shared" ca="1" si="197"/>
        <v>3.7015081282235407E-2</v>
      </c>
      <c r="AB753" s="9" cm="1">
        <f t="array" aca="1" ref="AB753" ca="1">_xll.BDH($E$8,"PX LAST",AG753)</f>
        <v>3970.99</v>
      </c>
      <c r="AC753" s="9" cm="1">
        <f t="array" aca="1" ref="AC753" ca="1">_xll.BDH($E$8,"PX LAST",AH753)</f>
        <v>3916.64</v>
      </c>
      <c r="AD753" s="9" cm="1">
        <f t="array" aca="1" ref="AD753" ca="1">_xll.BDH($E$8,"PX LAST",AI753)</f>
        <v>3861.59</v>
      </c>
      <c r="AE753" s="9" cm="1">
        <f t="array" aca="1" ref="AE753" ca="1">_xll.BDH($E$8,"PX LAST",AJ753)</f>
        <v>3970.04</v>
      </c>
      <c r="AF753" s="9" cm="1">
        <f t="array" aca="1" ref="AF753" ca="1">_xll.BDH($E$8,"PX LAST",AK753)</f>
        <v>3829.25</v>
      </c>
      <c r="AG753" s="20">
        <f t="shared" ca="1" si="203"/>
        <v>45009</v>
      </c>
      <c r="AH753" s="22">
        <f t="shared" ca="1" si="198"/>
        <v>45002</v>
      </c>
      <c r="AI753" s="22">
        <f t="shared" ca="1" si="199"/>
        <v>44995</v>
      </c>
      <c r="AJ753" s="22">
        <f t="shared" ca="1" si="200"/>
        <v>44981</v>
      </c>
      <c r="AK753" s="22">
        <f t="shared" ca="1" si="201"/>
        <v>44922</v>
      </c>
      <c r="AL753" s="22">
        <f t="shared" ca="1" si="202"/>
        <v>44834</v>
      </c>
    </row>
    <row r="754" spans="4:38" x14ac:dyDescent="0.25">
      <c r="D754" s="6">
        <f ca="1"/>
        <v>45008</v>
      </c>
      <c r="E754" s="28">
        <f ca="1"/>
        <v>140.91999999999999</v>
      </c>
      <c r="F754" s="29" cm="1">
        <f t="array" aca="1" ref="F754" ca="1">_xll.FDS($E$7,"P_BETA_LOCIDX("&amp;$AG754&amp;","&amp;$AL754&amp;",,"""&amp;$E$9&amp;""")")</f>
        <v>1.4413967999999999</v>
      </c>
      <c r="G754" s="30">
        <f t="shared" ca="1" si="188"/>
        <v>-3.8780699053094655E-2</v>
      </c>
      <c r="H754" s="30">
        <f t="shared" ca="1" si="188"/>
        <v>-0.16400249823907007</v>
      </c>
      <c r="I754" s="30">
        <f t="shared" ca="1" si="188"/>
        <v>-0.11112463026362576</v>
      </c>
      <c r="J754" s="30">
        <f t="shared" ca="1" si="188"/>
        <v>0.104972618305562</v>
      </c>
      <c r="K754" s="30">
        <f t="shared" ca="1" si="189"/>
        <v>-4.2074163968205533E-3</v>
      </c>
      <c r="L754" s="30">
        <f t="shared" ca="1" si="189"/>
        <v>1.1182971967577855E-2</v>
      </c>
      <c r="M754" s="30">
        <f t="shared" ca="1" si="189"/>
        <v>-2.2847837779638801E-2</v>
      </c>
      <c r="N754" s="30">
        <f t="shared" ca="1" si="189"/>
        <v>3.8951401501240365E-2</v>
      </c>
      <c r="O754" s="30">
        <f t="shared" ca="1" si="190"/>
        <v>-4.298811544991521E-2</v>
      </c>
      <c r="P754" s="30">
        <f t="shared" ca="1" si="191"/>
        <v>-0.1528195262714922</v>
      </c>
      <c r="Q754" s="30">
        <f t="shared" ca="1" si="192"/>
        <v>-0.13397246804326457</v>
      </c>
      <c r="R754" s="30">
        <f t="shared" ca="1" si="193"/>
        <v>0.14392401980680236</v>
      </c>
      <c r="S754" s="9" cm="1">
        <f t="array" aca="1" ref="S754" ca="1">_xll.BDH($E$6,"PX LAST",AG754)</f>
        <v>140.91999999999999</v>
      </c>
      <c r="T754" s="9" cm="1">
        <f t="array" aca="1" ref="T754" ca="1">_xll.BDH($E$6,"PX LAST",AH754)</f>
        <v>147.25</v>
      </c>
      <c r="U754" s="9" cm="1">
        <f t="array" aca="1" ref="U754" ca="1">_xll.BDH($E$6,"PX LAST",AI754)</f>
        <v>166.34</v>
      </c>
      <c r="V754" s="9" cm="1">
        <f t="array" aca="1" ref="V754" ca="1">_xll.BDH($E$6,"PX LAST",AJ754)</f>
        <v>162.72</v>
      </c>
      <c r="W754" s="9" cm="1">
        <f t="array" aca="1" ref="W754" ca="1">_xll.BDH($E$6,"PX LAST",AK754)</f>
        <v>123.19</v>
      </c>
      <c r="X754" s="24">
        <f t="shared" ca="1" si="194"/>
        <v>-2.9189855262760078E-3</v>
      </c>
      <c r="Y754" s="24">
        <f t="shared" ca="1" si="195"/>
        <v>7.7584270809938349E-3</v>
      </c>
      <c r="Z754" s="24">
        <f t="shared" ca="1" si="196"/>
        <v>-1.5851178370618557E-2</v>
      </c>
      <c r="AA754" s="24">
        <f t="shared" ca="1" si="197"/>
        <v>2.702337170530722E-2</v>
      </c>
      <c r="AB754" s="9" cm="1">
        <f t="array" aca="1" ref="AB754" ca="1">_xll.BDH($E$8,"PX LAST",AG754)</f>
        <v>3948.72</v>
      </c>
      <c r="AC754" s="9" cm="1">
        <f t="array" aca="1" ref="AC754" ca="1">_xll.BDH($E$8,"PX LAST",AH754)</f>
        <v>3960.28</v>
      </c>
      <c r="AD754" s="9" cm="1">
        <f t="array" aca="1" ref="AD754" ca="1">_xll.BDH($E$8,"PX LAST",AI754)</f>
        <v>3918.32</v>
      </c>
      <c r="AE754" s="9" cm="1">
        <f t="array" aca="1" ref="AE754" ca="1">_xll.BDH($E$8,"PX LAST",AJ754)</f>
        <v>4012.32</v>
      </c>
      <c r="AF754" s="9" cm="1">
        <f t="array" aca="1" ref="AF754" ca="1">_xll.BDH($E$8,"PX LAST",AK754)</f>
        <v>3844.82</v>
      </c>
      <c r="AG754" s="20">
        <f t="shared" ca="1" si="203"/>
        <v>45008</v>
      </c>
      <c r="AH754" s="22">
        <f t="shared" ca="1" si="198"/>
        <v>45001</v>
      </c>
      <c r="AI754" s="22">
        <f t="shared" ca="1" si="199"/>
        <v>44994</v>
      </c>
      <c r="AJ754" s="22">
        <f t="shared" ca="1" si="200"/>
        <v>44980</v>
      </c>
      <c r="AK754" s="22">
        <f t="shared" ca="1" si="201"/>
        <v>44918</v>
      </c>
      <c r="AL754" s="22">
        <f t="shared" ca="1" si="202"/>
        <v>44833</v>
      </c>
    </row>
    <row r="755" spans="4:38" x14ac:dyDescent="0.25">
      <c r="D755" s="6">
        <f ca="1"/>
        <v>45007</v>
      </c>
      <c r="E755" s="28">
        <f ca="1"/>
        <v>144.11000000000001</v>
      </c>
      <c r="F755" s="29" cm="1">
        <f t="array" aca="1" ref="F755" ca="1">_xll.FDS($E$7,"P_BETA_LOCIDX("&amp;$AG755&amp;","&amp;$AL755&amp;",,"""&amp;$E$9&amp;""")")</f>
        <v>1.4478362</v>
      </c>
      <c r="G755" s="30">
        <f t="shared" ca="1" si="188"/>
        <v>-2.0143980906600228E-2</v>
      </c>
      <c r="H755" s="30">
        <f t="shared" ca="1" si="188"/>
        <v>-0.14345366645647833</v>
      </c>
      <c r="I755" s="30">
        <f t="shared" ca="1" si="188"/>
        <v>-8.9768911167477913E-2</v>
      </c>
      <c r="J755" s="30">
        <f t="shared" ca="1" si="188"/>
        <v>0.14926703184549656</v>
      </c>
      <c r="K755" s="30">
        <f t="shared" ca="1" si="189"/>
        <v>1.6755322538688871E-2</v>
      </c>
      <c r="L755" s="30">
        <f t="shared" ca="1" si="189"/>
        <v>-1.9962100407564239E-2</v>
      </c>
      <c r="M755" s="30">
        <f t="shared" ca="1" si="189"/>
        <v>-1.9618642135778869E-2</v>
      </c>
      <c r="N755" s="30">
        <f t="shared" ca="1" si="189"/>
        <v>4.3400352082335988E-2</v>
      </c>
      <c r="O755" s="30">
        <f t="shared" ca="1" si="190"/>
        <v>-3.3886583679113569E-3</v>
      </c>
      <c r="P755" s="30">
        <f t="shared" ca="1" si="191"/>
        <v>-0.16341576686404258</v>
      </c>
      <c r="Q755" s="30">
        <f t="shared" ca="1" si="192"/>
        <v>-0.10938755330325678</v>
      </c>
      <c r="R755" s="30">
        <f t="shared" ca="1" si="193"/>
        <v>0.19266738392783256</v>
      </c>
      <c r="S755" s="9" cm="1">
        <f t="array" aca="1" ref="S755" ca="1">_xll.BDH($E$6,"PX LAST",AG755)</f>
        <v>144.11000000000001</v>
      </c>
      <c r="T755" s="9" cm="1">
        <f t="array" aca="1" ref="T755" ca="1">_xll.BDH($E$6,"PX LAST",AH755)</f>
        <v>144.6</v>
      </c>
      <c r="U755" s="9" cm="1">
        <f t="array" aca="1" ref="U755" ca="1">_xll.BDH($E$6,"PX LAST",AI755)</f>
        <v>172.26</v>
      </c>
      <c r="V755" s="9" cm="1">
        <f t="array" aca="1" ref="V755" ca="1">_xll.BDH($E$6,"PX LAST",AJ755)</f>
        <v>161.81</v>
      </c>
      <c r="W755" s="9" cm="1">
        <f t="array" aca="1" ref="W755" ca="1">_xll.BDH($E$6,"PX LAST",AK755)</f>
        <v>120.83</v>
      </c>
      <c r="X755" s="24">
        <f t="shared" ca="1" si="194"/>
        <v>1.1572664462104809E-2</v>
      </c>
      <c r="Y755" s="24">
        <f t="shared" ca="1" si="195"/>
        <v>-1.3787540612373306E-2</v>
      </c>
      <c r="Z755" s="24">
        <f t="shared" ca="1" si="196"/>
        <v>-1.3550318838400965E-2</v>
      </c>
      <c r="AA755" s="24">
        <f t="shared" ca="1" si="197"/>
        <v>2.997600977398962E-2</v>
      </c>
      <c r="AB755" s="9" cm="1">
        <f t="array" aca="1" ref="AB755" ca="1">_xll.BDH($E$8,"PX LAST",AG755)</f>
        <v>3936.97</v>
      </c>
      <c r="AC755" s="9" cm="1">
        <f t="array" aca="1" ref="AC755" ca="1">_xll.BDH($E$8,"PX LAST",AH755)</f>
        <v>3891.93</v>
      </c>
      <c r="AD755" s="9" cm="1">
        <f t="array" aca="1" ref="AD755" ca="1">_xll.BDH($E$8,"PX LAST",AI755)</f>
        <v>3992.01</v>
      </c>
      <c r="AE755" s="9" cm="1">
        <f t="array" aca="1" ref="AE755" ca="1">_xll.BDH($E$8,"PX LAST",AJ755)</f>
        <v>3991.05</v>
      </c>
      <c r="AF755" s="9" cm="1">
        <f t="array" aca="1" ref="AF755" ca="1">_xll.BDH($E$8,"PX LAST",AK755)</f>
        <v>3822.39</v>
      </c>
      <c r="AG755" s="20">
        <f t="shared" ca="1" si="203"/>
        <v>45007</v>
      </c>
      <c r="AH755" s="22">
        <f t="shared" ca="1" si="198"/>
        <v>45000</v>
      </c>
      <c r="AI755" s="22">
        <f t="shared" ca="1" si="199"/>
        <v>44993</v>
      </c>
      <c r="AJ755" s="22">
        <f t="shared" ca="1" si="200"/>
        <v>44979</v>
      </c>
      <c r="AK755" s="22">
        <f t="shared" ca="1" si="201"/>
        <v>44917</v>
      </c>
      <c r="AL755" s="22">
        <f t="shared" ca="1" si="202"/>
        <v>44832</v>
      </c>
    </row>
    <row r="756" spans="4:38" x14ac:dyDescent="0.25">
      <c r="D756" s="6">
        <f ca="1"/>
        <v>45006</v>
      </c>
      <c r="E756" s="28">
        <f ca="1"/>
        <v>147.56</v>
      </c>
      <c r="F756" s="29" cm="1">
        <f t="array" aca="1" ref="F756" ca="1">_xll.FDS($E$7,"P_BETA_LOCIDX("&amp;$AG756&amp;","&amp;$AL756&amp;",,"""&amp;$E$9&amp;""")")</f>
        <v>1.4436017000000001</v>
      </c>
      <c r="G756" s="30">
        <f t="shared" ca="1" si="188"/>
        <v>-8.0379455462912419E-2</v>
      </c>
      <c r="H756" s="30">
        <f t="shared" ca="1" si="188"/>
        <v>-0.1406221797995264</v>
      </c>
      <c r="I756" s="30">
        <f t="shared" ca="1" si="188"/>
        <v>-9.3208538109696593E-2</v>
      </c>
      <c r="J756" s="30">
        <f t="shared" ca="1" si="188"/>
        <v>0.13681587922837302</v>
      </c>
      <c r="K756" s="30">
        <f t="shared" ca="1" si="189"/>
        <v>3.0785226427745675E-2</v>
      </c>
      <c r="L756" s="30">
        <f t="shared" ca="1" si="189"/>
        <v>5.9752175663572169E-3</v>
      </c>
      <c r="M756" s="30">
        <f t="shared" ca="1" si="189"/>
        <v>1.9971074266886325E-3</v>
      </c>
      <c r="N756" s="30">
        <f t="shared" ca="1" si="189"/>
        <v>4.631433244577722E-2</v>
      </c>
      <c r="O756" s="30">
        <f t="shared" ca="1" si="190"/>
        <v>-4.9594229035166748E-2</v>
      </c>
      <c r="P756" s="30">
        <f t="shared" ca="1" si="191"/>
        <v>-0.13464696223316919</v>
      </c>
      <c r="Q756" s="30">
        <f t="shared" ca="1" si="192"/>
        <v>-9.1211430683007966E-2</v>
      </c>
      <c r="R756" s="30">
        <f t="shared" ca="1" si="193"/>
        <v>0.18313021167415022</v>
      </c>
      <c r="S756" s="9" cm="1">
        <f t="array" aca="1" ref="S756" ca="1">_xll.BDH($E$6,"PX LAST",AG756)</f>
        <v>147.56</v>
      </c>
      <c r="T756" s="9" cm="1">
        <f t="array" aca="1" ref="T756" ca="1">_xll.BDH($E$6,"PX LAST",AH756)</f>
        <v>155.26</v>
      </c>
      <c r="U756" s="9" cm="1">
        <f t="array" aca="1" ref="U756" ca="1">_xll.BDH($E$6,"PX LAST",AI756)</f>
        <v>170.52</v>
      </c>
      <c r="V756" s="9" cm="1">
        <f t="array" aca="1" ref="V756" ca="1">_xll.BDH($E$6,"PX LAST",AJ756)</f>
        <v>162.37</v>
      </c>
      <c r="W756" s="9" cm="1">
        <f t="array" aca="1" ref="W756" ca="1">_xll.BDH($E$6,"PX LAST",AK756)</f>
        <v>124.72</v>
      </c>
      <c r="X756" s="24">
        <f t="shared" ca="1" si="194"/>
        <v>2.132529106037051E-2</v>
      </c>
      <c r="Y756" s="24">
        <f t="shared" ca="1" si="195"/>
        <v>4.1391039968692311E-3</v>
      </c>
      <c r="Z756" s="24">
        <f t="shared" ca="1" si="196"/>
        <v>1.3834199742828179E-3</v>
      </c>
      <c r="AA756" s="24">
        <f t="shared" ca="1" si="197"/>
        <v>3.2082486773032493E-2</v>
      </c>
      <c r="AB756" s="9" cm="1">
        <f t="array" aca="1" ref="AB756" ca="1">_xll.BDH($E$8,"PX LAST",AG756)</f>
        <v>4002.87</v>
      </c>
      <c r="AC756" s="9" cm="1">
        <f t="array" aca="1" ref="AC756" ca="1">_xll.BDH($E$8,"PX LAST",AH756)</f>
        <v>3919.29</v>
      </c>
      <c r="AD756" s="9" cm="1">
        <f t="array" aca="1" ref="AD756" ca="1">_xll.BDH($E$8,"PX LAST",AI756)</f>
        <v>3986.37</v>
      </c>
      <c r="AE756" s="9" cm="1">
        <f t="array" aca="1" ref="AE756" ca="1">_xll.BDH($E$8,"PX LAST",AJ756)</f>
        <v>3997.34</v>
      </c>
      <c r="AF756" s="9" cm="1">
        <f t="array" aca="1" ref="AF756" ca="1">_xll.BDH($E$8,"PX LAST",AK756)</f>
        <v>3878.44</v>
      </c>
      <c r="AG756" s="20">
        <f t="shared" ca="1" si="203"/>
        <v>45006</v>
      </c>
      <c r="AH756" s="22">
        <f t="shared" ca="1" si="198"/>
        <v>44999</v>
      </c>
      <c r="AI756" s="22">
        <f t="shared" ca="1" si="199"/>
        <v>44992</v>
      </c>
      <c r="AJ756" s="22">
        <f t="shared" ca="1" si="200"/>
        <v>44978</v>
      </c>
      <c r="AK756" s="22">
        <f t="shared" ca="1" si="201"/>
        <v>44916</v>
      </c>
      <c r="AL756" s="22">
        <f t="shared" ca="1" si="202"/>
        <v>44831</v>
      </c>
    </row>
    <row r="757" spans="4:38" x14ac:dyDescent="0.25">
      <c r="D757" s="6">
        <f ca="1"/>
        <v>45005</v>
      </c>
      <c r="E757" s="28">
        <f ca="1"/>
        <v>141.72</v>
      </c>
      <c r="F757" s="29" cm="1">
        <f t="array" aca="1" ref="F757" ca="1">_xll.FDS($E$7,"P_BETA_LOCIDX("&amp;$AG757&amp;","&amp;$AL757&amp;",,"""&amp;$E$9&amp;""")")</f>
        <v>1.4412362999999999</v>
      </c>
      <c r="G757" s="30">
        <f t="shared" ca="1" si="188"/>
        <v>-0.10399592789891879</v>
      </c>
      <c r="H757" s="30">
        <f t="shared" ca="1" si="188"/>
        <v>-0.13810433437044731</v>
      </c>
      <c r="I757" s="30">
        <f t="shared" ca="1" si="188"/>
        <v>-0.11492291315105602</v>
      </c>
      <c r="J757" s="30">
        <f t="shared" ca="1" si="188"/>
        <v>0.12029926975739269</v>
      </c>
      <c r="K757" s="30">
        <f t="shared" ca="1" si="189"/>
        <v>3.581261538659055E-2</v>
      </c>
      <c r="L757" s="30">
        <f t="shared" ca="1" si="189"/>
        <v>-3.4478570814045963E-2</v>
      </c>
      <c r="M757" s="30">
        <f t="shared" ca="1" si="189"/>
        <v>-4.5055748457621676E-2</v>
      </c>
      <c r="N757" s="30">
        <f t="shared" ca="1" si="189"/>
        <v>4.9007660935676538E-2</v>
      </c>
      <c r="O757" s="30">
        <f t="shared" ca="1" si="190"/>
        <v>-6.8183312512328231E-2</v>
      </c>
      <c r="P757" s="30">
        <f t="shared" ca="1" si="191"/>
        <v>-0.17258290518449326</v>
      </c>
      <c r="Q757" s="30">
        <f t="shared" ca="1" si="192"/>
        <v>-0.15997866160867769</v>
      </c>
      <c r="R757" s="30">
        <f t="shared" ca="1" si="193"/>
        <v>0.16930693069306924</v>
      </c>
      <c r="S757" s="9" cm="1">
        <f t="array" aca="1" ref="S757" ca="1">_xll.BDH($E$6,"PX LAST",AG757)</f>
        <v>141.72</v>
      </c>
      <c r="T757" s="9" cm="1">
        <f t="array" aca="1" ref="T757" ca="1">_xll.BDH($E$6,"PX LAST",AH757)</f>
        <v>152.09</v>
      </c>
      <c r="U757" s="9" cm="1">
        <f t="array" aca="1" ref="U757" ca="1">_xll.BDH($E$6,"PX LAST",AI757)</f>
        <v>171.28</v>
      </c>
      <c r="V757" s="9" cm="1">
        <f t="array" aca="1" ref="V757" ca="1">_xll.BDH($E$6,"PX LAST",AJ757)</f>
        <v>168.71</v>
      </c>
      <c r="W757" s="9" cm="1">
        <f t="array" aca="1" ref="W757" ca="1">_xll.BDH($E$6,"PX LAST",AK757)</f>
        <v>121.2</v>
      </c>
      <c r="X757" s="24">
        <f t="shared" ca="1" si="194"/>
        <v>2.4848538290765054E-2</v>
      </c>
      <c r="Y757" s="24">
        <f t="shared" ca="1" si="195"/>
        <v>-2.3922913136482871E-2</v>
      </c>
      <c r="Z757" s="24">
        <f t="shared" ca="1" si="196"/>
        <v>-3.1261874584772587E-2</v>
      </c>
      <c r="AA757" s="24">
        <f t="shared" ca="1" si="197"/>
        <v>3.4003904103495408E-2</v>
      </c>
      <c r="AB757" s="9" cm="1">
        <f t="array" aca="1" ref="AB757" ca="1">_xll.BDH($E$8,"PX LAST",AG757)</f>
        <v>3951.57</v>
      </c>
      <c r="AC757" s="9" cm="1">
        <f t="array" aca="1" ref="AC757" ca="1">_xll.BDH($E$8,"PX LAST",AH757)</f>
        <v>3855.76</v>
      </c>
      <c r="AD757" s="9" cm="1">
        <f t="array" aca="1" ref="AD757" ca="1">_xll.BDH($E$8,"PX LAST",AI757)</f>
        <v>4048.42</v>
      </c>
      <c r="AE757" s="9" cm="1">
        <f t="array" aca="1" ref="AE757" ca="1">_xll.BDH($E$8,"PX LAST",AJ757)</f>
        <v>4079.09</v>
      </c>
      <c r="AF757" s="9" cm="1">
        <f t="array" aca="1" ref="AF757" ca="1">_xll.BDH($E$8,"PX LAST",AK757)</f>
        <v>3821.62</v>
      </c>
      <c r="AG757" s="20">
        <f t="shared" ca="1" si="203"/>
        <v>45005</v>
      </c>
      <c r="AH757" s="22">
        <f t="shared" ca="1" si="198"/>
        <v>44998</v>
      </c>
      <c r="AI757" s="22">
        <f t="shared" ca="1" si="199"/>
        <v>44991</v>
      </c>
      <c r="AJ757" s="22">
        <f t="shared" ca="1" si="200"/>
        <v>44974</v>
      </c>
      <c r="AK757" s="22">
        <f t="shared" ca="1" si="201"/>
        <v>44915</v>
      </c>
      <c r="AL757" s="22">
        <f t="shared" ca="1" si="202"/>
        <v>44830</v>
      </c>
    </row>
    <row r="758" spans="4:38" x14ac:dyDescent="0.25">
      <c r="D758" s="6">
        <f ca="1"/>
        <v>45002</v>
      </c>
      <c r="E758" s="28">
        <f ca="1"/>
        <v>138.62</v>
      </c>
      <c r="F758" s="29" cm="1">
        <f t="array" aca="1" ref="F758" ca="1">_xll.FDS($E$7,"P_BETA_LOCIDX("&amp;$AG758&amp;","&amp;$AL758&amp;",,"""&amp;$E$9&amp;""")")</f>
        <v>1.4511727000000001</v>
      </c>
      <c r="G758" s="30">
        <f t="shared" ca="1" si="188"/>
        <v>-0.1468852874947143</v>
      </c>
      <c r="H758" s="30">
        <f t="shared" ca="1" si="188"/>
        <v>-0.15101758947545135</v>
      </c>
      <c r="I758" s="30">
        <f t="shared" ca="1" si="188"/>
        <v>-0.13223315299385846</v>
      </c>
      <c r="J758" s="30">
        <f t="shared" ca="1" si="188"/>
        <v>0.10065777251164776</v>
      </c>
      <c r="K758" s="30">
        <f t="shared" ca="1" si="189"/>
        <v>2.0687607212314007E-2</v>
      </c>
      <c r="L758" s="30">
        <f t="shared" ca="1" si="189"/>
        <v>-4.6272352038243716E-2</v>
      </c>
      <c r="M758" s="30">
        <f t="shared" ca="1" si="189"/>
        <v>-6.1649145215027359E-2</v>
      </c>
      <c r="N758" s="30">
        <f t="shared" ca="1" si="189"/>
        <v>3.7624375624335293E-2</v>
      </c>
      <c r="O758" s="30">
        <f t="shared" ca="1" si="190"/>
        <v>-0.1261976802824003</v>
      </c>
      <c r="P758" s="30">
        <f t="shared" ca="1" si="191"/>
        <v>-0.19728994151369506</v>
      </c>
      <c r="Q758" s="30">
        <f t="shared" ca="1" si="192"/>
        <v>-0.19388229820888581</v>
      </c>
      <c r="R758" s="30">
        <f t="shared" ca="1" si="193"/>
        <v>0.13828214813598305</v>
      </c>
      <c r="S758" s="9" cm="1">
        <f t="array" aca="1" ref="S758" ca="1">_xll.BDH($E$6,"PX LAST",AG758)</f>
        <v>138.62</v>
      </c>
      <c r="T758" s="9" cm="1">
        <f t="array" aca="1" ref="T758" ca="1">_xll.BDH($E$6,"PX LAST",AH758)</f>
        <v>158.63999999999999</v>
      </c>
      <c r="U758" s="9" cm="1">
        <f t="array" aca="1" ref="U758" ca="1">_xll.BDH($E$6,"PX LAST",AI758)</f>
        <v>172.69</v>
      </c>
      <c r="V758" s="9" cm="1">
        <f t="array" aca="1" ref="V758" ca="1">_xll.BDH($E$6,"PX LAST",AJ758)</f>
        <v>171.96</v>
      </c>
      <c r="W758" s="9" cm="1">
        <f t="array" aca="1" ref="W758" ca="1">_xll.BDH($E$6,"PX LAST",AK758)</f>
        <v>121.78</v>
      </c>
      <c r="X758" s="24">
        <f t="shared" ca="1" si="194"/>
        <v>1.4255785829153211E-2</v>
      </c>
      <c r="Y758" s="24">
        <f t="shared" ca="1" si="195"/>
        <v>-3.1886178701021395E-2</v>
      </c>
      <c r="Z758" s="24">
        <f t="shared" ca="1" si="196"/>
        <v>-4.2482293950973138E-2</v>
      </c>
      <c r="AA758" s="24">
        <f t="shared" ca="1" si="197"/>
        <v>2.5926876673145305E-2</v>
      </c>
      <c r="AB758" s="9" cm="1">
        <f t="array" aca="1" ref="AB758" ca="1">_xll.BDH($E$8,"PX LAST",AG758)</f>
        <v>3916.64</v>
      </c>
      <c r="AC758" s="9" cm="1">
        <f t="array" aca="1" ref="AC758" ca="1">_xll.BDH($E$8,"PX LAST",AH758)</f>
        <v>3861.59</v>
      </c>
      <c r="AD758" s="9" cm="1">
        <f t="array" aca="1" ref="AD758" ca="1">_xll.BDH($E$8,"PX LAST",AI758)</f>
        <v>4045.64</v>
      </c>
      <c r="AE758" s="9" cm="1">
        <f t="array" aca="1" ref="AE758" ca="1">_xll.BDH($E$8,"PX LAST",AJ758)</f>
        <v>4090.41</v>
      </c>
      <c r="AF758" s="9" cm="1">
        <f t="array" aca="1" ref="AF758" ca="1">_xll.BDH($E$8,"PX LAST",AK758)</f>
        <v>3817.66</v>
      </c>
      <c r="AG758" s="20">
        <f t="shared" ca="1" si="203"/>
        <v>45002</v>
      </c>
      <c r="AH758" s="22">
        <f t="shared" ca="1" si="198"/>
        <v>44995</v>
      </c>
      <c r="AI758" s="22">
        <f t="shared" ca="1" si="199"/>
        <v>44988</v>
      </c>
      <c r="AJ758" s="22">
        <f t="shared" ca="1" si="200"/>
        <v>44973</v>
      </c>
      <c r="AK758" s="22">
        <f t="shared" ca="1" si="201"/>
        <v>44914</v>
      </c>
      <c r="AL758" s="22">
        <f t="shared" ca="1" si="202"/>
        <v>44827</v>
      </c>
    </row>
    <row r="759" spans="4:38" x14ac:dyDescent="0.25">
      <c r="D759" s="6">
        <f ca="1"/>
        <v>45001</v>
      </c>
      <c r="E759" s="28">
        <f ca="1"/>
        <v>147.25</v>
      </c>
      <c r="F759" s="29" cm="1">
        <f t="array" aca="1" ref="F759" ca="1">_xll.FDS($E$7,"P_BETA_LOCIDX("&amp;$AG759&amp;","&amp;$AL759&amp;",,"""&amp;$E$9&amp;""")")</f>
        <v>1.4388973</v>
      </c>
      <c r="G759" s="30">
        <f t="shared" ca="1" si="188"/>
        <v>-0.13017361716028611</v>
      </c>
      <c r="H759" s="30">
        <f t="shared" ca="1" si="188"/>
        <v>-0.12681962083140455</v>
      </c>
      <c r="I759" s="30">
        <f t="shared" ca="1" si="188"/>
        <v>-7.9904070975768751E-2</v>
      </c>
      <c r="J759" s="30">
        <f t="shared" ca="1" si="188"/>
        <v>0.18361227194029589</v>
      </c>
      <c r="K759" s="30">
        <f t="shared" ca="1" si="189"/>
        <v>1.540867787929538E-2</v>
      </c>
      <c r="L759" s="30">
        <f t="shared" ca="1" si="189"/>
        <v>-7.6148959802578593E-3</v>
      </c>
      <c r="M759" s="30">
        <f t="shared" ca="1" si="189"/>
        <v>-6.4985592206577333E-2</v>
      </c>
      <c r="N759" s="30">
        <f t="shared" ca="1" si="189"/>
        <v>4.0309264091621673E-2</v>
      </c>
      <c r="O759" s="30">
        <f t="shared" ca="1" si="190"/>
        <v>-0.11476493928099074</v>
      </c>
      <c r="P759" s="30">
        <f t="shared" ca="1" si="191"/>
        <v>-0.13443451681166241</v>
      </c>
      <c r="Q759" s="30">
        <f t="shared" ca="1" si="192"/>
        <v>-0.14488966318234608</v>
      </c>
      <c r="R759" s="30">
        <f t="shared" ca="1" si="193"/>
        <v>0.22392153603191756</v>
      </c>
      <c r="S759" s="9" cm="1">
        <f t="array" aca="1" ref="S759" ca="1">_xll.BDH($E$6,"PX LAST",AG759)</f>
        <v>147.25</v>
      </c>
      <c r="T759" s="9" cm="1">
        <f t="array" aca="1" ref="T759" ca="1">_xll.BDH($E$6,"PX LAST",AH759)</f>
        <v>166.34</v>
      </c>
      <c r="U759" s="9" cm="1">
        <f t="array" aca="1" ref="U759" ca="1">_xll.BDH($E$6,"PX LAST",AI759)</f>
        <v>170.12</v>
      </c>
      <c r="V759" s="9" cm="1">
        <f t="array" aca="1" ref="V759" ca="1">_xll.BDH($E$6,"PX LAST",AJ759)</f>
        <v>172.2</v>
      </c>
      <c r="W759" s="9" cm="1">
        <f t="array" aca="1" ref="W759" ca="1">_xll.BDH($E$6,"PX LAST",AK759)</f>
        <v>120.31</v>
      </c>
      <c r="X759" s="24">
        <f t="shared" ca="1" si="194"/>
        <v>1.0708671063108799E-2</v>
      </c>
      <c r="Y759" s="24">
        <f t="shared" ca="1" si="195"/>
        <v>-5.2921747648410067E-3</v>
      </c>
      <c r="Z759" s="24">
        <f t="shared" ca="1" si="196"/>
        <v>-4.5163468029703946E-2</v>
      </c>
      <c r="AA759" s="24">
        <f t="shared" ca="1" si="197"/>
        <v>2.8013996615061876E-2</v>
      </c>
      <c r="AB759" s="9" cm="1">
        <f t="array" aca="1" ref="AB759" ca="1">_xll.BDH($E$8,"PX LAST",AG759)</f>
        <v>3960.28</v>
      </c>
      <c r="AC759" s="9" cm="1">
        <f t="array" aca="1" ref="AC759" ca="1">_xll.BDH($E$8,"PX LAST",AH759)</f>
        <v>3918.32</v>
      </c>
      <c r="AD759" s="9" cm="1">
        <f t="array" aca="1" ref="AD759" ca="1">_xll.BDH($E$8,"PX LAST",AI759)</f>
        <v>3981.35</v>
      </c>
      <c r="AE759" s="9" cm="1">
        <f t="array" aca="1" ref="AE759" ca="1">_xll.BDH($E$8,"PX LAST",AJ759)</f>
        <v>4147.6000000000004</v>
      </c>
      <c r="AF759" s="9" cm="1">
        <f t="array" aca="1" ref="AF759" ca="1">_xll.BDH($E$8,"PX LAST",AK759)</f>
        <v>3852.36</v>
      </c>
      <c r="AG759" s="20">
        <f t="shared" ca="1" si="203"/>
        <v>45001</v>
      </c>
      <c r="AH759" s="22">
        <f t="shared" ca="1" si="198"/>
        <v>44994</v>
      </c>
      <c r="AI759" s="22">
        <f t="shared" ca="1" si="199"/>
        <v>44987</v>
      </c>
      <c r="AJ759" s="22">
        <f t="shared" ca="1" si="200"/>
        <v>44972</v>
      </c>
      <c r="AK759" s="22">
        <f t="shared" ca="1" si="201"/>
        <v>44911</v>
      </c>
      <c r="AL759" s="22">
        <f t="shared" ca="1" si="202"/>
        <v>44826</v>
      </c>
    </row>
    <row r="760" spans="4:38" x14ac:dyDescent="0.25">
      <c r="D760" s="6">
        <f ca="1"/>
        <v>45000</v>
      </c>
      <c r="E760" s="28">
        <f ca="1"/>
        <v>144.6</v>
      </c>
      <c r="F760" s="29" cm="1">
        <f t="array" aca="1" ref="F760" ca="1">_xll.FDS($E$7,"P_BETA_LOCIDX("&amp;$AG760&amp;","&amp;$AL760&amp;",,"""&amp;$E$9&amp;""")")</f>
        <v>1.4443463999999999</v>
      </c>
      <c r="G760" s="30">
        <f t="shared" ca="1" si="188"/>
        <v>-0.12436135338112569</v>
      </c>
      <c r="H760" s="30">
        <f t="shared" ca="1" si="188"/>
        <v>-0.12035999827429512</v>
      </c>
      <c r="I760" s="30">
        <f t="shared" ca="1" si="188"/>
        <v>-4.2273954569129038E-2</v>
      </c>
      <c r="J760" s="30">
        <f t="shared" ca="1" si="188"/>
        <v>0.1950764899796936</v>
      </c>
      <c r="K760" s="30">
        <f t="shared" ca="1" si="189"/>
        <v>-3.6209876155621053E-2</v>
      </c>
      <c r="L760" s="30">
        <f t="shared" ca="1" si="189"/>
        <v>-2.1734335751216732E-2</v>
      </c>
      <c r="M760" s="30">
        <f t="shared" ca="1" si="189"/>
        <v>-8.5275218834998043E-2</v>
      </c>
      <c r="N760" s="30">
        <f t="shared" ca="1" si="189"/>
        <v>-1.4162621441314496E-3</v>
      </c>
      <c r="O760" s="30">
        <f t="shared" ca="1" si="190"/>
        <v>-0.16057122953674674</v>
      </c>
      <c r="P760" s="30">
        <f t="shared" ca="1" si="191"/>
        <v>-0.14209433402551186</v>
      </c>
      <c r="Q760" s="30">
        <f t="shared" ca="1" si="192"/>
        <v>-0.12754917340412708</v>
      </c>
      <c r="R760" s="30">
        <f t="shared" ca="1" si="193"/>
        <v>0.19366022783556214</v>
      </c>
      <c r="S760" s="9" cm="1">
        <f t="array" aca="1" ref="S760" ca="1">_xll.BDH($E$6,"PX LAST",AG760)</f>
        <v>144.6</v>
      </c>
      <c r="T760" s="9" cm="1">
        <f t="array" aca="1" ref="T760" ca="1">_xll.BDH($E$6,"PX LAST",AH760)</f>
        <v>172.26</v>
      </c>
      <c r="U760" s="9" cm="1">
        <f t="array" aca="1" ref="U760" ca="1">_xll.BDH($E$6,"PX LAST",AI760)</f>
        <v>168.55</v>
      </c>
      <c r="V760" s="9" cm="1">
        <f t="array" aca="1" ref="V760" ca="1">_xll.BDH($E$6,"PX LAST",AJ760)</f>
        <v>165.74</v>
      </c>
      <c r="W760" s="9" cm="1">
        <f t="array" aca="1" ref="W760" ca="1">_xll.BDH($E$6,"PX LAST",AK760)</f>
        <v>121.14</v>
      </c>
      <c r="X760" s="24">
        <f t="shared" ca="1" si="194"/>
        <v>-2.5070077479765973E-2</v>
      </c>
      <c r="Y760" s="24">
        <f t="shared" ca="1" si="195"/>
        <v>-1.5047869230827682E-2</v>
      </c>
      <c r="Z760" s="24">
        <f t="shared" ca="1" si="196"/>
        <v>-5.9040697463571101E-2</v>
      </c>
      <c r="AA760" s="24">
        <f t="shared" ca="1" si="197"/>
        <v>-9.8055573381250483E-4</v>
      </c>
      <c r="AB760" s="9" cm="1">
        <f t="array" aca="1" ref="AB760" ca="1">_xll.BDH($E$8,"PX LAST",AG760)</f>
        <v>3891.93</v>
      </c>
      <c r="AC760" s="9" cm="1">
        <f t="array" aca="1" ref="AC760" ca="1">_xll.BDH($E$8,"PX LAST",AH760)</f>
        <v>3992.01</v>
      </c>
      <c r="AD760" s="9" cm="1">
        <f t="array" aca="1" ref="AD760" ca="1">_xll.BDH($E$8,"PX LAST",AI760)</f>
        <v>3951.39</v>
      </c>
      <c r="AE760" s="9" cm="1">
        <f t="array" aca="1" ref="AE760" ca="1">_xll.BDH($E$8,"PX LAST",AJ760)</f>
        <v>4136.13</v>
      </c>
      <c r="AF760" s="9" cm="1">
        <f t="array" aca="1" ref="AF760" ca="1">_xll.BDH($E$8,"PX LAST",AK760)</f>
        <v>3895.75</v>
      </c>
      <c r="AG760" s="20">
        <f t="shared" ca="1" si="203"/>
        <v>45000</v>
      </c>
      <c r="AH760" s="22">
        <f t="shared" ca="1" si="198"/>
        <v>44993</v>
      </c>
      <c r="AI760" s="22">
        <f t="shared" ca="1" si="199"/>
        <v>44986</v>
      </c>
      <c r="AJ760" s="22">
        <f t="shared" ca="1" si="200"/>
        <v>44971</v>
      </c>
      <c r="AK760" s="22">
        <f t="shared" ca="1" si="201"/>
        <v>44910</v>
      </c>
      <c r="AL760" s="22">
        <f t="shared" ca="1" si="202"/>
        <v>44825</v>
      </c>
    </row>
    <row r="761" spans="4:38" x14ac:dyDescent="0.25">
      <c r="D761" s="6">
        <f ca="1"/>
        <v>44999</v>
      </c>
      <c r="E761" s="28">
        <f ca="1"/>
        <v>155.26</v>
      </c>
      <c r="F761" s="29" cm="1">
        <f t="array" aca="1" ref="F761" ca="1">_xll.FDS($E$7,"P_BETA_LOCIDX("&amp;$AG761&amp;","&amp;$AL761&amp;",,"""&amp;$E$9&amp;""")")</f>
        <v>1.4250301999999999</v>
      </c>
      <c r="G761" s="30">
        <f t="shared" ca="1" si="188"/>
        <v>-6.5511502315262524E-2</v>
      </c>
      <c r="H761" s="30">
        <f t="shared" ca="1" si="188"/>
        <v>-4.4070877327291508E-2</v>
      </c>
      <c r="I761" s="30">
        <f t="shared" ca="1" si="188"/>
        <v>8.8665769447766052E-2</v>
      </c>
      <c r="J761" s="30">
        <f t="shared" ca="1" si="188"/>
        <v>0.25398484062131882</v>
      </c>
      <c r="K761" s="30">
        <f t="shared" ca="1" si="189"/>
        <v>-2.3979466486051162E-2</v>
      </c>
      <c r="L761" s="30">
        <f t="shared" ca="1" si="189"/>
        <v>-1.8255490591539442E-2</v>
      </c>
      <c r="M761" s="30">
        <f t="shared" ca="1" si="189"/>
        <v>-7.5086973260274248E-2</v>
      </c>
      <c r="N761" s="30">
        <f t="shared" ca="1" si="189"/>
        <v>-2.7117989574301955E-2</v>
      </c>
      <c r="O761" s="30">
        <f t="shared" ca="1" si="190"/>
        <v>-8.9490968801313686E-2</v>
      </c>
      <c r="P761" s="30">
        <f t="shared" ca="1" si="191"/>
        <v>-6.2326367918830949E-2</v>
      </c>
      <c r="Q761" s="30">
        <f t="shared" ca="1" si="192"/>
        <v>1.3578796187491804E-2</v>
      </c>
      <c r="R761" s="30">
        <f t="shared" ca="1" si="193"/>
        <v>0.22686685104701687</v>
      </c>
      <c r="S761" s="9" cm="1">
        <f t="array" aca="1" ref="S761" ca="1">_xll.BDH($E$6,"PX LAST",AG761)</f>
        <v>155.26</v>
      </c>
      <c r="T761" s="9" cm="1">
        <f t="array" aca="1" ref="T761" ca="1">_xll.BDH($E$6,"PX LAST",AH761)</f>
        <v>170.52</v>
      </c>
      <c r="U761" s="9" cm="1">
        <f t="array" aca="1" ref="U761" ca="1">_xll.BDH($E$6,"PX LAST",AI761)</f>
        <v>165.58</v>
      </c>
      <c r="V761" s="9" cm="1">
        <f t="array" aca="1" ref="V761" ca="1">_xll.BDH($E$6,"PX LAST",AJ761)</f>
        <v>153.18</v>
      </c>
      <c r="W761" s="9" cm="1">
        <f t="array" aca="1" ref="W761" ca="1">_xll.BDH($E$6,"PX LAST",AK761)</f>
        <v>126.55</v>
      </c>
      <c r="X761" s="24">
        <f t="shared" ca="1" si="194"/>
        <v>-1.6827339158181465E-2</v>
      </c>
      <c r="Y761" s="24">
        <f t="shared" ca="1" si="195"/>
        <v>-1.2810599095752107E-2</v>
      </c>
      <c r="Z761" s="24">
        <f t="shared" ca="1" si="196"/>
        <v>-5.2691496124274595E-2</v>
      </c>
      <c r="AA761" s="24">
        <f t="shared" ca="1" si="197"/>
        <v>-1.9029764824845086E-2</v>
      </c>
      <c r="AB761" s="9" cm="1">
        <f t="array" aca="1" ref="AB761" ca="1">_xll.BDH($E$8,"PX LAST",AG761)</f>
        <v>3919.29</v>
      </c>
      <c r="AC761" s="9" cm="1">
        <f t="array" aca="1" ref="AC761" ca="1">_xll.BDH($E$8,"PX LAST",AH761)</f>
        <v>3986.37</v>
      </c>
      <c r="AD761" s="9" cm="1">
        <f t="array" aca="1" ref="AD761" ca="1">_xll.BDH($E$8,"PX LAST",AI761)</f>
        <v>3970.15</v>
      </c>
      <c r="AE761" s="9" cm="1">
        <f t="array" aca="1" ref="AE761" ca="1">_xll.BDH($E$8,"PX LAST",AJ761)</f>
        <v>4137.29</v>
      </c>
      <c r="AF761" s="9" cm="1">
        <f t="array" aca="1" ref="AF761" ca="1">_xll.BDH($E$8,"PX LAST",AK761)</f>
        <v>3995.32</v>
      </c>
      <c r="AG761" s="20">
        <f t="shared" ca="1" si="203"/>
        <v>44999</v>
      </c>
      <c r="AH761" s="22">
        <f t="shared" ca="1" si="198"/>
        <v>44992</v>
      </c>
      <c r="AI761" s="22">
        <f t="shared" ca="1" si="199"/>
        <v>44985</v>
      </c>
      <c r="AJ761" s="22">
        <f t="shared" ca="1" si="200"/>
        <v>44970</v>
      </c>
      <c r="AK761" s="22">
        <f t="shared" ca="1" si="201"/>
        <v>44909</v>
      </c>
      <c r="AL761" s="22">
        <f t="shared" ca="1" si="202"/>
        <v>44824</v>
      </c>
    </row>
    <row r="762" spans="4:38" x14ac:dyDescent="0.25">
      <c r="D762" s="6">
        <f ca="1"/>
        <v>44998</v>
      </c>
      <c r="E762" s="28">
        <f ca="1"/>
        <v>152.09</v>
      </c>
      <c r="F762" s="29" cm="1">
        <f t="array" aca="1" ref="F762" ca="1">_xll.FDS($E$7,"P_BETA_LOCIDX("&amp;$AG762&amp;","&amp;$AL762&amp;",,"""&amp;$E$9&amp;""")")</f>
        <v>1.4311046999999999</v>
      </c>
      <c r="G762" s="30">
        <f t="shared" ca="1" si="188"/>
        <v>-4.393401705311642E-2</v>
      </c>
      <c r="H762" s="30">
        <f t="shared" ca="1" si="188"/>
        <v>-3.9389306519982216E-2</v>
      </c>
      <c r="I762" s="30">
        <f t="shared" ca="1" si="188"/>
        <v>0.10436069487348912</v>
      </c>
      <c r="J762" s="30">
        <f t="shared" ca="1" si="188"/>
        <v>0.24442119845317645</v>
      </c>
      <c r="K762" s="30">
        <f t="shared" ca="1" si="189"/>
        <v>-6.8104749878224097E-2</v>
      </c>
      <c r="L762" s="30">
        <f t="shared" ca="1" si="189"/>
        <v>-4.5453343458957539E-2</v>
      </c>
      <c r="M762" s="30">
        <f t="shared" ca="1" si="189"/>
        <v>-8.2113080946886102E-2</v>
      </c>
      <c r="N762" s="30">
        <f t="shared" ca="1" si="189"/>
        <v>-5.8349296402174233E-2</v>
      </c>
      <c r="O762" s="30">
        <f t="shared" ca="1" si="190"/>
        <v>-0.11203876693134052</v>
      </c>
      <c r="P762" s="30">
        <f t="shared" ca="1" si="191"/>
        <v>-8.4842649978939755E-2</v>
      </c>
      <c r="Q762" s="30">
        <f t="shared" ca="1" si="192"/>
        <v>2.2247613926603016E-2</v>
      </c>
      <c r="R762" s="30">
        <f t="shared" ca="1" si="193"/>
        <v>0.18607190205100221</v>
      </c>
      <c r="S762" s="9" cm="1">
        <f t="array" aca="1" ref="S762" ca="1">_xll.BDH($E$6,"PX LAST",AG762)</f>
        <v>152.09</v>
      </c>
      <c r="T762" s="9" cm="1">
        <f t="array" aca="1" ref="T762" ca="1">_xll.BDH($E$6,"PX LAST",AH762)</f>
        <v>171.28</v>
      </c>
      <c r="U762" s="9" cm="1">
        <f t="array" aca="1" ref="U762" ca="1">_xll.BDH($E$6,"PX LAST",AI762)</f>
        <v>166.19</v>
      </c>
      <c r="V762" s="9" cm="1">
        <f t="array" aca="1" ref="V762" ca="1">_xll.BDH($E$6,"PX LAST",AJ762)</f>
        <v>148.78</v>
      </c>
      <c r="W762" s="9" cm="1">
        <f t="array" aca="1" ref="W762" ca="1">_xll.BDH($E$6,"PX LAST",AK762)</f>
        <v>128.22999999999999</v>
      </c>
      <c r="X762" s="24">
        <f t="shared" ca="1" si="194"/>
        <v>-4.7588935930560572E-2</v>
      </c>
      <c r="Y762" s="24">
        <f t="shared" ca="1" si="195"/>
        <v>-3.1761018924022499E-2</v>
      </c>
      <c r="Z762" s="24">
        <f t="shared" ca="1" si="196"/>
        <v>-5.7377409875661867E-2</v>
      </c>
      <c r="AA762" s="24">
        <f t="shared" ca="1" si="197"/>
        <v>-4.0772206535394817E-2</v>
      </c>
      <c r="AB762" s="9" cm="1">
        <f t="array" aca="1" ref="AB762" ca="1">_xll.BDH($E$8,"PX LAST",AG762)</f>
        <v>3855.76</v>
      </c>
      <c r="AC762" s="9" cm="1">
        <f t="array" aca="1" ref="AC762" ca="1">_xll.BDH($E$8,"PX LAST",AH762)</f>
        <v>4048.42</v>
      </c>
      <c r="AD762" s="9" cm="1">
        <f t="array" aca="1" ref="AD762" ca="1">_xll.BDH($E$8,"PX LAST",AI762)</f>
        <v>3982.24</v>
      </c>
      <c r="AE762" s="9" cm="1">
        <f t="array" aca="1" ref="AE762" ca="1">_xll.BDH($E$8,"PX LAST",AJ762)</f>
        <v>4090.46</v>
      </c>
      <c r="AF762" s="9" cm="1">
        <f t="array" aca="1" ref="AF762" ca="1">_xll.BDH($E$8,"PX LAST",AK762)</f>
        <v>4019.65</v>
      </c>
      <c r="AG762" s="20">
        <f t="shared" ca="1" si="203"/>
        <v>44998</v>
      </c>
      <c r="AH762" s="22">
        <f t="shared" ca="1" si="198"/>
        <v>44991</v>
      </c>
      <c r="AI762" s="22">
        <f t="shared" ca="1" si="199"/>
        <v>44984</v>
      </c>
      <c r="AJ762" s="22">
        <f t="shared" ca="1" si="200"/>
        <v>44967</v>
      </c>
      <c r="AK762" s="22">
        <f t="shared" ca="1" si="201"/>
        <v>44908</v>
      </c>
      <c r="AL762" s="22">
        <f t="shared" ca="1" si="202"/>
        <v>44823</v>
      </c>
    </row>
    <row r="763" spans="4:38" x14ac:dyDescent="0.25">
      <c r="D763" s="6">
        <f ca="1"/>
        <v>44995</v>
      </c>
      <c r="E763" s="28">
        <f ca="1"/>
        <v>158.63999999999999</v>
      </c>
      <c r="F763" s="29" cm="1">
        <f t="array" aca="1" ref="F763" ca="1">_xll.FDS($E$7,"P_BETA_LOCIDX("&amp;$AG763&amp;","&amp;$AL763&amp;",,"""&amp;$E$9&amp;""")")</f>
        <v>1.4389677999999999</v>
      </c>
      <c r="G763" s="30">
        <f t="shared" ca="1" si="188"/>
        <v>-1.5896095219196937E-2</v>
      </c>
      <c r="H763" s="30">
        <f t="shared" ca="1" si="188"/>
        <v>7.3338190806811754E-3</v>
      </c>
      <c r="I763" s="30">
        <f t="shared" ca="1" si="188"/>
        <v>0.14323046973496789</v>
      </c>
      <c r="J763" s="30">
        <f t="shared" ca="1" si="188"/>
        <v>0.32256744874079846</v>
      </c>
      <c r="K763" s="30">
        <f t="shared" ca="1" si="189"/>
        <v>-6.5463566602564638E-2</v>
      </c>
      <c r="L763" s="30">
        <f t="shared" ca="1" si="189"/>
        <v>-3.9308434653051311E-2</v>
      </c>
      <c r="M763" s="30">
        <f t="shared" ca="1" si="189"/>
        <v>-7.7531154942545574E-2</v>
      </c>
      <c r="N763" s="30">
        <f t="shared" ca="1" si="189"/>
        <v>-4.6505672679022371E-2</v>
      </c>
      <c r="O763" s="30">
        <f t="shared" ca="1" si="190"/>
        <v>-8.1359661821761575E-2</v>
      </c>
      <c r="P763" s="30">
        <f t="shared" ca="1" si="191"/>
        <v>-3.1974615572370135E-2</v>
      </c>
      <c r="Q763" s="30">
        <f t="shared" ca="1" si="192"/>
        <v>6.5699314792422303E-2</v>
      </c>
      <c r="R763" s="30">
        <f t="shared" ca="1" si="193"/>
        <v>0.27606177606177607</v>
      </c>
      <c r="S763" s="9" cm="1">
        <f t="array" aca="1" ref="S763" ca="1">_xll.BDH($E$6,"PX LAST",AG763)</f>
        <v>158.63999999999999</v>
      </c>
      <c r="T763" s="9" cm="1">
        <f t="array" aca="1" ref="T763" ca="1">_xll.BDH($E$6,"PX LAST",AH763)</f>
        <v>172.69</v>
      </c>
      <c r="U763" s="9" cm="1">
        <f t="array" aca="1" ref="U763" ca="1">_xll.BDH($E$6,"PX LAST",AI763)</f>
        <v>163.88</v>
      </c>
      <c r="V763" s="9" cm="1">
        <f t="array" aca="1" ref="V763" ca="1">_xll.BDH($E$6,"PX LAST",AJ763)</f>
        <v>148.86000000000001</v>
      </c>
      <c r="W763" s="9" cm="1">
        <f t="array" aca="1" ref="W763" ca="1">_xll.BDH($E$6,"PX LAST",AK763)</f>
        <v>124.32</v>
      </c>
      <c r="X763" s="24">
        <f t="shared" ca="1" si="194"/>
        <v>-4.5493420076922253E-2</v>
      </c>
      <c r="Y763" s="24">
        <f t="shared" ca="1" si="195"/>
        <v>-2.7317105117328766E-2</v>
      </c>
      <c r="Z763" s="24">
        <f t="shared" ca="1" si="196"/>
        <v>-5.3879701090285392E-2</v>
      </c>
      <c r="AA763" s="24">
        <f t="shared" ca="1" si="197"/>
        <v>-3.2318772302634136E-2</v>
      </c>
      <c r="AB763" s="9" cm="1">
        <f t="array" aca="1" ref="AB763" ca="1">_xll.BDH($E$8,"PX LAST",AG763)</f>
        <v>3861.59</v>
      </c>
      <c r="AC763" s="9" cm="1">
        <f t="array" aca="1" ref="AC763" ca="1">_xll.BDH($E$8,"PX LAST",AH763)</f>
        <v>4045.64</v>
      </c>
      <c r="AD763" s="9" cm="1">
        <f t="array" aca="1" ref="AD763" ca="1">_xll.BDH($E$8,"PX LAST",AI763)</f>
        <v>3970.04</v>
      </c>
      <c r="AE763" s="9" cm="1">
        <f t="array" aca="1" ref="AE763" ca="1">_xll.BDH($E$8,"PX LAST",AJ763)</f>
        <v>4081.5</v>
      </c>
      <c r="AF763" s="9" cm="1">
        <f t="array" aca="1" ref="AF763" ca="1">_xll.BDH($E$8,"PX LAST",AK763)</f>
        <v>3990.56</v>
      </c>
      <c r="AG763" s="20">
        <f t="shared" ca="1" si="203"/>
        <v>44995</v>
      </c>
      <c r="AH763" s="22">
        <f t="shared" ca="1" si="198"/>
        <v>44988</v>
      </c>
      <c r="AI763" s="22">
        <f t="shared" ca="1" si="199"/>
        <v>44981</v>
      </c>
      <c r="AJ763" s="22">
        <f t="shared" ca="1" si="200"/>
        <v>44966</v>
      </c>
      <c r="AK763" s="22">
        <f t="shared" ca="1" si="201"/>
        <v>44907</v>
      </c>
      <c r="AL763" s="22">
        <f t="shared" ca="1" si="202"/>
        <v>44820</v>
      </c>
    </row>
    <row r="764" spans="4:38" x14ac:dyDescent="0.25">
      <c r="D764" s="6">
        <f ca="1"/>
        <v>44994</v>
      </c>
      <c r="E764" s="28">
        <f ca="1"/>
        <v>166.34</v>
      </c>
      <c r="F764" s="29" cm="1">
        <f t="array" aca="1" ref="F764" ca="1">_xll.FDS($E$7,"P_BETA_LOCIDX("&amp;$AG764&amp;","&amp;$AL764&amp;",,"""&amp;$E$9&amp;""")")</f>
        <v>1.4191524</v>
      </c>
      <c r="G764" s="30">
        <f t="shared" ca="1" si="188"/>
        <v>2.4743686024816108E-4</v>
      </c>
      <c r="H764" s="30">
        <f t="shared" ca="1" si="188"/>
        <v>5.5494482876516114E-2</v>
      </c>
      <c r="I764" s="30">
        <f t="shared" ca="1" si="188"/>
        <v>0.16549131247721016</v>
      </c>
      <c r="J764" s="30">
        <f t="shared" ca="1" si="188"/>
        <v>0.37721679007086711</v>
      </c>
      <c r="K764" s="30">
        <f t="shared" ca="1" si="189"/>
        <v>-2.2467046547527701E-2</v>
      </c>
      <c r="L764" s="30">
        <f t="shared" ca="1" si="189"/>
        <v>-3.3247678550065794E-2</v>
      </c>
      <c r="M764" s="30">
        <f t="shared" ca="1" si="189"/>
        <v>-6.8768163535428473E-2</v>
      </c>
      <c r="N764" s="30">
        <f t="shared" ca="1" si="189"/>
        <v>-5.7929299010263538E-3</v>
      </c>
      <c r="O764" s="30">
        <f t="shared" ca="1" si="190"/>
        <v>-2.221960968727954E-2</v>
      </c>
      <c r="P764" s="30">
        <f t="shared" ca="1" si="191"/>
        <v>2.224680432645032E-2</v>
      </c>
      <c r="Q764" s="30">
        <f t="shared" ca="1" si="192"/>
        <v>9.6723148941781689E-2</v>
      </c>
      <c r="R764" s="30">
        <f t="shared" ca="1" si="193"/>
        <v>0.37142386016984075</v>
      </c>
      <c r="S764" s="9" cm="1">
        <f t="array" aca="1" ref="S764" ca="1">_xll.BDH($E$6,"PX LAST",AG764)</f>
        <v>166.34</v>
      </c>
      <c r="T764" s="9" cm="1">
        <f t="array" aca="1" ref="T764" ca="1">_xll.BDH($E$6,"PX LAST",AH764)</f>
        <v>170.12</v>
      </c>
      <c r="U764" s="9" cm="1">
        <f t="array" aca="1" ref="U764" ca="1">_xll.BDH($E$6,"PX LAST",AI764)</f>
        <v>162.72</v>
      </c>
      <c r="V764" s="9" cm="1">
        <f t="array" aca="1" ref="V764" ca="1">_xll.BDH($E$6,"PX LAST",AJ764)</f>
        <v>151.66999999999999</v>
      </c>
      <c r="W764" s="9" cm="1">
        <f t="array" aca="1" ref="W764" ca="1">_xll.BDH($E$6,"PX LAST",AK764)</f>
        <v>121.29</v>
      </c>
      <c r="X764" s="24">
        <f t="shared" ca="1" si="194"/>
        <v>-1.583131349918987E-2</v>
      </c>
      <c r="Y764" s="24">
        <f t="shared" ca="1" si="195"/>
        <v>-2.342784224588268E-2</v>
      </c>
      <c r="Z764" s="24">
        <f t="shared" ca="1" si="196"/>
        <v>-4.8457208355796366E-2</v>
      </c>
      <c r="AA764" s="24">
        <f t="shared" ca="1" si="197"/>
        <v>-4.0819646297510781E-3</v>
      </c>
      <c r="AB764" s="9" cm="1">
        <f t="array" aca="1" ref="AB764" ca="1">_xll.BDH($E$8,"PX LAST",AG764)</f>
        <v>3918.32</v>
      </c>
      <c r="AC764" s="9" cm="1">
        <f t="array" aca="1" ref="AC764" ca="1">_xll.BDH($E$8,"PX LAST",AH764)</f>
        <v>3981.35</v>
      </c>
      <c r="AD764" s="9" cm="1">
        <f t="array" aca="1" ref="AD764" ca="1">_xll.BDH($E$8,"PX LAST",AI764)</f>
        <v>4012.32</v>
      </c>
      <c r="AE764" s="9" cm="1">
        <f t="array" aca="1" ref="AE764" ca="1">_xll.BDH($E$8,"PX LAST",AJ764)</f>
        <v>4117.8599999999997</v>
      </c>
      <c r="AF764" s="9" cm="1">
        <f t="array" aca="1" ref="AF764" ca="1">_xll.BDH($E$8,"PX LAST",AK764)</f>
        <v>3934.38</v>
      </c>
      <c r="AG764" s="20">
        <f t="shared" ca="1" si="203"/>
        <v>44994</v>
      </c>
      <c r="AH764" s="22">
        <f t="shared" ca="1" si="198"/>
        <v>44987</v>
      </c>
      <c r="AI764" s="22">
        <f t="shared" ca="1" si="199"/>
        <v>44980</v>
      </c>
      <c r="AJ764" s="22">
        <f t="shared" ca="1" si="200"/>
        <v>44965</v>
      </c>
      <c r="AK764" s="22">
        <f t="shared" ca="1" si="201"/>
        <v>44904</v>
      </c>
      <c r="AL764" s="22">
        <f t="shared" ca="1" si="202"/>
        <v>44819</v>
      </c>
    </row>
    <row r="765" spans="4:38" x14ac:dyDescent="0.25">
      <c r="D765" s="6">
        <f ca="1"/>
        <v>44993</v>
      </c>
      <c r="E765" s="28">
        <f ca="1"/>
        <v>172.26</v>
      </c>
      <c r="F765" s="29" cm="1">
        <f t="array" aca="1" ref="F765" ca="1">_xll.FDS($E$7,"P_BETA_LOCIDX("&amp;$AG765&amp;","&amp;$AL765&amp;",,"""&amp;$E$9&amp;""")")</f>
        <v>1.4056234000000001</v>
      </c>
      <c r="G765" s="30">
        <f t="shared" ca="1" si="188"/>
        <v>7.5615669441823023E-3</v>
      </c>
      <c r="H765" s="30">
        <f t="shared" ca="1" si="188"/>
        <v>6.4243810934759643E-2</v>
      </c>
      <c r="I765" s="30">
        <f t="shared" ca="1" si="188"/>
        <v>0.17525099100382513</v>
      </c>
      <c r="J765" s="30">
        <f t="shared" ca="1" si="188"/>
        <v>0.38708633826687538</v>
      </c>
      <c r="K765" s="30">
        <f t="shared" ca="1" si="189"/>
        <v>1.444970567521831E-2</v>
      </c>
      <c r="L765" s="30">
        <f t="shared" ca="1" si="189"/>
        <v>3.3810612846260201E-4</v>
      </c>
      <c r="M765" s="30">
        <f t="shared" ca="1" si="189"/>
        <v>-5.8057917523054663E-2</v>
      </c>
      <c r="N765" s="30">
        <f t="shared" ca="1" si="189"/>
        <v>1.0107270298296094E-2</v>
      </c>
      <c r="O765" s="30">
        <f t="shared" ca="1" si="190"/>
        <v>2.2011272619400613E-2</v>
      </c>
      <c r="P765" s="30">
        <f t="shared" ca="1" si="191"/>
        <v>6.4581917063222249E-2</v>
      </c>
      <c r="Q765" s="30">
        <f t="shared" ca="1" si="192"/>
        <v>0.11719307348077046</v>
      </c>
      <c r="R765" s="30">
        <f t="shared" ca="1" si="193"/>
        <v>0.3971936085651715</v>
      </c>
      <c r="S765" s="9" cm="1">
        <f t="array" aca="1" ref="S765" ca="1">_xll.BDH($E$6,"PX LAST",AG765)</f>
        <v>172.26</v>
      </c>
      <c r="T765" s="9" cm="1">
        <f t="array" aca="1" ref="T765" ca="1">_xll.BDH($E$6,"PX LAST",AH765)</f>
        <v>168.55</v>
      </c>
      <c r="U765" s="9" cm="1">
        <f t="array" aca="1" ref="U765" ca="1">_xll.BDH($E$6,"PX LAST",AI765)</f>
        <v>161.81</v>
      </c>
      <c r="V765" s="9" cm="1">
        <f t="array" aca="1" ref="V765" ca="1">_xll.BDH($E$6,"PX LAST",AJ765)</f>
        <v>154.19</v>
      </c>
      <c r="W765" s="9" cm="1">
        <f t="array" aca="1" ref="W765" ca="1">_xll.BDH($E$6,"PX LAST",AK765)</f>
        <v>123.29</v>
      </c>
      <c r="X765" s="24">
        <f t="shared" ca="1" si="194"/>
        <v>1.0279926810565554E-2</v>
      </c>
      <c r="Y765" s="24">
        <f t="shared" ca="1" si="195"/>
        <v>2.4053820423208805E-4</v>
      </c>
      <c r="Z765" s="24">
        <f t="shared" ca="1" si="196"/>
        <v>-4.1304034582132498E-2</v>
      </c>
      <c r="AA765" s="24">
        <f t="shared" ca="1" si="197"/>
        <v>7.1905962139617863E-3</v>
      </c>
      <c r="AB765" s="9" cm="1">
        <f t="array" aca="1" ref="AB765" ca="1">_xll.BDH($E$8,"PX LAST",AG765)</f>
        <v>3992.01</v>
      </c>
      <c r="AC765" s="9" cm="1">
        <f t="array" aca="1" ref="AC765" ca="1">_xll.BDH($E$8,"PX LAST",AH765)</f>
        <v>3951.39</v>
      </c>
      <c r="AD765" s="9" cm="1">
        <f t="array" aca="1" ref="AD765" ca="1">_xll.BDH($E$8,"PX LAST",AI765)</f>
        <v>3991.05</v>
      </c>
      <c r="AE765" s="9" cm="1">
        <f t="array" aca="1" ref="AE765" ca="1">_xll.BDH($E$8,"PX LAST",AJ765)</f>
        <v>4164</v>
      </c>
      <c r="AF765" s="9" cm="1">
        <f t="array" aca="1" ref="AF765" ca="1">_xll.BDH($E$8,"PX LAST",AK765)</f>
        <v>3963.51</v>
      </c>
      <c r="AG765" s="20">
        <f t="shared" ca="1" si="203"/>
        <v>44993</v>
      </c>
      <c r="AH765" s="22">
        <f t="shared" ca="1" si="198"/>
        <v>44986</v>
      </c>
      <c r="AI765" s="22">
        <f t="shared" ca="1" si="199"/>
        <v>44979</v>
      </c>
      <c r="AJ765" s="22">
        <f t="shared" ca="1" si="200"/>
        <v>44964</v>
      </c>
      <c r="AK765" s="22">
        <f t="shared" ca="1" si="201"/>
        <v>44903</v>
      </c>
      <c r="AL765" s="22">
        <f t="shared" ca="1" si="202"/>
        <v>44818</v>
      </c>
    </row>
    <row r="766" spans="4:38" x14ac:dyDescent="0.25">
      <c r="D766" s="6">
        <f ca="1"/>
        <v>44992</v>
      </c>
      <c r="E766" s="28">
        <f ca="1"/>
        <v>170.52</v>
      </c>
      <c r="F766" s="29" cm="1">
        <f t="array" aca="1" ref="F766" ca="1">_xll.FDS($E$7,"P_BETA_LOCIDX("&amp;$AG766&amp;","&amp;$AL766&amp;",,"""&amp;$E$9&amp;""")")</f>
        <v>1.3573356000000001</v>
      </c>
      <c r="G766" s="30">
        <f t="shared" ca="1" si="188"/>
        <v>2.428914283428546E-2</v>
      </c>
      <c r="H766" s="30">
        <f t="shared" ca="1" si="188"/>
        <v>5.3918971342972424E-2</v>
      </c>
      <c r="I766" s="30">
        <f t="shared" ca="1" si="188"/>
        <v>0.15780118871171395</v>
      </c>
      <c r="J766" s="30">
        <f t="shared" ca="1" si="188"/>
        <v>0.36621860973188686</v>
      </c>
      <c r="K766" s="30">
        <f t="shared" ca="1" si="189"/>
        <v>5.5453782431394445E-3</v>
      </c>
      <c r="L766" s="30">
        <f t="shared" ca="1" si="189"/>
        <v>-3.7249699880421852E-3</v>
      </c>
      <c r="M766" s="30">
        <f t="shared" ca="1" si="189"/>
        <v>-4.1174903596135341E-2</v>
      </c>
      <c r="N766" s="30">
        <f t="shared" ca="1" si="189"/>
        <v>1.8097025923252075E-2</v>
      </c>
      <c r="O766" s="30">
        <f t="shared" ca="1" si="190"/>
        <v>2.9834521077424903E-2</v>
      </c>
      <c r="P766" s="30">
        <f t="shared" ca="1" si="191"/>
        <v>5.019400135493024E-2</v>
      </c>
      <c r="Q766" s="30">
        <f t="shared" ca="1" si="192"/>
        <v>0.1166262851155786</v>
      </c>
      <c r="R766" s="30">
        <f t="shared" ca="1" si="193"/>
        <v>0.38431563565513893</v>
      </c>
      <c r="S766" s="9" cm="1">
        <f t="array" aca="1" ref="S766" ca="1">_xll.BDH($E$6,"PX LAST",AG766)</f>
        <v>170.52</v>
      </c>
      <c r="T766" s="9" cm="1">
        <f t="array" aca="1" ref="T766" ca="1">_xll.BDH($E$6,"PX LAST",AH766)</f>
        <v>165.58</v>
      </c>
      <c r="U766" s="9" cm="1">
        <f t="array" aca="1" ref="U766" ca="1">_xll.BDH($E$6,"PX LAST",AI766)</f>
        <v>162.37</v>
      </c>
      <c r="V766" s="9" cm="1">
        <f t="array" aca="1" ref="V766" ca="1">_xll.BDH($E$6,"PX LAST",AJ766)</f>
        <v>152.71</v>
      </c>
      <c r="W766" s="9" cm="1">
        <f t="array" aca="1" ref="W766" ca="1">_xll.BDH($E$6,"PX LAST",AK766)</f>
        <v>123.18</v>
      </c>
      <c r="X766" s="24">
        <f t="shared" ca="1" si="194"/>
        <v>4.0854879538556599E-3</v>
      </c>
      <c r="Y766" s="24">
        <f t="shared" ca="1" si="195"/>
        <v>-2.7443249761092137E-3</v>
      </c>
      <c r="Z766" s="24">
        <f t="shared" ca="1" si="196"/>
        <v>-3.0335094427741627E-2</v>
      </c>
      <c r="AA766" s="24">
        <f t="shared" ca="1" si="197"/>
        <v>1.3332757148086349E-2</v>
      </c>
      <c r="AB766" s="9" cm="1">
        <f t="array" aca="1" ref="AB766" ca="1">_xll.BDH($E$8,"PX LAST",AG766)</f>
        <v>3986.37</v>
      </c>
      <c r="AC766" s="9" cm="1">
        <f t="array" aca="1" ref="AC766" ca="1">_xll.BDH($E$8,"PX LAST",AH766)</f>
        <v>3970.15</v>
      </c>
      <c r="AD766" s="9" cm="1">
        <f t="array" aca="1" ref="AD766" ca="1">_xll.BDH($E$8,"PX LAST",AI766)</f>
        <v>3997.34</v>
      </c>
      <c r="AE766" s="9" cm="1">
        <f t="array" aca="1" ref="AE766" ca="1">_xll.BDH($E$8,"PX LAST",AJ766)</f>
        <v>4111.08</v>
      </c>
      <c r="AF766" s="9" cm="1">
        <f t="array" aca="1" ref="AF766" ca="1">_xll.BDH($E$8,"PX LAST",AK766)</f>
        <v>3933.92</v>
      </c>
      <c r="AG766" s="20">
        <f t="shared" ca="1" si="203"/>
        <v>44992</v>
      </c>
      <c r="AH766" s="22">
        <f t="shared" ca="1" si="198"/>
        <v>44985</v>
      </c>
      <c r="AI766" s="22">
        <f t="shared" ca="1" si="199"/>
        <v>44978</v>
      </c>
      <c r="AJ766" s="22">
        <f t="shared" ca="1" si="200"/>
        <v>44963</v>
      </c>
      <c r="AK766" s="22">
        <f t="shared" ca="1" si="201"/>
        <v>44902</v>
      </c>
      <c r="AL766" s="22">
        <f t="shared" ca="1" si="202"/>
        <v>44817</v>
      </c>
    </row>
    <row r="767" spans="4:38" x14ac:dyDescent="0.25">
      <c r="D767" s="6">
        <f ca="1"/>
        <v>44991</v>
      </c>
      <c r="E767" s="28">
        <f ca="1"/>
        <v>171.28</v>
      </c>
      <c r="F767" s="29" cm="1">
        <f t="array" aca="1" ref="F767" ca="1">_xll.FDS($E$7,"P_BETA_LOCIDX("&amp;$AG767&amp;","&amp;$AL767&amp;",,"""&amp;$E$9&amp;""")")</f>
        <v>1.3528811999999999</v>
      </c>
      <c r="G767" s="30">
        <f t="shared" ca="1" si="188"/>
        <v>8.1443498593996959E-3</v>
      </c>
      <c r="H767" s="30">
        <f t="shared" ca="1" si="188"/>
        <v>2.5405329443620422E-2</v>
      </c>
      <c r="I767" s="30">
        <f t="shared" ca="1" si="188"/>
        <v>0.14989013763871928</v>
      </c>
      <c r="J767" s="30">
        <f t="shared" ca="1" si="188"/>
        <v>0.37630087067551538</v>
      </c>
      <c r="K767" s="30">
        <f t="shared" ca="1" si="189"/>
        <v>2.248324506207568E-2</v>
      </c>
      <c r="L767" s="30">
        <f t="shared" ca="1" si="189"/>
        <v>-1.0172088971805021E-2</v>
      </c>
      <c r="M767" s="30">
        <f t="shared" ca="1" si="189"/>
        <v>-2.8800989844505298E-2</v>
      </c>
      <c r="N767" s="30">
        <f t="shared" ca="1" si="189"/>
        <v>3.6783858307241908E-2</v>
      </c>
      <c r="O767" s="30">
        <f t="shared" ca="1" si="190"/>
        <v>3.0627594921475376E-2</v>
      </c>
      <c r="P767" s="30">
        <f t="shared" ca="1" si="191"/>
        <v>1.5233240471815401E-2</v>
      </c>
      <c r="Q767" s="30">
        <f t="shared" ca="1" si="192"/>
        <v>0.12108914779421398</v>
      </c>
      <c r="R767" s="30">
        <f t="shared" ca="1" si="193"/>
        <v>0.41308472898275728</v>
      </c>
      <c r="S767" s="9" cm="1">
        <f t="array" aca="1" ref="S767" ca="1">_xll.BDH($E$6,"PX LAST",AG767)</f>
        <v>171.28</v>
      </c>
      <c r="T767" s="9" cm="1">
        <f t="array" aca="1" ref="T767" ca="1">_xll.BDH($E$6,"PX LAST",AH767)</f>
        <v>166.19</v>
      </c>
      <c r="U767" s="9" cm="1">
        <f t="array" aca="1" ref="U767" ca="1">_xll.BDH($E$6,"PX LAST",AI767)</f>
        <v>168.71</v>
      </c>
      <c r="V767" s="9" cm="1">
        <f t="array" aca="1" ref="V767" ca="1">_xll.BDH($E$6,"PX LAST",AJ767)</f>
        <v>152.78</v>
      </c>
      <c r="W767" s="9" cm="1">
        <f t="array" aca="1" ref="W767" ca="1">_xll.BDH($E$6,"PX LAST",AK767)</f>
        <v>121.21</v>
      </c>
      <c r="X767" s="24">
        <f t="shared" ca="1" si="194"/>
        <v>1.6618787416127656E-2</v>
      </c>
      <c r="Y767" s="24">
        <f t="shared" ca="1" si="195"/>
        <v>-7.5188338575515878E-3</v>
      </c>
      <c r="Z767" s="24">
        <f t="shared" ca="1" si="196"/>
        <v>-2.1288631880245878E-2</v>
      </c>
      <c r="AA767" s="24">
        <f t="shared" ca="1" si="197"/>
        <v>2.7189274495973415E-2</v>
      </c>
      <c r="AB767" s="9" cm="1">
        <f t="array" aca="1" ref="AB767" ca="1">_xll.BDH($E$8,"PX LAST",AG767)</f>
        <v>4048.42</v>
      </c>
      <c r="AC767" s="9" cm="1">
        <f t="array" aca="1" ref="AC767" ca="1">_xll.BDH($E$8,"PX LAST",AH767)</f>
        <v>3982.24</v>
      </c>
      <c r="AD767" s="9" cm="1">
        <f t="array" aca="1" ref="AD767" ca="1">_xll.BDH($E$8,"PX LAST",AI767)</f>
        <v>4079.09</v>
      </c>
      <c r="AE767" s="9" cm="1">
        <f t="array" aca="1" ref="AE767" ca="1">_xll.BDH($E$8,"PX LAST",AJ767)</f>
        <v>4136.4799999999996</v>
      </c>
      <c r="AF767" s="9" cm="1">
        <f t="array" aca="1" ref="AF767" ca="1">_xll.BDH($E$8,"PX LAST",AK767)</f>
        <v>3941.26</v>
      </c>
      <c r="AG767" s="20">
        <f t="shared" ca="1" si="203"/>
        <v>44991</v>
      </c>
      <c r="AH767" s="22">
        <f t="shared" ca="1" si="198"/>
        <v>44984</v>
      </c>
      <c r="AI767" s="22">
        <f t="shared" ca="1" si="199"/>
        <v>44974</v>
      </c>
      <c r="AJ767" s="22">
        <f t="shared" ca="1" si="200"/>
        <v>44960</v>
      </c>
      <c r="AK767" s="22">
        <f t="shared" ca="1" si="201"/>
        <v>44901</v>
      </c>
      <c r="AL767" s="22">
        <f t="shared" ca="1" si="202"/>
        <v>44816</v>
      </c>
    </row>
    <row r="768" spans="4:38" x14ac:dyDescent="0.25">
      <c r="D768" s="6">
        <f ca="1"/>
        <v>44988</v>
      </c>
      <c r="E768" s="7">
        <f ca="1"/>
        <v>172.69</v>
      </c>
      <c r="F768" s="29" cm="1">
        <f t="array" aca="1" ref="F768" ca="1">_xll.FDS($E$7,"P_BETA_LOCIDX("&amp;$AG768&amp;","&amp;$AL768&amp;",,"""&amp;$E$9&amp;""")")</f>
        <v>1.3678447</v>
      </c>
      <c r="G768" s="30">
        <f t="shared" ca="1" si="188"/>
        <v>2.7711488384462944E-2</v>
      </c>
      <c r="H768" s="30">
        <f t="shared" ca="1" si="188"/>
        <v>1.921638821564662E-2</v>
      </c>
      <c r="I768" s="30">
        <f t="shared" ca="1" si="188"/>
        <v>0.18023405450146476</v>
      </c>
      <c r="J768" s="30">
        <f t="shared" ca="1" si="188"/>
        <v>0.40367260054492088</v>
      </c>
      <c r="K768" s="30">
        <f t="shared" ca="1" si="189"/>
        <v>2.6047359553052343E-2</v>
      </c>
      <c r="L768" s="30">
        <f t="shared" ca="1" si="189"/>
        <v>-1.4971214919531328E-2</v>
      </c>
      <c r="M768" s="30">
        <f t="shared" ca="1" si="189"/>
        <v>-4.389135528451401E-2</v>
      </c>
      <c r="N768" s="30">
        <f t="shared" ca="1" si="189"/>
        <v>1.6008425433375717E-2</v>
      </c>
      <c r="O768" s="30">
        <f t="shared" ca="1" si="190"/>
        <v>5.3758847937515286E-2</v>
      </c>
      <c r="P768" s="30">
        <f t="shared" ca="1" si="191"/>
        <v>4.2451732961152899E-3</v>
      </c>
      <c r="Q768" s="30">
        <f t="shared" ca="1" si="192"/>
        <v>0.13634269921695075</v>
      </c>
      <c r="R768" s="30">
        <f t="shared" ca="1" si="193"/>
        <v>0.4196810259782966</v>
      </c>
      <c r="S768" s="9" cm="1">
        <f t="array" aca="1" ref="S768" ca="1">_xll.BDH($E$6,"PX LAST",AG768)</f>
        <v>172.69</v>
      </c>
      <c r="T768" s="9" cm="1">
        <f t="array" aca="1" ref="T768" ca="1">_xll.BDH($E$6,"PX LAST",AH768)</f>
        <v>163.88</v>
      </c>
      <c r="U768" s="9" cm="1">
        <f t="array" aca="1" ref="U768" ca="1">_xll.BDH($E$6,"PX LAST",AI768)</f>
        <v>171.96</v>
      </c>
      <c r="V768" s="9" cm="1">
        <f t="array" aca="1" ref="V768" ca="1">_xll.BDH($E$6,"PX LAST",AJ768)</f>
        <v>151.97</v>
      </c>
      <c r="W768" s="9" cm="1">
        <f t="array" aca="1" ref="W768" ca="1">_xll.BDH($E$6,"PX LAST",AK768)</f>
        <v>121.64</v>
      </c>
      <c r="X768" s="24">
        <f t="shared" ca="1" si="194"/>
        <v>1.9042629293407609E-2</v>
      </c>
      <c r="Y768" s="24">
        <f t="shared" ca="1" si="195"/>
        <v>-1.0945113081573754E-2</v>
      </c>
      <c r="Z768" s="24">
        <f t="shared" ca="1" si="196"/>
        <v>-3.2087966773211907E-2</v>
      </c>
      <c r="AA768" s="24">
        <f t="shared" ca="1" si="197"/>
        <v>1.1703393984255461E-2</v>
      </c>
      <c r="AB768" s="9" cm="1">
        <f t="array" aca="1" ref="AB768" ca="1">_xll.BDH($E$8,"PX LAST",AG768)</f>
        <v>4045.64</v>
      </c>
      <c r="AC768" s="9" cm="1">
        <f t="array" aca="1" ref="AC768" ca="1">_xll.BDH($E$8,"PX LAST",AH768)</f>
        <v>3970.04</v>
      </c>
      <c r="AD768" s="9" cm="1">
        <f t="array" aca="1" ref="AD768" ca="1">_xll.BDH($E$8,"PX LAST",AI768)</f>
        <v>4090.41</v>
      </c>
      <c r="AE768" s="9" cm="1">
        <f t="array" aca="1" ref="AE768" ca="1">_xll.BDH($E$8,"PX LAST",AJ768)</f>
        <v>4179.76</v>
      </c>
      <c r="AF768" s="9" cm="1">
        <f t="array" aca="1" ref="AF768" ca="1">_xll.BDH($E$8,"PX LAST",AK768)</f>
        <v>3998.84</v>
      </c>
      <c r="AG768" s="20">
        <f t="shared" ca="1" si="203"/>
        <v>44988</v>
      </c>
      <c r="AH768" s="22">
        <f t="shared" ca="1" si="198"/>
        <v>44981</v>
      </c>
      <c r="AI768" s="22">
        <f t="shared" ca="1" si="199"/>
        <v>44973</v>
      </c>
      <c r="AJ768" s="22">
        <f t="shared" ca="1" si="200"/>
        <v>44959</v>
      </c>
      <c r="AK768" s="22">
        <f t="shared" ca="1" si="201"/>
        <v>44900</v>
      </c>
      <c r="AL768" s="22">
        <f t="shared" ca="1" si="202"/>
        <v>44813</v>
      </c>
    </row>
    <row r="769" spans="4:38" x14ac:dyDescent="0.25">
      <c r="D769" s="6">
        <f ca="1"/>
        <v>44987</v>
      </c>
      <c r="E769" s="7">
        <f ca="1"/>
        <v>170.12</v>
      </c>
      <c r="F769" s="29" cm="1">
        <f t="array" aca="1" ref="F769" ca="1">_xll.FDS($E$7,"P_BETA_LOCIDX("&amp;$AG769&amp;","&amp;$AL769&amp;",,"""&amp;$E$9&amp;""")")</f>
        <v>1.3713142</v>
      </c>
      <c r="G769" s="30">
        <f t="shared" ca="1" si="188"/>
        <v>5.6061691834566982E-2</v>
      </c>
      <c r="H769" s="30">
        <f t="shared" ca="1" si="188"/>
        <v>4.2887987481097033E-2</v>
      </c>
      <c r="I769" s="30">
        <f t="shared" ca="1" si="188"/>
        <v>0.16761420698015453</v>
      </c>
      <c r="J769" s="30">
        <f t="shared" ca="1" si="188"/>
        <v>0.36063476303681413</v>
      </c>
      <c r="K769" s="30">
        <f t="shared" ca="1" si="189"/>
        <v>-1.0584799012541488E-2</v>
      </c>
      <c r="L769" s="30">
        <f t="shared" ca="1" si="189"/>
        <v>-5.496696541373338E-2</v>
      </c>
      <c r="M769" s="30">
        <f t="shared" ca="1" si="189"/>
        <v>-4.5894570952197199E-2</v>
      </c>
      <c r="N769" s="30">
        <f t="shared" ca="1" si="189"/>
        <v>-3.0429117560232751E-2</v>
      </c>
      <c r="O769" s="30">
        <f t="shared" ca="1" si="190"/>
        <v>4.5476892822025494E-2</v>
      </c>
      <c r="P769" s="30">
        <f t="shared" ca="1" si="191"/>
        <v>-1.2078977932636348E-2</v>
      </c>
      <c r="Q769" s="30">
        <f t="shared" ca="1" si="192"/>
        <v>0.12171963602795732</v>
      </c>
      <c r="R769" s="30">
        <f t="shared" ca="1" si="193"/>
        <v>0.33020564547658138</v>
      </c>
      <c r="S769" s="9" cm="1">
        <f t="array" aca="1" ref="S769" ca="1">_xll.BDH($E$6,"PX LAST",AG769)</f>
        <v>170.12</v>
      </c>
      <c r="T769" s="9" cm="1">
        <f t="array" aca="1" ref="T769" ca="1">_xll.BDH($E$6,"PX LAST",AH769)</f>
        <v>162.72</v>
      </c>
      <c r="U769" s="9" cm="1">
        <f t="array" aca="1" ref="U769" ca="1">_xll.BDH($E$6,"PX LAST",AI769)</f>
        <v>172.2</v>
      </c>
      <c r="V769" s="9" cm="1">
        <f t="array" aca="1" ref="V769" ca="1">_xll.BDH($E$6,"PX LAST",AJ769)</f>
        <v>151.66</v>
      </c>
      <c r="W769" s="9" cm="1">
        <f t="array" aca="1" ref="W769" ca="1">_xll.BDH($E$6,"PX LAST",AK769)</f>
        <v>127.89</v>
      </c>
      <c r="X769" s="24">
        <f t="shared" ca="1" si="194"/>
        <v>-7.7187263229254732E-3</v>
      </c>
      <c r="Y769" s="24">
        <f t="shared" ca="1" si="195"/>
        <v>-4.0083421737872604E-2</v>
      </c>
      <c r="Z769" s="24">
        <f t="shared" ca="1" si="196"/>
        <v>-3.3467582376232374E-2</v>
      </c>
      <c r="AA769" s="24">
        <f t="shared" ca="1" si="197"/>
        <v>-2.2189748753591809E-2</v>
      </c>
      <c r="AB769" s="9" cm="1">
        <f t="array" aca="1" ref="AB769" ca="1">_xll.BDH($E$8,"PX LAST",AG769)</f>
        <v>3981.35</v>
      </c>
      <c r="AC769" s="9" cm="1">
        <f t="array" aca="1" ref="AC769" ca="1">_xll.BDH($E$8,"PX LAST",AH769)</f>
        <v>4012.32</v>
      </c>
      <c r="AD769" s="9" cm="1">
        <f t="array" aca="1" ref="AD769" ca="1">_xll.BDH($E$8,"PX LAST",AI769)</f>
        <v>4147.6000000000004</v>
      </c>
      <c r="AE769" s="9" cm="1">
        <f t="array" aca="1" ref="AE769" ca="1">_xll.BDH($E$8,"PX LAST",AJ769)</f>
        <v>4119.21</v>
      </c>
      <c r="AF769" s="9" cm="1">
        <f t="array" aca="1" ref="AF769" ca="1">_xll.BDH($E$8,"PX LAST",AK769)</f>
        <v>4071.7</v>
      </c>
      <c r="AG769" s="20">
        <f t="shared" ca="1" si="203"/>
        <v>44987</v>
      </c>
      <c r="AH769" s="22">
        <f t="shared" ca="1" si="198"/>
        <v>44980</v>
      </c>
      <c r="AI769" s="22">
        <f t="shared" ca="1" si="199"/>
        <v>44972</v>
      </c>
      <c r="AJ769" s="22">
        <f t="shared" ca="1" si="200"/>
        <v>44958</v>
      </c>
      <c r="AK769" s="22">
        <f t="shared" ca="1" si="201"/>
        <v>44897</v>
      </c>
      <c r="AL769" s="22">
        <f t="shared" ca="1" si="202"/>
        <v>44812</v>
      </c>
    </row>
    <row r="770" spans="4:38" x14ac:dyDescent="0.25">
      <c r="D770" s="6">
        <f ca="1"/>
        <v>44986</v>
      </c>
      <c r="E770" s="7">
        <f ca="1"/>
        <v>168.55</v>
      </c>
      <c r="F770" s="29" cm="1">
        <f t="array" aca="1" ref="F770" ca="1">_xll.FDS($E$7,"P_BETA_LOCIDX("&amp;$AG770&amp;","&amp;$AL770&amp;",,"""&amp;$E$9&amp;""")")</f>
        <v>1.3767757</v>
      </c>
      <c r="G770" s="30">
        <f t="shared" ca="1" si="188"/>
        <v>5.5335134554459708E-2</v>
      </c>
      <c r="H770" s="30">
        <f t="shared" ca="1" si="188"/>
        <v>7.8447870323143334E-2</v>
      </c>
      <c r="I770" s="30">
        <f t="shared" ca="1" si="188"/>
        <v>0.17341886924355546</v>
      </c>
      <c r="J770" s="30">
        <f t="shared" ca="1" si="188"/>
        <v>0.36475631347364385</v>
      </c>
      <c r="K770" s="30">
        <f t="shared" ca="1" si="189"/>
        <v>-1.3681343070620635E-2</v>
      </c>
      <c r="L770" s="30">
        <f t="shared" ca="1" si="189"/>
        <v>-6.1493604605754662E-2</v>
      </c>
      <c r="M770" s="30">
        <f t="shared" ca="1" si="189"/>
        <v>-4.228673046092337E-2</v>
      </c>
      <c r="N770" s="30">
        <f t="shared" ca="1" si="189"/>
        <v>-4.2276909785923057E-2</v>
      </c>
      <c r="O770" s="30">
        <f t="shared" ca="1" si="190"/>
        <v>4.1653791483839075E-2</v>
      </c>
      <c r="P770" s="30">
        <f t="shared" ca="1" si="191"/>
        <v>1.6954265717388672E-2</v>
      </c>
      <c r="Q770" s="30">
        <f t="shared" ca="1" si="192"/>
        <v>0.13113213878263208</v>
      </c>
      <c r="R770" s="30">
        <f t="shared" ca="1" si="193"/>
        <v>0.32247940368772077</v>
      </c>
      <c r="S770" s="9" cm="1">
        <f t="array" aca="1" ref="S770" ca="1">_xll.BDH($E$6,"PX LAST",AG770)</f>
        <v>168.55</v>
      </c>
      <c r="T770" s="9" cm="1">
        <f t="array" aca="1" ref="T770" ca="1">_xll.BDH($E$6,"PX LAST",AH770)</f>
        <v>161.81</v>
      </c>
      <c r="U770" s="9" cm="1">
        <f t="array" aca="1" ref="U770" ca="1">_xll.BDH($E$6,"PX LAST",AI770)</f>
        <v>165.74</v>
      </c>
      <c r="V770" s="9" cm="1">
        <f t="array" aca="1" ref="V770" ca="1">_xll.BDH($E$6,"PX LAST",AJ770)</f>
        <v>149.01</v>
      </c>
      <c r="W770" s="9" cm="1">
        <f t="array" aca="1" ref="W770" ca="1">_xll.BDH($E$6,"PX LAST",AK770)</f>
        <v>127.45</v>
      </c>
      <c r="X770" s="24">
        <f t="shared" ca="1" si="194"/>
        <v>-9.937234562333308E-3</v>
      </c>
      <c r="Y770" s="24">
        <f t="shared" ca="1" si="195"/>
        <v>-4.4664940415315768E-2</v>
      </c>
      <c r="Z770" s="24">
        <f t="shared" ca="1" si="196"/>
        <v>-3.0714320757494029E-2</v>
      </c>
      <c r="AA770" s="24">
        <f t="shared" ca="1" si="197"/>
        <v>-3.0707187660214408E-2</v>
      </c>
      <c r="AB770" s="9" cm="1">
        <f t="array" aca="1" ref="AB770" ca="1">_xll.BDH($E$8,"PX LAST",AG770)</f>
        <v>3951.39</v>
      </c>
      <c r="AC770" s="9" cm="1">
        <f t="array" aca="1" ref="AC770" ca="1">_xll.BDH($E$8,"PX LAST",AH770)</f>
        <v>3991.05</v>
      </c>
      <c r="AD770" s="9" cm="1">
        <f t="array" aca="1" ref="AD770" ca="1">_xll.BDH($E$8,"PX LAST",AI770)</f>
        <v>4136.13</v>
      </c>
      <c r="AE770" s="9" cm="1">
        <f t="array" aca="1" ref="AE770" ca="1">_xll.BDH($E$8,"PX LAST",AJ770)</f>
        <v>4076.6</v>
      </c>
      <c r="AF770" s="9" cm="1">
        <f t="array" aca="1" ref="AF770" ca="1">_xll.BDH($E$8,"PX LAST",AK770)</f>
        <v>4076.57</v>
      </c>
      <c r="AG770" s="20">
        <f t="shared" ca="1" si="203"/>
        <v>44986</v>
      </c>
      <c r="AH770" s="22">
        <f t="shared" ca="1" si="198"/>
        <v>44979</v>
      </c>
      <c r="AI770" s="22">
        <f t="shared" ca="1" si="199"/>
        <v>44971</v>
      </c>
      <c r="AJ770" s="22">
        <f t="shared" ca="1" si="200"/>
        <v>44957</v>
      </c>
      <c r="AK770" s="22">
        <f t="shared" ca="1" si="201"/>
        <v>44896</v>
      </c>
      <c r="AL770" s="22">
        <f t="shared" ca="1" si="202"/>
        <v>44811</v>
      </c>
    </row>
    <row r="771" spans="4:38" x14ac:dyDescent="0.25">
      <c r="D771" s="6">
        <f ca="1"/>
        <v>44985</v>
      </c>
      <c r="E771" s="7">
        <f ca="1"/>
        <v>165.58</v>
      </c>
      <c r="F771" s="29" cm="1">
        <f t="array" aca="1" ref="F771" ca="1">_xll.FDS($E$7,"P_BETA_LOCIDX("&amp;$AG771&amp;","&amp;$AL771&amp;",,"""&amp;$E$9&amp;""")")</f>
        <v>1.3783677999999999</v>
      </c>
      <c r="G771" s="30">
        <f t="shared" ca="1" si="188"/>
        <v>2.9145351837672626E-2</v>
      </c>
      <c r="H771" s="30">
        <f t="shared" ca="1" si="188"/>
        <v>0.13663440400104859</v>
      </c>
      <c r="I771" s="30">
        <f t="shared" ca="1" si="188"/>
        <v>0.16579888437998055</v>
      </c>
      <c r="J771" s="30">
        <f t="shared" ca="1" si="188"/>
        <v>0.32150975731286213</v>
      </c>
      <c r="K771" s="30">
        <f t="shared" ca="1" si="189"/>
        <v>-9.3756899543196871E-3</v>
      </c>
      <c r="L771" s="30">
        <f t="shared" ca="1" si="189"/>
        <v>-5.5683888267924093E-2</v>
      </c>
      <c r="M771" s="30">
        <f t="shared" ca="1" si="189"/>
        <v>-1.6336892016217981E-2</v>
      </c>
      <c r="N771" s="30">
        <f t="shared" ca="1" si="189"/>
        <v>-3.7147362028964931E-2</v>
      </c>
      <c r="O771" s="30">
        <f t="shared" ca="1" si="190"/>
        <v>1.976966188335294E-2</v>
      </c>
      <c r="P771" s="30">
        <f t="shared" ca="1" si="191"/>
        <v>8.0950515733124506E-2</v>
      </c>
      <c r="Q771" s="30">
        <f t="shared" ca="1" si="192"/>
        <v>0.14946199236376256</v>
      </c>
      <c r="R771" s="30">
        <f t="shared" ca="1" si="193"/>
        <v>0.28436239528389717</v>
      </c>
      <c r="S771" s="9" cm="1">
        <f t="array" aca="1" ref="S771" ca="1">_xll.BDH($E$6,"PX LAST",AG771)</f>
        <v>165.58</v>
      </c>
      <c r="T771" s="9" cm="1">
        <f t="array" aca="1" ref="T771" ca="1">_xll.BDH($E$6,"PX LAST",AH771)</f>
        <v>162.37</v>
      </c>
      <c r="U771" s="9" cm="1">
        <f t="array" aca="1" ref="U771" ca="1">_xll.BDH($E$6,"PX LAST",AI771)</f>
        <v>153.18</v>
      </c>
      <c r="V771" s="9" cm="1">
        <f t="array" aca="1" ref="V771" ca="1">_xll.BDH($E$6,"PX LAST",AJ771)</f>
        <v>144.05000000000001</v>
      </c>
      <c r="W771" s="9" cm="1">
        <f t="array" aca="1" ref="W771" ca="1">_xll.BDH($E$6,"PX LAST",AK771)</f>
        <v>128.91999999999999</v>
      </c>
      <c r="X771" s="24">
        <f t="shared" ca="1" si="194"/>
        <v>-6.8020233455248214E-3</v>
      </c>
      <c r="Y771" s="24">
        <f t="shared" ca="1" si="195"/>
        <v>-4.0398425056014875E-2</v>
      </c>
      <c r="Z771" s="24">
        <f t="shared" ca="1" si="196"/>
        <v>-1.185234595310336E-2</v>
      </c>
      <c r="AA771" s="24">
        <f t="shared" ca="1" si="197"/>
        <v>-2.6950253792177192E-2</v>
      </c>
      <c r="AB771" s="9" cm="1">
        <f t="array" aca="1" ref="AB771" ca="1">_xll.BDH($E$8,"PX LAST",AG771)</f>
        <v>3970.15</v>
      </c>
      <c r="AC771" s="9" cm="1">
        <f t="array" aca="1" ref="AC771" ca="1">_xll.BDH($E$8,"PX LAST",AH771)</f>
        <v>3997.34</v>
      </c>
      <c r="AD771" s="9" cm="1">
        <f t="array" aca="1" ref="AD771" ca="1">_xll.BDH($E$8,"PX LAST",AI771)</f>
        <v>4137.29</v>
      </c>
      <c r="AE771" s="9" cm="1">
        <f t="array" aca="1" ref="AE771" ca="1">_xll.BDH($E$8,"PX LAST",AJ771)</f>
        <v>4017.77</v>
      </c>
      <c r="AF771" s="9" cm="1">
        <f t="array" aca="1" ref="AF771" ca="1">_xll.BDH($E$8,"PX LAST",AK771)</f>
        <v>4080.11</v>
      </c>
      <c r="AG771" s="20">
        <f t="shared" ca="1" si="203"/>
        <v>44985</v>
      </c>
      <c r="AH771" s="22">
        <f t="shared" ca="1" si="198"/>
        <v>44978</v>
      </c>
      <c r="AI771" s="22">
        <f t="shared" ca="1" si="199"/>
        <v>44970</v>
      </c>
      <c r="AJ771" s="22">
        <f t="shared" ca="1" si="200"/>
        <v>44956</v>
      </c>
      <c r="AK771" s="22">
        <f t="shared" ca="1" si="201"/>
        <v>44895</v>
      </c>
      <c r="AL771" s="22">
        <f t="shared" ca="1" si="202"/>
        <v>44810</v>
      </c>
    </row>
    <row r="772" spans="4:38" x14ac:dyDescent="0.25">
      <c r="D772" s="6"/>
      <c r="E772" s="7"/>
      <c r="F772" s="29" t="e" cm="1">
        <f t="array" aca="1" ref="F772" ca="1">_xll.FDS($E$7,"P_BETA_LOCIDX("&amp;$AG772&amp;","&amp;$AL772&amp;",,"""&amp;$E$9&amp;""")")</f>
        <v>#VALUE!</v>
      </c>
      <c r="G772" s="30" t="e">
        <f t="shared" ca="1" si="188"/>
        <v>#NUM!</v>
      </c>
      <c r="H772" s="30" t="e">
        <f t="shared" ca="1" si="188"/>
        <v>#NUM!</v>
      </c>
      <c r="I772" s="30" t="e">
        <f t="shared" ca="1" si="188"/>
        <v>#NUM!</v>
      </c>
      <c r="J772" s="30" t="e">
        <f t="shared" ca="1" si="188"/>
        <v>#NUM!</v>
      </c>
      <c r="K772" s="30" t="e">
        <f t="shared" ca="1" si="189"/>
        <v>#NUM!</v>
      </c>
      <c r="L772" s="30" t="e">
        <f t="shared" ca="1" si="189"/>
        <v>#NUM!</v>
      </c>
      <c r="M772" s="30" t="e">
        <f t="shared" ca="1" si="189"/>
        <v>#NUM!</v>
      </c>
      <c r="N772" s="30" t="e">
        <f t="shared" ca="1" si="189"/>
        <v>#NUM!</v>
      </c>
      <c r="O772" s="30" t="e">
        <f t="shared" ca="1" si="190"/>
        <v>#NUM!</v>
      </c>
      <c r="P772" s="30" t="e">
        <f t="shared" ca="1" si="191"/>
        <v>#NUM!</v>
      </c>
      <c r="Q772" s="30" t="e">
        <f t="shared" ca="1" si="192"/>
        <v>#NUM!</v>
      </c>
      <c r="R772" s="30" t="e">
        <f t="shared" ca="1" si="193"/>
        <v>#NUM!</v>
      </c>
      <c r="S772" s="9" cm="1">
        <f t="array" aca="1" ref="S772" ca="1">_xll.BDH($E$6,"PX LAST",AG772)</f>
        <v>297.17</v>
      </c>
      <c r="T772" s="9" t="e">
        <f ca="1">_xll.BDH($E$6,"PX LAST",AH772)</f>
        <v>#NUM!</v>
      </c>
      <c r="U772" s="9" t="e">
        <f ca="1">_xll.BDH($E$6,"PX LAST",AI772)</f>
        <v>#NUM!</v>
      </c>
      <c r="V772" s="9" t="e">
        <f ca="1">_xll.BDH($E$6,"PX LAST",AJ772)</f>
        <v>#NUM!</v>
      </c>
      <c r="W772" s="9" t="e">
        <f ca="1">_xll.BDH($E$6,"PX LAST",AK772)</f>
        <v>#NUM!</v>
      </c>
      <c r="X772" s="24" t="e">
        <f t="shared" ca="1" si="194"/>
        <v>#NUM!</v>
      </c>
      <c r="Y772" s="24" t="e">
        <f t="shared" ca="1" si="195"/>
        <v>#NUM!</v>
      </c>
      <c r="Z772" s="24" t="e">
        <f t="shared" ca="1" si="196"/>
        <v>#NUM!</v>
      </c>
      <c r="AA772" s="24" t="e">
        <f t="shared" ca="1" si="197"/>
        <v>#NUM!</v>
      </c>
      <c r="AB772" s="9" cm="1">
        <f t="array" aca="1" ref="AB772" ca="1">_xll.BDH($E$8,"PX LAST",AG772)</f>
        <v>6942.12</v>
      </c>
      <c r="AC772" s="9" t="e">
        <f ca="1">_xll.BDH($E$8,"PX LAST",AH772)</f>
        <v>#NUM!</v>
      </c>
      <c r="AD772" s="9" t="e">
        <f ca="1">_xll.BDH($E$8,"PX LAST",AI772)</f>
        <v>#NUM!</v>
      </c>
      <c r="AE772" s="9" t="e">
        <f ca="1">_xll.BDH($E$8,"PX LAST",AJ772)</f>
        <v>#NUM!</v>
      </c>
      <c r="AF772" s="9" t="e">
        <f ca="1">_xll.BDH($E$8,"PX LAST",AK772)</f>
        <v>#NUM!</v>
      </c>
      <c r="AG772" s="20">
        <f t="shared" si="203"/>
        <v>0</v>
      </c>
      <c r="AH772" s="22" t="e">
        <f t="shared" si="198"/>
        <v>#NUM!</v>
      </c>
      <c r="AI772" s="22" t="e">
        <f t="shared" si="199"/>
        <v>#NUM!</v>
      </c>
      <c r="AJ772" s="22" t="e">
        <f t="shared" si="200"/>
        <v>#NUM!</v>
      </c>
      <c r="AK772" s="22" t="e">
        <f t="shared" si="201"/>
        <v>#NUM!</v>
      </c>
      <c r="AL772" s="22" t="e">
        <f t="shared" si="202"/>
        <v>#NUM!</v>
      </c>
    </row>
    <row r="773" spans="4:38" x14ac:dyDescent="0.25">
      <c r="D773" s="6"/>
      <c r="E773" s="7"/>
      <c r="F773" s="29" t="e" cm="1">
        <f t="array" aca="1" ref="F773" ca="1">_xll.FDS($E$7,"P_BETA_LOCIDX("&amp;$AG773&amp;","&amp;$AL773&amp;",,"""&amp;$E$9&amp;""")")</f>
        <v>#VALUE!</v>
      </c>
      <c r="G773" s="30" t="e">
        <f t="shared" ca="1" si="188"/>
        <v>#NUM!</v>
      </c>
      <c r="H773" s="30" t="e">
        <f t="shared" ca="1" si="188"/>
        <v>#NUM!</v>
      </c>
      <c r="I773" s="30" t="e">
        <f t="shared" ca="1" si="188"/>
        <v>#NUM!</v>
      </c>
      <c r="J773" s="30" t="e">
        <f t="shared" ca="1" si="188"/>
        <v>#NUM!</v>
      </c>
      <c r="K773" s="30" t="e">
        <f t="shared" ca="1" si="189"/>
        <v>#NUM!</v>
      </c>
      <c r="L773" s="30" t="e">
        <f t="shared" ca="1" si="189"/>
        <v>#NUM!</v>
      </c>
      <c r="M773" s="30" t="e">
        <f t="shared" ca="1" si="189"/>
        <v>#NUM!</v>
      </c>
      <c r="N773" s="30" t="e">
        <f t="shared" ca="1" si="189"/>
        <v>#NUM!</v>
      </c>
      <c r="O773" s="30" t="e">
        <f t="shared" ca="1" si="190"/>
        <v>#NUM!</v>
      </c>
      <c r="P773" s="30" t="e">
        <f t="shared" ca="1" si="191"/>
        <v>#NUM!</v>
      </c>
      <c r="Q773" s="30" t="e">
        <f t="shared" ca="1" si="192"/>
        <v>#NUM!</v>
      </c>
      <c r="R773" s="30" t="e">
        <f t="shared" ca="1" si="193"/>
        <v>#NUM!</v>
      </c>
      <c r="S773" s="9" cm="1">
        <f t="array" aca="1" ref="S773" ca="1">_xll.BDH($E$6,"PX LAST",AG773)</f>
        <v>297.17</v>
      </c>
      <c r="T773" s="9" t="e">
        <f ca="1">_xll.BDH($E$6,"PX LAST",AH773)</f>
        <v>#NUM!</v>
      </c>
      <c r="U773" s="9" t="e">
        <f ca="1">_xll.BDH($E$6,"PX LAST",AI773)</f>
        <v>#NUM!</v>
      </c>
      <c r="V773" s="9" t="e">
        <f ca="1">_xll.BDH($E$6,"PX LAST",AJ773)</f>
        <v>#NUM!</v>
      </c>
      <c r="W773" s="9" t="e">
        <f ca="1">_xll.BDH($E$6,"PX LAST",AK773)</f>
        <v>#NUM!</v>
      </c>
      <c r="X773" s="24" t="e">
        <f t="shared" ca="1" si="194"/>
        <v>#NUM!</v>
      </c>
      <c r="Y773" s="24" t="e">
        <f t="shared" ca="1" si="195"/>
        <v>#NUM!</v>
      </c>
      <c r="Z773" s="24" t="e">
        <f t="shared" ca="1" si="196"/>
        <v>#NUM!</v>
      </c>
      <c r="AA773" s="24" t="e">
        <f t="shared" ca="1" si="197"/>
        <v>#NUM!</v>
      </c>
      <c r="AB773" s="9" cm="1">
        <f t="array" aca="1" ref="AB773" ca="1">_xll.BDH($E$8,"PX LAST",AG773)</f>
        <v>6942.12</v>
      </c>
      <c r="AC773" s="9" t="e">
        <f ca="1">_xll.BDH($E$8,"PX LAST",AH773)</f>
        <v>#NUM!</v>
      </c>
      <c r="AD773" s="9" t="e">
        <f ca="1">_xll.BDH($E$8,"PX LAST",AI773)</f>
        <v>#NUM!</v>
      </c>
      <c r="AE773" s="9" t="e">
        <f ca="1">_xll.BDH($E$8,"PX LAST",AJ773)</f>
        <v>#NUM!</v>
      </c>
      <c r="AF773" s="9" t="e">
        <f ca="1">_xll.BDH($E$8,"PX LAST",AK773)</f>
        <v>#NUM!</v>
      </c>
      <c r="AG773" s="20">
        <f t="shared" si="203"/>
        <v>0</v>
      </c>
      <c r="AH773" s="22" t="e">
        <f t="shared" si="198"/>
        <v>#NUM!</v>
      </c>
      <c r="AI773" s="22" t="e">
        <f t="shared" si="199"/>
        <v>#NUM!</v>
      </c>
      <c r="AJ773" s="22" t="e">
        <f t="shared" si="200"/>
        <v>#NUM!</v>
      </c>
      <c r="AK773" s="22" t="e">
        <f t="shared" si="201"/>
        <v>#NUM!</v>
      </c>
      <c r="AL773" s="22" t="e">
        <f t="shared" si="202"/>
        <v>#NUM!</v>
      </c>
    </row>
    <row r="774" spans="4:38" x14ac:dyDescent="0.25">
      <c r="D774" s="8"/>
      <c r="F774" s="23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9"/>
      <c r="T774" s="9"/>
      <c r="U774" s="9"/>
      <c r="V774" s="9"/>
      <c r="W774" s="9"/>
      <c r="X774" s="24"/>
      <c r="Y774" s="24"/>
      <c r="Z774" s="24"/>
      <c r="AA774" s="24"/>
      <c r="AB774" s="9"/>
      <c r="AC774" s="9"/>
      <c r="AD774" s="9"/>
      <c r="AE774" s="9"/>
      <c r="AF774" s="9"/>
      <c r="AG774" s="20"/>
      <c r="AH774" s="22"/>
      <c r="AI774" s="22"/>
      <c r="AJ774" s="22"/>
      <c r="AK774" s="22"/>
      <c r="AL774" s="22"/>
    </row>
    <row r="775" spans="4:38" x14ac:dyDescent="0.25">
      <c r="D775" s="8"/>
    </row>
    <row r="776" spans="4:38" x14ac:dyDescent="0.25">
      <c r="D776" s="8"/>
    </row>
    <row r="777" spans="4:38" x14ac:dyDescent="0.25">
      <c r="D777" s="8"/>
    </row>
    <row r="778" spans="4:38" x14ac:dyDescent="0.25">
      <c r="D778" s="8"/>
    </row>
    <row r="779" spans="4:38" x14ac:dyDescent="0.25">
      <c r="D779" s="8"/>
    </row>
    <row r="780" spans="4:38" x14ac:dyDescent="0.25">
      <c r="D780" s="8"/>
    </row>
    <row r="781" spans="4:38" x14ac:dyDescent="0.25">
      <c r="D781" s="8"/>
    </row>
    <row r="782" spans="4:38" x14ac:dyDescent="0.25">
      <c r="D782" s="8"/>
    </row>
    <row r="783" spans="4:38" x14ac:dyDescent="0.25">
      <c r="D783" s="8"/>
    </row>
    <row r="784" spans="4:38" x14ac:dyDescent="0.25">
      <c r="D784" s="8"/>
    </row>
    <row r="785" spans="4:4" x14ac:dyDescent="0.25">
      <c r="D785" s="8"/>
    </row>
    <row r="786" spans="4:4" x14ac:dyDescent="0.25">
      <c r="D786" s="8"/>
    </row>
    <row r="787" spans="4:4" x14ac:dyDescent="0.25">
      <c r="D787" s="8"/>
    </row>
    <row r="788" spans="4:4" x14ac:dyDescent="0.25">
      <c r="D788" s="8"/>
    </row>
    <row r="789" spans="4:4" x14ac:dyDescent="0.25">
      <c r="D789" s="8"/>
    </row>
    <row r="790" spans="4:4" x14ac:dyDescent="0.25">
      <c r="D790" s="8"/>
    </row>
    <row r="791" spans="4:4" x14ac:dyDescent="0.25">
      <c r="D791" s="8"/>
    </row>
    <row r="792" spans="4:4" x14ac:dyDescent="0.25">
      <c r="D792" s="8"/>
    </row>
    <row r="793" spans="4:4" x14ac:dyDescent="0.25">
      <c r="D793" s="8"/>
    </row>
    <row r="794" spans="4:4" x14ac:dyDescent="0.25">
      <c r="D794" s="8"/>
    </row>
    <row r="795" spans="4:4" x14ac:dyDescent="0.25">
      <c r="D795" s="8"/>
    </row>
    <row r="796" spans="4:4" x14ac:dyDescent="0.25">
      <c r="D796" s="8"/>
    </row>
    <row r="797" spans="4:4" x14ac:dyDescent="0.25">
      <c r="D797" s="8"/>
    </row>
    <row r="798" spans="4:4" x14ac:dyDescent="0.25">
      <c r="D798" s="8"/>
    </row>
    <row r="799" spans="4:4" x14ac:dyDescent="0.25">
      <c r="D799" s="8"/>
    </row>
    <row r="800" spans="4:4" x14ac:dyDescent="0.25">
      <c r="D800" s="8"/>
    </row>
    <row r="801" spans="4:4" x14ac:dyDescent="0.25">
      <c r="D801" s="8"/>
    </row>
  </sheetData>
  <conditionalFormatting sqref="G21:J77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O21:R77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FdsFormulaCache xmlns="urn:fdsformulacache" version="2" timestamp="1772046185"><![CDATA[{"CRS-US^P_BETA_LOCIDX(45485,45310,,\"SPX\")":0.88270247,"CRS-US^P_BETA_LOCIDX(45419,45243,,\"SPX\")":0.91173804,"CRS-US^P_BETA_LOCIDX(45387,45211,,\"SPX\")":1.1094607,"CRS-US^P_BETA_LOCIDX(45327,45152,,\"SPX\")":1.2340397,"CRS-US^P_BETA_LOCIDX(45267,45093,,\"SPX\")":1.2211705,"CRS-US^P_BETA_LOCIDX(45211,45037,,\"SPX\")":1.6485926,"CRS-US^P_BETA_LOCIDX(45156,44984,,\"SPX\")":1.8497506,"CRS-US^P_BETA_LOCIDX(45072,44897,,\"SPX\")":1.7965279,"CRS-US^P_BETA_LOCIDX(45019,44844,,\"SPX\")":1.3420951,"CRS-US^P_BETA_LOCIDX(44964,44789,,\"SPX\")":1.4463162,"CRS-US^P_BETA_LOCIDX(45449,45273,,\"SPX\")":1.0712123,"CRS-US^P_BETA_LOCIDX(45237,45063,,\"SPX\")":1.3985825,"CRS-US^P_BETA_LOCIDX(45210,45036,,\"SPX\")":1.6045811,"CRS-US^P_BETA_LOCIDX(45131,44956,,\"SPX\")":1.7988378,"CRS-US^P_BETA_LOCIDX(44992,44817,,\"SPX\")":1.3559314,"CRS-US^P_BETA_LOCIDX(45917,45742,,\"SPX\")":1.4948987,"CRS-US^P_BETA_LOCIDX(45814,45637,,\"SPX\")":1.6225122,"CRS-US^P_BETA_LOCIDX(45747,45569,,\"SPX\")":1.8142716,"CRS-US^P_BETA_LOCIDX(45643,45470,,\"SPX\")":1.7329247,"CRS-US^P_BETA_LOCIDX(45580,45406,,\"SPX\")":1.305869,"CRS-US^P_BETA_LOCIDX(45548,45373,,\"SPX\")":1.296745,"CRS-US^P_BETA_LOCIDX(45484,45309,,\"SPX\")":0.90704924,"CRS-US^P_BETA_LOCIDX(45296,45124,,\"SPX\")":1.2657089,"CRS-US^P_BETA_LOCIDX(45183,45008,,\"SPX\")":1.7160647,"CRS-US^P_BETA_LOCIDX(45044,44868,,\"SPX\")":1.4935801,"CRS-US^P_BETA_LOCIDX(44963,44788,,\"SPX\")":1.4429153,"CRS-US^P_BETA_LOCIDX(46038,45868,,\"SPX\")":1.2899231,"CRS-US^P_BETA_LOCIDX(45992,45818,,\"SPX\")":1.1895055,"CRS-US^P_BETA_LOCIDX(45951,45777,,\"SPX\")":0.98604786,"CRS-US^P_BETA_LOCIDX(45882,45708,,\"SPX\")":1.5797071,"CRS-US^P_BETA_LOCIDX(45848,45672,,\"SPX\")":1.6225814,"CRS-US^P_BETA_LOCIDX(45813,45636,,\"SPX\")":1.6281577,"CRS-US^P_BETA_LOCIDX(45779,45602,,\"SPX\")":1.7185415,"CRS-US^P_BETA_LOCIDX(45714,45538,,\"SPX\")":1.8868916,"CRS-US^P_BETA_LOCIDX(45680,45504,,\"SPX\")":1.743933,"CRS-US^P_BETA_LOCIDX(45609,45435,,\"SPX\")":1.7399372,"CRS-US^P_BETA_LOCIDX(45579,45405,,\"SPX\")":1.304739,"CRS-US^P_BETA_LOCIDX(45516,45342,,\"SPX\")":1.0806584,"CRS-US^P_BETA_LOCIDX(45483,45308,,\"SPX\")":0.96535,"CRS-US^P_BETA_LOCIDX(45418,45240,,\"SPX\")":0.8913951,"CRS-US^P_BETA_LOCIDX(45386,45210,,\"SPX\")":1.1038448,"CRS-US^P_BETA_LOCIDX(45324,45149,,\"SPX\")":1.2179258,"CRS-US^P_BETA_LOCIDX(45295,45121,,\"SPX\")":1.2753205,"CRS-US^P_BETA_LOCIDX(45265,45091,,\"SPX\")":1.2853988,"CRS-US^P_BETA_LOCIDX(45209,45035,,\"SPX\")":1.6118574,"CRS-US^P_BETA_LOCIDX(45155,44981,,\"SPX\")":1.8345479,"CRS-US^P_BETA_LOCIDX(45071,44896,,\"SPX\")":1.8230662,"CRS-US^P_BETA_LOCIDX(45016,44841,,\"SPX\")":1.3142524,"CRS-US^P_BETA_LOCIDX(45950,45776,,\"SPX\")":0.9842675,"CRS-US^P_BETA_LOCIDX(45916,45741,,\"SPX\")":1.4959383,"CRS-US^P_BETA_LOCIDX(45881,45707,,\"SPX\")":1.5841347,"CRS-US^P_BETA_LOCIDX(45744,45568,,\"SPX\")":1.8247637,"CRS-US^P_BETA_LOCIDX(45678,45502,,\"SPX\")":1.747447,"CRS-US^P_BETA_LOCIDX(45642,45469,,\"SPX\")":1.728593,"CRS-US^P_BETA_LOCIDX(45546,45371,,\"SPX\")":1.251138,"CRS-US^P_BETA_LOCIDX(45513,45338,,\"SPX\")":1.0849206,"CRS-US^P_BETA_LOCIDX(45448,45272,,\"SPX\")":1.0592605,"CRS-US^P_BETA_LOCIDX(45415,45239,,\"SPX\")":0.9242916,"CRS-US^P_BETA_LOCIDX(45355,45180,,\"SPX\")":1.2975892,"CRS-US^P_BETA_LOCIDX(45323,45148,,\"SPX\")":1.230343,"CRS-US^P_BETA_LOCIDX(45264,45090,,\"SPX\")":1.2887752,"CRS-US^P_BETA_LOCIDX(45236,45062,,\"SPX\")":1.4826431,"CRS-US^P_BETA_LOCIDX(45182,45007,,\"SPX\")":1.7075022,"CRS-US^P_BETA_LOCIDX(45127,44952,,\"SPX\")":1.8493282,"CRS-US^P_BETA_LOCIDX(45099,44923,,\"SPX\")":1.8093216,"CRS-US^P_BETA_LOCIDX(45070,44895,,\"SPX\")":1.751003,"CRS-US^P_BETA_LOCIDX(45043,44867,,\"SPX\")":1.562882,"CRS-US^P_BETA_LOCIDX(44991,44816,,\"SPX\")":1.3885988,"CRS-US^P_BETA_LOCIDX(44960,44785,,\"SPX\")":1.4341686,"CRS-US^P_BETA_LOCIDX(46036,45866,,\"SPX\")":1.2717056,"CRS-US^P_BETA_LOCIDX(45987,45814,,\"SPX\")":1.1840852,"CRS-US^P_BETA_LOCIDX(45947,45775,,\"SPX\")":0.9782314,"CRS-US^P_BETA_LOCIDX(45880,45706,,\"SPX\")":1.5838603,"CRS-US^P_BETA_LOCIDX(45847,45671,,\"SPX\")":1.6232488,"CRS-US^P_BETA_LOCIDX(45812,45635,,\"SPX\")":1.6379489,"CRS-US^P_BETA_LOCIDX(45777,45600,,\"SPX\")":1.71063,"CRS-US^P_BETA_LOCIDX(45743,45567,,\"SPX\")":1.8446376,"CRS-US^P_BETA_LOCIDX(45712,45533,,\"SPX\")":1.8807851,"CRS-US^P_BETA_LOCIDX(45608,45434,,\"SPX\")":1.7551062,"CRS-US^P_BETA_LOCIDX(45576,45404,,\"SPX\")":1.3336117,"CRS-US^P_BETA_LOCIDX(45512,45337,,\"SPX\")":1.1096523,"CRS-US^P_BETA_LOCIDX(45482,45307,,\"SPX\")":0.9912615,"CRS-US^P_BETA_LOCIDX(45384,45208,,\"SPX\")":1.2677792,"CRS-US^P_BETA_LOCIDX(45294,45120,,\"SPX\")":1.281784,"CRS-US^P_BETA_LOCIDX(45208,45034,,\"SPX\")":1.5924009,"CRS-US^P_BETA_LOCIDX(45154,44980,,\"SPX\")":1.8187938,"CRS-US^P_BETA_LOCIDX(45126,44951,,\"SPX\")":1.8635751,"CRS-US^P_BETA_LOCIDX(45069,44894,,\"SPX\")":1.737567,"CRS-US^P_BETA_LOCIDX(45015,44840,,\"SPX\")":1.3089473,"CRS-US^P_BETA_LOCIDX(45915,45740,,\"SPX\")":1.5190334,"CRS-US^P_BETA_LOCIDX(45811,45632,,\"SPX\")":1.6367997,"CRS-US^P_BETA_LOCIDX(45674,45499,,\"SPX\")":1.7674884,"CRS-US^P_BETA_LOCIDX(45639,45468,,\"SPX\")":1.7384707,"CRS-US^P_BETA_LOCIDX(45575,45401,,\"SPX\")":1.3548812,"CRS-US^P_BETA_LOCIDX(45544,45369,,\"SPX\")":1.2914481,"CRS-US^P_BETA_LOCIDX(45447,45271,,\"SPX\")":1.0472026,"CRS-US^P_BETA_LOCIDX(45414,45238,,\"SPX\")":0.88154554,"CRS-US^P_BETA_LOCIDX(45383,45205,,\"SPX\")":1.2844932,"CRS-US^P_BETA_LOCIDX(45352,45177,,\"SPX\")":1.2939615,"CRS-US^P_BETA_LOCIDX(45322,45147,,\"SPX\")":1.3007956,"CRS-US^P_BETA_LOCIDX(45261,45089,,\"SPX\")":1.298153,"CRS-US^P_BETA_LOCIDX(45233,45061,,\"SPX\")":1.4899577,"CRS-US^P_BETA_LOCIDX(45181,45006,,\"SPX\")":1.6791232,"CRS-US^P_BETA_LOCIDX(45098,44922,,\"SPX\")":1.8113581,"CRS-US^P_BETA_LOCIDX(45042,44866,,\"SPX\")":1.4585063,"CRS-US^P_BETA_LOCIDX(44987,44812,,\"SPX\")":1.4119179,"CRS-US^P_BETA_LOCIDX(44959,44784,,\"SPX\")":1.4391068,"CRS-US^P_BETA_LOCIDX(46034,45862,,\"SPX\")":1.2882165,"CRS-US^P_BETA_LOCIDX(45985,45812,,\"SPX\")":1.182609,"CRS-US^P_BETA_LOCIDX(45946,45772,,\"SPX\")":0.97227335,"CRS-US^P_BETA_LOCIDX(45877,45702,,\"SPX\")":1.5833638,"CRS-US^P_BETA_LOCIDX(45846,45670,,\"SPX\")":1.6257596,"CRS-US^P_BETA_LOCIDX(45810,45631,,\"SPX\")":1.633742,"CRS-US^P_BETA_LOCIDX(45776,45597,,\"SPX\")":1.715754,"CRS-US^P_BETA_LOCIDX(45742,45566,,\"SPX\")":1.8350651,"CRS-US^P_BETA_LOCIDX(45708,45531,,\"SPX\")":1.8393569,"CRS-US^P_BETA_LOCIDX(45673,45498,,\"SPX\")":1.6892397,"CRS-US^P_BETA_LOCIDX(45607,45433,,\"SPX\")":1.7535471,"CRS-US^P_BETA_LOCIDX(45574,45400,,\"SPX\")":1.3475144,"CRS-US^P_BETA_LOCIDX(45511,45336,,\"SPX\")":1.1018758,"CRS-US^P_BETA_LOCIDX(45481,45303,,\"SPX\")":0.9910235,"CRS-US^P_BETA_LOCIDX(45413,45237,,\"SPX\")":0.868905,"CRS-US^P_BETA_LOCIDX(45351,45176,,\"SPX\")":1.2829251,"CRS-US^P_BETA_LOCIDX(45293,45119,,\"SPX\")":1.2754154,"CRS-US^P_BETA_LOCIDX(45232,45058,,\"SPX\")":1.5276934,"CRS-US^P_BETA_LOCIDX(45205,45033,,\"SPX\")":1.5999067,"CRS-US^P_BETA_LOCIDX(45153,44979,,\"SPX\")":1.836253,"CRS-US^P_BETA_LOCIDX(45125,44950,,\"SPX\")":1.8719158,"CRS-US^P_BETA_LOCIDX(45068,44893,,\"SPX\")":1.7398938,"CRS-US^P_BETA_LOCIDX(45014,44839,,\"SPX\")":1.3122293,"CRS-US^P_BETA_LOCIDX(44986,44811,,\"SPX\")":1.418577,"CRS-US^P_BETA_LOCIDX(45912,45737,,\"SPX\")":1.519626,"CRS-US^P_BETA_LOCIDX(45741,45565,,\"SPX\")":1.8164437,"CRS-US^P_BETA_LOCIDX(46031,45861,,\"SPX\")":1.2749883,"CRS-US^P_BETA_LOCIDX(45982,45811,,\"SPX\")":1.1984875,"CRS-US^P_BETA_LOCIDX(45945,45771,,\"SPX\")":1.0324086,"CRS-US^P_BETA_LOCIDX(45910,45735,,\"SPX\")":1.5423902,"CRS-US^P_BETA_LOCIDX(45876,45701,,\"SPX\")":1.5800014,"CRS-US^P_BETA_LOCIDX(45845,45667,,\"SPX\")":1.606068,"CRS-US^P_BETA_LOCIDX(45807,45630,,\"SPX\")":1.6313435,"CRS-US^P_BETA_LOCIDX(45909,45734,,\"SPX\")":1.541297,"CRS-US^P_BETA_LOCIDX(45840,45664,,\"SPX\")":1.6124175,"CRS-US^P_BETA_LOCIDX(45671,45496,,\"SPX\")":1.704684,"CRS-US^P_BETA_LOCIDX(45635,45461,,\"SPX\")":1.7434899,"CRS-US^P_BETA_LOCIDX(45540,45365,,\"SPX\")":1.2362996,"CRS-US^P_BETA_LOCIDX(45509,45334,,\"SPX\")":1.1029358,"CRS-US^P_BETA_LOCIDX(45442,45266,,\"SPX\")":0.9976355,"CRS-US^P_BETA_LOCIDX(45411,45233,,\"SPX\")":1.0707024,"CRS-US^P_BETA_LOCIDX(45378,45203,,\"SPX\")":1.2950618,"CRS-US^P_BETA_LOCIDX(45349,45174,,\"SPX\")":1.2970456,"CRS-US^P_BETA_LOCIDX(45287,45114,,\"SPX\")":1.263472,"CRS-US^P_BETA_LOCIDX(45259,45085,,\"SPX\")":1.2566105,"CRS-US^P_BETA_LOCIDX(45230,45056,,\"SPX\")":1.4660134,"CRS-US^P_BETA_LOCIDX(46030,45860,,\"SPX\")":1.2620306,"CRS-US^P_BETA_LOCIDX(45981,45810,,\"SPX\")":1.2070225,"CRS-US^P_BETA_LOCIDX(45943,45769,,\"SPX\")":1.2555578,"CRS-US^P_BETA_LOCIDX(45908,45733,,\"SPX\")":1.5416157,"CRS-US^P_BETA_LOCIDX(45874,45699,,\"SPX\")":1.5863634,"CRS-US^P_BETA_LOCIDX(45806,45629,,\"SPX\")":1.6311078,"CRS-US^P_BETA_LOCIDX(45772,45595,,\"SPX\")":1.74376,"CRS-US^P_BETA_LOCIDX(45737,45561,,\"SPX\")":1.7428818,"CRS-US^P_BETA_LOCIDX(45706,45527,,\"SPX\")":1.8289188,"CRS-US^P_BETA_LOCIDX(45670,45495,,\"SPX\")":1.692902,"CRS-US^P_BETA_LOCIDX(45602,45428,,\"SPX\")":1.7754596,"CRS-US^P_BETA_LOCIDX(45572,45398,,\"SPX\")":1.3511766,"CRS-US^P_BETA_LOCIDX(45506,45331,,\"SPX\")":1.1188244,"CRS-US^P_BETA_LOCIDX(45474,45299,,\"SPX\")":1.0330683,"CRS-US^P_BETA_LOCIDX(45348,45170,,\"SPX\")":1.2987969,"CRS-US^P_BETA_LOCIDX(45317,45142,,\"SPX\")":1.2920817,"CRS-US^P_BETA_LOCIDX(45203,45029,,\"SPX\")":1.618578,"CRS-US^P_BETA_LOCIDX(45121,44946,,\"SPX\")":1.8113225,"CRS-US^P_BETA_LOCIDX(45064,44888,,\"SPX\")":1.7317908,"CRS-US^P_BETA_LOCIDX(45009,44834,,\"SPX\")":1.4121609,"CRS-US^P_BETA_LOCIDX(44984,44806,,\"SPX\")":1.426849,"CRS-US^P_BETA_LOCIDX(45839,45663,,\"SPX\")":1.6146363,"CRS-US^P_BETA_LOCIDX(45770,45593,,\"SPX\")":1.7482201,"CRS-US^P_BETA_LOCIDX(45632,45460,,\"SPX\")":1.7312434,"CRS-US^P_BETA_LOCIDX(45601,45427,,\"SPX\")":1.620283,"CRS-US^P_BETA_LOCIDX(45539,45364,,\"SPX\")":1.2316861,"CRS-US^P_BETA_LOCIDX(45505,45330,,\"SPX\")":0.99750984,"CRS-US^P_BETA_LOCIDX(45441,45265,,\"SPX\")":1.0078479,"CRS-US^P_BETA_LOCIDX(45408,45232,,\"SPX\")":1.1352081,"CRS-US^P_BETA_LOCIDX(45377,45202,,\"SPX\")":1.3078355,"CRS-US^P_BETA_LOCIDX(45286,45113,,\"SPX\")":1.2918525,"CRS-US^P_BETA_LOCIDX(45258,45084,,\"SPX\")":1.2248919,"CRS-US^P_BETA_LOCIDX(45229,45055,,\"SPX\")":1.4753778,"CRS-US^P_BETA_LOCIDX(45176,45001,,\"SPX\")":1.7963526,"CRS-US^P_BETA_LOCIDX(45147,44972,,\"SPX\")":1.8543698,"CRS-US^P_BETA_LOCIDX(45091,44915,,\"SPX\")":1.818925,"CRS-US^P_BETA_LOCIDX(45037,44861,,\"SPX\")":1.4104092,"CRS-US^P_BETA_LOCIDX(45008,44833,,\"SPX\")":1.4276776,"CRS-US^P_BETA_LOCIDX(46029,45859,,\"SPX\")":1.2521685,"CRS-US^P_BETA_LOCIDX(45980,45807,,\"SPX\")":1.0795859,"CRS-US^P_BETA_LOCIDX(45939,45764,,\"SPX\")":1.2157722,"CRS-US^P_BETA_LOCIDX(45905,45730,,\"SPX\")":1.5462217,"CRS-US^P_BETA_LOCIDX(45870,45695,,\"SPX\")":1.6134219,"CRS-US^P_BETA_LOCIDX(45838,45660,,\"SPX\")":1.6147556,"CRS-US^P_BETA_LOCIDX(45804,45625,,\"SPX\")":1.6306812,"CRS-US^P_BETA_LOCIDX(45736,45560,,\"SPX\")":1.7418172,"CRS-US^P_BETA_LOCIDX(45702,45526,,\"SPX\")":1.8043526,"CRS-US^P_BETA_LOCIDX(45667,45492,,\"SPX\")":1.674623,"CRS-US^P_BETA_LOCIDX(45568,45394,,\"SPX\")":1.3616898,"CRS-US^P_BETA_LOCIDX(45538,45363,,\"SPX\")":1.1617147,"CRS-US^P_BETA_LOCIDX(45471,45296,,\"SPX\")":1.0385562,"CRS-US^P_BETA_LOCIDX(45440,45264,,\"SPX\")":0.9877362,"CRS-US^P_BETA_LOCIDX(45345,45169,,\"SPX\")":1.29893,"CRS-US^P_BETA_LOCIDX(45316,45141,,\"SPX\")":1.3027048,"CRS-US^P_BETA_LOCIDX(45257,45083,,\"SPX\")":1.2375053,"CRS-US^P_BETA_LOCIDX(45202,45028,,\"SPX\")":1.6213728,"CRS-US^P_BETA_LOCIDX(45120,44945,,\"SPX\")":1.7975116,"CRS-US^P_BETA_LOCIDX(45063,44887,,\"SPX\")":1.7188951,"CRS-US^P_BETA_LOCIDX(44981,44805,,\"SPX\")":1.4209955,"CRS-US^P_BETA_LOCIDX(46022,45852,,\"SPX\")":1.2852781,"CRS-US^P_BETA_LOCIDX(45975,45804,,\"SPX\")":1.1034014,"CRS-US^P_BETA_LOCIDX(45904,45729,,\"SPX\")":1.5570118,"CRS-US^P_BETA_LOCIDX(45769,45590,,\"SPX\")":1.7218344,"CRS-US^P_BETA_LOCIDX(45700,45524,,\"SPX\")":1.8705443,"CRS-US^P_BETA_LOCIDX(45631,45457,,\"SPX\")":1.7457126,"CRS-US^P_BETA_LOCIDX(45600,45426,,\"SPX\")":1.5967718,"CRS-US^P_BETA_LOCIDX(45534,45362,,\"SPX\")":1.0158887,"CRS-US^P_BETA_LOCIDX(45504,45329,,\"SPX\")":1.0042819,"CRS-US^P_BETA_LOCIDX(45406,45230,,\"SPX\")":1.148308,"CRS-US^P_BETA_LOCIDX(45376,45201,,\"SPX\")":1.3164569,"CRS-US^P_BETA_LOCIDX(45282,45112,,\"SPX\")":1.3002591,"CRS-US^P_BETA_LOCIDX(45974,45800,,\"SPX\")":1.0748804,"CRS-US^P_BETA_LOCIDX(45938,45763,,\"SPX\")":1.1583471,"CRS-US^P_BETA_LOCIDX(45903,45728,,\"SPX\")":1.5552619,"CRS-US^P_BETA_LOCIDX(45869,45694,,\"SPX\")":1.6448652,"CRS-US^P_BETA_LOCIDX(45835,45659,,\"SPX\")":1.6130501,"CRS-US^P_BETA_LOCIDX(45799,45622,,\"SPX\")":1.6361248,"CRS-US^P_BETA_LOCIDX(45768,45589,,\"SPX\")":1.7079042,"CRS-US^P_BETA_LOCIDX(45734,45558,,\"SPX\")":1.7050859,"CRS-US^P_BETA_LOCIDX(45665,45491,,\"SPX\")":1.7214243,"CRS-US^P_BETA_LOCIDX(45597,45425,,\"SPX\")":1.5965154,"CRS-US^P_BETA_LOCIDX(45566,45392,,\"SPX\")":1.392005,"CRS-US^P_BETA_LOCIDX(45470,45295,,\"SPX\")":1.0632856,"CRS-US^P_BETA_LOCIDX(45436,45261,,\"SPX\")":1.0096078,"CRS-US^P_BETA_LOCIDX(45373,45198,,\"SPX\")":1.3293219,"CRS-US^P_BETA_LOCIDX(45344,45168,,\"SPX\")":1.3047944,"CRS-US^P_BETA_LOCIDX(45314,45139,,\"SPX\")":1.3723061,"CRS-US^P_BETA_LOCIDX(45201,45027,,\"SPX\")":1.5921292,"CRS-US^P_BETA_LOCIDX(45170,44998,,\"SPX\")":1.8600855,"CRS-US^P_BETA_LOCIDX(45118,44943,,\"SPX\")":1.7630477,"CRS-US^P_BETA_LOCIDX(45062,44886,,\"SPX\")":1.7153379,"CRS-US^P_BETA_LOCIDX(44980,44804,,\"SPX\")":1.4312353,"CRS-US^P_BETA_LOCIDX(45834,45657,,\"SPX\")":1.6107057,"CRS-US^P_BETA_LOCIDX(45699,45523,,\"SPX\")":1.8580881,"CRS-US^P_BETA_LOCIDX(45630,45456,,\"SPX\")":1.7433499,"CRS-US^P_BETA_LOCIDX(45596,45422,,\"SPX\")":1.5822643,"CRS-US^P_BETA_LOCIDX(45533,45359,,\"SPX\")":1.0229923,"CRS-US^P_BETA_LOCIDX(45503,45328,,\"SPX\")":0.98742366,"CRS-US^P_BETA_LOCIDX(45435,45260,,\"SPX\")":1.0176941,"CRS-US^P_BETA_LOCIDX(45404,45226,,\"SPX\")":1.1561465,"CRS-US^P_BETA_LOCIDX(45372,45197,,\"SPX\")":1.3205172,"CRS-US^P_BETA_LOCIDX(45343,45167,,\"SPX\")":1.3860765,"CRS-US^P_BETA_LOCIDX(45313,45138,,\"SPX\")":1.3759708,"CRS-US^P_BETA_LOCIDX(45281,45110,,\"SPX\")":1.2986912,"CRS-US^P_BETA_LOCIDX(45252,45079,,\"SPX\")":1.3506907,"CRS-US^P_BETA_LOCIDX(45225,45051,,\"SPX\")":1.4251746,"CRS-US^P_BETA_LOCIDX(45145,44970,,\"SPX\")":1.8303564,"CRS-US^P_BETA_LOCIDX(45089,44911,,\"SPX\")":1.7995901,"CRS-US^P_BETA_LOCIDX(45034,44858,,\"SPX\")":1.3897185,"CRS-US^P_BETA_LOCIDX(45006,44831,,\"SPX\")":1.4324795,"CRS-US^P_BETA_LOCIDX(44979,44803,,\"SPX\")":1.4470053,"CRS-US^P_BETA_LOCIDX(45968,45796,,\"SPX\")":1.1373426,"CRS-US^P_BETA_LOCIDX(45763,45587,,\"SPX\")":1.7220286,"CRS-US^P_BETA_LOCIDX(45628,45454,,\"SPX\")":1.7410011,"CRS-US^P_BETA_LOCIDX(45595,45421,,\"SPX\")":1.5008429,"CRS-US^P_BETA_LOCIDX(45499,45324,,\"SPX\")":0.99143106,"CRS-US^P_BETA_LOCIDX(45468,45293,,\"SPX\")":1.1051952,"CRS-US^P_BETA_LOCIDX(45401,45225,,\"SPX\")":0.98321587,"CRS-US^P_BETA_LOCIDX(45371,45196,,\"SPX\")":1.316849,"CRS-US^P_BETA_LOCIDX(45342,45166,,\"SPX\")":1.3945386,"CRS-US^P_BETA_LOCIDX(45310,45135,,\"SPX\")":1.3496565,"CRS-US^P_BETA_LOCIDX(45280,45107,,\"SPX\")":1.269022,"CRS-US^P_BETA_LOCIDX(45251,45078,,\"SPX\")":1.3475848,"CRS-US^P_BETA_LOCIDX(45224,45050,,\"SPX\")":1.619236,"CRS-US^P_BETA_LOCIDX(45142,44967,,\"SPX\")":1.8130406,"CRS-US^P_BETA_LOCIDX(45086,44910,,\"SPX\")":1.8406937,"CRS-US^P_BETA_LOCIDX(45005,44830,,\"SPX\")":1.436353,"CRS-US^P_BETA_LOCIDX(46014,45841,,\"SPX\")":1.237258,"CRS-US^P_BETA_LOCIDX(45936,45761,,\"SPX\")":1.1666903,"CRS-US^P_BETA_LOCIDX(45898,45726,,\"SPX\")":1.5447892,"CRS-US^P_BETA_LOCIDX(45867,45692,,\"SPX\")":1.626004,"CRS-US^P_BETA_LOCIDX(45832,45653,,\"SPX\")":1.6135682,"CRS-US^P_BETA_LOCIDX(45965,45791,,\"SPX\")":1.1439629,"CRS-US^P_BETA_LOCIDX(45930,45755,,\"SPX\")":1.3909446,"CRS-US^P_BETA_LOCIDX(45862,45687,,\"SPX\")":1.6102732,"CRS-US^P_BETA_LOCIDX(45792,45615,,\"SPX\")":1.6475755,"CRS-US^P_BETA_LOCIDX(45590,45418,,\"SPX\")":1.4391323,"CRS-US^P_BETA_LOCIDX(45560,45386,,\"SPX\")":1.31499,"CRS-US^P_BETA_LOCIDX(45496,45321,,\"SPX\")":1.0114565,"CRS-US^P_BETA_LOCIDX(45463,45287,,\"SPX\")":1.0961822,"CRS-US^P_BETA_LOCIDX(45399,45223,,\"SPX\")":1.0027089,"CRS-US^P_BETA_LOCIDX(45366,45191,,\"SPX\")":1.3275336,"CRS-US^P_BETA_LOCIDX(45336,45161,,\"SPX\")":1.358429,"CRS-US^P_BETA_LOCIDX(45308,45133,,\"SPX\")":1.3041518,"CRS-US^P_BETA_LOCIDX(45275,45104,,\"SPX\")":1.2892338,"CRS-US^P_BETA_LOCIDX(45247,45076,,\"SPX\")":1.3396453,"CRS-US^P_BETA_LOCIDX(45222,45048,,\"SPX\")":1.5277923,"CRS-US^P_BETA_LOCIDX(45194,45019,,\"SPX\")":1.6333549,"CRS-US^P_BETA_LOCIDX(45139,44964,,\"SPX\")":1.8097197,"CRS-US^P_BETA_LOCIDX(45084,44908,,\"SPX\")":1.8459302,"CRS-US^P_BETA_LOCIDX(45055,44879,,\"SPX\")":1.6581123,"CRS-US^P_BETA_LOCIDX(45000,44825,,\"SPX\")":1.426865,"CRS-US^P_BETA_LOCIDX(46007,45834,,\"SPX\")":1.2508652,"CRS-US^P_BETA_LOCIDX(45926,45751,,\"SPX\")":1.4094857,"CRS-US^P_BETA_LOCIDX(45891,45719,,\"SPX\")":1.5609905,"CRS-US^P_BETA_LOCIDX(45860,45685,,\"SPX\")":1.6164507,"CRS-US^P_BETA_LOCIDX(45824,45645,,\"SPX\")":1.608207,"CRS-US^P_BETA_LOCIDX(45790,45611,,\"SPX\")":1.6314982,"CRS-US^P_BETA_LOCIDX(45756,45580,,\"SPX\")":1.772857,"CRS-US^P_BETA_LOCIDX(45691,45513,,\"SPX\")":1.7823575,"CRS-US^P_BETA_LOCIDX(45653,45482,,\"SPX\")":1.7425699,"CRS-US^P_BETA_LOCIDX(45618,45447,,\"SPX\")":1.7467681,"CRS-US^P_BETA_LOCIDX(45558,45384,,\"SPX\")":1.3245267,"CRS-US^P_BETA_LOCIDX(45525,45351,,\"SPX\")":1.0614914,"CRS-US^P_BETA_LOCIDX(45460,45282,,\"SPX\")":1.0863134,"CRS-US^P_BETA_LOCIDX(45426,45250,,\"SPX\")":0.9309482,"CRS-US^P_BETA_LOCIDX(45364,45189,,\"SPX\")":1.2530093,"CRS-US^P_BETA_LOCIDX(45334,45159,,\"SPX\")":1.2744812,"CRS-US^P_BETA_LOCIDX(45303,45131,,\"SPX\")":1.2694811,"CRS-US^P_BETA_LOCIDX(45245,45071,,\"SPX\")":1.2959455,"CRS-US^P_BETA_LOCIDX(45217,45043,,\"SPX\")":1.7214121,"CRS-US^P_BETA_LOCIDX(45162,44988,,\"SPX\")":1.8483855,"CRS-US^P_BETA_LOCIDX(45110,44935,,\"SPX\")":1.7754862,"CRS-US^P_BETA_LOCIDX(45027,44851,,\"SPX\")":1.3708022,"CRS-US^P_BETA_LOCIDX(44971,44796,,\"SPX\")":1.4238926,"CRS-US^P_BETA_LOCIDX(46015,45845,,\"SPX\")":1.2296665,"CRS-US^P_BETA_LOCIDX(45727,45551,,\"SPX\")":1.7333994,"CRS-US^P_BETA_LOCIDX(45497,45322,,\"SPX\")":1.0365711,"CRS-US^P_BETA_LOCIDX(45358,45183,,\"SPX\")":1.3650775,"CRS-US^P_BETA_LOCIDX(45223,45049,,\"SPX\")":1.6620175,"CRS-US^P_BETA_LOCIDX(45002,44827,,\"SPX\")":1.4394643,"CRS-US^P_BETA_LOCIDX(46008,45835,,\"SPX\")":1.2241703,"CRS-US^P_BETA_LOCIDX(45721,45545,,\"SPX\")":1.6688427,"CRS-US^P_BETA_LOCIDX(45422,45246,,\"SPX\")":0.91507655,"CRS-US^P_BETA_LOCIDX(44999,44824,,\"SPX\")":1.4080899,"CRS-US^P_BETA_LOCIDX(45492,45317,,\"SPX\")":1.0423424,"CRS-US^P_BETA_LOCIDX(45051,44875,,\"SPX\")":1.4815913,"CRS-US^P_BETA_LOCIDX(45050,44874,,\"SPX\")":1.468394,"CRS-US^P_BETA_LOCIDX(45902,45727,,\"SPX\")":1.5395398,"CRS-US^P_BETA_LOCIDX(45819,45642,,\"SPX\")":1.6182904,"CRS-US^P_BETA_LOCIDX(45723,45547,,\"SPX\")":1.8129066,"CRS-US^P_BETA_LOCIDX(45649,45476,,\"SPX\")":1.7269086,"CRS-US^P_BETA_LOCIDX(45573,45399,,\"SPX\")":1.3490527,"CRS-US^P_BETA_LOCIDX(45425,45247,,\"SPX\")":0.91923887,"CRS-US^P_BETA_LOCIDX(45279,45106,,\"SPX\")":1.3105012,"CRS-US^P_BETA_LOCIDX(45167,44993,,\"SPX\")":1.890445,"CRS-US^P_BETA_LOCIDX(45113,44937,,\"SPX\")":1.7732419,"CRS-US^P_BETA_LOCIDX(45056,44880,,\"SPX\")":1.668146,"CRS-US^P_BETA_LOCIDX(45001,44826,,\"SPX\")":1.4049438,"CRS-US^P_BETA_LOCIDX(45896,45722,,\"SPX\")":1.5789018,"CRS-US^P_BETA_LOCIDX(45495,45320,,\"SPX\")":1.0402148,"CRS-US^P_BETA_LOCIDX(45163,44991,,\"SPX\")":1.8638539,"CRS-US^P_BETA_LOCIDX(45894,45720,,\"SPX\")":1.5780606,"CRS-US^P_BETA_LOCIDX(45041,44865,,\"SPX\")":1.4388927,"CRS-US^P_BETA_LOCIDX(45093,44917,,\"SPX\")":1.8230524,"CRS-US^P_BETA_LOCIDX(45594,45420,,\"SPX\")":1.4904983,"CRS-US^P_BETA_LOCIDX(45134,44959,,\"SPX\")":1.8073114,"CRS-US^P_BETA_LOCIDX(45021,44846,,\"SPX\")":1.370999,"CRS-US^P_BETA_LOCIDX(45931,45756,,\"SPX\")":1.400716,"CRS-US^P_BETA_LOCIDX(45187,45012,,\"SPX\")":1.744487,"CRS-US^P_BETA_LOCIDX(46010,45839,,\"SPX\")":1.2417305,"CRS-US^P_BETA_LOCIDX(45798,45621,,\"SPX\")":1.6374083,"CRS-US^P_BETA_LOCIDX(45722,45546,,\"SPX\")":1.8097535,"CRS-US^P_BETA_LOCIDX(45646,45475,,\"SPX\")":1.7102932,"CRS-US^P_BETA_LOCIDX(45565,45391,,\"SPX\")":1.3891114,"CRS-US^P_BETA_LOCIDX(45350,45175,,\"SPX\")":1.2744616,"CRS-US^P_BETA_LOCIDX(45278,45105,,\"SPX\")":1.2970992,"CRS-US^P_BETA_LOCIDX(45166,44992,,\"SPX\")":1.8686386,"CRS-US^P_BETA_LOCIDX(45112,44936,,\"SPX\")":1.7841904,"CRS-US^P_BETA_LOCIDX(45797,45618,,\"SPX\")":1.6450657,"CRS-US^P_BETA_LOCIDX(45562,45390,,\"SPX\")":1.3879223,"CRS-US^P_BETA_LOCIDX(45218,45044,,\"SPX\")":1.4795843,"CRS-US^P_BETA_LOCIDX(45054,44876,,\"SPX\")":1.6360183,"CRS-US^P_BETA_LOCIDX(45204,45030,,\"SPX\")":1.5955955,"CRS-US^P_BETA_LOCIDX(45077,44901,,\"SPX\")":1.7869773,"CRS-US^P_BETA_LOCIDX(45273,45100,,\"SPX\")":1.2852415,"CRS-US^P_BETA_LOCIDX(45622,45449,,\"SPX\")":1.751364,"CRS-US^P_BETA_LOCIDX(45637,45464,,\"SPX\")":1.7262969,"CRS-US^P_BETA_LOCIDX(44998,44823,,\"SPX\")":1.4216126,"CRS-US^P_BETA_LOCIDX(45854,45679,,\"SPX\")":1.6290953,"CRS-US^P_BETA_LOCIDX(45796,45617,,\"SPX\")":1.6432581,"CRS-US^P_BETA_LOCIDX(45720,45544,,\"SPX\")":1.7068889,"CRS-US^P_BETA_LOCIDX(45561,45387,,\"SPX\")":1.3840675,"CRS-US^P_BETA_LOCIDX(45491,45316,,\"SPX\")":1.008361,"CRS-US^P_BETA_LOCIDX(45421,45245,,\"SPX\")":0.9141965,"CRS-US^P_BETA_LOCIDX(45274,45103,,\"SPX\")":1.2768995,"CRS-US^P_BETA_LOCIDX(45216,45042,,\"SPX\")":1.6965879,"CRS-US^P_BETA_LOCIDX(45161,44987,,\"SPX\")":1.8651935,"CRS-US^P_BETA_LOCIDX(45107,44932,,\"SPX\")":1.7905129,"CRS-US^P_BETA_LOCIDX(45754,45576,,\"SPX\")":1.8391054,"CRS-US^P_BETA_LOCIDX(46006,45833,,\"SPX\")":1.2492905,"CRS-US^P_BETA_LOCIDX(45719,45541,,\"SPX\")":1.7022421,"CRS-US^P_BETA_LOCIDX(45629,45455,,\"SPX\")":1.7428716,"CRS-US^P_BETA_LOCIDX(45559,45385,,\"SPX\")":1.3182226,"CRS-US^P_BETA_LOCIDX(45490,45315,,\"SPX\")":1.013585,"CRS-US^P_BETA_LOCIDX(45412,45236,,\"SPX\")":0.9845293,"CRS-US^P_BETA_LOCIDX(45338,45163,,\"SPX\")":1.3929898,"CRS-US^P_BETA_LOCIDX(44995,44820,,\"SPX\")":1.4250728,"CRS-US^P_BETA_LOCIDX(45400,45224,,\"SPX\")":0.9821409,"CRS-US^P_BETA_LOCIDX(45890,45716,,\"SPX\")":1.5779008,"CRS-US^P_BETA_LOCIDX(45791,45614,,\"SPX\")":1.6501757,"CRS-US^P_BETA_LOCIDX(45716,45540,,\"SPX\")":1.7580471,"CRS-US^P_BETA_LOCIDX(45215,45041,,\"SPX\")":1.6703423,"CRS-US^P_BETA_LOCIDX(45160,44986,,\"SPX\")":1.8337473,"CRS-US^P_BETA_LOCIDX(45106,44931,,\"SPX\")":1.7735937,"CRS-US^P_BETA_LOCIDX(45554,45379,,\"SPX\")":1.3260429,"CRS-US^P_BETA_LOCIDX(45244,45070,,\"SPX\")":1.3271589,"CRS-US^P_BETA_LOCIDX(45370,45195,,\"SPX\")":1.344879,"CRS-US^P_BETA_LOCIDX(46003,45832,,\"SPX\")":1.2546177,"CRS-US^P_BETA_LOCIDX(45625,45453,,\"SPX\")":1.7398641,"CRS-US^P_BETA_LOCIDX(45555,45383,,\"SPX\")":1.3234675,"CRS-US^P_BETA_LOCIDX(45489,45314,,\"SPX\")":0.94591594,"CRS-US^P_BETA_LOCIDX(45335,45160,,\"SPX\")":1.3228558,"CRS-US^P_BETA_LOCIDX(45272,45099,,\"SPX\")":1.2458763,"CRS-US^P_BETA_LOCIDX(45049,44873,,\"SPX\")":1.4450582,"CRS-US^P_BETA_LOCIDX(44994,44819,,\"SPX\")":1.3987714,"CRS-US^P_BETA_LOCIDX(45097,44918,,\"SPX\")":1.8212348,"CRS-US^P_BETA_LOCIDX(45149,44974,,\"SPX\")":1.8645467,"CRS-US^P_BETA_LOCIDX(44985,44810,,\"SPX\")":1.4290302,"CRS-US^P_BETA_LOCIDX(45833,45656,,\"SPX\")":1.6080997,"CRS-US^P_BETA_LOCIDX(45999,45825,,\"SPX\")":1.237555,"CRS-US^P_BETA_LOCIDX(45889,45715,,\"SPX\")":1.5672768,"CRS-US^P_BETA_LOCIDX(45789,45610,,\"SPX\")":1.6303203,"CRS-US^P_BETA_LOCIDX(45707,45530,,\"SPX\")":1.8385531,"CRS-US^P_BETA_LOCIDX(45623,45450,,\"SPX\")":1.7537518,"CRS-US^P_BETA_LOCIDX(45488,45313,,\"SPX\")":0.9114538,"CRS-US^P_BETA_LOCIDX(45271,45098,,\"SPX\")":1.2364477,"CRS-US^P_BETA_LOCIDX(45212,45040,,\"SPX\")":1.6847742,"CRS-US^P_BETA_LOCIDX(45159,44985,,\"SPX\")":1.8309382,"CRS-US^P_BETA_LOCIDX(45104,44929,,\"SPX\")":1.7917135,"CRS-US^P_BETA_LOCIDX(45048,44872,,\"SPX\")":1.4304389,"CRS-US^P_BETA_LOCIDX(45188,45013,,\"SPX\")":1.7408746,"CRS-US^P_BETA_LOCIDX(45887,45713,,\"SPX\")":1.5634414,"CRS-US^P_BETA_LOCIDX(45786,45609,,\"SPX\")":1.6711257,"CRS-US^P_BETA_LOCIDX(45698,45520,,\"SPX\")":1.858542,"CRS-US^P_BETA_LOCIDX(45937,45762,,\"SPX\")":1.1495438,"CRS-US^P_BETA_LOCIDX(45785,45608,,\"SPX\")":1.6721623,"CRS-US^P_BETA_LOCIDX(45695,45519,,\"SPX\")":1.8026348,"CRS-US^P_BETA_LOCIDX(45621,45448,,\"SPX\")":1.7522341,"CRS-US^P_BETA_LOCIDX(45553,45378,,\"SPX\")":1.2849042,"CRS-US^P_BETA_LOCIDX(45476,45301,,\"SPX\")":1.0352004,"CRS-US^P_BETA_LOCIDX(45331,45156,,\"SPX\")":1.2745268,"CRS-US^P_BETA_LOCIDX(45268,45097,,\"SPX\")":1.2318269,"CRS-US^P_BETA_LOCIDX(44970,44795,,\"SPX\")":1.4401625,"CRS-US^P_BETA_LOCIDX(45672,45497,,\"SPX\")":1.6722943,"CRS-US^P_BETA_LOCIDX(45967,45793,,\"SPX\")":1.1319523,"CRS-US^P_BETA_LOCIDX(45868,45693,,\"SPX\")":1.6263286,"CRS-US^P_BETA_LOCIDX(45694,45518,,\"SPX\")":1.8122447,"CRS-US^P_BETA_LOCIDX(45552,45377,,\"SPX\")":1.2936176,"CRS-US^P_BETA_LOCIDX(45469,45294,,\"SPX\")":1.087366,"CRS-US^P_BETA_LOCIDX(45398,45222,,\"SPX\")":1.0145782,"CRS-US^P_BETA_LOCIDX(45260,45086,,\"SPX\")":1.279066,"CRS-US^P_BETA_LOCIDX(45148,44973,,\"SPX\")":1.8502047,"CRS-US^P_BETA_LOCIDX(45092,44916,,\"SPX\")":1.8047857,"CRS-US^P_BETA_LOCIDX(45040,44862,,\"SPX\")":1.4004995,"CRS-US^P_BETA_LOCIDX(45863,45688,,\"SPX\")":1.625247,"CRS-US^P_BETA_LOCIDX(45784,45607,,\"SPX\")":1.6749948,"CRS-US^P_BETA_LOCIDX(45693,45517,,\"SPX\")":1.7792487,"CRS-US^P_BETA_LOCIDX(45617,45446,,\"SPX\")":1.7334747,"CRS-US^P_BETA_LOCIDX(45467,45289,,\"SPX\")":1.0962924,"CRS-US^P_BETA_LOCIDX(45397,45219,,\"SPX\")":1.0435297,"CRS-US^P_BETA_LOCIDX(45330,45155,,\"SPX\")":1.2791909,"CRS-US^P_BETA_LOCIDX(45146,44971,,\"SPX\")":1.8407964,"CRS-US^P_BETA_LOCIDX(45090,44914,,\"SPX\")":1.8252091,"CRS-US^P_BETA_LOCIDX(45036,44860,,\"SPX\")":1.4048098,"CRS-US^P_BETA_LOCIDX(45523,45349,,\"SPX\")":1.0481464,"CRS-US^P_BETA_LOCIDX(45775,45596,,\"SPX\")":1.7418977,"CRS-US^P_BETA_LOCIDX(45692,45516,,\"SPX\")":1.7812134,"CRS-US^P_BETA_LOCIDX(45541,45366,,\"SPX\")":1.2540246,"CRS-US^P_BETA_LOCIDX(45394,45218,,\"SPX\")":1.0417594,"CRS-US^P_BETA_LOCIDX(45254,45082,,\"SPX\")":1.270049,"CRS-US^P_BETA_LOCIDX(45198,45026,,\"SPX\")":1.5924488,"CRS-US^P_BETA_LOCIDX(45033,44855,,\"SPX\")":1.3986359,"CRS-US^P_BETA_LOCIDX(44978,44802,,\"SPX\")":1.4517646,"CRS-US^P_BETA_LOCIDX(45022,44847,,\"SPX\")":1.3719712,"CRS-US^P_BETA_LOCIDX(45932,45757,,\"SPX\")":1.1671274,"CRS-US^P_BETA_LOCIDX(45961,45789,,\"SPX\")":1.0721475,"CRS-US^P_BETA_LOCIDX(45861,45686,,\"SPX\")":1.6065916,"CRS-US^P_BETA_LOCIDX(45764,45588,,\"SPX\")":1.7209628,"CRS-US^P_BETA_LOCIDX(45616,45443,,\"SPX\")":1.7257577,"CRS-US^P_BETA_LOCIDX(45464,45288,,\"SPX\")":1.0912503,"CRS-US^P_BETA_LOCIDX(45393,45217,,\"SPX\")":1.0712556,"CRS-US^P_BETA_LOCIDX(45329,45154,,\"SPX\")":1.2599244,"CRS-US^P_BETA_LOCIDX(45196,45021,,\"SPX\")":1.6108434,"CRS-US^P_BETA_LOCIDX(45141,44966,,\"SPX\")":1.8282424,"CRS-US^P_BETA_LOCIDX(45030,44854,,\"SPX\")":1.3904465,"CRS-US^P_BETA_LOCIDX(44974,44799,,\"SPX\")":1.4274516,"CRS-US^P_BETA_LOCIDX(45455,45279,,\"SPX\")":1.0368633,"CRS-US^P_BETA_LOCIDX(45960,45786,,\"SPX\")":1.0694578,"CRS-US^P_BETA_LOCIDX(45762,45586,,\"SPX\")":1.7390577,"CRS-US^P_BETA_LOCIDX(45532,45358,,\"SPX\")":1.0614066,"CRS-US^P_BETA_LOCIDX(45321,45146,,\"SPX\")":1.2976992,"CRS-US^P_BETA_LOCIDX(45195,45020,,\"SPX\")":1.645097,"CRS-US^P_BETA_LOCIDX(45140,44965,,\"SPX\")":1.8156362,"CRS-US^P_BETA_LOCIDX(45085,44909,,\"SPX\")":1.8441939,"CRS-US^P_BETA_LOCIDX(45663,45489,,\"SPX\")":1.7525542,"CRS-US^P_BETA_LOCIDX(45859,45684,,\"SPX\")":1.6338533,"CRS-US^P_BETA_LOCIDX(45687,45511,,\"SPX\")":1.8052101,"CRS-US^P_BETA_LOCIDX(45614,45441,,\"SPX\")":1.7122743,"CRS-US^P_BETA_LOCIDX(45531,45357,,\"SPX\")":1.0524929,"CRS-US^P_BETA_LOCIDX(45461,45286,,\"SPX\")":1.0822216,"CRS-US^P_BETA_LOCIDX(45392,45216,,\"SPX\")":1.0582987,"CRS-US^P_BETA_LOCIDX(45320,45145,,\"SPX\")":1.3194741,"CRS-US^P_BETA_LOCIDX(45250,45077,,\"SPX\")":1.323027,"CRS-US^P_BETA_LOCIDX(45029,44853,,\"SPX\")":1.390318,"CRS-US^P_BETA_LOCIDX(44973,44798,,\"SPX\")":1.4238088,"CRS-US^P_BETA_LOCIDX(45307,45132,,\"SPX\")":1.2850666,"CRS-US^P_BETA_LOCIDX(45959,45785,,\"SPX\")":1.0526973,"CRS-US^P_BETA_LOCIDX(45856,45681,,\"SPX\")":1.6356448,"CRS-US^P_BETA_LOCIDX(45761,45583,,\"SPX\")":1.73686,"CRS-US^P_BETA_LOCIDX(45604,45432,,\"SPX\")":1.7536659,"CRS-US^P_BETA_LOCIDX(45530,45356,,\"SPX\")":1.0761731,"CRS-US^P_BETA_LOCIDX(45457,45281,,\"SPX\")":1.0656332,"CRS-US^P_BETA_LOCIDX(45391,45215,,\"SPX\")":1.0103153,"CRS-US^P_BETA_LOCIDX(45028,44852,,\"SPX\")":1.3799256,"CRS-US^P_BETA_LOCIDX(44972,44797,,\"SPX\")":1.4266304,"CRS-US^P_BETA_LOCIDX(45189,45014,,\"SPX\")":1.7150825,"CRS-US^P_BETA_LOCIDX(44967,44792,,\"SPX\")":1.4358592,"CRS-US^P_BETA_LOCIDX(45751,45575,,\"SPX\")":1.8398297,"CRS-US^P_BETA_LOCIDX(45758,45582,,\"SPX\")":1.7379372,"CRS-US^P_BETA_LOCIDX(45685,45509,,\"SPX\")":1.7700412,"CRS-US^P_BETA_LOCIDX(45603,45429,,\"SPX\")":1.7522151,"CRS-US^P_BETA_LOCIDX(45527,45355,,\"SPX\")":1.0745091,"CRS-US^P_BETA_LOCIDX(45390,45212,,\"SPX\")":1.0554383,"CRS-US^P_BETA_LOCIDX(45246,45072,,\"SPX\")":1.3018855,"CRS-US^P_BETA_LOCIDX(45191,45016,,\"SPX\")":1.6389233,"CRS-US^P_BETA_LOCIDX(45138,44963,,\"SPX\")":1.8276963,"CRS-US^P_BETA_LOCIDX(45083,44907,,\"SPX\")":1.8557185,"CRS-US^P_BETA_LOCIDX(45958,45784,,\"SPX\")":1.0650686,"CRS-US^P_BETA_LOCIDX(45855,45680,,\"SPX\")":1.6381181,"CRS-US^P_BETA_LOCIDX(45526,45352,,\"SPX\")":1.078671,"CRS-US^P_BETA_LOCIDX(45456,45280,,\"SPX\")":1.0239122,"CRS-US^P_BETA_LOCIDX(45379,45204,,\"SPX\")":1.2897894,"CRS-US^P_BETA_LOCIDX(45309,45134,,\"SPX\")":1.3289737,"CRS-US^P_BETA_LOCIDX(45190,45015,,\"SPX\")":1.6368679,"CRS-US^P_BETA_LOCIDX(45135,44960,,\"SPX\")":1.7964025,"CRS-US^P_BETA_LOCIDX(45079,44903,,\"SPX\")":1.8660996,"CRS-US^P_BETA_LOCIDX(45026,44848,,\"SPX\")":1.3915224,"CRS-US^P_BETA_LOCIDX(45954,45782,,\"SPX\")":1.0932714,"CRS-US^P_BETA_LOCIDX(45684,45506,,\"SPX\")":1.8032584,"CRS-US^P_BETA_LOCIDX(45078,44902,,\"SPX\")":1.82823,"CRS-US^P_BETA_LOCIDX(45058,44882,,\"SPX\")":1.6694431,"CRS-US^P_BETA_LOCIDX(45519,45345,,\"SPX\")":1.0654113,"CRS-US^P_BETA_LOCIDX(45013,44838,,\"SPX\")":1.3601117,"CRS-US^P_BETA_LOCIDX(45518,45344,,\"SPX\")":1.0444074,"CRS-US^P_BETA_LOCIDX(45510,45335,,\"SPX\")":1.124268,"CRS-US^P_BETA_LOCIDX(45826,45649,,\"SPX\")":1.609098,"CRS-US^P_BETA_LOCIDX(44966,44791,,\"SPX\")":1.4380776,"CRS-US^P_BETA_LOCIDX(45446,45268,,\"SPX\")":1.0580419,"CRS-US^P_BETA_LOCIDX(45180,45005,,\"SPX\")":1.7331421,"CRS-US^P_BETA_LOCIDX(45434,45259,,\"SPX\")":1.041263,"CRS-US^P_BETA_LOCIDX(45174,44999,,\"SPX\")":1.8784295,"CRS-US^P_BETA_LOCIDX(45432,45257,,\"SPX\")":0.9746633,"CRS-US^P_BETA_LOCIDX(45169,44995,,\"SPX\")":1.9013149,"CRS-US^P_BETA_LOCIDX(45133,44958,,\"SPX\")":1.8574868,"CRS-US^P_BETA_LOCIDX(45365,45190,,\"SPX\")":1.288236,"CRS-US^P_BETA_LOCIDX(45929,45754,,\"SPX\")":1.38665,"CRS-US^P_BETA_LOCIDX(45583,45411,,\"SPX\")":1.3077915,"CRS-US^P_BETA_LOCIDX(45924,45749,,\"SPX\")":1.4911664,"CRS-US^P_BETA_LOCIDX(45239,45065,,\"SPX\")":1.3878021,"CRS-US^P_BETA_LOCIDX(45231,45057,,\"SPX\")":1.4989303,"CRS-US^P_BETA_LOCIDX(45831,45652,,\"SPX\")":1.6156926,"CRS-US^P_BETA_LOCIDX(45226,45054,,\"SPX\")":1.4970396,"CRS-US^P_BETA_LOCIDX(45820,45643,,\"SPX\")":1.619025,"CRS-US^P_BETA_LOCIDX(44957,44782,,\"SPX\")":1.4419619,"CRS-US^P_BETA_LOCIDX(45433,45258,,\"SPX\")":1.0168737,"CRS-US^P_BETA_LOCIDX(45750,45574,,\"SPX\")":1.9241667,"CRS-US^P_BETA_LOCIDX(45925,45750,,\"SPX\")":1.4870255,"CRS-US^P_BETA_LOCIDX(45582,45408,,\"SPX\")":1.3238126,"CRS-US^P_BETA_LOCIDX(45288,45117,,\"SPX\")":1.2711635,"CRS-US^P_BETA_LOCIDX(45020,44845,,\"SPX\")":1.3655039,"CRS-US^P_BETA_LOCIDX(45240,45068,,\"SPX\")":1.3547449,"CRS-US^P_BETA_LOCIDX(45923,45748,,\"SPX\")":1.4878826,"CRS-US^P_BETA_LOCIDX(45007,44832,,\"SPX\")":1.4311,"CRS-US^P_BETA_LOCIDX(45821,45644,,\"SPX\")":1.6111706,"CRS-US^P_BETA_LOCIDX(44958,44783,,\"SPX\")":1.448481,"CRS-US^P_BETA_LOCIDX(45443,45267,,\"SPX\")":0.96695495,"CRS-US^P_BETA_LOCIDX(45177,45002,,\"SPX\")":1.8571181,"CRS-US^P_BETA_LOCIDX(45740,45562,,\"SPX\")":1.8144255,"CRS-US^P_BETA_LOCIDX(45730,45554,,\"SPX\")":1.7540774,"CRS-US^P_BETA_LOCIDX(45168,44994,,\"SPX\")":1.8957868,"CRS-US^P_BETA_LOCIDX(45124,44949,,\"SPX\")":1.8267986,"CRS-US^P_BETA_LOCIDX(45728,45552,,\"SPX\")":1.7327542,"CRS-US^P_BETA_LOCIDX(45300,45126,,\"SPX\")":1.2235332,"CRS-US^P_BETA_LOCIDX(45119,44944,,\"SPX\")":1.7607992,"CRS-US^P_BETA_LOCIDX(45656,45483,,\"SPX\")":1.7470835,"CRS-US^P_BETA_LOCIDX(45369,45194,,\"SPX\")":1.3246837,"CRS-US^P_BETA_LOCIDX(45117,44939,,\"SPX\")":1.7618057,"CRS-US^P_BETA_LOCIDX(45363,45188,,\"SPX\")":1.2584455,"CRS-US^P_BETA_LOCIDX(45657,45484,,\"SPX\")":1.7463398,"CRS-US^P_BETA_LOCIDX(45428,45252,,\"SPX\")":0.97339594,"CRS-US^P_BETA_LOCIDX(45659,45485,,\"SPX\")":1.7555598,"CRS-US^P_BETA_LOCIDX(45061,44883,,\"SPX\")":1.6728939,"CRS-US^P_BETA_LOCIDX(45729,45553,,\"SPX\")":1.7431973,"CRS-US^P_BETA_LOCIDX(45586,45412,,\"SPX\")":1.3110605,"CRS-US^P_BETA_LOCIDX(45114,44938,,\"SPX\")":1.7624435,"CRS-US^P_BETA_LOCIDX(45652,45481,,\"SPX\")":1.728452,"CRS-US^P_BETA_LOCIDX(45359,45184,,\"SPX\")":1.3588685,"CRS-US^P_BETA_LOCIDX(45076,44900,,\"SPX\")":1.8020452,"CRS-US^P_BETA_LOCIDX(45650,45478,,\"SPX\")":1.7151276,"CRS-US^P_BETA_LOCIDX(45302,45128,,\"SPX\")":1.2697042,"CRS-US^P_BETA_LOCIDX(45588,45414,,\"SPX\")":1.4673249,"CRS-US^P_BETA_LOCIDX(45065,44890,,\"SPX\")":1.7401888,"CRS-US^P_BETA_LOCIDX(45587,45413,,\"SPX\")":1.4005934,"CRS-US^P_BETA_LOCIDX(45301,45127,,\"SPX\")":1.2540375,"CRS-US^P_BETA_LOCIDX(44956,44781,,\"SPX\")":1.4581655,"CRS-US^P_BETA_LOCIDX(44953,44778,,\"SPX\")":1.457646,"CRS-US^P_BETA_LOCIDX(44952,44777,,\"SPX\")":1.4521563,"CRS-US^P_BETA_LOCIDX(44951,44776,,\"SPX\")":1.4258773,"CRS-US^P_BETA_LOCIDX(44950,44775,,\"SPX\")":1.4260479,"CRS-US^P_BETA_LOCIDX(44949,44774,,\"SPX\")":1.4223742,"CRS-US^P_BETA_LOCIDX(44946,44771,,\"SPX\")":1.4385567,"CRS-US^P_BETA_LOCIDX(44945,44770,,\"SPX\")":1.4575614,"CRS-US^P_BETA_LOCIDX(44944,44769,,\"SPX\")":1.4444733,"CRS-US^P_BETA_LOCIDX(44943,44768,,\"SPX\")":1.4478207,"CRS-US^P_BETA_LOCIDX(44939,44767,,\"SPX\")":1.4470509,"CRS-US^P_BETA_LOCIDX(44938,44764,,\"SPX\")":1.4513875,"CRS-US^P_BETA_LOCIDX(44937,44763,,\"SPX\")":1.4397705,"CRS-US^P_BETA_LOCIDX(44936,44762,,\"SPX\")":1.4352261,"CRS-US^P_BETA_LOCIDX(44935,44761,,\"SPX\")":1.4264135,"CRS-US^P_BETA_LOCIDX(44932,44760,,\"SPX\")":1.4207981,"CRS-US^P_BETA_LOCIDX(44931,44757,,\"SPX\")":1.3912655,"CRS-US^P_BETA_LOCIDX(44930,44756,,\"SPX\")":1.4003413,"CRS-US^P_BETA_LOCIDX(44929,44755,,\"SPX\")":1.3920443,"CRS-US^P_BETA_LOCIDX(44925,44754,,\"SPX\")":1.3708642,"CRS-US^P_BETA_LOCIDX(44924,44753,,\"SPX\")":1.3651152,"CRS-US^P_BETA_LOCIDX(44923,44750,,\"SPX\")":1.3686997,"CRS-US^P_BETA_LOCIDX(44922,44749,,\"SPX\")":1.3604283,"CRS-US^P_BETA_LOCIDX(44918,44748,,\"SPX\")":1.3561667,"CRS-US^P_BETA_LOCIDX(44917,44747,,\"SPX\")":1.356485,"CRS-US^P_BETA_LOCIDX(44916,44743,,\"SPX\")":1.3392099,"CRS-US^P_BETA_LOCIDX(44915,44742,,\"SPX\")":1.339746,"CRS-US^P_BETA_LOCIDX(44914,44741,,\"SPX\")":1.3395079,"CRS-US^P_BETA_LOCIDX(44911,44740,,\"SPX\")":1.3323789,"CRS-US^P_BETA_LOCIDX(44910,44739,,\"SPX\")":1.3376838,"CRS-US^P_BETA_LOCIDX(44909,44736,,\"SPX\")":1.3029127,"CRS-US^P_BETA_LOCIDX(44908,44735,,\"SPX\")":1.2865858,"CRS-US^P_BETA_LOCIDX(44907,44734,,\"SPX\")":1.2907043,"CRS-US^P_BETA_LOCIDX(44904,44733,,\"SPX\")":1.2815192,"CRS-US^P_BETA_LOCIDX(44903,44729,,\"SPX\")":1.2700838,"CRS-US^P_BETA_LOCIDX(44902,44728,,\"SPX\")":1.3108257,"CRS-US^P_BETA_LOCIDX(44901,44727,,\"SPX\")":1.2917744,"CRS-US^P_BETA_LOCIDX(44900,44726,,\"SPX\")":1.3038352,"CRS-US^P_BETA_LOCIDX(44897,44725,,\"SPX\")":1.2867681,"CRS-US^P_BETA_LOCIDX(44896,44722,,\"SPX\")":1.2860417,"CRS-US^P_BETA_LOCIDX(44895,44721,,\"SPX\")":1.2945588,"CRS-US^P_BETA_LOCIDX(44894,44720,,\"SPX\")":1.3189868,"CRS-US^P_BETA_LOCIDX(44893,44719,,\"SPX\")":1.3152037,"CRS-US^P_BETA_LOCIDX(44890,44718,,\"SPX\")":1.3109794,"CRS-US^P_BETA_LOCIDX(44888,44715,,\"SPX\")":1.3159556,"CRS-US^P_BETA_LOCIDX(44887,44714,,\"SPX\")":1.3294833,"CRS-US^P_BETA_LOCIDX(44886,44713,,\"SPX\")":1.3372228,"CRS-US^P_BETA_LOCIDX(44883,44712,,\"SPX\")":1.3419033,"CRS-US^P_BETA_LOCIDX(44882,44708,,\"SPX\")":1.3367659,"CRS-US^P_BETA_LOCIDX(44881,44707,,\"SPX\")":1.3378286,"CRS-US^P_BETA_LOCIDX(44880,44706,,\"SPX\")":1.3445238,"CRS-US^P_BETA_LOCIDX(44879,44705,,\"SPX\")":1.341591,"CRS-US^P_BETA_LOCIDX(44876,44704,,\"SPX\")":1.3484613,"CRS-US^P_BETA_LOCIDX(44875,44701,,\"SPX\")":1.3587289,"CRS-US^P_BETA_LOCIDX(44874,44700,,\"SPX\")":1.4195677,"CRS-US^P_BETA_LOCIDX(44873,44699,,\"SPX\")":1.3653365,"CRS-US^P_BETA_LOCIDX(44872,44698,,\"SPX\")":1.3996636,"CRS-US^P_BETA_LOCIDX(44869,44697,,\"SPX\")":1.4008147,"CRS-US^P_BETA_LOCIDX(44868,44694,,\"SPX\")":1.3468282,"CRS-US^P_BETA_LOCIDX(44867,44693,,\"SPX\")":1.358815,"CRS-US^P_BETA_LOCIDX(44866,44692,,\"SPX\")":1.3189337,"CRS-US^P_BETA_LOCIDX(44865,44691,,\"SPX\")":1.3198798,"CRS-US^P_BETA_LOCIDX(44862,44690,,\"SPX\")":1.3178276,"CRS-US^P_BETA_LOCIDX(44861,44687,,\"SPX\")":1.3457648,"CRS-US^P_BETA_LOCIDX(44860,44686,,\"SPX\")":1.390848,"CRS-US^P_BETA_LOCIDX(44859,44685,,\"SPX\")":1.4043173,"CRS-US^P_BETA_LOCIDX(44858,44684,,\"SPX\")":1.4036804,"CRS-US^P_BETA_LOCIDX(44855,44683,,\"SPX\")":1.4083103,"CRS-US^P_BETA_LOCIDX(44854,44680,,\"SPX\")":1.4168676,"CRS-US^P_BETA_LOCIDX(44853,44679,,\"SPX\")":1.4654967,"CRS-US^P_BETA_LOCIDX(44852,44678,,\"SPX\")":1.4636608,"CRS-US^P_BETA_LOCIDX(44851,44677,,\"SPX\")":1.458857,"CRS-US^P_BETA_LOCIDX(44848,44676,,\"SPX\")":1.4581251,"CRS-US^P_BETA_LOCIDX(44847,44673,,\"SPX\")":1.4254777,"CRS-US^P_BETA_LOCIDX(44846,44672,,\"SPX\")":1.4542792,"CRS-US^P_BETA_LOCIDX(44845,44671,,\"SPX\")":1.4540639,"CRS-US^P_BETA_LOCIDX(44844,44670,,\"SPX\")":1.4578722,"CRS-US^P_BETA_LOCIDX(44841,44669,,\"SPX\")":1.4629164,"CRS-US^P_BETA_LOCIDX(44840,44665,,\"SPX\")":1.4632071,"CRS-US^P_BETA_LOCIDX(44839,44664,,\"SPX\")":1.4681693,"CRS-US^P_BETA_LOCIDX(44838,44663,,\"SPX\")":1.4677755,"CRS-US^P_BETA_LOCIDX(44837,44662,,\"SPX\")":1.4310648,"CRS-US^P_BETA_LOCIDX(44834,44659,,\"SPX\")":1.4040616,"CRS-US^P_BETA_LOCIDX(44833,44658,,\"SPX\")":1.3936048,"CRS-US^P_BETA_LOCIDX(44832,44657,,\"SPX\")":1.3805419,"CRS-US^P_BETA_LOCIDX(44831,44656,,\"SPX\")":1.3897202,"CRS-US^P_BETA_LOCIDX(44830,44655,,\"SPX\")":1.385252,"CRS-US^P_BETA_LOCIDX(44827,44652,,\"SPX\")":1.3902221,"CRS-US^P_BETA_LOCIDX(44826,44651,,\"SPX\")":1.3745613,"CRS-US^P_BETA_LOCIDX(44825,44650,,\"SPX\")":1.3695956,"CRS-US^P_BETA_LOCIDX(44824,44649,,\"SPX\")":1.3549834,"CRS-US^P_BETA_LOCIDX(44823,44648,,\"SPX\")":1.3447251,"CRS-US^P_BETA_LOCIDX(44820,44645,,\"SPX\")":1.3386906,"CRS-US^P_BETA_LOCIDX(44819,44644,,\"SPX\")":1.3321307,"CRS-US^P_BETA_LOCIDX(44818,44643,,\"SPX\")":1.3343502,"CRS-US^P_BETA_LOCIDX(44817,44642,,\"SPX\")":1.3485447,"CRS-US^P_BETA_LOCIDX(44816,44641,,\"SPX\")":1.3748392,"CRS-US^P_BETA_LOCIDX(44813,44638,,\"SPX\")":1.3403902,"CRS-US^P_BETA_LOCIDX(44812,44637,,\"SPX\")":1.3225253,"CRS-US^P_BETA_LOCIDX(44811,44636,,\"SPX\")":1.2970986,"CRS-US^P_BETA_LOCIDX(44810,44635,,\"SPX\")":1.2937808,"CRS-US^P_BETA_LOCIDX(44806,44634,,\"SPX\")":1.2845284,"CRS-US^P_BETA_LOCIDX(44805,44631,,\"SPX\")":1.2931876,"CRS-US^P_BETA_LOCIDX(44804,44630,,\"SPX\")":1.2927557,"CRS-US^P_BETA_LOCIDX(44803,44629,,\"SPX\")":1.225672,"CRS-US^P_BETA_LOCIDX(44802,44628,,\"SPX\")":1.2139999,"CRS-US^P_BETA_LOCIDX(44799,44627,,\"SPX\")":1.1989224,"CRS-US^P_BETA_LOCIDX(44798,44624,,\"SPX\")":1.2096766,"CRS-US^P_BETA_LOCIDX(44797,44623,,\"SPX\")":1.212829,"CRS-US^P_BETA_LOCIDX(44796,44622,,\"SPX\")":1.242569,"CRS-US^P_BETA_LOCIDX(44795,44621,,\"SPX\")":1.2597116,"CRS-US^P_BETA_LOCIDX(44792,44620,,\"SPX\")":1.2449657,"CRS-US^P_BETA_LOCIDX(44791,44617,,\"SPX\")":1.2700113,"CRS-US^P_BETA_LOCIDX(44790,44616,,\"SPX\")":1.2634501,"CRS-US^P_BETA_LOCIDX(44789,44615,,\"SPX\")":1.2559925,"CRS-US^P_BETA_LOCIDX(44788,44614,,\"SPX\")":1.258349,"CRS-US^P_BETA_LOCIDX(44785,44610,,\"SPX\")":1.2598065,"CRS-US^P_BETA_LOCIDX(44784,44609,,\"SPX\")":1.2414746,"CRS-US^P_BETA_LOCIDX(44783,44608,,\"SPX\")":1.2407268,"CRS-US^P_BETA_LOCIDX(44782,44607,,\"SPX\")":1.2388917,"CRS-US^P_BETA_LOCIDX(44781,44606,,\"SPX\")":1.2412304,"CRS-US^P_BETA_LOCIDX(44778,44603,,\"SPX\")":1.1253786,"CRS-US^P_BETA_LOCIDX(44777,44602,,\"SPX\")":1.0818154,"CRS-US^P_BETA_LOCIDX(44776,44601,,\"SPX\")":1.1049577,"CRS-US^P_BETA_LOCIDX(44775,44600,,\"SPX\")":1.1078135,"CRS-US^P_BETA_LOCIDX(44774,44599,,\"SPX\")":1.105905,"CX-US^P_BETA_LOCIDX(45841,45665,,\"SPX\")":0.88546216,"CX-US^P_BETA_LOCIDX(45840,45664,,\"SPX\")":0.88381106,"CX-US^P_BETA_LOCIDX(45839,45663,,\"SPX\")":0.8842378,"CX-US^P_BETA_LOCIDX(45838,45660,,\"SPX\")":0.87805086,"CX-US^P_BETA_LOCIDX(45835,45659,,\"SPX\")":0.87528497,"CX-US^P_BETA_LOCIDX(45834,45657,,\"SPX\")":0.8743265,"CX-US^P_BETA_LOCIDX(45833,45656,,\"SPX\")":0.8774905,"CX-US^P_BETA_LOCIDX(45832,45653,,\"SPX\")":0.8754645,"CX-US^P_BETA_LOCIDX(45831,45652,,\"SPX\")":0.87133485,"CX-US^P_BETA_LOCIDX(45828,45650,,\"SPX\")":0.87667173,"CX-US^P_BETA_LOCIDX(45826,45649,,\"SPX\")":0.8697977,"CX-US^P_BETA_LOCIDX(45825,45646,,\"SPX\")":0.86777526,"CX-US^P_BETA_LOCIDX(45824,45645,,\"SPX\")":0.8649759,"CX-US^P_BETA_LOCIDX(45821,45644,,\"SPX\")":0.8527377,"CX-US^P_BETA_LOCIDX(45820,45643,,\"SPX\")":0.8429963,"CX-US^P_BETA_LOCIDX(45819,45642,,\"SPX\")":0.8424601,"CX-US^P_BETA_LOCIDX(45818,45639,,\"SPX\")":0.84317255,"CX-US^P_BETA_LOCIDX(45817,45638,,\"SPX\")":0.8391268,"CX-US^P_BETA_LOCIDX(45814,45637,,\"SPX\")":0.8281009,"CX-US^P_BETA_LOCIDX(45813,45636,,\"SPX\")":0.83747494,"CX-US^P_BETA_LOCIDX(45812,45635,,\"SPX\")":0.83696276,"CX-US^P_BETA_LOCIDX(45811,45632,,\"SPX\")":0.83638024,"CX-US^P_BETA_LOCIDX(45810,45631,,\"SPX\")":0.836942,"CX-US^P_BETA_LOCIDX(45807,45630,,\"SPX\")":0.8386844,"CX-US^P_BETA_LOCIDX(45806,45629,,\"SPX\")":0.8386599,"CX-US^P_BETA_LOCIDX(45805,45628,,\"SPX\")":0.8414393,"CX-US^P_BETA_LOCIDX(45804,45625,,\"SPX\")":0.8420042,"CX-US^P_BETA_LOCIDX(45800,45623,,\"SPX\")":0.85023934,"CX-US^P_BETA_LOCIDX(45799,45622,,\"SPX\")":0.84291375,"CX-US^P_BETA_LOCIDX(45798,45621,,\"SPX\")":0.8471698,"CX-US^P_BETA_LOCIDX(45797,45618,,\"SPX\")":0.8523349,"CX-US^P_BETA_LOCIDX(45796,45617,,\"SPX\")":0.8545334,"CX-US^P_BETA_LOCIDX(45793,45616,,\"SPX\")":0.85444903,"CX-US^P_BETA_LOCIDX(45792,45615,,\"SPX\")":0.85467917,"CX-US^P_BETA_LOCIDX(45791,45614,,\"SPX\")":0.8543775,"CX-US^P_BETA_LOCIDX(45790,45611,,\"SPX\")":0.83835685,"CX-US^P_BETA_LOCIDX(45789,45610,,\"SPX\")":0.8295704,"CX-US^P_BETA_LOCIDX(45786,45609,,\"SPX\")":0.8357678,"CX-US^P_BETA_LOCIDX(45785,45608,,\"SPX\")":0.8388041,"CX-US^P_BETA_LOCIDX(45784,45607,,\"SPX\")":0.8367706,"CX-US^P_BETA_LOCIDX(45783,45604,,\"SPX\")":0.82600373,"CX-US^P_BETA_LOCIDX(45782,45603,,\"SPX\")":0.84479594,"CX-US^P_BETA_LOCIDX(45779,45602,,\"SPX\")":0.9049422,"CX-US^P_BETA_LOCIDX(45778,45601,,\"SPX\")":0.9112886,"CX-US^P_BETA_LOCIDX(45777,45600,,\"SPX\")":0.9156443,"CX-US^P_BETA_LOCIDX(45776,45597,,\"SPX\")":0.91314316,"CX-US^P_BETA_LOCIDX(45775,45596,,\"SPX\")":0.9107974,"CX-US^P_BETA_LOCIDX(45772,45595,,\"SPX\")":0.9094497,"CX-US^P_BETA_LOCIDX(45771,45594,,\"SPX\")":0.8979571,"CX-US^P_BETA_LOCIDX(45770,45593,,\"SPX\")":0.89150876,"CX-US^P_BETA_LOCIDX(45769,45590,,\"SPX\")":0.88386124,"CX-US^P_BETA_LOCIDX(45768,45589,,\"SPX\")":0.8766349,"CX-US^P_BETA_LOCIDX(45764,45588,,\"SPX\")":0.87099785,"CX-US^P_BETA_LOCIDX(45763,45587,,\"SPX\")":0.8680904,"CX-US^P_BETA_LOCIDX(45762,45586,,\"SPX\")":0.8799857,"CX-US^P_BETA_LOCIDX(45761,45583,,\"SPX\")":0.8795106,"CX-US^P_BETA_LOCIDX(45758,45582,,\"SPX\")":0.8724397,"CX-US^P_BETA_LOCIDX(45757,45581,,\"SPX\")":0.86027414,"CX-US^P_BETA_LOCIDX(45756,45580,,\"SPX\")":0.8248197,"CX-US^P_BETA_LOCIDX(45755,45579,,\"SPX\")":0.98662615,"CX-US^P_BETA_LOCIDX(45754,45576,,\"SPX\")":0.9914461,"CX-US^P_BETA_LOCIDX(45751,45575,,\"SPX\")":0.9898141,"CX-US^P_BETA_LOCIDX(45750,45574,,\"SPX\")":0.90318406,"CX-US^P_BETA_LOCIDX(45749,45573,,\"SPX\")":1.0273299,"CX-US^P_BETA_LOCIDX(45748,45572,,\"SPX\")":1.0304368,"CX-US^P_BETA_LOCIDX(45747,45569,,\"SPX\")":1.010091,"CX-US^P_BETA_LOCIDX(45744,45568,,\"SPX\")":1.0163175,"CX-US^P_BETA_LOCIDX(45743,45567,,\"SPX\")":0.9357423,"CX-US^P_BETA_LOCIDX(45742,45566,,\"SPX\")":0.95986575,"CX-US^P_BETA_LOCIDX(45741,45565,,\"SPX\")":0.90864855,"CX-US^P_BETA_LOCIDX(45740,45562,,\"SPX\")":0.9072457,"CX-US^P_BETA_LOCIDX(45737,45561,,\"SPX\")":0.8919273,"CX-US^P_BETA_LOCIDX(45736,45560,,\"SPX\")":0.8970115,"CX-US^P_BETA_LOCIDX(45735,45559,,\"SPX\")":0.8964171,"CX-US^P_BETA_LOCIDX(45734,45558,,\"SPX\")":0.90013146,"CX-US^P_BETA_LOCIDX(45733,45555,,\"SPX\")":0.9082609,"CX-US^P_BETA_LOCIDX(45730,45554,,\"SPX\")":0.9310754,"CX-US^P_BETA_LOCIDX(45729,45553,,\"SPX\")":0.91428065,"CX-US^P_BETA_LOCIDX(45728,45552,,\"SPX\")":0.9004247,"CX-US^P_BETA_LOCIDX(45727,45551,,\"SPX\")":0.90311545,"CX-US^P_BETA_LOCIDX(45726,45548,,\"SPX\")":0.92389804,"CX-US^P_BETA_LOCIDX(45723,45547,,\"SPX\")":0.94101226,"CX-US^P_BETA_LOCIDX(45722,45546,,\"SPX\")":0.9990203,"CX-US^P_BETA_LOCIDX(45721,45545,,\"SPX\")":1.066813,"CX-US^P_BETA_LOCIDX(45720,45544,,\"SPX\")":0.9883747,"CX-US^P_BETA_LOCIDX(45719,45541,,\"SPX\")":1.0305486,"CX-US^P_BETA_LOCIDX(45716,45540,,\"SPX\")":0.9633919,"CX-US^P_BETA_LOCIDX(45715,45539,,\"SPX\")":1.0327164,"CX-US^P_BETA_LOCIDX(45714,45538,,\"SPX\")":1.0329298,"CX-US^P_BETA_LOCIDX(45713,45534,,\"SPX\")":1.0361843,"CX-US^P_BETA_LOCIDX(45712,45533,,\"SPX\")":1.0439626,"CX-US^P_BETA_LOCIDX(45709,45532,,\"SPX\")":1.0271078,"CX-US^P_BETA_LOCIDX(45708,45531,,\"SPX\")":0.99784905,"CX-US^P_BETA_LOCIDX(45707,45530,,\"SPX\")":1.0249668,"CX-US^P_BETA_LOCIDX(45706,45527,,\"SPX\")":1.057624,"CX-US^P_BETA_LOCIDX(45702,45526,,\"SPX\")":1.0614598,"CX-US^P_BETA_LOCIDX(45701,45525,,\"SPX\")":1.0533794,"CX-US^P_BETA_LOCIDX(45700,45524,,\"SPX\")":1.0583364,"CX-US^P_BETA_LOCIDX(45699,45523,,\"SPX\")":1.0427499,"CX-US^P_BETA_LOCIDX(45698,45520,,\"SPX\")":1.0386331,"CX-US^P_BETA_LOCIDX(45695,45519,,\"SPX\")":1.1548343,"CX-US^P_BETA_LOCIDX(45694,45518,,\"SPX\")":1.1539825,"CX-US^P_BETA_LOCIDX(45693,45517,,\"SPX\")":1.0931059,"CX-US^P_BETA_LOCIDX(45692,45516,,\"SPX\")":1.1019007,"CX-US^P_BETA_LOCIDX(45691,45513,,\"SPX\")":1.0988799,"CX-US^P_BETA_LOCIDX(45688,45512,,\"SPX\")":1.1402093,"CX-US^P_BETA_LOCIDX(45687,45511,,\"SPX\")":1.1056242,"CX-US^P_BETA_LOCIDX(45686,45510,,\"SPX\")":1.1048326,"CX-US^P_BETA_LOCIDX(45685,45509,,\"SPX\")":1.0222625,"CX-US^P_BETA_LOCIDX(45684,45506,,\"SPX\")":1.0653454,"CX-US^P_BETA_LOCIDX(45681,45505,,\"SPX\")":1.0867667,"CX-US^P_BETA_LOCIDX(45680,45504,,\"SPX\")":1.1122375,"CX-US^P_BETA_LOCIDX(45679,45503,,\"SPX\")":1.1087881,"CX-US^P_BETA_LOCIDX(45678,45502,,\"SPX\")":1.1046121,"CX-US^P_BETA_LOCIDX(45674,45499,,\"SPX\")":1.0860528,"CX-US^P_BETA_LOCIDX(45673,45498,,\"SPX\")":1.089485,"CX-US^P_BETA_LOCIDX(45672,45497,,\"SPX\")":1.1224152,"CX-US^P_BETA_LOCIDX(45671,45496,,\"SPX\")":1.101221,"CX-US^P_BETA_LOCIDX(45670,45495,,\"SPX\")":1.1380516,"CX-US^P_BETA_LOCIDX(45667,45492,,\"SPX\")":1.1569061,"CX-US^P_BETA_LOCIDX(45665,45491,,\"SPX\")":1.1618611,"CX-US^P_BETA_LOCIDX(45664,45490,,\"SPX\")":1.2169118,"CX-US^P_BETA_LOCIDX(45663,45489,,\"SPX\")":1.2369779,"CX-US^P_BETA_LOCIDX(45660,45488,,\"SPX\")":1.2283823,"CX-US^P_BETA_LOCIDX(45659,45485,,\"SPX\")":1.251589,"CX-US^P_BETA_LOCIDX(45657,45484,,\"SPX\")":1.2219114,"CX-US^P_BETA_LOCIDX(45656,45483,,\"SPX\")":1.2827188,"CX-US^P_BETA_LOCIDX(45653,45482,,\"SPX\")":1.2778333,"CX-US^P_BETA_LOCIDX(45652,45481,,\"SPX\")":1.2924735999999999,"CX-US^P_BETA_LOCIDX(45650,45478,,\"SPX\")":1.2907902,"CX-US^P_BETA_LOCIDX(45649,45476,,\"SPX\")":1.2860355,"CX-US^P_BETA_LOCIDX(45646,45475,,\"SPX\")":1.2859186,"CX-US^P_BETA_LOCIDX(45645,45474,,\"SPX\")":1.2894369,"CX-US^P_BETA_LOCIDX(45644,45471,,\"SPX\")":1.2849649,"CX-US^P_BETA_LOCIDX(45643,45470,,\"SPX\")":1.3712541,"CX-US^P_BETA_LOCIDX(45642,45469,,\"SPX\")":1.3767474,"CX-US^P_BETA_LOCIDX(45639,45468,,\"SPX\")":1.3755587,"CX-US^P_BETA_LOCIDX(45638,45467,,\"SPX\")":1.3684292,"CX-US^P_BETA_LOCIDX(45637,45464,,\"SPX\")":1.3821985,"CX-US^P_BETA_LOCIDX(45636,45463,,\"SPX\")":1.4192579,"CX-US^P_BETA_LOCIDX(45635,45461,,\"SPX\")":1.412784,"CX-US^P_BETA_LOCIDX(45632,45460,,\"SPX\")":1.426882,"CX-US^P_BETA_LOCIDX(45631,45457,,\"SPX\")":1.4320369,"CX-US^P_BETA_LOCIDX(45630,45456,,\"SPX\")":1.4376065,"CX-US^P_BETA_LOCIDX(45629,45455,,\"SPX\")":1.450225,"CX-US^P_BETA_LOCIDX(45628,45454,,\"SPX\")":1.4435391,"CX-US^P_BETA_LOCIDX(45625,45453,,\"SPX\")":1.4416004,"CX-US^P_BETA_LOCIDX(45623,45450,,\"SPX\")":1.4409252,"CX-US^P_BETA_LOCIDX(45622,45449,,\"SPX\")":1.4466864,"CX-US^P_BETA_LOCIDX(45621,45448,,\"SPX\")":1.4890378,"CX-US^P_BETA_LOCIDX(45618,45447,,\"SPX\")":1.4793969,"CX-US^P_BETA_LOCIDX(45617,45446,,\"SPX\")":1.4765855,"CX-US^P_BETA_LOCIDX(45616,45443,,\"SPX\")":1.4611833,"CX-US^P_BETA_LOCIDX(45615,45442,,\"SPX\")":1.4400511,"CX-US^P_BETA_LOCIDX(45614,45441,,\"SPX\")":1.4384854,"CX-US^P_BETA_LOCIDX(45611,45440,,\"SPX\")":1.4385926,"CX-US^P_BETA_LOCIDX(45610,45436,,\"SPX\")":1.5150095,"CX-US^P_BETA_LOCIDX(45609,45435,,\"SPX\")":1.5150925,"CX-US^P_BETA_LOCIDX(45608,45434,,\"SPX\")":1.5174476,"CX-US^P_BETA_LOCIDX(45607,45433,,\"SPX\")":1.5031859,"CX-US^P_BETA_LOCIDX(45604,45432,,\"SPX\")":1.5026547,"CX-US^P_BETA_LOCIDX(45603,45429,,\"SPX\")":1.5128812,"CX-US^P_BETA_LOCIDX(45602,45428,,\"SPX\")":1.4772686,"CX-US^P_BETA_LOCIDX(45601,45427,,\"SPX\")":1.2907118,"CX-US^P_BETA_LOCIDX(45600,45426,,\"SPX\")":1.2764629,"CX-US^P_BETA_LOCIDX(45597,45425,,\"SPX\")":1.2784913,"CX-US^P_BETA_LOCIDX(45596,45422,,\"SPX\")":1.2830224,"CX-US^P_BETA_LOCIDX(45595,45421,,\"SPX\")":1.3511521,"CX-US^P_BETA_LOCIDX(45594,45420,,\"SPX\")":1.3551885,"CX-US^P_BETA_LOCIDX(45593,45419,,\"SPX\")":1.35722,"CX-US^P_BETA_LOCIDX(45590,45418,,\"SPX\")":1.3601567,"CX-US^P_BETA_LOCIDX(45589,45415,,\"SPX\")":1.3732195,"CX-US^P_BETA_LOCIDX(45588,45414,,\"SPX\")":1.3545702,"CX-US^P_BETA_LOCIDX(45587,45413,,\"SPX\")":1.3865571,"CX-US^P_BETA_LOCIDX(45586,45412,,\"SPX\")":1.3837508,"CX-US^P_BETA_LOCIDX(45583,45411,,\"SPX\")":1.3758825,"CX-US^P_BETA_LOCIDX(45582,45408,,\"SPX\")":1.3757919,"CX-US^P_BETA_LOCIDX(45581,45407,,\"SPX\")":1.364508,"CX-US^P_BETA_LOCIDX(45580,45406,,\"SPX\")":1.3664548,"CX-US^P_BETA_LOCIDX(45579,45405,,\"SPX\")":1.36263,"CX-US^P_BETA_LOCIDX(45576,45404,,\"SPX\")":1.396308,"CX-US^P_BETA_LOCIDX(45575,45401,,\"SPX\")":1.3950833,"CX-US^P_BETA_LOCIDX(45574,45400,,\"SPX\")":1.4068555,"CX-US^P_BETA_LOCIDX(45573,45399,,\"SPX\")":1.4260479,"CX-US^P_BETA_LOCIDX(45572,45398,,\"SPX\")":1.3986685,"CX-US^P_BETA_LOCIDX(45569,45397,,\"SPX\")":1.408643,"CX-US^P_BETA_LOCIDX(45568,45394,,\"SPX\")":1.4172654,"CX-US^P_BETA_LOCIDX(45567,45393,,\"SPX\")":1.4312618,"CX-US^P_BETA_LOCIDX(45566,45392,,\"SPX\")":1.434971,"CX-US^P_BETA_LOCIDX(45565,45391,,\"SPX\")":1.4183254,"CX-US^P_BETA_LOCIDX(45562,45390,,\"SPX\")":1.424837,"CX-US^P_BETA_LOCIDX(45561,45387,,\"SPX\")":1.401069,"CX-US^P_BETA_LOCIDX(45560,45386,,\"SPX\")":1.4188468,"CX-US^P_BETA_LOCIDX(45559,45385,,\"SPX\")":1.4157181,"CX-US^P_BETA_LOCIDX(45558,45384,,\"SPX\")":1.4067308,"CX-US^P_BETA_LOCIDX(45555,45383,,\"SPX\")":1.4035448,"CX-US^P_BETA_LOCIDX(45554,45379,,\"SPX\")":1.4099773,"CX-US^P_BETA_LOCIDX(45553,45378,,\"SPX\")":1.3911935,"CX-US^P_BETA_LOCIDX(45552,45377,,\"SPX\")":1.3850049,"CX-US^P_BETA_LOCIDX(45551,45376,,\"SPX\")":1.3824115,"CX-US^P_BETA_LOCIDX(45548,45373,,\"SPX\")":1.376914,"CX-US^P_BETA_LOCIDX(45547,45372,,\"SPX\")":1.3752884,"CX-US^P_BETA_LOCIDX(45546,45371,,\"SPX\")":1.3660451,"CX-US^P_BETA_LOCIDX(45545,45370,,\"SPX\")":1.3378743,"CX-US^P_BETA_LOCIDX(45544,45369,,\"SPX\")":1.3365833,"CX-US^P_BETA_LOCIDX(45541,45366,,\"SPX\")":1.3524157,"CX-US^P_BETA_LOCIDX(45540,45365,,\"SPX\")":1.3334532,"CX-US^P_BETA_LOCIDX(45539,45364,,\"SPX\")":1.337077,"CX-US^P_BETA_LOCIDX(45538,45363,,\"SPX\")":1.3098614,"CX-US^P_BETA_LOCIDX(45534,45362,,\"SPX\")":1.3064638,"CX-US^P_BETA_LOCIDX(45533,45359,,\"SPX\")":1.291413,"CX-US^P_BETA_LOCIDX(45532,45358,,\"SPX\")":1.2862608,"CX-US^P_BETA_LOCIDX(45531,45357,,\"SPX\")":1.305136,"CX-US^P_BETA_LOCIDX(45530,45356,,\"SPX\")":1.2986622,"CX-US^P_BETA_LOCIDX(45527,45355,,\"SPX\")":1.2845331,"CX-US^P_BETA_LOCIDX(45526,45352,,\"SPX\")":1.2736814,"CX-US^P_BETA_LOCIDX(45525,45351,,\"SPX\")":1.269979,"CX-US^P_BETA_LOCIDX(45524,45350,,\"SPX\")":1.2873071,"CX-US^P_BETA_LOCIDX(45523,45349,,\"SPX\")":1.2816854,"CX-US^P_BETA_LOCIDX(45520,45348,,\"SPX\")":1.2970306,"CX-US^P_BETA_LOCIDX(45519,45345,,\"SPX\")":1.2997626,"CX-US^P_BETA_LOCIDX(45518,45344,,\"SPX\")":1.1578988,"CX-US^P_BETA_LOCIDX(45517,45343,,\"SPX\")":1.1560634,"CX-US^P_BETA_LOCIDX(45516,45342,,\"SPX\")":1.163668,"CX-US^P_BETA_LOCIDX(45513,45338,,\"SPX\")":1.1443971,"CX-US^P_BETA_LOCIDX(45512,45337,,\"SPX\")":1.1526822,"CX-US^P_BETA_LOCIDX(45511,45336,,\"SPX\")":1.1235873,"CX-US^P_BETA_LOCIDX(45510,45335,,\"SPX\")":1.158244,"CX-US^P_BETA_LOCIDX(45509,45334,,\"SPX\")":1.1390828,"CX-US^P_BETA_LOCIDX(45506,45331,,\"SPX\")":1.2406883,"CX-US^P_BETA_LOCIDX(45505,45330,,\"SPX\")":1.2187299,"CX-US^P_BETA_LOCIDX(45504,45329,,\"SPX\")":1.2039258,"CX-US^P_BETA_LOCIDX(45503,45328,,\"SPX\")":1.1938559,"CX-US^P_BETA_LOCIDX(45502,45327,,\"SPX\")":1.1838846,"CX-US^P_BETA_LOCIDX(45499,45324,,\"SPX\")":1.1974313,"CX-US^P_BETA_LOCIDX(45498,45323,,\"SPX\")":1.2110549,"CX-US^P_BETA_LOCIDX(45497,45322,,\"SPX\")":1.2061895,"CX-US^P_BETA_LOCIDX(45496,45321,,\"SPX\")":1.1531192,"CX-US^P_BETA_LOCIDX(45495,45320,,\"SPX\")":1.1633985,"CX-US^P_BETA_LOCIDX(45492,45317,,\"SPX\")":1.092604,"CX-US^P_BETA_LOCIDX(45491,45316,,\"SPX\")":1.0992019,"CX-US^P_BETA_LOCIDX(45490,45315,,\"SPX\")":1.0826386,"CX-US^P_BETA_LOCIDX(45489,45314,,\"SPX\")":0.97181755,"CX-US^P_BETA_LOCIDX(45488,45313,,\"SPX\")":0.9581124,"CX-US^P_BETA_LOCIDX(45485,45310,,\"SPX\")":0.9573794,"CX-US^P_BETA_LOCIDX(45484,45309,,\"SPX\")":0.9427352,"CX-US^P_BETA_LOCIDX(45483,45308,,\"SPX\")":0.9943485,"CX-US^P_BETA_LOCIDX(45482,45307,,\"SPX\")":0.94576794,"CX-US^P_BETA_LOCIDX(45481,45303,,\"SPX\")":0.9451847,"CX-US^P_BETA_LOCIDX(45478,45302,,\"SPX\")":0.9467441,"CX-US^P_BETA_LOCIDX(45476,45301,,\"SPX\")":0.95388824,"CX-US^P_BETA_LOCIDX(45475,45300,,\"SPX\")":0.9443992,"CX-US^P_BETA_LOCIDX(45474,45299,,\"SPX\")":0.96088916,"CX-US^P_BETA_LOCIDX(45471,45296,,\"SPX\")":0.9687019,"CX-US^P_BETA_LOCIDX(45470,45295,,\"SPX\")":0.97661453,"CX-US^P_BETA_LOCIDX(45469,45294,,\"SPX\")":1.0015657,"CX-US^P_BETA_LOCIDX(45468,45293,,\"SPX\")":1.0137808,"CX-US^P_BETA_LOCIDX(45467,45289,,\"SPX\")":1.0246979,"CX-US^P_BETA_LOCIDX(45464,45288,,\"SPX\")":1.0406754,"CX-US^P_BETA_LOCIDX(45463,45287,,\"SPX\")":1.0352076,"CX-US^P_BETA_LOCIDX(45461,45286,,\"SPX\")":1.0235457,"CX-US^P_BETA_LOCIDX(45460,45282,,\"SPX\")":1.025517,"CX-US^P_BETA_LOCIDX(45457,45281,,\"SPX\")":1.060095,"CX-US^P_BETA_LOCIDX(45456,45280,,\"SPX\")":1.057918,"CX-US^P_BETA_LOCIDX(45455,45279,,\"SPX\")":1.0669066,"CX-US^P_BETA_LOCIDX(45454,45278,,\"SPX\")":1.0449619,"CX-US^P_BETA_LOCIDX(45453,45275,,\"SPX\")":1.0552077,"CX-US^P_BETA_LOCIDX(45450,45274,,\"SPX\")":1.0665399,"CX-US^P_BETA_LOCIDX(45449,45273,,\"SPX\")":1.1230428,"CX-US^P_BETA_LOCIDX(45448,45272,,\"SPX\")":1.1176326,"CX-US^P_BETA_LOCIDX(45447,45271,,\"SPX\")":1.097193,"CX-US^P_BETA_LOCIDX(45446,45268,,\"SPX\")":1.1018919,"CX-US^P_BETA_LOCIDX(45443,45267,,\"SPX\")":1.0930017,"CX-US^P_BETA_LOCIDX(45442,45266,,\"SPX\")":1.1072319,"CX-US^P_BETA_LOCIDX(45441,45265,,\"SPX\")":1.1372142,"CX-US^P_BETA_LOCIDX(45440,45264,,\"SPX\")":1.1544176,"CX-US^P_BETA_LOCIDX(45436,45261,,\"SPX\")":1.1821703,"CX-US^P_BETA_LOCIDX(45435,45260,,\"SPX\")":1.1842618,"CX-US^P_BETA_LOCIDX(45434,45259,,\"SPX\")":1.1844288,"CX-US^P_BETA_LOCIDX(45433,45258,,\"SPX\")":1.1736928,"CX-US^P_BETA_LOCIDX(45432,45257,,\"SPX\")":1.1775621,"CX-US^P_BETA_LOCIDX(45429,45254,,\"SPX\")":1.1788445,"CX-US^P_BETA_LOCIDX(45428,45252,,\"SPX\")":1.172217,"CX-US^P_BETA_LOCIDX(45427,45251,,\"SPX\")":1.1593615,"CX-US^P_BETA_LOCIDX(45426,45250,,\"SPX\")":1.1365445,"CX-US^P_BETA_LOCIDX(45425,45247,,\"SPX\")":1.1432041,"CX-US^P_BETA_LOCIDX(45422,45246,,\"SPX\")":1.1434734,"CX-US^P_BETA_LOCIDX(45421,45245,,\"SPX\")":1.1421778,"CX-US^P_BETA_LOCIDX(45420,45244,,\"SPX\")":1.1799136,"CX-US^P_BETA_LOCIDX(45419,45243,,\"SPX\")":1.1833335,"CX-US^P_BETA_LOCIDX(45418,45240,,\"SPX\")":1.1817783,"CX-US^P_BETA_LOCIDX(45415,45239,,\"SPX\")":1.2012187,"CX-US^P_BETA_LOCIDX(45414,45238,,\"SPX\")":1.1856954,"CX-US^P_BETA_LOCIDX(45413,45237,,\"SPX\")":1.2124277,"CX-US^P_BETA_LOCIDX(45412,45236,,\"SPX\")":1.2126943,"CX-US^P_BETA_LOCIDX(45411,45233,,\"SPX\")":1.2357386,"CX-US^P_BETA_LOCIDX(45408,45232,,\"SPX\")":1.3094246,"CX-US^P_BETA_LOCIDX(45407,45231,,\"SPX\")":1.3345157,"CX-US^P_BETA_LOCIDX(45406,45230,,\"SPX\")":1.344185,"CX-US^P_BETA_LOCIDX(45405,45229,,\"SPX\")":1.3086832,"CX-US^P_BETA_LOCIDX(45404,45226,,\"SPX\")":1.354302,"CX-US^P_BETA_LOCIDX(45401,45225,,\"SPX\")":1.2358922,"CX-US^P_BETA_LOCIDX(45400,45224,,\"SPX\")":1.1672164,"CX-US^P_BETA_LOCIDX(45399,45223,,\"SPX\")":1.152226,"CX-US^P_BETA_LOCIDX(45398,45222,,\"SPX\")":1.1330475,"CX-US^P_BETA_LOCIDX(45397,45219,,\"SPX\")":1.1164496,"CX-US^P_BETA_LOCIDX(45394,45218,,\"SPX\")":1.1052413,"CX-US^P_BETA_LOCIDX(45393,45217,,\"SPX\")":1.161369,"CX-US^P_BETA_LOCIDX(45392,45216,,\"SPX\")":1.1561179,"CX-US^P_BETA_LOCIDX(45391,45215,,\"SPX\")":1.1859889,"CX-US^P_BETA_LOCIDX(45390,45212,,\"SPX\")":1.1827382,"CX-US^P_BETA_LOCIDX(45387,45211,,\"SPX\")":1.2224966,"CX-US^P_BETA_LOCIDX(45386,45210,,\"SPX\")":1.2727443,"CX-US^P_BETA_LOCIDX(45385,45209,,\"SPX\")":1.2390766,"CX-US^P_BETA_LOCIDX(45384,45208,,\"SPX\")":1.2429986,"CX-US^P_BETA_LOCIDX(45383,45205,,\"SPX\")":1.2045214,"CX-US^P_BETA_LOCIDX(45379,45204,,\"SPX\")":1.2398044,"CX-US^P_BETA_LOCIDX(45378,45203,,\"SPX\")":1.2483292,"CX-US^P_BETA_LOCIDX(45377,45202,,\"SPX\")":1.331272,"CX-US^P_BETA_LOCIDX(45376,45201,,\"SPX\")":1.3524022,"CX-US^P_BETA_LOCIDX(45373,45198,,\"SPX\")":1.3662546,"CX-US^P_BETA_LOCIDX(45372,45197,,\"SPX\")":1.3771533,"CX-US^P_BETA_LOCIDX(45371,45196,,\"SPX\")":1.3771132,"CX-US^P_BETA_LOCIDX(45370,45195,,\"SPX\")":1.3624742,"CX-US^P_BETA_LOCIDX(45369,45194,,\"SPX\")":1.3678573,"CX-US^P_BETA_LOCIDX(45366,45191,,\"SPX\")":1.3877945,"CX-US^P_BETA_LOCIDX(45365,45190,,\"SPX\")":1.4432312,"CX-US^P_BETA_LOCIDX(45364,45189,,\"SPX\")":1.4466184,"CX-US^P_BETA_LOCIDX(45363,45188,,\"SPX\")":1.4381579,"CX-US^P_BETA_LOCIDX(45362,45187,,\"SPX\")":1.4672887,"CX-US^P_BETA_LOCIDX(45359,45184,,\"SPX\")":1.450818,"CX-US^P_BETA_LOCIDX(45358,45183,,\"SPX\")":1.4443753,"CX-US^P_BETA_LOCIDX(45357,45182,,\"SPX\")":1.4566929,"CX-US^P_BETA_LOCIDX(45356,45181,,\"SPX\")":1.4532691,"CX-US^P_BETA_LOCIDX(45355,45180,,\"SPX\")":1.4427525,"CX-US^P_BETA_LOCIDX(45352,45177,,\"SPX\")":1.4387864,"CX-US^P_BETA_LOCIDX(45351,45176,,\"SPX\")":1.4370649,"CX-US^P_BETA_LOCIDX(45350,45175,,\"SPX\")":1.4534338,"CX-US^P_BETA_LOCIDX(45349,45174,,\"SPX\")":1.4665072,"CX-US^P_BETA_LOCIDX(45348,45170,,\"SPX\")":1.4694405,"CX-US^P_BETA_LOCIDX(45345,45169,,\"SPX\")":1.4822805,"CX-US^P_BETA_LOCIDX(45344,45168,,\"SPX\")":1.4795042,"CX-US^P_BETA_LOCIDX(45343,45167,,\"SPX\")":1.5303112,"CX-US^P_BETA_LOCIDX(45342,45166,,\"SPX\")":1.5350008,"CX-US^P_BETA_LOCIDX(45338,45163,,\"SPX\")":1.5538715,"CX-US^P_BETA_LOCIDX(45337,45162,,\"SPX\")":1.5644002,"CX-US^P_BETA_LOCIDX(45336,45161,,\"SPX\")":1.5516043,"CX-US^P_BETA_LOCIDX(45335,45160,,\"SPX\")":1.5622535,"CX-US^P_BETA_LOCIDX(45334,45159,,\"SPX\")":1.5689192,"CX-US^P_BETA_LOCIDX(45331,45156,,\"SPX\")":1.5720875,"CX-US^P_BETA_LOCIDX(45330,45155,,\"SPX\")":1.6482539,"CX-US^P_BETA_LOCIDX(45329,45154,,\"SPX\")":1.6142493,"CX-US^P_BETA_LOCIDX(45328,45153,,\"SPX\")":1.5792648,"CX-US^P_BETA_LOCIDX(45327,45152,,\"SPX\")":1.5855701,"CX-US^P_BETA_LOCIDX(45324,45149,,\"SPX\")":1.5828116,"CX-US^P_BETA_LOCIDX(45323,45148,,\"SPX\")":1.581845,"CX-US^P_BETA_LOCIDX(45322,45147,,\"SPX\")":1.5713315,"CX-US^P_BETA_LOCIDX(45321,45146,,\"SPX\")":1.6058873,"CX-US^P_BETA_LOCIDX(45320,45145,,\"SPX\")":1.6236134,"CX-US^P_BETA_LOCIDX(45317,45142,,\"SPX\")":1.5981573,"CX-US^P_BETA_LOCIDX(45316,45141,,\"SPX\")":1.6032792,"CX-US^P_BETA_LOCIDX(45315,45140,,\"SPX\")":1.5493038,"CX-US^P_BETA_LOCIDX(45314,45139,,\"SPX\")":1.5445943,"CX-US^P_BETA_LOCIDX(45313,45138,,\"SPX\")":1.5409583,"CX-US^P_BETA_LOCIDX(45310,45135,,\"SPX\")":1.5500041,"CX-US^P_BETA_LOCIDX(45309,45134,,\"SPX\")":1.5624671,"CX-US^P_BETA_LOCIDX(45308,45133,,\"SPX\")":1.5815916,"CX-US^P_BETA_LOCIDX(45307,45132,,\"SPX\")":1.593733,"CX-US^P_BETA_LOCIDX(45303,45131,,\"SPX\")":1.556947,"CX-US^P_BETA_LOCIDX(45302,45128,,\"SPX\")":1.5570374,"CX-US^P_BETA_LOCIDX(45301,45127,,\"SPX\")":1.5450796,"CX-US^P_BETA_LOCIDX(45300,45126,,\"SPX\")":1.5446501,"CX-US^P_BETA_LOCIDX(45299,45125,,\"SPX\")":1.548719,"CX-US^P_BETA_LOCIDX(45296,45124,,\"SPX\")":1.5771348,"CX-US^P_BETA_LOCIDX(45295,45121,,\"SPX\")":1.5704547,"CX-US^P_BETA_LOCIDX(45294,45120,,\"SPX\")":1.610389,"CX-US^P_BETA_LOCIDX(45293,45119,,\"SPX\")":1.5942643,"CX-US^P_BETA_LOCIDX(45289,45118,,\"SPX\")":1.5958209,"CX-US^P_BETA_LOCIDX(45288,45117,,\"SPX\")":1.5921032,"CX-US^P_BETA_LOCIDX(45287,45114,,\"SPX\")":1.5786861,"CX-US^P_BETA_LOCIDX(45286,45113,,\"SPX\")":1.638266,"CX-US^P_BETA_LOCIDX(45282,45112,,\"SPX\")":1.6526519,"CX-US^P_BETA_LOCIDX(45281,45110,,\"SPX\")":1.6505141,"CX-US^P_BETA_LOCIDX(45280,45107,,\"SPX\")":1.6139243,"CX-US^P_BETA_LOCIDX(45279,45106,,\"SPX\")":1.6202197,"CX-US^P_BETA_LOCIDX(45278,45105,,\"SPX\")":1.6175352,"CX-US^P_BETA_LOCIDX(45275,45104,,\"SPX\")":1.6225613,"CX-US^P_BETA_LOCIDX(45274,45103,,\"SPX\")":1.6174227,"CX-US^P_BETA_LOCIDX(45273,45100,,\"SPX\")":1.5839471,"CX-US^P_BETA_LOCIDX(45272,45099,,\"SPX\")":1.5189226,"CX-US^P_BETA_LOCIDX(45271,45098,,\"SPX\")":1.5160563,"CX-US^P_BETA_LOCIDX(45268,45097,,\"SPX\")":1.5313286,"CX-US^P_BETA_LOCIDX(45267,45093,,\"SPX\")":1.5318956,"CX-US^P_BETA_LOCIDX(45266,45092,,\"SPX\")":1.5211339,"CX-US^P_BETA_LOCIDX(45265,45091,,\"SPX\")":1.5302396,"CX-US^P_BETA_LOCIDX(45264,45090,,\"SPX\")":1.5527421,"CX-US^P_BETA_LOCIDX(45261,45089,,\"SPX\")":1.5106009,"CX-US^P_BETA_LOCIDX(45260,45086,,\"SPX\")":1.4847438,"CX-US^P_BETA_LOCIDX(45259,45085,,\"SPX\")":1.4812728,"CX-US^P_BETA_LOCIDX(45258,45084,,\"SPX\")":1.4683684,"CX-US^P_BETA_LOCIDX(45257,45083,,\"SPX\")":1.4805058,"CX-US^P_BETA_LOCIDX(45254,45082,,\"SPX\")":1.4775378,"CX-US^P_BETA_LOCIDX(45252,45079,,\"SPX\")":1.534235,"CX-US^P_BETA_LOCIDX(45251,45078,,\"SPX\")":1.5368363,"CX-US^P_BETA_LOCIDX(45250,45077,,\"SPX\")":1.5374397,"CX-US^P_BETA_LOCIDX(45247,45076,,\"SPX\")":1.5875826,"CX-US^P_BETA_LOCIDX(45246,45072,,\"SPX\")":1.5698321,"CX-US^P_BETA_LOCIDX(45245,45071,,\"SPX\")":1.5664825,"CX-US^P_BETA_LOCIDX(45244,45070,,\"SPX\")":1.5557299,"CX-US^P_BETA_LOCIDX(45243,45069,,\"SPX\")":1.554414,"CX-US^P_BETA_LOCIDX(45240,45068,,\"SPX\")":1.553041,"CX-US^P_BETA_LOCIDX(45239,45065,,\"SPX\")":1.5712675,"CX-US^P_BETA_LOCIDX(45238,45064,,\"SPX\")":1.5485324,"CX-US^P_BETA_LOCIDX(45237,45063,,\"SPX\")":1.5227685,"CX-US^P_BETA_LOCIDX(45236,45062,,\"SPX\")":1.5056456,"CX-US^P_BETA_LOCIDX(45233,45061,,\"SPX\")":1.5024388,"CX-US^P_BETA_LOCIDX(45232,45058,,\"SPX\")":1.4689081,"CX-US^P_BETA_LOCIDX(45231,45057,,\"SPX\")":1.4092896,"CX-US^P_BETA_LOCIDX(45230,45056,,\"SPX\")":1.3716445,"CX-US^P_BETA_LOCIDX(45229,45055,,\"SPX\")":1.348164,"CX-US^P_BETA_LOCIDX(45226,45054,,\"SPX\")":1.3803339,"CX-US^P_BETA_LOCIDX(45225,45051,,\"SPX\")":1.3998384,"CX-US^P_BETA_LOCIDX(45224,45050,,\"SPX\")":1.4734578,"CX-US^P_BETA_LOCIDX(45223,45049,,\"SPX\")":1.5465825,"CX-US^P_BETA_LOCIDX(45222,45048,,\"SPX\")":1.4345927,"CX-US^P_BETA_LOCIDX(45219,45047,,\"SPX\")":1.4313552,"CX-US^P_BETA_LOCIDX(45218,45044,,\"SPX\")":1.4662558,"CX-US^P_BETA_LOCIDX(45217,45043,,\"SPX\")":1.4370466,"CX-US^P_BETA_LOCIDX(45216,45042,,\"SPX\")":1.3821527,"CX-US^P_BETA_LOCIDX(45215,45041,,\"SPX\")":1.3242885,"CX-US^P_BETA_LOCIDX(45212,45040,,\"SPX\")":1.2742987,"CX-US^P_BETA_LOCIDX(45211,45037,,\"SPX\")":1.2770443,"CX-US^P_BETA_LOCIDX(45210,45036,,\"SPX\")":1.2462567,"CX-US^P_BETA_LOCIDX(45209,45035,,\"SPX\")":1.2170341,"CX-US^P_BETA_LOCIDX(45208,45034,,\"SPX\")":1.1979905,"CX-US^P_BETA_LOCIDX(45205,45033,,\"SPX\")":1.193361,"CX-US^P_BETA_LOCIDX(45204,45030,,\"SPX\")":1.2336019,"CX-US^P_BETA_LOCIDX(45203,45029,,\"SPX\")":1.30465,"CX-US^P_BETA_LOCIDX(45202,45028,,\"SPX\")":1.2761059,"CX-US^P_BETA_LOCIDX(45201,45027,,\"SPX\")":1.204961,"CX-US^P_BETA_LOCIDX(45198,45026,,\"SPX\")":1.2074203,"CX-US^P_BETA_LOCIDX(45197,45022,,\"SPX\")":1.1946864,"CX-US^P_BETA_LOCIDX(45196,45021,,\"SPX\")":1.2035526,"CX-US^P_BETA_LOCIDX(45195,45020,,\"SPX\")":1.1999136,"CX-US^P_BETA_LOCIDX(45194,45019,,\"SPX\")":1.1811104,"CX-US^P_BETA_LOCIDX(45191,45016,,\"SPX\")":1.1905496,"CX-US^P_BETA_LOCIDX(45190,45015,,\"SPX\")":1.1825577,"CX-US^P_BETA_LOCIDX(45189,45014,,\"SPX\")":1.1643963,"CX-US^P_BETA_LOCIDX(45188,45013,,\"SPX\")":1.1699412,"CX-US^P_BETA_LOCIDX(45187,45012,,\"SPX\")":1.1832886,"CX-US^P_BETA_LOCIDX(45184,45009,,\"SPX\")":1.1702042,"CX-US^P_BETA_LOCIDX(45183,45008,,\"SPX\")":1.1886207,"CX-US^P_BETA_LOCIDX(45182,45007,,\"SPX\")":1.1359702,"CX-US^P_BETA_LOCIDX(45181,45006,,\"SPX\")":1.163366,"CX-US^P_BETA_LOCIDX(45180,45005,,\"SPX\")":1.1456274,"CX-US^P_BETA_LOCIDX(45177,45002,,\"SPX\")":1.2076341,"CX-US^P_BETA_LOCIDX(45176,45001,,\"SPX\")":1.2073032,"CX-US^P_BETA_LOCIDX(45175,45000,,\"SPX\")":1.23486,"CX-US^P_BETA_LOCIDX(45174,44999,,\"SPX\")":1.2097003,"CX-US^P_BETA_LOCIDX(45170,44998,,\"SPX\")":1.1812296,"CX-US^P_BETA_LOCIDX(45169,44995,,\"SPX\")":1.2364178,"CX-US^P_BETA_LOCIDX(45168,44994,,\"SPX\")":1.2408055,"CX-US^P_BETA_LOCIDX(45167,44993,,\"SPX\")":1.2465196,"CX-US^P_BETA_LOCIDX(45166,44992,,\"SPX\")":1.3148898,"CX-US^P_BETA_LOCIDX(45163,44991,,\"SPX\")":1.3121382,"CX-US^P_BETA_LOCIDX(45162,44988,,\"SPX\")":1.3480808,"CX-US^P_BETA_LOCIDX(45161,44987,,\"SPX\")":1.3768264,"CX-US^P_BETA_LOCIDX(45160,44986,,\"SPX\")":1.3534374,"CX-US^P_BETA_LOCIDX(45159,44985,,\"SPX\")":1.3508706,"CX-US^P_BETA_LOCIDX(45156,44984,,\"SPX\")":1.34526,"CX-US^P_BETA_LOCIDX(45155,44981,,\"SPX\")":1.3540945,"CX-US^P_BETA_LOCIDX(45154,44980,,\"SPX\")":1.3036841,"CX-US^P_BETA_LOCIDX(45153,44979,,\"SPX\")":1.3239247,"CX-US^P_BETA_LOCIDX(45152,44978,,\"SPX\")":1.3746736,"CX-US^P_BETA_LOCIDX(45149,44974,,\"SPX\")":1.3688569,"CX-US^P_BETA_LOCIDX(45148,44973,,\"SPX\")":1.3816687,"CX-US^P_BETA_LOCIDX(45147,44972,,\"SPX\")":1.3822428,"CX-US^P_BETA_LOCIDX(45146,44971,,\"SPX\")":1.3908355,"CX-US^P_BETA_LOCIDX(45145,44970,,\"SPX\")":1.3877034,"CX-US^P_BETA_LOCIDX(45142,44967,,\"SPX\")":1.3719777,"CX-US^P_BETA_LOCIDX(45141,44966,,\"SPX\")":1.3800799,"CX-US^P_BETA_LOCIDX(45140,44965,,\"SPX\")":1.3639508,"CX-US^P_BETA_LOCIDX(45139,44964,,\"SPX\")":1.326725,"CX-US^P_BETA_LOCIDX(45138,44963,,\"SPX\")":1.3359292,"CX-US^P_BETA_LOCIDX(45135,44960,,\"SPX\")":1.3425779,"CX-US^P_BETA_LOCIDX(45134,44959,,\"SPX\")":1.3046565,"CX-US^P_BETA_LOCIDX(45133,44958,,\"SPX\")":1.3267366,"CX-US^P_BETA_LOCIDX(45132,44957,,\"SPX\")":1.309938,"CX-US^P_BETA_LOCIDX(45131,44956,,\"SPX\")":1.3085939,"CX-US^P_BETA_LOCIDX(45128,44953,,\"SPX\")":1.3132182,"CX-US^P_BETA_LOCIDX(45127,44952,,\"SPX\")":1.3473235,"CX-US^P_BETA_LOCIDX(45126,44951,,\"SPX\")":1.3521519,"CX-US^P_BETA_LOCIDX(45125,44950,,\"SPX\")":1.351526,"CX-US^P_BETA_LOCIDX(45124,44949,,\"SPX\")":1.3292314,"CX-US^P_BETA_LOCIDX(45121,44946,,\"SPX\")":1.3334377,"CX-US^P_BETA_LOCIDX(45120,44945,,\"SPX\")":1.3307111,"CX-US^P_BETA_LOCIDX(45119,44944,,\"SPX\")":1.3135478,"CX-US^P_BETA_LOCIDX(45118,44943,,\"SPX\")":1.3126849,"CX-US^P_BETA_LOCIDX(45117,44939,,\"SPX\")":1.2993983,"CX-US^P_BETA_LOCIDX(45114,44938,,\"SPX\")":1.301076,"CX-US^P_BETA_LOCIDX(45113,44937,,\"SPX\")":1.4043591,"CX-US^P_BETA_LOCIDX(45112,44936,,\"SPX\")":1.3554832,"CX-US^P_BETA_LOCIDX(45110,44935,,\"SPX\")":1.3555883,"CX-US^P_BETA_LOCIDX(45107,44932,,\"SPX\")":1.3819959,"CX-US^P_BETA_LOCIDX(45106,44931,,\"SPX\")":1.368818,"CX-US^P_BETA_LOCIDX(45105,44930,,\"SPX\")":1.4020469,"CX-US^P_BETA_LOCIDX(45104,44929,,\"SPX\")":1.3899146,"CX-US^P_BETA_LOCIDX(45103,44925,,\"SPX\")":1.3957095,"CX-US^P_BETA_LOCIDX(45100,44924,,\"SPX\")":1.3685721,"CX-US^P_BETA_LOCIDX(45099,44923,,\"SPX\")":1.3755764,"CX-US^P_BETA_LOCIDX(45098,44922,,\"SPX\")":1.3902872,"CX-US^P_BETA_LOCIDX(45097,44918,,\"SPX\")":1.3991604,"CX-US^P_BETA_LOCIDX(45093,44917,,\"SPX\")":1.3830692,"CX-US^P_BETA_LOCIDX(45092,44916,,\"SPX\")":1.3816326,"CX-US^P_BETA_LOCIDX(45091,44915,,\"SPX\")":1.3968846,"CX-US^P_BETA_LOCIDX(45090,44914,,\"SPX\")":1.3815633,"CX-US^P_BETA_LOCIDX(45089,44911,,\"SPX\")":1.3534977,"CX-US^P_BETA_LOCIDX(45086,44910,,\"SPX\")":1.3903106,"CX-US^P_BETA_LOCIDX(45085,44909,,\"SPX\")":1.387129,"CX-US^P_BETA_LOCIDX(45084,44908,,\"SPX\")":1.3907087,"CX-US^P_BETA_LOCIDX(45083,44907,,\"SPX\")":1.3644022,"CX-US^P_BETA_LOCIDX(45082,44904,,\"SPX\")":1.359966,"CX-US^P_BETA_LOCIDX(45079,44903,,\"SPX\")":1.3548816,"CX-US^P_BETA_LOCIDX(45078,44902,,\"SPX\")":1.3243395,"CX-US^P_BETA_LOCIDX(45077,44901,,\"SPX\")":1.2911451,"CX-US^P_BETA_LOCIDX(45076,44900,,\"SPX\")":1.3271189,"CX-US^P_BETA_LOCIDX(45072,44897,,\"SPX\")":1.3291674,"CX-US^P_BETA_LOCIDX(45071,44896,,\"SPX\")":1.3404278,"CX-US^P_BETA_LOCIDX(45070,44895,,\"SPX\")":1.3360893,"CX-US^P_BETA_LOCIDX(45069,44894,,\"SPX\")":1.342015,"CX-US^P_BETA_LOCIDX(45068,44893,,\"SPX\")":1.336466,"CX-US^P_BETA_LOCIDX(45065,44890,,\"SPX\")":1.3364305,"CX-US^P_BETA_LOCIDX(45064,44888,,\"SPX\")":1.3393523,"CX-US^P_BETA_LOCIDX(45063,44887,,\"SPX\")":1.3491342,"CX-US^P_BETA_LOCIDX(45062,44886,,\"SPX\")":1.3703114,"CX-US^P_BETA_LOCIDX(45061,44883,,\"SPX\")":1.3726187,"CX-US^P_BETA_LOCIDX(45058,44882,,\"SPX\")":1.3798989,"CX-US^P_BETA_LOCIDX(45057,44881,,\"SPX\")":1.3579342,"CX-US^P_BETA_LOCIDX(45056,44880,,\"SPX\")":1.350367,"CX-US^P_BETA_LOCIDX(45055,44879,,\"SPX\")":1.366118,"CX-US^P_BETA_LOCIDX(45054,44876,,\"SPX\")":1.3973407,"CX-US^P_BETA_LOCIDX(45051,44875,,\"SPX\")":1.4279743,"CX-US^P_BETA_LOCIDX(45050,44874,,\"SPX\")":1.4060748,"CX-US^P_BETA_LOCIDX(45049,44873,,\"SPX\")":1.4145571,"CX-US^P_BETA_LOCIDX(45048,44872,,\"SPX\")":1.4020574,"CX-US^P_BETA_LOCIDX(45047,44869,,\"SPX\")":1.4965074,"CX-US^P_BETA_LOCIDX(45044,44868,,\"SPX\")":1.4824594,"CX-US^P_BETA_LOCIDX(45043,44867,,\"SPX\")":1.5141314,"CX-US^P_BETA_LOCIDX(45042,44866,,\"SPX\")":1.5255972,"CX-US^P_BETA_LOCIDX(45041,44865,,\"SPX\")":1.5088146,"CX-US^P_BETA_LOCIDX(45040,44862,,\"SPX\")":1.5656434,"CX-US^P_BETA_LOCIDX(45037,44861,,\"SPX\")":1.5815732,"CX-US^P_BETA_LOCIDX(45036,44860,,\"SPX\")":1.5659657,"CX-US^P_BETA_LOCIDX(45035,44859,,\"SPX\")":1.5626684,"CX-US^P_BETA_LOCIDX(45034,44858,,\"SPX\")":1.5518999,"CX-US^P_BETA_LOCIDX(45033,44855,,\"SPX\")":1.5457464,"CX-US^P_BETA_LOCIDX(45030,44854,,\"SPX\")":1.5370709,"CX-US^P_BETA_LOCIDX(45029,44853,,\"SPX\")":1.5471497,"CX-US^P_BETA_LOCIDX(45028,44852,,\"SPX\")":1.513356,"CX-US^P_BETA_LOCIDX(45027,44851,,\"SPX\")":1.5651356,"CX-US^P_BETA_LOCIDX(45026,44848,,\"SPX\")":1.5799564,"CX-US^P_BETA_LOCIDX(45022,44847,,\"SPX\")":1.5106093,"CX-US^P_BETA_LOCIDX(45021,44846,,\"SPX\")":1.510463,"CX-US^P_BETA_LOCIDX(45020,44845,,\"SPX\")":1.5083606,"CX-US^P_BETA_LOCIDX(45019,44844,,\"SPX\")":1.519556,"CX-US^P_BETA_LOCIDX(45016,44841,,\"SPX\")":1.4867196,"CX-US^P_BETA_LOCIDX(45015,44840,,\"SPX\")":1.4856029,"CX-US^P_BETA_LOCIDX(45014,44839,,\"SPX\")":1.4906037,"CX-US^P_BETA_LOCIDX(45013,44838,,\"SPX\")":1.5105901,"CX-US^P_BETA_LOCIDX(45012,44837,,\"SPX\")":1.4824934,"CX-US^P_BETA_LOCIDX(45009,44834,,\"SPX\")":1.4618219,"CX-US^P_BETA_LOCIDX(45008,44833,,\"SPX\")":1.439104,"CX-US^P_BETA_LOCIDX(45007,44832,,\"SPX\")":1.4438837,"CX-US^P_BETA_LOCIDX(45006,44831,,\"SPX\")":1.4666548,"CX-US^P_BETA_LOCIDX(45005,44830,,\"SPX\")":1.4753072,"CX-US^P_BETA_LOCIDX(45002,44827,,\"SPX\")":1.4741267,"CX-US^P_BETA_LOCIDX(45001,44826,,\"SPX\")":1.4728513,"CX-US^P_BETA_LOCIDX(45000,44825,,\"SPX\")":1.4514548,"CX-US^P_BETA_LOCIDX(44999,44824,,\"SPX\")":1.4536754,"CX-US^P_BETA_LOCIDX(44998,44823,,\"SPX\")":1.4619505,"CX-US^P_BETA_LOCIDX(44995,44820,,\"SPX\")":1.4601165,"CX-US^P_BETA_LOCIDX(44994,44819,,\"SPX\")":1.4615315,"CX-US^P_BETA_LOCIDX(44993,44818,,\"SPX\")":1.4549875,"CX-US^P_BETA_LOCIDX(44992,44817,,\"SPX\")":1.4180884,"CX-US^P_BETA_LOCIDX(44991,44816,,\"SPX\")":1.4046425,"CX-US^P_BETA_LOCIDX(44988,44813,,\"SPX\")":1.4126632,"CX-US^P_BETA_LOCIDX(44987,44812,,\"SPX\")":1.3958565,"CX-US^P_BETA_LOCIDX(44986,44811,,\"SPX\")":1.3724486,"CX-US^P_BETA_LOCIDX(44985,44810,,\"SPX\")":1.3870339,"CX-US^P_BETA_LOCIDX(44984,44806,,\"SPX\")":1.3661228,"CX-US^P_BETA_LOCIDX(44981,44805,,\"SPX\")":1.3661685,"CX-US^P_BETA_LOCIDX(44980,44804,,\"SPX\")":1.3701148,"CX-US^P_BETA_LOCIDX(44979,44803,,\"SPX\")":1.3767085,"CX-US^P_BETA_LOCIDX(44978,44802,,\"SPX\")":1.3810313,"CX-US^P_BETA_LOCIDX(44974,44799,,\"SPX\")":1.3729609,"CX-US^P_BETA_LOCIDX(44973,44798,,\"SPX\")":1.3683479,"CX-US^P_BETA_LOCIDX(44972,44797,,\"SPX\")":1.3617818,"CX-US^P_BETA_LOCIDX(44971,44796,,\"SPX\")":1.3597796,"CX-US^P_BETA_LOCIDX(44970,44795,,\"SPX\")":1.3607597,"CX-US^P_BETA_LOCIDX(44967,44792,,\"SPX\")":1.3684076,"CX-US^P_BETA_LOCIDX(44966,44791,,\"SPX\")":1.3674892,"CX-US^P_BETA_LOCIDX(44965,44790,,\"SPX\")":1.3734512,"CX-US^P_BETA_LOCIDX(44964,44789,,\"SPX\")":1.3774662,"CX-US^P_BETA_LOCIDX(44963,44788,,\"SPX\")":1.3884647,"CX-US^P_BETA_LOCIDX(44960,44785,,\"SPX\")":1.3884124,"CX-US^P_BETA_LOCIDX(44959,44784,,\"SPX\")":1.3867979,"CX-US^P_BETA_LOCIDX(44958,44783,,\"SPX\")":1.4164549,"CX-US^P_BETA_LOCIDX(44957,44782,,\"SPX\")":1.4147207,"CX-US^P_BETA_LOCIDX(44956,44781,,\"SPX\")":1.4217308,"CX-US^P_BETA_LOCIDX(44953,44778,,\"SPX\")":1.4216576,"CX-US^P_BETA_LOCIDX(44952,44777,,\"SPX\")":1.4213997,"CX-US^P_BETA_LOCIDX(44951,44776,,\"SPX\")":1.4298656,"CX-US^P_BETA_LOCIDX(44950,44775,,\"SPX\")":1.4311649,"CX-US^P_BETA_LOCIDX(44949,44774,,\"SPX\")":1.4281863,"CX-US^P_BETA_LOCIDX(44946,44771,,\"SPX\")":1.4273713,"CX-US^P_BETA_LOCIDX(44945,44770,,\"SPX\")":1.4219201,"CX-US^P_BETA_LOCIDX(44944,44769,,\"SPX\")":1.4037546,"CX-US^P_BETA_LOCIDX(44943,44768,,\"SPX\")":1.4138426,"CX-US^P_BETA_LOCIDX(44939,44767,,\"SPX\")":1.4145806,"CX-US^P_BETA_LOCIDX(44938,44764,,\"SPX\")":1.4144042,"CX-US^P_BETA_LOCIDX(44937,44763,,\"SPX\")":1.4143307,"CX-US^P_BETA_LOCIDX(44936,44762,,\"SPX\")":1.3711747,"CX-US^P_BETA_LOCIDX(44935,44761,,\"SPX\")":1.3584378,"CX-US^P_BETA_LOCIDX(44932,44760,,\"SPX\")":1.3560011,"CX-US^P_BETA_LOCIDX(44931,44757,,\"SPX\")":1.3498209,"CX-US^P_BETA_LOCIDX(44930,44756,,\"SPX\")":1.3600512,"CX-US^P_BETA_LOCIDX(44929,44755,,\"SPX\")":1.3447005,"CX-US^P_BETA_LOCIDX(44925,44754,,\"SPX\")":1.3346467,"CX-US^P_BETA_LOCIDX(44924,44753,,\"SPX\")":1.340732,"CX-US^P_BETA_LOCIDX(44923,44750,,\"SPX\")":1.3506709,"CX-US^P_BETA_LOCIDX(44922,44749,,\"SPX\")":1.3474854,"CX-US^P_BETA_LOCIDX(44918,44748,,\"SPX\")":1.3425035,"CX-US^P_BETA_LOCIDX(44917,44747,,\"SPX\")":1.339584,"CX-US^P_BETA_LOCIDX(44916,44743,,\"SPX\")":1.3301618,"CX-US^P_BETA_LOCIDX(44915,44742,,\"SPX\")":1.318259,"CX-US^P_BETA_LOCIDX(44914,44741,,\"SPX\")":1.318465,"CX-US^P_BETA_LOCIDX(44911,44740,,\"SPX\")":1.307017,"CX-US^P_BETA_LOCIDX(44910,44739,,\"SPX\")":1.3127346,"CX-US^P_BETA_LOCIDX(44909,44736,,\"SPX\")":1.3093637,"CX-US^P_BETA_LOCIDX(44908,44735,,\"SPX\")":1.3169374,"CX-US^P_BETA_LOCIDX(44907,44734,,\"SPX\")":1.317227,"CX-US^P_BETA_LOCIDX(44904,44733,,\"SPX\")":1.3449278,"CX-US^P_BETA_LOCIDX(44903,44729,,\"SPX\")":1.3467773,"CX-US^P_BETA_LOCIDX(44902,44728,,\"SPX\")":1.3753862,"CX-US^P_BETA_LOCIDX(44901,44727,,\"SPX\")":1.3612972,"CX-US^P_BETA_LOCIDX(44900,44726,,\"SPX\")":1.3796297,"CX-US^P_BETA_LOCIDX(44897,44725,,\"SPX\")":1.3733058,"CX-US^P_BETA_LOCIDX(44896,44722,,\"SPX\")":1.3935052,"CX-US^P_BETA_LOCIDX(44895,44721,,\"SPX\")":1.398838,"CX-US^P_BETA_LOCIDX(44894,44720,,\"SPX\")":1.4037213,"CX-US^P_BETA_LOCIDX(44893,44719,,\"SPX\")":1.3957424,"CX-US^P_BETA_LOCIDX(44890,44718,,\"SPX\")":1.3941181,"CX-US^P_BETA_LOCIDX(44888,44715,,\"SPX\")":1.3859292,"CX-US^P_BETA_LOCIDX(44887,44714,,\"SPX\")":1.3574499,"CX-US^P_BETA_LOCIDX(44886,44713,,\"SPX\")":1.3673769,"CX-US^P_BETA_LOCIDX(44883,44712,,\"SPX\")":1.3592964,"CX-US^P_BETA_LOCIDX(44882,44708,,\"SPX\")":1.3620111,"CX-US^P_BETA_LOCIDX(44881,44707,,\"SPX\")":1.3574,"CX-US^P_BETA_LOCIDX(44880,44706,,\"SPX\")":1.369271,"CX-US^P_BETA_LOCIDX(44879,44705,,\"SPX\")":1.3784722,"CX-US^P_BETA_LOCIDX(44876,44704,,\"SPX\")":1.3543404,"CX-US^P_BETA_LOCIDX(44875,44701,,\"SPX\")":1.3455553,"CX-US^P_BETA_LOCIDX(44874,44700,,\"SPX\")":1.3101133,"CX-US^P_BETA_LOCIDX(44873,44699,,\"SPX\")":1.3011842,"CX-US^P_BETA_LOCIDX(44872,44698,,\"SPX\")":1.2999078,"CX-US^P_BETA_LOCIDX(44869,44697,,\"SPX\")":1.2972132,"CX-US^P_BETA_LOCIDX(44868,44694,,\"SPX\")":1.2671947,"CX-US^P_BETA_LOCIDX(44867,44693,,\"SPX\")":1.2740968,"CX-US^P_BETA_LOCIDX(44866,44692,,\"SPX\")":1.2505318,"CX-US^P_BETA_LOCIDX(44865,44691,,\"SPX\")":1.2539343,"CX-US^P_BETA_LOCIDX(44862,44690,,\"SPX\")":1.2703702,"CX-US^P_BETA_LOCIDX(44861,44687,,\"SPX\")":1.2438319,"CX-US^P_BETA_LOCIDX(44860,44686,,\"SPX\")":1.262998,"CX-US^P_BETA_LOCIDX(44859,44685,,\"SPX\")":1.2582717,"CX-US^P_BETA_LOCIDX(44858,44684,,\"SPX\")":1.2585955,"CX-US^P_BETA_LOCIDX(44855,44683,,\"SPX\")":1.2588929,"CX-US^P_BETA_LOCIDX(44854,44680,,\"SPX\")":1.2372789,"CX-US^P_BETA_LOCIDX(44853,44679,,\"SPX\")":1.2633749,"CX-US^P_BETA_LOCIDX(44852,44678,,\"SPX\")":1.2623243,"CX-US^P_BETA_LOCIDX(44851,44677,,\"SPX\")":1.2844971,"CX-US^P_BETA_LOCIDX(44848,44676,,\"SPX\")":1.248153,"CX-US^P_BETA_LOCIDX(44847,44673,,\"SPX\")":1.2415231,"CX-US^P_BETA_LOCIDX(44846,44672,,\"SPX\")":1.2966042,"CX-US^P_BETA_LOCIDX(44845,44671,,\"SPX\")":1.297836,"CX-US^P_BETA_LOCIDX(44844,44670,,\"SPX\")":1.3056961,"CX-US^P_BETA_LOCIDX(44841,44669,,\"SPX\")":1.30152,"CX-US^P_BETA_LOCIDX(44840,44665,,\"SPX\")":1.3227327,"CX-US^P_BETA_LOCIDX(44839,44664,,\"SPX\")":1.3362839,"CX-US^P_BETA_LOCIDX(44838,44663,,\"SPX\")":1.3348217,"CX-US^P_BETA_LOCIDX(44837,44662,,\"SPX\")":1.2937152,"CX-US^P_BETA_LOCIDX(44834,44659,,\"SPX\")":1.3122226,"CX-US^P_BETA_LOCIDX(44833,44658,,\"SPX\")":1.3198138,"CX-US^P_BETA_LOCIDX(44832,44657,,\"SPX\")":1.3464285,"CX-US^P_BETA_LOCIDX(44831,44656,,\"SPX\")":1.345878,"CX-US^P_BETA_LOCIDX(44830,44655,,\"SPX\")":1.3414207,"CX-US^P_BETA_LOCIDX(44827,44652,,\"SPX\")":1.3333358,"CX-US^P_BETA_LOCIDX(44826,44651,,\"SPX\")":1.329259,"CX-US^P_BETA_LOCIDX(44825,44650,,\"SPX\")":1.3276814,"CX-US^P_BETA_LOCIDX(44824,44649,,\"SPX\")":1.3593554,"CX-US^P_BETA_LOCIDX(44823,44648,,\"SPX\")":1.3424059,"CX-US^P_BETA_LOCIDX(44820,44645,,\"SPX\")":1.3406005,"CX-US^P_BETA_LOCIDX(44819,44644,,\"SPX\")":1.3398489,"CX-US^P_BETA_LOCIDX(44818,44643,,\"SPX\")":1.3277777,"CX-US^P_BETA_LOCIDX(44817,44642,,\"SPX\")":1.3294635,"CX-US^P_BETA_LOCIDX(44816,44641,,\"SPX\")":1.3575757,"CX-US^P_BETA_LOCIDX(44813,44638,,\"SPX\")":1.3559825,"CX-US^P_BETA_LOCIDX(44812,44637,,\"SPX\")":1.3473423,"CX-US^P_BETA_LOCIDX(44811,44636,,\"SPX\")":1.3549625,"CX-US^P_BETA_LOCIDX(44810,44635,,\"SPX\")":1.3745413,"CX-US^P_BETA_LOCIDX(44806,44634,,\"SPX\")":1.3715491,"CX-US^P_BETA_LOCIDX(44805,44631,,\"SPX\")":1.3785875,"CX-US^P_BETA_LOCIDX(44804,44630,,\"SPX\")":1.3828604,"CX-US^P_BETA_LOCIDX(44803,44629,,\"SPX\")":1.3859829,"CX-US^P_BETA_LOCIDX(44802,44628,,\"SPX\")":1.363176,"CX-US^P_BETA_LOCIDX(44799,44627,,\"SPX\")":1.383961,"CX-US^P_BETA_LOCIDX(44798,44624,,\"SPX\")":1.4044656,"CX-US^P_BETA_LOCIDX(44797,44623,,\"SPX\")":1.4049945,"CX-US^P_BETA_LOCIDX(44796,44622,,\"SPX\")":1.4046966,"CX-US^P_BETA_LOCIDX(44795,44621,,\"SPX\")":1.4064847,"CX-US^P_BETA_LOCIDX(44792,44620,,\"SPX\")":1.4087597,"CX-US^P_BETA_LOCIDX(44791,44617,,\"SPX\")":1.3978314,"CX-US^P_BETA_LOCIDX(44790,44616,,\"SPX\")":1.3807125,"CX-US^P_BETA_LOCIDX(44789,44615,,\"SPX\")":1.4033158,"CX-US^P_BETA_LOCIDX(44788,44614,,\"SPX\")":1.4033566,"CX-US^P_BETA_LOCIDX(44785,44610,,\"SPX\")":1.4070983,"CX-US^P_BETA_LOCIDX(44784,44609,,\"SPX\")":1.3924868,"CX-US^P_BETA_LOCIDX(44783,44608,,\"SPX\")":1.392663,"CX-US^P_BETA_LOCIDX(44782,44607,,\"SPX\")":1.3912374,"CX-US^P_BETA_LOCIDX(44781,44606,,\"SPX\")":1.3915095,"CX-US^P_BETA_LOCIDX(44778,44603,,\"SPX\")":1.374313,"CX-US^P_BETA_LOCIDX(44777,44602,,\"SPX\")":1.405914,"CX-US^P_BETA_LOCIDX(44776,44601,,\"SPX\")":1.4132173,"CX-US^P_BETA_LOCIDX(44775,44600,,\"SPX\")":1.3909262,"CX-US^P_BETA_LOCIDX(44774,44599,,\"SPX\")":1.3920212,"CRS-US^P_BETA_LOCIDX(45845,45670,,\"SPX\")":1.6247675,"CX-US^P_BETA_LOCIDX(45845,45670,,\"SPX\")":0.8826446,"NVT-US^P_BETA_LOCIDX(45841,45665,,\"SPX\")":1.6504983,"NVT-US^P_BETA_LOCIDX(45840,45664,,\"SPX\")":1.6466614,"NVT-US^P_BETA_LOCIDX(45839,45663,,\"SPX\")":1.6452707,"NVT-US^P_BETA_LOCIDX(45838,45660,,\"SPX\")":1.6492283,"NVT-US^P_BETA_LOCIDX(45835,45659,,\"SPX\")":1.6500871,"NVT-US^P_BETA_LOCIDX(45834,45657,,\"SPX\")":1.650453,"NVT-US^P_BETA_LOCIDX(45833,45656,,\"SPX\")":1.6469473,"NVT-US^P_BETA_LOCIDX(45832,45653,,\"SPX\")":1.6432427,"NVT-US^P_BETA_LOCIDX(45831,45652,,\"SPX\")":1.641893,"NVT-US^P_BETA_LOCIDX(45828,45650,,\"SPX\")":1.6403576,"NVT-US^P_BETA_LOCIDX(45826,45649,,\"SPX\")":1.6366967,"NVT-US^P_BETA_LOCIDX(45825,45646,,\"SPX\")":1.6299791,"NVT-US^P_BETA_LOCIDX(45824,45645,,\"SPX\")":1.6313573,"NVT-US^P_BETA_LOCIDX(45821,45644,,\"SPX\")":1.6235923,"NVT-US^P_BETA_LOCIDX(45820,45643,,\"SPX\")":1.6261295,"NVT-US^P_BETA_LOCIDX(45819,45642,,\"SPX\")":1.6250103,"NVT-US^P_BETA_LOCIDX(45818,45639,,\"SPX\")":1.6264051,"NVT-US^P_BETA_LOCIDX(45817,45638,,\"SPX\")":1.6265628,"NVT-US^P_BETA_LOCIDX(45814,45637,,\"SPX\")":1.6261554,"NVT-US^P_BETA_LOCIDX(45813,45636,,\"SPX\")":1.6232587,"NVT-US^P_BETA_LOCIDX(45812,45635,,\"SPX\")":1.6274941,"NVT-US^P_BETA_LOCIDX(45811,45632,,\"SPX\")":1.6263205,"NVT-US^P_BETA_LOCIDX(45810,45631,,\"SPX\")":1.6241032,"NVT-US^P_BETA_LOCIDX(45807,45630,,\"SPX\")":1.6282226,"NVT-US^P_BETA_LOCIDX(45806,45629,,\"SPX\")":1.6283729,"NVT-US^P_BETA_LOCIDX(45805,45628,,\"SPX\")":1.6272379,"NVT-US^P_BETA_LOCIDX(45804,45625,,\"SPX\")":1.6296958,"NVT-US^P_BETA_LOCIDX(45800,45623,,\"SPX\")":1.6359009,"NVT-US^P_BETA_LOCIDX(45799,45622,,\"SPX\")":1.6373632,"NVT-US^P_BETA_LOCIDX(45798,45621,,\"SPX\")":1.6371279,"NVT-US^P_BETA_LOCIDX(45797,45618,,\"SPX\")":1.6348311,"NVT-US^P_BETA_LOCIDX(45796,45617,,\"SPX\")":1.6423731,"NVT-US^P_BETA_LOCIDX(45793,45616,,\"SPX\")":1.6428326,"NVT-US^P_BETA_LOCIDX(45792,45615,,\"SPX\")":1.6459155,"NVT-US^P_BETA_LOCIDX(45791,45614,,\"SPX\")":1.649944,"NVT-US^P_BETA_LOCIDX(45790,45611,,\"SPX\")":1.6468326,"NVT-US^P_BETA_LOCIDX(45789,45610,,\"SPX\")":1.6488729,"NVT-US^P_BETA_LOCIDX(45786,45609,,\"SPX\")":1.6149135,"NVT-US^P_BETA_LOCIDX(45785,45608,,\"SPX\")":1.6159607,"NVT-US^P_BETA_LOCIDX(45784,45607,,\"SPX\")":1.6157147,"NVT-US^P_BETA_LOCIDX(45783,45604,,\"SPX\")":1.6148312,"NVT-US^P_BETA_LOCIDX(45782,45603,,\"SPX\")":1.6145952,"NVT-US^P_BETA_LOCIDX(45779,45602,,\"SPX\")":1.6798164,"NVT-US^P_BETA_LOCIDX(45778,45601,,\"SPX\")":1.6601381,"NVT-US^P_BETA_LOCIDX(45777,45600,,\"SPX\")":1.6549555,"NVT-US^P_BETA_LOCIDX(45776,45597,,\"SPX\")":1.6418966,"NVT-US^P_BETA_LOCIDX(45775,45596,,\"SPX\")":1.6213716,"NVT-US^P_BETA_LOCIDX(45772,45595,,\"SPX\")":1.6208221,"NVT-US^P_BETA_LOCIDX(45771,45594,,\"SPX\")":1.6226075,"NVT-US^P_BETA_LOCIDX(45770,45593,,\"SPX\")":1.6139628,"NVT-US^P_BETA_LOCIDX(45769,45590,,\"SPX\")":1.6050283,"NVT-US^P_BETA_LOCIDX(45768,45589,,\"SPX\")":1.6055516,"NVT-US^P_BETA_LOCIDX(45764,45588,,\"SPX\")":1.60985,"NVT-US^P_BETA_LOCIDX(45763,45587,,\"SPX\")":1.6093649,"NVT-US^P_BETA_LOCIDX(45762,45586,,\"SPX\")":1.6254141,"NVT-US^P_BETA_LOCIDX(45761,45583,,\"SPX\")":1.6235679,"NVT-US^P_BETA_LOCIDX(45758,45582,,\"SPX\")":1.6267811,"NVT-US^P_BETA_LOCIDX(45757,45581,,\"SPX\")":1.6395302,"NVT-US^P_BETA_LOCIDX(45756,45580,,\"SPX\")":1.6533628,"NVT-US^P_BETA_LOCIDX(45755,45579,,\"SPX\")":1.7133008,"NVT-US^P_BETA_LOCIDX(45754,45576,,\"SPX\")":1.7196931,"NVT-US^P_BETA_LOCIDX(45751,45575,,\"SPX\")":1.7213603,"NVT-US^P_BETA_LOCIDX(45750,45574,,\"SPX\")":1.9203913,"NVT-US^P_BETA_LOCIDX(45749,45573,,\"SPX\")":1.7665881,"NVT-US^P_BETA_LOCIDX(45748,45572,,\"SPX\")":1.7062448,"NVT-US^P_BETA_LOCIDX(45747,45569,,\"SPX\")":1.7162482,"NVT-US^P_BETA_LOCIDX(45744,45568,,\"SPX\")":1.7261357,"NVT-US^P_BETA_LOCIDX(45743,45567,,\"SPX\")":1.7356158,"NVT-US^P_BETA_LOCIDX(45742,45566,,\"SPX\")":1.7335032,"NVT-US^P_BETA_LOCIDX(45741,45565,,\"SPX\")":1.6989383,"NVT-US^P_BETA_LOCIDX(45740,45562,,\"SPX\")":1.6987957,"NVT-US^P_BETA_LOCIDX(45737,45561,,\"SPX\")":1.7092742,"NVT-US^P_BETA_LOCIDX(45736,45560,,\"SPX\")":1.707714,"NVT-US^P_BETA_LOCIDX(45735,45559,,\"SPX\")":1.7050353,"NVT-US^P_BETA_LOCIDX(45734,45558,,\"SPX\")":1.6947305,"NVT-US^P_BETA_LOCIDX(45733,45555,,\"SPX\")":1.691866,"NVT-US^P_BETA_LOCIDX(45730,45554,,\"SPX\")":1.7415688,"NVT-US^P_BETA_LOCIDX(45729,45553,,\"SPX\")":1.7138947,"NVT-US^P_BETA_LOCIDX(45728,45552,,\"SPX\")":1.7136056,"NVT-US^P_BETA_LOCIDX(45727,45551,,\"SPX\")":1.7081873,"NVT-US^P_BETA_LOCIDX(45726,45548,,\"SPX\")":1.7460707,"NVT-US^P_BETA_LOCIDX(45723,45547,,\"SPX\")":1.8147815,"NVT-US^P_BETA_LOCIDX(45722,45546,,\"SPX\")":1.8373008,"NVT-US^P_BETA_LOCIDX(45721,45545,,\"SPX\")":1.8971126,"NVT-US^P_BETA_LOCIDX(45720,45544,,\"SPX\")":1.8833091,"NVT-US^P_BETA_LOCIDX(45719,45541,,\"SPX\")":1.8294034,"NVT-US^P_BETA_LOCIDX(45716,45540,,\"SPX\")":1.7547462,"NVT-US^P_BETA_LOCIDX(45715,45539,,\"SPX\")":1.7965145,"NVT-US^P_BETA_LOCIDX(45714,45538,,\"SPX\")":1.8957186,"NVT-US^P_BETA_LOCIDX(45713,45534,,\"SPX\")":1.9002243,"NVT-US^P_BETA_LOCIDX(45712,45533,,\"SPX\")":1.9036708,"NVT-US^P_BETA_LOCIDX(45709,45532,,\"SPX\")":1.889068,"NVT-US^P_BETA_LOCIDX(45708,45531,,\"SPX\")":1.8301301,"NVT-US^P_BETA_LOCIDX(45707,45530,,\"SPX\")":1.8307396,"NVT-US^P_BETA_LOCIDX(45706,45527,,\"SPX\")":1.8515989,"NVT-US^P_BETA_LOCIDX(45702,45526,,\"SPX\")":1.8402395,"NVT-US^P_BETA_LOCIDX(45701,45525,,\"SPX\")":1.8427359,"NVT-US^P_BETA_LOCIDX(45700,45524,,\"SPX\")":1.871206,"NVT-US^P_BETA_LOCIDX(45699,45523,,\"SPX\")":1.8511932,"NVT-US^P_BETA_LOCIDX(45698,45520,,\"SPX\")":1.8479347,"NVT-US^P_BETA_LOCIDX(45695,45519,,\"SPX\")":1.8663074,"NVT-US^P_BETA_LOCIDX(45694,45518,,\"SPX\")":1.9374747,"NVT-US^P_BETA_LOCIDX(45693,45517,,\"SPX\")":1.8886741,"NVT-US^P_BETA_LOCIDX(45692,45516,,\"SPX\")":1.8886163,"NVT-US^P_BETA_LOCIDX(45691,45513,,\"SPX\")":1.9060862,"NVT-US^P_BETA_LOCIDX(45688,45512,,\"SPX\")":1.871377,"NVT-US^P_BETA_LOCIDX(45687,45511,,\"SPX\")":1.8564025,"NVT-US^P_BETA_LOCIDX(45686,45510,,\"SPX\")":1.7986103,"NVT-US^P_BETA_LOCIDX(45685,45509,,\"SPX\")":1.721791,"NVT-US^P_BETA_LOCIDX(45684,45506,,\"SPX\")":1.8126159,"NVT-US^P_BETA_LOCIDX(45681,45505,,\"SPX\")":1.6361578,"NVT-US^P_BETA_LOCIDX(45680,45504,,\"SPX\")":1.6650584,"NVT-US^P_BETA_LOCIDX(45679,45503,,\"SPX\")":1.6711566,"NVT-US^P_BETA_LOCIDX(45678,45502,,\"SPX\")":1.6725602,"NVT-US^P_BETA_LOCIDX(45674,45499,,\"SPX\")":1.6403229,"NVT-US^P_BETA_LOCIDX(45673,45498,,\"SPX\")":1.6452279,"NVT-US^P_BETA_LOCIDX(45672,45497,,\"SPX\")":1.7462273,"NVT-US^P_BETA_LOCIDX(45671,45496,,\"SPX\")":1.790153,"NVT-US^P_BETA_LOCIDX(45670,45495,,\"SPX\")":1.8079002,"NVT-US^P_BETA_LOCIDX(45667,45492,,\"SPX\")":1.7940371,"NVT-US^P_BETA_LOCIDX(45665,45491,,\"SPX\")":1.8075682,"NVT-US^P_BETA_LOCIDX(45664,45490,,\"SPX\")":1.8839417,"NVT-US^P_BETA_LOCIDX(45663,45489,,\"SPX\")":1.907787,"NVT-US^P_BETA_LOCIDX(45660,45488,,\"SPX\")":1.907619,"NVT-US^P_BETA_LOCIDX(45659,45485,,\"SPX\")":1.8884135,"NVT-US^P_BETA_LOCIDX(45657,45484,,\"SPX\")":1.8691827,"NVT-US^P_BETA_LOCIDX(45656,45483,,\"SPX\")":1.8820196,"NVT-US^P_BETA_LOCIDX(45653,45482,,\"SPX\")":1.8955134,"NVT-US^P_BETA_LOCIDX(45652,45481,,\"SPX\")":1.9127855,"NVT-US^P_BETA_LOCIDX(45650,45478,,\"SPX\")":1.8998885,"NVT-US^P_BETA_LOCIDX(45649,45476,,\"SPX\")":1.9195347,"NVT-US^P_BETA_LOCIDX(45646,45475,,\"SPX\")":1.9274127,"NVT-US^P_BETA_LOCIDX(45645,45474,,\"SPX\")":1.9437603,"NVT-US^P_BETA_LOCIDX(45644,45471,,\"SPX\")":1.9373924,"NVT-US^P_BETA_LOCIDX(45643,45470,,\"SPX\")":1.9815454,"NVT-US^P_BETA_LOCIDX(45642,45469,,\"SPX\")":1.9631492,"NVT-US^P_BETA_LOCIDX(45639,45468,,\"SPX\")":1.9558302,"NVT-US^P_BETA_LOCIDX(45638,45467,,\"SPX\")":1.9492828,"NVT-US^P_BETA_LOCIDX(45637,45464,,\"SPX\")":1.9599546,"NVT-US^P_BETA_LOCIDX(45636,45463,,\"SPX\")":1.9662693,"NVT-US^P_BETA_LOCIDX(45635,45461,,\"SPX\")":1.9685956,"NVT-US^P_BETA_LOCIDX(45632,45460,,\"SPX\")":1.949196,"NVT-US^P_BETA_LOCIDX(45631,45457,,\"SPX\")":1.9572366,"NVT-US^P_BETA_LOCIDX(45630,45456,,\"SPX\")":1.9534346,"NVT-US^P_BETA_LOCIDX(45629,45455,,\"SPX\")":1.9706618,"NVT-US^P_BETA_LOCIDX(45628,45454,,\"SPX\")":1.9709703,"NVT-US^P_BETA_LOCIDX(45625,45453,,\"SPX\")":1.9755069,"NVT-US^P_BETA_LOCIDX(45623,45450,,\"SPX\")":1.9666972,"NVT-US^P_BETA_LOCIDX(45622,45449,,\"SPX\")":1.9656851,"NVT-US^P_BETA_LOCIDX(45621,45448,,\"SPX\")":1.9900743,"NVT-US^P_BETA_LOCIDX(45618,45447,,\"SPX\")":1.9891397,"NVT-US^P_BETA_LOCIDX(45617,45446,,\"SPX\")":1.9889473,"NVT-US^P_BETA_LOCIDX(45616,45443,,\"SPX\")":1.945703,"NVT-US^P_BETA_LOCIDX(45615,45442,,\"SPX\")":1.9360024,"NVT-US^P_BETA_LOCIDX(45614,45441,,\"SPX\")":1.9157634,"NVT-US^P_BETA_LOCIDX(45611,45440,,\"SPX\")":1.9164447,"NVT-US^P_BETA_LOCIDX(45610,45436,,\"SPX\")":1.9548494,"NVT-US^P_BETA_LOCIDX(45609,45435,,\"SPX\")":1.9200405,"NVT-US^P_BETA_LOCIDX(45608,45434,,\"SPX\")":1.9231434,"NVT-US^P_BETA_LOCIDX(45607,45433,,\"SPX\")":1.9226941,"NVT-US^P_BETA_LOCIDX(45604,45432,,\"SPX\")":1.9224021,"NVT-US^P_BETA_LOCIDX(45603,45429,,\"SPX\")":1.9272689,"NVT-US^P_BETA_LOCIDX(45602,45428,,\"SPX\")":1.9426413,"NVT-US^P_BETA_LOCIDX(45601,45427,,\"SPX\")":1.7847677,"NVT-US^P_BETA_LOCIDX(45600,45426,,\"SPX\")":1.7957163,"NVT-US^P_BETA_LOCIDX(45597,45425,,\"SPX\")":1.8036993,"NVT-US^P_BETA_LOCIDX(45596,45422,,\"SPX\")":1.839319,"NVT-US^P_BETA_LOCIDX(45595,45421,,\"SPX\")":1.9401195,"NVT-US^P_BETA_LOCIDX(45594,45420,,\"SPX\")":1.940562,"NVT-US^P_BETA_LOCIDX(45593,45419,,\"SPX\")":1.9415758,"NVT-US^P_BETA_LOCIDX(45590,45418,,\"SPX\")":1.9246448,"NVT-US^P_BETA_LOCIDX(45589,45415,,\"SPX\")":1.9705466,"NVT-US^P_BETA_LOCIDX(45588,45414,,\"SPX\")":1.9646274,"NVT-US^P_BETA_LOCIDX(45587,45413,,\"SPX\")":1.9865227,"NVT-US^P_BETA_LOCIDX(45586,45412,,\"SPX\")":2.002798,"NVT-US^P_BETA_LOCIDX(45583,45411,,\"SPX\")":1.9995425,"NVT-US^P_BETA_LOCIDX(45582,45408,,\"SPX\")":2.003228,"NVT-US^P_BETA_LOCIDX(45581,45407,,\"SPX\")":1.9931211,"NVT-US^P_BETA_LOCIDX(45580,45406,,\"SPX\")":1.9886742,"NVT-US^P_BETA_LOCIDX(45579,45405,,\"SPX\")":1.9782226,"NVT-US^P_BETA_LOCIDX(45576,45404,,\"SPX\")":1.9458059,"NVT-US^P_BETA_LOCIDX(45575,45401,,\"SPX\")":1.9209268,"NVT-US^P_BETA_LOCIDX(45574,45400,,\"SPX\")":1.9279484,"NVT-US^P_BETA_LOCIDX(45573,45399,,\"SPX\")":1.9211361,"NVT-US^P_BETA_LOCIDX(45572,45398,,\"SPX\")":1.9569346,"NVT-US^P_BETA_LOCIDX(45569,45397,,\"SPX\")":1.9796093,"NVT-US^P_BETA_LOCIDX(45568,45394,,\"SPX\")":1.9289933,"NVT-US^P_BETA_LOCIDX(45567,45393,,\"SPX\")":1.9242029,"NVT-US^P_BETA_LOCIDX(45566,45392,,\"SPX\")":1.9088126,"NVT-US^P_BETA_LOCIDX(45565,45391,,\"SPX\")":1.9051528,"NVT-US^P_BETA_LOCIDX(45562,45390,,\"SPX\")":1.9107407,"NVT-US^P_BETA_LOCIDX(45561,45387,,\"SPX\")":1.9296603,"NVT-US^P_BETA_LOCIDX(45560,45386,,\"SPX\")":1.9074489,"NVT-US^P_BETA_LOCIDX(45559,45385,,\"SPX\")":1.9101228,"NVT-US^P_BETA_LOCIDX(45558,45384,,\"SPX\")":1.8983995,"NVT-US^P_BETA_LOCIDX(45555,45383,,\"SPX\")":1.8989748,"NVT-US^P_BETA_LOCIDX(45554,45379,,\"SPX\")":1.9004817,"NVT-US^P_BETA_LOCIDX(45553,45378,,\"SPX\")":1.853762,"NVT-US^P_BETA_LOCIDX(45552,45377,,\"SPX\")":1.8518004,"NVT-US^P_BETA_LOCIDX(45551,45376,,\"SPX\")":1.84726,"NVT-US^P_BETA_LOCIDX(45548,45373,,\"SPX\")":1.8462732,"NVT-US^P_BETA_LOCIDX(45547,45372,,\"SPX\")":1.842254,"NVT-US^P_BETA_LOCIDX(45546,45371,,\"SPX\")":1.848127,"NVT-US^P_BETA_LOCIDX(45545,45370,,\"SPX\")":1.8384373,"NVT-US^P_BETA_LOCIDX(45544,45369,,\"SPX\")":1.8400793,"NVT-US^P_BETA_LOCIDX(45541,45366,,\"SPX\")":1.8494586,"NVT-US^P_BETA_LOCIDX(45540,45365,,\"SPX\")":1.903733,"NVT-US^P_BETA_LOCIDX(45539,45364,,\"SPX\")":1.8967264,"NVT-US^P_BETA_LOCIDX(45538,45363,,\"SPX\")":1.9002274,"NVT-US^P_BETA_LOCIDX(45534,45362,,\"SPX\")":1.8293622,"NVT-US^P_BETA_LOCIDX(45533,45359,,\"SPX\")":1.8289224,"NVT-US^P_BETA_LOCIDX(45532,45358,,\"SPX\")":1.8185109,"NVT-US^P_BETA_LOCIDX(45531,45357,,\"SPX\")":1.8203241,"NVT-US^P_BETA_LOCIDX(45530,45356,,\"SPX\")":1.8151437,"NVT-US^P_BETA_LOCIDX(45527,45355,,\"SPX\")":1.805553,"NVT-US^P_BETA_LOCIDX(45526,45352,,\"SPX\")":1.7960434,"NVT-US^P_BETA_LOCIDX(45525,45351,,\"SPX\")":1.811698,"NVT-US^P_BETA_LOCIDX(45524,45350,,\"SPX\")":1.8097253,"NVT-US^P_BETA_LOCIDX(45523,45349,,\"SPX\")":1.8085803,"NVT-US^P_BETA_LOCIDX(45520,45348,,\"SPX\")":1.8272536,"NVT-US^P_BETA_LOCIDX(45519,45345,,\"SPX\")":1.8289496,"NVT-US^P_BETA_LOCIDX(45518,45344,,\"SPX\")":1.8148518,"NVT-US^P_BETA_LOCIDX(45517,45343,,\"SPX\")":1.8111439,"NVT-US^P_BETA_LOCIDX(45516,45342,,\"SPX\")":1.8495882,"NVT-US^P_BETA_LOCIDX(45513,45338,,\"SPX\")":1.8386993,"NVT-US^P_BETA_LOCIDX(45512,45337,,\"SPX\")":1.8270067,"NVT-US^P_BETA_LOCIDX(45511,45336,,\"SPX\")":1.8517201,"NVT-US^P_BETA_LOCIDX(45510,45335,,\"SPX\")":1.8604558,"NVT-US^P_BETA_LOCIDX(45509,45334,,\"SPX\")":1.9189132,"NVT-US^P_BETA_LOCIDX(45506,45331,,\"SPX\")":2.0443387,"NVT-US^P_BETA_LOCIDX(45505,45330,,\"SPX\")":1.9406742,"NVT-US^P_BETA_LOCIDX(45504,45329,,\"SPX\")":1.9236486,"NVT-US^P_BETA_LOCIDX(45503,45328,,\"SPX\")":1.8820516,"NVT-US^P_BETA_LOCIDX(45502,45327,,\"SPX\")":1.8802123,"NVT-US^P_BETA_LOCIDX(45499,45324,,\"SPX\")":1.8724337,"NVT-US^P_BETA_LOCIDX(45498,45323,,\"SPX\")":1.9363103,"NVT-US^P_BETA_LOCIDX(45497,45322,,\"SPX\")":1.9099003,"NVT-US^P_BETA_LOCIDX(45496,45321,,\"SPX\")":1.7457107,"NVT-US^P_BETA_LOCIDX(45495,45320,,\"SPX\")":1.7483305,"NVT-US^P_BETA_LOCIDX(45492,45317,,\"SPX\")":1.7160524,"NVT-US^P_BETA_LOCIDX(45491,45316,,\"SPX\")":1.7398047,"NVT-US^P_BETA_LOCIDX(45490,45315,,\"SPX\")":1.75566,"NVT-US^P_BETA_LOCIDX(45489,45314,,\"SPX\")":1.5887252,"NVT-US^P_BETA_LOCIDX(45488,45313,,\"SPX\")":1.5677294,"NVT-US^P_BETA_LOCIDX(45485,45310,,\"SPX\")":1.5909307,"NVT-US^P_BETA_LOCIDX(45484,45309,,\"SPX\")":1.5952098,"NVT-US^P_BETA_LOCIDX(45483,45308,,\"SPX\")":1.6320316,"NVT-US^P_BETA_LOCIDX(45482,45307,,\"SPX\")":1.6091232,"NVT-US^P_BETA_LOCIDX(45481,45303,,\"SPX\")":1.608941,"NVT-US^P_BETA_LOCIDX(45478,45302,,\"SPX\")":1.6087474,"NVT-US^P_BETA_LOCIDX(45476,45301,,\"SPX\")":1.6161635,"NVT-US^P_BETA_LOCIDX(45475,45300,,\"SPX\")":1.6095248,"NVT-US^P_BETA_LOCIDX(45474,45299,,\"SPX\")":1.6031628,"NVT-US^P_BETA_LOCIDX(45471,45296,,\"SPX\")":1.6091195,"NVT-US^P_BETA_LOCIDX(45470,45295,,\"SPX\")":1.6137459,"NVT-US^P_BETA_LOCIDX(45469,45294,,\"SPX\")":1.6523402,"NVT-US^P_BETA_LOCIDX(45468,45293,,\"SPX\")":1.6632786,"NVT-US^P_BETA_LOCIDX(45467,45289,,\"SPX\")":1.6729859,"NVT-US^P_BETA_LOCIDX(45464,45288,,\"SPX\")":1.679771,"NVT-US^P_BETA_LOCIDX(45463,45287,,\"SPX\")":1.6793039,"NVT-US^P_BETA_LOCIDX(45461,45286,,\"SPX\")":1.6650819,"NVT-US^P_BETA_LOCIDX(45460,45282,,\"SPX\")":1.6628958,"NVT-US^P_BETA_LOCIDX(45457,45281,,\"SPX\")":1.6682532,"NVT-US^P_BETA_LOCIDX(45456,45280,,\"SPX\")":1.6384246,"NVT-US^P_BETA_LOCIDX(45455,45279,,\"SPX\")":1.6352099,"NVT-US^P_BETA_LOCIDX(45454,45278,,\"SPX\")":1.5967087,"NVT-US^P_BETA_LOCIDX(45453,45275,,\"SPX\")":1.599036,"NVT-US^P_BETA_LOCIDX(45450,45274,,\"SPX\")":1.6070501,"NVT-US^P_BETA_LOCIDX(45449,45273,,\"SPX\")":1.5353717,"NVT-US^P_BETA_LOCIDX(45448,45272,,\"SPX\")":1.5302728,"NVT-US^P_BETA_LOCIDX(45447,45271,,\"SPX\")":1.5065769,"NVT-US^P_BETA_LOCIDX(45446,45268,,\"SPX\")":1.5144767,"NVT-US^P_BETA_LOCIDX(45443,45267,,\"SPX\")":1.5056498,"NVT-US^P_BETA_LOCIDX(45442,45266,,\"SPX\")":1.5351613,"NVT-US^P_BETA_LOCIDX(45441,45265,,\"SPX\")":1.5429443,"NVT-US^P_BETA_LOCIDX(45440,45264,,\"SPX\")":1.5364736,"NVT-US^P_BETA_LOCIDX(45436,45261,,\"SPX\")":1.5366396,"NVT-US^P_BETA_LOCIDX(45435,45260,,\"SPX\")":1.5145959,"NVT-US^P_BETA_LOCIDX(45434,45259,,\"SPX\")":1.5323921,"NVT-US^P_BETA_LOCIDX(45433,45258,,\"SPX\")":1.5271761,"NVT-US^P_BETA_LOCIDX(45432,45257,,\"SPX\")":1.5214598,"NVT-US^P_BETA_LOCIDX(45429,45254,,\"SPX\")":1.5232885,"NVT-US^P_BETA_LOCIDX(45428,45252,,\"SPX\")":1.5258044,"NVT-US^P_BETA_LOCIDX(45427,45251,,\"SPX\")":1.5000123,"NVT-US^P_BETA_LOCIDX(45426,45250,,\"SPX\")":1.475627,"NVT-US^P_BETA_LOCIDX(45425,45247,,\"SPX\")":1.4729346,"NVT-US^P_BETA_LOCIDX(45422,45246,,\"SPX\")":1.4690262,"NVT-US^P_BETA_LOCIDX(45421,45245,,\"SPX\")":1.4693425,"NVT-US^P_BETA_LOCIDX(45420,45244,,\"SPX\")":1.4712436,"NVT-US^P_BETA_LOCIDX(45419,45243,,\"SPX\")":1.4767182,"NVT-US^P_BETA_LOCIDX(45418,45240,,\"SPX\")":1.4820595,"NVT-US^P_BETA_LOCIDX(45415,45239,,\"SPX\")":1.4942622,"NVT-US^P_BETA_LOCIDX(45414,45238,,\"SPX\")":1.4282633,"NVT-US^P_BETA_LOCIDX(45413,45237,,\"SPX\")":1.4313335,"NVT-US^P_BETA_LOCIDX(45412,45236,,\"SPX\")":1.42272,"NVT-US^P_BETA_LOCIDX(45411,45233,,\"SPX\")":1.3504366,"NVT-US^P_BETA_LOCIDX(45408,45232,,\"SPX\")":1.2805444,"NVT-US^P_BETA_LOCIDX(45407,45231,,\"SPX\")":1.2930304,"NVT-US^P_BETA_LOCIDX(45406,45230,,\"SPX\")":1.3062505,"NVT-US^P_BETA_LOCIDX(45405,45229,,\"SPX\")":1.3480964,"NVT-US^P_BETA_LOCIDX(45404,45226,,\"SPX\")":1.361872,"NVT-US^P_BETA_LOCIDX(45401,45225,,\"SPX\")":1.3480501,"NVT-US^P_BETA_LOCIDX(45400,45224,,\"SPX\")":1.3632467,"NVT-US^P_BETA_LOCIDX(45399,45223,,\"SPX\")":1.3465847,"NVT-US^P_BETA_LOCIDX(45398,45222,,\"SPX\")":1.3432014,"NVT-US^P_BETA_LOCIDX(45397,45219,,\"SPX\")":1.3390009,"NVT-US^P_BETA_LOCIDX(45394,45218,,\"SPX\")":1.3915501,"NVT-US^P_BETA_LOCIDX(45393,45217,,\"SPX\")":1.5023729,"NVT-US^P_BETA_LOCIDX(45392,45216,,\"SPX\")":1.5050693,"NVT-US^P_BETA_LOCIDX(45391,45215,,\"SPX\")":1.5143844,"NVT-US^P_BETA_LOCIDX(45390,45212,,\"SPX\")":1.5732096,"NVT-US^P_BETA_LOCIDX(45387,45211,,\"SPX\")":1.5667363,"NVT-US^P_BETA_LOCIDX(45386,45210,,\"SPX\")":1.5502145,"NVT-US^P_BETA_LOCIDX(45385,45209,,\"SPX\")":1.5539353,"NVT-US^P_BETA_LOCIDX(45384,45208,,\"SPX\")":1.5474656,"NVT-US^P_BETA_LOCIDX(45383,45205,,\"SPX\")":1.5898749,"NVT-US^P_BETA_LOCIDX(45379,45204,,\"SPX\")":1.5947678,"NVT-US^P_BETA_LOCIDX(45378,45203,,\"SPX\")":1.5886582,"NVT-US^P_BETA_LOCIDX(45377,45202,,\"SPX\")":1.5614551,"NVT-US^P_BETA_LOCIDX(45376,45201,,\"SPX\")":1.5771414,"NVT-US^P_BETA_LOCIDX(45373,45198,,\"SPX\")":1.5923465,"NVT-US^P_BETA_LOCIDX(45372,45197,,\"SPX\")":1.5962108,"NVT-US^P_BETA_LOCIDX(45371,45196,,\"SPX\")":1.5915933,"NVT-US^P_BETA_LOCIDX(45370,45195,,\"SPX\")":1.6048816,"NVT-US^P_BETA_LOCIDX(45369,45194,,\"SPX\")":1.6056713,"NVT-US^P_BETA_LOCIDX(45366,45191,,\"SPX\")":1.6027623,"NVT-US^P_BETA_LOCIDX(45365,45190,,\"SPX\")":1.6099712,"NVT-US^P_BETA_LOCIDX(45364,45189,,\"SPX\")":1.6025199,"NVT-US^P_BETA_LOCIDX(45363,45188,,\"SPX\")":1.6155564,"NVT-US^P_BETA_LOCIDX(45362,45187,,\"SPX\")":1.6071926,"NVT-US^P_BETA_LOCIDX(45359,45184,,\"SPX\")":1.6081644,"NVT-US^P_BETA_LOCIDX(45358,45183,,\"SPX\")":1.5994534,"NVT-US^P_BETA_LOCIDX(45357,45182,,\"SPX\")":1.6119435,"NVT-US^P_BETA_LOCIDX(45356,45181,,\"SPX\")":1.6147937,"NVT-US^P_BETA_LOCIDX(45355,45180,,\"SPX\")":1.616026,"NVT-US^P_BETA_LOCIDX(45352,45177,,\"SPX\")":1.6204005,"NVT-US^P_BETA_LOCIDX(45351,45176,,\"SPX\")":1.5930854,"NVT-US^P_BETA_LOCIDX(45350,45175,,\"SPX\")":1.5648695,"NVT-US^P_BETA_LOCIDX(45349,45174,,\"SPX\")":1.5860159,"NVT-US^P_BETA_LOCIDX(45348,45170,,\"SPX\")":1.5874556,"NVT-US^P_BETA_LOCIDX(45345,45169,,\"SPX\")":1.5819801,"NVT-US^P_BETA_LOCIDX(45344,45168,,\"SPX\")":1.5833774,"NVT-US^P_BETA_LOCIDX(45343,45167,,\"SPX\")":1.5578312,"NVT-US^P_BETA_LOCIDX(45342,45166,,\"SPX\")":1.5618067,"NVT-US^P_BETA_LOCIDX(45338,45163,,\"SPX\")":1.5544807,"NVT-US^P_BETA_LOCIDX(45337,45162,,\"SPX\")":1.5264734,"NVT-US^P_BETA_LOCIDX(45336,45161,,\"SPX\")":1.5446299,"NVT-US^P_BETA_LOCIDX(45335,45160,,\"SPX\")":1.542588,"NVT-US^P_BETA_LOCIDX(45334,45159,,\"SPX\")":1.5364572,"NVT-US^P_BETA_LOCIDX(45331,45156,,\"SPX\")":1.5356464,"NVT-US^P_BETA_LOCIDX(45330,45155,,\"SPX\")":1.5483527,"NVT-US^P_BETA_LOCIDX(45329,45154,,\"SPX\")":1.5607175,"NVT-US^P_BETA_LOCIDX(45328,45153,,\"SPX\")":1.5268804,"NVT-US^P_BETA_LOCIDX(45327,45152,,\"SPX\")":1.5298053,"NVT-US^P_BETA_LOCIDX(45324,45149,,\"SPX\")":1.5262666,"NVT-US^P_BETA_LOCIDX(45323,45148,,\"SPX\")":1.5301845,"NVT-US^P_BETA_LOCIDX(45322,45147,,\"SPX\")":1.4980688,"NVT-US^P_BETA_LOCIDX(45321,45146,,\"SPX\")":1.4984429,"NVT-US^P_BETA_LOCIDX(45320,45145,,\"SPX\")":1.5098671,"NVT-US^P_BETA_LOCIDX(45317,45142,,\"SPX\")":1.511392,"NVT-US^P_BETA_LOCIDX(45316,45141,,\"SPX\")":1.5202614,"NVT-US^P_BETA_LOCIDX(45315,45140,,\"SPX\")":1.4153105,"NVT-US^P_BETA_LOCIDX(45314,45139,,\"SPX\")":1.3978091,"NVT-US^P_BETA_LOCIDX(45313,45138,,\"SPX\")":1.4016159,"NVT-US^P_BETA_LOCIDX(45310,45135,,\"SPX\")":1.4042245,"NVT-US^P_BETA_LOCIDX(45309,45134,,\"SPX\")":1.3692052,"NVT-US^P_BETA_LOCIDX(45308,45133,,\"SPX\")":1.374261,"NVT-US^P_BETA_LOCIDX(45307,45132,,\"SPX\")":1.3700393,"NVT-US^P_BETA_LOCIDX(45303,45131,,\"SPX\")":1.3680044,"NVT-US^P_BETA_LOCIDX(45302,45128,,\"SPX\")":1.3684741,"NVT-US^P_BETA_LOCIDX(45301,45127,,\"SPX\")":1.3739586,"NVT-US^P_BETA_LOCIDX(45300,45126,,\"SPX\")":1.3803338,"NVT-US^P_BETA_LOCIDX(45299,45125,,\"SPX\")":1.3991815,"NVT-US^P_BETA_LOCIDX(45296,45124,,\"SPX\")":1.4057015,"NVT-US^P_BETA_LOCIDX(45295,45121,,\"SPX\")":1.4056746,"NVT-US^P_BETA_LOCIDX(45294,45120,,\"SPX\")":1.4170418,"NVT-US^P_BETA_LOCIDX(45293,45119,,\"SPX\")":1.380828,"NVT-US^P_BETA_LOCIDX(45289,45118,,\"SPX\")":1.3646109,"NVT-US^P_BETA_LOCIDX(45288,45117,,\"SPX\")":1.3699654,"NVT-US^P_BETA_LOCIDX(45287,45114,,\"SPX\")":1.3576201,"NVT-US^P_BETA_LOCIDX(45286,45113,,\"SPX\")":1.3653293,"NVT-US^P_BETA_LOCIDX(45282,45112,,\"SPX\")":1.3757885,"NVT-US^P_BETA_LOCIDX(45281,45110,,\"SPX\")":1.373545,"NVT-US^P_BETA_LOCIDX(45280,45107,,\"SPX\")":1.375178,"NVT-US^P_BETA_LOCIDX(45279,45106,,\"SPX\")":1.3808727,"NVT-US^P_BETA_LOCIDX(45278,45105,,\"SPX\")":1.3820153,"NVT-US^P_BETA_LOCIDX(45275,45104,,\"SPX\")":1.3979851,"NVT-US^P_BETA_LOCIDX(45274,45103,,\"SPX\")":1.3666831,"NVT-US^P_BETA_LOCIDX(45273,45100,,\"SPX\")":1.3331716,"NVT-US^P_BETA_LOCIDX(45272,45099,,\"SPX\")":1.3931708,"NVT-US^P_BETA_LOCIDX(45271,45098,,\"SPX\")":1.3807844,"NVT-US^P_BETA_LOCIDX(45268,45097,,\"SPX\")":1.3675064,"NVT-US^P_BETA_LOCIDX(45267,45093,,\"SPX\")":1.3660185,"NVT-US^P_BETA_LOCIDX(45266,45092,,\"SPX\")":1.3529929,"NVT-US^P_BETA_LOCIDX(45265,45091,,\"SPX\")":1.3564069,"NVT-US^P_BETA_LOCIDX(45264,45090,,\"SPX\")":1.3452893,"NVT-US^P_BETA_LOCIDX(45261,45089,,\"SPX\")":1.3647324,"NVT-US^P_BETA_LOCIDX(45260,45086,,\"SPX\")":1.3572029,"NVT-US^P_BETA_LOCIDX(45259,45085,,\"SPX\")":1.3473399,"NVT-US^P_BETA_LOCIDX(45258,45084,,\"SPX\")":1.3224311,"NVT-US^P_BETA_LOCIDX(45257,45083,,\"SPX\")":1.3280519,"NVT-US^P_BETA_LOCIDX(45254,45082,,\"SPX\")":1.3361988,"NVT-US^P_BETA_LOCIDX(45252,45079,,\"SPX\")":1.380815,"NVT-US^P_BETA_LOCIDX(45251,45078,,\"SPX\")":1.3851452,"NVT-US^P_BETA_LOCIDX(45250,45077,,\"SPX\")":1.4093823,"NVT-US^P_BETA_LOCIDX(45247,45076,,\"SPX\")":1.4122715,"NVT-US^P_BETA_LOCIDX(45246,45072,,\"SPX\")":1.4242501,"NVT-US^P_BETA_LOCIDX(45245,45071,,\"SPX\")":1.4817556,"NVT-US^P_BETA_LOCIDX(45244,45070,,\"SPX\")":1.4917583,"NVT-US^P_BETA_LOCIDX(45243,45069,,\"SPX\")":1.5038842,"NVT-US^P_BETA_LOCIDX(45240,45068,,\"SPX\")":1.5038064,"NVT-US^P_BETA_LOCIDX(45239,45065,,\"SPX\")":1.4992927,"NVT-US^P_BETA_LOCIDX(45238,45064,,\"SPX\")":1.5177335,"NVT-US^P_BETA_LOCIDX(45237,45063,,\"SPX\")":1.5191001,"NVT-US^P_BETA_LOCIDX(45236,45062,,\"SPX\")":1.533894,"NVT-US^P_BETA_LOCIDX(45233,45061,,\"SPX\")":1.5345902,"NVT-US^P_BETA_LOCIDX(45232,45058,,\"SPX\")":1.5421984,"NVT-US^P_BETA_LOCIDX(45231,45057,,\"SPX\")":1.6257638,"NVT-US^P_BETA_LOCIDX(45230,45056,,\"SPX\")":1.6075251,"NVT-US^P_BETA_LOCIDX(45229,45055,,\"SPX\")":1.6009755,"NVT-US^P_BETA_LOCIDX(45226,45054,,\"SPX\")":1.5627362,"NVT-US^P_BETA_LOCIDX(45225,45051,,\"SPX\")":1.5322727,"NVT-US^P_BETA_LOCIDX(45224,45050,,\"SPX\")":1.6007268,"NVT-US^P_BETA_LOCIDX(45223,45049,,\"SPX\")":1.6064807,"NVT-US^P_BETA_LOCIDX(45222,45048,,\"SPX\")":1.5888515,"NVT-US^P_BETA_LOCIDX(45219,45047,,\"SPX\")":1.5882754,"NVT-US^P_BETA_LOCIDX(45218,45044,,\"SPX\")":1.5220381,"NVT-US^P_BETA_LOCIDX(45217,45043,,\"SPX\")":1.4992805,"NVT-US^P_BETA_LOCIDX(45216,45042,,\"SPX\")":1.4320799,"NVT-US^P_BETA_LOCIDX(45215,45041,,\"SPX\")":1.3973663,"NVT-US^P_BETA_LOCIDX(45212,45040,,\"SPX\")":1.395863,"NVT-US^P_BETA_LOCIDX(45211,45037,,\"SPX\")":1.3470764,"NVT-US^P_BETA_LOCIDX(45210,45036,,\"SPX\")":1.3504771,"NVT-US^P_BETA_LOCIDX(45209,45035,,\"SPX\")":1.3379225,"NVT-US^P_BETA_LOCIDX(45208,45034,,\"SPX\")":1.3461109,"NVT-US^P_BETA_LOCIDX(45205,45033,,\"SPX\")":1.3533045,"NVT-US^P_BETA_LOCIDX(45204,45030,,\"SPX\")":1.3204578,"NVT-US^P_BETA_LOCIDX(45203,45029,,\"SPX\")":1.2730416,"NVT-US^P_BETA_LOCIDX(45202,45028,,\"SPX\")":1.2635804,"NVT-US^P_BETA_LOCIDX(45201,45027,,\"SPX\")":1.2843416,"NVT-US^P_BETA_LOCIDX(45198,45026,,\"SPX\")":1.2839483,"NVT-US^P_BETA_LOCIDX(45197,45022,,\"SPX\")":1.2801467,"NVT-US^P_BETA_LOCIDX(45196,45021,,\"SPX\")":1.2804452,"NVT-US^P_BETA_LOCIDX(45195,45020,,\"SPX\")":1.337984,"NVT-US^P_BETA_LOCIDX(45194,45019,,\"SPX\")":1.3229198,"NVT-US^P_BETA_LOCIDX(45191,45016,,\"SPX\")":1.3128636,"NVT-US^P_BETA_LOCIDX(45190,45015,,\"SPX\")":1.30938,"NVT-US^P_BETA_LOCIDX(45189,45014,,\"SPX\")":1.2774069,"NVT-US^P_BETA_LOCIDX(45188,45013,,\"SPX\")":1.2755564,"NVT-US^P_BETA_LOCIDX(45187,45012,,\"SPX\")":1.2693566,"NVT-US^P_BETA_LOCIDX(45184,45009,,\"SPX\")":1.2607175,"NVT-US^P_BETA_LOCIDX(45183,45008,,\"SPX\")":1.2402349,"NVT-US^P_BETA_LOCIDX(45182,45007,,\"SPX\")":1.2489978,"NVT-US^P_BETA_LOCIDX(45181,45006,,\"SPX\")":1.2464992,"NVT-US^P_BETA_LOCIDX(45180,45005,,\"SPX\")":1.2428966,"NVT-US^P_BETA_LOCIDX(45177,45002,,\"SPX\")":1.2720156,"NVT-US^P_BETA_LOCIDX(45176,45001,,\"SPX\")":1.2892787,"NVT-US^P_BETA_LOCIDX(45175,45000,,\"SPX\")":1.3819816,"NVT-US^P_BETA_LOCIDX(45174,44999,,\"SPX\")":1.4444441,"NVT-US^P_BETA_LOCIDX(45170,44998,,\"SPX\")":1.4323155,"NVT-US^P_BETA_LOCIDX(45169,44995,,\"SPX\")":1.4509424,"NVT-US^P_BETA_LOCIDX(45168,44994,,\"SPX\")":1.4565598,"NVT-US^P_BETA_LOCIDX(45167,44993,,\"SPX\")":1.4557936,"NVT-US^P_BETA_LOCIDX(45166,44992,,\"SPX\")":1.4139575,"NVT-US^P_BETA_LOCIDX(45163,44991,,\"SPX\")":1.4097981,"NVT-US^P_BETA_LOCIDX(45162,44988,,\"SPX\")":1.372651,"NVT-US^P_BETA_LOCIDX(45161,44987,,\"SPX\")":1.3926502,"NVT-US^P_BETA_LOCIDX(45160,44986,,\"SPX\")":1.3706325,"NVT-US^P_BETA_LOCIDX(45159,44985,,\"SPX\")":1.3633152,"NVT-US^P_BETA_LOCIDX(45156,44984,,\"SPX\")":1.3575045,"NVT-US^P_BETA_LOCIDX(45155,44981,,\"SPX\")":1.340666,"NVT-US^P_BETA_LOCIDX(45154,44980,,\"SPX\")":1.3383918,"NVT-US^P_BETA_LOCIDX(45153,44979,,\"SPX\")":1.3252997,"NVT-US^P_BETA_LOCIDX(45152,44978,,\"SPX\")":1.3078878,"NVT-US^P_BETA_LOCIDX(45149,44974,,\"SPX\")":1.3028417,"NVT-US^P_BETA_LOCIDX(45148,44973,,\"SPX\")":1.2676991,"NVT-US^P_BETA_LOCIDX(45147,44972,,\"SPX\")":1.2660613,"NVT-US^P_BETA_LOCIDX(45146,44971,,\"SPX\")":1.2578238,"NVT-US^P_BETA_LOCIDX(45145,44970,,\"SPX\")":1.2622117,"NVT-US^P_BETA_LOCIDX(45142,44967,,\"SPX\")":1.2560488,"NVT-US^P_BETA_LOCIDX(45141,44966,,\"SPX\")":1.2395492,"NVT-US^P_BETA_LOCIDX(45140,44965,,\"SPX\")":1.1734127,"NVT-US^P_BETA_LOCIDX(45139,44964,,\"SPX\")":1.3346286,"NVT-US^P_BETA_LOCIDX(45138,44963,,\"SPX\")":1.3403596,"NVT-US^P_BETA_LOCIDX(45135,44960,,\"SPX\")":1.2940382,"NVT-US^P_BETA_LOCIDX(45134,44959,,\"SPX\")":1.2418778,"NVT-US^P_BETA_LOCIDX(45133,44958,,\"SPX\")":1.2327591,"NVT-US^P_BETA_LOCIDX(45132,44957,,\"SPX\")":1.2311323,"NVT-US^P_BETA_LOCIDX(45131,44956,,\"SPX\")":1.2113879,"NVT-US^P_BETA_LOCIDX(45128,44953,,\"SPX\")":1.2144755,"NVT-US^P_BETA_LOCIDX(45127,44952,,\"SPX\")":1.2031573,"NVT-US^P_BETA_LOCIDX(45126,44951,,\"SPX\")":1.1967119,"NVT-US^P_BETA_LOCIDX(45125,44950,,\"SPX\")":1.1994987,"NVT-US^P_BETA_LOCIDX(45124,44949,,\"SPX\")":1.1615195,"NVT-US^P_BETA_LOCIDX(45121,44946,,\"SPX\")":1.1358415,"NVT-US^P_BETA_LOCIDX(45120,44945,,\"SPX\")":1.1488123,"NVT-US^P_BETA_LOCIDX(45119,44944,,\"SPX\")":1.1421422,"NVT-US^P_BETA_LOCIDX(45118,44943,,\"SPX\")":1.143515,"NVT-US^P_BETA_LOCIDX(45117,44939,,\"SPX\")":1.1471357,"NVT-US^P_BETA_LOCIDX(45114,44938,,\"SPX\")":1.1455122,"NVT-US^P_BETA_LOCIDX(45113,44937,,\"SPX\")":1.137787,"NVT-US^P_BETA_LOCIDX(45112,44936,,\"SPX\")":1.1289551,"NVT-US^P_BETA_LOCIDX(45110,44935,,\"SPX\")":1.1223985,"NVT-US^P_BETA_LOCIDX(45107,44932,,\"SPX\")":1.1226009,"NVT-US^P_BETA_LOCIDX(45106,44931,,\"SPX\")":1.1338165,"NVT-US^P_BETA_LOCIDX(45105,44930,,\"SPX\")":1.1357074,"NVT-US^P_BETA_LOCIDX(45104,44929,,\"SPX\")":1.1390368,"NVT-US^P_BETA_LOCIDX(45103,44925,,\"SPX\")":1.1295573,"NVT-US^P_BETA_LOCIDX(45100,44924,,\"SPX\")":1.1337667,"NVT-US^P_BETA_LOCIDX(45099,44923,,\"SPX\")":1.1494924,"NVT-US^P_BETA_LOCIDX(45098,44922,,\"SPX\")":1.1471273,"NVT-US^P_BETA_LOCIDX(45097,44918,,\"SPX\")":1.1518888,"NVT-US^P_BETA_LOCIDX(45093,44917,,\"SPX\")":1.157524,"NVT-US^P_BETA_LOCIDX(45092,44916,,\"SPX\")":1.1642748,"NVT-US^P_BETA_LOCIDX(45091,44915,,\"SPX\")":1.1728231,"NVT-US^P_BETA_LOCIDX(45090,44914,,\"SPX\")":1.157908,"NVT-US^P_BETA_LOCIDX(45089,44911,,\"SPX\")":1.1655203,"NVT-US^P_BETA_LOCIDX(45086,44910,,\"SPX\")":1.1749631,"NVT-US^P_BETA_LOCIDX(45085,44909,,\"SPX\")":1.1759471,"NVT-US^P_BETA_LOCIDX(45084,44908,,\"SPX\")":1.1665596,"NVT-US^P_BETA_LOCIDX(45083,44907,,\"SPX\")":1.180931,"NVT-US^P_BETA_LOCIDX(45082,44904,,\"SPX\")":1.179046,"NVT-US^P_BETA_LOCIDX(45079,44903,,\"SPX\")":1.1748588,"NVT-US^P_BETA_LOCIDX(45078,44902,,\"SPX\")":1.1451015,"NVT-US^P_BETA_LOCIDX(45077,44901,,\"SPX\")":1.1261288,"NVT-US^P_BETA_LOCIDX(45076,44900,,\"SPX\")":1.1059934,"NVT-US^P_BETA_LOCIDX(45072,44897,,\"SPX\")":1.1071024,"NVT-US^P_BETA_LOCIDX(45071,44896,,\"SPX\")":1.0944341,"NVT-US^P_BETA_LOCIDX(45070,44895,,\"SPX\")":1.00854,"NVT-US^P_BETA_LOCIDX(45069,44894,,\"SPX\")":1.0012207,"NVT-US^P_BETA_LOCIDX(45068,44893,,\"SPX\")":0.98952025,"NVT-US^P_BETA_LOCIDX(45065,44890,,\"SPX\")":0.9896728,"NVT-US^P_BETA_LOCIDX(45064,44888,,\"SPX\")":0.9874967,"NVT-US^P_BETA_LOCIDX(45063,44887,,\"SPX\")":0.9872183,"NVT-US^P_BETA_LOCIDX(45062,44886,,\"SPX\")":0.9815686,"NVT-US^P_BETA_LOCIDX(45061,44883,,\"SPX\")":0.9769551,"NVT-US^P_BETA_LOCIDX(45058,44882,,\"SPX\")":0.9778056,"NVT-US^P_BETA_LOCIDX(45057,44881,,\"SPX\")":0.97618914,"NVT-US^P_BETA_LOCIDX(45056,44880,,\"SPX\")":0.97301775,"NVT-US^P_BETA_LOCIDX(45055,44879,,\"SPX\")":0.97102195,"NVT-US^P_BETA_LOCIDX(45054,44876,,\"SPX\")":0.9608866,"NVT-US^P_BETA_LOCIDX(45051,44875,,\"SPX\")":0.888931,"NVT-US^P_BETA_LOCIDX(45050,44874,,\"SPX\")":0.8665795,"NVT-US^P_BETA_LOCIDX(45049,44873,,\"SPX\")":0.853272,"NVT-US^P_BETA_LOCIDX(45048,44872,,\"SPX\")":0.84517497,"NVT-US^P_BETA_LOCIDX(45047,44869,,\"SPX\")":0.88344026,"NVT-US^P_BETA_LOCIDX(45044,44868,,\"SPX\")":0.8770662,"NVT-US^P_BETA_LOCIDX(45043,44867,,\"SPX\")":0.9085404,"NVT-US^P_BETA_LOCIDX(45042,44866,,\"SPX\")":0.89151376,"NVT-US^P_BETA_LOCIDX(45041,44865,,\"SPX\")":0.8854856,"NVT-US^P_BETA_LOCIDX(45040,44862,,\"SPX\")":0.95516706,"NVT-US^P_BETA_LOCIDX(45037,44861,,\"SPX\")":0.95399874,"NVT-US^P_BETA_LOCIDX(45036,44860,,\"SPX\")":0.9525769,"NVT-US^P_BETA_LOCIDX(45035,44859,,\"SPX\")":0.9526622,"NVT-US^P_BETA_LOCIDX(45034,44858,,\"SPX\")":0.9571682,"NVT-US^P_BETA_LOCIDX(45033,44855,,\"SPX\")":0.972458,"NVT-US^P_BETA_LOCIDX(45030,44854,,\"SPX\")":0.98377997,"NVT-US^P_BETA_LOCIDX(45029,44853,,\"SPX\")":0.9909854,"NVT-US^P_BETA_LOCIDX(45028,44852,,\"SPX\")":1.0047317,"NVT-US^P_BETA_LOCIDX(45027,44851,,\"SPX\")":1.0104172,"NVT-US^P_BETA_LOCIDX(45026,44848,,\"SPX\")":1.0120091,"NVT-US^P_BETA_LOCIDX(45022,44847,,\"SPX\")":1.0281587,"NVT-US^P_BETA_LOCIDX(45021,44846,,\"SPX\")":1.0295324,"NVT-US^P_BETA_LOCIDX(45020,44845,,\"SPX\")":1.0234824,"NVT-US^P_BETA_LOCIDX(45019,44844,,\"SPX\")":1.0009553,"NVT-US^P_BETA_LOCIDX(45016,44841,,\"SPX\")":1.0124178,"NVT-US^P_BETA_LOCIDX(45015,44840,,\"SPX\")":1.014198,"NVT-US^P_BETA_LOCIDX(45014,44839,,\"SPX\")":1.0152702,"NVT-US^P_BETA_LOCIDX(45013,44838,,\"SPX\")":1.0234833,"NVT-US^P_BETA_LOCIDX(45012,44837,,\"SPX\")":1.0272341,"NVT-US^P_BETA_LOCIDX(45009,44834,,\"SPX\")":1.0152249,"NVT-US^P_BETA_LOCIDX(45008,44833,,\"SPX\")":1.0012174,"NVT-US^P_BETA_LOCIDX(45007,44832,,\"SPX\")":1.0073009,"NVT-US^P_BETA_LOCIDX(45006,44831,,\"SPX\")":1.0024163,"NVT-US^P_BETA_LOCIDX(45005,44830,,\"SPX\")":1.004085,"NVT-US^P_BETA_LOCIDX(45002,44827,,\"SPX\")":0.9961701,"NVT-US^P_BETA_LOCIDX(45001,44826,,\"SPX\")":0.98928493,"NVT-US^P_BETA_LOCIDX(45000,44825,,\"SPX\")":0.9866461,"NVT-US^P_BETA_LOCIDX(44999,44824,,\"SPX\")":0.9666429,"NVT-US^P_BETA_LOCIDX(44998,44823,,\"SPX\")":0.95313287,"NVT-US^P_BETA_LOCIDX(44995,44820,,\"SPX\")":0.96091753,"NVT-US^P_BETA_LOCIDX(44994,44819,,\"SPX\")":0.94406825,"NVT-US^P_BETA_LOCIDX(44993,44818,,\"SPX\")":0.93413335,"NVT-US^P_BETA_LOCIDX(44992,44817,,\"SPX\")":0.9397247,"NVT-US^P_BETA_LOCIDX(44991,44816,,\"SPX\")":0.9420186,"NVT-US^P_BETA_LOCIDX(44988,44813,,\"SPX\")":0.9458586,"NVT-US^P_BETA_LOCIDX(44987,44812,,\"SPX\")":0.9594506,"NVT-US^P_BETA_LOCIDX(44986,44811,,\"SPX\")":0.9679372,"NVT-US^P_BETA_LOCIDX(44985,44810,,\"SPX\")":0.96880853,"NVT-US^P_BETA_LOCIDX(44984,44806,,\"SPX\")":0.9682652,"NVT-US^P_BETA_LOCIDX(44981,44805,,\"SPX\")":0.96845925,"NVT-US^P_BETA_LOCIDX(44980,44804,,\"SPX\")":0.9719478,"NVT-US^P_BETA_LOCIDX(44979,44803,,\"SPX\")":0.9721129,"NVT-US^P_BETA_LOCIDX(44978,44802,,\"SPX\")":0.973843,"NVT-US^P_BETA_LOCIDX(44974,44799,,\"SPX\")":0.987617,"NVT-US^P_BETA_LOCIDX(44973,44798,,\"SPX\")":0.98391145,"NVT-US^P_BETA_LOCIDX(44972,44797,,\"SPX\")":0.9913124,"NVT-US^P_BETA_LOCIDX(44971,44796,,\"SPX\")":0.99167705,"NVT-US^P_BETA_LOCIDX(44970,44795,,\"SPX\")":0.99777716,"NVT-US^P_BETA_LOCIDX(44967,44792,,\"SPX\")":1.0020069,"NVT-US^P_BETA_LOCIDX(44966,44791,,\"SPX\")":1.0035026,"NVT-US^P_BETA_LOCIDX(44965,44790,,\"SPX\")":1.0091478,"NVT-US^P_BETA_LOCIDX(44964,44789,,\"SPX\")":1.0265737,"NVT-US^P_BETA_LOCIDX(44963,44788,,\"SPX\")":0.99621916,"NVT-US^P_BETA_LOCIDX(44960,44785,,\"SPX\")":0.9957852,"NVT-US^P_BETA_LOCIDX(44959,44784,,\"SPX\")":1.0084662,"NVT-US^P_BETA_LOCIDX(44958,44783,,\"SPX\")":1.0305942,"NVT-US^P_BETA_LOCIDX(44957,44782,,\"SPX\")":1.0368422,"NVT-US^P_BETA_LOCIDX(44956,44781,,\"SPX\")":1.0348951,"NVT-US^P_BETA_LOCIDX(44953,44778,,\"SPX\")":1.0405478,"NVT-US^P_BETA_LOCIDX(44952,44777,,\"SPX\")":1.0412129,"NVT-US^P_BETA_LOCIDX(44951,44776,,\"SPX\")":1.0395166,"NVT-US^P_BETA_LOCIDX(44950,44775,,\"SPX\")":1.0455998,"NVT-US^P_BETA_LOCIDX(44949,44774,,\"SPX\")":1.0438269,"NVT-US^P_BETA_LOCIDX(44946,44771,,\"SPX\")":1.0485948,"NVT-US^P_BETA_LOCIDX(44945,44770,,\"SPX\")":1.064135,"NVT-US^P_BETA_LOCIDX(44944,44769,,\"SPX\")":1.0542668,"NVT-US^P_BETA_LOCIDX(44943,44768,,\"SPX\")":1.044682,"NVT-US^P_BETA_LOCIDX(44939,44767,,\"SPX\")":1.0449045,"NVT-US^P_BETA_LOCIDX(44938,44764,,\"SPX\")":1.0425165,"NVT-US^P_BETA_LOCIDX(44937,44763,,\"SPX\")":1.0410981,"NVT-US^P_BETA_LOCIDX(44936,44762,,\"SPX\")":1.0484133,"NVT-US^P_BETA_LOCIDX(44935,44761,,\"SPX\")":1.0754261,"NVT-US^P_BETA_LOCIDX(44932,44760,,\"SPX\")":1.0770135,"NVT-US^P_BETA_LOCIDX(44931,44757,,\"SPX\")":1.0773567,"NVT-US^P_BETA_LOCIDX(44930,44756,,\"SPX\")":1.0744388,"NVT-US^P_BETA_LOCIDX(44929,44755,,\"SPX\")":1.0762984,"NVT-US^P_BETA_LOCIDX(44925,44754,,\"SPX\")":1.0778731,"NVT-US^P_BETA_LOCIDX(44924,44753,,\"SPX\")":1.074484,"NVT-US^P_BETA_LOCIDX(44923,44750,,\"SPX\")":1.0811415,"NVT-US^P_BETA_LOCIDX(44922,44749,,\"SPX\")":1.0773259,"NVT-US^P_BETA_LOCIDX(44918,44748,,\"SPX\")":1.0780236,"NVT-US^P_BETA_LOCIDX(44917,44747,,\"SPX\")":1.0772042,"NVT-US^P_BETA_LOCIDX(44916,44743,,\"SPX\")":1.0726,"NVT-US^P_BETA_LOCIDX(44915,44742,,\"SPX\")":1.0624259,"NVT-US^P_BETA_LOCIDX(44914,44741,,\"SPX\")":1.0626667,"NVT-US^P_BETA_LOCIDX(44911,44740,,\"SPX\")":1.0556246,"NVT-US^P_BETA_LOCIDX(44910,44739,,\"SPX\")":1.0535562,"NVT-US^P_BETA_LOCIDX(44909,44736,,\"SPX\")":1.0463096,"NVT-US^P_BETA_LOCIDX(44908,44735,,\"SPX\")":1.0339913,"NVT-US^P_BETA_LOCIDX(44907,44734,,\"SPX\")":1.0388312,"NVT-US^P_BETA_LOCIDX(44904,44733,,\"SPX\")":1.0231017,"NVT-US^P_BETA_LOCIDX(44903,44729,,\"SPX\")":1.0220978,"NVT-US^P_BETA_LOCIDX(44902,44728,,\"SPX\")":1.0561044,"NVT-US^P_BETA_LOCIDX(44901,44727,,\"SPX\")":1.050648,"NVT-US^P_BETA_LOCIDX(44900,44726,,\"SPX\")":1.0571678,"NVT-US^P_BETA_LOCIDX(44897,44725,,\"SPX\")":1.0601776,"NVT-US^P_BETA_LOCIDX(44896,44722,,\"SPX\")":1.0629679,"NVT-US^P_BETA_LOCIDX(44895,44721,,\"SPX\")":1.0568624,"NVT-US^P_BETA_LOCIDX(44894,44720,,\"SPX\")":1.0811249,"NVT-US^P_BETA_LOCIDX(44893,44719,,\"SPX\")":1.0856255,"NVT-US^P_BETA_LOCIDX(44890,44718,,\"SPX\")":1.0848411,"NVT-US^P_BETA_LOCIDX(44888,44715,,\"SPX\")":1.0778767,"NVT-US^P_BETA_LOCIDX(44887,44714,,\"SPX\")":1.0825223,"NVT-US^P_BETA_LOCIDX(44886,44713,,\"SPX\")":1.0792274,"NVT-US^P_BETA_LOCIDX(44883,44712,,\"SPX\")":1.0796378,"NVT-US^P_BETA_LOCIDX(44882,44708,,\"SPX\")":1.0727578,"NVT-US^P_BETA_LOCIDX(44881,44707,,\"SPX\")":1.0726653,"NVT-US^P_BETA_LOCIDX(44880,44706,,\"SPX\")":1.0748376,"NVT-US^P_BETA_LOCIDX(44879,44705,,\"SPX\")":1.0810865,"NVT-US^P_BETA_LOCIDX(44876,44704,,\"SPX\")":1.0838841,"NVT-US^P_BETA_LOCIDX(44875,44701,,\"SPX\")":1.0904597,"NVT-US^P_BETA_LOCIDX(44874,44700,,\"SPX\")":1.147299,"NVT-US^P_BETA_LOCIDX(44873,44699,,\"SPX\")":1.1365236,"NVT-US^P_BETA_LOCIDX(44872,44698,,\"SPX\")":1.1406605,"NVT-US^P_BETA_LOCIDX(44869,44697,,\"SPX\")":1.1481035,"NVT-US^P_BETA_LOCIDX(44868,44694,,\"SPX\")":1.1337928,"NVT-US^P_BETA_LOCIDX(44867,44693,,\"SPX\")":1.1379617,"NVT-US^P_BETA_LOCIDX(44866,44692,,\"SPX\")":1.1330636,"NVT-US^P_BETA_LOCIDX(44865,44691,,\"SPX\")":1.1347412,"NVT-US^P_BETA_LOCIDX(44862,44690,,\"SPX\")":1.1109802,"NVT-US^P_BETA_LOCIDX(44861,44687,,\"SPX\")":1.0772052,"NVT-US^P_BETA_LOCIDX(44860,44686,,\"SPX\")":1.059021,"NVT-US^P_BETA_LOCIDX(44859,44685,,\"SPX\")":1.045099,"NVT-US^P_BETA_LOCIDX(44858,44684,,\"SPX\")":1.0461019,"NVT-US^P_BETA_LOCIDX(44855,44683,,\"SPX\")":1.0457238,"NVT-US^P_BETA_LOCIDX(44854,44680,,\"SPX\")":1.0191988,"NVT-US^P_BETA_LOCIDX(44853,44679,,\"SPX\")":1.0089865,"NVT-US^P_BETA_LOCIDX(44852,44678,,\"SPX\")":1.0059627,"NVT-US^P_BETA_LOCIDX(44851,44677,,\"SPX\")":1.0061722,"NVT-US^P_BETA_LOCIDX(44848,44676,,\"SPX\")":1.0039984,"NVT-US^P_BETA_LOCIDX(44847,44673,,\"SPX\")":1.0097749,"NVT-US^P_BETA_LOCIDX(44846,44672,,\"SPX\")":0.9967744,"NVT-US^P_BETA_LOCIDX(44845,44671,,\"SPX\")":0.9973541,"NVT-US^P_BETA_LOCIDX(44844,44670,,\"SPX\")":1.0056903,"NVT-US^P_BETA_LOCIDX(44841,44669,,\"SPX\")":1.0060706,"NVT-US^P_BETA_LOCIDX(44840,44665,,\"SPX\")":0.99563336,"NVT-US^P_BETA_LOCIDX(44839,44664,,\"SPX\")":0.9976237,"NVT-US^P_BETA_LOCIDX(44838,44663,,\"SPX\")":0.99726754,"NVT-US^P_BETA_LOCIDX(44837,44662,,\"SPX\")":0.98805624,"NVT-US^P_BETA_LOCIDX(44834,44659,,\"SPX\")":0.98437726,"NVT-US^P_BETA_LOCIDX(44833,44658,,\"SPX\")":0.9921334,"NVT-US^P_BETA_LOCIDX(44832,44657,,\"SPX\")":0.9976957,"NVT-US^P_BETA_LOCIDX(44831,44656,,\"SPX\")":1.0011836,"NVT-US^P_BETA_LOCIDX(44830,44655,,\"SPX\")":0.9943062,"NVT-US^P_BETA_LOCIDX(44827,44652,,\"SPX\")":0.99441254,"NVT-US^P_BETA_LOCIDX(44826,44651,,\"SPX\")":1.0014528,"NVT-US^P_BETA_LOCIDX(44825,44650,,\"SPX\")":1.0011069,"NVT-US^P_BETA_LOCIDX(44824,44649,,\"SPX\")":1.005255,"NVT-US^P_BETA_LOCIDX(44823,44648,,\"SPX\")":1.0048566,"NVT-US^P_BETA_LOCIDX(44820,44645,,\"SPX\")":1.0022737,"NVT-US^P_BETA_LOCIDX(44819,44644,,\"SPX\")":0.98604167,"NVT-US^P_BETA_LOCIDX(44818,44643,,\"SPX\")":0.99443066,"NVT-US^P_BETA_LOCIDX(44817,44642,,\"SPX\")":0.98549235,"NVT-US^P_BETA_LOCIDX(44816,44641,,\"SPX\")":0.98711264,"NVT-US^P_BETA_LOCIDX(44813,44638,,\"SPX\")":0.98987573,"NVT-US^P_BETA_LOCIDX(44812,44637,,\"SPX\")":0.9827269,"NVT-US^P_BETA_LOCIDX(44811,44636,,\"SPX\")":0.9805938,"NVT-US^P_BETA_LOCIDX(44810,44635,,\"SPX\")":0.95362514,"NVT-US^P_BETA_LOCIDX(44806,44634,,\"SPX\")":0.9521171,"NVT-US^P_BETA_LOCIDX(44805,44631,,\"SPX\")":0.94743246,"NVT-US^P_BETA_LOCIDX(44804,44630,,\"SPX\")":0.9486634,"NVT-US^P_BETA_LOCIDX(44803,44629,,\"SPX\")":0.9630032,"NVT-US^P_BETA_LOCIDX(44802,44628,,\"SPX\")":0.957862,"NVT-US^P_BETA_LOCIDX(44799,44627,,\"SPX\")":0.95827717,"NVT-US^P_BETA_LOCIDX(44798,44624,,\"SPX\")":0.95257986,"NVT-US^P_BETA_LOCIDX(44797,44623,,\"SPX\")":0.9544888,"NVT-US^P_BETA_LOCIDX(44796,44622,,\"SPX\")":0.96323967,"NVT-US^P_BETA_LOCIDX(44795,44621,,\"SPX\")":0.9636392,"NVT-US^P_BETA_LOCIDX(44792,44620,,\"SPX\")":0.9592606,"NVT-US^P_BETA_LOCIDX(44791,44617,,\"SPX\")":0.9620491,"NVT-US^P_BETA_LOCIDX(44790,44616,,\"SPX\")":0.9601858,"NVT-US^P_BETA_LOCIDX(44789,44615,,\"SPX\")":0.95872533,"NVT-US^P_BETA_LOCIDX(44788,44614,,\"SPX\")":0.9608057,"NVT-US^P_BETA_LOCIDX(44785,44610,,\"SPX\")":0.9579723,"NVT-US^P_BETA_LOCIDX(44784,44609,,\"SPX\")":0.9723546,"NVT-US^P_BETA_LOCIDX(44783,44608,,\"SPX\")":0.9732128,"NVT-US^P_BETA_LOCIDX(44782,44607,,\"SPX\")":0.96885055,"NVT-US^P_BETA_LOCIDX(44781,44606,,\"SPX\")":0.968258,"NVT-US^P_BETA_LOCIDX(44778,44603,,\"SPX\")":0.977202,"NVT-US^P_BETA_LOCIDX(44777,44602,,\"SPX\")":0.9826619,"NVT-US^P_BETA_LOCIDX(44776,44601,,\"SPX\")":0.9926529,"NVT-US^P_BETA_LOCIDX(44775,44600,,\"SPX\")":0.99507785,"NVT-US^P_BETA_LOCIDX(44774,44599,,\"SPX\")":0.9902687,"NVT-US^P_BETA_LOCIDX(45845,45670,,\"SPX\")":1.654897,"CRH-US^P_BETA_LOCIDX(45037,44861,,\"SPX\")":1.1467484,"CRH-US^P_BETA_LOCIDX(45806,45629,,\"SPX\")":1.2661556,"CRH-US^P_BETA_LOCIDX(45987,45818,,\"SPX\")":1.1925155,"CRH-US^P_BETA_LOCIDX(46029,45855,,\"SPX\")":1.1525435,"CRH-US^P_BETA_LOCIDX(45469,45294,,\"SPX\")":1.3034714,"CRH-US^P_BETA_LOCIDX(44957,44782,,\"SPX\")":1.2034137,"CRH-US^P_BETA_LOCIDX(45350,45175,,\"SPX\")":1.1711973,"CRH-US^P_BETA_LOCIDX(45175,45000,,\"SPX\")":1.0347158,"CRH-US^P_BETA_LOCIDX(45329,45154,,\"SPX\")":1.2181412,"CRH-US^P_BETA_LOCIDX(45062,44886,,\"SPX\")":0.94419044,"CRH-US^P_BETA_LOCIDX(45596,45422,,\"SPX\")":1.2927893,"CRH-US^P_BETA_LOCIDX(45447,45271,,\"SPX\")":1.2691233,"CRH-US^P_BETA_LOCIDX(46017,45846,,\"SPX\")":1.1050442,"CRH-US^P_BETA_LOCIDX(45456,45280,,\"SPX\")":1.2647957,"CRH-US^P_BETA_LOCIDX(45106,44931,,\"SPX\")":1.0492228,"CRH-US^P_BETA_LOCIDX(45250,45077,,\"SPX\")":1.1818162,"CRH-US^P_BETA_LOCIDX(45541,45366,,\"SPX\")":1.3909978,"CRH-US^P_BETA_LOCIDX(45356,45181,,\"SPX\")":1.2176987,"CRH-US^P_BETA_LOCIDX(45826,45649,,\"SPX\")":1.2601137,"CRH-US^P_BETA_LOCIDX(45680,45504,,\"SPX\")":1.2444514,"CRH-US^P_BETA_LOCIDX(45792,45615,,\"SPX\")":1.2694018,"CRH-US^P_BETA_LOCIDX(45114,44938,,\"SPX\")":1.0384108,"CRH-US^P_BETA_LOCIDX(45687,45511,,\"SPX\")":1.1909468,"CRH-US^P_BETA_LOCIDX(46022,45849,,\"SPX\")":1.1138052,"CRH-US^P_BETA_LOCIDX(45191,45016,,\"SPX\")":1.0415081,"CRH-US^P_BETA_LOCIDX(45685,45509,,\"SPX\")":1.1654173,"CRH-US^P_BETA_LOCIDX(45918,45744,,\"SPX\")":1.2051576,"CRH-US^P_BETA_LOCIDX(45212,45040,,\"SPX\")":1.078494,"CRH-US^P_BETA_LOCIDX(46010,45840,,\"SPX\")":1.0980368,"CRH-US^P_BETA_LOCIDX(45645,45474,,\"SPX\")":1.249674,"CRH-US^P_BETA_LOCIDX(45786,45609,,\"SPX\")":1.2688586,"CRH-US^P_BETA_LOCIDX(45299,45125,,\"SPX\")":1.2333835,"CRH-US^P_BETA_LOCIDX(45937,45764,,\"SPX\")":1.3892074,"CRH-US^P_BETA_LOCIDX(45000,44825,,\"SPX\")":1.2334293,"CRH-US^P_BETA_LOCIDX(45104,44929,,\"SPX\")":1.0604861,"CRH-US^P_BETA_LOCIDX(45433,45258,,\"SPX\")":1.3209054,"CRH-US^P_BETA_LOCIDX(45208,45034,,\"SPX\")":1.0388464,"CRH-US^P_BETA_LOCIDX(45399,45223,,\"SPX\")":1.1226084,"CRH-US^P_BETA_LOCIDX(45453,45275,,\"SPX\")":1.2701056,"CRH-US^P_BETA_LOCIDX(45897,45726,,\"SPX\")":1.2534695,"CRH-US^P_BETA_LOCIDX(45813,45636,,\"SPX\")":1.2547243,"CRH-US^P_BETA_LOCIDX(45517,45343,,\"SPX\")":1.4023423,"CRH-US^P_BETA_LOCIDX(46043,45875,,\"SPX\")":1.190662,"CRH-US^P_BETA_LOCIDX(45779,45602,,\"SPX\")":1.2623476,"CRH-US^P_BETA_LOCIDX(45737,45561,,\"SPX\")":1.3175231,"CRH-US^P_BETA_LOCIDX(45699,45523,,\"SPX\")":1.0611274,"CRH-US^P_BETA_LOCIDX(45202,45028,,\"SPX\")":1.0044682,"CRH-US^P_BETA_LOCIDX(46042,45874,,\"SPX\")":1.2152036,"CRH-US^P_BETA_LOCIDX(45246,45072,,\"SPX\")":1.2000172,"CRH-US^P_BETA_LOCIDX(45568,45394,,\"SPX\")":1.404127,"CRH-US^P_BETA_LOCIDX(45148,44973,,\"SPX\")":1.0584737,"CRH-US^P_BETA_LOCIDX(45905,45733,,\"SPX\")":1.232708,"CRH-US^P_BETA_LOCIDX(45328,45153,,\"SPX\")":1.2072147,"CRH-US^P_BETA_LOCIDX(45771,45594,,\"SPX\")":1.2509499,"CRH-US^P_BETA_LOCIDX(46024,45852,,\"SPX\")":1.1123642,"CRH-US^P_BETA_LOCIDX(45726,45548,,\"SPX\")":1.284794,"CRH-US^P_BETA_LOCIDX(45778,45601,,\"SPX\")":1.2645713,"CRH-US^P_BETA_LOCIDX(45176,45001,,\"SPX\")":0.99267894,"CRH-US^P_BETA_LOCIDX(45617,45446,,\"SPX\")":1.2634947,"CRH-US^P_BETA_LOCIDX(45610,45436,,\"SPX\")":1.2650076,"CRH-US^P_BETA_LOCIDX(45063,44887,,\"SPX\")":0.94276386,"CRH-US^P_BETA_LOCIDX(45986,45817,,\"SPX\")":1.1721781,"CRH-US^P_BETA_LOCIDX(45933,45762,,\"SPX\")":1.3164868,"CRH-US^P_BETA_LOCIDX(45100,44924,,\"SPX\")":1.0335999,"CRH-US^P_BETA_LOCIDX(45709,45532,,\"SPX\")":1.0946146,"CRH-US^P_BETA_LOCIDX(45972,45799,,\"SPX\")":1.0704974,"CRH-US^P_BETA_LOCIDX(44978,44802,,\"SPX\")":1.2059841,"CRH-US^P_BETA_LOCIDX(45427,45251,,\"SPX\")":1.2747132,"CRH-US^P_BETA_LOCIDX(45189,45014,,\"SPX\")":1.011166,"CRH-US^P_BETA_LOCIDX(45132,44957,,\"SPX\")":1.0819862,"CRH-US^P_BETA_LOCIDX(45467,45289,,\"SPX\")":1.31279,"CRH-US^P_BETA_LOCIDX(45377,45202,,\"SPX\")":1.1966263,"CRH-US^P_BETA_LOCIDX(45232,45058,,\"SPX\")":1.2553385,"CRH-US^P_BETA_LOCIDX(45435,45260,,\"SPX\")":1.3147053,"CRH-US^P_BETA_LOCIDX(45653,45482,,\"SPX\")":1.2423143,"CRH-US^P_BETA_LOCIDX(45432,45257,,\"SPX\")":1.3206296,"CRH-US^P_BETA_LOCIDX(45303,45131,,\"SPX\")":1.2495285,"CRH-US^P_BETA_LOCIDX(45145,44970,,\"SPX\")":1.0607611,"CRH-US^P_BETA_LOCIDX(45628,45454,,\"SPX\")":1.2571218,"CRH-US^P_BETA_LOCIDX(45985,45814,,\"SPX\")":1.1186206,"CRH-US^P_BETA_LOCIDX(45036,44860,,\"SPX\")":1.1454285,"CRH-US^P_BETA_LOCIDX(45707,45530,,\"SPX\")":1.0625163,"CRH-US^P_BETA_LOCIDX(45443,45267,,\"SPX\")":1.2813843,"CRH-US^P_BETA_LOCIDX(45510,45335,,\"SPX\")":1.2781886,"CRH-US^P_BETA_LOCIDX(45695,45519,,\"SPX\")":1.0918164,"CRH-US^P_BETA_LOCIDX(45009,44834,,\"SPX\")":1.1987681,"CRH-US^P_BETA_LOCIDX(44993,44818,,\"SPX\")":1.2263613,"CRH-US^P_BETA_LOCIDX(45982,45812,,\"SPX\")":1.0781353,"CRH-US^P_BETA_LOCIDX(46027,45853,,\"SPX\")":1.1190208,"CRH-US^P_BETA_LOCIDX(45632,45460,,\"SPX\")":1.2516438,"CRH-US^P_BETA_LOCIDX(45386,45210,,\"SPX\")":1.1680964,"CRH-US^P_BETA_LOCIDX(45933,45761,,\"SPX\")":1.317536,"CRH-US^P_BETA_LOCIDX(45418,45240,,\"SPX\")":1.1521693,"CRH-US^P_BETA_LOCIDX(45665,45491,,\"SPX\")":1.2425377,"CRH-US^P_BETA_LOCIDX(45607,45433,,\"SPX\")":1.2583183,"CRH-US^P_BETA_LOCIDX(45509,45334,,\"SPX\")":1.2741976,"CRH-US^P_BETA_LOCIDX(46030,45856,,\"SPX\")":1.1565408,"CRH-US^P_BETA_LOCIDX(45238,45064,,\"SPX\")":1.2465093,"CRH-US^P_BETA_LOCIDX(45413,45237,,\"SPX\")":1.1251476,"CRH-US^P_BETA_LOCIDX(45006,44831,,\"SPX\")":1.2173358,"CRH-US^P_BETA_LOCIDX(45139,44964,,\"SPX\")":1.0457035,"CRH-US^P_BETA_LOCIDX(45643,45470,,\"SPX\")":1.2409788,"CRH-US^P_BETA_LOCIDX(45883,45712,,\"SPX\")":1.2776957,"CRH-US^P_BETA_LOCIDX(45684,45506,,\"SPX\")":1.2053747,"CRH-US^P_BETA_LOCIDX(45040,44862,,\"SPX\")":1.1466652,"CRH-US^P_BETA_LOCIDX(45121,44946,,\"SPX\")":1.0564905,"CRH-US^P_BETA_LOCIDX(45047,44869,,\"SPX\")":1.099257,"CRH-US^P_BETA_LOCIDX(45769,45590,,\"SPX\")":1.2404945,"CRH-US^P_BETA_LOCIDX(45917,45743,,\"SPX\")":1.2086127,"CRH-US^P_BETA_LOCIDX(45575,45401,,\"SPX\")":1.3675344,"CRH-US^P_BETA_LOCIDX(45411,45233,,\"SPX\")":1.1065147,"CRH-US^P_BETA_LOCIDX(45926,45755,,\"SPX\")":1.246161,"CRH-US^P_BETA_LOCIDX(45324,45149,,\"SPX\")":1.1992536,"CRH-US^P_BETA_LOCIDX(45082,44904,,\"SPX\")":1.0295401,"CRH-US^P_BETA_LOCIDX(45334,45159,,\"SPX\")":1.1983654,"CRH-US^P_BETA_LOCIDX(45670,45495,,\"SPX\")":1.2295859,"CRH-US^P_BETA_LOCIDX(45363,45188,,\"SPX\")":1.1680942,"CRH-US^P_BETA_LOCIDX(45051,44875,,\"SPX\")":1.0693961,"CRH-US^P_BETA_LOCIDX(45905,45734,,\"SPX\")":1.2336676,"CRH-US^P_BETA_LOCIDX(45308,45133,,\"SPX\")":1.2447531,"CRH-US^P_BETA_LOCIDX(45932,45761,,\"SPX\")":1.3149048,"CRH-US^P_BETA_LOCIDX(45426,45250,,\"SPX\")":1.1981306,"CRH-US^P_BETA_LOCIDX(45085,44909,,\"SPX\")":1.0516801,"CRH-US^P_BETA_LOCIDX(45502,45327,,\"SPX\")":1.2667125,"CRH-US^P_BETA_LOCIDX(45394,45218,,\"SPX\")":1.0537941,"CRH-US^P_BETA_LOCIDX(45664,45490,,\"SPX\")":1.2500031,"CRH-US^P_BETA_LOCIDX(45343,45167,,\"SPX\")":1.2300242,"CRH-US^P_BETA_LOCIDX(45974,45804,,\"SPX\")":1.0710665,"CRH-US^P_BETA_LOCIDX(45946,45775,,\"SPX\")":1.2310083,"CRH-US^P_BETA_LOCIDX(45667,45492,,\"SPX\")":1.2218786,"CRH-US^P_BETA_LOCIDX(45931,45758,,\"SPX\")":1.3026102,"CRH-US^P_BETA_LOCIDX(45952,45779,,\"SPX\")":1.2147791,"CRH-US^P_BETA_LOCIDX(45589,45415,,\"SPX\")":1.3467481,"CRH-US^P_BETA_LOCIDX(45574,45400,,\"SPX\")":1.3764238,"CRH-US^P_BETA_LOCIDX(45323,45148,,\"SPX\")":1.2190444,"CRH-US^P_BETA_LOCIDX(46027,45859,,\"SPX\")":1.1309792,"CRH-US^P_BETA_LOCIDX(45964,45791,,\"SPX\")":1.1405146,"CRH-US^P_BETA_LOCIDX(45254,45082,,\"SPX\")":1.1527077,"CRH-US^P_BETA_LOCIDX(45470,45295,,\"SPX\")":1.2726468,"CRH-US^P_BETA_LOCIDX(45701,45525,,\"SPX\")":1.070991,"CRH-US^P_BETA_LOCIDX(44981,44805,,\"SPX\")":1.2102734,"CRH-US^P_BETA_LOCIDX(45461,45286,,\"SPX\")":1.2880672,"CRH-US^P_BETA_LOCIDX(45344,45168,,\"SPX\")":1.1954439,"CRH-US^P_BETA_LOCIDX(45856,45684,,\"SPX\")":1.2721411,"CRH-US^P_BETA_LOCIDX(45365,45190,,\"SPX\")":1.2177387,"CRH-US^P_BETA_LOCIDX(45259,45085,,\"SPX\")":1.1520358,"CRH-US^P_BETA_LOCIDX(46037,45869,,\"SPX\")":1.2298682,"CRH-US^P_BETA_LOCIDX(45807,45630,,\"SPX\")":1.2661545,"CRH-US^P_BETA_LOCIDX(45404,45226,,\"SPX\")":1.1004086,"CRH-US^P_BETA_LOCIDX(45345,45169,,\"SPX\")":1.2000452,"CRH-US^P_BETA_LOCIDX(45001,44826,,\"SPX\")":1.2292584,"CRH-US^P_BETA_LOCIDX(45369,45194,,\"SPX\")":1.2137144,"CRH-US^P_BETA_LOCIDX(45316,45141,,\"SPX\")":1.2465115,"CRH-US^P_BETA_LOCIDX(45245,45071,,\"SPX\")":1.1907623,"CRH-US^P_BETA_LOCIDX(45958,45785,,\"SPX\")":1.1637114,"CRH-US^P_BETA_LOCIDX(46036,45868,,\"SPX\")":1.232016,"CRH-US^P_BETA_LOCIDX(45981,45812,,\"SPX\")":1.0699297,"CRH-US^P_BETA_LOCIDX(45922,45748,,\"SPX\")":1.1900238,"CRH-US^P_BETA_LOCIDX(45999,45826,,\"SPX\")":1.1035126,"CRH-US^P_BETA_LOCIDX(44966,44791,,\"SPX\")":1.2155098,"CRH-US^P_BETA_LOCIDX(45929,45755,,\"SPX\")":1.2462329,"CRH-US^P_BETA_LOCIDX(45485,45310,,\"SPX\")":1.1268424,"CRH-US^P_BETA_LOCIDX(45911,45737,,\"SPX\")":1.231917,"CRH-US^P_BETA_LOCIDX(45586,45412,,\"SPX\")":1.3585376,"CRH-US^P_BETA_LOCIDX(45504,45329,,\"SPX\")":1.2374852,"CRH-US^P_BETA_LOCIDX(44980,44804,,\"SPX\")":1.2103488,"CRH-US^P_BETA_LOCIDX(45796,45617,,\"SPX\")":1.2703854,"CRH-US^P_BETA_LOCIDX(45777,45600,,\"SPX\")":1.2654859,"CRH-US^P_BETA_LOCIDX(45979,45807,,\"SPX\")":1.0581583,"CRH-US^P_BETA_LOCIDX(45398,45222,,\"SPX\")":1.1203907,"CRH-US^P_BETA_LOCIDX(45929,45756,,\"SPX\")":1.2552687,"CRH-US^P_BETA_LOCIDX(45555,45383,,\"SPX\")":1.3808448,"CRH-US^P_BETA_LOCIDX(45996,45825,,\"SPX\")":1.1536996,"CRH-US^P_BETA_LOCIDX(45784,45607,,\"SPX\")":1.2677717,"CRH-US^P_BETA_LOCIDX(44998,44823,,\"SPX\")":1.2365371,"CRH-US^P_BETA_LOCIDX(45496,45321,,\"SPX\")":1.1786374,"CRH-US^P_BETA_LOCIDX(45293,45119,,\"SPX\")":1.19124,"CRH-US^P_BETA_LOCIDX(45142,44967,,\"SPX\")":1.0564644,"CRH-US^P_BETA_LOCIDX(45072,44897,,\"SPX\")":1.0025606,"CRH-US^P_BETA_LOCIDX(45275,45104,,\"SPX\")":1.2293382,"CRH-US^P_BETA_LOCIDX(45286,45113,,\"SPX\")":1.2233421,"CRH-US^P_BETA_LOCIDX(45371,45196,,\"SPX\")":1.2213234,"CRH-US^P_BETA_LOCIDX(45980,45811,,\"SPX\")":1.0641295,"CRH-US^P_BETA_LOCIDX(45463,45287,,\"SPX\")":1.2999719,"CRH-US^P_BETA_LOCIDX(45441,45265,,\"SPX\")":1.3029869,"CRH-US^P_BETA_LOCIDX(45428,45252,,\"SPX\")":1.317088,"CRH-US^P_BETA_LOCIDX(45776,45597,,\"SPX\")":1.2642058,"CRH-US^P_BETA_LOCIDX(45783,45604,,\"SPX\")":1.2718598,"CRH-US^P_BETA_LOCIDX(45362,45187,,\"SPX\")":1.1642342,"CRH-US^P_BETA_LOCIDX(45195,45020,,\"SPX\")":1.0453635,"CRH-US^P_BETA_LOCIDX(45775,45596,,\"SPX\")":1.2535596,"CRH-US^P_BETA_LOCIDX(45947,45776,,\"SPX\")":1.2304933,"CRH-US^P_BETA_LOCIDX(45223,45049,,\"SPX\")":1.1882529,"CRH-US^P_BETA_LOCIDX(45656,45483,,\"SPX\")":1.2418407,"CRH-US^P_BETA_LOCIDX(45637,45464,,\"SPX\")":1.2429066,"CRH-US^P_BETA_LOCIDX(45076,44900,,\"SPX\")":1.0032964,"CRH-US^P_BETA_LOCIDX(45489,45314,,\"SPX\")":1.1668271,"CRH-US^P_BETA_LOCIDX(45544,45369,,\"SPX\")":1.3526437,"CRH-US^P_BETA_LOCIDX(45310,45135,,\"SPX\")":1.2455766,"CRH-US^P_BETA_LOCIDX(46035,45867,,\"SPX\")":1.198672,"CRH-US^P_BETA_LOCIDX(45979,45810,,\"SPX\")":1.0563526,"CRH-US^P_BETA_LOCIDX(45817,45638,,\"SPX\")":1.252074,"CRH-US^P_BETA_LOCIDX(45314,45139,,\"SPX\")":1.2411435,"CRH-US^P_BETA_LOCIDX(45980,45810,,\"SPX\")":1.0600805,"CRH-US^P_BETA_LOCIDX(45978,45807,,\"SPX\")":1.0667363,"CRH-US^P_BETA_LOCIDX(45748,45572,,\"SPX\")":1.4025308,"CRH-US^P_BETA_LOCIDX(45782,45603,,\"SPX\")":1.2620817,"CRH-US^P_BETA_LOCIDX(45321,45146,,\"SPX\")":1.2587105,"CRH-US^P_BETA_LOCIDX(45128,44953,,\"SPX\")":1.0694078,"CRH-US^P_BETA_LOCIDX(45015,44840,,\"SPX\")":1.1757007,"CRH-US^P_BETA_LOCIDX(45742,45566,,\"SPX\")":1.3684103,"CRH-US^P_BETA_LOCIDX(45527,45355,,\"SPX\")":1.4483496,"CRH-US^P_BETA_LOCIDX(45287,45114,,\"SPX\")":1.2006061,"CRH-US^P_BETA_LOCIDX(45166,44992,,\"SPX\")":1.0443211,"CRH-US^P_BETA_LOCIDX(45768,45589,,\"SPX\")":1.2366406,"CRH-US^P_BETA_LOCIDX(45181,45006,,\"SPX\")":0.9769607,"CRH-US^P_BETA_LOCIDX(45300,45126,,\"SPX\")":1.2335467,"CRH-US^P_BETA_LOCIDX(45957,45785,,\"SPX\")":1.1648157,"CRH-US^P_BETA_LOCIDX(45912,45740,,\"SPX\")":1.2319039,"CRH-US^P_BETA_LOCIDX(44985,44810,,\"SPX\")":1.2236028,"CRH-US^P_BETA_LOCIDX(45110,44935,,\"SPX\")":1.01951,"CRH-US^P_BETA_LOCIDX(46015,45845,,\"SPX\")":1.1060007,"CRH-US^P_BETA_LOCIDX(45884,45713,,\"SPX\")":1.279606,"CRH-US^P_BETA_LOCIDX(44999,44824,,\"SPX\")":1.2380956,"CRH-US^P_BETA_LOCIDX(45616,45443,,\"SPX\")":1.2748514,"CRH-US^P_BETA_LOCIDX(45083,44907,,\"SPX\")":1.0395476,"CRH-US^P_BETA_LOCIDX(45821,45644,,\"SPX\")":1.2591455,"CRH-US^P_BETA_LOCIDX(45601,45427,,\"SPX\")":1.3042831,"CRH-US^P_BETA_LOCIDX(45646,45475,,\"SPX\")":1.2472116,"CRH-US^P_BETA_LOCIDX(46034,45860,,\"SPX\")":1.2017654,"CRH-US^P_BETA_LOCIDX(45216,45042,,\"SPX\")":1.1161679,"CRH-US^P_BETA_LOCIDX(46008,45838,,\"SPX\")":1.1071297,"CRH-US^P_BETA_LOCIDX(45272,45099,,\"SPX\")":1.2059784,"CRH-US^P_BETA_LOCIDX(45877,45706,,\"SPX\")":1.2674158,"CRH-US^P_BETA_LOCIDX(45649,45476,,\"SPX\")":1.2564888,"CRH-US^P_BETA_LOCIDX(45481,45303,,\"SPX\")":1.2140172,"CRH-US^P_BETA_LOCIDX(45692,45516,,\"SPX\")":1.0600512,"CRH-US^P_BETA_LOCIDX(45730,45554,,\"SPX\")":1.3130234,"CRH-US^P_BETA_LOCIDX(45924,45750,,\"SPX\")":1.1886938,"CRH-US^P_BETA_LOCIDX(45971,45799,,\"SPX\")":1.0724528,"CRH-US^P_BETA_LOCIDX(45925,45754,,\"SPX\")":1.2424138,"CRH-US^P_BETA_LOCIDX(45663,45489,,\"SPX\")":1.2664154,"CRH-US^P_BETA_LOCIDX(45230,45056,,\"SPX\")":1.2462314,"CRH-US^P_BETA_LOCIDX(45301,45127,,\"SPX\")":1.2303388,"CRH-US^P_BETA_LOCIDX(45741,45565,,\"SPX\")":1.3369216,"CRH-US^P_BETA_LOCIDX(45079,44903,,\"SPX\")":1.0204965,"CRH-US^P_BETA_LOCIDX(45455,45279,,\"SPX\")":1.278786,"CRH-US^P_BETA_LOCIDX(45975,45805,,\"SPX\")":1.1133782,"CRH-US^P_BETA_LOCIDX(45722,45546,,\"SPX\")":1.2652023,"CRH-US^P_BETA_LOCIDX(46014,45842,,\"SPX\")":1.097476,"CRH-US^P_BETA_LOCIDX(45740,45562,,\"SPX\")":1.3375041,"CRH-US^P_BETA_LOCIDX(45513,45338,,\"SPX\")":1.3866124,"CRH-US^P_BETA_LOCIDX(45519,45345,,\"SPX\")":1.4683983,"CRH-US^P_BETA_LOCIDX(45761,45583,,\"SPX\")":1.2539715,"CRH-US^P_BETA_LOCIDX(45958,45786,,\"SPX\")":1.1527575,"CRH-US^P_BETA_LOCIDX(45474,45299,,\"SPX\")":1.2545211,"CRH-US^P_BETA_LOCIDX(45188,45013,,\"SPX\")":1.0612564,"CRH-US^P_BETA_LOCIDX(45631,45457,,\"SPX\")":1.2574686,"CRH-US^P_BETA_LOCIDX(46020,45852,,\"SPX\")":1.103625,"CRH-US^P_BETA_LOCIDX(45917,45744,,\"SPX\")":1.2044785,"CRH-US^P_BETA_LOCIDX(45800,45623,,\"SPX\")":1.2711664,"CRH-US^P_BETA_LOCIDX(45902,45728,,\"SPX\")":1.2549554,"CRH-US^P_BETA_LOCIDX(45336,45161,,\"SPX\")":1.2441001,"CRH-US^P_BETA_LOCIDX(45635,45461,,\"SPX\")":1.255707,"CRH-US^P_BETA_LOCIDX(45331,45156,,\"SPX\")":1.1983715,"CRH-US^P_BETA_LOCIDX(45013,44838,,\"SPX\")":1.2229611,"CRH-US^P_BETA_LOCIDX(45257,45083,,\"SPX\")":1.1459246,"CRH-US^P_BETA_LOCIDX(45281,45110,,\"SPX\")":1.2298425,"CRH-US^P_BETA_LOCIDX(46001,45831,,\"SPX\")":1.1063921,"CRH-US^P_BETA_LOCIDX(45342,45166,,\"SPX\")":1.2254316,"CRH-US^P_BETA_LOCIDX(45294,45120,,\"SPX\")":1.2074538,"CRH-US^P_BETA_LOCIDX(45421,45245,,\"SPX\")":1.1898906,"CRH-US^P_BETA_LOCIDX(45911,45740,,\"SPX\")":1.2312409,"CRH-US^P_BETA_LOCIDX(45035,44859,,\"SPX\")":1.1522436,"CRH-US^P_BETA_LOCIDX(45210,45036,,\"SPX\")":1.0568644,"CRH-US^P_BETA_LOCIDX(45107,44932,,\"SPX\")":1.0401314,"CRH-US^P_BETA_LOCIDX(45870,45698,,\"SPX\")":1.2618698,"CRH-US^P_BETA_LOCIDX(46008,45840,,\"SPX\")":1.1157913,"CRH-US^P_BETA_LOCIDX(46017,45849,,\"SPX\")":1.0993215,"CRH-US^P_BETA_LOCIDX(45965,45793,,\"SPX\")":1.1311829,"CRH-US^P_BETA_LOCIDX(45511,45336,,\"SPX\")":1.2960197,"CRH-US^P_BETA_LOCIDX(45590,45418,,\"SPX\")":1.3531644,"CRH-US^P_BETA_LOCIDX(45098,44922,,\"SPX\")":1.044133,"CRH-US^P_BETA_LOCIDX(45089,44911,,\"SPX\")":1.0341191,"CRH-US^P_BETA_LOCIDX(45609,45435,,\"SPX\")":1.2660263,"CRH-US^P_BETA_LOCIDX(45155,44981,,\"SPX\")":1.0820175,"CRH-US^P_BETA_LOCIDX(45468,45293,,\"SPX\")":1.309338,"CRH-US^P_BETA_LOCIDX(45623,45450,,\"SPX\")":1.2614638,"CRH-US^P_BETA_LOCIDX(45383,45205,,\"SPX\")":1.1825858,"CRH-US^P_BETA_LOCIDX(45484,45309,,\"SPX\")":1.1449318,"CRH-US^P_BETA_LOCIDX(45916,45743,,\"SPX\")":1.2076571,"CRH-US^P_BETA_LOCIDX(45540,45365,,\"SPX\")":1.4631866,"CRH-US^P_BETA_LOCIDX(46042,45867,,\"SPX\")":1.2137986,"CRH-US^P_BETA_LOCIDX(45405,45229,,\"SPX\")":1.1064627,"CRH-US^P_BETA_LOCIDX(45021,44846,,\"SPX\")":1.178384,"CRH-US^P_BETA_LOCIDX(45700,45524,,\"SPX\")":1.0569855,"CRH-US^P_BETA_LOCIDX(45600,45426,,\"SPX\")":1.2900577,"CRH-US^P_BETA_LOCIDX(45044,44868,,\"SPX\")":1.078693,"CRH-US^P_BETA_LOCIDX(45400,45224,,\"SPX\")":1.1470966,"CRH-US^P_BETA_LOCIDX(45092,44916,,\"SPX\")":1.0505544,"CRH-US^P_BETA_LOCIDX(46009,45841,,\"SPX\")":1.1410084,"CRH-US^P_BETA_LOCIDX(45190,45015,,\"SPX\")":1.0550693,"CRH-US^P_BETA_LOCIDX(45940,45769,,\"SPX\")":1.3204246,"CRH-US^P_BETA_LOCIDX(45133,44958,,\"SPX\")":1.0805902,"CRH-US^P_BETA_LOCIDX(46015,45847,,\"SPX\")":1.1078169,"CRH-US^P_BETA_LOCIDX(45848,45673,,\"SPX\")":1.2782538,"CRH-US^P_BETA_LOCIDX(45869,45695,,\"SPX\")":1.2748377,"CRH-US^P_BETA_LOCIDX(45671,45496,,\"SPX\")":1.2178737,"CRH-US^P_BETA_LOCIDX(45960,45790,,\"SPX\")":1.1216061,"CRH-US^P_BETA_LOCIDX(44974,44799,,\"SPX\")":1.2050666,"CRH-US^P_BETA_LOCIDX(45855,45681,,\"SPX\")":1.2709956,"CRH-US^P_BETA_LOCIDX(45105,44930,,\"SPX\")":1.0766315,"CRH-US^P_BETA_LOCIDX(45978,45806,,\"SPX\")":1.0640669,"CRH-US^P_BETA_LOCIDX(45378,45203,,\"SPX\")":1.1743757,"CRH-US^P_BETA_LOCIDX(45252,45079,,\"SPX\")":1.1482956,"CRH-US^P_BETA_LOCIDX(45681,45505,,\"SPX\")":1.241128,"CRH-US^P_BETA_LOCIDX(45007,44832,,\"SPX\")":1.2060325,"CRH-US^P_BETA_LOCIDX(45211,45037,,\"SPX\")":1.073059,"CRH-US^P_BETA_LOCIDX(46013,45845,,\"SPX\")":1.107492,"CRH-US^P_BETA_LOCIDX(45124,44949,,\"SPX\")":1.0721232,"CRH-US^P_BETA_LOCIDX(45134,44959,,\"SPX\")":1.0665368,"CRH-US^P_BETA_LOCIDX(45895,45722,,\"SPX\")":1.2625364,"CRH-US^P_BETA_LOCIDX(45625,45453,,\"SPX\")":1.2603458,"CRH-US^P_BETA_LOCIDX(45953,45782,,\"SPX\")":1.2034507,"CRH-US^P_BETA_LOCIDX(45099,44923,,\"SPX\")":1.0439327,"CRH-US^P_BETA_LOCIDX(46044,45869,,\"SPX\")":1.1968359,"CRH-US^P_BETA_LOCIDX(46010,45842,,\"SPX\")":1.0941168,"CRH-US^P_BETA_LOCIDX(45959,45789,,\"SPX\")":1.1592863,"CRH-US^P_BETA_LOCIDX(45908,45735,,\"SPX\")":1.2339557,"CRH-US^P_BETA_LOCIDX(45033,44855,,\"SPX\")":1.1369928,"CRH-US^P_BETA_LOCIDX(45366,45191,,\"SPX\")":1.2009146,"CRH-US^P_BETA_LOCIDX(44959,44784,,\"SPX\")":1.2051743,"CRH-US^P_BETA_LOCIDX(45919,45747,,\"SPX\")":1.1875238,"CRH-US^P_BETA_LOCIDX(45876,45702,,\"SPX\")":1.263783,"CRH-US^P_BETA_LOCIDX(45891,45720,,\"SPX\")":1.2913039,"CRH-US^P_BETA_LOCIDX(46038,45866,,\"SPX\")":1.240099,"CRH-US^P_BETA_LOCIDX(45152,44978,,\"SPX\")":1.0488411,"CRH-US^P_BETA_LOCIDX(45050,44874,,\"SPX\")":1.0695003,"CRH-US^P_BETA_LOCIDX(45135,44960,,\"SPX\")":1.0747455,"CRH-US^P_BETA_LOCIDX(45478,45302,,\"SPX\")":1.2169518,"CRH-US^P_BETA_LOCIDX(45034,44858,,\"SPX\")":1.1533867,"CRH-US^P_BETA_LOCIDX(45385,45209,,\"SPX\")":1.1723015,"CRH-US^P_BETA_LOCIDX(44984,44806,,\"SPX\")":1.2149395,"CRH-US^P_BETA_LOCIDX(45961,45790,,\"SPX\")":1.1248122,"CRH-US^P_BETA_LOCIDX(45562,45390,,\"SPX\")":1.3772471,"CRH-US^P_BETA_LOCIDX(46043,45868,,\"SPX\")":1.1830719,"CRH-US^P_BETA_LOCIDX(45894,45721,,\"SPX\")":1.2812357,"CRH-US^P_BETA_LOCIDX(45790,45611,,\"SPX\")":1.270629,"CRH-US^P_BETA_LOCIDX(45954,45784,,\"SPX\")":1.1668383,"CRH-US^P_BETA_LOCIDX(45103,44925,,\"SPX\")":1.04547,"CRH-US^P_BETA_LOCIDX(45936,45762,,\"SPX\")":1.3114882,"CRH-US^P_BETA_LOCIDX(45814,45637,,\"SPX\")":1.2485728,"CRH-US^P_BETA_LOCIDX(45020,44845,,\"SPX\")":1.1703464,"CRH-US^P_BETA_LOCIDX(45832,45653,,\"SPX\")":1.2685536,"CRH-US^P_BETA_LOCIDX(45735,45559,,\"SPX\")":1.3145459,"CRH-US^P_BETA_LOCIDX(45196,45021,,\"SPX\")":1.0376799,"CRH-US^P_BETA_LOCIDX(45902,45729,,\"SPX\")":1.2502292,"CRH-US^P_BETA_LOCIDX(45770,45593,,\"SPX\")":1.2423481,"CRH-US^P_BETA_LOCIDX(45261,45089,,\"SPX\")":1.158936,"CRH-US^P_BETA_LOCIDX(45721,45545,,\"SPX\")":1.2304136,"CRH-US^P_BETA_LOCIDX(45491,45316,,\"SPX\")":1.1958573,"CRH-US^P_BETA_LOCIDX(45572,45398,,\"SPX\")":1.3880974,"CRH-US^P_BETA_LOCIDX(45688,45512,,\"SPX\")":1.170132,"CRH-US^P_BETA_LOCIDX(45763,45587,,\"SPX\")":1.2408952,"CRH-US^P_BETA_LOCIDX(45686,45510,,\"SPX\")":1.1943549,"CRH-US^P_BETA_LOCIDX(45177,45002,,\"SPX\")":1.000398,"CRH-US^P_BETA_LOCIDX(45397,45219,,\"SPX\")":1.0695499,"CRH-US^P_BETA_LOCIDX(45841,45665,,\"SPX\")":1.2775475,"CRH-US^P_BETA_LOCIDX(45938,45764,,\"SPX\")":1.3919513,"CRH-US^P_BETA_LOCIDX(45042,44866,,\"SPX\")":1.1274925,"CRH-US^P_BETA_LOCIDX(45951,45778,,\"SPX\")":1.2111359,"CRH-US^P_BETA_LOCIDX(45169,44995,,\"SPX\")":1.0466709,"CRH-US^P_BETA_LOCIDX(45279,45106,,\"SPX\")":1.2142689,"CRH-US^P_BETA_LOCIDX(45629,45455,,\"SPX\")":1.2610521,"CRH-US^P_BETA_LOCIDX(45716,45540,,\"SPX\")":1.0053046,"CRH-US^P_BETA_LOCIDX(44963,44788,,\"SPX\")":1.2231069,"CRH-US^P_BETA_LOCIDX(44973,44798,,\"SPX\")":1.2148652,"CRH-US^P_BETA_LOCIDX(45125,44950,,\"SPX\")":1.0816295,"CRH-US^P_BETA_LOCIDX(45904,45733,,\"SPX\")":1.2346036,"CRH-US^P_BETA_LOCIDX(45638,45467,,\"SPX\")":1.2389534,"CRH-US^P_BETA_LOCIDX(45055,44879,,\"SPX\")":0.96355635,"CRH-US^P_BETA_LOCIDX(45355,45180,,\"SPX\")":1.1853461,"CRH-US^P_BETA_LOCIDX(45359,45184,,\"SPX\")":1.177443,"CRH-US^P_BETA_LOCIDX(45153,44979,,\"SPX\")":1.0812668,"CRH-US^P_BETA_LOCIDX(45357,45182,,\"SPX\")":1.205291,"CRH-US^P_BETA_LOCIDX(45393,45217,,\"SPX\")":1.1273607,"CRH-US^P_BETA_LOCIDX(45446,45268,,\"SPX\")":1.2753972,"CRH-US^P_BETA_LOCIDX(45260,45086,,\"SPX\")":1.1416739,"CRH-US^P_BETA_LOCIDX(45804,45625,,\"SPX\")":1.2610774,"CRH-US^P_BETA_LOCIDX(45243,45069,,\"SPX\")":1.2652432,"CRH-US^P_BETA_LOCIDX(45449,45273,,\"SPX\")":1.2799757,"CRH-US^P_BETA_LOCIDX(45069,44894,,\"SPX\")":0.9494421,"CRH-US^P_BETA_LOCIDX(45141,44966,,\"SPX\")":1.0553287,"CRH-US^P_BETA_LOCIDX(45201,45027,,\"SPX\")":1.0076528,"CRH-US^P_BETA_LOCIDX(45313,45138,,\"SPX\")":1.2476798,"CRH-US^P_BETA_LOCIDX(45679,45503,,\"SPX\")":1.232695,"CRH-US^P_BETA_LOCIDX(45903,45730,,\"SPX\")":1.2376868,"CRH-US^P_BETA_LOCIDX(45309,45134,,\"SPX\")":1.2525743,"CRH-US^P_BETA_LOCIDX(45043,44867,,\"SPX\")":1.1090306,"CRH-US^P_BETA_LOCIDX(45785,45608,,\"SPX\")":1.2705206,"CRH-US^P_BETA_LOCIDX(45867,45693,,\"SPX\")":1.2804394,"CRH-US^P_BETA_LOCIDX(45580,45406,,\"SPX\")":1.3667758,"CRH-US^P_BETA_LOCIDX(45180,45005,,\"SPX\")":0.98278624,"CRH-US^P_BETA_LOCIDX(45204,45030,,\"SPX\")":1.0265663,"CRH-US^P_BETA_LOCIDX(45229,45055,,\"SPX\")":1.2485715,"CRH-US^P_BETA_LOCIDX(45950,45777,,\"SPX\")":1.2124856,"CRH-US^P_BETA_LOCIDX(45419,45243,,\"SPX\")":1.1380119,"CRH-US^P_BETA_LOCIDX(46037,45863,,\"SPX\")":1.2542275,"CRH-US^P_BETA_LOCIDX(44964,44789,,\"SPX\")":1.2235464,"CRH-US^P_BETA_LOCIDX(45839,45663,,\"SPX\")":1.2772586,"CRH-US^P_BETA_LOCIDX(45140,44965,,\"SPX\")":1.054042,"CRH-US^P_BETA_LOCIDX(45327,45152,,\"SPX\")":1.2012508,"CRH-US^P_BETA_LOCIDX(45335,45160,,\"SPX\")":1.2124374,"CRH-US^P_BETA_LOCIDX(45440,45264,,\"SPX\")":1.3147686,"CRH-US^P_BETA_LOCIDX(45226,45054,,\"SPX\")":1.2365043,"CRH-US^P_BETA_LOCIDX(44972,44797,,\"SPX\")":1.2109053,"CRH-US^P_BETA_LOCIDX(46031,45859,,\"SPX\")":1.2020928,"CRH-US^P_BETA_LOCIDX(45791,45614,,\"SPX\")":1.2707672,"CRH-US^P_BETA_LOCIDX(45197,45022,,\"SPX\")":1.000379,"CRH-US^P_BETA_LOCIDX(45028,44852,,\"SPX\")":1.1426725,"CRH-US^P_BETA_LOCIDX(45454,45278,,\"SPX\")":1.2637664,"CRH-US^P_BETA_LOCIDX(45728,45552,,\"SPX\")":1.2837346,"CRH-US^P_BETA_LOCIDX(45915,45741,,\"SPX\")":1.2209971,"CRH-US^P_BETA_LOCIDX(45630,45456,,\"SPX\")":1.2546688,"CRH-US^P_BETA_LOCIDX(45567,45393,,\"SPX\")":1.3946474,"CRH-US^P_BETA_LOCIDX(45182,45007,,\"SPX\")":0.9570064,"CRH-US^P_BETA_LOCIDX(45520,45348,,\"SPX\")":1.4659654,"CRH-US^P_BETA_LOCIDX(45434,45259,,\"SPX\")":1.3258418,"CRH-US^P_BETA_LOCIDX(45170,44998,,\"SPX\")":1.0499427,"CRH-US^P_BETA_LOCIDX(45525,45351,,\"SPX\")":1.4785701,"CRH-US^P_BETA_LOCIDX(45996,45828,,\"SPX\")":1.1523645,"CRH-US^P_BETA_LOCIDX(45706,45527,,\"SPX\")":1.0859075,"CRH-US^P_BETA_LOCIDX(45923,45749,,\"SPX\")":1.1893994,"CRH-US^P_BETA_LOCIDX(45992,45819,,\"SPX\")":1.1936033,"CRH-US^P_BETA_LOCIDX(45370,45195,,\"SPX\")":1.2026079,"CRH-US^P_BETA_LOCIDX(46013,45841,,\"SPX\")":1.0997784,"CRH-US^P_BETA_LOCIDX(45733,45555,,\"SPX\")":1.2961973,"CRH-US^P_BETA_LOCIDX(45818,45639,,\"SPX\")":1.2514861,"CRH-US^P_BETA_LOCIDX(45239,45065,,\"SPX\")":1.2537434,"CRH-US^P_BETA_LOCIDX(45049,44873,,\"SPX\")":1.0756124,"CRH-US^P_BETA_LOCIDX(45736,45560,,\"SPX\")":1.3192586,"CRH-US^P_BETA_LOCIDX(46007,45839,,\"SPX\")":1.0666536,"CRH-US^P_BETA_LOCIDX(45943,45771,,\"SPX\")":1.2879112,"CRH-US^P_BETA_LOCIDX(45999,45831,,\"SPX\")":1.0951933,"CRH-US^P_BETA_LOCIDX(45994,45825,,\"SPX\")":1.1561034,"CRH-US^P_BETA_LOCIDX(45916,45742,,\"SPX\")":1.221424,"CRH-US^P_BETA_LOCIDX(45406,45230,,\"SPX\")":1.0985289,"CRH-US^P_BETA_LOCIDX(45401,45225,,\"SPX\")":1.1291672,"CRH-US^P_BETA_LOCIDX(45799,45622,,\"SPX\")":1.2693324,"CRH-US^P_BETA_LOCIDX(45289,45118,,\"SPX\")":1.1997889,"CRH-US^P_BETA_LOCIDX(45993,45820,,\"SPX\")":1.1792523,"CRH-US^P_BETA_LOCIDX(45953,45783,,\"SPX\")":1.2102294,"CRH-US^P_BETA_LOCIDX(45408,45232,,\"SPX\")":1.0450113,"CRH-US^P_BETA_LOCIDX(45539,45364,,\"SPX\")":1.4578234,"CRH-US^P_BETA_LOCIDX(45198,45026,,\"SPX\")":1.0074145,"CRH-US^P_BETA_LOCIDX(45723,45547,,\"SPX\")":1.2751284,"CRH-US^P_BETA_LOCIDX(45008,44833,,\"SPX\")":1.1978712,"CRH-US^P_BETA_LOCIDX(45553,45378,,\"SPX\")":1.3472294,"CRH-US^P_BETA_LOCIDX(45952,45782,,\"SPX\")":1.202948,"CRH-US^P_BETA_LOCIDX(44958,44783,,\"SPX\")":1.204923,"CRH-US^P_BETA_LOCIDX(45149,44974,,\"SPX\")":1.052433,"CRH-US^P_BETA_LOCIDX(45554,45379,,\"SPX\")":1.382266,"CRH-US^P_BETA_LOCIDX(45391,45215,,\"SPX\")":1.1515815,"CRH-US^P_BETA_LOCIDX(45187,45012,,\"SPX\")":1.0641016,"CRH-US^P_BETA_LOCIDX(45764,45588,,\"SPX\")":1.2405285,"CRH-US^P_BETA_LOCIDX(45944,45772,,\"SPX\")":1.2323623,"CRH-US^P_BETA_LOCIDX(45548,45373,,\"SPX\")":1.3414888,"CRH-US^P_BETA_LOCIDX(45621,45448,,\"SPX\")":1.2683314,"CRH-US^P_BETA_LOCIDX(45939,45768,,\"SPX\")":1.3901172,"CRH-US^P_BETA_LOCIDX(45819,45642,,\"SPX\")":1.2529701,"CRS-US^P_BETA_LOCIDX(46028,45856,,\"SPX\")":1.2648057,"CRS-US^P_BETA_LOCIDX(46002,45831,,\"SPX\")":1.3050616,"CRS-US^P_BETA_LOCIDX(45979,45806,,\"SPX\")":1.0698507,"CRS-US^P_BETA_LOCIDX(45957,45783,,\"SPX\")":1.0901287,"CRS-US^P_BETA_LOCIDX(45933,45758,,\"SPX\")":1.1560559,"CRS-US^P_BETA_LOCIDX(45911,45736,,\"SPX\")":1.5215828,"CRS-US^P_BETA_LOCIDX(45888,45714,,\"SPX\")":1.5669516,"CRS-US^P_BETA_LOCIDX(45866,45691,,\"SPX\")":1.6258212,"CRS-US^P_BETA_LOCIDX(45841,45665,,\"SPX\")":1.6103954,"CRS-US^P_BETA_LOCIDX(45818,45639,,\"SPX\")":1.6181633,"CRS-US^P_BETA_LOCIDX(45793,45616,,\"SPX\")":1.6430769,"CRS-US^P_BETA_LOCIDX(45771,45594,,\"SPX\")":1.7467673,"CRS-US^P_BETA_LOCIDX(45748,45572,,\"SPX\")":1.7965697,"CRS-US^P_BETA_LOCIDX(45726,45548,,\"SPX\")":1.7879415,"CRS-US^P_BETA_LOCIDX(45701,45525,,\"SPX\")":1.8099275,"CRS-US^P_BETA_LOCIDX(45679,45503,,\"SPX\")":1.7310483,"CRS-US^P_BETA_LOCIDX(46027,45855,,\"SPX\")":1.301538,"CRS-US^P_BETA_LOCIDX(46001,45828,,\"SPX\")":1.2887601,"CRS-US^P_BETA_LOCIDX(45978,45805,,\"SPX\")":1.0376434,"CRS-US^P_BETA_LOCIDX(46024,45854,,\"SPX\")":1.303247,"CRS-US^P_BETA_LOCIDX(46000,45826,,\"SPX\")":1.2863973,"CRS-US^P_BETA_LOCIDX(46021,45849,,\"SPX\")":1.2751157,"CRS-US^P_BETA_LOCIDX(45996,45824,,\"SPX\")":1.2304047,"CRS-US^P_BETA_LOCIDX(45973,45799,,\"SPX\")":1.060309,"CRS-US^P_BETA_LOCIDX(46020,45848,,\"SPX\")":1.2659242,"CRS-US^P_BETA_LOCIDX(45995,45821,,\"SPX\")":1.2044796,"CRS-US^P_BETA_LOCIDX(45972,45798,,\"SPX\")":1.0803355,"CRS-US^P_BETA_LOCIDX(46043,45873,,\"SPX\")":1.2975065,"CRS-US^P_BETA_LOCIDX(46017,45847,,\"SPX\")":1.2444278,"CRS-US^P_BETA_LOCIDX(45994,45820,,\"SPX\")":1.2082405,"CRS-US^P_BETA_LOCIDX(45971,45797,,\"SPX\")":1.0833372,"CRS-US^P_BETA_LOCIDX(46037,45867,,\"SPX\")":1.2873317,"CRS-US^P_BETA_LOCIDX(46013,45840,,\"SPX\")":1.2431414,"CRS-US^P_BETA_LOCIDX(45989,45817,,\"SPX\")":1.1879402,"CRS-US^P_BETA_LOCIDX(45966,45792,,\"SPX\")":1.155765,"CRS-US^P_BETA_LOCIDX(45944,45770,,\"SPX\")":1.1625789,"CRS-US^P_BETA_LOCIDX(45922,45747,,\"SPX\")":1.4840959,"CRS-US^P_BETA_LOCIDX(45897,45723,,\"SPX\")":1.5385072,"CRS-US^P_BETA_LOCIDX(45875,45700,,\"SPX\")":1.5789652,"CRS-US^P_BETA_LOCIDX(45853,45678,,\"SPX\")":1.6312416,"CRS-US^P_BETA_LOCIDX(45828,45650,,\"SPX\")":1.6081451,"CRS-US^P_BETA_LOCIDX(45805,45628,,\"SPX\")":1.6337216,"CRS-US^P_BETA_LOCIDX(45782,45603,,\"SPX\")":1.6641226,"CRS-US^P_BETA_LOCIDX(45757,45581,,\"SPX\")":1.7512926,"CRS-US^P_BETA_LOCIDX(45735,45559,,\"SPX\")":1.7388883,"CRS-US^P_BETA_LOCIDX(45713,45534,,\"SPX\")":1.8789072,"CRS-US^P_BETA_LOCIDX(45688,45512,,\"SPX\")":1.7877952,"CRS-US^P_BETA_LOCIDX(45664,45490,,\"SPX\")":1.7375575,"CRS-US^P_BETA_LOCIDX(45638,45467,,\"SPX\")":1.7399622,"CRS-US^P_BETA_LOCIDX(45615,45442,,\"SPX\")":1.7220366,"CRS-US^P_BETA_LOCIDX(45593,45419,,\"SPX\")":1.492525,"CRS-US^P_BETA_LOCIDX(45569,45397,,\"SPX\")":1.3764284,"CRS-US^P_BETA_LOCIDX(45547,45372,,\"SPX\")":1.2926344,"CRS-US^P_BETA_LOCIDX(45524,45350,,\"SPX\")":1.0612924,"CRS-US^P_BETA_LOCIDX(45502,45327,,\"SPX\")":1.0138464,"CRS-US^P_BETA_LOCIDX(45478,45302,,\"SPX\")":0.9900128,"CRS-US^P_BETA_LOCIDX(45454,45278,,\"SPX\")":1.0402321,"CRS-US^P_BETA_LOCIDX(45429,45254,,\"SPX\")":0.9737793,"CRS-US^P_BETA_LOCIDX(45407,45231,,\"SPX\")":1.1367234,"CRS-US^P_BETA_LOCIDX(45385,45209,,\"SPX\")":1.2608446,"CRS-US^P_BETA_LOCIDX(45362,45187,,\"SPX\")":1.3320701,"CRS-US^P_BETA_LOCIDX(45337,45162,,\"SPX\")":1.3799134,"CRS-US^P_BETA_LOCIDX(45315,45140,,\"SPX\")":1.376317,"CRS-US^P_BETA_LOCIDX(45289,45118,,\"SPX\")":1.2717074,"CRS-US^P_BETA_LOCIDX(45266,45092,,\"SPX\")":1.2988478,"CRS-US^P_BETA_LOCIDX(45243,45069,,\"SPX\")":1.3504416,"CRS-US^P_BETA_LOCIDX(45219,45047,,\"SPX\")":1.5282216,"CRS-US^P_BETA_LOCIDX(45197,45022,,\"SPX\")":1.5817611,"CRS-US^P_BETA_LOCIDX(45175,45000,,\"SPX\")":1.8826338,"CRS-US^P_BETA_LOCIDX(45152,44978,,\"SPX\")":1.8720039,"CRS-US^P_BETA_LOCIDX(45128,44953,,\"SPX\")":1.8087938,"CRS-US^P_BETA_LOCIDX(45105,44930,,\"SPX\")":1.7760983,"CRS-US^P_BETA_LOCIDX(45082,44904,,\"SPX\")":1.8768299,"CRS-US^P_BETA_LOCIDX(45057,44881,,\"SPX\")":1.6627429,"CRS-US^P_BETA_LOCIDX(45035,44859,,\"SPX\")":1.4040858,"CRS-US^P_BETA_LOCIDX(45012,44837,,\"SPX\")":1.39792,"CRS-US^P_BETA_LOCIDX(44988,44813,,\"SPX\")":1.4113886,"CRS-US^P_BETA_LOCIDX(44965,44790,,\"SPX\")":1.4434607,"CRS-US^P_BETA_LOCIDX(46035,45863,,\"SPX\")":1.2913332,"CRS-US^P_BETA_LOCIDX(46009,45838,,\"SPX\")":1.2297117,"CRS-US^P_BETA_LOCIDX(45986,45813,,\"SPX\")":1.197782,"CRS-US^P_BETA_LOCIDX(45964,45790,,\"SPX\")":1.1689502,"CRS-US^P_BETA_LOCIDX(45940,45768,,\"SPX\")":1.2400753,"CRS-US^P_BETA_LOCIDX(45918,45743,,\"SPX\")":1.4872347,"CRS-US^P_BETA_LOCIDX(45895,45721,,\"SPX\")":1.5759178,"CRS-US^P_BETA_LOCIDX(45873,45698,,\"SPX\")":1.5911106,"CRS-US^P_BETA_LOCIDX(45849,45673,,\"SPX\")":1.6343886,"CRS-US^P_BETA_LOCIDX(45825,45646,,\"SPX\")":1.6020576,"CRS-US^P_BETA_LOCIDX(45800,45623,,\"SPX\")":1.6311896,"CRS-US^P_BETA_LOCIDX(45778,45601,,\"SPX\")":1.7147583,"CRS-US^P_BETA_LOCIDX(45755,45579,,\"SPX\")":1.8336852,"CRS-US^P_BETA_LOCIDX(45733,45555,,\"SPX\")":1.7055384,"CRS-US^P_BETA_LOCIDX(45709,45532,,\"SPX\")":1.9130188,"CRS-US^P_BETA_LOCIDX(45686,45510,,\"SPX\")":1.860447,"CRS-US^P_BETA_LOCIDX(45660,45488,,\"SPX\")":1.7562697,"CRS-US^P_BETA_LOCIDX(45636,45463,,\"SPX\")":1.7520853,"CRS-US^P_BETA_LOCIDX(45611,45440,,\"SPX\")":1.7067574,"CRS-US^P_BETA_LOCIDX(45589,45415,,\"SPX\")":1.4645985,"CRS-US^P_BETA_LOCIDX(45567,45393,,\"SPX\")":1.3578401,"CRS-US^P_BETA_LOCIDX(45545,45370,,\"SPX\")":1.2927696,"CRS-US^P_BETA_LOCIDX(45520,45348,,\"SPX\")":1.0661911,"CRS-US^P_BETA_LOCIDX(45498,45323,,\"SPX\")":0.88343155,"CRS-US^P_BETA_LOCIDX(45475,45300,,\"SPX\")":1.0537505,"CRS-US^P_BETA_LOCIDX(45450,45274,,\"SPX\")":1.047145,"CRS-US^P_BETA_LOCIDX(45427,45251,,\"SPX\")":0.9815661,"CRS-US^P_BETA_LOCIDX(45405,45229,,\"SPX\")":1.1385478,"CRS-US^P_BETA_LOCIDX(45953,45779,,\"SPX\")":1.1302869,"CRS-US^P_BETA_LOCIDX(45919,45744,,\"SPX\")":1.4796042,"CRS-US^P_BETA_LOCIDX(45884,45712,,\"SPX\")":1.5572336,"CRS-US^P_BETA_LOCIDX(45817,45638,,\"SPX\")":1.6284186,"CRS-US^P_BETA_LOCIDX(45645,45474,,\"SPX\")":1.7240055,"CRS-US^P_BETA_LOCIDX(45581,45407,,\"SPX\")":1.310192,"CRS-US^P_BETA_LOCIDX(45551,45376,,\"SPX\")":1.2933166,"CRS-US^P_BETA_LOCIDX(45453,45275,,\"SPX\")":1.0455656,"CRS-US^P_BETA_LOCIDX(45420,45244,,\"SPX\")":0.91877556,"CRS-US^P_BETA_LOCIDX(45357,45182,,\"SPX\")":1.3189267,"CRS-US^P_BETA_LOCIDX(45328,45153,,\"SPX\")":1.2303073,"CRS-US^P_BETA_LOCIDX(45299,45125,,\"SPX\")":1.2364544,"CRS-US^P_BETA_LOCIDX(45238,45064,,\"SPX\")":1.395448,"CRS-US^P_BETA_LOCIDX(45184,45009,,\"SPX\")":1.7495294,"CRS-US^P_BETA_LOCIDX(45132,44957,,\"SPX\")":1.8123233,"CRS-US^P_BETA_LOCIDX(45103,44925,,\"SPX\")":1.8007922,"CRS-US^P_BETA_LOCIDX(45047,44869,,\"SPX\")":1.521753,"CRS-US^P_BETA_LOCIDX(44993,44818,,\"SPX\")":1.3871686,"CRS-US^P_BETA_LOCIDX(45356,45181,,\"SPX\")":1.294468,"CRS-US^P_BETA_LOCIDX(45100,44924,,\"SPX\")":1.7915926,"CRS-US^P_BETA_LOCIDX(46042,45870,,\"SPX\")":1.1613673,"CRS-US^P_BETA_LOCIDX(45993,45819,,\"SPX\")":1.211959,"CRS-US^P_BETA_LOCIDX(45952,45778,,\"SPX\")":0.9994827,"CRS-US^P_BETA_LOCIDX(45883,45709,,\"SPX\")":1.5788236,"CRS-US^P_BETA_LOCIDX(45852,45674,,\"SPX\")":1.6355202,"CRS-US^P_BETA_LOCIDX(45783,45604,,\"SPX\")":1.6761218,"CRS-US^P_BETA_LOCIDX(45749,45573,,\"SPX\")":1.8192981,"CRS-US^P_BETA_LOCIDX(45715,45539,,\"SPX\")":1.7289436,"CRS-US^P_BETA_LOCIDX(45681,45505,,\"SPX\")":1.7427506,"CRS-US^P_BETA_LOCIDX(45644,45471,,\"SPX\")":1.7144614,"CRS-US^P_BETA_LOCIDX(45610,45436,,\"SPX\")":1.7696395,"CRS-US^P_BETA_LOCIDX(45517,45343,,\"SPX\")":1.0414313,"CRH-US^P_BETA_LOCIDX(44956,44781,,\"SPX\")":1.2042937,"CRH-US^P_BETA_LOCIDX(44953,44778,,\"SPX\")":1.2089975,"CRH-US^P_BETA_LOCIDX(44952,44777,,\"SPX\")":1.2084668,"CRH-US^P_BETA_LOCIDX(44951,44776,,\"SPX\")":1.2097951,"CRH-US^P_BETA_LOCIDX(44950,44775,,\"SPX\")":1.2145661,"CRH-US^P_BETA_LOCIDX(44949,44774,,\"SPX\")":1.2151493,"CRH-US^P_BETA_LOCIDX(44946,44771,,\"SPX\")":1.21901,"CRH-US^P_BETA_LOCIDX(44945,44770,,\"SPX\")":1.230016,"CRH-US^P_BETA_LOCIDX(44944,44769,,\"SPX\")":1.2392237,"CRH-US^P_BETA_LOCIDX(44943,44768,,\"SPX\")":1.2449257,"CRH-US^P_BETA_LOCIDX(44939,44767,,\"SPX\")":1.2446722,"CRH-US^P_BETA_LOCIDX(44938,44764,,\"SPX\")":1.2408336,"CRH-US^P_BETA_LOCIDX(44937,44763,,\"SPX\")":1.240657,"CRH-US^P_BETA_LOCIDX(44936,44762,,\"SPX\")":1.2318437,"CRH-US^P_BETA_LOCIDX(44935,44761,,\"SPX\")":1.2450085,"CRH-US^P_BETA_LOCIDX(44932,44760,,\"SPX\")":1.241188,"CRH-US^P_BETA_LOCIDX(44931,44757,,\"SPX\")":1.2311411,"CRH-US^P_BETA_LOCIDX(44930,44756,,\"SPX\")":1.2286605,"CRH-US^P_BETA_LOCIDX(44929,44755,,\"SPX\")":1.2191637,"CRH-US^P_BETA_LOCIDX(44925,44754,,\"SPX\")":1.2192043,"CRH-US^P_BETA_LOCIDX(44924,44753,,\"SPX\")":1.2176385,"CRH-US^P_BETA_LOCIDX(44923,44750,,\"SPX\")":1.2232583,"CRH-US^P_BETA_LOCIDX(44922,44749,,\"SPX\")":1.2182051,"CRH-US^P_BETA_LOCIDX(44918,44748,,\"SPX\")":1.2192385,"CRH-US^P_BETA_LOCIDX(44917,44747,,\"SPX\")":1.21713,"CRH-US^P_BETA_LOCIDX(44916,44743,,\"SPX\")":1.2176254,"CRH-US^P_BETA_LOCIDX(44915,44742,,\"SPX\")":1.2146719,"CRH-US^P_BETA_LOCIDX(44914,44741,,\"SPX\")":1.2144513,"CRH-US^P_BETA_LOCIDX(44911,44740,,\"SPX\")":1.2174065,"CRH-US^P_BETA_LOCIDX(44910,44739,,\"SPX\")":1.2212427,"CRH-US^P_BETA_LOCIDX(44909,44736,,\"SPX\")":1.2025504,"CRH-US^P_BETA_LOCIDX(44908,44735,,\"SPX\")":1.1995728,"CRH-US^P_BETA_LOCIDX(44907,44734,,\"SPX\")":1.1983807,"CRH-US^P_BETA_LOCIDX(44904,44733,,\"SPX\")":1.159505,"CRH-US^P_BETA_LOCIDX(44903,44729,,\"SPX\")":1.1647305,"CRH-US^P_BETA_LOCIDX(44902,44728,,\"SPX\")":1.142582,"CRH-US^P_BETA_LOCIDX(44901,44727,,\"SPX\")":1.1440921,"CRH-US^P_BETA_LOCIDX(44900,44726,,\"SPX\")":1.1501566,"CRH-US^P_BETA_LOCIDX(44897,44725,,\"SPX\")":1.1401099,"CRH-US^P_BETA_LOCIDX(44896,44722,,\"SPX\")":1.174956,"CRH-US^P_BETA_LOCIDX(44895,44721,,\"SPX\")":1.1651534,"CRH-US^P_BETA_LOCIDX(44894,44720,,\"SPX\")":1.2032325,"CRH-US^P_BETA_LOCIDX(44893,44719,,\"SPX\")":1.2019415,"CRH-US^P_BETA_LOCIDX(44890,44718,,\"SPX\")":1.1977583,"CRH-US^P_BETA_LOCIDX(44888,44715,,\"SPX\")":1.1950003,"CRH-US^P_BETA_LOCIDX(44887,44714,,\"SPX\")":1.1969725,"CRH-US^P_BETA_LOCIDX(44886,44713,,\"SPX\")":1.2047358,"CRH-US^P_BETA_LOCIDX(44883,44712,,\"SPX\")":1.2053725,"CRH-US^P_BETA_LOCIDX(44882,44708,,\"SPX\")":1.191661,"CRH-US^P_BETA_LOCIDX(44881,44707,,\"SPX\")":1.184524,"CRH-US^P_BETA_LOCIDX(44880,44706,,\"SPX\")":1.1833975,"CRH-US^P_BETA_LOCIDX(44879,44705,,\"SPX\")":1.1811571,"CRH-US^P_BETA_LOCIDX(44876,44704,,\"SPX\")":1.1746646,"CRH-US^P_BETA_LOCIDX(44875,44701,,\"SPX\")":1.1689473,"CRH-US^P_BETA_LOCIDX(44874,44700,,\"SPX\")":1.1312919,"CRH-US^P_BETA_LOCIDX(44873,44699,,\"SPX\")":1.1186848,"CRH-US^P_BETA_LOCIDX(44872,44698,,\"SPX\")":1.1346861,"CRH-US^P_BETA_LOCIDX(44869,44697,,\"SPX\")":1.1385483,"CRH-US^P_BETA_LOCIDX(44868,44694,,\"SPX\")":1.1216245,"CRH-US^P_BETA_LOCIDX(44867,44693,,\"SPX\")":1.1314542,"CRH-US^P_BETA_LOCIDX(44866,44692,,\"SPX\")":1.1180162,"CRH-US^P_BETA_LOCIDX(44865,44691,,\"SPX\")":1.1179757,"CRH-US^P_BETA_LOCIDX(44862,44690,,\"SPX\")":1.1028931,"CRH-US^P_BETA_LOCIDX(44861,44687,,\"SPX\")":1.0933615,"CRH-US^P_BETA_LOCIDX(44860,44686,,\"SPX\")":1.0998174,"CRH-US^P_BETA_LOCIDX(44859,44685,,\"SPX\")":1.090981,"CRH-US^P_BETA_LOCIDX(44858,44684,,\"SPX\")":1.0883456,"CRH-US^P_BETA_LOCIDX(44855,44683,,\"SPX\")":1.085933,"CRH-US^P_BETA_LOCIDX(44854,44680,,\"SPX\")":1.0728747,"CRH-US^P_BETA_LOCIDX(44853,44679,,\"SPX\")":1.0662199,"CRH-US^P_BETA_LOCIDX(44852,44678,,\"SPX\")":1.0653558,"CRH-US^P_BETA_LOCIDX(44851,44677,,\"SPX\")":1.0656173,"CRH-US^P_BETA_LOCIDX(44848,44676,,\"SPX\")":1.0503478,"CRH-US^P_BETA_LOCIDX(44847,44673,,\"SPX\")":1.0367146,"CRH-US^P_BETA_LOCIDX(44846,44672,,\"SPX\")":1.0324999,"CRH-US^P_BETA_LOCIDX(44845,44671,,\"SPX\")":1.0344895,"CRH-US^P_BETA_LOCIDX(44844,44670,,\"SPX\")":1.0361428,"CRH-US^P_BETA_LOCIDX(44841,44669,,\"SPX\")":1.0395468,"CRH-US^P_BETA_LOCIDX(44840,44665,,\"SPX\")":1.0372854,"CRH-US^P_BETA_LOCIDX(44839,44664,,\"SPX\")":1.0373172,"CRH-US^P_BETA_LOCIDX(44838,44663,,\"SPX\")":1.0376346,"CRH-US^P_BETA_LOCIDX(44837,44662,,\"SPX\")":0.9944604,"CRH-US^P_BETA_LOCIDX(44834,44659,,\"SPX\")":0.9970993,"CRH-US^P_BETA_LOCIDX(44833,44658,,\"SPX\")":1.0048599,"CRH-US^P_BETA_LOCIDX(44832,44657,,\"SPX\")":1.0127366,"CRH-US^P_BETA_LOCIDX(44831,44656,,\"SPX\")":1.0105476,"CRH-US^P_BETA_LOCIDX(44830,44655,,\"SPX\")":1.0079198,"CRH-US^P_BETA_LOCIDX(44827,44652,,\"SPX\")":1.008234,"CRH-US^P_BETA_LOCIDX(44826,44651,,\"SPX\")":0.9979099,"CRH-US^P_BETA_LOCIDX(44825,44650,,\"SPX\")":1.0028472,"CRH-US^P_BETA_LOCIDX(44824,44649,,\"SPX\")":1.0114475,"CRH-US^P_BETA_LOCIDX(44823,44648,,\"SPX\")":0.9939856,"CRH-US^P_BETA_LOCIDX(44820,44645,,\"SPX\")":0.9887608,"CRH-US^P_BETA_LOCIDX(44819,44644,,\"SPX\")":0.98686343,"CRH-US^P_BETA_LOCIDX(44818,44643,,\"SPX\")":0.9963186,"CRH-US^P_BETA_LOCIDX(44817,44642,,\"SPX\")":0.9887781,"CRH-US^P_BETA_LOCIDX(44816,44641,,\"SPX\")":0.98210824,"CRH-US^P_BETA_LOCIDX(44813,44638,,\"SPX\")":0.97851217,"CRH-US^P_BETA_LOCIDX(44812,44637,,\"SPX\")":0.9797669,"CRH-US^P_BETA_LOCIDX(44811,44636,,\"SPX\")":0.97059286,"CRH-US^P_BETA_LOCIDX(44810,44635,,\"SPX\")":0.96702296,"CRH-US^P_BETA_LOCIDX(44806,44634,,\"SPX\")":0.9556221,"CRH-US^P_BETA_LOCIDX(44805,44631,,\"SPX\")":0.9470356,"CRH-US^P_BETA_LOCIDX(44804,44630,,\"SPX\")":0.9554127,"CRH-US^P_BETA_LOCIDX(44803,44629,,\"SPX\")":1.0086937,"CRH-US^P_BETA_LOCIDX(44802,44628,,\"SPX\")":1.003762,"CRH-US^P_BETA_LOCIDX(44799,44627,,\"SPX\")":1.0065306,"CRH-US^P_BETA_LOCIDX(44798,44624,,\"SPX\")":1.0315439,"CRH-US^P_BETA_LOCIDX(44797,44623,,\"SPX\")":1.0224309,"CRH-US^P_BETA_LOCIDX(44796,44622,,\"SPX\")":1.0277593,"CRH-US^P_BETA_LOCIDX(44795,44621,,\"SPX\")":1.0381908,"CRH-US^P_BETA_LOCIDX(44792,44620,,\"SPX\")":1.0332258,"CRH-US^P_BETA_LOCIDX(44791,44617,,\"SPX\")":1.0424881,"CRH-US^P_BETA_LOCIDX(44790,44616,,\"SPX\")":1.0131687,"CRH-US^P_BETA_LOCIDX(44789,44615,,\"SPX\")":1.0227185,"CRH-US^P_BETA_LOCIDX(44788,44614,,\"SPX\")":1.0242217,"CRH-US^P_BETA_LOCIDX(44785,44610,,\"SPX\")":1.023994,"CRH-US^P_BETA_LOCIDX(44784,44609,,\"SPX\")":1.0310898,"CRH-US^P_BETA_LOCIDX(44783,44608,,\"SPX\")":1.0317174,"CRH-US^P_BETA_LOCIDX(44782,44607,,\"SPX\")":1.032944,"CRH-US^P_BETA_LOCIDX(44781,44606,,\"SPX\")":1.0348355,"CRH-US^P_BETA_LOCIDX(44778,44603,,\"SPX\")":1.0327667,"CRH-US^P_BETA_LOCIDX(44777,44602,,\"SPX\")":1.0265245,"CRH-US^P_BETA_LOCIDX(44776,44601,,\"SPX\")":1.0284907,"CRH-US^P_BETA_LOCIDX(44775,44600,,\"SPX\")":1.0252016,"CRH-US^P_BETA_LOCIDX(44774,44599,,\"SPX\")":1.0222028,"CRH-US^P_BETA_LOCIDX(45113,44937,,\"SPX\")":1.0493939,"VMI-US^P_BETA_LOCIDX(45841,45665,,\"SPX\")":1.0332437,"VMI-US^P_BETA_LOCIDX(45840,45664,,\"SPX\")":1.0312144,"VMI-US^P_BETA_LOCIDX(45839,45663,,\"SPX\")":1.027056,"VMI-US^P_BETA_LOCIDX(45838,45660,,\"SPX\")":1.0293741,"VMI-US^P_BETA_LOCIDX(45835,45659,,\"SPX\")":1.034087,"VMI-US^P_BETA_LOCIDX(45834,45657,,\"SPX\")":1.0335081,"VMI-US^P_BETA_LOCIDX(45833,45656,,\"SPX\")":1.0264711,"VMI-US^P_BETA_LOCIDX(45832,45653,,\"SPX\")":1.0272031,"VMI-US^P_BETA_LOCIDX(45831,45652,,\"SPX\")":1.029665,"VMI-US^P_BETA_LOCIDX(45828,45650,,\"SPX\")":1.0272971,"VMI-US^P_BETA_LOCIDX(45826,45649,,\"SPX\")":1.0252104,"VMI-US^P_BETA_LOCIDX(45825,45646,,\"SPX\")":1.0233301,"VMI-US^P_BETA_LOCIDX(45824,45645,,\"SPX\")":1.0232575,"VMI-US^P_BETA_LOCIDX(45821,45644,,\"SPX\")":1.036006,"VMI-US^P_BETA_LOCIDX(45820,45643,,\"SPX\")":1.0379559,"VMI-US^P_BETA_LOCIDX(45819,45642,,\"SPX\")":1.038364,"VMI-US^P_BETA_LOCIDX(45818,45639,,\"SPX\")":1.038567,"VMI-US^P_BETA_LOCIDX(45817,45638,,\"SPX\")":1.0404565,"VMI-US^P_BETA_LOCIDX(45814,45637,,\"SPX\")":1.0376675,"VMI-US^P_BETA_LOCIDX(45813,45636,,\"SPX\")":1.0392234,"VMI-US^P_BETA_LOCIDX(45812,45635,,\"SPX\")":1.0398465,"VMI-US^P_BETA_LOCIDX(45811,45632,,\"SPX\")":1.0379317,"VMI-US^P_BETA_LOCIDX(45810,45631,,\"SPX\")":1.0358933,"VMI-US^P_BETA_LOCIDX(45807,45630,,\"SPX\")":1.0371457,"VMI-US^P_BETA_LOCIDX(45806,45629,,\"SPX\")":1.0370345,"VMI-US^P_BETA_LOCIDX(45805,45628,,\"SPX\")":1.0378578,"VMI-US^P_BETA_LOCIDX(45804,45625,,\"SPX\")":1.0340028,"VMI-US^P_BETA_LOCIDX(45800,45623,,\"SPX\")":1.0299306,"VMI-US^P_BETA_LOCIDX(45799,45622,,\"SPX\")":1.0314119,"VMI-US^P_BETA_LOCIDX(45798,45621,,\"SPX\")":1.0335886,"VMI-US^P_BETA_LOCIDX(45797,45618,,\"SPX\")":1.0323552,"VMI-US^P_BETA_LOCIDX(45796,45617,,\"SPX\")":1.0299757,"VMI-US^P_BETA_LOCIDX(45793,45616,,\"SPX\")":1.0301683,"VMI-US^P_BETA_LOCIDX(45792,45615,,\"SPX\")":1.0266252,"VMI-US^P_BETA_LOCIDX(45791,45614,,\"SPX\")":1.0270052,"VMI-US^P_BETA_LOCIDX(45790,45611,,\"SPX\")":1.0238575,"VMI-US^P_BETA_LOCIDX(45789,45610,,\"SPX\")":1.0248822,"VMI-US^P_BETA_LOCIDX(45786,45609,,\"SPX\")":1.0164919,"VMI-US^P_BETA_LOCIDX(45785,45608,,\"SPX\")":1.0170116,"VMI-US^P_BETA_LOCIDX(45784,45607,,\"SPX\")":1.0132401,"VMI-US^P_BETA_LOCIDX(45783,45604,,\"SPX\")":1.0141987,"VMI-US^P_BETA_LOCIDX(45782,45603,,\"SPX\")":1.00536,"VMI-US^P_BETA_LOCIDX(45779,45602,,\"SPX\")":1.045961,"VMI-US^P_BETA_LOCIDX(45778,45601,,\"SPX\")":1.0426321,"VMI-US^P_BETA_LOCIDX(45777,45600,,\"SPX\")":1.0385895,"VMI-US^P_BETA_LOCIDX(45776,45597,,\"SPX\")":1.0405785,"VMI-US^P_BETA_LOCIDX(45775,45596,,\"SPX\")":1.0359133,"VMI-US^P_BETA_LOCIDX(45772,45595,,\"SPX\")":1.0368774,"VMI-US^P_BETA_LOCIDX(45771,45594,,\"SPX\")":1.0408769,"VMI-US^P_BETA_LOCIDX(45770,45593,,\"SPX\")":1.0345361,"VMI-US^P_BETA_LOCIDX(45769,45590,,\"SPX\")":1.025946,"VMI-US^P_BETA_LOCIDX(45768,45589,,\"SPX\")":1.0176128,"VMI-US^P_BETA_LOCIDX(45764,45588,,\"SPX\")":0.9772877,"VMI-US^P_BETA_LOCIDX(45763,45587,,\"SPX\")":0.97809833,"VMI-US^P_BETA_LOCIDX(45762,45586,,\"SPX\")":0.9920797,"VMI-US^P_BETA_LOCIDX(45761,45583,,\"SPX\")":0.98839426,"VMI-US^P_BETA_LOCIDX(45758,45582,,\"SPX\")":0.99072105,"VMI-US^P_BETA_LOCIDX(45757,45581,,\"SPX\")":0.9938087,"VMI-US^P_BETA_LOCIDX(45756,45580,,\"SPX\")":1.0051446,"VMI-US^P_BETA_LOCIDX(45755,45579,,\"SPX\")":1.1227586,"VMI-US^P_BETA_LOCIDX(45754,45576,,\"SPX\")":1.150212,"VMI-US^P_BETA_LOCIDX(45751,45575,,\"SPX\")":1.1495415,"VMI-US^P_BETA_LOCIDX(45750,45574,,\"SPX\")":1.2487236,"VMI-US^P_BETA_LOCIDX(45749,45573,,\"SPX\")":1.2176671,"VMI-US^P_BETA_LOCIDX(45748,45572,,\"SPX\")":1.1818615,"VMI-US^P_BETA_LOCIDX(45747,45569,,\"SPX\")":1.1792045,"VMI-US^P_BETA_LOCIDX(45744,45568,,\"SPX\")":1.1906844,"VMI-US^P_BETA_LOCIDX(45743,45567,,\"SPX\")":1.1717875,"VMI-US^P_BETA_LOCIDX(45742,45566,,\"SPX\")":1.169442,"VMI-US^P_BETA_LOCIDX(45741,45565,,\"SPX\")":1.1875374,"VMI-US^P_BETA_LOCIDX(45740,45562,,\"SPX\")":1.1875821,"VMI-US^P_BETA_LOCIDX(45737,45561,,\"SPX\")":1.143723,"VMI-US^P_BETA_LOCIDX(45736,45560,,\"SPX\")":1.1564232,"VMI-US^P_BETA_LOCIDX(45735,45559,,\"SPX\")":1.1526618,"VMI-US^P_BETA_LOCIDX(45734,45558,,\"SPX\")":1.1422229,"VMI-US^P_BETA_LOCIDX(45733,45555,,\"SPX\")":1.1399263,"VMI-US^P_BETA_LOCIDX(45730,45554,,\"SPX\")":1.1408291,"VMI-US^P_BETA_LOCIDX(45729,45553,,\"SPX\")":1.1395323,"VMI-US^P_BETA_LOCIDX(45728,45552,,\"SPX\")":1.1266888,"VMI-US^P_BETA_LOCIDX(45727,45551,,\"SPX\")":1.1218637,"VMI-US^P_BETA_LOCIDX(45726,45548,,\"SPX\")":1.1367557,"VMI-US^P_BETA_LOCIDX(45723,45547,,\"SPX\")":1.1338407,"VMI-US^P_BETA_LOCIDX(45722,45546,,\"SPX\")":1.133297,"VMI-US^P_BETA_LOCIDX(45721,45545,,\"SPX\")":1.1145911,"VMI-US^P_BETA_LOCIDX(45720,45544,,\"SPX\")":1.093387,"VMI-US^P_BETA_LOCIDX(45719,45541,,\"SPX\")":1.0561506,"VMI-US^P_BETA_LOCIDX(45716,45540,,\"SPX\")":1.0160755,"VMI-US^P_BETA_LOCIDX(45715,45539,,\"SPX\")":1.0237275,"VMI-US^P_BETA_LOCIDX(45714,45538,,\"SPX\")":1.0565538,"VMI-US^P_BETA_LOCIDX(45713,45534,,\"SPX\")":1.0527375,"VMI-US^P_BETA_LOCIDX(45712,45533,,\"SPX\")":1.0640676,"VMI-US^P_BETA_LOCIDX(45709,45532,,\"SPX\")":1.0620983,"VMI-US^P_BETA_LOCIDX(45708,45531,,\"SPX\")":1.0104483,"VMI-US^P_BETA_LOCIDX(45707,45530,,\"SPX\")":1.0065895,"VMI-US^P_BETA_LOCIDX(45706,45527,,\"SPX\")":1.0218564,"VMI-US^P_BETA_LOCIDX(45702,45526,,\"SPX\")":0.9813473,"VMI-US^P_BETA_LOCIDX(45701,45525,,\"SPX\")":0.98509735,"VMI-US^P_BETA_LOCIDX(45700,45524,,\"SPX\")":1.000429,"VMI-US^P_BETA_LOCIDX(45699,45523,,\"SPX\")":0.99365354,"VMI-US^P_BETA_LOCIDX(45698,45520,,\"SPX\")":0.9915073,"VMI-US^P_BETA_LOCIDX(45695,45519,,\"SPX\")":0.97392756,"VMI-US^P_BETA_LOCIDX(45694,45518,,\"SPX\")":0.9753207,"VMI-US^P_BETA_LOCIDX(45693,45517,,\"SPX\")":0.95319366,"VMI-US^P_BETA_LOCIDX(45692,45516,,\"SPX\")":0.9529639,"VMI-US^P_BETA_LOCIDX(45691,45513,,\"SPX\")":0.9498379,"VMI-US^P_BETA_LOCIDX(45688,45512,,\"SPX\")":0.9198197,"VMI-US^P_BETA_LOCIDX(45687,45511,,\"SPX\")":0.9161418,"VMI-US^P_BETA_LOCIDX(45686,45510,,\"SPX\")":0.90072066,"VMI-US^P_BETA_LOCIDX(45685,45509,,\"SPX\")":0.9052677,"VMI-US^P_BETA_LOCIDX(45684,45506,,\"SPX\")":0.92468363,"VMI-US^P_BETA_LOCIDX(45681,45505,,\"SPX\")":0.8990093,"VMI-US^P_BETA_LOCIDX(45680,45504,,\"SPX\")":0.86761576,"VMI-US^P_BETA_LOCIDX(45679,45503,,\"SPX\")":0.8618613,"VMI-US^P_BETA_LOCIDX(45678,45502,,\"SPX\")":0.86860245,"VMI-US^P_BETA_LOCIDX(45674,45499,,\"SPX\")":0.85945785,"VMI-US^P_BETA_LOCIDX(45673,45498,,\"SPX\")":0.8006218,"VMI-US^P_BETA_LOCIDX(45672,45497,,\"SPX\")":0.81708676,"VMI-US^P_BETA_LOCIDX(45671,45496,,\"SPX\")":0.781018,"VMI-US^P_BETA_LOCIDX(45670,45495,,\"SPX\")":0.7763169,"VMI-US^P_BETA_LOCIDX(45667,45492,,\"SPX\")":0.7852376,"VMI-US^P_BETA_LOCIDX(45665,45491,,\"SPX\")":0.78067696,"VMI-US^P_BETA_LOCIDX(45664,45490,,\"SPX\")":0.74946105,"VMI-US^P_BETA_LOCIDX(45663,45489,,\"SPX\")":0.7720277,"VMI-US^P_BETA_LOCIDX(45660,45488,,\"SPX\")":0.7759619,"VMI-US^P_BETA_LOCIDX(45659,45485,,\"SPX\")":0.77909887,"VMI-US^P_BETA_LOCIDX(45657,45484,,\"SPX\")":0.7498067,"VMI-US^P_BETA_LOCIDX(45656,45483,,\"SPX\")":0.7574245,"VMI-US^P_BETA_LOCIDX(45653,45482,,\"SPX\")":0.76068544,"VMI-US^P_BETA_LOCIDX(45652,45481,,\"SPX\")":0.7548668,"VMI-US^P_BETA_LOCIDX(45650,45478,,\"SPX\")":0.75035125,"VMI-US^P_BETA_LOCIDX(45649,45476,,\"SPX\")":0.74362,"VMI-US^P_BETA_LOCIDX(45646,45475,,\"SPX\")":0.74473304,"VMI-US^P_BETA_LOCIDX(45645,45474,,\"SPX\")":0.74142456,"VMI-US^P_BETA_LOCIDX(45644,45471,,\"SPX\")":0.7375488,"VMI-US^P_BETA_LOCIDX(45643,45470,,\"SPX\")":0.65863746,"VMI-US^P_BETA_LOCIDX(45642,45469,,\"SPX\")":0.6506958,"VMI-US^P_BETA_LOCIDX(45639,45468,,\"SPX\")":0.64680797,"VMI-US^P_BETA_LOCIDX(45638,45467,,\"SPX\")":0.6474844,"VMI-US^P_BETA_LOCIDX(45637,45464,,\"SPX\")":0.6431852,"VMI-US^P_BETA_LOCIDX(45636,45463,,\"SPX\")":0.65761095,"VMI-US^P_BETA_LOCIDX(45635,45461,,\"SPX\")":0.65274566,"VMI-US^P_BETA_LOCIDX(45632,45460,,\"SPX\")":0.6458346,"VMI-US^P_BETA_LOCIDX(45631,45457,,\"SPX\")":0.6503125,"VMI-US^P_BETA_LOCIDX(45630,45456,,\"SPX\")":0.64748144,"VMI-US^P_BETA_LOCIDX(45629,45455,,\"SPX\")":0.6652611,"VMI-US^P_BETA_LOCIDX(45628,45454,,\"SPX\")":0.6620478,"VMI-US^P_BETA_LOCIDX(45625,45453,,\"SPX\")":0.66723454,"VMI-US^P_BETA_LOCIDX(45623,45450,,\"SPX\")":0.6746111,"VMI-US^P_BETA_LOCIDX(45622,45449,,\"SPX\")":0.67348087,"VMI-US^P_BETA_LOCIDX(45621,45448,,\"SPX\")":0.6791765,"VMI-US^P_BETA_LOCIDX(45618,45447,,\"SPX\")":0.6741102,"VMI-US^P_BETA_LOCIDX(45617,45446,,\"SPX\")":0.67250746,"VMI-US^P_BETA_LOCIDX(45616,45443,,\"SPX\")":0.66981995,"VMI-US^P_BETA_LOCIDX(45615,45442,,\"SPX\")":0.6599789,"VMI-US^P_BETA_LOCIDX(45614,45441,,\"SPX\")":0.66729885,"VMI-US^P_BETA_LOCIDX(45611,45440,,\"SPX\")":0.6671968,"VMI-US^P_BETA_LOCIDX(45610,45436,,\"SPX\")":0.66144097,"VMI-US^P_BETA_LOCIDX(45609,45435,,\"SPX\")":0.6751593,"VMI-US^P_BETA_LOCIDX(45608,45434,,\"SPX\")":0.6708365,"VMI-US^P_BETA_LOCIDX(45607,45433,,\"SPX\")":0.66486573,"VMI-US^P_BETA_LOCIDX(45604,45432,,\"SPX\")":0.6650154,"VMI-US^P_BETA_LOCIDX(45603,45429,,\"SPX\")":0.66723806,"VMI-US^P_BETA_LOCIDX(45602,45428,,\"SPX\")":0.68869984,"VMI-US^P_BETA_LOCIDX(45601,45427,,\"SPX\")":0.52849406,"VMI-US^P_BETA_LOCIDX(45600,45426,,\"SPX\")":0.50714,"VMI-US^P_BETA_LOCIDX(45597,45425,,\"SPX\")":0.5121092,"VMI-US^P_BETA_LOCIDX(45596,45422,,\"SPX\")":0.509474,"VMI-US^P_BETA_LOCIDX(45595,45421,,\"SPX\")":0.50075406,"VMI-US^P_BETA_LOCIDX(45594,45420,,\"SPX\")":0.49041194,"VMI-US^P_BETA_LOCIDX(45593,45419,,\"SPX\")":0.49169987,"VMI-US^P_BETA_LOCIDX(45590,45418,,\"SPX\")":0.48597407,"VMI-US^P_BETA_LOCIDX(45589,45415,,\"SPX\")":0.4820689,"VMI-US^P_BETA_LOCIDX(45588,45414,,\"SPX\")":0.6516416,"VMI-US^P_BETA_LOCIDX(45587,45413,,\"SPX\")":0.78364265,"VMI-US^P_BETA_LOCIDX(45586,45412,,\"SPX\")":0.8014908,"VMI-US^P_BETA_LOCIDX(45583,45411,,\"SPX\")":0.7951783,"VMI-US^P_BETA_LOCIDX(45582,45408,,\"SPX\")":0.7932952,"VMI-US^P_BETA_LOCIDX(45581,45407,,\"SPX\")":0.801813,"VMI-US^P_BETA_LOCIDX(45580,45406,,\"SPX\")":0.7952963,"VMI-US^P_BETA_LOCIDX(45579,45405,,\"SPX\")":0.79700446,"VMI-US^P_BETA_LOCIDX(45576,45404,,\"SPX\")":0.7838863,"VMI-US^P_BETA_LOCIDX(45575,45401,,\"SPX\")":0.74736863,"VMI-US^P_BETA_LOCIDX(45574,45400,,\"SPX\")":0.75173134,"VMI-US^P_BETA_LOCIDX(45573,45399,,\"SPX\")":0.7632127,"VMI-US^P_BETA_LOCIDX(45572,45398,,\"SPX\")":0.786249,"VMI-US^P_BETA_LOCIDX(45569,45397,,\"SPX\")":0.8085006,"VMI-US^P_BETA_LOCIDX(45568,45394,,\"SPX\")":0.8257748,"VMI-US^P_BETA_LOCIDX(45567,45393,,\"SPX\")":0.81891483,"VMI-US^P_BETA_LOCIDX(45566,45392,,\"SPX\")":0.8224315,"VMI-US^P_BETA_LOCIDX(45565,45391,,\"SPX\")":0.81913495,"VMI-US^P_BETA_LOCIDX(45562,45390,,\"SPX\")":0.8192209,"VMI-US^P_BETA_LOCIDX(45561,45387,,\"SPX\")":0.82462245,"VMI-US^P_BETA_LOCIDX(45560,45386,,\"SPX\")":0.80594784,"VMI-US^P_BETA_LOCIDX(45559,45385,,\"SPX\")":0.80425113,"VMI-US^P_BETA_LOCIDX(45558,45384,,\"SPX\")":0.82758063,"VMI-US^P_BETA_LOCIDX(45555,45383,,\"SPX\")":0.82828933,"VMI-US^P_BETA_LOCIDX(45554,45379,,\"SPX\")":0.8264211,"VMI-US^P_BETA_LOCIDX(45553,45378,,\"SPX\")":0.8370713,"VMI-US^P_BETA_LOCIDX(45552,45377,,\"SPX\")":0.8348739,"VMI-US^P_BETA_LOCIDX(45551,45376,,\"SPX\")":0.83812106,"VMI-US^P_BETA_LOCIDX(45548,45373,,\"SPX\")":0.8369723,"VMI-US^P_BETA_LOCIDX(45547,45372,,\"SPX\")":0.83807105,"VMI-US^P_BETA_LOCIDX(45546,45371,,\"SPX\")":0.8391493,"VMI-US^P_BETA_LOCIDX(45545,45370,,\"SPX\")":0.84519935,"VMI-US^P_BETA_LOCIDX(45544,45369,,\"SPX\")":0.83582383,"VMI-US^P_BETA_LOCIDX(45541,45366,,\"SPX\")":0.834376,"VMI-US^P_BETA_LOCIDX(45540,45365,,\"SPX\")":0.8756094,"VMI-US^P_BETA_LOCIDX(45539,45364,,\"SPX\")":0.8654629,"VMI-US^P_BETA_LOCIDX(45538,45363,,\"SPX\")":0.84215754,"VMI-US^P_BETA_LOCIDX(45534,45362,,\"SPX\")":0.79777116,"VMI-US^P_BETA_LOCIDX(45533,45359,,\"SPX\")":0.7847781,"VMI-US^P_BETA_LOCIDX(45532,45358,,\"SPX\")":0.7966169,"VMI-US^P_BETA_LOCIDX(45531,45357,,\"SPX\")":0.7881093,"VMI-US^P_BETA_LOCIDX(45530,45356,,\"SPX\")":0.8037408,"VMI-US^P_BETA_LOCIDX(45527,45355,,\"SPX\")":0.8026349,"VMI-US^P_BETA_LOCIDX(45526,45352,,\"SPX\")":0.7803809,"VMI-US^P_BETA_LOCIDX(45525,45351,,\"SPX\")":0.7766202,"VMI-US^P_BETA_LOCIDX(45524,45350,,\"SPX\")":0.77359134,"VMI-US^P_BETA_LOCIDX(45523,45349,,\"SPX\")":0.76874065,"VMI-US^P_BETA_LOCIDX(45520,45348,,\"SPX\")":0.7822118,"VMI-US^P_BETA_LOCIDX(45519,45345,,\"SPX\")":0.7840064,"VMI-US^P_BETA_LOCIDX(45518,45344,,\"SPX\")":0.6691056,"VMI-US^P_BETA_LOCIDX(45517,45343,,\"SPX\")":0.6683984,"VMI-US^P_BETA_LOCIDX(45516,45342,,\"SPX\")":0.6863015,"VMI-US^P_BETA_LOCIDX(45513,45338,,\"SPX\")":0.69387424,"VMI-US^P_BETA_LOCIDX(45512,45337,,\"SPX\")":0.687529,"VMI-US^P_BETA_LOCIDX(45511,45336,,\"SPX\")":0.69277763,"VMI-US^P_BETA_LOCIDX(45510,45335,,\"SPX\")":0.73377955,"VMI-US^P_BETA_LOCIDX(45509,45334,,\"SPX\")":0.74614424,"VMI-US^P_BETA_LOCIDX(45506,45331,,\"SPX\")":0.72539043,"VMI-US^P_BETA_LOCIDX(45505,45330,,\"SPX\")":0.7014568,"VMI-US^P_BETA_LOCIDX(45504,45329,,\"SPX\")":0.6842816,"VMI-US^P_BETA_LOCIDX(45503,45328,,\"SPX\")":0.73725873,"VMI-US^P_BETA_LOCIDX(45502,45327,,\"SPX\")":0.75072914,"VMI-US^P_BETA_LOCIDX(45499,45324,,\"SPX\")":0.7207612,"VMI-US^P_BETA_LOCIDX(45498,45323,,\"SPX\")":0.73578644,"VMI-US^P_BETA_LOCIDX(45497,45322,,\"SPX\")":0.85796696,"VMI-US^P_BETA_LOCIDX(45496,45321,,\"SPX\")":0.8548162,"VMI-US^P_BETA_LOCIDX(45495,45320,,\"SPX\")":0.84791994,"VMI-US^P_BETA_LOCIDX(45492,45317,,\"SPX\")":0.8546455,"VMI-US^P_BETA_LOCIDX(45491,45316,,\"SPX\")":0.8388359,"VMI-US^P_BETA_LOCIDX(45490,45315,,\"SPX\")":0.8314529,"VMI-US^P_BETA_LOCIDX(45489,45314,,\"SPX\")":0.89480966,"VMI-US^P_BETA_LOCIDX(45488,45313,,\"SPX\")":0.8730475,"VMI-US^P_BETA_LOCIDX(45485,45310,,\"SPX\")":0.8542492,"VMI-US^P_BETA_LOCIDX(45484,45309,,\"SPX\")":0.846202,"VMI-US^P_BETA_LOCIDX(45483,45308,,\"SPX\")":0.90860754,"VMI-US^P_BETA_LOCIDX(45482,45307,,\"SPX\")":0.9047618,"VMI-US^P_BETA_LOCIDX(45481,45303,,\"SPX\")":0.90271366,"VMI-US^P_BETA_LOCIDX(45478,45302,,\"SPX\")":0.9028802,"VMI-US^P_BETA_LOCIDX(45476,45301,,\"SPX\")":0.9205181,"VMI-US^P_BETA_LOCIDX(45475,45300,,\"SPX\")":0.93896776,"VMI-US^P_BETA_LOCIDX(45474,45299,,\"SPX\")":0.91781986,"VMI-US^P_BETA_LOCIDX(45471,45296,,\"SPX\")":0.9261274,"VMI-US^P_BETA_LOCIDX(45470,45295,,\"SPX\")":0.9275052,"VMI-US^P_BETA_LOCIDX(45469,45294,,\"SPX\")":0.9800916,"VMI-US^P_BETA_LOCIDX(45468,45293,,\"SPX\")":0.9686268,"VMI-US^P_BETA_LOCIDX(45467,45289,,\"SPX\")":0.9710917,"VMI-US^P_BETA_LOCIDX(45464,45288,,\"SPX\")":0.9706743,"VMI-US^P_BETA_LOCIDX(45463,45287,,\"SPX\")":0.9762062,"VMI-US^P_BETA_LOCIDX(45461,45286,,\"SPX\")":0.9679588,"VMI-US^P_BETA_LOCIDX(45460,45282,,\"SPX\")":0.96530455,"VMI-US^P_BETA_LOCIDX(45457,45281,,\"SPX\")":0.9841266,"VMI-US^P_BETA_LOCIDX(45456,45280,,\"SPX\")":0.9871355,"VMI-US^P_BETA_LOCIDX(45455,45279,,\"SPX\")":1.0005851,"VMI-US^P_BETA_LOCIDX(45454,45278,,\"SPX\")":0.97355056,"VMI-US^P_BETA_LOCIDX(45453,45275,,\"SPX\")":0.98010045,"VMI-US^P_BETA_LOCIDX(45450,45274,,\"SPX\")":0.9811094,"VMI-US^P_BETA_LOCIDX(45449,45273,,\"SPX\")":0.9396394,"VMI-US^P_BETA_LOCIDX(45448,45272,,\"SPX\")":0.93535393,"VMI-US^P_BETA_LOCIDX(45447,45271,,\"SPX\")":0.93389755,"VMI-US^P_BETA_LOCIDX(45446,45268,,\"SPX\")":0.9360519,"VMI-US^P_BETA_LOCIDX(45443,45267,,\"SPX\")":0.92628145,"VMI-US^P_BETA_LOCIDX(45442,45266,,\"SPX\")":0.94043976,"VMI-US^P_BETA_LOCIDX(45441,45265,,\"SPX\")":0.96403825,"VMI-US^P_BETA_LOCIDX(45440,45264,,\"SPX\")":0.9590399,"VMI-US^P_BETA_LOCIDX(45436,45261,,\"SPX\")":0.9684773,"VMI-US^P_BETA_LOCIDX(45435,45260,,\"SPX\")":0.9882356,"VMI-US^P_BETA_LOCIDX(45434,45259,,\"SPX\")":0.95094335,"VMI-US^P_BETA_LOCIDX(45433,45258,,\"SPX\")":0.9582426,"VMI-US^P_BETA_LOCIDX(45432,45257,,\"SPX\")":0.97279394,"VMI-US^P_BETA_LOCIDX(45429,45254,,\"SPX\")":0.97222966,"VMI-US^P_BETA_LOCIDX(45428,45252,,\"SPX\")":0.97110987,"VMI-US^P_BETA_LOCIDX(45427,45251,,\"SPX\")":0.98157847,"VMI-US^P_BETA_LOCIDX(45426,45250,,\"SPX\")":0.99540925,"VMI-US^P_BETA_LOCIDX(45425,45247,,\"SPX\")":0.9992897,"VMI-US^P_BETA_LOCIDX(45422,45246,,\"SPX\")":0.99897784,"VMI-US^P_BETA_LOCIDX(45421,45245,,\"SPX\")":0.99868107,"VMI-US^P_BETA_LOCIDX(45420,45244,,\"SPX\")":1.0846186,"VMI-US^P_BETA_LOCIDX(45419,45243,,\"SPX\")":1.0918932,"VMI-US^P_BETA_LOCIDX(45418,45240,,\"SPX\")":1.1032104,"VMI-US^P_BETA_LOCIDX(45415,45239,,\"SPX\")":1.0798254,"VMI-US^P_BETA_LOCIDX(45414,45238,,\"SPX\")":1.0942072,"VMI-US^P_BETA_LOCIDX(45413,45237,,\"SPX\")":0.86778677,"VMI-US^P_BETA_LOCIDX(45412,45236,,\"SPX\")":0.879936,"VMI-US^P_BETA_LOCIDX(45411,45233,,\"SPX\")":0.864924,"VMI-US^P_BETA_LOCIDX(45408,45232,,\"SPX\")":0.84224135,"VMI-US^P_BETA_LOCIDX(45407,45231,,\"SPX\")":0.85220397,"VMI-US^P_BETA_LOCIDX(45406,45230,,\"SPX\")":0.85437465,"VMI-US^P_BETA_LOCIDX(45405,45229,,\"SPX\")":0.874433,"VMI-US^P_BETA_LOCIDX(45404,45226,,\"SPX\")":0.92634034,"VMI-US^P_BETA_LOCIDX(45401,45225,,\"SPX\")":1.2158875,"VMI-US^P_BETA_LOCIDX(45400,45224,,\"SPX\")":1.2001916,"VMI-US^P_BETA_LOCIDX(45399,45223,,\"SPX\")":1.1832137,"VMI-US^P_BETA_LOCIDX(45398,45222,,\"SPX\")":1.1782018,"VMI-US^P_BETA_LOCIDX(45397,45219,,\"SPX\")":1.1862489,"VMI-US^P_BETA_LOCIDX(45394,45218,,\"SPX\")":1.091601,"VMI-US^P_BETA_LOCIDX(45393,45217,,\"SPX\")":1.2251762,"VMI-US^P_BETA_LOCIDX(45392,45216,,\"SPX\")":1.2265904,"VMI-US^P_BETA_LOCIDX(45391,45215,,\"SPX\")":1.2566406,"VMI-US^P_BETA_LOCIDX(45390,45212,,\"SPX\")":1.2643495,"VMI-US^P_BETA_LOCIDX(45387,45211,,\"SPX\")":1.27312,"VMI-US^P_BETA_LOCIDX(45386,45210,,\"SPX\")":1.2650592,"VMI-US^P_BETA_LOCIDX(45385,45209,,\"SPX\")":1.3053291,"VMI-US^P_BETA_LOCIDX(45384,45208,,\"SPX\")":1.304615,"VMI-US^P_BETA_LOCIDX(45383,45205,,\"SPX\")":1.2941816,"VMI-US^P_BETA_LOCIDX(45379,45204,,\"SPX\")":1.2920655,"VMI-US^P_BETA_LOCIDX(45378,45203,,\"SPX\")":1.2792333,"VMI-US^P_BETA_LOCIDX(45377,45202,,\"SPX\")":1.2314168,"VMI-US^P_BETA_LOCIDX(45376,45201,,\"SPX\")":1.2430352,"VMI-US^P_BETA_LOCIDX(45373,45198,,\"SPX\")":1.2451521,"VMI-US^P_BETA_LOCIDX(45372,45197,,\"SPX\")":1.2471341,"VMI-US^P_BETA_LOCIDX(45371,45196,,\"SPX\")":1.2400144,"VMI-US^P_BETA_LOCIDX(45370,45195,,\"SPX\")":1.1892679,"VMI-US^P_BETA_LOCIDX(45369,45194,,\"SPX\")":1.1865913,"VMI-US^P_BETA_LOCIDX(45366,45191,,\"SPX\")":1.1989683,"VMI-US^P_BETA_LOCIDX(45365,45190,,\"SPX\")":1.2344552,"VMI-US^P_BETA_LOCIDX(45364,45189,,\"SPX\")":1.1956744,"VMI-US^P_BETA_LOCIDX(45363,45188,,\"SPX\")":1.1912333,"VMI-US^P_BETA_LOCIDX(45362,45187,,\"SPX\")":1.2115821,"VMI-US^P_BETA_LOCIDX(45359,45184,,\"SPX\")":1.2061992,"VMI-US^P_BETA_LOCIDX(45358,45183,,\"SPX\")":1.231996,"VMI-US^P_BETA_LOCIDX(45357,45182,,\"SPX\")":1.2193093,"VMI-US^P_BETA_LOCIDX(45356,45181,,\"SPX\")":1.2099409,"VMI-US^P_BETA_LOCIDX(45355,45180,,\"SPX\")":1.2056737,"VMI-US^P_BETA_LOCIDX(45352,45177,,\"SPX\")":1.2051882,"VMI-US^P_BETA_LOCIDX(45351,45176,,\"SPX\")":1.2184216,"VMI-US^P_BETA_LOCIDX(45350,45175,,\"SPX\")":1.223943,"VMI-US^P_BETA_LOCIDX(45349,45174,,\"SPX\")":1.2471987,"VMI-US^P_BETA_LOCIDX(45348,45170,,\"SPX\")":1.2495005,"VMI-US^P_BETA_LOCIDX(45345,45169,,\"SPX\")":1.2407385,"VMI-US^P_BETA_LOCIDX(45344,45168,,\"SPX\")":1.2420845,"VMI-US^P_BETA_LOCIDX(45343,45167,,\"SPX\")":1.4120507,"VMI-US^P_BETA_LOCIDX(45342,45166,,\"SPX\")":1.4163771,"VMI-US^P_BETA_LOCIDX(45338,45163,,\"SPX\")":1.424898,"VMI-US^P_BETA_LOCIDX(45337,45162,,\"SPX\")":1.4138943,"VMI-US^P_BETA_LOCIDX(45336,45161,,\"SPX\")":1.3874594,"VMI-US^P_BETA_LOCIDX(45335,45160,,\"SPX\")":1.3786838,"VMI-US^P_BETA_LOCIDX(45334,45159,,\"SPX\")":1.3357788,"VMI-US^P_BETA_LOCIDX(45331,45156,,\"SPX\")":1.3307261,"VMI-US^P_BETA_LOCIDX(45330,45155,,\"SPX\")":1.3029795,"VMI-US^P_BETA_LOCIDX(45329,45154,,\"SPX\")":1.2808464,"VMI-US^P_BETA_LOCIDX(45328,45153,,\"SPX\")":1.2644361,"VMI-US^P_BETA_LOCIDX(45327,45152,,\"SPX\")":1.2547507,"VMI-US^P_BETA_LOCIDX(45324,45149,,\"SPX\")":1.2515175,"VMI-US^P_BETA_LOCIDX(45323,45148,,\"SPX\")":1.2819885,"VMI-US^P_BETA_LOCIDX(45322,45147,,\"SPX\")":1.2579116,"VMI-US^P_BETA_LOCIDX(45321,45146,,\"SPX\")":1.2827594,"VMI-US^P_BETA_LOCIDX(45320,45145,,\"SPX\")":1.2738096,"VMI-US^P_BETA_LOCIDX(45317,45142,,\"SPX\")":1.2672626,"VMI-US^P_BETA_LOCIDX(45316,45141,,\"SPX\")":1.2790519,"VMI-US^P_BETA_LOCIDX(45315,45140,,\"SPX\")":1.2636107,"VMI-US^P_BETA_LOCIDX(45314,45139,,\"SPX\")":1.2620071,"VMI-US^P_BETA_LOCIDX(45313,45138,,\"SPX\")":1.2652628,"VMI-US^P_BETA_LOCIDX(45310,45135,,\"SPX\")":1.2590438,"VMI-US^P_BETA_LOCIDX(45309,45134,,\"SPX\")":1.3497367,"VMI-US^P_BETA_LOCIDX(45308,45133,,\"SPX\")":1.3473384,"VMI-US^P_BETA_LOCIDX(45307,45132,,\"SPX\")":1.3519728,"VMI-US^P_BETA_LOCIDX(45303,45131,,\"SPX\")":1.361118,"VMI-US^P_BETA_LOCIDX(45302,45128,,\"SPX\")":1.3615093,"VMI-US^P_BETA_LOCIDX(45301,45127,,\"SPX\")":1.3490642,"VMI-US^P_BETA_LOCIDX(45300,45126,,\"SPX\")":1.3365284,"VMI-US^P_BETA_LOCIDX(45299,45125,,\"SPX\")":1.3397028,"VMI-US^P_BETA_LOCIDX(45296,45124,,\"SPX\")":1.3653563,"VMI-US^P_BETA_LOCIDX(45295,45121,,\"SPX\")":1.3632867,"VMI-US^P_BETA_LOCIDX(45294,45120,,\"SPX\")":1.3188632,"VMI-US^P_BETA_LOCIDX(45293,45119,,\"SPX\")":1.3082905,"VMI-US^P_BETA_LOCIDX(45289,45118,,\"SPX\")":1.2924788,"VMI-US^P_BETA_LOCIDX(45288,45117,,\"SPX\")":1.2954575,"VMI-US^P_BETA_LOCIDX(45287,45114,,\"SPX\")":1.2841352,"VMI-US^P_BETA_LOCIDX(45286,45113,,\"SPX\")":1.2734329,"VMI-US^P_BETA_LOCIDX(45282,45112,,\"SPX\")":1.2780614,"VMI-US^P_BETA_LOCIDX(45281,45110,,\"SPX\")":1.277006,"VMI-US^P_BETA_LOCIDX(45280,45107,,\"SPX\")":1.2434409,"VMI-US^P_BETA_LOCIDX(45279,45106,,\"SPX\")":1.2422017,"VMI-US^P_BETA_LOCIDX(45278,45105,,\"SPX\")":1.2277045,"VMI-US^P_BETA_LOCIDX(45275,45104,,\"SPX\")":1.2514871,"VMI-US^P_BETA_LOCIDX(45274,45103,,\"SPX\")":1.245958,"VMI-US^P_BETA_LOCIDX(45273,45100,,\"SPX\")":1.2111117,"VMI-US^P_BETA_LOCIDX(45272,45099,,\"SPX\")":1.246086,"VMI-US^P_BETA_LOCIDX(45271,45098,,\"SPX\")":1.1962475,"VMI-US^P_BETA_LOCIDX(45268,45097,,\"SPX\")":1.1911297,"VMI-US^P_BETA_LOCIDX(45267,45093,,\"SPX\")":1.1865426,"VMI-US^P_BETA_LOCIDX(45266,45092,,\"SPX\")":1.2059034,"VMI-US^P_BETA_LOCIDX(45265,45091,,\"SPX\")":1.2058872,"VMI-US^P_BETA_LOCIDX(45264,45090,,\"SPX\")":1.2067014,"VMI-US^P_BETA_LOCIDX(45261,45089,,\"SPX\")":1.2181256,"VMI-US^P_BETA_LOCIDX(45260,45086,,\"SPX\")":1.2059152,"VMI-US^P_BETA_LOCIDX(45259,45085,,\"SPX\")":1.1884857,"VMI-US^P_BETA_LOCIDX(45258,45084,,\"SPX\")":1.1880002,"VMI-US^P_BETA_LOCIDX(45257,45083,,\"SPX\")":1.1950071,"VMI-US^P_BETA_LOCIDX(45254,45082,,\"SPX\")":1.1956617,"VMI-US^P_BETA_LOCIDX(45252,45079,,\"SPX\")":1.2826266,"VMI-US^P_BETA_LOCIDX(45251,45078,,\"SPX\")":1.2769797,"VMI-US^P_BETA_LOCIDX(45250,45077,,\"SPX\")":1.2944919,"VMI-US^P_BETA_LOCIDX(45247,45076,,\"SPX\")":1.301462,"VMI-US^P_BETA_LOCIDX(45246,45072,,\"SPX\")":1.281725,"VMI-US^P_BETA_LOCIDX(45245,45071,,\"SPX\")":1.3005563,"VMI-US^P_BETA_LOCIDX(45244,45070,,\"SPX\")":1.3101549,"VMI-US^P_BETA_LOCIDX(45243,45069,,\"SPX\")":1.2498243,"VMI-US^P_BETA_LOCIDX(45240,45068,,\"SPX\")":1.2499193,"VMI-US^P_BETA_LOCIDX(45239,45065,,\"SPX\")":1.2376413,"VMI-US^P_BETA_LOCIDX(45238,45064,,\"SPX\")":1.2583297,"VMI-US^P_BETA_LOCIDX(45237,45063,,\"SPX\")":1.2644204,"VMI-US^P_BETA_LOCIDX(45236,45062,,\"SPX\")":1.2835557,"VMI-US^P_BETA_LOCIDX(45233,45061,,\"SPX\")":1.2920403,"VMI-US^P_BETA_LOCIDX(45232,45058,,\"SPX\")":1.285365,"VMI-US^P_BETA_LOCIDX(45231,45057,,\"SPX\")":1.3290391,"VMI-US^P_BETA_LOCIDX(45230,45056,,\"SPX\")":1.3364835,"VMI-US^P_BETA_LOCIDX(45229,45055,,\"SPX\")":1.315294,"VMI-US^P_BETA_LOCIDX(45226,45054,,\"SPX\")":1.295995,"VMI-US^P_BETA_LOCIDX(45225,45051,,\"SPX\")":1.2686543,"VMI-US^P_BETA_LOCIDX(45224,45050,,\"SPX\")":1.0625776,"VMI-US^P_BETA_LOCIDX(45223,45049,,\"SPX\")":1.0895972,"VMI-US^P_BETA_LOCIDX(45222,45048,,\"SPX\")":1.1049843,"VMI-US^P_BETA_LOCIDX(45219,45047,,\"SPX\")":1.1056358,"VMI-US^P_BETA_LOCIDX(45218,45044,,\"SPX\")":1.0754356,"VMI-US^P_BETA_LOCIDX(45217,45043,,\"SPX\")":1.1582114,"VMI-US^P_BETA_LOCIDX(45216,45042,,\"SPX\")":1.0348246,"VMI-US^P_BETA_LOCIDX(45215,45041,,\"SPX\")":1.0606619,"VMI-US^P_BETA_LOCIDX(45212,45040,,\"SPX\")":1.0321667,"VMI-US^P_BETA_LOCIDX(45211,45037,,\"SPX\")":1.0262169,"VMI-US^P_BETA_LOCIDX(45210,45036,,\"SPX\")":0.9880258,"VMI-US^P_BETA_LOCIDX(45209,45035,,\"SPX\")":0.9917055,"VMI-US^P_BETA_LOCIDX(45208,45034,,\"SPX\")":0.99502707,"VMI-US^P_BETA_LOCIDX(45205,45033,,\"SPX\")":0.9913482,"VMI-US^P_BETA_LOCIDX(45204,45030,,\"SPX\")":0.96618503,"VMI-US^P_BETA_LOCIDX(45203,45029,,\"SPX\")":0.96334994,"VMI-US^P_BETA_LOCIDX(45202,45028,,\"SPX\")":0.9677677,"VMI-US^P_BETA_LOCIDX(45201,45027,,\"SPX\")":0.9863664,"VMI-US^P_BETA_LOCIDX(45198,45026,,\"SPX\")":0.9879403,"VMI-US^P_BETA_LOCIDX(45197,45022,,\"SPX\")":0.98505896,"VMI-US^P_BETA_LOCIDX(45196,45021,,\"SPX\")":0.9972429,"VMI-US^P_BETA_LOCIDX(45195,45020,,\"SPX\")":1.047823,"VMI-US^P_BETA_LOCIDX(45194,45019,,\"SPX\")":1.0839155,"VMI-US^P_BETA_LOCIDX(45191,45016,,\"SPX\")":1.0733992,"VMI-US^P_BETA_LOCIDX(45190,45015,,\"SPX\")":1.0694177,"VMI-US^P_BETA_LOCIDX(45189,45014,,\"SPX\")":1.0415481,"VMI-US^P_BETA_LOCIDX(45188,45013,,\"SPX\")":1.0687531,"VMI-US^P_BETA_LOCIDX(45187,45012,,\"SPX\")":1.0764259,"VMI-US^P_BETA_LOCIDX(45184,45009,,\"SPX\")":1.0819885,"VMI-US^P_BETA_LOCIDX(45183,45008,,\"SPX\")":1.090057,"VMI-US^P_BETA_LOCIDX(45182,45007,,\"SPX\")":1.0920279,"VMI-US^P_BETA_LOCIDX(45181,45006,,\"SPX\")":1.1081583,"VMI-US^P_BETA_LOCIDX(45180,45005,,\"SPX\")":1.1415211,"VMI-US^P_BETA_LOCIDX(45177,45002,,\"SPX\")":1.1438496,"VMI-US^P_BETA_LOCIDX(45176,45001,,\"SPX\")":1.1421044,"VMI-US^P_BETA_LOCIDX(45175,45000,,\"SPX\")":1.1621686,"VMI-US^P_BETA_LOCIDX(45174,44999,,\"SPX\")":1.1753693,"VMI-US^P_BETA_LOCIDX(45170,44998,,\"SPX\")":1.1557803,"VMI-US^P_BETA_LOCIDX(45169,44995,,\"SPX\")":1.1718409,"VMI-US^P_BETA_LOCIDX(45168,44994,,\"SPX\")":1.1578152,"VMI-US^P_BETA_LOCIDX(45167,44993,,\"SPX\")":1.1564856,"VMI-US^P_BETA_LOCIDX(45166,44992,,\"SPX\")":1.1625804,"VMI-US^P_BETA_LOCIDX(45163,44991,,\"SPX\")":1.1567186,"VMI-US^P_BETA_LOCIDX(45162,44988,,\"SPX\")":1.163747,"VMI-US^P_BETA_LOCIDX(45161,44987,,\"SPX\")":1.163499,"VMI-US^P_BETA_LOCIDX(45160,44986,,\"SPX\")":1.170389,"VMI-US^P_BETA_LOCIDX(45159,44985,,\"SPX\")":1.1637207,"VMI-US^P_BETA_LOCIDX(45156,44984,,\"SPX\")":1.180084,"VMI-US^P_BETA_LOCIDX(45155,44981,,\"SPX\")":1.0998707,"VMI-US^P_BETA_LOCIDX(45154,44980,,\"SPX\")":1.079664,"VMI-US^P_BETA_LOCIDX(45153,44979,,\"SPX\")":1.0990449,"VMI-US^P_BETA_LOCIDX(45152,44978,,\"SPX\")":1.0898044,"VMI-US^P_BETA_LOCIDX(45149,44974,,\"SPX\")":1.0913011,"VMI-US^P_BETA_LOCIDX(45148,44973,,\"SPX\")":1.0448474,"VMI-US^P_BETA_LOCIDX(45147,44972,,\"SPX\")":1.0436375,"VMI-US^P_BETA_LOCIDX(45146,44971,,\"SPX\")":1.0572021,"VMI-US^P_BETA_LOCIDX(45145,44970,,\"SPX\")":1.0602412,"VMI-US^P_BETA_LOCIDX(45142,44967,,\"SPX\")":1.0622953,"VMI-US^P_BETA_LOCIDX(45141,44966,,\"SPX\")":1.0630741,"VMI-US^P_BETA_LOCIDX(45140,44965,,\"SPX\")":1.0401055,"VMI-US^P_BETA_LOCIDX(45139,44964,,\"SPX\")":1.0362448,"VMI-US^P_BETA_LOCIDX(45138,44963,,\"SPX\")":1.0412517,"VMI-US^P_BETA_LOCIDX(45135,44960,,\"SPX\")":1.0197074,"VMI-US^P_BETA_LOCIDX(45134,44959,,\"SPX\")":0.95889574,"VMI-US^P_BETA_LOCIDX(45133,44958,,\"SPX\")":0.89504236,"VMI-US^P_BETA_LOCIDX(45132,44957,,\"SPX\")":0.9275991,"VMI-US^P_BETA_LOCIDX(45131,44956,,\"SPX\")":0.93453455,"VMI-US^P_BETA_LOCIDX(45128,44953,,\"SPX\")":0.9263663,"VMI-US^P_BETA_LOCIDX(45127,44952,,\"SPX\")":0.9167537,"VMI-US^P_BETA_LOCIDX(45126,44951,,\"SPX\")":0.92332554,"VMI-US^P_BETA_LOCIDX(45125,44950,,\"SPX\")":0.92224723,"VMI-US^P_BETA_LOCIDX(45124,44949,,\"SPX\")":0.8932564,"VMI-US^P_BETA_LOCIDX(45121,44946,,\"SPX\")":0.9090275,"VMI-US^P_BETA_LOCIDX(45120,44945,,\"SPX\")":0.92993957,"VMI-US^P_BETA_LOCIDX(45119,44944,,\"SPX\")":0.9489647,"VMI-US^P_BETA_LOCIDX(45118,44943,,\"SPX\")":0.9353017,"VMI-US^P_BETA_LOCIDX(45117,44939,,\"SPX\")":0.95268035,"VMI-US^P_BETA_LOCIDX(45114,44938,,\"SPX\")":0.95887524,"VMI-US^P_BETA_LOCIDX(45113,44937,,\"SPX\")":0.96451354,"VMI-US^P_BETA_LOCIDX(45112,44936,,\"SPX\")":0.97423375,"VMI-US^P_BETA_LOCIDX(45110,44935,,\"SPX\")":0.9680308,"VMI-US^P_BETA_LOCIDX(45107,44932,,\"SPX\")":0.9821564,"VMI-US^P_BETA_LOCIDX(45106,44931,,\"SPX\")":0.99576974,"VMI-US^P_BETA_LOCIDX(45105,44930,,\"SPX\")":0.9949325,"VMI-US^P_BETA_LOCIDX(45104,44929,,\"SPX\")":0.9998667,"VMI-US^P_BETA_LOCIDX(45103,44925,,\"SPX\")":0.98495054,"VMI-US^P_BETA_LOCIDX(45100,44924,,\"SPX\")":0.9692882,"VMI-US^P_BETA_LOCIDX(45099,44923,,\"SPX\")":0.9873001,"VMI-US^P_BETA_LOCIDX(45098,44922,,\"SPX\")":0.9846477,"VMI-US^P_BETA_LOCIDX(45097,44918,,\"SPX\")":1.0250502,"VMI-US^P_BETA_LOCIDX(45093,44917,,\"SPX\")":1.0018678,"VMI-US^P_BETA_LOCIDX(45092,44916,,\"SPX\")":1.0083212,"VMI-US^P_BETA_LOCIDX(45091,44915,,\"SPX\")":1.0002539,"VMI-US^P_BETA_LOCIDX(45090,44914,,\"SPX\")":0.983994,"VMI-US^P_BETA_LOCIDX(45089,44911,,\"SPX\")":0.9675451,"VMI-US^P_BETA_LOCIDX(45086,44910,,\"SPX\")":0.97190833,"VMI-US^P_BETA_LOCIDX(45085,44909,,\"SPX\")":0.96575785,"VMI-US^P_BETA_LOCIDX(45084,44908,,\"SPX\")":0.9671914,"VMI-US^P_BETA_LOCIDX(45083,44907,,\"SPX\")":0.96104795,"VMI-US^P_BETA_LOCIDX(45082,44904,,\"SPX\")":0.9460394,"VMI-US^P_BETA_LOCIDX(45079,44903,,\"SPX\")":0.9415241,"VMI-US^P_BETA_LOCIDX(45078,44902,,\"SPX\")":0.888103,"VMI-US^P_BETA_LOCIDX(45077,44901,,\"SPX\")":0.8589816,"VMI-US^P_BETA_LOCIDX(45076,44900,,\"SPX\")":0.8963263,"VMI-US^P_BETA_LOCIDX(45072,44897,,\"SPX\")":0.8942137,"VMI-US^P_BETA_LOCIDX(45071,44896,,\"SPX\")":0.8994673,"VMI-US^P_BETA_LOCIDX(45070,44895,,\"SPX\")":0.90088737,"VMI-US^P_BETA_LOCIDX(45069,44894,,\"SPX\")":0.894007,"VMI-US^P_BETA_LOCIDX(45068,44893,,\"SPX\")":0.88921696,"VMI-US^P_BETA_LOCIDX(45065,44890,,\"SPX\")":0.88854676,"VMI-US^P_BETA_LOCIDX(45064,44888,,\"SPX\")":0.8879515,"VMI-US^P_BETA_LOCIDX(45063,44887,,\"SPX\")":0.9015551,"VMI-US^P_BETA_LOCIDX(45062,44886,,\"SPX\")":0.8941916,"VMI-US^P_BETA_LOCIDX(45061,44883,,\"SPX\")":0.8850294,"VMI-US^P_BETA_LOCIDX(45058,44882,,\"SPX\")":0.8769536,"VMI-US^P_BETA_LOCIDX(45057,44881,,\"SPX\")":0.8743959,"VMI-US^P_BETA_LOCIDX(45056,44880,,\"SPX\")":0.87108576,"VMI-US^P_BETA_LOCIDX(45055,44879,,\"SPX\")":0.8583921,"VMI-US^P_BETA_LOCIDX(45054,44876,,\"SPX\")":0.84447277,"VMI-US^P_BETA_LOCIDX(45051,44875,,\"SPX\")":0.7882902,"VMI-US^P_BETA_LOCIDX(45050,44874,,\"SPX\")":0.7683908,"VMI-US^P_BETA_LOCIDX(45049,44873,,\"SPX\")":0.7573338,"VMI-US^P_BETA_LOCIDX(45048,44872,,\"SPX\")":0.76097035,"VMI-US^P_BETA_LOCIDX(45047,44869,,\"SPX\")":0.76249796,"VMI-US^P_BETA_LOCIDX(45044,44868,,\"SPX\")":0.7502336,"VMI-US^P_BETA_LOCIDX(45043,44867,,\"SPX\")":0.7672128,"VMI-US^P_BETA_LOCIDX(45042,44866,,\"SPX\")":0.7650038,"VMI-US^P_BETA_LOCIDX(45041,44865,,\"SPX\")":0.7557477,"VMI-US^P_BETA_LOCIDX(45040,44862,,\"SPX\")":0.7353353,"VMI-US^P_BETA_LOCIDX(45037,44861,,\"SPX\")":0.7221784,"VMI-US^P_BETA_LOCIDX(45036,44860,,\"SPX\")":0.7236122,"VMI-US^P_BETA_LOCIDX(45035,44859,,\"SPX\")":0.7397224,"VMI-US^P_BETA_LOCIDX(45034,44858,,\"SPX\")":0.7468603,"VMI-US^P_BETA_LOCIDX(45033,44855,,\"SPX\")":0.7646476,"VMI-US^P_BETA_LOCIDX(45030,44854,,\"SPX\")":0.77273834,"VMI-US^P_BETA_LOCIDX(45029,44853,,\"SPX\")":0.7723606,"VMI-US^P_BETA_LOCIDX(45028,44852,,\"SPX\")":0.771165,"VMI-US^P_BETA_LOCIDX(45027,44851,,\"SPX\")":0.80478907,"VMI-US^P_BETA_LOCIDX(45026,44848,,\"SPX\")":0.81324,"VMI-US^P_BETA_LOCIDX(45022,44847,,\"SPX\")":0.8041943,"VMI-US^P_BETA_LOCIDX(45021,44846,,\"SPX\")":0.8074354,"VMI-US^P_BETA_LOCIDX(45020,44845,,\"SPX\")":0.7929969,"VMI-US^P_BETA_LOCIDX(45019,44844,,\"SPX\")":0.7706594,"VMI-US^P_BETA_LOCIDX(45016,44841,,\"SPX\")":0.77529925,"VMI-US^P_BETA_LOCIDX(45015,44840,,\"SPX\")":0.77423245,"VMI-US^P_BETA_LOCIDX(45014,44839,,\"SPX\")":0.7746775,"VMI-US^P_BETA_LOCIDX(45013,44838,,\"SPX\")":0.7691137,"VMI-US^P_BETA_LOCIDX(45012,44837,,\"SPX\")":0.80929077,"VMI-US^P_BETA_LOCIDX(45009,44834,,\"SPX\")":0.805682,"VMI-US^P_BETA_LOCIDX(45008,44833,,\"SPX\")":0.78852046,"VMI-US^P_BETA_LOCIDX(45007,44832,,\"SPX\")":0.7977908,"VMI-US^P_BETA_LOCIDX(45006,44831,,\"SPX\")":0.78695124,"VMI-US^P_BETA_LOCIDX(45005,44830,,\"SPX\")":0.77632135,"VMI-US^P_BETA_LOCIDX(45002,44827,,\"SPX\")":0.7849092,"VMI-US^P_BETA_LOCIDX(45001,44826,,\"SPX\")":0.78005683,"VMI-US^P_BETA_LOCIDX(45000,44825,,\"SPX\")":0.7729527,"VMI-US^P_BETA_LOCIDX(44999,44824,,\"SPX\")":0.7723987,"VMI-US^P_BETA_LOCIDX(44998,44823,,\"SPX\")":0.7658739,"VMI-US^P_BETA_LOCIDX(44995,44820,,\"SPX\")":0.7679823,"VMI-US^P_BETA_LOCIDX(44994,44819,,\"SPX\")":0.75960726,"VMI-US^P_BETA_LOCIDX(44993,44818,,\"SPX\")":0.753147,"VMI-US^P_BETA_LOCIDX(44992,44817,,\"SPX\")":0.7334068,"VMI-US^P_BETA_LOCIDX(44991,44816,,\"SPX\")":0.7245194,"VMI-US^P_BETA_LOCIDX(44988,44813,,\"SPX\")":0.725426,"VMI-US^P_BETA_LOCIDX(44987,44812,,\"SPX\")":0.7178501,"VMI-US^P_BETA_LOCIDX(44986,44811,,\"SPX\")":0.73519206,"VMI-US^P_BETA_LOCIDX(44985,44810,,\"SPX\")":0.73938966,"VMI-US^P_BETA_LOCIDX(44984,44806,,\"SPX\")":0.7463984,"VMI-US^P_BETA_LOCIDX(44981,44805,,\"SPX\")":0.74548274,"VMI-US^P_BETA_LOCIDX(44980,44804,,\"SPX\")":0.76849926,"VMI-US^P_BETA_LOCIDX(44979,44803,,\"SPX\")":0.78241104,"VMI-US^P_BETA_LOCIDX(44978,44802,,\"SPX\")":0.78427577,"VMI-US^P_BETA_LOCIDX(44974,44799,,\"SPX\")":0.76697004,"VMI-US^P_BETA_LOCIDX(44973,44798,,\"SPX\")":0.7649578,"VMI-US^P_BETA_LOCIDX(44972,44797,,\"SPX\")":0.7747055,"VMI-US^P_BETA_LOCIDX(44971,44796,,\"SPX\")":0.77380115,"VMI-US^P_BETA_LOCIDX(44970,44795,,\"SPX\")":0.7759105,"VMI-US^P_BETA_LOCIDX(44967,44792,,\"SPX\")":0.7705488,"VMI-US^P_BETA_LOCIDX(44966,44791,,\"SPX\")":0.7723304,"VMI-US^P_BETA_LOCIDX(44965,44790,,\"SPX\")":0.77316976,"VMI-US^P_BETA_LOCIDX(44964,44789,,\"SPX\")":0.77391344,"VMI-US^P_BETA_LOCIDX(44963,44788,,\"SPX\")":0.77555037,"VMI-US^P_BETA_LOCIDX(44960,44785,,\"SPX\")":0.78008825,"VMI-US^P_BETA_LOCIDX(44959,44784,,\"SPX\")":0.7835276,"VMI-US^P_BETA_LOCIDX(44958,44783,,\"SPX\")":0.809755,"VMI-US^P_BETA_LOCIDX(44957,44782,,\"SPX\")":0.81215584,"VMI-US^P_BETA_LOCIDX(44956,44781,,\"SPX\")":0.8013297,"VMI-US^P_BETA_LOCIDX(44953,44778,,\"SPX\")":0.7961024,"VMI-US^P_BETA_LOCIDX(44952,44777,,\"SPX\")":0.79742664,"VMI-US^P_BETA_LOCIDX(44951,44776,,\"SPX\")":0.7958091,"VMI-US^P_BETA_LOCIDX(44950,44775,,\"SPX\")":0.7982402,"VMI-US^P_BETA_LOCIDX(44949,44774,,\"SPX\")":0.7978024,"VMI-US^P_BETA_LOCIDX(44946,44771,,\"SPX\")":0.80542797,"VMI-US^P_BETA_LOCIDX(44945,44770,,\"SPX\")":0.81697977,"VMI-US^P_BETA_LOCIDX(44944,44769,,\"SPX\")":0.7904984,"VMI-US^P_BETA_LOCIDX(44943,44768,,\"SPX\")":0.7795692,"VMI-US^P_BETA_LOCIDX(44939,44767,,\"SPX\")":0.7786461,"VMI-US^P_BETA_LOCIDX(44938,44764,,\"SPX\")":0.7795569,"VMI-US^P_BETA_LOCIDX(44937,44763,,\"SPX\")":0.79575515,"VMI-US^P_BETA_LOCIDX(44936,44762,,\"SPX\")":0.8000386,"VMI-US^P_BETA_LOCIDX(44935,44761,,\"SPX\")":0.815352,"VMI-US^P_BETA_LOCIDX(44932,44760,,\"SPX\")":0.815437,"VMI-US^P_BETA_LOCIDX(44931,44757,,\"SPX\")":0.81779444,"VMI-US^P_BETA_LOCIDX(44930,44756,,\"SPX\")":0.8147872,"VMI-US^P_BETA_LOCIDX(44929,44755,,\"SPX\")":0.82055324,"VMI-US^P_BETA_LOCIDX(44925,44754,,\"SPX\")":0.8251923,"VMI-US^P_BETA_LOCIDX(44924,44753,,\"SPX\")":0.8235722,"VMI-US^P_BETA_LOCIDX(44923,44750,,\"SPX\")":0.8324402,"VMI-US^P_BETA_LOCIDX(44922,44749,,\"SPX\")":0.8308008,"VMI-US^P_BETA_LOCIDX(44918,44748,,\"SPX\")":0.83065873,"VMI-US^P_BETA_LOCIDX(44917,44747,,\"SPX\")":0.8297745,"VMI-US^P_BETA_LOCIDX(44916,44743,,\"SPX\")":0.83231825,"VMI-US^P_BETA_LOCIDX(44915,44742,,\"SPX\")":0.8261918,"VMI-US^P_BETA_LOCIDX(44914,44741,,\"SPX\")":0.82639533,"VMI-US^P_BETA_LOCIDX(44911,44740,,\"SPX\")":0.84078324,"VMI-US^P_BETA_LOCIDX(44910,44739,,\"SPX\")":0.8418374,"VMI-US^P_BETA_LOCIDX(44909,44736,,\"SPX\")":0.84024185,"VMI-US^P_BETA_LOCIDX(44908,44735,,\"SPX\")":0.83336556,"VMI-US^P_BETA_LOCIDX(44907,44734,,\"SPX\")":0.8359863,"VMI-US^P_BETA_LOCIDX(44904,44733,,\"SPX\")":0.8431091,"VMI-US^P_BETA_LOCIDX(44903,44729,,\"SPX\")":0.8455157,"VMI-US^P_BETA_LOCIDX(44902,44728,,\"SPX\")":0.88955337,"VMI-US^P_BETA_LOCIDX(44901,44727,,\"SPX\")":0.8797148,"VMI-US^P_BETA_LOCIDX(44900,44726,,\"SPX\")":0.889469,"VMI-US^P_BETA_LOCIDX(44897,44725,,\"SPX\")":0.88419867,"VMI-US^P_BETA_LOCIDX(44896,44722,,\"SPX\")":0.890743,"VMI-US^P_BETA_LOCIDX(44895,44721,,\"SPX\")":0.88624865,"VMI-US^P_BETA_LOCIDX(44894,44720,,\"SPX\")":0.88863075,"VMI-US^P_BETA_LOCIDX(44893,44719,,\"SPX\")":0.88539916,"VMI-US^P_BETA_LOCIDX(44890,44718,,\"SPX\")":0.8800681,"VMI-US^P_BETA_LOCIDX(44888,44715,,\"SPX\")":0.8697917,"VMI-US^P_BETA_LOCIDX(44887,44714,,\"SPX\")":0.87561196,"VMI-US^P_BETA_LOCIDX(44886,44713,,\"SPX\")":0.87661684,"VMI-US^P_BETA_LOCIDX(44883,44712,,\"SPX\")":0.8821597,"VMI-US^P_BETA_LOCIDX(44882,44708,,\"SPX\")":0.8825804,"VMI-US^P_BETA_LOCIDX(44881,44707,,\"SPX\")":0.8756329,"VMI-US^P_BETA_LOCIDX(44880,44706,,\"SPX\")":0.8781978,"VMI-US^P_BETA_LOCIDX(44879,44705,,\"SPX\")":0.8796688,"VMI-US^P_BETA_LOCIDX(44876,44704,,\"SPX\")":0.8869954,"VMI-US^P_BETA_LOCIDX(44875,44701,,\"SPX\")":0.89468384,"VMI-US^P_BETA_LOCIDX(44874,44700,,\"SPX\")":0.9389362,"VMI-US^P_BETA_LOCIDX(44873,44699,,\"SPX\")":0.9155308,"VMI-US^P_BETA_LOCIDX(44872,44698,,\"SPX\")":0.91486174,"VMI-US^P_BETA_LOCIDX(44869,44697,,\"SPX\")":0.9169415,"VMI-US^P_BETA_LOCIDX(44868,44694,,\"SPX\")":0.9019705,"VMI-US^P_BETA_LOCIDX(44867,44693,,\"SPX\")":0.9075203,"VMI-US^P_BETA_LOCIDX(44866,44692,,\"SPX\")":0.89151955,"VMI-US^P_BETA_LOCIDX(44865,44691,,\"SPX\")":0.8904278,"VMI-US^P_BETA_LOCIDX(44862,44690,,\"SPX\")":0.8984533,"VMI-US^P_BETA_LOCIDX(44861,44687,,\"SPX\")":0.90685815,"VMI-US^P_BETA_LOCIDX(44860,44686,,\"SPX\")":0.90851015,"VMI-US^P_BETA_LOCIDX(44859,44685,,\"SPX\")":0.9023417,"VMI-US^P_BETA_LOCIDX(44858,44684,,\"SPX\")":0.9027292,"VMI-US^P_BETA_LOCIDX(44855,44683,,\"SPX\")":0.9000867,"VMI-US^P_BETA_LOCIDX(44854,44680,,\"SPX\")":0.8767805,"VMI-US^P_BETA_LOCIDX(44853,44679,,\"SPX\")":0.85406786,"VMI-US^P_BETA_LOCIDX(44852,44678,,\"SPX\")":0.85303664,"VMI-US^P_BETA_LOCIDX(44851,44677,,\"SPX\")":0.86407375,"VMI-US^P_BETA_LOCIDX(44848,44676,,\"SPX\")":0.84735477,"VMI-US^P_BETA_LOCIDX(44847,44673,,\"SPX\")":0.8260285,"VMI-US^P_BETA_LOCIDX(44846,44672,,\"SPX\")":0.8040255,"VMI-US^P_BETA_LOCIDX(44845,44671,,\"SPX\")":0.80334127,"VMI-US^P_BETA_LOCIDX(44844,44670,,\"SPX\")":0.8098673,"VMI-US^P_BETA_LOCIDX(44841,44669,,\"SPX\")":0.8106415,"VMI-US^P_BETA_LOCIDX(44840,44665,,\"SPX\")":0.80756456,"VMI-US^P_BETA_LOCIDX(44839,44664,,\"SPX\")":0.8058027,"VMI-US^P_BETA_LOCIDX(44838,44663,,\"SPX\")":0.8051405,"VMI-US^P_BETA_LOCIDX(44837,44662,,\"SPX\")":0.80629754,"VMI-US^P_BETA_LOCIDX(44834,44659,,\"SPX\")":0.77881575,"VMI-US^P_BETA_LOCIDX(44833,44658,,\"SPX\")":0.7839358,"VMI-US^P_BETA_LOCIDX(44832,44657,,\"SPX\")":0.79540473,"VMI-US^P_BETA_LOCIDX(44831,44656,,\"SPX\")":0.8012879,"VMI-US^P_BETA_LOCIDX(44830,44655,,\"SPX\")":0.7956079,"VMI-US^P_BETA_LOCIDX(44827,44652,,\"SPX\")":0.80366015,"VMI-US^P_BETA_LOCIDX(44826,44651,,\"SPX\")":0.786019,"VMI-US^P_BETA_LOCIDX(44825,44650,,\"SPX\")":0.7884544,"VMI-US^P_BETA_LOCIDX(44824,44649,,\"SPX\")":0.7851377,"VMI-US^P_BETA_LOCIDX(44823,44648,,\"SPX\")":0.7778154,"VMI-US^P_BETA_LOCIDX(44820,44645,,\"SPX\")":0.7772321,"VMI-US^P_BETA_LOCIDX(44819,44644,,\"SPX\")":0.76672566,"VMI-US^P_BETA_LOCIDX(44818,44643,,\"SPX\")":0.7706627,"VMI-US^P_BETA_LOCIDX(44817,44642,,\"SPX\")":0.7737832,"VMI-US^P_BETA_LOCIDX(44816,44641,,\"SPX\")":0.7904485,"VMI-US^P_BETA_LOCIDX(44813,44638,,\"SPX\")":0.7937588,"VMI-US^P_BETA_LOCIDX(44812,44637,,\"SPX\")":0.79526097,"VMI-US^P_BETA_LOCIDX(44811,44636,,\"SPX\")":0.8005281,"VMI-US^P_BETA_LOCIDX(44810,44635,,\"SPX\")":0.7857548,"VMI-US^P_BETA_LOCIDX(44806,44634,,\"SPX\")":0.78781945,"VMI-US^P_BETA_LOCIDX(44805,44631,,\"SPX\")":0.7822366,"VMI-US^P_BETA_LOCIDX(44804,44630,,\"SPX\")":0.782065,"VMI-US^P_BETA_LOCIDX(44803,44629,,\"SPX\")":0.77482265,"VMI-US^P_BETA_LOCIDX(44802,44628,,\"SPX\")":0.7682529,"VMI-US^P_BETA_LOCIDX(44799,44627,,\"SPX\")":0.7397139,"VMI-US^P_BETA_LOCIDX(44798,44624,,\"SPX\")":0.7510895,"VMI-US^P_BETA_LOCIDX(44797,44623,,\"SPX\")":0.7527552,"VMI-US^P_BETA_LOCIDX(44796,44622,,\"SPX\")":0.77100694,"VMI-US^P_BETA_LOCIDX(44795,44621,,\"SPX\")":0.78534925,"VMI-US^P_BETA_LOCIDX(44792,44620,,\"SPX\")":0.7832853,"VMI-US^P_BETA_LOCIDX(44791,44617,,\"SPX\")":0.77992934,"VMI-US^P_BETA_LOCIDX(44790,44616,,\"SPX\")":0.78367066,"VMI-US^P_BETA_LOCIDX(44789,44615,,\"SPX\")":0.78998566,"VMI-US^P_BETA_LOCIDX(44788,44614,,\"SPX\")":0.7900322,"VMI-US^P_BETA_LOCIDX(44785,44610,,\"SPX\")":0.7957688,"VMI-US^P_BETA_LOCIDX(44784,44609,,\"SPX\")":0.79172975,"VMI-US^P_BETA_LOCIDX(44783,44608,,\"SPX\")":0.7917951,"VMI-US^P_BETA_LOCIDX(44782,44607,,\"SPX\")":0.7989376,"VMI-US^P_BETA_LOCIDX(44781,44606,,\"SPX\")":0.79799753,"VMI-US^P_BETA_LOCIDX(44778,44603,,\"SPX\")":0.7967641,"VMI-US^P_BETA_LOCIDX(44777,44602,,\"SPX\")":0.79935694,"VMI-US^P_BETA_LOCIDX(44776,44601,,\"SPX\")":0.807957,"VMI-US^P_BETA_LOCIDX(44775,44600,,\"SPX\")":0.81659675,"VMI-US^P_BETA_LOCIDX(44774,44599,,\"SPX\")":0.81523633,"VMI-US^P_BETA_LOCIDX(45845,45670,,\"SPX\")":1.0332052,"AYI-US^P_BETA_LOCIDX(45841,45665,,\"SPX\")":1.1982236,"AYI-US^P_BETA_LOCIDX(45840,45664,,\"SPX\")":1.2007276,"AYI-US^P_BETA_LOCIDX(45839,45663,,\"SPX\")":1.2041556,"AYI-US^P_BETA_LOCIDX(45838,45660,,\"SPX\")":1.2039014,"AYI-US^P_BETA_LOCIDX(45835,45659,,\"SPX\")":1.2051163,"AYI-US^P_BETA_LOCIDX(45834,45657,,\"SPX\")":1.2068954,"AYI-US^P_BETA_LOCIDX(45833,45656,,\"SPX\")":1.1935973,"AYI-US^P_BETA_LOCIDX(45832,45653,,\"SPX\")":1.1951578,"AYI-US^P_BETA_LOCIDX(45831,45652,,\"SPX\")":1.1951448,"AYI-US^P_BETA_LOCIDX(45828,45650,,\"SPX\")":1.1856611,"AYI-US^P_BETA_LOCIDX(45826,45649,,\"SPX\")":1.1824071,"AYI-US^P_BETA_LOCIDX(45825,45646,,\"SPX\")":1.1783092,"AYI-US^P_BETA_LOCIDX(45824,45645,,\"SPX\")":1.1840444,"AYI-US^P_BETA_LOCIDX(45821,45644,,\"SPX\")":1.1873641,"AYI-US^P_BETA_LOCIDX(45820,45643,,\"SPX\")":1.1891646,"AYI-US^P_BETA_LOCIDX(45819,45642,,\"SPX\")":1.1916214999999999,"AYI-US^P_BETA_LOCIDX(45818,45639,,\"SPX\")":1.1913953,"AYI-US^P_BETA_LOCIDX(45817,45638,,\"SPX\")":1.1868324,"AYI-US^P_BETA_LOCIDX(45814,45637,,\"SPX\")":1.1881894,"AYI-US^P_BETA_LOCIDX(45813,45636,,\"SPX\")":1.1859473,"AYI-US^P_BETA_LOCIDX(45812,45635,,\"SPX\")":1.1886083,"AYI-US^P_BETA_LOCIDX(45811,45632,,\"SPX\")":1.188818,"AYI-US^P_BETA_LOCIDX(45810,45631,,\"SPX\")":1.1841216,"AYI-US^P_BETA_LOCIDX(45807,45630,,\"SPX\")":1.1876265,"AYI-US^P_BETA_LOCIDX(45806,45629,,\"SPX\")":1.1877939,"AYI-US^P_BETA_LOCIDX(45805,45628,,\"SPX\")":1.1884811,"AYI-US^P_BETA_LOCIDX(45804,45625,,\"SPX\")":1.1875517,"AYI-US^P_BETA_LOCIDX(45800,45623,,\"SPX\")":1.1934011,"AYI-US^P_BETA_LOCIDX(45799,45622,,\"SPX\")":1.18861,"AYI-US^P_BETA_LOCIDX(45798,45621,,\"SPX\")":1.1896149,"AYI-US^P_BETA_LOCIDX(45797,45618,,\"SPX\")":1.1859405,"AYI-US^P_BETA_LOCIDX(45796,45617,,\"SPX\")":1.1878507,"AYI-US^P_BETA_LOCIDX(45793,45616,,\"SPX\")":1.1880486,"AYI-US^P_BETA_LOCIDX(45792,45615,,\"SPX\")":1.1854908,"AYI-US^P_BETA_LOCIDX(45791,45614,,\"SPX\")":1.1847136,"AYI-US^P_BETA_LOCIDX(45790,45611,,\"SPX\")":1.182389,"AYI-US^P_BETA_LOCIDX(45789,45610,,\"SPX\")":1.1806812,"AYI-US^P_BETA_LOCIDX(45786,45609,,\"SPX\")":1.1564243,"AYI-US^P_BETA_LOCIDX(45785,45608,,\"SPX\")":1.1564553,"AYI-US^P_BETA_LOCIDX(45784,45607,,\"SPX\")":1.1535614,"AYI-US^P_BETA_LOCIDX(45783,45604,,\"SPX\")":1.1556643,"AYI-US^P_BETA_LOCIDX(45782,45603,,\"SPX\")":1.1572019,"AYI-US^P_BETA_LOCIDX(45779,45602,,\"SPX\")":1.1513946,"AYI-US^P_BETA_LOCIDX(45778,45601,,\"SPX\")":1.1410142,"AYI-US^P_BETA_LOCIDX(45777,45600,,\"SPX\")":1.1432165,"AYI-US^P_BETA_LOCIDX(45776,45597,,\"SPX\")":1.1451066,"AYI-US^P_BETA_LOCIDX(45775,45596,,\"SPX\")":1.1349244,"AYI-US^P_BETA_LOCIDX(45772,45595,,\"SPX\")":1.1350092,"AYI-US^P_BETA_LOCIDX(45771,45594,,\"SPX\")":1.13698,"AYI-US^P_BETA_LOCIDX(45770,45593,,\"SPX\")":1.1249497,"AYI-US^P_BETA_LOCIDX(45769,45590,,\"SPX\")":1.1301066,"AYI-US^P_BETA_LOCIDX(45768,45589,,\"SPX\")":1.1434065,"AYI-US^P_BETA_LOCIDX(45764,45588,,\"SPX\")":1.1613889,"AYI-US^P_BETA_LOCIDX(45763,45587,,\"SPX\")":1.161038,"AYI-US^P_BETA_LOCIDX(45762,45586,,\"SPX\")":1.1590738,"AYI-US^P_BETA_LOCIDX(45761,45583,,\"SPX\")":1.1585971,"AYI-US^P_BETA_LOCIDX(45758,45582,,\"SPX\")":1.1624832,"AYI-US^P_BETA_LOCIDX(45757,45581,,\"SPX\")":1.1579674,"AYI-US^P_BETA_LOCIDX(45756,45580,,\"SPX\")":1.1483964,"AYI-US^P_BETA_LOCIDX(45755,45579,,\"SPX\")":1.188709,"AYI-US^P_BETA_LOCIDX(45754,45576,,\"SPX\")":1.2003672,"AYI-US^P_BETA_LOCIDX(45751,45575,,\"SPX\")":1.1994443,"AYI-US^P_BETA_LOCIDX(45750,45574,,\"SPX\")":1.0996646,"AYI-US^P_BETA_LOCIDX(45749,45573,,\"SPX\")":1.1767403,"AYI-US^P_BETA_LOCIDX(45748,45572,,\"SPX\")":1.1595341,"AYI-US^P_BETA_LOCIDX(45747,45569,,\"SPX\")":1.1782131,"AYI-US^P_BETA_LOCIDX(45744,45568,,\"SPX\")":1.1791586,"AYI-US^P_BETA_LOCIDX(45743,45567,,\"SPX\")":1.1837218,"AYI-US^P_BETA_LOCIDX(45742,45566,,\"SPX\")":1.0878607,"AYI-US^P_BETA_LOCIDX(45741,45565,,\"SPX\")":1.0908285,"AYI-US^P_BETA_LOCIDX(45740,45562,,\"SPX\")":1.0908105,"AYI-US^P_BETA_LOCIDX(45737,45561,,\"SPX\")":1.0481731,"AYI-US^P_BETA_LOCIDX(45736,45560,,\"SPX\")":1.0519414,"AYI-US^P_BETA_LOCIDX(45735,45559,,\"SPX\")":1.0528806,"AYI-US^P_BETA_LOCIDX(45734,45558,,\"SPX\")":1.0523851,"AYI-US^P_BETA_LOCIDX(45733,45555,,\"SPX\")":1.0515746,"AYI-US^P_BETA_LOCIDX(45730,45554,,\"SPX\")":1.0399365,"AYI-US^P_BETA_LOCIDX(45729,45553,,\"SPX\")":1.0424712,"AYI-US^P_BETA_LOCIDX(45728,45552,,\"SPX\")":1.0287406,"AYI-US^P_BETA_LOCIDX(45727,45551,,\"SPX\")":1.0425382,"AYI-US^P_BETA_LOCIDX(45726,45548,,\"SPX\")":1.0553426,"AYI-US^P_BETA_LOCIDX(45723,45547,,\"SPX\")":0.99070543,"AYI-US^P_BETA_LOCIDX(45722,45546,,\"SPX\")":0.9594136,"AYI-US^P_BETA_LOCIDX(45721,45545,,\"SPX\")":1.0308044,"AYI-US^P_BETA_LOCIDX(45720,45544,,\"SPX\")":1.0523573,"AYI-US^P_BETA_LOCIDX(45719,45541,,\"SPX\")":0.95861626,"AYI-US^P_BETA_LOCIDX(45716,45540,,\"SPX\")":0.91055185,"AYI-US^P_BETA_LOCIDX(45715,45539,,\"SPX\")":0.9546549,"AYI-US^P_BETA_LOCIDX(45714,45538,,\"SPX\")":0.9517462,"AYI-US^P_BETA_LOCIDX(45713,45534,,\"SPX\")":0.9624787,"AYI-US^P_BETA_LOCIDX(45712,45533,,\"SPX\")":0.968891,"AYI-US^P_BETA_LOCIDX(45709,45532,,\"SPX\")":0.9652744,"AYI-US^P_BETA_LOCIDX(45708,45531,,\"SPX\")":0.9113774,"AYI-US^P_BETA_LOCIDX(45707,45530,,\"SPX\")":0.8949756,"AYI-US^P_BETA_LOCIDX(45706,45527,,\"SPX\")":0.92497945,"AYI-US^P_BETA_LOCIDX(45702,45526,,\"SPX\")":0.9172729,"AYI-US^P_BETA_LOCIDX(45701,45525,,\"SPX\")":0.9225314,"AYI-US^P_BETA_LOCIDX(45700,45524,,\"SPX\")":0.9322169,"AYI-US^P_BETA_LOCIDX(45699,45523,,\"SPX\")":0.9351678,"AYI-US^P_BETA_LOCIDX(45698,45520,,\"SPX\")":0.93557894,"AYI-US^P_BETA_LOCIDX(45695,45519,,\"SPX\")":0.9578652,"AYI-US^P_BETA_LOCIDX(45694,45518,,\"SPX\")":0.9428508,"AYI-US^P_BETA_LOCIDX(45693,45517,,\"SPX\")":0.9592908,"AYI-US^P_BETA_LOCIDX(45692,45516,,\"SPX\")":0.95520306,"AYI-US^P_BETA_LOCIDX(45691,45513,,\"SPX\")":0.9582225,"AYI-US^P_BETA_LOCIDX(45688,45512,,\"SPX\")":0.9140753,"AYI-US^P_BETA_LOCIDX(45687,45511,,\"SPX\")":0.9132161,"AYI-US^P_BETA_LOCIDX(45686,45510,,\"SPX\")":0.89921373,"AYI-US^P_BETA_LOCIDX(45685,45509,,\"SPX\")":0.9148511,"AYI-US^P_BETA_LOCIDX(45684,45506,,\"SPX\")":0.97381157,"AYI-US^P_BETA_LOCIDX(45681,45505,,\"SPX\")":1.0182732,"AYI-US^P_BETA_LOCIDX(45680,45504,,\"SPX\")":1.0038553,"AYI-US^P_BETA_LOCIDX(45679,45503,,\"SPX\")":1.004492,"AYI-US^P_BETA_LOCIDX(45678,45502,,\"SPX\")":1.006988,"AYI-US^P_BETA_LOCIDX(45674,45499,,\"SPX\")":1.0027643,"AYI-US^P_BETA_LOCIDX(45673,45498,,\"SPX\")":1.0155436,"AYI-US^P_BETA_LOCIDX(45672,45497,,\"SPX\")":1.070455,"AYI-US^P_BETA_LOCIDX(45671,45496,,\"SPX\")":1.0836234,"AYI-US^P_BETA_LOCIDX(45670,45495,,\"SPX\")":1.0756012,"AYI-US^P_BETA_LOCIDX(45667,45492,,\"SPX\")":1.0789671,"AYI-US^P_BETA_LOCIDX(45665,45491,,\"SPX\")":1.0606053,"AYI-US^P_BETA_LOCIDX(45664,45490,,\"SPX\")":1.0967246,"AYI-US^P_BETA_LOCIDX(45663,45489,,\"SPX\")":1.1385083,"AYI-US^P_BETA_LOCIDX(45660,45488,,\"SPX\")":1.1365166,"AYI-US^P_BETA_LOCIDX(45659,45485,,\"SPX\")":1.141459,"AYI-US^P_BETA_LOCIDX(45657,45484,,\"SPX\")":1.1221672,"AYI-US^P_BETA_LOCIDX(45656,45483,,\"SPX\")":1.1181904,"AYI-US^P_BETA_LOCIDX(45653,45482,,\"SPX\")":1.1164724,"AYI-US^P_BETA_LOCIDX(45652,45481,,\"SPX\")":1.1087838,"AYI-US^P_BETA_LOCIDX(45650,45478,,\"SPX\")":1.0970856,"AYI-US^P_BETA_LOCIDX(45649,45476,,\"SPX\")":1.1043317,"AYI-US^P_BETA_LOCIDX(45646,45475,,\"SPX\")":1.1122334,"AYI-US^P_BETA_LOCIDX(45645,45474,,\"SPX\")":1.1257888,"AYI-US^P_BETA_LOCIDX(45644,45471,,\"SPX\")":1.1274728999999999,"AYI-US^P_BETA_LOCIDX(45643,45470,,\"SPX\")":1.1015902,"AYI-US^P_BETA_LOCIDX(45642,45469,,\"SPX\")":1.095068,"AYI-US^P_BETA_LOCIDX(45639,45468,,\"SPX\")":1.0890666,"AYI-US^P_BETA_LOCIDX(45638,45467,,\"SPX\")":1.0811778,"AYI-US^P_BETA_LOCIDX(45637,45464,,\"SPX\")":1.0901084,"AYI-US^P_BETA_LOCIDX(45636,45463,,\"SPX\")":1.0941774,"AYI-US^P_BETA_LOCIDX(45635,45461,,\"SPX\")":1.0845894,"AYI-US^P_BETA_LOCIDX(45632,45460,,\"SPX\")":1.0944312,"AYI-US^P_BETA_LOCIDX(45631,45457,,\"SPX\")":1.098609,"AYI-US^P_BETA_LOCIDX(45630,45456,,\"SPX\")":1.0950893,"AYI-US^P_BETA_LOCIDX(45629,45455,,\"SPX\")":1.1060109,"AYI-US^P_BETA_LOCIDX(45628,45454,,\"SPX\")":1.1029892,"AYI-US^P_BETA_LOCIDX(45625,45453,,\"SPX\")":1.1045545,"AYI-US^P_BETA_LOCIDX(45623,45450,,\"SPX\")":1.1083142,"AYI-US^P_BETA_LOCIDX(45622,45449,,\"SPX\")":1.106696,"AYI-US^P_BETA_LOCIDX(45621,45448,,\"SPX\")":1.1446991,"AYI-US^P_BETA_LOCIDX(45618,45447,,\"SPX\")":1.1420829,"AYI-US^P_BETA_LOCIDX(45617,45446,,\"SPX\")":1.1381706,"AYI-US^P_BETA_LOCIDX(45616,45443,,\"SPX\")":1.1343739,"AYI-US^P_BETA_LOCIDX(45615,45442,,\"SPX\")":1.1178104,"AYI-US^P_BETA_LOCIDX(45614,45441,,\"SPX\")":1.1199516,"AYI-US^P_BETA_LOCIDX(45611,45440,,\"SPX\")":1.1269621,"AYI-US^P_BETA_LOCIDX(45610,45436,,\"SPX\")":1.1249745,"AYI-US^P_BETA_LOCIDX(45609,45435,,\"SPX\")":1.1220907,"AYI-US^P_BETA_LOCIDX(45608,45434,,\"SPX\")":1.1232269,"AYI-US^P_BETA_LOCIDX(45607,45433,,\"SPX\")":1.123496,"AYI-US^P_BETA_LOCIDX(45604,45432,,\"SPX\")":1.1234636,"AYI-US^P_BETA_LOCIDX(45603,45429,,\"SPX\")":1.119235,"AYI-US^P_BETA_LOCIDX(45602,45428,,\"SPX\")":1.1194493,"AYI-US^P_BETA_LOCIDX(45601,45427,,\"SPX\")":1.1482335,"AYI-US^P_BETA_LOCIDX(45600,45426,,\"SPX\")":1.1339169,"AYI-US^P_BETA_LOCIDX(45597,45425,,\"SPX\")":1.1373897,"AYI-US^P_BETA_LOCIDX(45596,45422,,\"SPX\")":1.1309794,"AYI-US^P_BETA_LOCIDX(45595,45421,,\"SPX\")":1.177439,"AYI-US^P_BETA_LOCIDX(45594,45420,,\"SPX\")":1.1756849,"AYI-US^P_BETA_LOCIDX(45593,45419,,\"SPX\")":1.1766611,"AYI-US^P_BETA_LOCIDX(45590,45418,,\"SPX\")":1.1825229,"AYI-US^P_BETA_LOCIDX(45589,45415,,\"SPX\")":1.1857421,"AYI-US^P_BETA_LOCIDX(45588,45414,,\"SPX\")":1.1919122,"AYI-US^P_BETA_LOCIDX(45587,45413,,\"SPX\")":1.2139351,"AYI-US^P_BETA_LOCIDX(45586,45412,,\"SPX\")":1.216277,"AYI-US^P_BETA_LOCIDX(45583,45411,,\"SPX\")":1.211932,"AYI-US^P_BETA_LOCIDX(45582,45408,,\"SPX\")":1.2007132,"AYI-US^P_BETA_LOCIDX(45581,45407,,\"SPX\")":1.2016913,"AYI-US^P_BETA_LOCIDX(45580,45406,,\"SPX\")":1.2045145,"AYI-US^P_BETA_LOCIDX(45579,45405,,\"SPX\")":1.2088007,"AYI-US^P_BETA_LOCIDX(45576,45404,,\"SPX\")":1.2134316,"AYI-US^P_BETA_LOCIDX(45575,45401,,\"SPX\")":1.1888525,"AYI-US^P_BETA_LOCIDX(45574,45400,,\"SPX\")":1.1847442,"AYI-US^P_BETA_LOCIDX(45573,45399,,\"SPX\")":1.1971027,"AYI-US^P_BETA_LOCIDX(45572,45398,,\"SPX\")":1.21776,"AYI-US^P_BETA_LOCIDX(45569,45397,,\"SPX\")":1.2448399,"AYI-US^P_BETA_LOCIDX(45568,45394,,\"SPX\")":1.2461439,"AYI-US^P_BETA_LOCIDX(45567,45393,,\"SPX\")":1.234589,"AYI-US^P_BETA_LOCIDX(45566,45392,,\"SPX\")":1.222392,"AYI-US^P_BETA_LOCIDX(45565,45391,,\"SPX\")":1.3369111,"AYI-US^P_BETA_LOCIDX(45562,45390,,\"SPX\")":1.3329425,"AYI-US^P_BETA_LOCIDX(45561,45387,,\"SPX\")":1.3501867,"AYI-US^P_BETA_LOCIDX(45560,45386,,\"SPX\")":1.3252426,"AYI-US^P_BETA_LOCIDX(45559,45385,,\"SPX\")":1.3218368,"AYI-US^P_BETA_LOCIDX(45558,45384,,\"SPX\")":1.3237586,"AYI-US^P_BETA_LOCIDX(45555,45383,,\"SPX\")":1.3279716,"AYI-US^P_BETA_LOCIDX(45554,45379,,\"SPX\")":1.3293434,"AYI-US^P_BETA_LOCIDX(45553,45378,,\"SPX\")":1.3310751,"AYI-US^P_BETA_LOCIDX(45552,45377,,\"SPX\")":1.3333172,"AYI-US^P_BETA_LOCIDX(45551,45376,,\"SPX\")":1.3343885,"AYI-US^P_BETA_LOCIDX(45548,45373,,\"SPX\")":1.3336922,"AYI-US^P_BETA_LOCIDX(45547,45372,,\"SPX\")":1.3317498,"AYI-US^P_BETA_LOCIDX(45546,45371,,\"SPX\")":1.3189716,"AYI-US^P_BETA_LOCIDX(45545,45370,,\"SPX\")":1.3468559,"AYI-US^P_BETA_LOCIDX(45544,45369,,\"SPX\")":1.3493396,"AYI-US^P_BETA_LOCIDX(45541,45366,,\"SPX\")":1.3221711,"AYI-US^P_BETA_LOCIDX(45540,45365,,\"SPX\")":1.3855823,"AYI-US^P_BETA_LOCIDX(45539,45364,,\"SPX\")":1.3771783,"AYI-US^P_BETA_LOCIDX(45538,45363,,\"SPX\")":1.3800277,"AYI-US^P_BETA_LOCIDX(45534,45362,,\"SPX\")":1.3689412,"AYI-US^P_BETA_LOCIDX(45533,45359,,\"SPX\")":1.3628222,"AYI-US^P_BETA_LOCIDX(45532,45358,,\"SPX\")":1.3322836,"AYI-US^P_BETA_LOCIDX(45531,45357,,\"SPX\")":1.3397245,"AYI-US^P_BETA_LOCIDX(45530,45356,,\"SPX\")":1.3248719,"AYI-US^P_BETA_LOCIDX(45527,45355,,\"SPX\")":1.3269445,"AYI-US^P_BETA_LOCIDX(45526,45352,,\"SPX\")":1.2971375,"AYI-US^P_BETA_LOCIDX(45525,45351,,\"SPX\")":1.3124111,"AYI-US^P_BETA_LOCIDX(45524,45350,,\"SPX\")":1.3068955,"AYI-US^P_BETA_LOCIDX(45523,45349,,\"SPX\")":1.3097388,"AYI-US^P_BETA_LOCIDX(45520,45348,,\"SPX\")":1.3050545,"AYI-US^P_BETA_LOCIDX(45519,45345,,\"SPX\")":1.3042705,"AYI-US^P_BETA_LOCIDX(45518,45344,,\"SPX\")":1.2794508,"AYI-US^P_BETA_LOCIDX(45517,45343,,\"SPX\")":1.2822063,"AYI-US^P_BETA_LOCIDX(45516,45342,,\"SPX\")":1.2614207,"AYI-US^P_BETA_LOCIDX(45513,45338,,\"SPX\")":1.2610065,"AYI-US^P_BETA_LOCIDX(45512,45337,,\"SPX\")":1.2564576,"AYI-US^P_BETA_LOCIDX(45511,45336,,\"SPX\")":1.2917129,"AYI-US^P_BETA_LOCIDX(45510,45335,,\"SPX\")":1.3097979,"AYI-US^P_BETA_LOCIDX(45509,45334,,\"SPX\")":1.3204263,"AYI-US^P_BETA_LOCIDX(45506,45331,,\"SPX\")":1.3646538,"AYI-US^P_BETA_LOCIDX(45505,45330,,\"SPX\")":1.3271621,"AYI-US^P_BETA_LOCIDX(45504,45329,,\"SPX\")":1.2553915,"AYI-US^P_BETA_LOCIDX(45503,45328,,\"SPX\")":1.2776629,"AYI-US^P_BETA_LOCIDX(45502,45327,,\"SPX\")":1.2882111,"AYI-US^P_BETA_LOCIDX(45499,45324,,\"SPX\")":1.2607313,"AYI-US^P_BETA_LOCIDX(45498,45323,,\"SPX\")":1.2477648,"AYI-US^P_BETA_LOCIDX(45497,45322,,\"SPX\")":1.2473799,"AYI-US^P_BETA_LOCIDX(45496,45321,,\"SPX\")":1.1830916,"AYI-US^P_BETA_LOCIDX(45495,45320,,\"SPX\")":1.1856062,"AYI-US^P_BETA_LOCIDX(45492,45317,,\"SPX\")":1.1893768,"AYI-US^P_BETA_LOCIDX(45491,45316,,\"SPX\")":1.20714,"AYI-US^P_BETA_LOCIDX(45490,45315,,\"SPX\")":1.2130089,"AYI-US^P_BETA_LOCIDX(45489,45314,,\"SPX\")":1.1391356,"AYI-US^P_BETA_LOCIDX(45488,45313,,\"SPX\")":1.0677874,"AYI-US^P_BETA_LOCIDX(45485,45310,,\"SPX\")":1.0738647,"AYI-US^P_BETA_LOCIDX(45484,45309,,\"SPX\")":1.075703,"AYI-US^P_BETA_LOCIDX(45483,45308,,\"SPX\")":1.1228831,"AYI-US^P_BETA_LOCIDX(45482,45307,,\"SPX\")":1.1195723,"AYI-US^P_BETA_LOCIDX(45481,45303,,\"SPX\")":1.1186656,"AYI-US^P_BETA_LOCIDX(45478,45302,,\"SPX\")":1.1262347,"AYI-US^P_BETA_LOCIDX(45476,45301,,\"SPX\")":1.1461335,"AYI-US^P_BETA_LOCIDX(45475,45300,,\"SPX\")":1.0913694,"AYI-US^P_BETA_LOCIDX(45474,45299,,\"SPX\")":1.0422657,"AYI-US^P_BETA_LOCIDX(45471,45296,,\"SPX\")":1.043759,"AYI-US^P_BETA_LOCIDX(45470,45295,,\"SPX\")":1.0304961,"AYI-US^P_BETA_LOCIDX(45469,45294,,\"SPX\")":1.0316259,"AYI-US^P_BETA_LOCIDX(45468,45293,,\"SPX\")":1.0359036,"AYI-US^P_BETA_LOCIDX(45467,45289,,\"SPX\")":1.0455828,"AYI-US^P_BETA_LOCIDX(45464,45288,,\"SPX\")":1.0572404,"AYI-US^P_BETA_LOCIDX(45463,45287,,\"SPX\")":1.0451645,"AYI-US^P_BETA_LOCIDX(45461,45286,,\"SPX\")":1.0355954,"AYI-US^P_BETA_LOCIDX(45460,45282,,\"SPX\")":1.0450239,"AYI-US^P_BETA_LOCIDX(45457,45281,,\"SPX\")":0.9949092,"AYI-US^P_BETA_LOCIDX(45456,45280,,\"SPX\")":0.94923455,"AYI-US^P_BETA_LOCIDX(45455,45279,,\"SPX\")":0.94390553,"AYI-US^P_BETA_LOCIDX(45454,45278,,\"SPX\")":0.9181266,"AYI-US^P_BETA_LOCIDX(45453,45275,,\"SPX\")":0.9242679,"AYI-US^P_BETA_LOCIDX(45450,45274,,\"SPX\")":0.9341652,"AYI-US^P_BETA_LOCIDX(45449,45273,,\"SPX\")":0.9544552,"AYI-US^P_BETA_LOCIDX(45448,45272,,\"SPX\")":0.94760716,"AYI-US^P_BETA_LOCIDX(45447,45271,,\"SPX\")":0.9117478,"AYI-US^P_BETA_LOCIDX(45446,45268,,\"SPX\")":0.9126698,"AYI-US^P_BETA_LOCIDX(45443,45267,,\"SPX\")":0.91192126,"AYI-US^P_BETA_LOCIDX(45442,45266,,\"SPX\")":0.89182633,"AYI-US^P_BETA_LOCIDX(45441,45265,,\"SPX\")":0.9179243,"AYI-US^P_BETA_LOCIDX(45440,45264,,\"SPX\")":0.91256833,"AYI-US^P_BETA_LOCIDX(45436,45261,,\"SPX\")":0.91622543,"AYI-US^P_BETA_LOCIDX(45435,45260,,\"SPX\")":0.92670345,"AYI-US^P_BETA_LOCIDX(45434,45259,,\"SPX\")":0.9307422,"AYI-US^P_BETA_LOCIDX(45433,45258,,\"SPX\")":0.92872316,"AYI-US^P_BETA_LOCIDX(45432,45257,,\"SPX\")":0.920984,"AYI-US^P_BETA_LOCIDX(45429,45254,,\"SPX\")":0.921571,"AYI-US^P_BETA_LOCIDX(45428,45252,,\"SPX\")":0.91654754,"AYI-US^P_BETA_LOCIDX(45427,45251,,\"SPX\")":0.91107494,"AYI-US^P_BETA_LOCIDX(45426,45250,,\"SPX\")":0.8953866,"AYI-US^P_BETA_LOCIDX(45425,45247,,\"SPX\")":0.89744097,"AYI-US^P_BETA_LOCIDX(45422,45246,,\"SPX\")":0.8940465,"AYI-US^P_BETA_LOCIDX(45421,45245,,\"SPX\")":0.8941067,"AYI-US^P_BETA_LOCIDX(45420,45244,,\"SPX\")":0.94955397,"AYI-US^P_BETA_LOCIDX(45419,45243,,\"SPX\")":0.9503974,"AYI-US^P_BETA_LOCIDX(45418,45240,,\"SPX\")":0.9962913,"AYI-US^P_BETA_LOCIDX(45415,45239,,\"SPX\")":0.9818018,"AYI-US^P_BETA_LOCIDX(45414,45238,,\"SPX\")":0.9795823,"AYI-US^P_BETA_LOCIDX(45413,45237,,\"SPX\")":0.96954197,"AYI-US^P_BETA_LOCIDX(45412,45236,,\"SPX\")":0.9621746,"AYI-US^P_BETA_LOCIDX(45411,45233,,\"SPX\")":0.94893855,"AYI-US^P_BETA_LOCIDX(45408,45232,,\"SPX\")":0.9719878,"AYI-US^P_BETA_LOCIDX(45407,45231,,\"SPX\")":0.97162503,"AYI-US^P_BETA_LOCIDX(45406,45230,,\"SPX\")":0.9751787,"AYI-US^P_BETA_LOCIDX(45405,45229,,\"SPX\")":0.9587869,"AYI-US^P_BETA_LOCIDX(45404,45226,,\"SPX\")":0.94729096,"AYI-US^P_BETA_LOCIDX(45401,45225,,\"SPX\")":0.9355472,"AYI-US^P_BETA_LOCIDX(45400,45224,,\"SPX\")":0.95971733,"AYI-US^P_BETA_LOCIDX(45399,45223,,\"SPX\")":0.9326297,"AYI-US^P_BETA_LOCIDX(45398,45222,,\"SPX\")":0.927909,"AYI-US^P_BETA_LOCIDX(45397,45219,,\"SPX\")":0.8815737,"AYI-US^P_BETA_LOCIDX(45394,45218,,\"SPX\")":0.8866834,"AYI-US^P_BETA_LOCIDX(45393,45217,,\"SPX\")":0.9641355,"AYI-US^P_BETA_LOCIDX(45392,45216,,\"SPX\")":0.9758626,"AYI-US^P_BETA_LOCIDX(45391,45215,,\"SPX\")":0.9766292,"AYI-US^P_BETA_LOCIDX(45390,45212,,\"SPX\")":0.97943234,"AYI-US^P_BETA_LOCIDX(45387,45211,,\"SPX\")":0.985043,"AYI-US^P_BETA_LOCIDX(45386,45210,,\"SPX\")":0.96735936,"AYI-US^P_BETA_LOCIDX(45385,45209,,\"SPX\")":0.97735006,"AYI-US^P_BETA_LOCIDX(45384,45208,,\"SPX\")":0.9681214,"AYI-US^P_BETA_LOCIDX(45383,45205,,\"SPX\")":0.9607203,"AYI-US^P_BETA_LOCIDX(45379,45204,,\"SPX\")":0.9529708,"AYI-US^P_BETA_LOCIDX(45378,45203,,\"SPX\")":1.0134801,"AYI-US^P_BETA_LOCIDX(45377,45202,,\"SPX\")":0.99545664,"AYI-US^P_BETA_LOCIDX(45376,45201,,\"SPX\")":1.0050648,"AYI-US^P_BETA_LOCIDX(45373,45198,,\"SPX\")":0.9998776,"AYI-US^P_BETA_LOCIDX(45372,45197,,\"SPX\")":1.004551,"AYI-US^P_BETA_LOCIDX(45371,45196,,\"SPX\")":1.000522,"AYI-US^P_BETA_LOCIDX(45370,45195,,\"SPX\")":0.98162234,"AYI-US^P_BETA_LOCIDX(45369,45194,,\"SPX\")":0.98442,"AYI-US^P_BETA_LOCIDX(45366,45191,,\"SPX\")":0.9765585,"AYI-US^P_BETA_LOCIDX(45365,45190,,\"SPX\")":0.967603,"AYI-US^P_BETA_LOCIDX(45364,45189,,\"SPX\")":0.96806043,"AYI-US^P_BETA_LOCIDX(45363,45188,,\"SPX\")":0.9655805,"AYI-US^P_BETA_LOCIDX(45362,45187,,\"SPX\")":0.96054,"AYI-US^P_BETA_LOCIDX(45359,45184,,\"SPX\")":0.9533682,"AYI-US^P_BETA_LOCIDX(45358,45183,,\"SPX\")":0.9416071,"AYI-US^P_BETA_LOCIDX(45357,45182,,\"SPX\")":0.9754001,"AYI-US^P_BETA_LOCIDX(45356,45181,,\"SPX\")":0.9669563,"AYI-US^P_BETA_LOCIDX(45355,45180,,\"SPX\")":0.9591294,"AYI-US^P_BETA_LOCIDX(45352,45177,,\"SPX\")":0.96640104,"AYI-US^P_BETA_LOCIDX(45351,45176,,\"SPX\")":0.98753667,"AYI-US^P_BETA_LOCIDX(45350,45175,,\"SPX\")":0.9834065,"AYI-US^P_BETA_LOCIDX(45349,45174,,\"SPX\")":0.9951663,"AYI-US^P_BETA_LOCIDX(45348,45170,,\"SPX\")":0.99503195,"AYI-US^P_BETA_LOCIDX(45345,45169,,\"SPX\")":0.9935894,"AYI-US^P_BETA_LOCIDX(45344,45168,,\"SPX\")":0.9891746,"AYI-US^P_BETA_LOCIDX(45343,45167,,\"SPX\")":0.9967217,"AYI-US^P_BETA_LOCIDX(45342,45166,,\"SPX\")":0.99860275,"AYI-US^P_BETA_LOCIDX(45338,45163,,\"SPX\")":0.9875807,"AYI-US^P_BETA_LOCIDX(45337,45162,,\"SPX\")":0.9929009,"AYI-US^P_BETA_LOCIDX(45336,45161,,\"SPX\")":0.99430084,"AYI-US^P_BETA_LOCIDX(45335,45160,,\"SPX\")":0.96958214,"AYI-US^P_BETA_LOCIDX(45334,45159,,\"SPX\")":0.9388135,"AYI-US^P_BETA_LOCIDX(45331,45156,,\"SPX\")":0.9409272,"AYI-US^P_BETA_LOCIDX(45330,45155,,\"SPX\")":0.9442596,"AYI-US^P_BETA_LOCIDX(45329,45154,,\"SPX\")":0.95243007,"AYI-US^P_BETA_LOCIDX(45328,45153,,\"SPX\")":0.989681,"AYI-US^P_BETA_LOCIDX(45327,45152,,\"SPX\")":0.9874531,"AYI-US^P_BETA_LOCIDX(45324,45149,,\"SPX\")":0.98511076,"AYI-US^P_BETA_LOCIDX(45323,45148,,\"SPX\")":1.0080922,"AYI-US^P_BETA_LOCIDX(45322,45147,,\"SPX\")":1.0234016,"AYI-US^P_BETA_LOCIDX(45321,45146,,\"SPX\")":1.0159938,"AYI-US^P_BETA_LOCIDX(45320,45145,,\"SPX\")":1.0197228,"AYI-US^P_BETA_LOCIDX(45317,45142,,\"SPX\")":1.0264721,"AYI-US^P_BETA_LOCIDX(45316,45141,,\"SPX\")":1.0304747,"AYI-US^P_BETA_LOCIDX(45315,45140,,\"SPX\")":0.9753298,"AYI-US^P_BETA_LOCIDX(45314,45139,,\"SPX\")":0.973178,"AYI-US^P_BETA_LOCIDX(45313,45138,,\"SPX\")":0.97563636,"AYI-US^P_BETA_LOCIDX(45310,45135,,\"SPX\")":0.97470737,"AYI-US^P_BETA_LOCIDX(45309,45134,,\"SPX\")":0.9524458,"AYI-US^P_BETA_LOCIDX(45308,45133,,\"SPX\")":0.9536365,"AYI-US^P_BETA_LOCIDX(45307,45132,,\"SPX\")":0.9512785,"AYI-US^P_BETA_LOCIDX(45303,45131,,\"SPX\")":0.94271916,"AYI-US^P_BETA_LOCIDX(45302,45128,,\"SPX\")":0.94326055,"AYI-US^P_BETA_LOCIDX(45301,45127,,\"SPX\")":0.9410152,"AYI-US^P_BETA_LOCIDX(45300,45126,,\"SPX\")":0.93768513,"AYI-US^P_BETA_LOCIDX(45299,45125,,\"SPX\")":0.9769896,"AYI-US^P_BETA_LOCIDX(45296,45124,,\"SPX\")":1.0160102,"AYI-US^P_BETA_LOCIDX(45295,45121,,\"SPX\")":1.0183313,"AYI-US^P_BETA_LOCIDX(45294,45120,,\"SPX\")":1.023133,"AYI-US^P_BETA_LOCIDX(45293,45119,,\"SPX\")":1.0183511,"AYI-US^P_BETA_LOCIDX(45289,45118,,\"SPX\")":1.0120323,"AYI-US^P_BETA_LOCIDX(45288,45117,,\"SPX\")":1.0169675,"AYI-US^P_BETA_LOCIDX(45287,45114,,\"SPX\")":0.99986243,"AYI-US^P_BETA_LOCIDX(45286,45113,,\"SPX\")":1.0100245,"AYI-US^P_BETA_LOCIDX(45282,45112,,\"SPX\")":1.0181401,"AYI-US^P_BETA_LOCIDX(45281,45110,,\"SPX\")":1.0177557,"AYI-US^P_BETA_LOCIDX(45280,45107,,\"SPX\")":1.0265708,"AYI-US^P_BETA_LOCIDX(45279,45106,,\"SPX\")":1.063476,"AYI-US^P_BETA_LOCIDX(45278,45105,,\"SPX\")":1.0693605,"AYI-US^P_BETA_LOCIDX(45275,45104,,\"SPX\")":1.0651604,"AYI-US^P_BETA_LOCIDX(45274,45103,,\"SPX\")":1.0609696,"AYI-US^P_BETA_LOCIDX(45273,45100,,\"SPX\")":1.0186442,"AYI-US^P_BETA_LOCIDX(45272,45099,,\"SPX\")":0.9797304,"AYI-US^P_BETA_LOCIDX(45271,45098,,\"SPX\")":0.9853729,"AYI-US^P_BETA_LOCIDX(45268,45097,,\"SPX\")":0.98670816,"AYI-US^P_BETA_LOCIDX(45267,45093,,\"SPX\")":0.99941987,"AYI-US^P_BETA_LOCIDX(45266,45092,,\"SPX\")":1.009698,"AYI-US^P_BETA_LOCIDX(45265,45091,,\"SPX\")":1.0256183,"AYI-US^P_BETA_LOCIDX(45264,45090,,\"SPX\")":1.0396401,"AYI-US^P_BETA_LOCIDX(45261,45089,,\"SPX\")":1.0527074,"AYI-US^P_BETA_LOCIDX(45260,45086,,\"SPX\")":1.0410461,"AYI-US^P_BETA_LOCIDX(45259,45085,,\"SPX\")":1.012234,"AYI-US^P_BETA_LOCIDX(45258,45084,,\"SPX\")":0.9916831,"AYI-US^P_BETA_LOCIDX(45257,45083,,\"SPX\")":0.9993019,"AYI-US^P_BETA_LOCIDX(45254,45082,,\"SPX\")":1.0108864,"AYI-US^P_BETA_LOCIDX(45252,45079,,\"SPX\")":1.0716897,"AYI-US^P_BETA_LOCIDX(45251,45078,,\"SPX\")":1.0821502,"AYI-US^P_BETA_LOCIDX(45250,45077,,\"SPX\")":1.0957501,"AYI-US^P_BETA_LOCIDX(45247,45076,,\"SPX\")":1.1090665,"AYI-US^P_BETA_LOCIDX(45246,45072,,\"SPX\")":1.0950706,"AYI-US^P_BETA_LOCIDX(45245,45071,,\"SPX\")":1.0897317,"AYI-US^P_BETA_LOCIDX(45244,45070,,\"SPX\")":1.1157272,"AYI-US^P_BETA_LOCIDX(45243,45069,,\"SPX\")":1.0543509,"AYI-US^P_BETA_LOCIDX(45240,45068,,\"SPX\")":1.0548334,"AYI-US^P_BETA_LOCIDX(45239,45065,,\"SPX\")":1.0119945,"AYI-US^P_BETA_LOCIDX(45238,45064,,\"SPX\")":1.0208504,"AYI-US^P_BETA_LOCIDX(45237,45063,,\"SPX\")":1.0416789,"AYI-US^P_BETA_LOCIDX(45236,45062,,\"SPX\")":1.0588104,"AYI-US^P_BETA_LOCIDX(45233,45061,,\"SPX\")":1.0632763,"AYI-US^P_BETA_LOCIDX(45232,45058,,\"SPX\")":1.0469316,"AYI-US^P_BETA_LOCIDX(45231,45057,,\"SPX\")":1.0229794,"AYI-US^P_BETA_LOCIDX(45230,45056,,\"SPX\")":1.0328599,"AYI-US^P_BETA_LOCIDX(45229,45055,,\"SPX\")":1.0237821,"AYI-US^P_BETA_LOCIDX(45226,45054,,\"SPX\")":1.0363259,"AYI-US^P_BETA_LOCIDX(45225,45051,,\"SPX\")":1.0368445,"AYI-US^P_BETA_LOCIDX(45224,45050,,\"SPX\")":1.084887,"AYI-US^P_BETA_LOCIDX(45223,45049,,\"SPX\")":1.0628701,"AYI-US^P_BETA_LOCIDX(45222,45048,,\"SPX\")":1.0654649,"AYI-US^P_BETA_LOCIDX(45219,45047,,\"SPX\")":1.0615902,"AYI-US^P_BETA_LOCIDX(45218,45044,,\"SPX\")":1.1192774,"AYI-US^P_BETA_LOCIDX(45217,45043,,\"SPX\")":1.0660158,"AYI-US^P_BETA_LOCIDX(45216,45042,,\"SPX\")":0.9648336,"AYI-US^P_BETA_LOCIDX(45215,45041,,\"SPX\")":0.98981005,"AYI-US^P_BETA_LOCIDX(45212,45040,,\"SPX\")":0.9991827,"AYI-US^P_BETA_LOCIDX(45211,45037,,\"SPX\")":0.9969022,"AYI-US^P_BETA_LOCIDX(45210,45036,,\"SPX\")":1.0006568,"AYI-US^P_BETA_LOCIDX(45209,45035,,\"SPX\")":0.99314314,"AYI-US^P_BETA_LOCIDX(45208,45034,,\"SPX\")":1.0061319,"AYI-US^P_BETA_LOCIDX(45205,45033,,\"SPX\")":1.0221735,"AYI-US^P_BETA_LOCIDX(45204,45030,,\"SPX\")":1.021218,"AYI-US^P_BETA_LOCIDX(45203,45029,,\"SPX\")":0.98714334,"AYI-US^P_BETA_LOCIDX(45202,45028,,\"SPX\")":0.9099128,"AYI-US^P_BETA_LOCIDX(45201,45027,,\"SPX\")":0.93979484,"AYI-US^P_BETA_LOCIDX(45198,45026,,\"SPX\")":0.938662,"AYI-US^P_BETA_LOCIDX(45197,45022,,\"SPX\")":0.92909724,"AYI-US^P_BETA_LOCIDX(45196,45021,,\"SPX\")":0.9196925,"AYI-US^P_BETA_LOCIDX(45195,45020,,\"SPX\")":1.0209793,"AYI-US^P_BETA_LOCIDX(45194,45019,,\"SPX\")":1.0506076,"AYI-US^P_BETA_LOCIDX(45191,45016,,\"SPX\")":1.0630409,"AYI-US^P_BETA_LOCIDX(45190,45015,,\"SPX\")":1.0714236,"AYI-US^P_BETA_LOCIDX(45189,45014,,\"SPX\")":1.1170365,"AYI-US^P_BETA_LOCIDX(45188,45013,,\"SPX\")":1.1187147,"AYI-US^P_BETA_LOCIDX(45187,45012,,\"SPX\")":1.123584,"AYI-US^P_BETA_LOCIDX(45184,45009,,\"SPX\")":1.1010323,"AYI-US^P_BETA_LOCIDX(45183,45008,,\"SPX\")":1.1159225,"AYI-US^P_BETA_LOCIDX(45182,45007,,\"SPX\")":1.1424264,"AYI-US^P_BETA_LOCIDX(45181,45006,,\"SPX\")":1.1007788,"AYI-US^P_BETA_LOCIDX(45180,45005,,\"SPX\")":1.1230814,"AYI-US^P_BETA_LOCIDX(45177,45002,,\"SPX\")":1.1717665,"AYI-US^P_BETA_LOCIDX(45176,45001,,\"SPX\")":1.1705328,"AYI-US^P_BETA_LOCIDX(45175,45000,,\"SPX\")":1.1908522,"AYI-US^P_BETA_LOCIDX(45174,44999,,\"SPX\")":1.2317206,"AYI-US^P_BETA_LOCIDX(45170,44998,,\"SPX\")":1.2292056,"AYI-US^P_BETA_LOCIDX(45169,44995,,\"SPX\")":1.2716119,"AYI-US^P_BETA_LOCIDX(45168,44994,,\"SPX\")":1.2322644,"AYI-US^P_BETA_LOCIDX(45167,44993,,\"SPX\")":1.2362819,"AYI-US^P_BETA_LOCIDX(45166,44992,,\"SPX\")":1.1793119,"AYI-US^P_BETA_LOCIDX(45163,44991,,\"SPX\")":1.175265,"AYI-US^P_BETA_LOCIDX(45162,44988,,\"SPX\")":1.1740353,"AYI-US^P_BETA_LOCIDX(45161,44987,,\"SPX\")":1.1833655,"AYI-US^P_BETA_LOCIDX(45160,44986,,\"SPX\")":1.1824671,"AYI-US^P_BETA_LOCIDX(45159,44985,,\"SPX\")":1.1795785,"AYI-US^P_BETA_LOCIDX(45156,44984,,\"SPX\")":1.1765387,"AYI-US^P_BETA_LOCIDX(45155,44981,,\"SPX\")":1.1732718,"AYI-US^P_BETA_LOCIDX(45154,44980,,\"SPX\")":1.1898465,"AYI-US^P_BETA_LOCIDX(45153,44979,,\"SPX\")":1.1897266,"AYI-US^P_BETA_LOCIDX(45152,44978,,\"SPX\")":1.1701167,"AYI-US^P_BETA_LOCIDX(45149,44974,,\"SPX\")":1.1632569,"AYI-US^P_BETA_LOCIDX(45148,44973,,\"SPX\")":1.1312755,"AYI-US^P_BETA_LOCIDX(45147,44972,,\"SPX\")":1.1330086,"AYI-US^P_BETA_LOCIDX(45146,44971,,\"SPX\")":1.1342257,"AYI-US^P_BETA_LOCIDX(45145,44970,,\"SPX\")":1.1389428,"AYI-US^P_BETA_LOCIDX(45142,44967,,\"SPX\")":1.1347984,"AYI-US^P_BETA_LOCIDX(45141,44966,,\"SPX\")":1.14963,"AYI-US^P_BETA_LOCIDX(45140,44965,,\"SPX\")":1.1525367,"AYI-US^P_BETA_LOCIDX(45139,44964,,\"SPX\")":1.2007374,"AYI-US^P_BETA_LOCIDX(45138,44963,,\"SPX\")":1.197256,"AYI-US^P_BETA_LOCIDX(45135,44960,,\"SPX\")":1.1656266,"AYI-US^P_BETA_LOCIDX(45134,44959,,\"SPX\")":1.1209149,"AYI-US^P_BETA_LOCIDX(45133,44958,,\"SPX\")":1.1480584,"AYI-US^P_BETA_LOCIDX(45132,44957,,\"SPX\")":1.1561832,"AYI-US^P_BETA_LOCIDX(45131,44956,,\"SPX\")":1.1318169,"AYI-US^P_BETA_LOCIDX(45128,44953,,\"SPX\")":1.1387213,"AYI-US^P_BETA_LOCIDX(45127,44952,,\"SPX\")":1.1369153,"AYI-US^P_BETA_LOCIDX(45126,44951,,\"SPX\")":1.1383454,"AYI-US^P_BETA_LOCIDX(45125,44950,,\"SPX\")":1.1366391,"AYI-US^P_BETA_LOCIDX(45124,44949,,\"SPX\")":1.1206087,"AYI-US^P_BETA_LOCIDX(45121,44946,,\"SPX\")":1.1151233,"AYI-US^P_BETA_LOCIDX(45120,44945,,\"SPX\")":1.102244,"AYI-US^P_BETA_LOCIDX(45119,44944,,\"SPX\")":1.075478,"AYI-US^P_BETA_LOCIDX(45118,44943,,\"SPX\")":1.0757189,"AYI-US^P_BETA_LOCIDX(45117,44939,,\"SPX\")":1.0771612,"AYI-US^P_BETA_LOCIDX(45114,44938,,\"SPX\")":1.0699118,"AYI-US^P_BETA_LOCIDX(45113,44937,,\"SPX\")":1.0590142,"AYI-US^P_BETA_LOCIDX(45112,44936,,\"SPX\")":1.0555508,"AYI-US^P_BETA_LOCIDX(45110,44935,,\"SPX\")":1.0425637,"AYI-US^P_BETA_LOCIDX(45107,44932,,\"SPX\")":1.0196337,"AYI-US^P_BETA_LOCIDX(45106,44931,,\"SPX\")":1.0390599,"AYI-US^P_BETA_LOCIDX(45105,44930,,\"SPX\")":1.0450263,"AYI-US^P_BETA_LOCIDX(45104,44929,,\"SPX\")":1.0336065,"AYI-US^P_BETA_LOCIDX(45103,44925,,\"SPX\")":1.0392963,"AYI-US^P_BETA_LOCIDX(45100,44924,,\"SPX\")":1.0358037,"AYI-US^P_BETA_LOCIDX(45099,44923,,\"SPX\")":1.0611458,"AYI-US^P_BETA_LOCIDX(45098,44922,,\"SPX\")":1.0631015,"AYI-US^P_BETA_LOCIDX(45097,44918,,\"SPX\")":1.0627223,"AYI-US^P_BETA_LOCIDX(45093,44917,,\"SPX\")":1.0652268,"AYI-US^P_BETA_LOCIDX(45092,44916,,\"SPX\")":1.055781,"AYI-US^P_BETA_LOCIDX(45091,44915,,\"SPX\")":1.048799,"AYI-US^P_BETA_LOCIDX(45090,44914,,\"SPX\")":1.0389189,"AYI-US^P_BETA_LOCIDX(45089,44911,,\"SPX\")":1.0676197,"AYI-US^P_BETA_LOCIDX(45086,44910,,\"SPX\")":1.0495455,"AYI-US^P_BETA_LOCIDX(45085,44909,,\"SPX\")":1.0530303,"AYI-US^P_BETA_LOCIDX(45084,44908,,\"SPX\")":1.0626187,"AYI-US^P_BETA_LOCIDX(45083,44907,,\"SPX\")":1.0818186,"AYI-US^P_BETA_LOCIDX(45082,44904,,\"SPX\")":1.0779058,"AYI-US^P_BETA_LOCIDX(45079,44903,,\"SPX\")":1.060215,"AYI-US^P_BETA_LOCIDX(45078,44902,,\"SPX\")":1.0190151,"AYI-US^P_BETA_LOCIDX(45077,44901,,\"SPX\")":0.99879867,"AYI-US^P_BETA_LOCIDX(45076,44900,,\"SPX\")":1.0264411,"AYI-US^P_BETA_LOCIDX(45072,44897,,\"SPX\")":1.0256077,"AYI-US^P_BETA_LOCIDX(45071,44896,,\"SPX\")":1.0301793,"AYI-US^P_BETA_LOCIDX(45070,44895,,\"SPX\")":0.96381056,"AYI-US^P_BETA_LOCIDX(45069,44894,,\"SPX\")":0.94995284,"AYI-US^P_BETA_LOCIDX(45068,44893,,\"SPX\")":0.96068376,"AYI-US^P_BETA_LOCIDX(45065,44890,,\"SPX\")":0.9605416,"AYI-US^P_BETA_LOCIDX(45064,44888,,\"SPX\")":0.9545503,"AYI-US^P_BETA_LOCIDX(45063,44887,,\"SPX\")":0.96518147,"AYI-US^P_BETA_LOCIDX(45062,44886,,\"SPX\")":0.9472393,"AYI-US^P_BETA_LOCIDX(45061,44883,,\"SPX\")":0.9452379,"AYI-US^P_BETA_LOCIDX(45058,44882,,\"SPX\")":0.9511581,"AYI-US^P_BETA_LOCIDX(45057,44881,,\"SPX\")":0.95588636,"AYI-US^P_BETA_LOCIDX(45056,44880,,\"SPX\")":0.9684956,"AYI-US^P_BETA_LOCIDX(45055,44879,,\"SPX\")":0.9790871,"AYI-US^P_BETA_LOCIDX(45054,44876,,\"SPX\")":0.95431995,"AYI-US^P_BETA_LOCIDX(45051,44875,,\"SPX\")":1.0011932,"AYI-US^P_BETA_LOCIDX(45050,44874,,\"SPX\")":0.9929488,"AYI-US^P_BETA_LOCIDX(45049,44873,,\"SPX\")":0.98361397,"AYI-US^P_BETA_LOCIDX(45048,44872,,\"SPX\")":1.0031475,"AYI-US^P_BETA_LOCIDX(45047,44869,,\"SPX\")":1.0176413,"AYI-US^P_BETA_LOCIDX(45044,44868,,\"SPX\")":1.0196391,"AYI-US^P_BETA_LOCIDX(45043,44867,,\"SPX\")":1.016724,"AYI-US^P_BETA_LOCIDX(45042,44866,,\"SPX\")":1.0205806,"AYI-US^P_BETA_LOCIDX(45041,44865,,\"SPX\")":1.0169058,"AYI-US^P_BETA_LOCIDX(45040,44862,,\"SPX\")":1.0064155,"AYI-US^P_BETA_LOCIDX(45037,44861,,\"SPX\")":1.0066452,"AYI-US^P_BETA_LOCIDX(45036,44860,,\"SPX\")":1.0100002,"AYI-US^P_BETA_LOCIDX(45035,44859,,\"SPX\")":1.0286342,"AYI-US^P_BETA_LOCIDX(45034,44858,,\"SPX\")":1.0355005,"AYI-US^P_BETA_LOCIDX(45033,44855,,\"SPX\")":1.0627122,"AYI-US^P_BETA_LOCIDX(45030,44854,,\"SPX\")":1.0712821,"AYI-US^P_BETA_LOCIDX(45029,44853,,\"SPX\")":1.0747929,"AYI-US^P_BETA_LOCIDX(45028,44852,,\"SPX\")":1.0934218,"AYI-US^P_BETA_LOCIDX(45027,44851,,\"SPX\")":1.1076528,"AYI-US^P_BETA_LOCIDX(45026,44848,,\"SPX\")":1.1194739,"AYI-US^P_BETA_LOCIDX(45022,44847,,\"SPX\")":1.1117952,"AYI-US^P_BETA_LOCIDX(45021,44846,,\"SPX\")":1.1115608,"AYI-US^P_BETA_LOCIDX(45020,44845,,\"SPX\")":1.0951384,"AYI-US^P_BETA_LOCIDX(45019,44844,,\"SPX\")":1.0441464,"AYI-US^P_BETA_LOCIDX(45016,44841,,\"SPX\")":1.0644447,"AYI-US^P_BETA_LOCIDX(45015,44840,,\"SPX\")":1.071517,"AYI-US^P_BETA_LOCIDX(45014,44839,,\"SPX\")":1.0687624,"AYI-US^P_BETA_LOCIDX(45013,44838,,\"SPX\")":1.0902474,"AYI-US^P_BETA_LOCIDX(45012,44837,,\"SPX\")":1.0749136,"AYI-US^P_BETA_LOCIDX(45009,44834,,\"SPX\")":1.0472461,"AYI-US^P_BETA_LOCIDX(45008,44833,,\"SPX\")":1.0548806,"AYI-US^P_BETA_LOCIDX(45007,44832,,\"SPX\")":1.0626794,"AYI-US^P_BETA_LOCIDX(45006,44831,,\"SPX\")":1.0554394,"AYI-US^P_BETA_LOCIDX(45005,44830,,\"SPX\")":1.0654393,"AYI-US^P_BETA_LOCIDX(45002,44827,,\"SPX\")":1.0524076,"AYI-US^P_BETA_LOCIDX(45001,44826,,\"SPX\")":1.0487775,"AYI-US^P_BETA_LOCIDX(45000,44825,,\"SPX\")":1.030382,"AYI-US^P_BETA_LOCIDX(44999,44824,,\"SPX\")":1.0194347,"AYI-US^P_BETA_LOCIDX(44998,44823,,\"SPX\")":1.0245436,"AYI-US^P_BETA_LOCIDX(44995,44820,,\"SPX\")":1.0302926,"AYI-US^P_BETA_LOCIDX(44994,44819,,\"SPX\")":1.0174001,"AYI-US^P_BETA_LOCIDX(44993,44818,,\"SPX\")":1.0220886,"AYI-US^P_BETA_LOCIDX(44992,44817,,\"SPX\")":1.0524843,"AYI-US^P_BETA_LOCIDX(44991,44816,,\"SPX\")":1.0665377,"AYI-US^P_BETA_LOCIDX(44988,44813,,\"SPX\")":1.0746711,"AYI-US^P_BETA_LOCIDX(44987,44812,,\"SPX\")":1.0805535,"AYI-US^P_BETA_LOCIDX(44986,44811,,\"SPX\")":1.0838295,"AYI-US^P_BETA_LOCIDX(44985,44810,,\"SPX\")":1.0829709,"AYI-US^P_BETA_LOCIDX(44984,44806,,\"SPX\")":1.0875567,"AYI-US^P_BETA_LOCIDX(44981,44805,,\"SPX\")":1.0858172,"AYI-US^P_BETA_LOCIDX(44980,44804,,\"SPX\")":1.0871543,"AYI-US^P_BETA_LOCIDX(44979,44803,,\"SPX\")":1.088067,"AYI-US^P_BETA_LOCIDX(44978,44802,,\"SPX\")":1.0911875,"AYI-US^P_BETA_LOCIDX(44974,44799,,\"SPX\")":1.108032,"AYI-US^P_BETA_LOCIDX(44973,44798,,\"SPX\")":1.1061293,"AYI-US^P_BETA_LOCIDX(44972,44797,,\"SPX\")":1.1134388,"AYI-US^P_BETA_LOCIDX(44971,44796,,\"SPX\")":1.1132758,"AYI-US^P_BETA_LOCIDX(44970,44795,,\"SPX\")":1.1192172,"AYI-US^P_BETA_LOCIDX(44967,44792,,\"SPX\")":1.1170218,"AYI-US^P_BETA_LOCIDX(44966,44791,,\"SPX\")":1.1168431,"AYI-US^P_BETA_LOCIDX(44965,44790,,\"SPX\")":1.1097887,"AYI-US^P_BETA_LOCIDX(44964,44789,,\"SPX\")":1.1085169,"AYI-US^P_BETA_LOCIDX(44963,44788,,\"SPX\")":1.1066242,"AYI-US^P_BETA_LOCIDX(44960,44785,,\"SPX\")":1.1008132,"AYI-US^P_BETA_LOCIDX(44959,44784,,\"SPX\")":1.1085352,"AYI-US^P_BETA_LOCIDX(44958,44783,,\"SPX\")":1.1311754,"AYI-US^P_BETA_LOCIDX(44957,44782,,\"SPX\")":1.1339121,"AYI-US^P_BETA_LOCIDX(44956,44781,,\"SPX\")":1.1327763,"AYI-US^P_BETA_LOCIDX(44953,44778,,\"SPX\")":1.1382391,"AYI-US^P_BETA_LOCIDX(44952,44777,,\"SPX\")":1.137022,"AYI-US^P_BETA_LOCIDX(44951,44776,,\"SPX\")":1.1246326,"AYI-US^P_BETA_LOCIDX(44950,44775,,\"SPX\")":1.129721,"AYI-US^P_BETA_LOCIDX(44949,44774,,\"SPX\")":1.1301218,"AYI-US^P_BETA_LOCIDX(44946,44771,,\"SPX\")":1.1392057,"AYI-US^P_BETA_LOCIDX(44945,44770,,\"SPX\")":1.1549041,"AYI-US^P_BETA_LOCIDX(44944,44769,,\"SPX\")":1.1100606,"AYI-US^P_BETA_LOCIDX(44943,44768,,\"SPX\")":1.116574,"AYI-US^P_BETA_LOCIDX(44939,44767,,\"SPX\")":1.1164411,"AYI-US^P_BETA_LOCIDX(44938,44764,,\"SPX\")":1.1131729,"AYI-US^P_BETA_LOCIDX(44937,44763,,\"SPX\")":1.114689,"AYI-US^P_BETA_LOCIDX(44936,44762,,\"SPX\")":1.1274985,"AYI-US^P_BETA_LOCIDX(44935,44761,,\"SPX\")":1.1472718,"AYI-US^P_BETA_LOCIDX(44932,44760,,\"SPX\")":1.1461197,"AYI-US^P_BETA_LOCIDX(44931,44757,,\"SPX\")":1.1546122,"AYI-US^P_BETA_LOCIDX(44930,44756,,\"SPX\")":1.1492264,"AYI-US^P_BETA_LOCIDX(44929,44755,,\"SPX\")":1.1456914,"AYI-US^P_BETA_LOCIDX(44925,44754,,\"SPX\")":1.1388658,"AYI-US^P_BETA_LOCIDX(44924,44753,,\"SPX\")":1.128873,"AYI-US^P_BETA_LOCIDX(44923,44750,,\"SPX\")":1.134489,"AYI-US^P_BETA_LOCIDX(44922,44749,,\"SPX\")":1.1292646,"AYI-US^P_BETA_LOCIDX(44918,44748,,\"SPX\")":1.1308566,"AYI-US^P_BETA_LOCIDX(44917,44747,,\"SPX\")":1.1305836,"AYI-US^P_BETA_LOCIDX(44916,44743,,\"SPX\")":1.1333029,"AYI-US^P_BETA_LOCIDX(44915,44742,,\"SPX\")":1.1359206,"AYI-US^P_BETA_LOCIDX(44914,44741,,\"SPX\")":1.135631,"AYI-US^P_BETA_LOCIDX(44911,44740,,\"SPX\")":1.1341139,"AYI-US^P_BETA_LOCIDX(44910,44739,,\"SPX\")":1.1172776,"AYI-US^P_BETA_LOCIDX(44909,44736,,\"SPX\")":1.1469351,"AYI-US^P_BETA_LOCIDX(44908,44735,,\"SPX\")":1.1223745,"AYI-US^P_BETA_LOCIDX(44907,44734,,\"SPX\")":1.1250207,"AYI-US^P_BETA_LOCIDX(44904,44733,,\"SPX\")":1.1085678,"AYI-US^P_BETA_LOCIDX(44903,44729,,\"SPX\")":1.1065404,"AYI-US^P_BETA_LOCIDX(44902,44728,,\"SPX\")":1.1472025,"AYI-US^P_BETA_LOCIDX(44901,44727,,\"SPX\")":1.1452669,"AYI-US^P_BETA_LOCIDX(44900,44726,,\"SPX\")":1.1497426,"AYI-US^P_BETA_LOCIDX(44897,44725,,\"SPX\")":1.1269855,"AYI-US^P_BETA_LOCIDX(44896,44722,,\"SPX\")":1.1234667,"AYI-US^P_BETA_LOCIDX(44895,44721,,\"SPX\")":1.1084703,"AYI-US^P_BETA_LOCIDX(44894,44720,,\"SPX\")":1.1507374,"AYI-US^P_BETA_LOCIDX(44893,44719,,\"SPX\")":1.1532657,"AYI-US^P_BETA_LOCIDX(44890,44718,,\"SPX\")":1.1532106,"AYI-US^P_BETA_LOCIDX(44888,44715,,\"SPX\")":1.1395429,"AYI-US^P_BETA_LOCIDX(44887,44714,,\"SPX\")":1.1431454,"AYI-US^P_BETA_LOCIDX(44886,44713,,\"SPX\")":1.1381888,"AYI-US^P_BETA_LOCIDX(44883,44712,,\"SPX\")":1.1414222,"AYI-US^P_BETA_LOCIDX(44882,44708,,\"SPX\")":1.1287727,"AYI-US^P_BETA_LOCIDX(44881,44707,,\"SPX\")":1.1344516,"AYI-US^P_BETA_LOCIDX(44880,44706,,\"SPX\")":1.1367288,"AYI-US^P_BETA_LOCIDX(44879,44705,,\"SPX\")":1.1324923,"AYI-US^P_BETA_LOCIDX(44876,44704,,\"SPX\")":1.1201065,"AYI-US^P_BETA_LOCIDX(44875,44701,,\"SPX\")":1.1318674,"AYI-US^P_BETA_LOCIDX(44874,44700,,\"SPX\")":1.1297227,"AYI-US^P_BETA_LOCIDX(44873,44699,,\"SPX\")":1.1028554,"AYI-US^P_BETA_LOCIDX(44872,44698,,\"SPX\")":1.108084,"AYI-US^P_BETA_LOCIDX(44869,44697,,\"SPX\")":1.1032529,"AYI-US^P_BETA_LOCIDX(44868,44694,,\"SPX\")":1.0839351,"AYI-US^P_BETA_LOCIDX(44867,44693,,\"SPX\")":1.0814861,"AYI-US^P_BETA_LOCIDX(44866,44692,,\"SPX\")":1.0796165,"AYI-US^P_BETA_LOCIDX(44865,44691,,\"SPX\")":1.0795629,"AYI-US^P_BETA_LOCIDX(44862,44690,,\"SPX\")":1.0528953,"AYI-US^P_BETA_LOCIDX(44861,44687,,\"SPX\")":1.0635712,"AYI-US^P_BETA_LOCIDX(44860,44686,,\"SPX\")":1.0553348,"AYI-US^P_BETA_LOCIDX(44859,44685,,\"SPX\")":1.0461928,"AYI-US^P_BETA_LOCIDX(44858,44684,,\"SPX\")":1.0341772,"AYI-US^P_BETA_LOCIDX(44855,44683,,\"SPX\")":1.0303395,"AYI-US^P_BETA_LOCIDX(44854,44680,,\"SPX\")":1.0096056,"AYI-US^P_BETA_LOCIDX(44853,44679,,\"SPX\")":1.0043497,"AYI-US^P_BETA_LOCIDX(44852,44678,,\"SPX\")":1.0004505,"AYI-US^P_BETA_LOCIDX(44851,44677,,\"SPX\")":0.979618,"AYI-US^P_BETA_LOCIDX(44848,44676,,\"SPX\")":0.97427285,"AYI-US^P_BETA_LOCIDX(44847,44673,,\"SPX\")":0.970541,"AYI-US^P_BETA_LOCIDX(44846,44672,,\"SPX\")":0.97146577,"AYI-US^P_BETA_LOCIDX(44845,44671,,\"SPX\")":0.9726731,"AYI-US^P_BETA_LOCIDX(44844,44670,,\"SPX\")":0.9844216,"AYI-US^P_BETA_LOCIDX(44841,44669,,\"SPX\")":0.9906068,"AYI-US^P_BETA_LOCIDX(44840,44665,,\"SPX\")":0.97719467,"AYI-US^P_BETA_LOCIDX(44839,44664,,\"SPX\")":0.97628856,"AYI-US^P_BETA_LOCIDX(44838,44663,,\"SPX\")":0.9763544,"AYI-US^P_BETA_LOCIDX(44837,44662,,\"SPX\")":0.95134044,"AYI-US^P_BETA_LOCIDX(44834,44659,,\"SPX\")":0.9615707,"AYI-US^P_BETA_LOCIDX(44833,44658,,\"SPX\")":0.97280097,"AYI-US^P_BETA_LOCIDX(44832,44657,,\"SPX\")":0.97208536,"AYI-US^P_BETA_LOCIDX(44831,44656,,\"SPX\")":0.9921694,"AYI-US^P_BETA_LOCIDX(44830,44655,,\"SPX\")":0.9787301,"AYI-US^P_BETA_LOCIDX(44827,44652,,\"SPX\")":0.9812849,"AYI-US^P_BETA_LOCIDX(44826,44651,,\"SPX\")":0.99268806,"AYI-US^P_BETA_LOCIDX(44825,44650,,\"SPX\")":0.988726,"AYI-US^P_BETA_LOCIDX(44824,44649,,\"SPX\")":1.0011845,"AYI-US^P_BETA_LOCIDX(44823,44648,,\"SPX\")":1.0000538,"AYI-US^P_BETA_LOCIDX(44820,44645,,\"SPX\")":0.9926139,"AYI-US^P_BETA_LOCIDX(44819,44644,,\"SPX\")":0.9847265,"AYI-US^P_BETA_LOCIDX(44818,44643,,\"SPX\")":0.9845614,"AYI-US^P_BETA_LOCIDX(44817,44642,,\"SPX\")":0.976853,"AYI-US^P_BETA_LOCIDX(44816,44641,,\"SPX\")":0.9502505,"AYI-US^P_BETA_LOCIDX(44813,44638,,\"SPX\")":0.93987834,"AYI-US^P_BETA_LOCIDX(44812,44637,,\"SPX\")":0.94088376,"AYI-US^P_BETA_LOCIDX(44811,44636,,\"SPX\")":0.9442945,"AYI-US^P_BETA_LOCIDX(44810,44635,,\"SPX\")":0.9351565,"AYI-US^P_BETA_LOCIDX(44806,44634,,\"SPX\")":0.933189,"AYI-US^P_BETA_LOCIDX(44805,44631,,\"SPX\")":0.9327738,"AYI-US^P_BETA_LOCIDX(44804,44630,,\"SPX\")":0.9357425,"AYI-US^P_BETA_LOCIDX(44803,44629,,\"SPX\")":0.9373068,"AYI-US^P_BETA_LOCIDX(44802,44628,,\"SPX\")":0.93297577,"AYI-US^P_BETA_LOCIDX(44799,44627,,\"SPX\")":0.9170094,"AYI-US^P_BETA_LOCIDX(44798,44624,,\"SPX\")":0.8920359,"AYI-US^P_BETA_LOCIDX(44797,44623,,\"SPX\")":0.89680433,"AYI-US^P_BETA_LOCIDX(44796,44622,,\"SPX\")":0.9086262,"AYI-US^P_BETA_LOCIDX(44795,44621,,\"SPX\")":0.90056384,"AYI-US^P_BETA_LOCIDX(44792,44620,,\"SPX\")":0.89247096,"AYI-US^P_BETA_LOCIDX(44791,44617,,\"SPX\")":0.9019908,"AYI-US^P_BETA_LOCIDX(44790,44616,,\"SPX\")":0.9097966,"AYI-US^P_BETA_LOCIDX(44789,44615,,\"SPX\")":0.9204441,"AYI-US^P_BETA_LOCIDX(44788,44614,,\"SPX\")":0.9233617,"AYI-US^P_BETA_LOCIDX(44785,44610,,\"SPX\")":0.922196,"AYI-US^P_BETA_LOCIDX(44784,44609,,\"SPX\")":0.9342525,"AYI-US^P_BETA_LOCIDX(44783,44608,,\"SPX\")":0.93450516,"AYI-US^P_BETA_LOCIDX(44782,44607,,\"SPX\")":0.9243832,"AYI-US^P_BETA_LOCIDX(44781,44606,,\"SPX\")":0.9197675,"AYI-US^P_BETA_LOCIDX(44778,44603,,\"SPX\")":0.9273239,"AYI-US^P_BETA_LOCIDX(44777,44602,,\"SPX\")":0.930931,"AYI-US^P_BETA_LOCIDX(44776,44601,,\"SPX\")":0.9325663,"AYI-US^P_BETA_LOCIDX(44775,44600,,\"SPX\")":0.9433804,"AYI-US^P_BETA_LOCIDX(44774,44599,,\"SPX\")":0.93949866,"AYI-US^P_BETA_LOCIDX(45845,45670,,\"SPX\")":1.1884286,"MAS-US^P_BETA_LOCIDX(45841,45665,,\"SPX\")":1.0140096,"MAS-US^P_BETA_LOCIDX(45840,45664,,\"SPX\")":1.0225042,"MAS-US^P_BETA_LOCIDX(45839,45663,,\"SPX\")":1.0240544,"MAS-US^P_BETA_LOCIDX(45838,45660,,\"SPX\")":1.0250164,"MAS-US^P_BETA_LOCIDX(45835,45659,,\"SPX\")":1.0261074,"MAS-US^P_BETA_LOCIDX(45834,45657,,\"SPX\")":1.0246178,"MAS-US^P_BETA_LOCIDX(45833,45656,,\"SPX\")":1.0231367,"MAS-US^P_BETA_LOCIDX(45832,45653,,\"SPX\")":1.0213114,"MAS-US^P_BETA_LOCIDX(45831,45652,,\"SPX\")":1.0202249,"MAS-US^P_BETA_LOCIDX(45828,45650,,\"SPX\")":1.0110824,"MAS-US^P_BETA_LOCIDX(45826,45649,,\"SPX\")":1.0086293,"MAS-US^P_BETA_LOCIDX(45825,45646,,\"SPX\")":1.013696,"MAS-US^P_BETA_LOCIDX(45824,45645,,\"SPX\")":1.0107194,"MAS-US^P_BETA_LOCIDX(45821,45644,,\"SPX\")":1.0130271,"MAS-US^P_BETA_LOCIDX(45820,45643,,\"SPX\")":1.0076188,"MAS-US^P_BETA_LOCIDX(45819,45642,,\"SPX\")":1.0061255,"MAS-US^P_BETA_LOCIDX(45818,45639,,\"SPX\")":1.0044293,"MAS-US^P_BETA_LOCIDX(45817,45638,,\"SPX\")":0.9995992,"MAS-US^P_BETA_LOCIDX(45814,45637,,\"SPX\")":0.99755144,"MAS-US^P_BETA_LOCIDX(45813,45636,,\"SPX\")":1.0030757,"MAS-US^P_BETA_LOCIDX(45812,45635,,\"SPX\")":1.0019952,"MAS-US^P_BETA_LOCIDX(45811,45632,,\"SPX\")":1.0025389,"MAS-US^P_BETA_LOCIDX(45810,45631,,\"SPX\")":0.99904764,"MAS-US^P_BETA_LOCIDX(45807,45630,,\"SPX\")":0.9999346,"MAS-US^P_BETA_LOCIDX(45806,45629,,\"SPX\")":1.0000068,"MAS-US^P_BETA_LOCIDX(45805,45628,,\"SPX\")":0.9983062,"MAS-US^P_BETA_LOCIDX(45804,45625,,\"SPX\")":0.9966199,"MAS-US^P_BETA_LOCIDX(45800,45623,,\"SPX\")":0.99014175,"MAS-US^P_BETA_LOCIDX(45799,45622,,\"SPX\")":0.9845336,"MAS-US^P_BETA_LOCIDX(45798,45621,,\"SPX\")":0.9885879,"MAS-US^P_BETA_LOCIDX(45797,45618,,\"SPX\")":0.9746273,"MAS-US^P_BETA_LOCIDX(45796,45617,,\"SPX\")":0.9759461,"MAS-US^P_BETA_LOCIDX(45793,45616,,\"SPX\")":0.97620666,"MAS-US^P_BETA_LOCIDX(45792,45615,,\"SPX\")":0.97411865,"MAS-US^P_BETA_LOCIDX(45791,45614,,\"SPX\")":0.97074974,"MAS-US^P_BETA_LOCIDX(45790,45611,,\"SPX\")":0.9694864,"MAS-US^P_BETA_LOCIDX(45789,45610,,\"SPX\")":0.97369534,"MAS-US^P_BETA_LOCIDX(45786,45609,,\"SPX\")":0.8766971,"MAS-US^P_BETA_LOCIDX(45785,45608,,\"SPX\")":0.8783909,"MAS-US^P_BETA_LOCIDX(45784,45607,,\"SPX\")":0.8743488,"MAS-US^P_BETA_LOCIDX(45783,45604,,\"SPX\")":0.8761729,"MAS-US^P_BETA_LOCIDX(45782,45603,,\"SPX\")":0.8720878,"MAS-US^P_BETA_LOCIDX(45779,45602,,\"SPX\")":0.83694345,"MAS-US^P_BETA_LOCIDX(45778,45601,,\"SPX\")":0.8271103,"MAS-US^P_BETA_LOCIDX(45777,45600,,\"SPX\")":0.82779264,"MAS-US^P_BETA_LOCIDX(45776,45597,,\"SPX\")":0.82790744,"MAS-US^P_BETA_LOCIDX(45775,45596,,\"SPX\")":0.8209638,"MAS-US^P_BETA_LOCIDX(45772,45595,,\"SPX\")":0.8216103,"MAS-US^P_BETA_LOCIDX(45771,45594,,\"SPX\")":0.82189304,"MAS-US^P_BETA_LOCIDX(45770,45593,,\"SPX\")":0.8210774,"MAS-US^P_BETA_LOCIDX(45769,45590,,\"SPX\")":0.8492429,"MAS-US^P_BETA_LOCIDX(45768,45589,,\"SPX\")":0.84727645,"MAS-US^P_BETA_LOCIDX(45764,45588,,\"SPX\")":0.8425485,"MAS-US^P_BETA_LOCIDX(45763,45587,,\"SPX\")":0.8414082,"MAS-US^P_BETA_LOCIDX(45762,45586,,\"SPX\")":0.8459664,"MAS-US^P_BETA_LOCIDX(45761,45583,,\"SPX\")":0.8460026,"MAS-US^P_BETA_LOCIDX(45758,45582,,\"SPX\")":0.8451035,"MAS-US^P_BETA_LOCIDX(45757,45581,,\"SPX\")":0.8525135,"MAS-US^P_BETA_LOCIDX(45756,45580,,\"SPX\")":0.8475822,"MAS-US^P_BETA_LOCIDX(45755,45579,,\"SPX\")":0.8117366,"MAS-US^P_BETA_LOCIDX(45754,45576,,\"SPX\")":0.7918542,"MAS-US^P_BETA_LOCIDX(45751,45575,,\"SPX\")":0.7900363,"MAS-US^P_BETA_LOCIDX(45750,45574,,\"SPX\")":0.9350837,"MAS-US^P_BETA_LOCIDX(45749,45573,,\"SPX\")":0.6902923,"MAS-US^P_BETA_LOCIDX(45748,45572,,\"SPX\")":0.6683315,"MAS-US^P_BETA_LOCIDX(45747,45569,,\"SPX\")":0.65449125,"MAS-US^P_BETA_LOCIDX(45744,45568,,\"SPX\")":0.64850944,"MAS-US^P_BETA_LOCIDX(45743,45567,,\"SPX\")":0.6258105,"MAS-US^P_BETA_LOCIDX(45742,45566,,\"SPX\")":0.62175536,"MAS-US^P_BETA_LOCIDX(45741,45565,,\"SPX\")":0.63296574,"MAS-US^P_BETA_LOCIDX(45740,45562,,\"SPX\")":0.6327722,"MAS-US^P_BETA_LOCIDX(45737,45561,,\"SPX\")":0.6233983,"MAS-US^P_BETA_LOCIDX(45736,45560,,\"SPX\")":0.62564015,"MAS-US^P_BETA_LOCIDX(45735,45559,,\"SPX\")":0.6240349,"MAS-US^P_BETA_LOCIDX(45734,45558,,\"SPX\")":0.61665326,"MAS-US^P_BETA_LOCIDX(45733,45555,,\"SPX\")":0.62118274,"MAS-US^P_BETA_LOCIDX(45730,45554,,\"SPX\")":0.6327856,"MAS-US^P_BETA_LOCIDX(45729,45553,,\"SPX\")":0.62161976,"MAS-US^P_BETA_LOCIDX(45728,45552,,\"SPX\")":0.59474957,"MAS-US^P_BETA_LOCIDX(45727,45551,,\"SPX\")":0.5994172,"MAS-US^P_BETA_LOCIDX(45726,45548,,\"SPX\")":0.58298457,"MAS-US^P_BETA_LOCIDX(45723,45547,,\"SPX\")":0.5866921,"MAS-US^P_BETA_LOCIDX(45722,45546,,\"SPX\")":0.5671508,"MAS-US^P_BETA_LOCIDX(45721,45545,,\"SPX\")":0.6157403,"MAS-US^P_BETA_LOCIDX(45720,45544,,\"SPX\")":0.5968615,"MAS-US^P_BETA_LOCIDX(45719,45541,,\"SPX\")":0.5547842,"MAS-US^P_BETA_LOCIDX(45716,45540,,\"SPX\")":0.54464096,"MAS-US^P_BETA_LOCIDX(45715,45539,,\"SPX\")":0.54842037,"MAS-US^P_BETA_LOCIDX(45714,45538,,\"SPX\")":0.5411797,"MAS-US^P_BETA_LOCIDX(45713,45534,,\"SPX\")":0.54601955,"MAS-US^P_BETA_LOCIDX(45712,45533,,\"SPX\")":0.5667329,"MAS-US^P_BETA_LOCIDX(45709,45532,,\"SPX\")":0.5608998,"MAS-US^P_BETA_LOCIDX(45708,45531,,\"SPX\")":0.5377877,"MAS-US^P_BETA_LOCIDX(45707,45530,,\"SPX\")":0.5356839,"MAS-US^P_BETA_LOCIDX(45706,45527,,\"SPX\")":0.5832291,"MAS-US^P_BETA_LOCIDX(45702,45526,,\"SPX\")":0.5887876,"MAS-US^P_BETA_LOCIDX(45701,45525,,\"SPX\")":0.5999726,"MAS-US^P_BETA_LOCIDX(45700,45524,,\"SPX\")":0.5934992,"MAS-US^P_BETA_LOCIDX(45699,45523,,\"SPX\")":0.58756924,"MAS-US^P_BETA_LOCIDX(45698,45520,,\"SPX\")":0.5872076,"MAS-US^P_BETA_LOCIDX(45695,45519,,\"SPX\")":0.59591776,"MAS-US^P_BETA_LOCIDX(45694,45518,,\"SPX\")":0.60591817,"MAS-US^P_BETA_LOCIDX(45693,45517,,\"SPX\")":0.64357334,"MAS-US^P_BETA_LOCIDX(45692,45516,,\"SPX\")":0.64268726,"MAS-US^P_BETA_LOCIDX(45691,45513,,\"SPX\")":0.64578587,"MAS-US^P_BETA_LOCIDX(45688,45512,,\"SPX\")":0.61606574,"MAS-US^P_BETA_LOCIDX(45687,45511,,\"SPX\")":0.6218325,"MAS-US^P_BETA_LOCIDX(45686,45510,,\"SPX\")":0.61511433,"MAS-US^P_BETA_LOCIDX(45685,45509,,\"SPX\")":0.6187754,"MAS-US^P_BETA_LOCIDX(45684,45506,,\"SPX\")":0.64862865,"MAS-US^P_BETA_LOCIDX(45681,45505,,\"SPX\")":0.7343671,"MAS-US^P_BETA_LOCIDX(45680,45504,,\"SPX\")":0.70871407,"MAS-US^P_BETA_LOCIDX(45679,45503,,\"SPX\")":0.6981386,"MAS-US^P_BETA_LOCIDX(45678,45502,,\"SPX\")":0.7006816,"MAS-US^P_BETA_LOCIDX(45674,45499,,\"SPX\")":0.71469855,"MAS-US^P_BETA_LOCIDX(45673,45498,,\"SPX\")":0.66611236,"MAS-US^P_BETA_LOCIDX(45672,45497,,\"SPX\")":0.6556996,"MAS-US^P_BETA_LOCIDX(45671,45496,,\"SPX\")":0.65303785,"MAS-US^P_BETA_LOCIDX(45670,45495,,\"SPX\")":0.6454828,"MAS-US^P_BETA_LOCIDX(45667,45492,,\"SPX\")":0.6470467,"MAS-US^P_BETA_LOCIDX(45665,45491,,\"SPX\")":0.6483089,"MAS-US^P_BETA_LOCIDX(45664,45490,,\"SPX\")":0.65511686,"MAS-US^P_BETA_LOCIDX(45663,45489,,\"SPX\")":0.67018163,"MAS-US^P_BETA_LOCIDX(45660,45488,,\"SPX\")":0.66495997,"MAS-US^P_BETA_LOCIDX(45659,45485,,\"SPX\")":0.6743876,"MAS-US^P_BETA_LOCIDX(45657,45484,,\"SPX\")":0.6241908,"MAS-US^P_BETA_LOCIDX(45656,45483,,\"SPX\")":0.6264831,"MAS-US^P_BETA_LOCIDX(45653,45482,,\"SPX\")":0.62253296,"MAS-US^P_BETA_LOCIDX(45652,45481,,\"SPX\")":0.6209574,"MAS-US^P_BETA_LOCIDX(45650,45478,,\"SPX\")":0.61785865,"MAS-US^P_BETA_LOCIDX(45649,45476,,\"SPX\")":0.620731,"MAS-US^P_BETA_LOCIDX(45646,45475,,\"SPX\")":0.626612,"MAS-US^P_BETA_LOCIDX(45645,45474,,\"SPX\")":0.6034554,"MAS-US^P_BETA_LOCIDX(45644,45471,,\"SPX\")":0.5979714,"MAS-US^P_BETA_LOCIDX(45643,45470,,\"SPX\")":0.5390678,"MAS-US^P_BETA_LOCIDX(45642,45469,,\"SPX\")":0.53226894,"MAS-US^P_BETA_LOCIDX(45639,45468,,\"SPX\")":0.52315474,"MAS-US^P_BETA_LOCIDX(45638,45467,,\"SPX\")":0.5204901,"MAS-US^P_BETA_LOCIDX(45637,45464,,\"SPX\")":0.5224251,"MAS-US^P_BETA_LOCIDX(45636,45463,,\"SPX\")":0.5328815,"MAS-US^P_BETA_LOCIDX(45635,45461,,\"SPX\")":0.5223188,"MAS-US^P_BETA_LOCIDX(45632,45460,,\"SPX\")":0.52686185,"MAS-US^P_BETA_LOCIDX(45631,45457,,\"SPX\")":0.5288762,"MAS-US^P_BETA_LOCIDX(45630,45456,,\"SPX\")":0.53207207,"MAS-US^P_BETA_LOCIDX(45629,45455,,\"SPX\")":0.55519754,"MAS-US^P_BETA_LOCIDX(45628,45454,,\"SPX\")":0.55499965,"MAS-US^P_BETA_LOCIDX(45625,45453,,\"SPX\")":0.55802375,"MAS-US^P_BETA_LOCIDX(45623,45450,,\"SPX\")":0.56338984,"MAS-US^P_BETA_LOCIDX(45622,45449,,\"SPX\")":0.5634385,"MAS-US^P_BETA_LOCIDX(45621,45448,,\"SPX\")":0.5750764,"MAS-US^P_BETA_LOCIDX(45618,45447,,\"SPX\")":0.56561077,"MAS-US^P_BETA_LOCIDX(45617,45446,,\"SPX\")":0.56375784,"MAS-US^P_BETA_LOCIDX(45616,45443,,\"SPX\")":0.5709228,"MAS-US^P_BETA_LOCIDX(45615,45442,,\"SPX\")":0.5576289,"MAS-US^P_BETA_LOCIDX(45614,45441,,\"SPX\")":0.5614042,"MAS-US^P_BETA_LOCIDX(45611,45440,,\"SPX\")":0.5698749,"MAS-US^P_BETA_LOCIDX(45610,45436,,\"SPX\")":0.5656199,"MAS-US^P_BETA_LOCIDX(45609,45435,,\"SPX\")":0.570897,"MAS-US^P_BETA_LOCIDX(45608,45434,,\"SPX\")":0.57460946,"MAS-US^P_BETA_LOCIDX(45607,45433,,\"SPX\")":0.56597686,"MAS-US^P_BETA_LOCIDX(45604,45432,,\"SPX\")":0.5661004,"MAS-US^P_BETA_LOCIDX(45603,45429,,\"SPX\")":0.56418496,"MAS-US^P_BETA_LOCIDX(45602,45428,,\"SPX\")":0.57615566,"MAS-US^P_BETA_LOCIDX(45601,45427,,\"SPX\")":0.6875489,"MAS-US^P_BETA_LOCIDX(45600,45426,,\"SPX\")":0.683362,"MAS-US^P_BETA_LOCIDX(45597,45425,,\"SPX\")":0.6899919,"MAS-US^P_BETA_LOCIDX(45596,45422,,\"SPX\")":0.69017386,"MAS-US^P_BETA_LOCIDX(45595,45421,,\"SPX\")":0.715627,"MAS-US^P_BETA_LOCIDX(45594,45420,,\"SPX\")":0.7102971,"MAS-US^P_BETA_LOCIDX(45593,45419,,\"SPX\")":0.7110142,"MAS-US^P_BETA_LOCIDX(45590,45418,,\"SPX\")":0.7123925,"MAS-US^P_BETA_LOCIDX(45589,45415,,\"SPX\")":0.70703256,"MAS-US^P_BETA_LOCIDX(45588,45414,,\"SPX\")":0.70459795,"MAS-US^P_BETA_LOCIDX(45587,45413,,\"SPX\")":0.7060197,"MAS-US^P_BETA_LOCIDX(45586,45412,,\"SPX\")":0.7273184,"MAS-US^P_BETA_LOCIDX(45583,45411,,\"SPX\")":0.7210537,"MAS-US^P_BETA_LOCIDX(45582,45408,,\"SPX\")":0.71209645,"MAS-US^P_BETA_LOCIDX(45581,45407,,\"SPX\")":0.70886624,"MAS-US^P_BETA_LOCIDX(45580,45406,,\"SPX\")":0.71378213,"MAS-US^P_BETA_LOCIDX(45579,45405,,\"SPX\")":0.72883433,"MAS-US^P_BETA_LOCIDX(45576,45404,,\"SPX\")":0.7168098,"MAS-US^P_BETA_LOCIDX(45575,45401,,\"SPX\")":0.7149913,"MAS-US^P_BETA_LOCIDX(45574,45400,,\"SPX\")":0.71166193,"MAS-US^P_BETA_LOCIDX(45573,45399,,\"SPX\")":0.70836407,"MAS-US^P_BETA_LOCIDX(45572,45398,,\"SPX\")":0.7133313,"MAS-US^P_BETA_LOCIDX(45569,45397,,\"SPX\")":0.72599024,"MAS-US^P_BETA_LOCIDX(45568,45394,,\"SPX\")":0.72165626,"MAS-US^P_BETA_LOCIDX(45567,45393,,\"SPX\")":0.7117939,"MAS-US^P_BETA_LOCIDX(45566,45392,,\"SPX\")":0.74551463,"MAS-US^P_BETA_LOCIDX(45565,45391,,\"SPX\")":0.7512396,"MAS-US^P_BETA_LOCIDX(45562,45390,,\"SPX\")":0.7504089,"MAS-US^P_BETA_LOCIDX(45561,45387,,\"SPX\")":0.746845,"MAS-US^P_BETA_LOCIDX(45560,45386,,\"SPX\")":0.7558004,"MAS-US^P_BETA_LOCIDX(45559,45385,,\"SPX\")":0.75379175,"MAS-US^P_BETA_LOCIDX(45558,45384,,\"SPX\")":0.75401795,"MAS-US^P_BETA_LOCIDX(45555,45383,,\"SPX\")":0.75748914,"MAS-US^P_BETA_LOCIDX(45554,45379,,\"SPX\")":0.7544321,"MAS-US^P_BETA_LOCIDX(45553,45378,,\"SPX\")":0.75213164,"MAS-US^P_BETA_LOCIDX(45552,45377,,\"SPX\")":0.75136936,"MAS-US^P_BETA_LOCIDX(45551,45376,,\"SPX\")":0.7565038,"MAS-US^P_BETA_LOCIDX(45548,45373,,\"SPX\")":0.7587711,"MAS-US^P_BETA_LOCIDX(45547,45372,,\"SPX\")":0.75897706,"MAS-US^P_BETA_LOCIDX(45546,45371,,\"SPX\")":0.7588183,"MAS-US^P_BETA_LOCIDX(45545,45370,,\"SPX\")":0.7819422,"MAS-US^P_BETA_LOCIDX(45544,45369,,\"SPX\")":0.77198654,"MAS-US^P_BETA_LOCIDX(45541,45366,,\"SPX\")":0.7752794,"MAS-US^P_BETA_LOCIDX(45540,45365,,\"SPX\")":0.8082786,"MAS-US^P_BETA_LOCIDX(45539,45364,,\"SPX\")":0.80579525,"MAS-US^P_BETA_LOCIDX(45538,45363,,\"SPX\")":0.801025,"MAS-US^P_BETA_LOCIDX(45534,45362,,\"SPX\")":0.80978245,"MAS-US^P_BETA_LOCIDX(45533,45359,,\"SPX\")":0.8067035,"MAS-US^P_BETA_LOCIDX(45532,45358,,\"SPX\")":0.80838144,"MAS-US^P_BETA_LOCIDX(45531,45357,,\"SPX\")":0.80679137,"MAS-US^P_BETA_LOCIDX(45530,45356,,\"SPX\")":0.81943077,"MAS-US^P_BETA_LOCIDX(45527,45355,,\"SPX\")":0.8191934,"MAS-US^P_BETA_LOCIDX(45526,45352,,\"SPX\")":0.7854616,"MAS-US^P_BETA_LOCIDX(45525,45351,,\"SPX\")":0.7838188,"MAS-US^P_BETA_LOCIDX(45524,45350,,\"SPX\")":0.7739426,"MAS-US^P_BETA_LOCIDX(45523,45349,,\"SPX\")":0.77498996,"MAS-US^P_BETA_LOCIDX(45520,45348,,\"SPX\")":0.7679803,"MAS-US^P_BETA_LOCIDX(45519,45345,,\"SPX\")":0.7687225,"MAS-US^P_BETA_LOCIDX(45518,45344,,\"SPX\")":0.7505348,"MAS-US^P_BETA_LOCIDX(45517,45343,,\"SPX\")":0.7447187,"MAS-US^P_BETA_LOCIDX(45516,45342,,\"SPX\")":0.69856876,"MAS-US^P_BETA_LOCIDX(45513,45338,,\"SPX\")":0.6987959,"MAS-US^P_BETA_LOCIDX(45512,45337,,\"SPX\")":0.7009266,"MAS-US^P_BETA_LOCIDX(45511,45336,,\"SPX\")":0.72795457,"MAS-US^P_BETA_LOCIDX(45510,45335,,\"SPX\")":0.70991325,"MAS-US^P_BETA_LOCIDX(45509,45334,,\"SPX\")":0.7093425,"MAS-US^P_BETA_LOCIDX(45506,45331,,\"SPX\")":0.70125306,"MAS-US^P_BETA_LOCIDX(45505,45330,,\"SPX\")":0.6901639,"MAS-US^P_BETA_LOCIDX(45504,45329,,\"SPX\")":0.6835092,"MAS-US^P_BETA_LOCIDX(45503,45328,,\"SPX\")":0.7297891,"MAS-US^P_BETA_LOCIDX(45502,45327,,\"SPX\")":0.74622977,"MAS-US^P_BETA_LOCIDX(45499,45324,,\"SPX\")":0.721761,"MAS-US^P_BETA_LOCIDX(45498,45323,,\"SPX\")":0.7342549,"MAS-US^P_BETA_LOCIDX(45497,45322,,\"SPX\")":0.82564616,"MAS-US^P_BETA_LOCIDX(45496,45321,,\"SPX\")":0.86623615,"MAS-US^P_BETA_LOCIDX(45495,45320,,\"SPX\")":0.8693024,"MAS-US^P_BETA_LOCIDX(45492,45317,,\"SPX\")":0.88214564,"MAS-US^P_BETA_LOCIDX(45491,45316,,\"SPX\")":0.89338976,"MAS-US^P_BETA_LOCIDX(45490,45315,,\"SPX\")":0.9119697,"MAS-US^P_BETA_LOCIDX(45489,45314,,\"SPX\")":0.89613897,"MAS-US^P_BETA_LOCIDX(45488,45313,,\"SPX\")":0.8523058,"MAS-US^P_BETA_LOCIDX(45485,45310,,\"SPX\")":0.82917345,"MAS-US^P_BETA_LOCIDX(45484,45309,,\"SPX\")":0.8247599,"MAS-US^P_BETA_LOCIDX(45483,45308,,\"SPX\")":0.9239015,"MAS-US^P_BETA_LOCIDX(45482,45307,,\"SPX\")":0.916834,"MAS-US^P_BETA_LOCIDX(45481,45303,,\"SPX\")":0.9178211,"MAS-US^P_BETA_LOCIDX(45478,45302,,\"SPX\")":0.9182626,"MAS-US^P_BETA_LOCIDX(45476,45301,,\"SPX\")":0.93070275,"MAS-US^P_BETA_LOCIDX(45475,45300,,\"SPX\")":0.928267,"MAS-US^P_BETA_LOCIDX(45474,45299,,\"SPX\")":0.9683179,"MAS-US^P_BETA_LOCIDX(45471,45296,,\"SPX\")":0.97737217,"MAS-US^P_BETA_LOCIDX(45470,45295,,\"SPX\")":0.9830589,"MAS-US^P_BETA_LOCIDX(45469,45294,,\"SPX\")":1.026152,"MAS-US^P_BETA_LOCIDX(45468,45293,,\"SPX\")":1.0241818,"MAS-US^P_BETA_LOCIDX(45467,45289,,\"SPX\")":1.0441135,"MAS-US^P_BETA_LOCIDX(45464,45288,,\"SPX\")":1.0501465,"MAS-US^P_BETA_LOCIDX(45463,45287,,\"SPX\")":1.0485623,"MAS-US^P_BETA_LOCIDX(45461,45286,,\"SPX\")":1.0383939,"MAS-US^P_BETA_LOCIDX(45460,45282,,\"SPX\")":1.0389842,"MAS-US^P_BETA_LOCIDX(45457,45281,,\"SPX\")":1.0331049,"MAS-US^P_BETA_LOCIDX(45456,45280,,\"SPX\")":1.0272979,"MAS-US^P_BETA_LOCIDX(45455,45279,,\"SPX\")":1.0207642,"MAS-US^P_BETA_LOCIDX(45454,45278,,\"SPX\")":0.9888477,"MAS-US^P_BETA_LOCIDX(45453,45275,,\"SPX\")":0.9907204,"MAS-US^P_BETA_LOCIDX(45450,45274,,\"SPX\")":0.99858224,"MAS-US^P_BETA_LOCIDX(45449,45273,,\"SPX\")":1.0306138,"MAS-US^P_BETA_LOCIDX(45448,45272,,\"SPX\")":1.0295129,"MAS-US^P_BETA_LOCIDX(45447,45271,,\"SPX\")":1.0346481,"MAS-US^P_BETA_LOCIDX(45446,45268,,\"SPX\")":1.0387998,"MAS-US^P_BETA_LOCIDX(45443,45267,,\"SPX\")":1.0288284,"MAS-US^P_BETA_LOCIDX(45442,45266,,\"SPX\")":0.99222755,"MAS-US^P_BETA_LOCIDX(45441,45265,,\"SPX\")":1.019415,"MAS-US^P_BETA_LOCIDX(45440,45264,,\"SPX\")":1.0159845,"MAS-US^P_BETA_LOCIDX(45436,45261,,\"SPX\")":1.0285729,"MAS-US^P_BETA_LOCIDX(45435,45260,,\"SPX\")":1.0300624,"MAS-US^P_BETA_LOCIDX(45434,45259,,\"SPX\")":1.0244075,"MAS-US^P_BETA_LOCIDX(45433,45258,,\"SPX\")":1.02015,"MAS-US^P_BETA_LOCIDX(45432,45257,,\"SPX\")":1.0128715,"MAS-US^P_BETA_LOCIDX(45429,45254,,\"SPX\")":1.0125067,"MAS-US^P_BETA_LOCIDX(45428,45252,,\"SPX\")":1.0122929,"MAS-US^P_BETA_LOCIDX(45427,45251,,\"SPX\")":1.0080452,"MAS-US^P_BETA_LOCIDX(45426,45250,,\"SPX\")":0.9945946,"MAS-US^P_BETA_LOCIDX(45425,45247,,\"SPX\")":0.9951002,"MAS-US^P_BETA_LOCIDX(45422,45246,,\"SPX\")":0.98954344,"MAS-US^P_BETA_LOCIDX(45421,45245,,\"SPX\")":0.98945767,"MAS-US^P_BETA_LOCIDX(45420,45244,,\"SPX\")":1.1083736,"MAS-US^P_BETA_LOCIDX(45419,45243,,\"SPX\")":1.1116787,"MAS-US^P_BETA_LOCIDX(45418,45240,,\"SPX\")":1.0989275,"MAS-US^P_BETA_LOCIDX(45415,45239,,\"SPX\")":1.1142923,"MAS-US^P_BETA_LOCIDX(45414,45238,,\"SPX\")":1.1246598,"MAS-US^P_BETA_LOCIDX(45413,45237,,\"SPX\")":1.1330504,"MAS-US^P_BETA_LOCIDX(45412,45236,,\"SPX\")":1.1360774,"MAS-US^P_BETA_LOCIDX(45411,45233,,\"SPX\")":1.1347002,"MAS-US^P_BETA_LOCIDX(45408,45232,,\"SPX\")":1.1348194,"MAS-US^P_BETA_LOCIDX(45407,45231,,\"SPX\")":1.1517127,"MAS-US^P_BETA_LOCIDX(45406,45230,,\"SPX\")":1.1557395,"MAS-US^P_BETA_LOCIDX(45405,45229,,\"SPX\")":1.1458806,"MAS-US^P_BETA_LOCIDX(45404,45226,,\"SPX\")":1.1529914,"MAS-US^P_BETA_LOCIDX(45401,45225,,\"SPX\")":0.9957153,"MAS-US^P_BETA_LOCIDX(45400,45224,,\"SPX\")":1.0099932,"MAS-US^P_BETA_LOCIDX(45399,45223,,\"SPX\")":0.9889717,"MAS-US^P_BETA_LOCIDX(45398,45222,,\"SPX\")":0.99140495,"MAS-US^P_BETA_LOCIDX(45397,45219,,\"SPX\")":0.97512746,"MAS-US^P_BETA_LOCIDX(45394,45218,,\"SPX\")":0.99228925,"MAS-US^P_BETA_LOCIDX(45393,45217,,\"SPX\")":1.0773755,"MAS-US^P_BETA_LOCIDX(45392,45216,,\"SPX\")":1.0929806,"MAS-US^P_BETA_LOCIDX(45391,45215,,\"SPX\")":1.0667892,"MAS-US^P_BETA_LOCIDX(45390,45212,,\"SPX\")":1.0730166,"MAS-US^P_BETA_LOCIDX(45387,45211,,\"SPX\")":1.1125203,"MAS-US^P_BETA_LOCIDX(45386,45210,,\"SPX\")":1.1331031,"MAS-US^P_BETA_LOCIDX(45385,45209,,\"SPX\")":1.1229862,"MAS-US^P_BETA_LOCIDX(45384,45208,,\"SPX\")":1.116951,"MAS-US^P_BETA_LOCIDX(45383,45205,,\"SPX\")":1.0922408,"MAS-US^P_BETA_LOCIDX(45379,45204,,\"SPX\")":1.0842026,"MAS-US^P_BETA_LOCIDX(45378,45203,,\"SPX\")":1.0873362,"MAS-US^P_BETA_LOCIDX(45377,45202,,\"SPX\")":1.091624,"MAS-US^P_BETA_LOCIDX(45376,45201,,\"SPX\")":1.1023759,"MAS-US^P_BETA_LOCIDX(45373,45198,,\"SPX\")":1.103266,"MAS-US^P_BETA_LOCIDX(45372,45197,,\"SPX\")":1.1052822,"MAS-US^P_BETA_LOCIDX(45371,45196,,\"SPX\")":1.0982035,"MAS-US^P_BETA_LOCIDX(45370,45195,,\"SPX\")":1.0912963,"MAS-US^P_BETA_LOCIDX(45369,45194,,\"SPX\")":1.0825971,"MAS-US^P_BETA_LOCIDX(45366,45191,,\"SPX\")":1.095956,"MAS-US^P_BETA_LOCIDX(45365,45190,,\"SPX\")":1.1095283,"MAS-US^P_BETA_LOCIDX(45364,45189,,\"SPX\")":1.1118681,"MAS-US^P_BETA_LOCIDX(45363,45188,,\"SPX\")":1.1049365,"MAS-US^P_BETA_LOCIDX(45362,45187,,\"SPX\")":1.1169183,"MAS-US^P_BETA_LOCIDX(45359,45184,,\"SPX\")":1.1277372,"MAS-US^P_BETA_LOCIDX(45358,45183,,\"SPX\")":1.1264929,"MAS-US^P_BETA_LOCIDX(45357,45182,,\"SPX\")":1.1312084,"MAS-US^P_BETA_LOCIDX(45356,45181,,\"SPX\")":1.1456517,"MAS-US^P_BETA_LOCIDX(45355,45180,,\"SPX\")":1.1339393,"MAS-US^P_BETA_LOCIDX(45352,45177,,\"SPX\")":1.1347936,"MAS-US^P_BETA_LOCIDX(45351,45176,,\"SPX\")":1.1433634,"MAS-US^P_BETA_LOCIDX(45350,45175,,\"SPX\")":1.1313723,"MAS-US^P_BETA_LOCIDX(45349,45174,,\"SPX\")":1.1600592,"MAS-US^P_BETA_LOCIDX(45348,45170,,\"SPX\")":1.1596066,"MAS-US^P_BETA_LOCIDX(45345,45169,,\"SPX\")":1.1638553,"MAS-US^P_BETA_LOCIDX(45344,45168,,\"SPX\")":1.1656065,"MAS-US^P_BETA_LOCIDX(45343,45167,,\"SPX\")":1.2313306,"MAS-US^P_BETA_LOCIDX(45342,45166,,\"SPX\")":1.226681,"MAS-US^P_BETA_LOCIDX(45338,45163,,\"SPX\")":1.2391876,"MAS-US^P_BETA_LOCIDX(45337,45162,,\"SPX\")":1.2249306,"MAS-US^P_BETA_LOCIDX(45336,45161,,\"SPX\")":1.2333195,"MAS-US^P_BETA_LOCIDX(45335,45160,,\"SPX\")":1.2309774,"MAS-US^P_BETA_LOCIDX(45334,45159,,\"SPX\")":1.2244678,"MAS-US^P_BETA_LOCIDX(45331,45156,,\"SPX\")":1.2263111,"MAS-US^P_BETA_LOCIDX(45330,45155,,\"SPX\")":1.2616181,"MAS-US^P_BETA_LOCIDX(45329,45154,,\"SPX\")":1.2747629,"MAS-US^P_BETA_LOCIDX(45328,45153,,\"SPX\")":1.2418022,"MAS-US^P_BETA_LOCIDX(45327,45152,,\"SPX\")":1.2422367,"MAS-US^P_BETA_LOCIDX(45324,45149,,\"SPX\")":1.2391987,"MAS-US^P_BETA_LOCIDX(45323,45148,,\"SPX\")":1.26891,"MAS-US^P_BETA_LOCIDX(45322,45147,,\"SPX\")":1.2493443,"MAS-US^P_BETA_LOCIDX(45321,45146,,\"SPX\")":1.2545408,"MAS-US^P_BETA_LOCIDX(45320,45145,,\"SPX\")":1.2560753,"MAS-US^P_BETA_LOCIDX(45317,45142,,\"SPX\")":1.2418399,"MAS-US^P_BETA_LOCIDX(45316,45141,,\"SPX\")":1.2506797,"MAS-US^P_BETA_LOCIDX(45315,45140,,\"SPX\")":1.232107,"MAS-US^P_BETA_LOCIDX(45314,45139,,\"SPX\")":1.2257051,"MAS-US^P_BETA_LOCIDX(45313,45138,,\"SPX\")":1.2358822,"MAS-US^P_BETA_LOCIDX(45310,45135,,\"SPX\")":1.199297,"MAS-US^P_BETA_LOCIDX(45309,45134,,\"SPX\")":1.2152019,"MAS-US^P_BETA_LOCIDX(45308,45133,,\"SPX\")":1.2111849,"MAS-US^P_BETA_LOCIDX(45307,45132,,\"SPX\")":1.22038,"MAS-US^P_BETA_LOCIDX(45303,45131,,\"SPX\")":1.2227482,"MAS-US^P_BETA_LOCIDX(45302,45128,,\"SPX\")":1.2235364,"MAS-US^P_BETA_LOCIDX(45301,45127,,\"SPX\")":1.2302836,"MAS-US^P_BETA_LOCIDX(45300,45126,,\"SPX\")":1.2229371,"MAS-US^P_BETA_LOCIDX(45299,45125,,\"SPX\")":1.2210433,"MAS-US^P_BETA_LOCIDX(45296,45124,,\"SPX\")":1.2022547,"MAS-US^P_BETA_LOCIDX(45295,45121,,\"SPX\")":1.2001168,"MAS-US^P_BETA_LOCIDX(45294,45120,,\"SPX\")":1.2109482,"MAS-US^P_BETA_LOCIDX(45293,45119,,\"SPX\")":1.1907839,"MAS-US^P_BETA_LOCIDX(45289,45118,,\"SPX\")":1.197733,"MAS-US^P_BETA_LOCIDX(45288,45117,,\"SPX\")":1.2043788,"MAS-US^P_BETA_LOCIDX(45287,45114,,\"SPX\")":1.2027501,"MAS-US^P_BETA_LOCIDX(45286,45113,,\"SPX\")":1.2137477,"MAS-US^P_BETA_LOCIDX(45282,45112,,\"SPX\")":1.2207783,"MAS-US^P_BETA_LOCIDX(45281,45110,,\"SPX\")":1.2205886,"MAS-US^P_BETA_LOCIDX(45280,45107,,\"SPX\")":1.206303,"MAS-US^P_BETA_LOCIDX(45279,45106,,\"SPX\")":1.2117301,"MAS-US^P_BETA_LOCIDX(45278,45105,,\"SPX\")":1.2169211,"MAS-US^P_BETA_LOCIDX(45275,45104,,\"SPX\")":1.2477791,"MAS-US^P_BETA_LOCIDX(45274,45103,,\"SPX\")":1.2399954,"MAS-US^P_BETA_LOCIDX(45273,45100,,\"SPX\")":1.2199695,"MAS-US^P_BETA_LOCIDX(45272,45099,,\"SPX\")":1.1839693,"MAS-US^P_BETA_LOCIDX(45271,45098,,\"SPX\")":1.1768202,"MAS-US^P_BETA_LOCIDX(45268,45097,,\"SPX\")":1.1688046,"MAS-US^P_BETA_LOCIDX(45267,45093,,\"SPX\")":1.1700846,"MAS-US^P_BETA_LOCIDX(45266,45092,,\"SPX\")":1.1792164,"MAS-US^P_BETA_LOCIDX(45265,45091,,\"SPX\")":1.1929067,"MAS-US^P_BETA_LOCIDX(45264,45090,,\"SPX\")":1.1979283,"MAS-US^P_BETA_LOCIDX(45261,45089,,\"SPX\")":1.2205254,"MAS-US^P_BETA_LOCIDX(45260,45086,,\"SPX\")":1.2040178,"MAS-US^P_BETA_LOCIDX(45259,45085,,\"SPX\")":1.1952612,"MAS-US^P_BETA_LOCIDX(45258,45084,,\"SPX\")":1.1738007,"MAS-US^P_BETA_LOCIDX(45257,45083,,\"SPX\")":1.1848611,"MAS-US^P_BETA_LOCIDX(45254,45082,,\"SPX\")":1.1928755,"MAS-US^P_BETA_LOCIDX(45252,45079,,\"SPX\")":1.2558308,"MAS-US^P_BETA_LOCIDX(45251,45078,,\"SPX\")":1.2594699,"MAS-US^P_BETA_LOCIDX(45250,45077,,\"SPX\")":1.2787484,"MAS-US^P_BETA_LOCIDX(45247,45076,,\"SPX\")":1.2892207,"MAS-US^P_BETA_LOCIDX(45246,45072,,\"SPX\")":1.2765036,"MAS-US^P_BETA_LOCIDX(45245,45071,,\"SPX\")":1.2621918,"MAS-US^P_BETA_LOCIDX(45244,45070,,\"SPX\")":1.270791,"MAS-US^P_BETA_LOCIDX(45243,45069,,\"SPX\")":1.1773697,"MAS-US^P_BETA_LOCIDX(45240,45068,,\"SPX\")":1.1761392,"MAS-US^P_BETA_LOCIDX(45239,45065,,\"SPX\")":1.1949878,"MAS-US^P_BETA_LOCIDX(45238,45064,,\"SPX\")":1.1901078,"MAS-US^P_BETA_LOCIDX(45237,45063,,\"SPX\")":1.2102613,"MAS-US^P_BETA_LOCIDX(45236,45062,,\"SPX\")":1.2179756,"MAS-US^P_BETA_LOCIDX(45233,45061,,\"SPX\")":1.2211143,"MAS-US^P_BETA_LOCIDX(45232,45058,,\"SPX\")":1.2091647,"MAS-US^P_BETA_LOCIDX(45231,45057,,\"SPX\")":1.2140473,"MAS-US^P_BETA_LOCIDX(45230,45056,,\"SPX\")":1.2051233,"MAS-US^P_BETA_LOCIDX(45229,45055,,\"SPX\")":1.2052066,"MAS-US^P_BETA_LOCIDX(45226,45054,,\"SPX\")":1.2033507,"MAS-US^P_BETA_LOCIDX(45225,45051,,\"SPX\")":1.1775949,"MAS-US^P_BETA_LOCIDX(45224,45050,,\"SPX\")":1.3380815,"MAS-US^P_BETA_LOCIDX(45223,45049,,\"SPX\")":1.3255631,"MAS-US^P_BETA_LOCIDX(45222,45048,,\"SPX\")":1.3209056,"MAS-US^P_BETA_LOCIDX(45219,45047,,\"SPX\")":1.321277,"MAS-US^P_BETA_LOCIDX(45218,45044,,\"SPX\")":1.3484373,"MAS-US^P_BETA_LOCIDX(45217,45043,,\"SPX\")":1.388554,"MAS-US^P_BETA_LOCIDX(45216,45042,,\"SPX\")":1.3451037,"MAS-US^P_BETA_LOCIDX(45215,45041,,\"SPX\")":1.3303629,"MAS-US^P_BETA_LOCIDX(45212,45040,,\"SPX\")":1.309737,"MAS-US^P_BETA_LOCIDX(45211,45037,,\"SPX\")":1.3071117,"MAS-US^P_BETA_LOCIDX(45210,45036,,\"SPX\")":1.255596,"MAS-US^P_BETA_LOCIDX(45209,45035,,\"SPX\")":1.2473024,"MAS-US^P_BETA_LOCIDX(45208,45034,,\"SPX\")":1.2470602,"MAS-US^P_BETA_LOCIDX(45205,45033,,\"SPX\")":1.2591877,"MAS-US^P_BETA_LOCIDX(45204,45030,,\"SPX\")":1.2873392,"MAS-US^P_BETA_LOCIDX(45203,45029,,\"SPX\")":1.2684962,"MAS-US^P_BETA_LOCIDX(45202,45028,,\"SPX\")":1.2643697,"MAS-US^P_BETA_LOCIDX(45201,45027,,\"SPX\")":1.261645,"MAS-US^P_BETA_LOCIDX(45198,45026,,\"SPX\")":1.2616216,"MAS-US^P_BETA_LOCIDX(45197,45022,,\"SPX\")":1.2488639,"MAS-US^P_BETA_LOCIDX(45196,45021,,\"SPX\")":1.2473987,"MAS-US^P_BETA_LOCIDX(45195,45020,,\"SPX\")":1.2674503,"MAS-US^P_BETA_LOCIDX(45194,45019,,\"SPX\")":1.282613,"MAS-US^P_BETA_LOCIDX(45191,45016,,\"SPX\")":1.3012158,"MAS-US^P_BETA_LOCIDX(45190,45015,,\"SPX\")":1.2866503,"MAS-US^P_BETA_LOCIDX(45189,45014,,\"SPX\")":1.2886474,"MAS-US^P_BETA_LOCIDX(45188,45013,,\"SPX\")":1.2787548,"MAS-US^P_BETA_LOCIDX(45187,45012,,\"SPX\")":1.2832191,"MAS-US^P_BETA_LOCIDX(45184,45009,,\"SPX\")":1.2727133,"MAS-US^P_BETA_LOCIDX(45183,45008,,\"SPX\")":1.2532246,"MAS-US^P_BETA_LOCIDX(45182,45007,,\"SPX\")":1.3143114,"MAS-US^P_BETA_LOCIDX(45181,45006,,\"SPX\")":1.3272378,"MAS-US^P_BETA_LOCIDX(45180,45005,,\"SPX\")":1.3265693,"MAS-US^P_BETA_LOCIDX(45177,45002,,\"SPX\")":1.341397,"MAS-US^P_BETA_LOCIDX(45176,45001,,\"SPX\")":1.2988564,"MAS-US^P_BETA_LOCIDX(45175,45000,,\"SPX\")":1.2919339,"MAS-US^P_BETA_LOCIDX(45174,44999,,\"SPX\")":1.2835199,"MAS-US^P_BETA_LOCIDX(45170,44998,,\"SPX\")":1.2534771,"MAS-US^P_BETA_LOCIDX(45169,44995,,\"SPX\")":1.2534634,"MAS-US^P_BETA_LOCIDX(45168,44994,,\"SPX\")":1.2102991,"MAS-US^P_BETA_LOCIDX(45167,44993,,\"SPX\")":1.2091563,"MAS-US^P_BETA_LOCIDX(45166,44992,,\"SPX\")":1.1853187,"MAS-US^P_BETA_LOCIDX(45163,44991,,\"SPX\")":1.1889958,"MAS-US^P_BETA_LOCIDX(45162,44988,,\"SPX\")":1.1868678,"MAS-US^P_BETA_LOCIDX(45161,44987,,\"SPX\")":1.2010336,"MAS-US^P_BETA_LOCIDX(45160,44986,,\"SPX\")":1.2034385,"MAS-US^P_BETA_LOCIDX(45159,44985,,\"SPX\")":1.2030797,"MAS-US^P_BETA_LOCIDX(45156,44984,,\"SPX\")":1.2175525,"MAS-US^P_BETA_LOCIDX(45155,44981,,\"SPX\")":1.221175,"MAS-US^P_BETA_LOCIDX(45154,44980,,\"SPX\")":1.201152,"MAS-US^P_BETA_LOCIDX(45153,44979,,\"SPX\")":1.1901112,"MAS-US^P_BETA_LOCIDX(45152,44978,,\"SPX\")":1.2486097,"MAS-US^P_BETA_LOCIDX(45149,44974,,\"SPX\")":1.2508577,"MAS-US^P_BETA_LOCIDX(45148,44973,,\"SPX\")":1.2303127,"MAS-US^P_BETA_LOCIDX(45147,44972,,\"SPX\")":1.2325308,"MAS-US^P_BETA_LOCIDX(45146,44971,,\"SPX\")":1.2355968,"MAS-US^P_BETA_LOCIDX(45145,44970,,\"SPX\")":1.2535337,"MAS-US^P_BETA_LOCIDX(45142,44967,,\"SPX\")":1.2551136,"MAS-US^P_BETA_LOCIDX(45141,44966,,\"SPX\")":1.2502851,"MAS-US^P_BETA_LOCIDX(45140,44965,,\"SPX\")":1.233831,"MAS-US^P_BETA_LOCIDX(45139,44964,,\"SPX\")":1.2192651,"MAS-US^P_BETA_LOCIDX(45138,44963,,\"SPX\")":1.2364409,"MAS-US^P_BETA_LOCIDX(45135,44960,,\"SPX\")":1.2506832,"MAS-US^P_BETA_LOCIDX(45134,44959,,\"SPX\")":1.3181387,"MAS-US^P_BETA_LOCIDX(45133,44958,,\"SPX\")":1.3398372,"MAS-US^P_BETA_LOCIDX(45132,44957,,\"SPX\")":1.3988601,"MAS-US^P_BETA_LOCIDX(45131,44956,,\"SPX\")":1.3868887,"MAS-US^P_BETA_LOCIDX(45128,44953,,\"SPX\")":1.3890207,"MAS-US^P_BETA_LOCIDX(45127,44952,,\"SPX\")":1.3548756,"MAS-US^P_BETA_LOCIDX(45126,44951,,\"SPX\")":1.3499405,"MAS-US^P_BETA_LOCIDX(45125,44950,,\"SPX\")":1.3507804,"MAS-US^P_BETA_LOCIDX(45124,44949,,\"SPX\")":1.3581973,"MAS-US^P_BETA_LOCIDX(45121,44946,,\"SPX\")":1.383298,"MAS-US^P_BETA_LOCIDX(45120,44945,,\"SPX\")":1.4139478,"MAS-US^P_BETA_LOCIDX(45119,44944,,\"SPX\")":1.3894305,"MAS-US^P_BETA_LOCIDX(45118,44943,,\"SPX\")":1.3872796,"MAS-US^P_BETA_LOCIDX(45117,44939,,\"SPX\")":1.3819839,"MAS-US^P_BETA_LOCIDX(45114,44938,,\"SPX\")":1.3774562,"MAS-US^P_BETA_LOCIDX(45113,44937,,\"SPX\")":1.3795048,"MAS-US^P_BETA_LOCIDX(45112,44936,,\"SPX\")":1.3742626,"MAS-US^P_BETA_LOCIDX(45110,44935,,\"SPX\")":1.368137,"MAS-US^P_BETA_LOCIDX(45107,44932,,\"SPX\")":1.3693013,"MAS-US^P_BETA_LOCIDX(45106,44931,,\"SPX\")":1.3817788,"MAS-US^P_BETA_LOCIDX(45105,44930,,\"SPX\")":1.3915365,"MAS-US^P_BETA_LOCIDX(45104,44929,,\"SPX\")":1.3801041,"MAS-US^P_BETA_LOCIDX(45103,44925,,\"SPX\")":1.3709645,"MAS-US^P_BETA_LOCIDX(45100,44924,,\"SPX\")":1.375649,"MAS-US^P_BETA_LOCIDX(45099,44923,,\"SPX\")":1.3917654,"MAS-US^P_BETA_LOCIDX(45098,44922,,\"SPX\")":1.3923169,"MAS-US^P_BETA_LOCIDX(45097,44918,,\"SPX\")":1.3967562,"MAS-US^P_BETA_LOCIDX(45093,44917,,\"SPX\")":1.3816681,"MAS-US^P_BETA_LOCIDX(45092,44916,,\"SPX\")":1.3697484,"MAS-US^P_BETA_LOCIDX(45091,44915,,\"SPX\")":1.3734735,"MAS-US^P_BETA_LOCIDX(45090,44914,,\"SPX\")":1.3705685,"MAS-US^P_BETA_LOCIDX(45089,44911,,\"SPX\")":1.3766942,"MAS-US^P_BETA_LOCIDX(45086,44910,,\"SPX\")":1.3642571,"MAS-US^P_BETA_LOCIDX(45085,44909,,\"SPX\")":1.3745388,"MAS-US^P_BETA_LOCIDX(45084,44908,,\"SPX\")":1.3953164,"MAS-US^P_BETA_LOCIDX(45083,44907,,\"SPX\")":1.3953061,"MAS-US^P_BETA_LOCIDX(45082,44904,,\"SPX\")":1.3869672,"MAS-US^P_BETA_LOCIDX(45079,44903,,\"SPX\")":1.3880186,"MAS-US^P_BETA_LOCIDX(45078,44902,,\"SPX\")":1.3496808,"MAS-US^P_BETA_LOCIDX(45077,44901,,\"SPX\")":1.3476546,"MAS-US^P_BETA_LOCIDX(45076,44900,,\"SPX\")":1.3419949,"MAS-US^P_BETA_LOCIDX(45072,44897,,\"SPX\")":1.3434148,"MAS-US^P_BETA_LOCIDX(45071,44896,,\"SPX\")":1.3484799,"MAS-US^P_BETA_LOCIDX(45070,44895,,\"SPX\")":1.300616,"MAS-US^P_BETA_LOCIDX(45069,44894,,\"SPX\")":1.2958714,"MAS-US^P_BETA_LOCIDX(45068,44893,,\"SPX\")":1.295976,"MAS-US^P_BETA_LOCIDX(45065,44890,,\"SPX\")":1.2955184,"MAS-US^P_BETA_LOCIDX(45064,44888,,\"SPX\")":1.2932106,"MAS-US^P_BETA_LOCIDX(45063,44887,,\"SPX\")":1.287872,"MAS-US^P_BETA_LOCIDX(45062,44886,,\"SPX\")":1.2776688,"MAS-US^P_BETA_LOCIDX(45061,44883,,\"SPX\")":1.2764373,"MAS-US^P_BETA_LOCIDX(45058,44882,,\"SPX\")":1.2816516,"MAS-US^P_BETA_LOCIDX(45057,44881,,\"SPX\")":1.2810715,"MAS-US^P_BETA_LOCIDX(45056,44880,,\"SPX\")":1.2880203,"MAS-US^P_BETA_LOCIDX(45055,44879,,\"SPX\")":1.3042907,"MAS-US^P_BETA_LOCIDX(45054,44876,,\"SPX\")":1.3096672,"MAS-US^P_BETA_LOCIDX(45051,44875,,\"SPX\")":1.4501046,"MAS-US^P_BETA_LOCIDX(45050,44874,,\"SPX\")":1.4399412,"MAS-US^P_BETA_LOCIDX(45049,44873,,\"SPX\")":1.4393522,"MAS-US^P_BETA_LOCIDX(45048,44872,,\"SPX\")":1.4525344,"MAS-US^P_BETA_LOCIDX(45047,44869,,\"SPX\")":1.4602892,"MAS-US^P_BETA_LOCIDX(45044,44868,,\"SPX\")":1.468933,"MAS-US^P_BETA_LOCIDX(45043,44867,,\"SPX\")":1.4654653,"MAS-US^P_BETA_LOCIDX(45042,44866,,\"SPX\")":1.4549041,"MAS-US^P_BETA_LOCIDX(45041,44865,,\"SPX\")":1.4627677,"MAS-US^P_BETA_LOCIDX(45040,44862,,\"SPX\")":1.4521769,"MAS-US^P_BETA_LOCIDX(45037,44861,,\"SPX\")":1.4446362,"MAS-US^P_BETA_LOCIDX(45036,44860,,\"SPX\")":1.466799,"MAS-US^P_BETA_LOCIDX(45035,44859,,\"SPX\")":1.4788867,"MAS-US^P_BETA_LOCIDX(45034,44858,,\"SPX\")":1.477716,"MAS-US^P_BETA_LOCIDX(45033,44855,,\"SPX\")":1.4828774,"MAS-US^P_BETA_LOCIDX(45030,44854,,\"SPX\")":1.4934254,"MAS-US^P_BETA_LOCIDX(45029,44853,,\"SPX\")":1.5092592,"MAS-US^P_BETA_LOCIDX(45028,44852,,\"SPX\")":1.5178143,"MAS-US^P_BETA_LOCIDX(45027,44851,,\"SPX\")":1.4927495,"MAS-US^P_BETA_LOCIDX(45026,44848,,\"SPX\")":1.4921526,"MAS-US^P_BETA_LOCIDX(45022,44847,,\"SPX\")":1.4501563,"MAS-US^P_BETA_LOCIDX(45021,44846,,\"SPX\")":1.4516512,"MAS-US^P_BETA_LOCIDX(45020,44845,,\"SPX\")":1.4452901,"MAS-US^P_BETA_LOCIDX(45019,44844,,\"SPX\")":1.4308715,"MAS-US^P_BETA_LOCIDX(45016,44841,,\"SPX\")":1.4275153,"MAS-US^P_BETA_LOCIDX(45015,44840,,\"SPX\")":1.4073329,"MAS-US^P_BETA_LOCIDX(45014,44839,,\"SPX\")":1.4113345,"MAS-US^P_BETA_LOCIDX(45013,44838,,\"SPX\")":1.40584,"MAS-US^P_BETA_LOCIDX(45012,44837,,\"SPX\")":1.4112241,"MAS-US^P_BETA_LOCIDX(45009,44834,,\"SPX\")":1.404603,"MAS-US^P_BETA_LOCIDX(45008,44833,,\"SPX\")":1.4096398,"MAS-US^P_BETA_LOCIDX(45007,44832,,\"SPX\")":1.4425759,"MAS-US^P_BETA_LOCIDX(45006,44831,,\"SPX\")":1.4280466,"MAS-US^P_BETA_LOCIDX(45005,44830,,\"SPX\")":1.4302623,"MAS-US^P_BETA_LOCIDX(45002,44827,,\"SPX\")":1.4073292,"MAS-US^P_BETA_LOCIDX(45001,44826,,\"SPX\")":1.4075865,"MAS-US^P_BETA_LOCIDX(45000,44825,,\"SPX\")":1.4153785,"MAS-US^P_BETA_LOCIDX(44999,44824,,\"SPX\")":1.4182254,"MAS-US^P_BETA_LOCIDX(44998,44823,,\"SPX\")":1.4301641,"MAS-US^P_BETA_LOCIDX(44995,44820,,\"SPX\")":1.4287957,"MAS-US^P_BETA_LOCIDX(44994,44819,,\"SPX\")":1.4183639,"MAS-US^P_BETA_LOCIDX(44993,44818,,\"SPX\")":1.4317873,"MAS-US^P_BETA_LOCIDX(44992,44817,,\"SPX\")":1.4324429,"MAS-US^P_BETA_LOCIDX(44991,44816,,\"SPX\")":1.4330938,"MAS-US^P_BETA_LOCIDX(44988,44813,,\"SPX\")":1.433149,"MAS-US^P_BETA_LOCIDX(44987,44812,,\"SPX\")":1.437393,"MAS-US^P_BETA_LOCIDX(44986,44811,,\"SPX\")":1.4421809,"MAS-US^P_BETA_LOCIDX(44985,44810,,\"SPX\")":1.4414672,"MAS-US^P_BETA_LOCIDX(44984,44806,,\"SPX\")":1.443234,"MAS-US^P_BETA_LOCIDX(44981,44805,,\"SPX\")":1.4431237,"MAS-US^P_BETA_LOCIDX(44980,44804,,\"SPX\")":1.4406996,"MAS-US^P_BETA_LOCIDX(44979,44803,,\"SPX\")":1.432167,"MAS-US^P_BETA_LOCIDX(44978,44802,,\"SPX\")":1.4312899,"MAS-US^P_BETA_LOCIDX(44974,44799,,\"SPX\")":1.4155446,"MAS-US^P_BETA_LOCIDX(44973,44798,,\"SPX\")":1.4109164,"MAS-US^P_BETA_LOCIDX(44972,44797,,\"SPX\")":1.4174684,"MAS-US^P_BETA_LOCIDX(44971,44796,,\"SPX\")":1.4174159,"MAS-US^P_BETA_LOCIDX(44970,44795,,\"SPX\")":1.4283129,"MAS-US^P_BETA_LOCIDX(44967,44792,,\"SPX\")":1.4228215,"MAS-US^P_BETA_LOCIDX(44966,44791,,\"SPX\")":1.4209214,"MAS-US^P_BETA_LOCIDX(44965,44790,,\"SPX\")":1.420342,"MAS-US^P_BETA_LOCIDX(44964,44789,,\"SPX\")":1.424442,"MAS-US^P_BETA_LOCIDX(44963,44788,,\"SPX\")":1.4308554,"MAS-US^P_BETA_LOCIDX(44960,44785,,\"SPX\")":1.421344,"MAS-US^P_BETA_LOCIDX(44959,44784,,\"SPX\")":1.4172097,"MAS-US^P_BETA_LOCIDX(44958,44783,,\"SPX\")":1.4189681,"MAS-US^P_BETA_LOCIDX(44957,44782,,\"SPX\")":1.421109,"MAS-US^P_BETA_LOCIDX(44956,44781,,\"SPX\")":1.4009806,"MAS-US^P_BETA_LOCIDX(44953,44778,,\"SPX\")":1.4038302,"MAS-US^P_BETA_LOCIDX(44952,44777,,\"SPX\")":1.4029013,"MAS-US^P_BETA_LOCIDX(44951,44776,,\"SPX\")":1.390793,"MAS-US^P_BETA_LOCIDX(44950,44775,,\"SPX\")":1.3968327,"MAS-US^P_BETA_LOCIDX(44949,44774,,\"SPX\")":1.3970891,"MAS-US^P_BETA_LOCIDX(44946,44771,,\"SPX\")":1.3855813,"MAS-US^P_BETA_LOCIDX(44945,44770,,\"SPX\")":1.3796742,"MAS-US^P_BETA_LOCIDX(44944,44769,,\"SPX\")":1.3130577,"MAS-US^P_BETA_LOCIDX(44943,44768,,\"SPX\")":1.3147129,"MAS-US^P_BETA_LOCIDX(44939,44767,,\"SPX\")":1.3124921,"MAS-US^P_BETA_LOCIDX(44938,44764,,\"SPX\")":1.3081075,"MAS-US^P_BETA_LOCIDX(44937,44763,,\"SPX\")":1.3137412,"MAS-US^P_BETA_LOCIDX(44936,44762,,\"SPX\")":1.3136765,"MAS-US^P_BETA_LOCIDX(44935,44761,,\"SPX\")":1.3011328,"MAS-US^P_BETA_LOCIDX(44932,44760,,\"SPX\")":1.3012826,"MAS-US^P_BETA_LOCIDX(44931,44757,,\"SPX\")":1.2888938,"MAS-US^P_BETA_LOCIDX(44930,44756,,\"SPX\")":1.2902033,"MAS-US^P_BETA_LOCIDX(44929,44755,,\"SPX\")":1.2826581,"MAS-US^P_BETA_LOCIDX(44925,44754,,\"SPX\")":1.2809365,"MAS-US^P_BETA_LOCIDX(44924,44753,,\"SPX\")":1.2722219,"MAS-US^P_BETA_LOCIDX(44923,44750,,\"SPX\")":1.270786,"MAS-US^P_BETA_LOCIDX(44922,44749,,\"SPX\")":1.2572432,"MAS-US^P_BETA_LOCIDX(44918,44748,,\"SPX\")":1.2574764,"MAS-US^P_BETA_LOCIDX(44917,44747,,\"SPX\")":1.2590573,"MAS-US^P_BETA_LOCIDX(44916,44743,,\"SPX\")":1.2702031,"MAS-US^P_BETA_LOCIDX(44915,44742,,\"SPX\")":1.2682973,"MAS-US^P_BETA_LOCIDX(44914,44741,,\"SPX\")":1.269088,"MAS-US^P_BETA_LOCIDX(44911,44740,,\"SPX\")":1.256617,"MAS-US^P_BETA_LOCIDX(44910,44739,,\"SPX\")":1.2527034,"MAS-US^P_BETA_LOCIDX(44909,44736,,\"SPX\")":1.2612569,"MAS-US^P_BETA_LOCIDX(44908,44735,,\"SPX\")":1.2685318,"MAS-US^P_BETA_LOCIDX(44907,44734,,\"SPX\")":1.2617697,"MAS-US^P_BETA_LOCIDX(44904,44733,,\"SPX\")":1.2335236,"MAS-US^P_BETA_LOCIDX(44903,44729,,\"SPX\")":1.2340921,"MAS-US^P_BETA_LOCIDX(44902,44728,,\"SPX\")":1.2598213,"MAS-US^P_BETA_LOCIDX(44901,44727,,\"SPX\")":1.2495613,"MAS-US^P_BETA_LOCIDX(44900,44726,,\"SPX\")":1.2512734,"MAS-US^P_BETA_LOCIDX(44897,44725,,\"SPX\")":1.2407469,"MAS-US^P_BETA_LOCIDX(44896,44722,,\"SPX\")":1.2380652,"MAS-US^P_BETA_LOCIDX(44895,44721,,\"SPX\")":1.210632,"MAS-US^P_BETA_LOCIDX(44894,44720,,\"SPX\")":1.2300125,"MAS-US^P_BETA_LOCIDX(44893,44719,,\"SPX\")":1.227286,"MAS-US^P_BETA_LOCIDX(44890,44718,,\"SPX\")":1.2266165,"MAS-US^P_BETA_LOCIDX(44888,44715,,\"SPX\")":1.220494,"MAS-US^P_BETA_LOCIDX(44887,44714,,\"SPX\")":1.2196461,"MAS-US^P_BETA_LOCIDX(44886,44713,,\"SPX\")":1.2227802,"MAS-US^P_BETA_LOCIDX(44883,44712,,\"SPX\")":1.2249053,"MAS-US^P_BETA_LOCIDX(44882,44708,,\"SPX\")":1.2092472,"MAS-US^P_BETA_LOCIDX(44881,44707,,\"SPX\")":1.2078743,"MAS-US^P_BETA_LOCIDX(44880,44706,,\"SPX\")":1.2108737,"MAS-US^P_BETA_LOCIDX(44879,44705,,\"SPX\")":1.2051774,"MAS-US^P_BETA_LOCIDX(44876,44704,,\"SPX\")":1.1930468,"MAS-US^P_BETA_LOCIDX(44875,44701,,\"SPX\")":1.1907622,"MAS-US^P_BETA_LOCIDX(44874,44700,,\"SPX\")":1.0949818,"MAS-US^P_BETA_LOCIDX(44873,44699,,\"SPX\")":1.088203,"MAS-US^P_BETA_LOCIDX(44872,44698,,\"SPX\")":1.0818253,"MAS-US^P_BETA_LOCIDX(44869,44697,,\"SPX\")":1.0765343,"MAS-US^P_BETA_LOCIDX(44868,44694,,\"SPX\")":1.0681334,"MAS-US^P_BETA_LOCIDX(44867,44693,,\"SPX\")":1.0614997,"MAS-US^P_BETA_LOCIDX(44866,44692,,\"SPX\")":1.0546104,"MAS-US^P_BETA_LOCIDX(44865,44691,,\"SPX\")":1.0524346,"MAS-US^P_BETA_LOCIDX(44862,44690,,\"SPX\")":1.0009093,"MAS-US^P_BETA_LOCIDX(44861,44687,,\"SPX\")":1.0036216,"MAS-US^P_BETA_LOCIDX(44860,44686,,\"SPX\")":1.001323,"MAS-US^P_BETA_LOCIDX(44859,44685,,\"SPX\")":0.99673575,"MAS-US^P_BETA_LOCIDX(44858,44684,,\"SPX\")":0.9934111,"MAS-US^P_BETA_LOCIDX(44855,44683,,\"SPX\")":0.9919229,"MAS-US^P_BETA_LOCIDX(44854,44680,,\"SPX\")":0.9878105,"MAS-US^P_BETA_LOCIDX(44853,44679,,\"SPX\")":0.9653206,"MAS-US^P_BETA_LOCIDX(44852,44678,,\"SPX\")":0.96156865,"MAS-US^P_BETA_LOCIDX(44851,44677,,\"SPX\")":0.92981404,"MAS-US^P_BETA_LOCIDX(44848,44676,,\"SPX\")":0.93869823,"MAS-US^P_BETA_LOCIDX(44847,44673,,\"SPX\")":0.9280671,"MAS-US^P_BETA_LOCIDX(44846,44672,,\"SPX\")":0.93874156,"MAS-US^P_BETA_LOCIDX(44845,44671,,\"SPX\")":0.9389716,"MAS-US^P_BETA_LOCIDX(44844,44670,,\"SPX\")":0.95046693,"MAS-US^P_BETA_LOCIDX(44841,44669,,\"SPX\")":0.9525325,"MAS-US^P_BETA_LOCIDX(44840,44665,,\"SPX\")":0.9449473,"MAS-US^P_BETA_LOCIDX(44839,44664,,\"SPX\")":0.95248425,"MAS-US^P_BETA_LOCIDX(44838,44663,,\"SPX\")":0.9528114,"MAS-US^P_BETA_LOCIDX(44837,44662,,\"SPX\")":0.94438845,"MAS-US^P_BETA_LOCIDX(44834,44659,,\"SPX\")":0.9320405,"MAS-US^P_BETA_LOCIDX(44833,44658,,\"SPX\")":0.93083894,"MAS-US^P_BETA_LOCIDX(44832,44657,,\"SPX\")":0.91981274,"MAS-US^P_BETA_LOCIDX(44831,44656,,\"SPX\")":0.89176023,"MAS-US^P_BETA_LOCIDX(44830,44655,,\"SPX\")":0.8918634,"MAS-US^P_BETA_LOCIDX(44827,44652,,\"SPX\")":0.88831425,"MAS-US^P_BETA_LOCIDX(44826,44651,,\"SPX\")":0.91224617,"MAS-US^P_BETA_LOCIDX(44825,44650,,\"SPX\")":0.9126726,"MAS-US^P_BETA_LOCIDX(44824,44649,,\"SPX\")":0.9246437,"MAS-US^P_BETA_LOCIDX(44823,44648,,\"SPX\")":0.9218035,"MAS-US^P_BETA_LOCIDX(44820,44645,,\"SPX\")":0.9166433,"MAS-US^P_BETA_LOCIDX(44819,44644,,\"SPX\")":0.90567935,"MAS-US^P_BETA_LOCIDX(44818,44643,,\"SPX\")":0.9201009,"MAS-US^P_BETA_LOCIDX(44817,44642,,\"SPX\")":0.9136344,"MAS-US^P_BETA_LOCIDX(44816,44641,,\"SPX\")":0.87937075,"MAS-US^P_BETA_LOCIDX(44813,44638,,\"SPX\")":0.8790082,"MAS-US^P_BETA_LOCIDX(44812,44637,,\"SPX\")":0.87611324,"MAS-US^P_BETA_LOCIDX(44811,44636,,\"SPX\")":0.8670682,"MAS-US^P_BETA_LOCIDX(44810,44635,,\"SPX\")":0.8639162,"MAS-US^P_BETA_LOCIDX(44806,44634,,\"SPX\")":0.85955876,"MAS-US^P_BETA_LOCIDX(44805,44631,,\"SPX\")":0.8526095,"MAS-US^P_BETA_LOCIDX(44804,44630,,\"SPX\")":0.8533431,"MAS-US^P_BETA_LOCIDX(44803,44629,,\"SPX\")":0.861951,"MAS-US^P_BETA_LOCIDX(44802,44628,,\"SPX\")":0.8633567,"MAS-US^P_BETA_LOCIDX(44799,44627,,\"SPX\")":0.8902008,"MAS-US^P_BETA_LOCIDX(44798,44624,,\"SPX\")":0.87797564,"MAS-US^P_BETA_LOCIDX(44797,44623,,\"SPX\")":0.8775826,"MAS-US^P_BETA_LOCIDX(44796,44622,,\"SPX\")":0.8861995,"MAS-US^P_BETA_LOCIDX(44795,44621,,\"SPX\")":0.8919152,"MAS-US^P_BETA_LOCIDX(44792,44620,,\"SPX\")":0.8749845,"MAS-US^P_BETA_LOCIDX(44791,44617,,\"SPX\")":0.8752769,"MAS-US^P_BETA_LOCIDX(44790,44616,,\"SPX\")":0.8712358,"MAS-US^P_BETA_LOCIDX(44789,44615,,\"SPX\")":0.8732204,"MAS-US^P_BETA_LOCIDX(44788,44614,,\"SPX\")":0.8794051,"MAS-US^P_BETA_LOCIDX(44785,44610,,\"SPX\")":0.8794618,"MAS-US^P_BETA_LOCIDX(44784,44609,,\"SPX\")":0.8776715,"MAS-US^P_BETA_LOCIDX(44783,44608,,\"SPX\")":0.8783388,"MAS-US^P_BETA_LOCIDX(44782,44607,,\"SPX\")":0.8571386,"MAS-US^P_BETA_LOCIDX(44781,44606,,\"SPX\")":0.8538919,"MAS-US^P_BETA_LOCIDX(44778,44603,,\"SPX\")":0.84974337,"MAS-US^P_BETA_LOCIDX(44777,44602,,\"SPX\")":0.8624314,"MAS-US^P_BETA_LOCIDX(44776,44601,,\"SPX\")":0.8682739,"MAS-US^P_BETA_LOCIDX(44775,44600,,\"SPX\")":0.8774892,"MAS-US^P_BETA_LOCIDX(44774,44599,,\"SPX\")":0.873758,"MAS-US^P_BETA_LOCIDX(45845,45670,,\"SPX\")":1.0225551,"CAT-US^P_BETA_LOCIDX(45841,45665,,\"SPX\")":1.1421884,"CAT-US^P_BETA_LOCIDX(45840,45664,,\"SPX\")":1.1416014,"CAT-US^P_BETA_LOCIDX(45839,45663,,\"SPX\")":1.1386145,"CAT-US^P_BETA_LOCIDX(45838,45660,,\"SPX\")":1.1376427,"CAT-US^P_BETA_LOCIDX(45835,45659,,\"SPX\")":1.1377168,"CAT-US^P_BETA_LOCIDX(45834,45657,,\"SPX\")":1.1368269,"CAT-US^P_BETA_LOCIDX(45833,45656,,\"SPX\")":1.1292433,"CAT-US^P_BETA_LOCIDX(45832,45653,,\"SPX\")":1.1267842,"CAT-US^P_BETA_LOCIDX(45831,45652,,\"SPX\")":1.1245605,"CAT-US^P_BETA_LOCIDX(45828,45650,,\"SPX\")":1.120466,"CAT-US^P_BETA_LOCIDX(45826,45649,,\"SPX\")":1.1183982,"CAT-US^P_BETA_LOCIDX(45825,45646,,\"SPX\")":1.1198783,"CAT-US^P_BETA_LOCIDX(45824,45645,,\"SPX\")":1.1191481,"CAT-US^P_BETA_LOCIDX(45821,45644,,\"SPX\")":1.1161507,"CAT-US^P_BETA_LOCIDX(45820,45643,,\"SPX\")":1.1174079,"CAT-US^P_BETA_LOCIDX(45819,45642,,\"SPX\")":1.1176473,"CAT-US^P_BETA_LOCIDX(45818,45639,,\"SPX\")":1.1191905,"CAT-US^P_BETA_LOCIDX(45817,45638,,\"SPX\")":1.1226153,"CAT-US^P_BETA_LOCIDX(45814,45637,,\"SPX\")":1.1202241,"CAT-US^P_BETA_LOCIDX(45813,45636,,\"SPX\")":1.1219283,"CAT-US^P_BETA_LOCIDX(45812,45635,,\"SPX\")":1.1191417,"CAT-US^P_BETA_LOCIDX(45811,45632,,\"SPX\")":1.118977,"CAT-US^P_BETA_LOCIDX(45810,45631,,\"SPX\")":1.1179005,"CAT-US^P_BETA_LOCIDX(45807,45630,,\"SPX\")":1.1186953,"CAT-US^P_BETA_LOCIDX(45806,45629,,\"SPX\")":1.1185551,"CAT-US^P_BETA_LOCIDX(45805,45628,,\"SPX\")":1.117235,"CAT-US^P_BETA_LOCIDX(45804,45625,,\"SPX\")":1.1176188,"CAT-US^P_BETA_LOCIDX(45800,45623,,\"SPX\")":1.1170192,"CAT-US^P_BETA_LOCIDX(45799,45622,,\"SPX\")":1.117754,"CAT-US^P_BETA_LOCIDX(45798,45621,,\"SPX\")":1.1197886,"CAT-US^P_BETA_LOCIDX(45797,45618,,\"SPX\")":1.1212596,"CAT-US^P_BETA_LOCIDX(45796,45617,,\"SPX\")":1.1236022,"CAT-US^P_BETA_LOCIDX(45793,45616,,\"SPX\")":1.1236879,"CAT-US^P_BETA_LOCIDX(45792,45615,,\"SPX\")":1.1216213,"CAT-US^P_BETA_LOCIDX(45791,45614,,\"SPX\")":1.1217545,"CAT-US^P_BETA_LOCIDX(45790,45611,,\"SPX\")":1.1188539,"CAT-US^P_BETA_LOCIDX(45789,45610,,\"SPX\")":1.1117516,"CAT-US^P_BETA_LOCIDX(45786,45609,,\"SPX\")":1.0921094,"CAT-US^P_BETA_LOCIDX(45785,45608,,\"SPX\")":1.0926142,"CAT-US^P_BETA_LOCIDX(45784,45607,,\"SPX\")":1.0914419,"CAT-US^P_BETA_LOCIDX(45783,45604,,\"SPX\")":1.0865307,"CAT-US^P_BETA_LOCIDX(45782,45603,,\"SPX\")":1.0796955,"CAT-US^P_BETA_LOCIDX(45779,45602,,\"SPX\")":1.135698,"CAT-US^P_BETA_LOCIDX(45778,45601,,\"SPX\")":1.130081,"CAT-US^P_BETA_LOCIDX(45777,45600,,\"SPX\")":1.1283607,"CAT-US^P_BETA_LOCIDX(45776,45597,,\"SPX\")":1.1288974,"CAT-US^P_BETA_LOCIDX(45775,45596,,\"SPX\")":1.1206867,"CAT-US^P_BETA_LOCIDX(45772,45595,,\"SPX\")":1.1223004,"CAT-US^P_BETA_LOCIDX(45771,45594,,\"SPX\")":1.123948,"CAT-US^P_BETA_LOCIDX(45770,45593,,\"SPX\")":1.113363,"CAT-US^P_BETA_LOCIDX(45769,45590,,\"SPX\")":1.1141987,"CAT-US^P_BETA_LOCIDX(45768,45589,,\"SPX\")":1.1182817,"CAT-US^P_BETA_LOCIDX(45764,45588,,\"SPX\")":1.1129165,"CAT-US^P_BETA_LOCIDX(45763,45587,,\"SPX\")":1.1118104,"CAT-US^P_BETA_LOCIDX(45762,45586,,\"SPX\")":1.124475,"CAT-US^P_BETA_LOCIDX(45761,45583,,\"SPX\")":1.1231562,"CAT-US^P_BETA_LOCIDX(45758,45582,,\"SPX\")":1.1204833,"CAT-US^P_BETA_LOCIDX(45757,45581,,\"SPX\")":1.1255233,"CAT-US^P_BETA_LOCIDX(45756,45580,,\"SPX\")":1.1283308,"CAT-US^P_BETA_LOCIDX(45755,45579,,\"SPX\")":1.1560724,"CAT-US^P_BETA_LOCIDX(45754,45576,,\"SPX\")":1.1577613,"CAT-US^P_BETA_LOCIDX(45751,45575,,\"SPX\")":1.1554666,"CAT-US^P_BETA_LOCIDX(45750,45574,,\"SPX\")":1.2243406,"CAT-US^P_BETA_LOCIDX(45749,45573,,\"SPX\")":1.065029,"CAT-US^P_BETA_LOCIDX(45748,45572,,\"SPX\")":1.047155,"CAT-US^P_BETA_LOCIDX(45747,45569,,\"SPX\")":1.0536832,"CAT-US^P_BETA_LOCIDX(45744,45568,,\"SPX\")":1.0567945,"CAT-US^P_BETA_LOCIDX(45743,45567,,\"SPX\")":1.0441496,"CAT-US^P_BETA_LOCIDX(45742,45566,,\"SPX\")":1.0306354,"CAT-US^P_BETA_LOCIDX(45741,45565,,\"SPX\")":1.038518,"CAT-US^P_BETA_LOCIDX(45740,45562,,\"SPX\")":1.0378183,"CAT-US^P_BETA_LOCIDX(45737,45561,,\"SPX\")":1.0504473,"CAT-US^P_BETA_LOCIDX(45736,45560,,\"SPX\")":1.0538473,"CAT-US^P_BETA_LOCIDX(45735,45559,,\"SPX\")":1.0631816,"CAT-US^P_BETA_LOCIDX(45734,45558,,\"SPX\")":1.0705012,"CAT-US^P_BETA_LOCIDX(45733,45555,,\"SPX\")":1.0662521,"CAT-US^P_BETA_LOCIDX(45730,45554,,\"SPX\")":1.124549,"CAT-US^P_BETA_LOCIDX(45729,45553,,\"SPX\")":1.1332101,"CAT-US^P_BETA_LOCIDX(45728,45552,,\"SPX\")":1.1363378,"CAT-US^P_BETA_LOCIDX(45727,45551,,\"SPX\")":1.14303,"CAT-US^P_BETA_LOCIDX(45726,45548,,\"SPX\")":1.1432427,"CAT-US^P_BETA_LOCIDX(45723,45547,,\"SPX\")":1.2016933,"CAT-US^P_BETA_LOCIDX(45722,45546,,\"SPX\")":1.1758021,"CAT-US^P_BETA_LOCIDX(45721,45545,,\"SPX\")":1.2400953,"CAT-US^P_BETA_LOCIDX(45720,45544,,\"SPX\")":1.2102584,"CAT-US^P_BETA_LOCIDX(45719,45541,,\"SPX\")":1.1897118,"CAT-US^P_BETA_LOCIDX(45716,45540,,\"SPX\")":1.1611184,"CAT-US^P_BETA_LOCIDX(45715,45539,,\"SPX\")":1.1763744,"CAT-US^P_BETA_LOCIDX(45714,45538,,\"SPX\")":1.2549578,"CAT-US^P_BETA_LOCIDX(45713,45534,,\"SPX\")":1.2559661,"CAT-US^P_BETA_LOCIDX(45712,45533,,\"SPX\")":1.2665038,"CAT-US^P_BETA_LOCIDX(45709,45532,,\"SPX\")":1.2691735,"CAT-US^P_BETA_LOCIDX(45708,45531,,\"SPX\")":1.2604542,"CAT-US^P_BETA_LOCIDX(45707,45530,,\"SPX\")":1.2506505,"CAT-US^P_BETA_LOCIDX(45706,45527,,\"SPX\")":1.2573211,"CAT-US^P_BETA_LOCIDX(45702,45526,,\"SPX\")":1.2447453,"CAT-US^P_BETA_LOCIDX(45701,45525,,\"SPX\")":1.2420895,"CAT-US^P_BETA_LOCIDX(45700,45524,,\"SPX\")":1.2523252,"CAT-US^P_BETA_LOCIDX(45699,45523,,\"SPX\")":1.2315679,"CAT-US^P_BETA_LOCIDX(45698,45520,,\"SPX\")":1.2300826,"CAT-US^P_BETA_LOCIDX(45695,45519,,\"SPX\")":1.245869,"CAT-US^P_BETA_LOCIDX(45694,45518,,\"SPX\")":1.2533854,"CAT-US^P_BETA_LOCIDX(45693,45517,,\"SPX\")":1.2242199,"CAT-US^P_BETA_LOCIDX(45692,45516,,\"SPX\")":1.2295486,"CAT-US^P_BETA_LOCIDX(45691,45513,,\"SPX\")":1.2356627,"CAT-US^P_BETA_LOCIDX(45688,45512,,\"SPX\")":1.2278692,"CAT-US^P_BETA_LOCIDX(45687,45511,,\"SPX\")":1.2172676,"CAT-US^P_BETA_LOCIDX(45686,45510,,\"SPX\")":1.2613282,"CAT-US^P_BETA_LOCIDX(45685,45509,,\"SPX\")":1.1874206,"CAT-US^P_BETA_LOCIDX(45684,45506,,\"SPX\")":1.2288487,"CAT-US^P_BETA_LOCIDX(45681,45505,,\"SPX\")":1.2463336,"CAT-US^P_BETA_LOCIDX(45680,45504,,\"SPX\")":1.2382778,"CAT-US^P_BETA_LOCIDX(45679,45503,,\"SPX\")":1.232952,"CAT-US^P_BETA_LOCIDX(45678,45502,,\"SPX\")":1.2382154,"CAT-US^P_BETA_LOCIDX(45674,45499,,\"SPX\")":1.2257898,"CAT-US^P_BETA_LOCIDX(45673,45498,,\"SPX\")":1.2052424,"CAT-US^P_BETA_LOCIDX(45672,45497,,\"SPX\")":1.2005883,"CAT-US^P_BETA_LOCIDX(45671,45496,,\"SPX\")":1.2256281,"CAT-US^P_BETA_LOCIDX(45670,45495,,\"SPX\")":1.2114584,"CAT-US^P_BETA_LOCIDX(45667,45492,,\"SPX\")":1.2190136,"CAT-US^P_BETA_LOCIDX(45665,45491,,\"SPX\")":1.2012649,"CAT-US^P_BETA_LOCIDX(45664,45490,,\"SPX\")":1.1889582,"CAT-US^P_BETA_LOCIDX(45663,45489,,\"SPX\")":1.2209125,"CAT-US^P_BETA_LOCIDX(45660,45488,,\"SPX\")":1.2297897,"CAT-US^P_BETA_LOCIDX(45659,45485,,\"SPX\")":1.2385042,"CAT-US^P_BETA_LOCIDX(45657,45484,,\"SPX\")":1.2201809,"CAT-US^P_BETA_LOCIDX(45656,45483,,\"SPX\")":1.2168338,"CAT-US^P_BETA_LOCIDX(45653,45482,,\"SPX\")":1.2251484,"CAT-US^P_BETA_LOCIDX(45652,45481,,\"SPX\")":1.2335918,"CAT-US^P_BETA_LOCIDX(45650,45478,,\"SPX\")":1.2270107,"CAT-US^P_BETA_LOCIDX(45649,45476,,\"SPX\")":1.2360888,"CAT-US^P_BETA_LOCIDX(45646,45475,,\"SPX\")":1.2368091,"CAT-US^P_BETA_LOCIDX(45645,45474,,\"SPX\")":1.231343,"CAT-US^P_BETA_LOCIDX(45644,45471,,\"SPX\")":1.2193961,"CAT-US^P_BETA_LOCIDX(45643,45470,,\"SPX\")":1.2329985,"CAT-US^P_BETA_LOCIDX(45642,45469,,\"SPX\")":1.2306718,"CAT-US^P_BETA_LOCIDX(45639,45468,,\"SPX\")":1.2292116,"CAT-US^P_BETA_LOCIDX(45638,45467,,\"SPX\")":1.2246133,"CAT-US^P_BETA_LOCIDX(45637,45464,,\"SPX\")":1.2148895,"CAT-US^P_BETA_LOCIDX(45636,45463,,\"SPX\")":1.2168192,"CAT-US^P_BETA_LOCIDX(45635,45461,,\"SPX\")":1.2071444,"CAT-US^P_BETA_LOCIDX(45632,45460,,\"SPX\")":1.2156446,"CAT-US^P_BETA_LOCIDX(45631,45457,,\"SPX\")":1.2186068,"CAT-US^P_BETA_LOCIDX(45630,45456,,\"SPX\")":1.2138277,"CAT-US^P_BETA_LOCIDX(45629,45455,,\"SPX\")":1.2124254,"CAT-US^P_BETA_LOCIDX(45628,45454,,\"SPX\")":1.2097547,"CAT-US^P_BETA_LOCIDX(45625,45453,,\"SPX\")":1.2114557,"CAT-US^P_BETA_LOCIDX(45623,45450,,\"SPX\")":1.2115895,"CAT-US^P_BETA_LOCIDX(45622,45449,,\"SPX\")":1.2087337,"CAT-US^P_BETA_LOCIDX(45621,45448,,\"SPX\")":1.198614,"CAT-US^P_BETA_LOCIDX(45618,45447,,\"SPX\")":1.1942745,"CAT-US^P_BETA_LOCIDX(45617,45446,,\"SPX\")":1.1897057,"CAT-US^P_BETA_LOCIDX(45616,45443,,\"SPX\")":1.1733074,"CAT-US^P_BETA_LOCIDX(45615,45442,,\"SPX\")":1.1648868,"CAT-US^P_BETA_LOCIDX(45614,45441,,\"SPX\")":1.1826512,"CAT-US^P_BETA_LOCIDX(45611,45440,,\"SPX\")":1.1843597,"CAT-US^P_BETA_LOCIDX(45610,45436,,\"SPX\")":1.1870325,"CAT-US^P_BETA_LOCIDX(45609,45435,,\"SPX\")":1.1990186,"CAT-US^P_BETA_LOCIDX(45608,45434,,\"SPX\")":1.199838,"CAT-US^P_BETA_LOCIDX(45607,45433,,\"SPX\")":1.195445,"CAT-US^P_BETA_LOCIDX(45604,45432,,\"SPX\")":1.1952463,"CAT-US^P_BETA_LOCIDX(45603,45429,,\"SPX\")":1.2079967,"CAT-US^P_BETA_LOCIDX(45602,45428,,\"SPX\")":1.2381527,"CAT-US^P_BETA_LOCIDX(45601,45427,,\"SPX\")":1.0614337,"CAT-US^P_BETA_LOCIDX(45600,45426,,\"SPX\")":1.0535444,"CAT-US^P_BETA_LOCIDX(45597,45425,,\"SPX\")":1.0506103,"CAT-US^P_BETA_LOCIDX(45596,45422,,\"SPX\")":1.0493382,"CAT-US^P_BETA_LOCIDX(45595,45421,,\"SPX\")":1.0869187,"CAT-US^P_BETA_LOCIDX(45594,45420,,\"SPX\")":1.0773791,"CAT-US^P_BETA_LOCIDX(45593,45419,,\"SPX\")":1.0784512,"CAT-US^P_BETA_LOCIDX(45590,45418,,\"SPX\")":1.08205,"CAT-US^P_BETA_LOCIDX(45589,45415,,\"SPX\")":1.0676832,"CAT-US^P_BETA_LOCIDX(45588,45414,,\"SPX\")":1.0708808,"CAT-US^P_BETA_LOCIDX(45587,45413,,\"SPX\")":1.0785128,"CAT-US^P_BETA_LOCIDX(45586,45412,,\"SPX\")":1.1317605,"CAT-US^P_BETA_LOCIDX(45583,45411,,\"SPX\")":1.1331744,"CAT-US^P_BETA_LOCIDX(45582,45408,,\"SPX\")":1.1399052,"CAT-US^P_BETA_LOCIDX(45581,45407,,\"SPX\")":1.1851498,"CAT-US^P_BETA_LOCIDX(45580,45406,,\"SPX\")":1.1810012,"CAT-US^P_BETA_LOCIDX(45579,45405,,\"SPX\")":1.1781324,"CAT-US^P_BETA_LOCIDX(45576,45404,,\"SPX\")":1.1985439,"CAT-US^P_BETA_LOCIDX(45575,45401,,\"SPX\")":1.1926254,"CAT-US^P_BETA_LOCIDX(45574,45400,,\"SPX\")":1.1933893,"CAT-US^P_BETA_LOCIDX(45573,45399,,\"SPX\")":1.1816212,"CAT-US^P_BETA_LOCIDX(45572,45398,,\"SPX\")":1.2223423,"CAT-US^P_BETA_LOCIDX(45569,45397,,\"SPX\")":1.2251664,"CAT-US^P_BETA_LOCIDX(45568,45394,,\"SPX\")":1.2186837,"CAT-US^P_BETA_LOCIDX(45567,45393,,\"SPX\")":1.2104824,"CAT-US^P_BETA_LOCIDX(45566,45392,,\"SPX\")":1.1964709,"CAT-US^P_BETA_LOCIDX(45565,45391,,\"SPX\")":1.2134,"CAT-US^P_BETA_LOCIDX(45562,45390,,\"SPX\")":1.2171652,"CAT-US^P_BETA_LOCIDX(45561,45387,,\"SPX\")":1.2325826,"CAT-US^P_BETA_LOCIDX(45560,45386,,\"SPX\")":1.2223831,"CAT-US^P_BETA_LOCIDX(45559,45385,,\"SPX\")":1.2181624,"CAT-US^P_BETA_LOCIDX(45558,45384,,\"SPX\")":1.2001098,"CAT-US^P_BETA_LOCIDX(45555,45383,,\"SPX\")":1.2005837,"CAT-US^P_BETA_LOCIDX(45554,45379,,\"SPX\")":1.1980736,"CAT-US^P_BETA_LOCIDX(45553,45378,,\"SPX\")":1.1520222,"CAT-US^P_BETA_LOCIDX(45552,45377,,\"SPX\")":1.1532595,"CAT-US^P_BETA_LOCIDX(45551,45376,,\"SPX\")":1.1547443,"CAT-US^P_BETA_LOCIDX(45548,45373,,\"SPX\")":1.157725,"CAT-US^P_BETA_LOCIDX(45547,45372,,\"SPX\")":1.1573627,"CAT-US^P_BETA_LOCIDX(45546,45371,,\"SPX\")":1.1507196,"CAT-US^P_BETA_LOCIDX(45545,45370,,\"SPX\")":1.1608969,"CAT-US^P_BETA_LOCIDX(45544,45369,,\"SPX\")":1.1677215,"CAT-US^P_BETA_LOCIDX(45541,45366,,\"SPX\")":1.1472809,"CAT-US^P_BETA_LOCIDX(45540,45365,,\"SPX\")":1.1619126,"CAT-US^P_BETA_LOCIDX(45539,45364,,\"SPX\")":1.155025,"CAT-US^P_BETA_LOCIDX(45538,45363,,\"SPX\")":1.1459477,"CAT-US^P_BETA_LOCIDX(45534,45362,,\"SPX\")":1.0943245,"CAT-US^P_BETA_LOCIDX(45533,45359,,\"SPX\")":1.0878655,"CAT-US^P_BETA_LOCIDX(45532,45358,,\"SPX\")":1.0922501,"CAT-US^P_BETA_LOCIDX(45531,45357,,\"SPX\")":1.0916806,"CAT-US^P_BETA_LOCIDX(45530,45356,,\"SPX\")":1.0966336,"CAT-US^P_BETA_LOCIDX(45527,45355,,\"SPX\")":1.1004992,"CAT-US^P_BETA_LOCIDX(45526,45352,,\"SPX\")":1.0930988,"CAT-US^P_BETA_LOCIDX(45525,45351,,\"SPX\")":1.1078972,"CAT-US^P_BETA_LOCIDX(45524,45350,,\"SPX\")":1.1075065,"CAT-US^P_BETA_LOCIDX(45523,45349,,\"SPX\")":1.1076108,"CAT-US^P_BETA_LOCIDX(45520,45348,,\"SPX\")":1.1102586,"CAT-US^P_BETA_LOCIDX(45519,45345,,\"SPX\")":1.1112808,"CAT-US^P_BETA_LOCIDX(45518,45344,,\"SPX\")":1.0805154,"CAT-US^P_BETA_LOCIDX(45517,45343,,\"SPX\")":1.0839373,"CAT-US^P_BETA_LOCIDX(45516,45342,,\"SPX\")":1.1200705,"CAT-US^P_BETA_LOCIDX(45513,45338,,\"SPX\")":1.1183585,"CAT-US^P_BETA_LOCIDX(45512,45337,,\"SPX\")":1.126854,"CAT-US^P_BETA_LOCIDX(45511,45336,,\"SPX\")":1.1112508,"CAT-US^P_BETA_LOCIDX(45510,45335,,\"SPX\")":1.140567,"CAT-US^P_BETA_LOCIDX(45509,45334,,\"SPX\")":1.1129923,"CAT-US^P_BETA_LOCIDX(45506,45331,,\"SPX\")":1.1923692,"CAT-US^P_BETA_LOCIDX(45505,45330,,\"SPX\")":1.1633142,"CAT-US^P_BETA_LOCIDX(45504,45329,,\"SPX\")":1.0939847,"CAT-US^P_BETA_LOCIDX(45503,45328,,\"SPX\")":1.1042218,"CAT-US^P_BETA_LOCIDX(45502,45327,,\"SPX\")":1.0856647,"CAT-US^P_BETA_LOCIDX(45499,45324,,\"SPX\")":1.1057531,"CAT-US^P_BETA_LOCIDX(45498,45323,,\"SPX\")":1.1167761,"CAT-US^P_BETA_LOCIDX(45497,45322,,\"SPX\")":1.1368724,"CAT-US^P_BETA_LOCIDX(45496,45321,,\"SPX\")":1.146761,"CAT-US^P_BETA_LOCIDX(45495,45320,,\"SPX\")":1.1472925,"CAT-US^P_BETA_LOCIDX(45492,45317,,\"SPX\")":1.1688715,"CAT-US^P_BETA_LOCIDX(45491,45316,,\"SPX\")":1.1673403,"CAT-US^P_BETA_LOCIDX(45490,45315,,\"SPX\")":1.172992,"CAT-US^P_BETA_LOCIDX(45489,45314,,\"SPX\")":1.1953279,"CAT-US^P_BETA_LOCIDX(45488,45313,,\"SPX\")":1.1630561,"CAT-US^P_BETA_LOCIDX(45485,45310,,\"SPX\")":1.1505194,"CAT-US^P_BETA_LOCIDX(45484,45309,,\"SPX\")":1.1472876,"CAT-US^P_BETA_LOCIDX(45483,45308,,\"SPX\")":1.212403,"CAT-US^P_BETA_LOCIDX(45482,45307,,\"SPX\")":1.2255194,"CAT-US^P_BETA_LOCIDX(45481,45303,,\"SPX\")":1.2251508,"CAT-US^P_BETA_LOCIDX(45478,45302,,\"SPX\")":1.2263515,"CAT-US^P_BETA_LOCIDX(45476,45301,,\"SPX\")":1.2342308,"CAT-US^P_BETA_LOCIDX(45475,45300,,\"SPX\")":1.23092,"CAT-US^P_BETA_LOCIDX(45474,45299,,\"SPX\")":1.2282037,"CAT-US^P_BETA_LOCIDX(45471,45296,,\"SPX\")":1.2328268,"CAT-US^P_BETA_LOCIDX(45470,45295,,\"SPX\")":1.245666,"CAT-US^P_BETA_LOCIDX(45469,45294,,\"SPX\")":1.2764876,"CAT-US^P_BETA_LOCIDX(45468,45293,,\"SPX\")":1.27951,"CAT-US^P_BETA_LOCIDX(45467,45289,,\"SPX\")":1.2857559,"CAT-US^P_BETA_LOCIDX(45464,45288,,\"SPX\")":1.2945763,"CAT-US^P_BETA_LOCIDX(45463,45287,,\"SPX\")":1.2942812,"CAT-US^P_BETA_LOCIDX(45461,45286,,\"SPX\")":1.3122172,"CAT-US^P_BETA_LOCIDX(45460,45282,,\"SPX\")":1.3108026,"CAT-US^P_BETA_LOCIDX(45457,45281,,\"SPX\")":1.2994219,"CAT-US^P_BETA_LOCIDX(45456,45280,,\"SPX\")":1.2726324,"CAT-US^P_BETA_LOCIDX(45455,45279,,\"SPX\")":1.2894286,"CAT-US^P_BETA_LOCIDX(45454,45278,,\"SPX\")":1.2942272,"CAT-US^P_BETA_LOCIDX(45453,45275,,\"SPX\")":1.2966638,"CAT-US^P_BETA_LOCIDX(45450,45274,,\"SPX\")":1.3133773,"CAT-US^P_BETA_LOCIDX(45449,45273,,\"SPX\")":1.3284724,"CAT-US^P_BETA_LOCIDX(45448,45272,,\"SPX\")":1.3250166,"CAT-US^P_BETA_LOCIDX(45447,45271,,\"SPX\")":1.3437971,"CAT-US^P_BETA_LOCIDX(45446,45268,,\"SPX\")":1.3455762,"CAT-US^P_BETA_LOCIDX(45443,45267,,\"SPX\")":1.3385775,"CAT-US^P_BETA_LOCIDX(45442,45266,,\"SPX\")":1.3480334,"CAT-US^P_BETA_LOCIDX(45441,45265,,\"SPX\")":1.3604058,"CAT-US^P_BETA_LOCIDX(45440,45264,,\"SPX\")":1.3399005,"CAT-US^P_BETA_LOCIDX(45436,45261,,\"SPX\")":1.350481,"CAT-US^P_BETA_LOCIDX(45435,45260,,\"SPX\")":1.3655516,"CAT-US^P_BETA_LOCIDX(45434,45259,,\"SPX\")":1.3535903,"CAT-US^P_BETA_LOCIDX(45433,45258,,\"SPX\")":1.3492054,"CAT-US^P_BETA_LOCIDX(45432,45257,,\"SPX\")":1.3516334,"CAT-US^P_BETA_LOCIDX(45429,45254,,\"SPX\")":1.3522332,"CAT-US^P_BETA_LOCIDX(45428,45252,,\"SPX\")":1.3426763,"CAT-US^P_BETA_LOCIDX(45427,45251,,\"SPX\")":1.3299185,"CAT-US^P_BETA_LOCIDX(45426,45250,,\"SPX\")":1.3283355,"CAT-US^P_BETA_LOCIDX(45425,45247,,\"SPX\")":1.3307079,"CAT-US^P_BETA_LOCIDX(45422,45246,,\"SPX\")":1.3319567,"CAT-US^P_BETA_LOCIDX(45421,45245,,\"SPX\")":1.3321891,"CAT-US^P_BETA_LOCIDX(45420,45244,,\"SPX\")":1.3206528,"CAT-US^P_BETA_LOCIDX(45419,45243,,\"SPX\")":1.3170446,"CAT-US^P_BETA_LOCIDX(45418,45240,,\"SPX\")":1.3210465,"CAT-US^P_BETA_LOCIDX(45415,45239,,\"SPX\")":1.309794,"CAT-US^P_BETA_LOCIDX(45414,45238,,\"SPX\")":1.3359302,"CAT-US^P_BETA_LOCIDX(45413,45237,,\"SPX\")":1.331139,"CAT-US^P_BETA_LOCIDX(45412,45236,,\"SPX\")":1.3243161,"CAT-US^P_BETA_LOCIDX(45411,45233,,\"SPX\")":1.2434008,"CAT-US^P_BETA_LOCIDX(45408,45232,,\"SPX\")":1.2584443,"CAT-US^P_BETA_LOCIDX(45407,45231,,\"SPX\")":1.2722328,"CAT-US^P_BETA_LOCIDX(45406,45230,,\"SPX\")":1.1434953,"CAT-US^P_BETA_LOCIDX(45405,45229,,\"SPX\")":1.1428231,"CAT-US^P_BETA_LOCIDX(45404,45226,,\"SPX\")":1.1547139,"CAT-US^P_BETA_LOCIDX(45401,45225,,\"SPX\")":1.1543896,"CAT-US^P_BETA_LOCIDX(45400,45224,,\"SPX\")":1.1620402,"CAT-US^P_BETA_LOCIDX(45399,45223,,\"SPX\")":1.1612004,"CAT-US^P_BETA_LOCIDX(45398,45222,,\"SPX\")":1.1657926,"CAT-US^P_BETA_LOCIDX(45397,45219,,\"SPX\")":1.163272,"CAT-US^P_BETA_LOCIDX(45394,45218,,\"SPX\")":1.2043419,"CAT-US^P_BETA_LOCIDX(45393,45217,,\"SPX\")":1.2821591,"CAT-US^P_BETA_LOCIDX(45392,45216,,\"SPX\")":1.2908173,"CAT-US^P_BETA_LOCIDX(45391,45215,,\"SPX\")":1.3054681,"CAT-US^P_BETA_LOCIDX(45390,45212,,\"SPX\")":1.305868,"CAT-US^P_BETA_LOCIDX(45387,45211,,\"SPX\")":1.3067849,"CAT-US^P_BETA_LOCIDX(45386,45210,,\"SPX\")":1.2874757,"CAT-US^P_BETA_LOCIDX(45385,45209,,\"SPX\")":1.2851069,"CAT-US^P_BETA_LOCIDX(45384,45208,,\"SPX\")":1.2955995,"CAT-US^P_BETA_LOCIDX(45383,45205,,\"SPX\")":1.3191628,"CAT-US^P_BETA_LOCIDX(45379,45204,,\"SPX\")":1.3232687,"CAT-US^P_BETA_LOCIDX(45378,45203,,\"SPX\")":1.2974991,"CAT-US^P_BETA_LOCIDX(45377,45202,,\"SPX\")":1.2671022,"CAT-US^P_BETA_LOCIDX(45376,45201,,\"SPX\")":1.271448,"CAT-US^P_BETA_LOCIDX(45373,45198,,\"SPX\")":1.2754923,"CAT-US^P_BETA_LOCIDX(45372,45197,,\"SPX\")":1.2711134,"CAT-US^P_BETA_LOCIDX(45371,45196,,\"SPX\")":1.2641675,"CAT-US^P_BETA_LOCIDX(45370,45195,,\"SPX\")":1.2665977,"CAT-US^P_BETA_LOCIDX(45369,45194,,\"SPX\")":1.267355,"CAT-US^P_BETA_LOCIDX(45366,45191,,\"SPX\")":1.2594696,"CAT-US^P_BETA_LOCIDX(45365,45190,,\"SPX\")":1.293713,"CAT-US^P_BETA_LOCIDX(45364,45189,,\"SPX\")":1.2839191,"CAT-US^P_BETA_LOCIDX(45363,45188,,\"SPX\")":1.2917392,"CAT-US^P_BETA_LOCIDX(45362,45187,,\"SPX\")":1.3025932,"CAT-US^P_BETA_LOCIDX(45359,45184,,\"SPX\")":1.2921996,"CAT-US^P_BETA_LOCIDX(45358,45183,,\"SPX\")":1.311162,"CAT-US^P_BETA_LOCIDX(45357,45182,,\"SPX\")":1.3109777,"CAT-US^P_BETA_LOCIDX(45356,45181,,\"SPX\")":1.3049781,"CAT-US^P_BETA_LOCIDX(45355,45180,,\"SPX\")":1.2938981,"CAT-US^P_BETA_LOCIDX(45352,45177,,\"SPX\")":1.2964624,"CAT-US^P_BETA_LOCIDX(45351,45176,,\"SPX\")":1.2993797,"CAT-US^P_BETA_LOCIDX(45350,45175,,\"SPX\")":1.2797579,"CAT-US^P_BETA_LOCIDX(45349,45174,,\"SPX\")":1.2909672,"CAT-US^P_BETA_LOCIDX(45348,45170,,\"SPX\")":1.292322,"CAT-US^P_BETA_LOCIDX(45345,45169,,\"SPX\")":1.2997619,"CAT-US^P_BETA_LOCIDX(45344,45168,,\"SPX\")":1.3016057,"CAT-US^P_BETA_LOCIDX(45343,45167,,\"SPX\")":1.3376844,"CAT-US^P_BETA_LOCIDX(45342,45166,,\"SPX\")":1.3372176,"CAT-US^P_BETA_LOCIDX(45338,45163,,\"SPX\")":1.3214641,"CAT-US^P_BETA_LOCIDX(45337,45162,,\"SPX\")":1.3152435,"CAT-US^P_BETA_LOCIDX(45336,45161,,\"SPX\")":1.3009365,"CAT-US^P_BETA_LOCIDX(45335,45160,,\"SPX\")":1.3042104,"CAT-US^P_BETA_LOCIDX(45334,45159,,\"SPX\")":1.2724438,"CAT-US^P_BETA_LOCIDX(45331,45156,,\"SPX\")":1.278268,"CAT-US^P_BETA_LOCIDX(45330,45155,,\"SPX\")":1.2773678,"CAT-US^P_BETA_LOCIDX(45329,45154,,\"SPX\")":1.2779295,"CAT-US^P_BETA_LOCIDX(45328,45153,,\"SPX\")":1.3052703,"CAT-US^P_BETA_LOCIDX(45327,45152,,\"SPX\")":1.2980747,"CAT-US^P_BETA_LOCIDX(45324,45149,,\"SPX\")":1.3104665,"CAT-US^P_BETA_LOCIDX(45323,45148,,\"SPX\")":1.2959466,"CAT-US^P_BETA_LOCIDX(45322,45147,,\"SPX\")":1.2636056,"CAT-US^P_BETA_LOCIDX(45321,45146,,\"SPX\")":1.2714062,"CAT-US^P_BETA_LOCIDX(45320,45145,,\"SPX\")":1.2820716,"CAT-US^P_BETA_LOCIDX(45317,45142,,\"SPX\")":1.2886403,"CAT-US^P_BETA_LOCIDX(45316,45141,,\"SPX\")":1.2966942,"CAT-US^P_BETA_LOCIDX(45315,45140,,\"SPX\")":1.2459322,"CAT-US^P_BETA_LOCIDX(45314,45139,,\"SPX\")":1.2024076,"CAT-US^P_BETA_LOCIDX(45313,45138,,\"SPX\")":1.2058746,"CAT-US^P_BETA_LOCIDX(45310,45135,,\"SPX\")":1.1982385,"CAT-US^P_BETA_LOCIDX(45309,45134,,\"SPX\")":1.1962578,"CAT-US^P_BETA_LOCIDX(45308,45133,,\"SPX\")":1.1962895,"CAT-US^P_BETA_LOCIDX(45307,45132,,\"SPX\")":1.177515,"CAT-US^P_BETA_LOCIDX(45303,45131,,\"SPX\")":1.173803,"CAT-US^P_BETA_LOCIDX(45302,45128,,\"SPX\")":1.1744063,"CAT-US^P_BETA_LOCIDX(45301,45127,,\"SPX\")":1.172583,"CAT-US^P_BETA_LOCIDX(45300,45126,,\"SPX\")":1.1732527,"CAT-US^P_BETA_LOCIDX(45299,45125,,\"SPX\")":1.1892368,"CAT-US^P_BETA_LOCIDX(45296,45124,,\"SPX\")":1.2027684,"CAT-US^P_BETA_LOCIDX(45295,45121,,\"SPX\")":1.2012858,"CAT-US^P_BETA_LOCIDX(45294,45120,,\"SPX\")":1.2046899,"CAT-US^P_BETA_LOCIDX(45293,45119,,\"SPX\")":1.1722609,"CAT-US^P_BETA_LOCIDX(45289,45118,,\"SPX\")":1.1753923,"CAT-US^P_BETA_LOCIDX(45288,45117,,\"SPX\")":1.1774342,"CAT-US^P_BETA_LOCIDX(45287,45114,,\"SPX\")":1.1654803,"CAT-US^P_BETA_LOCIDX(45286,45113,,\"SPX\")":1.176659,"CAT-US^P_BETA_LOCIDX(45282,45112,,\"SPX\")":1.1732855,"CAT-US^P_BETA_LOCIDX(45281,45110,,\"SPX\")":1.1738545,"CAT-US^P_BETA_LOCIDX(45280,45107,,\"SPX\")":1.1771562,"CAT-US^P_BETA_LOCIDX(45279,45106,,\"SPX\")":1.1919085,"CAT-US^P_BETA_LOCIDX(45278,45105,,\"SPX\")":1.1770922,"CAT-US^P_BETA_LOCIDX(45275,45104,,\"SPX\")":1.1831937,"CAT-US^P_BETA_LOCIDX(45274,45103,,\"SPX\")":1.1713383,"CAT-US^P_BETA_LOCIDX(45273,45100,,\"SPX\")":1.1581919,"CAT-US^P_BETA_LOCIDX(45272,45099,,\"SPX\")":1.129678,"CAT-US^P_BETA_LOCIDX(45271,45098,,\"SPX\")":1.1256244,"CAT-US^P_BETA_LOCIDX(45268,45097,,\"SPX\")":1.134448,"CAT-US^P_BETA_LOCIDX(45267,45093,,\"SPX\")":1.1360258,"CAT-US^P_BETA_LOCIDX(45266,45092,,\"SPX\")":1.1471831,"CAT-US^P_BETA_LOCIDX(45265,45091,,\"SPX\")":1.1513867,"CAT-US^P_BETA_LOCIDX(45264,45090,,\"SPX\")":1.1749797,"CAT-US^P_BETA_LOCIDX(45261,45089,,\"SPX\")":1.17492,"CAT-US^P_BETA_LOCIDX(45260,45086,,\"SPX\")":1.1613202,"CAT-US^P_BETA_LOCIDX(45259,45085,,\"SPX\")":1.1509103999999999,"CAT-US^P_BETA_LOCIDX(45258,45084,,\"SPX\")":1.1245011,"CAT-US^P_BETA_LOCIDX(45257,45083,,\"SPX\")":1.1289022,"CAT-US^P_BETA_LOCIDX(45254,45082,,\"SPX\")":1.1359329,"CAT-US^P_BETA_LOCIDX(45252,45079,,\"SPX\")":1.2719356,"CAT-US^P_BETA_LOCIDX(45251,45078,,\"SPX\")":1.2852061,"CAT-US^P_BETA_LOCIDX(45250,45077,,\"SPX\")":1.2967081,"CAT-US^P_BETA_LOCIDX(45247,45076,,\"SPX\")":1.3178041,"CAT-US^P_BETA_LOCIDX(45246,45072,,\"SPX\")":1.3000952,"CAT-US^P_BETA_LOCIDX(45245,45071,,\"SPX\")":1.2889451,"CAT-US^P_BETA_LOCIDX(45244,45070,,\"SPX\")":1.2936581,"CAT-US^P_BETA_LOCIDX(45243,45069,,\"SPX\")":1.281358,"CAT-US^P_BETA_LOCIDX(45240,45068,,\"SPX\")":1.2831185,"CAT-US^P_BETA_LOCIDX(45239,45065,,\"SPX\")":1.2757283,"CAT-US^P_BETA_LOCIDX(45238,45064,,\"SPX\")":1.2842683,"CAT-US^P_BETA_LOCIDX(45237,45063,,\"SPX\")":1.297454,"CAT-US^P_BETA_LOCIDX(45236,45062,,\"SPX\")":1.3150816,"CAT-US^P_BETA_LOCIDX(45233,45061,,\"SPX\")":1.3188599,"CAT-US^P_BETA_LOCIDX(45232,45058,,\"SPX\")":1.3273076,"CAT-US^P_BETA_LOCIDX(45231,45057,,\"SPX\")":1.3149892,"CAT-US^P_BETA_LOCIDX(45230,45056,,\"SPX\")":1.2917804,"CAT-US^P_BETA_LOCIDX(45229,45055,,\"SPX\")":1.3669411,"CAT-US^P_BETA_LOCIDX(45226,45054,,\"SPX\")":1.3712176,"CAT-US^P_BETA_LOCIDX(45225,45051,,\"SPX\")":1.3523885,"CAT-US^P_BETA_LOCIDX(45224,45050,,\"SPX\")":1.3789498,"CAT-US^P_BETA_LOCIDX(45223,45049,,\"SPX\")":1.3672419,"CAT-US^P_BETA_LOCIDX(45222,45048,,\"SPX\")":1.3601284,"CAT-US^P_BETA_LOCIDX(45219,45047,,\"SPX\")":1.3589548,"CAT-US^P_BETA_LOCIDX(45218,45044,,\"SPX\")":1.3726907,"CAT-US^P_BETA_LOCIDX(45217,45043,,\"SPX\")":1.2489326,"CAT-US^P_BETA_LOCIDX(45216,45042,,\"SPX\")":1.1812778,"CAT-US^P_BETA_LOCIDX(45215,45041,,\"SPX\")":1.1915818,"CAT-US^P_BETA_LOCIDX(45212,45040,,\"SPX\")":1.1972305,"CAT-US^P_BETA_LOCIDX(45211,45037,,\"SPX\")":1.1952455,"CAT-US^P_BETA_LOCIDX(45210,45036,,\"SPX\")":1.194165,"CAT-US^P_BETA_LOCIDX(45209,45035,,\"SPX\")":1.1989845,"CAT-US^P_BETA_LOCIDX(45208,45034,,\"SPX\")":1.1991341,"CAT-US^P_BETA_LOCIDX(45205,45033,,\"SPX\")":1.1899302,"CAT-US^P_BETA_LOCIDX(45204,45030,,\"SPX\")":1.177336,"CAT-US^P_BETA_LOCIDX(45203,45029,,\"SPX\")":1.1507542,"CAT-US^P_BETA_LOCIDX(45202,45028,,\"SPX\")":1.1790179,"CAT-US^P_BETA_LOCIDX(45201,45027,,\"SPX\")":1.1878617,"CAT-US^P_BETA_LOCIDX(45198,45026,,\"SPX\")":1.1902132,"CAT-US^P_BETA_LOCIDX(45197,45022,,\"SPX\")":1.1718504,"CAT-US^P_BETA_LOCIDX(45196,45021,,\"SPX\")":1.1757604,"CAT-US^P_BETA_LOCIDX(45195,45020,,\"SPX\")":1.2229769,"CAT-US^P_BETA_LOCIDX(45194,45019,,\"SPX\")":1.2214426,"CAT-US^P_BETA_LOCIDX(45191,45016,,\"SPX\")":1.223265,"CAT-US^P_BETA_LOCIDX(45190,45015,,\"SPX\")":1.2248551,"CAT-US^P_BETA_LOCIDX(45189,45014,,\"SPX\")":1.2001503,"CAT-US^P_BETA_LOCIDX(45188,45013,,\"SPX\")":1.2066096,"CAT-US^P_BETA_LOCIDX(45187,45012,,\"SPX\")":1.205235,"CAT-US^P_BETA_LOCIDX(45184,45009,,\"SPX\")":1.1910977,"CAT-US^P_BETA_LOCIDX(45183,45008,,\"SPX\")":1.19228,"CAT-US^P_BETA_LOCIDX(45182,45007,,\"SPX\")":1.1857584,"CAT-US^P_BETA_LOCIDX(45181,45006,,\"SPX\")":1.19555,"CAT-US^P_BETA_LOCIDX(45180,45005,,\"SPX\")":1.2168348,"CAT-US^P_BETA_LOCIDX(45177,45002,,\"SPX\")":1.2340417,"CAT-US^P_BETA_LOCIDX(45176,45001,,\"SPX\")":1.1950166,"CAT-US^P_BETA_LOCIDX(45175,45000,,\"SPX\")":1.229105,"CAT-US^P_BETA_LOCIDX(45174,44999,,\"SPX\")":1.2076316,"CAT-US^P_BETA_LOCIDX(45170,44998,,\"SPX\")":1.2020564,"CAT-US^P_BETA_LOCIDX(45169,44995,,\"SPX\")":1.2900851,"CAT-US^P_BETA_LOCIDX(45168,44994,,\"SPX\")":1.3081974,"CAT-US^P_BETA_LOCIDX(45167,44993,,\"SPX\")":1.3074058,"CAT-US^P_BETA_LOCIDX(45166,44992,,\"SPX\")":1.3297123,"CAT-US^P_BETA_LOCIDX(45163,44991,,\"SPX\")":1.3297112,"CAT-US^P_BETA_LOCIDX(45162,44988,,\"SPX\")":1.3098121,"CAT-US^P_BETA_LOCIDX(45161,44987,,\"SPX\")":1.321847,"CAT-US^P_BETA_LOCIDX(45160,44986,,\"SPX\")":1.293996,"CAT-US^P_BETA_LOCIDX(45159,44985,,\"SPX\")":1.2901397,"CAT-US^P_BETA_LOCIDX(45156,44984,,\"SPX\")":1.3040462,"CAT-US^P_BETA_LOCIDX(45155,44981,,\"SPX\")":1.2947478,"CAT-US^P_BETA_LOCIDX(45154,44980,,\"SPX\")":1.3040072,"CAT-US^P_BETA_LOCIDX(45153,44979,,\"SPX\")":1.3064369,"CAT-US^P_BETA_LOCIDX(45152,44978,,\"SPX\")":1.2970458,"CAT-US^P_BETA_LOCIDX(45149,44974,,\"SPX\")":1.2996851,"CAT-US^P_BETA_LOCIDX(45148,44973,,\"SPX\")":1.2852386,"CAT-US^P_BETA_LOCIDX(45147,44972,,\"SPX\")":1.2886648,"CAT-US^P_BETA_LOCIDX(45146,44971,,\"SPX\")":1.3045249,"CAT-US^P_BETA_LOCIDX(45145,44970,,\"SPX\")":1.2930416,"CAT-US^P_BETA_LOCIDX(45142,44967,,\"SPX\")":1.2862797,"CAT-US^P_BETA_LOCIDX(45141,44966,,\"SPX\")":1.2769212,"CAT-US^P_BETA_LOCIDX(45140,44965,,\"SPX\")":1.2541872,"CAT-US^P_BETA_LOCIDX(45139,44964,,\"SPX\")":1.2432741,"CAT-US^P_BETA_LOCIDX(45138,44963,,\"SPX\")":1.2641114,"CAT-US^P_BETA_LOCIDX(45135,44960,,\"SPX\")":1.228835,"CAT-US^P_BETA_LOCIDX(45134,44959,,\"SPX\")":1.1725997,"CAT-US^P_BETA_LOCIDX(45133,44958,,\"SPX\")":1.1541524,"CAT-US^P_BETA_LOCIDX(45132,44957,,\"SPX\")":1.0713904,"CAT-US^P_BETA_LOCIDX(45131,44956,,\"SPX\")":1.064267,"CAT-US^P_BETA_LOCIDX(45128,44953,,\"SPX\")":1.0644068,"CAT-US^P_BETA_LOCIDX(45127,44952,,\"SPX\")":1.067331,"CAT-US^P_BETA_LOCIDX(45126,44951,,\"SPX\")":1.0682708,"CAT-US^P_BETA_LOCIDX(45125,44950,,\"SPX\")":1.0648612,"CAT-US^P_BETA_LOCIDX(45124,44949,,\"SPX\")":1.0528557,"CAT-US^P_BETA_LOCIDX(45121,44946,,\"SPX\")":1.0458895,"CAT-US^P_BETA_LOCIDX(45120,44945,,\"SPX\")":1.0643024,"CAT-US^P_BETA_LOCIDX(45119,44944,,\"SPX\")":1.0564418,"CAT-US^P_BETA_LOCIDX(45118,44943,,\"SPX\")":1.0608022,"CAT-US^P_BETA_LOCIDX(45117,44939,,\"SPX\")":1.0578741,"CAT-US^P_BETA_LOCIDX(45114,44938,,\"SPX\")":1.0596696,"CAT-US^P_BETA_LOCIDX(45113,44937,,\"SPX\")":1.0544899,"CAT-US^P_BETA_LOCIDX(45112,44936,,\"SPX\")":1.0530157,"CAT-US^P_BETA_LOCIDX(45110,44935,,\"SPX\")":1.0521734,"CAT-US^P_BETA_LOCIDX(45107,44932,,\"SPX\")":1.079701,"CAT-US^P_BETA_LOCIDX(45106,44931,,\"SPX\")":1.0733377,"CAT-US^P_BETA_LOCIDX(45105,44930,,\"SPX\")":1.0734301,"CAT-US^P_BETA_LOCIDX(45104,44929,,\"SPX\")":1.0731179,"CAT-US^P_BETA_LOCIDX(45103,44925,,\"SPX\")":1.0680614,"CAT-US^P_BETA_LOCIDX(45100,44924,,\"SPX\")":1.0546634,"CAT-US^P_BETA_LOCIDX(45099,44923,,\"SPX\")":1.0541537,"CAT-US^P_BETA_LOCIDX(45098,44922,,\"SPX\")":1.0496551,"CAT-US^P_BETA_LOCIDX(45097,44918,,\"SPX\")":1.0565675,"CAT-US^P_BETA_LOCIDX(45093,44917,,\"SPX\")":1.0522053,"CAT-US^P_BETA_LOCIDX(45092,44916,,\"SPX\")":1.066752,"CAT-US^P_BETA_LOCIDX(45091,44915,,\"SPX\")":1.0607641,"CAT-US^P_BETA_LOCIDX(45090,44914,,\"SPX\")":1.0526359,"CAT-US^P_BETA_LOCIDX(45089,44911,,\"SPX\")":1.0151558,"CAT-US^P_BETA_LOCIDX(45086,44910,,\"SPX\")":0.991289,"CAT-US^P_BETA_LOCIDX(45085,44909,,\"SPX\")":0.9899447,"CAT-US^P_BETA_LOCIDX(45084,44908,,\"SPX\")":0.9971263,"CAT-US^P_BETA_LOCIDX(45083,44907,,\"SPX\")":1.0274876,"CAT-US^P_BETA_LOCIDX(45082,44904,,\"SPX\")":1.0301996,"CAT-US^P_BETA_LOCIDX(45079,44903,,\"SPX\")":1.0274652,"CAT-US^P_BETA_LOCIDX(45078,44902,,\"SPX\")":0.942113,"CAT-US^P_BETA_LOCIDX(45077,44901,,\"SPX\")":0.9402899,"CAT-US^P_BETA_LOCIDX(45076,44900,,\"SPX\")":0.928852,"CAT-US^P_BETA_LOCIDX(45072,44897,,\"SPX\")":0.9281467,"CAT-US^P_BETA_LOCIDX(45071,44896,,\"SPX\")":0.93088746,"CAT-US^P_BETA_LOCIDX(45070,44895,,\"SPX\")":0.88091385,"CAT-US^P_BETA_LOCIDX(45069,44894,,\"SPX\")":0.874541,"CAT-US^P_BETA_LOCIDX(45068,44893,,\"SPX\")":0.877718,"CAT-US^P_BETA_LOCIDX(45065,44890,,\"SPX\")":0.8778947,"CAT-US^P_BETA_LOCIDX(45064,44888,,\"SPX\")":0.875865,"CAT-US^P_BETA_LOCIDX(45063,44887,,\"SPX\")":0.88358814,"CAT-US^P_BETA_LOCIDX(45062,44886,,\"SPX\")":0.8682038,"CAT-US^P_BETA_LOCIDX(45061,44883,,\"SPX\")":0.8617901,"CAT-US^P_BETA_LOCIDX(45058,44882,,\"SPX\")":0.86176544,"CAT-US^P_BETA_LOCIDX(45057,44881,,\"SPX\")":0.8625064,"CAT-US^P_BETA_LOCIDX(45056,44880,,\"SPX\")":0.8511241,"CAT-US^P_BETA_LOCIDX(45055,44879,,\"SPX\")":0.84624773,"CAT-US^P_BETA_LOCIDX(45054,44876,,\"SPX\")":0.8529367,"CAT-US^P_BETA_LOCIDX(45051,44875,,\"SPX\")":0.7990726,"CAT-US^P_BETA_LOCIDX(45050,44874,,\"SPX\")":0.7908974,"CAT-US^P_BETA_LOCIDX(45049,44873,,\"SPX\")":0.78281695,"CAT-US^P_BETA_LOCIDX(45048,44872,,\"SPX\")":0.7851645,"CAT-US^P_BETA_LOCIDX(45047,44869,,\"SPX\")":0.8084472,"CAT-US^P_BETA_LOCIDX(45044,44868,,\"SPX\")":0.78579396,"CAT-US^P_BETA_LOCIDX(45043,44867,,\"SPX\")":0.7761732,"CAT-US^P_BETA_LOCIDX(45042,44866,,\"SPX\")":0.7994968,"CAT-US^P_BETA_LOCIDX(45041,44865,,\"SPX\")":0.800776,"CAT-US^P_BETA_LOCIDX(45040,44862,,\"SPX\")":0.8127558,"CAT-US^P_BETA_LOCIDX(45037,44861,,\"SPX\")":0.77973366,"CAT-US^P_BETA_LOCIDX(45036,44860,,\"SPX\")":0.7723004,"CAT-US^P_BETA_LOCIDX(45035,44859,,\"SPX\")":0.7742822,"CAT-US^P_BETA_LOCIDX(45034,44858,,\"SPX\")":0.7713082,"CAT-US^P_BETA_LOCIDX(45033,44855,,\"SPX\")":0.8150453,"CAT-US^P_BETA_LOCIDX(45030,44854,,\"SPX\")":0.8224632,"CAT-US^P_BETA_LOCIDX(45029,44853,,\"SPX\")":0.82019836,"CAT-US^P_BETA_LOCIDX(45028,44852,,\"SPX\")":0.8275438,"CAT-US^P_BETA_LOCIDX(45027,44851,,\"SPX\")":0.81676614,"CAT-US^P_BETA_LOCIDX(45026,44848,,\"SPX\")":0.8291947,"CAT-US^P_BETA_LOCIDX(45022,44847,,\"SPX\")":0.827081,"CAT-US^P_BETA_LOCIDX(45021,44846,,\"SPX\")":0.8297942,"CAT-US^P_BETA_LOCIDX(45020,44845,,\"SPX\")":0.8225821,"CAT-US^P_BETA_LOCIDX(45019,44844,,\"SPX\")":0.80007017,"CAT-US^P_BETA_LOCIDX(45016,44841,,\"SPX\")":0.780577,"CAT-US^P_BETA_LOCIDX(45015,44840,,\"SPX\")":0.77164656,"CAT-US^P_BETA_LOCIDX(45014,44839,,\"SPX\")":0.77229834,"CAT-US^P_BETA_LOCIDX(45013,44838,,\"SPX\")":0.8056171,"CAT-US^P_BETA_LOCIDX(45012,44837,,\"SPX\")":0.83066595,"CAT-US^P_BETA_LOCIDX(45009,44834,,\"SPX\")":0.8307564,"CAT-US^P_BETA_LOCIDX(45008,44833,,\"SPX\")":0.83012253,"CAT-US^P_BETA_LOCIDX(45007,44832,,\"SPX\")":0.8427436,"CAT-US^P_BETA_LOCIDX(45006,44831,,\"SPX\")":0.83506244,"CAT-US^P_BETA_LOCIDX(45005,44830,,\"SPX\")":0.83239836,"CAT-US^P_BETA_LOCIDX(45002,44827,,\"SPX\")":0.8458617,"CAT-US^P_BETA_LOCIDX(45001,44826,,\"SPX\")":0.84224296,"CAT-US^P_BETA_LOCIDX(45000,44825,,\"SPX\")":0.865904,"CAT-US^P_BETA_LOCIDX(44999,44824,,\"SPX\")":0.8629315,"CAT-US^P_BETA_LOCIDX(44998,44823,,\"SPX\")":0.87350565,"CAT-US^P_BETA_LOCIDX(44995,44820,,\"SPX\")":0.8766596,"CAT-US^P_BETA_LOCIDX(44994,44819,,\"SPX\")":0.8483468,"CAT-US^P_BETA_LOCIDX(44993,44818,,\"SPX\")":0.83291703,"CAT-US^P_BETA_LOCIDX(44992,44817,,\"SPX\")":0.84761095,"CAT-US^P_BETA_LOCIDX(44991,44816,,\"SPX\")":0.8364583,"CAT-US^P_BETA_LOCIDX(44988,44813,,\"SPX\")":0.84860116,"CAT-US^P_BETA_LOCIDX(44987,44812,,\"SPX\")":0.8524618,"CAT-US^P_BETA_LOCIDX(44986,44811,,\"SPX\")":0.83807516,"CAT-US^P_BETA_LOCIDX(44985,44810,,\"SPX\")":0.8460529,"CAT-US^P_BETA_LOCIDX(44984,44806,,\"SPX\")":0.84677273,"CAT-US^P_BETA_LOCIDX(44981,44805,,\"SPX\")":0.84342104,"CAT-US^P_BETA_LOCIDX(44980,44804,,\"SPX\")":0.8455439,"CAT-US^P_BETA_LOCIDX(44979,44803,,\"SPX\")":0.8549906,"CAT-US^P_BETA_LOCIDX(44978,44802,,\"SPX\")":0.85339534,"CAT-US^P_BETA_LOCIDX(44974,44799,,\"SPX\")":0.8537726,"CAT-US^P_BETA_LOCIDX(44973,44798,,\"SPX\")":0.85997546,"CAT-US^P_BETA_LOCIDX(44972,44797,,\"SPX\")":0.8582867,"CAT-US^P_BETA_LOCIDX(44971,44796,,\"SPX\")":0.85425186,"CAT-US^P_BETA_LOCIDX(44970,44795,,\"SPX\")":0.85697293,"CAT-US^P_BETA_LOCIDX(44967,44792,,\"SPX\")":0.8615722,"CAT-US^P_BETA_LOCIDX(44966,44791,,\"SPX\")":0.86172825,"CAT-US^P_BETA_LOCIDX(44965,44790,,\"SPX\")":0.8611458,"CAT-US^P_BETA_LOCIDX(44964,44789,,\"SPX\")":0.86319524,"CAT-US^P_BETA_LOCIDX(44963,44788,,\"SPX\")":0.8719999,"CAT-US^P_BETA_LOCIDX(44960,44785,,\"SPX\")":0.87426215,"CAT-US^P_BETA_LOCIDX(44959,44784,,\"SPX\")":0.8812991,"CAT-US^P_BETA_LOCIDX(44958,44783,,\"SPX\")":0.90378946,"CAT-US^P_BETA_LOCIDX(44957,44782,,\"SPX\")":0.9126599,"CAT-US^P_BETA_LOCIDX(44956,44781,,\"SPX\")":0.94229084,"CAT-US^P_BETA_LOCIDX(44953,44778,,\"SPX\")":0.94056594,"CAT-US^P_BETA_LOCIDX(44952,44777,,\"SPX\")":0.9401516,"CAT-US^P_BETA_LOCIDX(44951,44776,,\"SPX\")":0.92671615,"CAT-US^P_BETA_LOCIDX(44950,44775,,\"SPX\")":0.94084775,"CAT-US^P_BETA_LOCIDX(44949,44774,,\"SPX\")":0.943053,"CAT-US^P_BETA_LOCIDX(44946,44771,,\"SPX\")":0.96590805,"CAT-US^P_BETA_LOCIDX(44945,44770,,\"SPX\")":0.96932614,"CAT-US^P_BETA_LOCIDX(44944,44769,,\"SPX\")":0.9565502,"CAT-US^P_BETA_LOCIDX(44943,44768,,\"SPX\")":0.9534588,"CAT-US^P_BETA_LOCIDX(44939,44767,,\"SPX\")":0.953248,"CAT-US^P_BETA_LOCIDX(44938,44764,,\"SPX\")":0.9549153,"CAT-US^P_BETA_LOCIDX(44937,44763,,\"SPX\")":0.9510176,"CAT-US^P_BETA_LOCIDX(44936,44762,,\"SPX\")":0.95669097,"CAT-US^P_BETA_LOCIDX(44935,44761,,\"SPX\")":0.9605194,"CAT-US^P_BETA_LOCIDX(44932,44760,,\"SPX\")":0.9582807,"CAT-US^P_BETA_LOCIDX(44931,44757,,\"SPX\")":0.9482336,"CAT-US^P_BETA_LOCIDX(44930,44756,,\"SPX\")":0.9526196,"CAT-US^P_BETA_LOCIDX(44929,44755,,\"SPX\")":0.9528306,"CAT-US^P_BETA_LOCIDX(44925,44754,,\"SPX\")":0.95148104,"CAT-US^P_BETA_LOCIDX(44924,44753,,\"SPX\")":0.9574856,"CAT-US^P_BETA_LOCIDX(44923,44750,,\"SPX\")":0.96834403,"CAT-US^P_BETA_LOCIDX(44922,44749,,\"SPX\")":0.9817327,"CAT-US^P_BETA_LOCIDX(44918,44748,,\"SPX\")":0.9821197,"CAT-US^P_BETA_LOCIDX(44917,44747,,\"SPX\")":0.9801681,"CAT-US^P_BETA_LOCIDX(44916,44743,,\"SPX\")":0.9709661,"CAT-US^P_BETA_LOCIDX(44915,44742,,\"SPX\")":0.9713203,"CAT-US^P_BETA_LOCIDX(44914,44741,,\"SPX\")":0.9716943,"CAT-US^P_BETA_LOCIDX(44911,44740,,\"SPX\")":0.96055704,"CAT-US^P_BETA_LOCIDX(44910,44739,,\"SPX\")":0.9666486,"CAT-US^P_BETA_LOCIDX(44909,44736,,\"SPX\")":0.97976655,"CAT-US^P_BETA_LOCIDX(44908,44735,,\"SPX\")":0.959725,"CAT-US^P_BETA_LOCIDX(44907,44734,,\"SPX\")":0.96233624,"CAT-US^P_BETA_LOCIDX(44904,44733,,\"SPX\")":0.9523707,"CAT-US^P_BETA_LOCIDX(44903,44729,,\"SPX\")":0.9487035,"CAT-US^P_BETA_LOCIDX(44902,44728,,\"SPX\")":0.9774144,"CAT-US^P_BETA_LOCIDX(44901,44727,,\"SPX\")":0.9686565,"CAT-US^P_BETA_LOCIDX(44900,44726,,\"SPX\")":0.9656281,"CAT-US^P_BETA_LOCIDX(44897,44725,,\"SPX\")":0.96896464,"CAT-US^P_BETA_LOCIDX(44896,44722,,\"SPX\")":0.9791521,"CAT-US^P_BETA_LOCIDX(44895,44721,,\"SPX\")":0.9820526,"CAT-US^P_BETA_LOCIDX(44894,44720,,\"SPX\")":1.0008649,"CAT-US^P_BETA_LOCIDX(44893,44719,,\"SPX\")":1.0031389,"CAT-US^P_BETA_LOCIDX(44890,44718,,\"SPX\")":1.0032187,"CAT-US^P_BETA_LOCIDX(44888,44715,,\"SPX\")":0.98763007,"CAT-US^P_BETA_LOCIDX(44887,44714,,\"SPX\")":0.9843291,"CAT-US^P_BETA_LOCIDX(44886,44713,,\"SPX\")":0.9774498,"CAT-US^P_BETA_LOCIDX(44883,44712,,\"SPX\")":0.97833914,"CAT-US^P_BETA_LOCIDX(44882,44708,,\"SPX\")":0.9738911,"CAT-US^P_BETA_LOCIDX(44881,44707,,\"SPX\")":0.97144264,"CAT-US^P_BETA_LOCIDX(44880,44706,,\"SPX\")":0.97306246,"CAT-US^P_BETA_LOCIDX(44879,44705,,\"SPX\")":0.974233,"CAT-US^P_BETA_LOCIDX(44876,44704,,\"SPX\")":0.9836884,"CAT-US^P_BETA_LOCIDX(44875,44701,,\"SPX\")":0.98185956,"CAT-US^P_BETA_LOCIDX(44874,44700,,\"SPX\")":1.0309414,"CAT-US^P_BETA_LOCIDX(44873,44699,,\"SPX\")":1.0099789,"CAT-US^P_BETA_LOCIDX(44872,44698,,\"SPX\")":1.0149754,"CAT-US^P_BETA_LOCIDX(44869,44697,,\"SPX\")":1.0156406,"CAT-US^P_BETA_LOCIDX(44868,44694,,\"SPX\")":0.9890283,"CAT-US^P_BETA_LOCIDX(44867,44693,,\"SPX\")":1.0001483,"CAT-US^P_BETA_LOCIDX(44866,44692,,\"SPX\")":0.9906112,"CAT-US^P_BETA_LOCIDX(44865,44691,,\"SPX\")":0.9905767,"CAT-US^P_BETA_LOCIDX(44862,44690,,\"SPX\")":0.9973473,"CAT-US^P_BETA_LOCIDX(44861,44687,,\"SPX\")":0.99031055,"CAT-US^P_BETA_LOCIDX(44860,44686,,\"SPX\")":0.9989654,"CAT-US^P_BETA_LOCIDX(44859,44685,,\"SPX\")":1.0143044,"CAT-US^P_BETA_LOCIDX(44858,44684,,\"SPX\")":1.0136614,"CAT-US^P_BETA_LOCIDX(44855,44683,,\"SPX\")":1.0164871,"CAT-US^P_BETA_LOCIDX(44854,44680,,\"SPX\")":0.9636663,"CAT-US^P_BETA_LOCIDX(44853,44679,,\"SPX\")":0.9367376,"CAT-US^P_BETA_LOCIDX(44852,44678,,\"SPX\")":0.9400852,"CAT-US^P_BETA_LOCIDX(44851,44677,,\"SPX\")":0.9407569,"CAT-US^P_BETA_LOCIDX(44848,44676,,\"SPX\")":0.9485904,"CAT-US^P_BETA_LOCIDX(44847,44673,,\"SPX\")":0.98035914,"CAT-US^P_BETA_LOCIDX(44846,44672,,\"SPX\")":0.9827645,"CAT-US^P_BETA_LOCIDX(44845,44671,,\"SPX\")":0.98330694,"CAT-US^P_BETA_LOCIDX(44844,44670,,\"SPX\")":0.9821318,"CAT-US^P_BETA_LOCIDX(44841,44669,,\"SPX\")":0.985104,"CAT-US^P_BETA_LOCIDX(44840,44665,,\"SPX\")":0.9835646,"CAT-US^P_BETA_LOCIDX(44839,44664,,\"SPX\")":0.9857527,"CAT-US^P_BETA_LOCIDX(44838,44663,,\"SPX\")":0.9851484,"CAT-US^P_BETA_LOCIDX(44837,44662,,\"SPX\")":0.95965225,"CAT-US^P_BETA_LOCIDX(44834,44659,,\"SPX\")":0.9423022,"CAT-US^P_BETA_LOCIDX(44833,44658,,\"SPX\")":0.9429156,"CAT-US^P_BETA_LOCIDX(44832,44657,,\"SPX\")":0.9460894,"CAT-US^P_BETA_LOCIDX(44831,44656,,\"SPX\")":0.9390339,"CAT-US^P_BETA_LOCIDX(44830,44655,,\"SPX\")":0.9383269,"CAT-US^P_BETA_LOCIDX(44827,44652,,\"SPX\")":0.9357742,"CAT-US^P_BETA_LOCIDX(44826,44651,,\"SPX\")":0.918479,"CAT-US^P_BETA_LOCIDX(44825,44650,,\"SPX\")":0.9160287,"CAT-US^P_BETA_LOCIDX(44824,44649,,\"SPX\")":0.89996576,"CAT-US^P_BETA_LOCIDX(44823,44648,,\"SPX\")":0.89229447,"CAT-US^P_BETA_LOCIDX(44820,44645,,\"SPX\")":0.89008915,"CAT-US^P_BETA_LOCIDX(44819,44644,,\"SPX\")":0.8818919,"CAT-US^P_BETA_LOCIDX(44818,44643,,\"SPX\")":0.8781134,"CAT-US^P_BETA_LOCIDX(44817,44642,,\"SPX\")":0.8725392,"CAT-US^P_BETA_LOCIDX(44816,44641,,\"SPX\")":0.86692,"CAT-US^P_BETA_LOCIDX(44813,44638,,\"SPX\")":0.8585937,"CAT-US^P_BETA_LOCIDX(44812,44637,,\"SPX\")":0.85350674,"CAT-US^P_BETA_LOCIDX(44811,44636,,\"SPX\")":0.83551705,"CAT-US^P_BETA_LOCIDX(44810,44635,,\"SPX\")":0.83490336,"CAT-US^P_BETA_LOCIDX(44806,44634,,\"SPX\")":0.83293104,"CAT-US^P_BETA_LOCIDX(44805,44631,,\"SPX\")":0.8220286,"CAT-US^P_BETA_LOCIDX(44804,44630,,\"SPX\")":0.8219649,"CAT-US^P_BETA_LOCIDX(44803,44629,,\"SPX\")":0.8014935,"CAT-US^P_BETA_LOCIDX(44802,44628,,\"SPX\")":0.7780489,"CAT-US^P_BETA_LOCIDX(44799,44627,,\"SPX\")":0.7519106,"CAT-US^P_BETA_LOCIDX(44798,44624,,\"SPX\")":0.7377915,"CAT-US^P_BETA_LOCIDX(44797,44623,,\"SPX\")":0.7286133,"CAT-US^P_BETA_LOCIDX(44796,44622,,\"SPX\")":0.7558435,"CAT-US^P_BETA_LOCIDX(44795,44621,,\"SPX\")":0.7652196,"CAT-US^P_BETA_LOCIDX(44792,44620,,\"SPX\")":0.76204085,"CAT-US^P_BETA_LOCIDX(44791,44617,,\"SPX\")":0.75838286,"CAT-US^P_BETA_LOCIDX(44790,44616,,\"SPX\")":0.74680287,"CAT-US^P_BETA_LOCIDX(44789,44615,,\"SPX\")":0.7525121,"CAT-US^P_BETA_LOCIDX(44788,44614,,\"SPX\")":0.75099844,"CAT-US^P_BETA_LOCIDX(44785,44610,,\"SPX\")":0.7542599,"CAT-US^P_BETA_LOCIDX(44784,44609,,\"SPX\")":0.77289146,"CAT-US^P_BETA_LOCIDX(44783,44608,,\"SPX\")":0.77309805,"CAT-US^P_BETA_LOCIDX(44782,44607,,\"SPX\")":0.76969683,"CAT-US^P_BETA_LOCIDX(44781,44606,,\"SPX\")":0.7706938,"CAT-US^P_BETA_LOCIDX(44778,44603,,\"SPX\")":0.76731724,"CAT-US^P_BETA_LOCIDX(44777,44602,,\"SPX\")":0.761194,"CAT-US^P_BETA_LOCIDX(44776,44601,,\"SPX\")":0.7609533,"CAT-US^P_BETA_LOCIDX(44775,44600,,\"SPX\")":0.7696636,"CAT-US^P_BETA_LOCIDX(44774,44599,,\"SPX\")":0.75817806,"CAT-US^P_BETA_LOCIDX(45845,45670,,\"SPX\")":1.1386212,"TSM-US^P_BETA_LOCIDX(45841,45665,,\"SPX\")":1.469121,"TSM-US^P_BETA_LOCIDX(45840,45664,,\"SPX\")":1.4805121,"TSM-US^P_BETA_LOCIDX(45839,45663,,\"SPX\")":1.483841,"TSM-US^P_BETA_LOCIDX(45838,45660,,\"SPX\")":1.4900249,"TSM-US^P_BETA_LOCIDX(45835,45659,,\"SPX\")":1.4905938,"TSM-US^P_BETA_LOCIDX(45834,45657,,\"SPX\")":1.4901333,"TSM-US^P_BETA_LOCIDX(45833,45656,,\"SPX\")":1.48856,"TSM-US^P_BETA_LOCIDX(45832,45653,,\"SPX\")":1.4853247,"TSM-US^P_BETA_LOCIDX(45831,45652,,\"SPX\")":1.4745136,"TSM-US^P_BETA_LOCIDX(45828,45650,,\"SPX\")":1.4698409,"TSM-US^P_BETA_LOCIDX(45826,45649,,\"SPX\")":1.4784336,"TSM-US^P_BETA_LOCIDX(45825,45646,,\"SPX\")":1.4770348,"TSM-US^P_BETA_LOCIDX(45824,45645,,\"SPX\")":1.4781841,"TSM-US^P_BETA_LOCIDX(45821,45644,,\"SPX\")":1.4587469,"TSM-US^P_BETA_LOCIDX(45820,45643,,\"SPX\")":1.4574198,"TSM-US^P_BETA_LOCIDX(45819,45642,,\"SPX\")":1.4574126,"TSM-US^P_BETA_LOCIDX(45818,45639,,\"SPX\")":1.4582368,"TSM-US^P_BETA_LOCIDX(45817,45638,,\"SPX\")":1.4567952,"TSM-US^P_BETA_LOCIDX(45814,45637,,\"SPX\")":1.4568785,"TSM-US^P_BETA_LOCIDX(45813,45636,,\"SPX\")":1.4625111,"TSM-US^P_BETA_LOCIDX(45812,45635,,\"SPX\")":1.4667647,"TSM-US^P_BETA_LOCIDX(45811,45632,,\"SPX\")":1.465802,"TSM-US^P_BETA_LOCIDX(45810,45631,,\"SPX\")":1.4634831,"TSM-US^P_BETA_LOCIDX(45807,45630,,\"SPX\")":1.4632376,"TSM-US^P_BETA_LOCIDX(45806,45629,,\"SPX\")":1.4636114,"TSM-US^P_BETA_LOCIDX(45805,45628,,\"SPX\")":1.4679356,"TSM-US^P_BETA_LOCIDX(45804,45625,,\"SPX\")":1.469649,"TSM-US^P_BETA_LOCIDX(45800,45623,,\"SPX\")":1.472,"TSM-US^P_BETA_LOCIDX(45799,45622,,\"SPX\")":1.4658934,"TSM-US^P_BETA_LOCIDX(45798,45621,,\"SPX\")":1.4628491,"TSM-US^P_BETA_LOCIDX(45797,45618,,\"SPX\")":1.469446,"TSM-US^P_BETA_LOCIDX(45796,45617,,\"SPX\")":1.4713936,"TSM-US^P_BETA_LOCIDX(45793,45616,,\"SPX\")":1.4715642,"TSM-US^P_BETA_LOCIDX(45792,45615,,\"SPX\")":1.4748172,"TSM-US^P_BETA_LOCIDX(45791,45614,,\"SPX\")":1.4763163,"TSM-US^P_BETA_LOCIDX(45790,45611,,\"SPX\")":1.473701,"TSM-US^P_BETA_LOCIDX(45789,45610,,\"SPX\")":1.4634272,"TSM-US^P_BETA_LOCIDX(45786,45609,,\"SPX\")":1.4499763,"TSM-US^P_BETA_LOCIDX(45785,45608,,\"SPX\")":1.4507852,"TSM-US^P_BETA_LOCIDX(45784,45607,,\"SPX\")":1.4500053,"TSM-US^P_BETA_LOCIDX(45783,45604,,\"SPX\")":1.4480449,"TSM-US^P_BETA_LOCIDX(45782,45603,,\"SPX\")":1.4533151,"TSM-US^P_BETA_LOCIDX(45779,45602,,\"SPX\")":1.4076807,"TSM-US^P_BETA_LOCIDX(45778,45601,,\"SPX\")":1.400755,"TSM-US^P_BETA_LOCIDX(45777,45600,,\"SPX\")":1.3948166,"TSM-US^P_BETA_LOCIDX(45776,45597,,\"SPX\")":1.3952585,"TSM-US^P_BETA_LOCIDX(45775,45596,,\"SPX\")":1.3914388,"TSM-US^P_BETA_LOCIDX(45772,45595,,\"SPX\")":1.3925537,"TSM-US^P_BETA_LOCIDX(45771,45594,,\"SPX\")":1.3943522,"TSM-US^P_BETA_LOCIDX(45770,45593,,\"SPX\")":1.3800111,"TSM-US^P_BETA_LOCIDX(45769,45590,,\"SPX\")":1.3679104,"TSM-US^P_BETA_LOCIDX(45768,45589,,\"SPX\")":1.3751632,"TSM-US^P_BETA_LOCIDX(45764,45588,,\"SPX\")":1.3736991,"TSM-US^P_BETA_LOCIDX(45763,45587,,\"SPX\")":1.373587,"TSM-US^P_BETA_LOCIDX(45762,45586,,\"SPX\")":1.3695849,"TSM-US^P_BETA_LOCIDX(45761,45583,,\"SPX\")":1.3651881,"TSM-US^P_BETA_LOCIDX(45758,45582,,\"SPX\")":1.372488,"TSM-US^P_BETA_LOCIDX(45757,45581,,\"SPX\")":1.3610257,"TSM-US^P_BETA_LOCIDX(45756,45580,,\"SPX\")":1.3646917,"TSM-US^P_BETA_LOCIDX(45755,45579,,\"SPX\")":1.4025612,"TSM-US^P_BETA_LOCIDX(45754,45576,,\"SPX\")":1.4013093,"TSM-US^P_BETA_LOCIDX(45751,45575,,\"SPX\")":1.4015155,"TSM-US^P_BETA_LOCIDX(45750,45574,,\"SPX\")":1.4792125,"TSM-US^P_BETA_LOCIDX(45749,45573,,\"SPX\")":1.452081,"TSM-US^P_BETA_LOCIDX(45748,45572,,\"SPX\")":1.420976,"TSM-US^P_BETA_LOCIDX(45747,45569,,\"SPX\")":1.4139795,"TSM-US^P_BETA_LOCIDX(45744,45568,,\"SPX\")":1.412211,"TSM-US^P_BETA_LOCIDX(45743,45567,,\"SPX\")":1.4326888,"TSM-US^P_BETA_LOCIDX(45742,45566,,\"SPX\")":1.4203937,"TSM-US^P_BETA_LOCIDX(45741,45565,,\"SPX\")":1.3779658,"TSM-US^P_BETA_LOCIDX(45740,45562,,\"SPX\")":1.3848488,"TSM-US^P_BETA_LOCIDX(45737,45561,,\"SPX\")":1.3919243,"TSM-US^P_BETA_LOCIDX(45736,45560,,\"SPX\")":1.3915892,"TSM-US^P_BETA_LOCIDX(45735,45559,,\"SPX\")":1.4071444,"TSM-US^P_BETA_LOCIDX(45734,45558,,\"SPX\")":1.4209241,"TSM-US^P_BETA_LOCIDX(45733,45555,,\"SPX\")":1.4195306,"TSM-US^P_BETA_LOCIDX(45730,45554,,\"SPX\")":1.469184,"TSM-US^P_BETA_LOCIDX(45729,45553,,\"SPX\")":1.5091891,"TSM-US^P_BETA_LOCIDX(45728,45552,,\"SPX\")":1.4910334,"TSM-US^P_BETA_LOCIDX(45727,45551,,\"SPX\")":1.4719906,"TSM-US^P_BETA_LOCIDX(45726,45548,,\"SPX\")":1.4816511,"TSM-US^P_BETA_LOCIDX(45723,45547,,\"SPX\")":1.488849,"TSM-US^P_BETA_LOCIDX(45722,45546,,\"SPX\")":1.5297188,"TSM-US^P_BETA_LOCIDX(45721,45545,,\"SPX\")":1.4807523,"TSM-US^P_BETA_LOCIDX(45720,45544,,\"SPX\")":1.5000948,"TSM-US^P_BETA_LOCIDX(45719,45541,,\"SPX\")":1.6300155,"TSM-US^P_BETA_LOCIDX(45716,45540,,\"SPX\")":1.5881178,"TSM-US^P_BETA_LOCIDX(45715,45539,,\"SPX\")":1.6453451,"TSM-US^P_BETA_LOCIDX(45714,45538,,\"SPX\")":1.6392192,"TSM-US^P_BETA_LOCIDX(45713,45534,,\"SPX\")":1.6380428,"TSM-US^P_BETA_LOCIDX(45712,45533,,\"SPX\")":1.6349328,"TSM-US^P_BETA_LOCIDX(45709,45532,,\"SPX\")":1.6154737,"TSM-US^P_BETA_LOCIDX(45708,45531,,\"SPX\")":1.6580818,"TSM-US^P_BETA_LOCIDX(45707,45530,,\"SPX\")":1.6640314,"TSM-US^P_BETA_LOCIDX(45706,45527,,\"SPX\")":1.6801666,"TSM-US^P_BETA_LOCIDX(45702,45526,,\"SPX\")":1.7012072,"TSM-US^P_BETA_LOCIDX(45701,45525,,\"SPX\")":1.697149,"TSM-US^P_BETA_LOCIDX(45700,45524,,\"SPX\")":1.7547091,"TSM-US^P_BETA_LOCIDX(45699,45523,,\"SPX\")":1.736899,"TSM-US^P_BETA_LOCIDX(45698,45520,,\"SPX\")":1.736945,"TSM-US^P_BETA_LOCIDX(45695,45519,,\"SPX\")":1.7295368,"TSM-US^P_BETA_LOCIDX(45694,45518,,\"SPX\")":1.7151605,"TSM-US^P_BETA_LOCIDX(45693,45517,,\"SPX\")":1.7119637,"TSM-US^P_BETA_LOCIDX(45692,45516,,\"SPX\")":1.706215,"TSM-US^P_BETA_LOCIDX(45691,45513,,\"SPX\")":1.7028358,"TSM-US^P_BETA_LOCIDX(45688,45512,,\"SPX\")":1.7248694,"TSM-US^P_BETA_LOCIDX(45687,45511,,\"SPX\")":1.7239679,"TSM-US^P_BETA_LOCIDX(45686,45510,,\"SPX\")":1.7490376,"TSM-US^P_BETA_LOCIDX(45685,45509,,\"SPX\")":1.6247755,"TSM-US^P_BETA_LOCIDX(45684,45506,,\"SPX\")":1.6407535,"TSM-US^P_BETA_LOCIDX(45681,45505,,\"SPX\")":1.5015736,"TSM-US^P_BETA_LOCIDX(45680,45504,,\"SPX\")":1.56918,"TSM-US^P_BETA_LOCIDX(45679,45503,,\"SPX\")":1.5876873,"TSM-US^P_BETA_LOCIDX(45678,45502,,\"SPX\")":1.5829144,"TSM-US^P_BETA_LOCIDX(45674,45499,,\"SPX\")":1.5592107,"TSM-US^P_BETA_LOCIDX(45673,45498,,\"SPX\")":1.583304,"TSM-US^P_BETA_LOCIDX(45672,45497,,\"SPX\")":1.6483192,"TSM-US^P_BETA_LOCIDX(45671,45496,,\"SPX\")":1.6556115,"TSM-US^P_BETA_LOCIDX(45670,45495,,\"SPX\")":1.6584423,"TSM-US^P_BETA_LOCIDX(45667,45492,,\"SPX\")":1.6807994,"TSM-US^P_BETA_LOCIDX(45665,45491,,\"SPX\")":1.7162052,"TSM-US^P_BETA_LOCIDX(45664,45490,,\"SPX\")":1.7980248,"TSM-US^P_BETA_LOCIDX(45663,45489,,\"SPX\")":1.7709292,"TSM-US^P_BETA_LOCIDX(45660,45488,,\"SPX\")":1.745303,"TSM-US^P_BETA_LOCIDX(45659,45485,,\"SPX\")":1.732939,"TSM-US^P_BETA_LOCIDX(45657,45484,,\"SPX\")":1.7567465,"TSM-US^P_BETA_LOCIDX(45656,45483,,\"SPX\")":1.7701137,"TSM-US^P_BETA_LOCIDX(45653,45482,,\"SPX\")":1.7841381,"TSM-US^P_BETA_LOCIDX(45652,45481,,\"SPX\")":1.7996111,"TSM-US^P_BETA_LOCIDX(45650,45478,,\"SPX\")":1.7971481,"TSM-US^P_BETA_LOCIDX(45649,45476,,\"SPX\")":1.8361591,"TSM-US^P_BETA_LOCIDX(45646,45475,,\"SPX\")":1.8153503,"TSM-US^P_BETA_LOCIDX(45645,45474,,\"SPX\")":1.8195754,"TSM-US^P_BETA_LOCIDX(45644,45471,,\"SPX\")":1.8095094,"TSM-US^P_BETA_LOCIDX(45643,45470,,\"SPX\")":1.9038422,"TSM-US^P_BETA_LOCIDX(45642,45469,,\"SPX\")":1.9031862,"TSM-US^P_BETA_LOCIDX(45639,45468,,\"SPX\")":1.9107519,"TSM-US^P_BETA_LOCIDX(45638,45467,,\"SPX\")":1.929008,"TSM-US^P_BETA_LOCIDX(45637,45464,,\"SPX\")":1.926589,"TSM-US^P_BETA_LOCIDX(45636,45463,,\"SPX\")":1.9347947,"TSM-US^P_BETA_LOCIDX(45635,45461,,\"SPX\")":1.9235622,"TSM-US^P_BETA_LOCIDX(45632,45460,,\"SPX\")":1.9279426,"TSM-US^P_BETA_LOCIDX(45631,45457,,\"SPX\")":1.9300619,"TSM-US^P_BETA_LOCIDX(45630,45456,,\"SPX\")":1.9364018,"TSM-US^P_BETA_LOCIDX(45629,45455,,\"SPX\")":1.9613376,"TSM-US^P_BETA_LOCIDX(45628,45454,,\"SPX\")":1.9590415,"TSM-US^P_BETA_LOCIDX(45625,45453,,\"SPX\")":1.9544857,"TSM-US^P_BETA_LOCIDX(45623,45450,,\"SPX\")":1.945711,"TSM-US^P_BETA_LOCIDX(45622,45449,,\"SPX\")":1.9427798,"TSM-US^P_BETA_LOCIDX(45621,45448,,\"SPX\")":2.0079849,"TSM-US^P_BETA_LOCIDX(45618,45447,,\"SPX\")":2.0141943,"TSM-US^P_BETA_LOCIDX(45617,45446,,\"SPX\")":2.0180223,"TSM-US^P_BETA_LOCIDX(45616,45443,,\"SPX\")":1.9931728,"TSM-US^P_BETA_LOCIDX(45615,45442,,\"SPX\")":1.990103,"TSM-US^P_BETA_LOCIDX(45614,45441,,\"SPX\")":2.0047092,"TSM-US^P_BETA_LOCIDX(45611,45440,,\"SPX\")":2.0049484,"TSM-US^P_BETA_LOCIDX(45610,45436,,\"SPX\")":2.0296905,"TSM-US^P_BETA_LOCIDX(45609,45435,,\"SPX\")":2.0274045,"TSM-US^P_BETA_LOCIDX(45608,45434,,\"SPX\")":2.015885,"TSM-US^P_BETA_LOCIDX(45607,45433,,\"SPX\")":2.0124319,"TSM-US^P_BETA_LOCIDX(45604,45432,,\"SPX\")":2.0119255,"TSM-US^P_BETA_LOCIDX(45603,45429,,\"SPX\")":2.014329,"TSM-US^P_BETA_LOCIDX(45602,45428,,\"SPX\")":2.0016115,"TSM-US^P_BETA_LOCIDX(45601,45427,,\"SPX\")":2.1895585,"TSM-US^P_BETA_LOCIDX(45600,45426,,\"SPX\")":2.210516,"TSM-US^P_BETA_LOCIDX(45597,45425,,\"SPX\")":2.2121594,"TSM-US^P_BETA_LOCIDX(45596,45422,,\"SPX\")":2.2153568,"TSM-US^P_BETA_LOCIDX(45595,45421,,\"SPX\")":2.2558148,"TSM-US^P_BETA_LOCIDX(45594,45420,,\"SPX\")":2.2504601,"TSM-US^P_BETA_LOCIDX(45593,45419,,\"SPX\")":2.2491987,"TSM-US^P_BETA_LOCIDX(45590,45418,,\"SPX\")":2.2416523,"TSM-US^P_BETA_LOCIDX(45589,45415,,\"SPX\")":2.2608714,"TSM-US^P_BETA_LOCIDX(45588,45414,,\"SPX\")":2.2515323,"TSM-US^P_BETA_LOCIDX(45587,45413,,\"SPX\")":2.29942,"TSM-US^P_BETA_LOCIDX(45586,45412,,\"SPX\")":2.240492,"TSM-US^P_BETA_LOCIDX(45583,45411,,\"SPX\")":2.2421768,"TSM-US^P_BETA_LOCIDX(45582,45408,,\"SPX\")":2.2414727,"TSM-US^P_BETA_LOCIDX(45581,45407,,\"SPX\")":2.2323241,"TSM-US^P_BETA_LOCIDX(45580,45406,,\"SPX\")":2.2366362,"TSM-US^P_BETA_LOCIDX(45579,45405,,\"SPX\")":2.2274177,"TSM-US^P_BETA_LOCIDX(45576,45404,,\"SPX\")":2.2317991,"TSM-US^P_BETA_LOCIDX(45575,45401,,\"SPX\")":2.2428782,"TSM-US^P_BETA_LOCIDX(45574,45400,,\"SPX\")":2.259467,"TSM-US^P_BETA_LOCIDX(45573,45399,,\"SPX\")":2.260669,"TSM-US^P_BETA_LOCIDX(45572,45398,,\"SPX\")":2.2740998,"TSM-US^P_BETA_LOCIDX(45569,45397,,\"SPX\")":2.308047,"TSM-US^P_BETA_LOCIDX(45568,45394,,\"SPX\")":2.3157182,"TSM-US^P_BETA_LOCIDX(45567,45393,,\"SPX\")":2.3148785,"TSM-US^P_BETA_LOCIDX(45566,45392,,\"SPX\")":2.2843084,"TSM-US^P_BETA_LOCIDX(45565,45391,,\"SPX\")":2.2995076,"TSM-US^P_BETA_LOCIDX(45562,45390,,\"SPX\")":2.3111637,"TSM-US^P_BETA_LOCIDX(45561,45387,,\"SPX\")":2.2840548,"TSM-US^P_BETA_LOCIDX(45560,45386,,\"SPX\")":2.262476,"TSM-US^P_BETA_LOCIDX(45559,45385,,\"SPX\")":2.2644722,"TSM-US^P_BETA_LOCIDX(45558,45384,,\"SPX\")":2.2516356,"TSM-US^P_BETA_LOCIDX(45555,45383,,\"SPX\")":2.23895,"TSM-US^P_BETA_LOCIDX(45554,45379,,\"SPX\")":2.236065,"TSM-US^P_BETA_LOCIDX(45553,45378,,\"SPX\")":2.176773,"TSM-US^P_BETA_LOCIDX(45552,45377,,\"SPX\")":2.180654,"TSM-US^P_BETA_LOCIDX(45551,45376,,\"SPX\")":2.1784492,"TSM-US^P_BETA_LOCIDX(45548,45373,,\"SPX\")":2.1777194,"TSM-US^P_BETA_LOCIDX(45547,45372,,\"SPX\")":2.184708,"TSM-US^P_BETA_LOCIDX(45546,45371,,\"SPX\")":2.1866555,"TSM-US^P_BETA_LOCIDX(45545,45370,,\"SPX\")":2.1440766,"TSM-US^P_BETA_LOCIDX(45544,45369,,\"SPX\")":2.1386998,"TSM-US^P_BETA_LOCIDX(45541,45366,,\"SPX\")":2.1267986,"TSM-US^P_BETA_LOCIDX(45540,45365,,\"SPX\")":2.1196642,"TSM-US^P_BETA_LOCIDX(45539,45364,,\"SPX\")":2.1333067,"TSM-US^P_BETA_LOCIDX(45538,45363,,\"SPX\")":2.1531842,"TSM-US^P_BETA_LOCIDX(45534,45362,,\"SPX\")":2.1106133,"TSM-US^P_BETA_LOCIDX(45533,45359,,\"SPX\")":2.122343,"TSM-US^P_BETA_LOCIDX(45532,45358,,\"SPX\")":2.1601987,"TSM-US^P_BETA_LOCIDX(45531,45357,,\"SPX\")":2.1843026,"TSM-US^P_BETA_LOCIDX(45530,45356,,\"SPX\")":2.1863406,"TSM-US^P_BETA_LOCIDX(45527,45355,,\"SPX\")":2.1747844,"TSM-US^P_BETA_LOCIDX(45526,45352,,\"SPX\")":2.190385,"TSM-US^P_BETA_LOCIDX(45525,45351,,\"SPX\")":2.1765325,"TSM-US^P_BETA_LOCIDX(45524,45350,,\"SPX\")":2.1843698,"TSM-US^P_BETA_LOCIDX(45523,45349,,\"SPX\")":2.1765397,"TSM-US^P_BETA_LOCIDX(45520,45348,,\"SPX\")":2.186425,"TSM-US^P_BETA_LOCIDX(45519,45345,,\"SPX\")":2.1866837,"TSM-US^P_BETA_LOCIDX(45518,45344,,\"SPX\")":2.1671445,"TSM-US^P_BETA_LOCIDX(45517,45343,,\"SPX\")":2.1756501,"TSM-US^P_BETA_LOCIDX(45516,45342,,\"SPX\")":2.1951296,"TSM-US^P_BETA_LOCIDX(45513,45338,,\"SPX\")":2.2012715,"TSM-US^P_BETA_LOCIDX(45512,45337,,\"SPX\")":2.188567,"TSM-US^P_BETA_LOCIDX(45511,45336,,\"SPX\")":2.148722,"TSM-US^P_BETA_LOCIDX(45510,45335,,\"SPX\")":2.1517496,"TSM-US^P_BETA_LOCIDX(45509,45334,,\"SPX\")":2.1187847,"TSM-US^P_BETA_LOCIDX(45506,45331,,\"SPX\")":2.3355896,"TSM-US^P_BETA_LOCIDX(45505,45330,,\"SPX\")":2.3046675,"TSM-US^P_BETA_LOCIDX(45504,45329,,\"SPX\")":2.3016357,"TSM-US^P_BETA_LOCIDX(45503,45328,,\"SPX\")":2.2112012,"TSM-US^P_BETA_LOCIDX(45502,45327,,\"SPX\")":2.1655712,"TSM-US^P_BETA_LOCIDX(45499,45324,,\"SPX\")":2.1596017,"TSM-US^P_BETA_LOCIDX(45498,45323,,\"SPX\")":2.137737,"TSM-US^P_BETA_LOCIDX(45497,45322,,\"SPX\")":2.1323826,"TSM-US^P_BETA_LOCIDX(45496,45321,,\"SPX\")":2.088702,"TSM-US^P_BETA_LOCIDX(45495,45320,,\"SPX\")":2.0690107,"TSM-US^P_BETA_LOCIDX(45492,45317,,\"SPX\")":2.0703182,"TSM-US^P_BETA_LOCIDX(45491,45316,,\"SPX\")":2.0294538,"TSM-US^P_BETA_LOCIDX(45490,45315,,\"SPX\")":2.058432,"TSM-US^P_BETA_LOCIDX(45489,45314,,\"SPX\")":1.9084266,"TSM-US^P_BETA_LOCIDX(45488,45313,,\"SPX\")":1.9149517,"TSM-US^P_BETA_LOCIDX(45485,45310,,\"SPX\")":1.8894,"TSM-US^P_BETA_LOCIDX(45484,45309,,\"SPX\")":1.9957631,"TSM-US^P_BETA_LOCIDX(45483,45308,,\"SPX\")":1.9314052,"TSM-US^P_BETA_LOCIDX(45482,45307,,\"SPX\")":1.901603,"TSM-US^P_BETA_LOCIDX(45481,45303,,\"SPX\")":1.9004077,"TSM-US^P_BETA_LOCIDX(45478,45302,,\"SPX\")":1.8999397,"TSM-US^P_BETA_LOCIDX(45476,45301,,\"SPX\")":1.8837932,"TSM-US^P_BETA_LOCIDX(45475,45300,,\"SPX\")":1.8663268,"TSM-US^P_BETA_LOCIDX(45474,45299,,\"SPX\")":1.8556877,"TSM-US^P_BETA_LOCIDX(45471,45296,,\"SPX\")":1.8596543,"TSM-US^P_BETA_LOCIDX(45470,45295,,\"SPX\")":1.8828433,"TSM-US^P_BETA_LOCIDX(45469,45294,,\"SPX\")":1.8834958,"TSM-US^P_BETA_LOCIDX(45468,45293,,\"SPX\")":1.9029973,"TSM-US^P_BETA_LOCIDX(45467,45289,,\"SPX\")":1.8959811,"TSM-US^P_BETA_LOCIDX(45464,45288,,\"SPX\")":1.8724746,"TSM-US^P_BETA_LOCIDX(45463,45287,,\"SPX\")":1.8686383,"TSM-US^P_BETA_LOCIDX(45461,45286,,\"SPX\")":1.8553194,"TSM-US^P_BETA_LOCIDX(45460,45282,,\"SPX\")":1.8537807,"TSM-US^P_BETA_LOCIDX(45457,45281,,\"SPX\")":1.8470846,"TSM-US^P_BETA_LOCIDX(45456,45280,,\"SPX\")":1.879178,"TSM-US^P_BETA_LOCIDX(45455,45279,,\"SPX\")":1.8771938,"TSM-US^P_BETA_LOCIDX(45454,45278,,\"SPX\")":1.840613,"TSM-US^P_BETA_LOCIDX(45453,45275,,\"SPX\")":1.8488747,"TSM-US^P_BETA_LOCIDX(45450,45274,,\"SPX\")":1.8463513,"TSM-US^P_BETA_LOCIDX(45449,45273,,\"SPX\")":1.8053536,"TSM-US^P_BETA_LOCIDX(45448,45272,,\"SPX\")":1.8015631,"TSM-US^P_BETA_LOCIDX(45447,45271,,\"SPX\")":1.7180241,"TSM-US^P_BETA_LOCIDX(45446,45268,,\"SPX\")":1.7200425,"TSM-US^P_BETA_LOCIDX(45443,45267,,\"SPX\")":1.7195737,"TSM-US^P_BETA_LOCIDX(45442,45266,,\"SPX\")":1.737609,"TSM-US^P_BETA_LOCIDX(45441,45265,,\"SPX\")":1.7381917,"TSM-US^P_BETA_LOCIDX(45440,45264,,\"SPX\")":1.7166325,"TSM-US^P_BETA_LOCIDX(45436,45261,,\"SPX\")":1.7159649,"TSM-US^P_BETA_LOCIDX(45435,45260,,\"SPX\")":1.7009404,"TSM-US^P_BETA_LOCIDX(45434,45259,,\"SPX\")":1.7225176,"TSM-US^P_BETA_LOCIDX(45433,45258,,\"SPX\")":1.7355245,"TSM-US^P_BETA_LOCIDX(45432,45257,,\"SPX\")":1.7392888,"TSM-US^P_BETA_LOCIDX(45429,45254,,\"SPX\")":1.7411704,"TSM-US^P_BETA_LOCIDX(45428,45252,,\"SPX\")":1.738024,"TSM-US^P_BETA_LOCIDX(45427,45251,,\"SPX\")":1.7343997,"TSM-US^P_BETA_LOCIDX(45426,45250,,\"SPX\")":1.719394,"TSM-US^P_BETA_LOCIDX(45425,45247,,\"SPX\")":1.7017001,"TSM-US^P_BETA_LOCIDX(45422,45246,,\"SPX\")":1.6964821,"TSM-US^P_BETA_LOCIDX(45421,45245,,\"SPX\")":1.6932622,"TSM-US^P_BETA_LOCIDX(45420,45244,,\"SPX\")":1.680276,"TSM-US^P_BETA_LOCIDX(45419,45243,,\"SPX\")":1.6878047,"TSM-US^P_BETA_LOCIDX(45418,45240,,\"SPX\")":1.7702826,"TSM-US^P_BETA_LOCIDX(45415,45239,,\"SPX\")":1.7722179,"TSM-US^P_BETA_LOCIDX(45414,45238,,\"SPX\")":1.7436869,"TSM-US^P_BETA_LOCIDX(45413,45237,,\"SPX\")":1.7515374,"TSM-US^P_BETA_LOCIDX(45412,45236,,\"SPX\")":1.7420113,"TSM-US^P_BETA_LOCIDX(45411,45233,,\"SPX\")":1.7898495,"TSM-US^P_BETA_LOCIDX(45408,45232,,\"SPX\")":1.7786369,"TSM-US^P_BETA_LOCIDX(45407,45231,,\"SPX\")":1.7844229,"TSM-US^P_BETA_LOCIDX(45406,45230,,\"SPX\")":1.8116201,"TSM-US^P_BETA_LOCIDX(45405,45229,,\"SPX\")":1.7740713,"TSM-US^P_BETA_LOCIDX(45404,45226,,\"SPX\")":1.77266,"TSM-US^P_BETA_LOCIDX(45401,45225,,\"SPX\")":1.7339162,"TSM-US^P_BETA_LOCIDX(45400,45224,,\"SPX\")":1.7502409,"TSM-US^P_BETA_LOCIDX(45399,45223,,\"SPX\")":1.7168936,"TSM-US^P_BETA_LOCIDX(45398,45222,,\"SPX\")":1.7208487,"TSM-US^P_BETA_LOCIDX(45397,45219,,\"SPX\")":1.7137798,"TSM-US^P_BETA_LOCIDX(45394,45218,,\"SPX\")":1.6418331,"TSM-US^P_BETA_LOCIDX(45393,45217,,\"SPX\")":1.6063925,"TSM-US^P_BETA_LOCIDX(45392,45216,,\"SPX\")":1.614129,"TSM-US^P_BETA_LOCIDX(45391,45215,,\"SPX\")":1.6321532,"TSM-US^P_BETA_LOCIDX(45390,45212,,\"SPX\")":1.6472692,"TSM-US^P_BETA_LOCIDX(45387,45211,,\"SPX\")":1.6337504,"TSM-US^P_BETA_LOCIDX(45386,45210,,\"SPX\")":1.6481612,"TSM-US^P_BETA_LOCIDX(45385,45209,,\"SPX\")":1.658287,"TSM-US^P_BETA_LOCIDX(45384,45208,,\"SPX\")":1.6473547,"TSM-US^P_BETA_LOCIDX(45383,45205,,\"SPX\")":1.6580521,"TSM-US^P_BETA_LOCIDX(45379,45204,,\"SPX\")":1.6810846,"TSM-US^P_BETA_LOCIDX(45378,45203,,\"SPX\")":1.6803576,"TSM-US^P_BETA_LOCIDX(45377,45202,,\"SPX\")":1.7225853,"TSM-US^P_BETA_LOCIDX(45376,45201,,\"SPX\")":1.7164274,"TSM-US^P_BETA_LOCIDX(45373,45198,,\"SPX\")":1.7115661,"TSM-US^P_BETA_LOCIDX(45372,45197,,\"SPX\")":1.7157326,"TSM-US^P_BETA_LOCIDX(45371,45196,,\"SPX\")":1.7099302,"TSM-US^P_BETA_LOCIDX(45370,45195,,\"SPX\")":1.7098236,"TSM-US^P_BETA_LOCIDX(45369,45194,,\"SPX\")":1.7244372,"TSM-US^P_BETA_LOCIDX(45366,45191,,\"SPX\")":1.7323138,"TSM-US^P_BETA_LOCIDX(45365,45190,,\"SPX\")":1.7097806,"TSM-US^P_BETA_LOCIDX(45364,45189,,\"SPX\")":1.6945709,"TSM-US^P_BETA_LOCIDX(45363,45188,,\"SPX\")":1.6908144,"TSM-US^P_BETA_LOCIDX(45362,45187,,\"SPX\")":1.6655985,"TSM-US^P_BETA_LOCIDX(45359,45184,,\"SPX\")":1.6609484,"TSM-US^P_BETA_LOCIDX(45358,45183,,\"SPX\")":1.6356034,"TSM-US^P_BETA_LOCIDX(45357,45182,,\"SPX\")":1.5898598,"TSM-US^P_BETA_LOCIDX(45356,45181,,\"SPX\")":1.5510038,"TSM-US^P_BETA_LOCIDX(45355,45180,,\"SPX\")":1.5242813,"TSM-US^P_BETA_LOCIDX(45352,45177,,\"SPX\")":1.5353565,"TSM-US^P_BETA_LOCIDX(45351,45176,,\"SPX\")":1.5215105,"TSM-US^P_BETA_LOCIDX(45350,45175,,\"SPX\")":1.5387167,"TSM-US^P_BETA_LOCIDX(45349,45174,,\"SPX\")":1.5202773,"TSM-US^P_BETA_LOCIDX(45348,45170,,\"SPX\")":1.5213412,"TSM-US^P_BETA_LOCIDX(45345,45169,,\"SPX\")":1.5347795,"TSM-US^P_BETA_LOCIDX(45344,45168,,\"SPX\")":1.5308354,"TSM-US^P_BETA_LOCIDX(45343,45167,,\"SPX\")":1.5180213,"TSM-US^P_BETA_LOCIDX(45342,45166,,\"SPX\")":1.5174234,"TSM-US^P_BETA_LOCIDX(45338,45163,,\"SPX\")":1.5103008,"TSM-US^P_BETA_LOCIDX(45337,45162,,\"SPX\")":1.4972941,"TSM-US^P_BETA_LOCIDX(45336,45161,,\"SPX\")":1.5106146,"TSM-US^P_BETA_LOCIDX(45335,45160,,\"SPX\")":1.5137563,"TSM-US^P_BETA_LOCIDX(45334,45159,,\"SPX\")":1.51097,"TSM-US^P_BETA_LOCIDX(45331,45156,,\"SPX\")":1.5060562,"TSM-US^P_BETA_LOCIDX(45330,45155,,\"SPX\")":1.5050634,"TSM-US^P_BETA_LOCIDX(45329,45154,,\"SPX\")":1.4958544,"TSM-US^P_BETA_LOCIDX(45328,45153,,\"SPX\")":1.4582633,"TSM-US^P_BETA_LOCIDX(45327,45152,,\"SPX\")":1.4598,"TSM-US^P_BETA_LOCIDX(45324,45149,,\"SPX\")":1.4855422,"TSM-US^P_BETA_LOCIDX(45323,45148,,\"SPX\")":1.4784796,"TSM-US^P_BETA_LOCIDX(45322,45147,,\"SPX\")":1.4999541,"TSM-US^P_BETA_LOCIDX(45321,45146,,\"SPX\")":1.5020137,"TSM-US^P_BETA_LOCIDX(45320,45145,,\"SPX\")":1.4852308,"TSM-US^P_BETA_LOCIDX(45317,45142,,\"SPX\")":1.4819226,"TSM-US^P_BETA_LOCIDX(45316,45141,,\"SPX\")":1.4854401,"TSM-US^P_BETA_LOCIDX(45315,45140,,\"SPX\")":1.5073737,"TSM-US^P_BETA_LOCIDX(45314,45139,,\"SPX\")":1.5085363,"TSM-US^P_BETA_LOCIDX(45313,45138,,\"SPX\")":1.5040017,"TSM-US^P_BETA_LOCIDX(45310,45135,,\"SPX\")":1.5073043,"TSM-US^P_BETA_LOCIDX(45309,45134,,\"SPX\")":1.5138519,"TSM-US^P_BETA_LOCIDX(45308,45133,,\"SPX\")":1.4082593,"TSM-US^P_BETA_LOCIDX(45307,45132,,\"SPX\")":1.4331383,"TSM-US^P_BETA_LOCIDX(45303,45131,,\"SPX\")":1.4418018,"TSM-US^P_BETA_LOCIDX(45302,45128,,\"SPX\")":1.4419656,"TSM-US^P_BETA_LOCIDX(45301,45127,,\"SPX\")":1.4860435,"TSM-US^P_BETA_LOCIDX(45300,45126,,\"SPX\")":1.499518,"TSM-US^P_BETA_LOCIDX(45299,45125,,\"SPX\")":1.4738172,"TSM-US^P_BETA_LOCIDX(45296,45124,,\"SPX\")":1.4561114,"TSM-US^P_BETA_LOCIDX(45295,45121,,\"SPX\")":1.4557853,"TSM-US^P_BETA_LOCIDX(45294,45120,,\"SPX\")":1.4587913,"TSM-US^P_BETA_LOCIDX(45293,45119,,\"SPX\")":1.4743692,"TSM-US^P_BETA_LOCIDX(45289,45118,,\"SPX\")":1.4654413,"TSM-US^P_BETA_LOCIDX(45288,45117,,\"SPX\")":1.4623995,"TSM-US^P_BETA_LOCIDX(45287,45114,,\"SPX\")":1.4553915,"TSM-US^P_BETA_LOCIDX(45286,45113,,\"SPX\")":1.4600524,"TSM-US^P_BETA_LOCIDX(45282,45112,,\"SPX\")":1.4629345,"TSM-US^P_BETA_LOCIDX(45281,45110,,\"SPX\")":1.464189,"TSM-US^P_BETA_LOCIDX(45280,45107,,\"SPX\")":1.4232514,"TSM-US^P_BETA_LOCIDX(45279,45106,,\"SPX\")":1.382067,"TSM-US^P_BETA_LOCIDX(45278,45105,,\"SPX\")":1.3823628,"TSM-US^P_BETA_LOCIDX(45275,45104,,\"SPX\")":1.3908759,"TSM-US^P_BETA_LOCIDX(45274,45103,,\"SPX\")":1.3983966,"TSM-US^P_BETA_LOCIDX(45273,45100,,\"SPX\")":1.3958027,"TSM-US^P_BETA_LOCIDX(45272,45099,,\"SPX\")":1.4274304,"TSM-US^P_BETA_LOCIDX(45271,45098,,\"SPX\")":1.4397315,"TSM-US^P_BETA_LOCIDX(45268,45097,,\"SPX\")":1.4375999,"TSM-US^P_BETA_LOCIDX(45267,45093,,\"SPX\")":1.4342289,"TSM-US^P_BETA_LOCIDX(45266,45092,,\"SPX\")":1.3623205,"TSM-US^P_BETA_LOCIDX(45265,45091,,\"SPX\")":1.3747643,"TSM-US^P_BETA_LOCIDX(45264,45090,,\"SPX\")":1.364056,"TSM-US^P_BETA_LOCIDX(45261,45089,,\"SPX\")":1.3972836,"TSM-US^P_BETA_LOCIDX(45260,45086,,\"SPX\")":1.3953884,"TSM-US^P_BETA_LOCIDX(45259,45085,,\"SPX\")":1.3956876,"TSM-US^P_BETA_LOCIDX(45258,45084,,\"SPX\")":1.3911531,"TSM-US^P_BETA_LOCIDX(45257,45083,,\"SPX\")":1.3948909,"TSM-US^P_BETA_LOCIDX(45254,45082,,\"SPX\")":1.3959026,"TSM-US^P_BETA_LOCIDX(45252,45079,,\"SPX\")":1.3582878,"TSM-US^P_BETA_LOCIDX(45251,45078,,\"SPX\")":1.3461109,"TSM-US^P_BETA_LOCIDX(45250,45077,,\"SPX\")":1.3650241,"TSM-US^P_BETA_LOCIDX(45247,45076,,\"SPX\")":1.3711835,"TSM-US^P_BETA_LOCIDX(45246,45072,,\"SPX\")":1.3799634,"TSM-US^P_BETA_LOCIDX(45245,45071,,\"SPX\")":1.5019811,"TSM-US^P_BETA_LOCIDX(45244,45070,,\"SPX\")":1.4937488,"TSM-US^P_BETA_LOCIDX(45243,45069,,\"SPX\")":1.4957024,"TSM-US^P_BETA_LOCIDX(45240,45068,,\"SPX\")":1.4944202,"TSM-US^P_BETA_LOCIDX(45239,45065,,\"SPX\")":1.4031316,"TSM-US^P_BETA_LOCIDX(45238,45064,,\"SPX\")":1.4213779,"TSM-US^P_BETA_LOCIDX(45237,45063,,\"SPX\")":1.4901167,"TSM-US^P_BETA_LOCIDX(45236,45062,,\"SPX\")":1.4803314,"TSM-US^P_BETA_LOCIDX(45233,45061,,\"SPX\")":1.4871137,"TSM-US^P_BETA_LOCIDX(45232,45058,,\"SPX\")":1.4861951,"TSM-US^P_BETA_LOCIDX(45231,45057,,\"SPX\")":1.4843127,"TSM-US^P_BETA_LOCIDX(45230,45056,,\"SPX\")":1.4760739,"TSM-US^P_BETA_LOCIDX(45229,45055,,\"SPX\")":1.4819416,"TSM-US^P_BETA_LOCIDX(45226,45054,,\"SPX\")":1.5150409,"TSM-US^P_BETA_LOCIDX(45225,45051,,\"SPX\")":1.4784402,"TSM-US^P_BETA_LOCIDX(45224,45050,,\"SPX\")":1.4834774,"TSM-US^P_BETA_LOCIDX(45223,45049,,\"SPX\")":1.4233408,"TSM-US^P_BETA_LOCIDX(45222,45048,,\"SPX\")":1.422247,"TSM-US^P_BETA_LOCIDX(45219,45047,,\"SPX\")":1.4224297,"TSM-US^P_BETA_LOCIDX(45218,45044,,\"SPX\")":1.4163873,"TSM-US^P_BETA_LOCIDX(45217,45043,,\"SPX\")":1.4503864,"TSM-US^P_BETA_LOCIDX(45216,45042,,\"SPX\")":1.4555076,"TSM-US^P_BETA_LOCIDX(45215,45041,,\"SPX\")":1.4670916,"TSM-US^P_BETA_LOCIDX(45212,45040,,\"SPX\")":1.4775484,"TSM-US^P_BETA_LOCIDX(45211,45037,,\"SPX\")":1.4629706,"TSM-US^P_BETA_LOCIDX(45210,45036,,\"SPX\")":1.4454716,"TSM-US^P_BETA_LOCIDX(45209,45035,,\"SPX\")":1.4408585,"TSM-US^P_BETA_LOCIDX(45208,45034,,\"SPX\")":1.4328914,"TSM-US^P_BETA_LOCIDX(45205,45033,,\"SPX\")":1.4460051,"TSM-US^P_BETA_LOCIDX(45204,45030,,\"SPX\")":1.4279387,"TSM-US^P_BETA_LOCIDX(45203,45029,,\"SPX\")":1.396699,"TSM-US^P_BETA_LOCIDX(45202,45028,,\"SPX\")":1.4059566,"TSM-US^P_BETA_LOCIDX(45201,45027,,\"SPX\")":1.3930541,"TSM-US^P_BETA_LOCIDX(45198,45026,,\"SPX\")":1.3920991,"TSM-US^P_BETA_LOCIDX(45197,45022,,\"SPX\")":1.3952041,"TSM-US^P_BETA_LOCIDX(45196,45021,,\"SPX\")":1.3995485,"TSM-US^P_BETA_LOCIDX(45195,45020,,\"SPX\")":1.3979658,"TSM-US^P_BETA_LOCIDX(45194,45019,,\"SPX\")":1.3924034,"TSM-US^P_BETA_LOCIDX(45191,45016,,\"SPX\")":1.3622837,"TSM-US^P_BETA_LOCIDX(45190,45015,,\"SPX\")":1.3579863,"TSM-US^P_BETA_LOCIDX(45189,45014,,\"SPX\")":1.3696936,"TSM-US^P_BETA_LOCIDX(45188,45013,,\"SPX\")":1.3747281,"TSM-US^P_BETA_LOCIDX(45187,45012,,\"SPX\")":1.370487,"TSM-US^P_BETA_LOCIDX(45184,45009,,\"SPX\")":1.3512073,"TSM-US^P_BETA_LOCIDX(45183,45008,,\"SPX\")":1.3432595,"TSM-US^P_BETA_LOCIDX(45182,45007,,\"SPX\")":1.2821649,"TSM-US^P_BETA_LOCIDX(45181,45006,,\"SPX\")":1.3041308,"TSM-US^P_BETA_LOCIDX(45180,45005,,\"SPX\")":1.3188318,"TSM-US^P_BETA_LOCIDX(45177,45002,,\"SPX\")":1.2929336,"TSM-US^P_BETA_LOCIDX(45176,45001,,\"SPX\")":1.3135068,"TSM-US^P_BETA_LOCIDX(45175,45000,,\"SPX\")":1.3240291,"TSM-US^P_BETA_LOCIDX(45174,44999,,\"SPX\")":1.2999234,"TSM-US^P_BETA_LOCIDX(45170,44998,,\"SPX\")":1.3135333,"TSM-US^P_BETA_LOCIDX(45169,44995,,\"SPX\")":1.3103359,"TSM-US^P_BETA_LOCIDX(45168,44994,,\"SPX\")":1.2974954,"TSM-US^P_BETA_LOCIDX(45167,44993,,\"SPX\")":1.3012971,"TSM-US^P_BETA_LOCIDX(45166,44992,,\"SPX\")":1.2874203,"TSM-US^P_BETA_LOCIDX(45163,44991,,\"SPX\")":1.2859743,"TSM-US^P_BETA_LOCIDX(45162,44988,,\"SPX\")":1.2643635,"TSM-US^P_BETA_LOCIDX(45161,44987,,\"SPX\")":1.2617167,"TSM-US^P_BETA_LOCIDX(45160,44986,,\"SPX\")":1.2346607,"TSM-US^P_BETA_LOCIDX(45159,44985,,\"SPX\")":1.2340617,"TSM-US^P_BETA_LOCIDX(45156,44984,,\"SPX\")":1.223948,"TSM-US^P_BETA_LOCIDX(45155,44981,,\"SPX\")":1.2357503,"TSM-US^P_BETA_LOCIDX(45154,44980,,\"SPX\")":1.2638829,"TSM-US^P_BETA_LOCIDX(45153,44979,,\"SPX\")":1.2784847,"TSM-US^P_BETA_LOCIDX(45152,44978,,\"SPX\")":1.2820784,"TSM-US^P_BETA_LOCIDX(45149,44974,,\"SPX\")":1.2806238,"TSM-US^P_BETA_LOCIDX(45148,44973,,\"SPX\")":1.2793845,"TSM-US^P_BETA_LOCIDX(45147,44972,,\"SPX\")":1.2651453,"TSM-US^P_BETA_LOCIDX(45146,44971,,\"SPX\")":1.2669135,"TSM-US^P_BETA_LOCIDX(45145,44970,,\"SPX\")":1.2509103,"TSM-US^P_BETA_LOCIDX(45142,44967,,\"SPX\")":1.2569656,"TSM-US^P_BETA_LOCIDX(45141,44966,,\"SPX\")":1.2272846,"TSM-US^P_BETA_LOCIDX(45140,44965,,\"SPX\")":1.2093763,"TSM-US^P_BETA_LOCIDX(45139,44964,,\"SPX\")":1.2123508,"TSM-US^P_BETA_LOCIDX(45138,44963,,\"SPX\")":1.2296923,"TSM-US^P_BETA_LOCIDX(45135,44960,,\"SPX\")":1.2411019,"TSM-US^P_BETA_LOCIDX(45134,44959,,\"SPX\")":1.2413381,"TSM-US^P_BETA_LOCIDX(45133,44958,,\"SPX\")":1.258446,"TSM-US^P_BETA_LOCIDX(45132,44957,,\"SPX\")":1.2221279,"TSM-US^P_BETA_LOCIDX(45131,44956,,\"SPX\")":1.195314,"TSM-US^P_BETA_LOCIDX(45128,44953,,\"SPX\")":1.1925075,"TSM-US^P_BETA_LOCIDX(45127,44952,,\"SPX\")":1.1905777,"TSM-US^P_BETA_LOCIDX(45126,44951,,\"SPX\")":1.1565367,"TSM-US^P_BETA_LOCIDX(45125,44950,,\"SPX\")":1.1590953,"TSM-US^P_BETA_LOCIDX(45124,44949,,\"SPX\")":1.2202356,"TSM-US^P_BETA_LOCIDX(45121,44946,,\"SPX\")":1.235248,"TSM-US^P_BETA_LOCIDX(45120,44945,,\"SPX\")":1.2370733,"TSM-US^P_BETA_LOCIDX(45119,44944,,\"SPX\")":1.1901779,"TSM-US^P_BETA_LOCIDX(45118,44943,,\"SPX\")":1.1701294,"TSM-US^P_BETA_LOCIDX(45117,44939,,\"SPX\")":1.1635942,"TSM-US^P_BETA_LOCIDX(45114,44938,,\"SPX\")":1.1807284,"TSM-US^P_BETA_LOCIDX(45113,44937,,\"SPX\")":1.1730324,"TSM-US^P_BETA_LOCIDX(45112,44936,,\"SPX\")":1.1681939,"TSM-US^P_BETA_LOCIDX(45110,44935,,\"SPX\")":1.1560457,"TSM-US^P_BETA_LOCIDX(45107,44932,,\"SPX\")":1.1634094,"TSM-US^P_BETA_LOCIDX(45106,44931,,\"SPX\")":1.1712914,"TSM-US^P_BETA_LOCIDX(45105,44930,,\"SPX\")":1.1875541,"TSM-US^P_BETA_LOCIDX(45104,44929,,\"SPX\")":1.1871897,"TSM-US^P_BETA_LOCIDX(45103,44925,,\"SPX\")":1.1889452,"TSM-US^P_BETA_LOCIDX(45100,44924,,\"SPX\")":1.2102101,"TSM-US^P_BETA_LOCIDX(45099,44923,,\"SPX\")":1.2117507,"TSM-US^P_BETA_LOCIDX(45098,44922,,\"SPX\")":1.2116929,"TSM-US^P_BETA_LOCIDX(45097,44918,,\"SPX\")":1.194528,"TSM-US^P_BETA_LOCIDX(45093,44917,,\"SPX\")":1.2060187,"TSM-US^P_BETA_LOCIDX(45092,44916,,\"SPX\")":1.20566,"TSM-US^P_BETA_LOCIDX(45091,44915,,\"SPX\")":1.2441304,"TSM-US^P_BETA_LOCIDX(45090,44914,,\"SPX\")":1.2376639,"TSM-US^P_BETA_LOCIDX(45089,44911,,\"SPX\")":1.2500513,"TSM-US^P_BETA_LOCIDX(45086,44910,,\"SPX\")":1.2303119,"TSM-US^P_BETA_LOCIDX(45085,44909,,\"SPX\")":1.2291576,"TSM-US^P_BETA_LOCIDX(45084,44908,,\"SPX\")":1.2297933,"TSM-US^P_BETA_LOCIDX(45083,44907,,\"SPX\")":1.2072195,"TSM-US^P_BETA_LOCIDX(45082,44904,,\"SPX\")":1.2007855,"TSM-US^P_BETA_LOCIDX(45079,44903,,\"SPX\")":1.2045478,"TSM-US^P_BETA_LOCIDX(45078,44902,,\"SPX\")":1.226507,"TSM-US^P_BETA_LOCIDX(45077,44901,,\"SPX\")":1.2465234,"TSM-US^P_BETA_LOCIDX(45076,44900,,\"SPX\")":1.1978439,"TSM-US^P_BETA_LOCIDX(45072,44897,,\"SPX\")":1.1993396,"TSM-US^P_BETA_LOCIDX(45071,44896,,\"SPX\")":1.1942497,"TSM-US^P_BETA_LOCIDX(45070,44895,,\"SPX\")":1.1407301,"TSM-US^P_BETA_LOCIDX(45069,44894,,\"SPX\")":1.1428635,"TSM-US^P_BETA_LOCIDX(45068,44893,,\"SPX\")":1.1534544,"TSM-US^P_BETA_LOCIDX(45065,44890,,\"SPX\")":1.1536568,"TSM-US^P_BETA_LOCIDX(45064,44888,,\"SPX\")":1.1474667,"TSM-US^P_BETA_LOCIDX(45063,44887,,\"SPX\")":1.1586351,"TSM-US^P_BETA_LOCIDX(45062,44886,,\"SPX\")":1.1271966,"TSM-US^P_BETA_LOCIDX(45061,44883,,\"SPX\")":1.1337664,"TSM-US^P_BETA_LOCIDX(45058,44882,,\"SPX\")":1.1211475,"TSM-US^P_BETA_LOCIDX(45057,44881,,\"SPX\")":1.1237134,"TSM-US^P_BETA_LOCIDX(45056,44880,,\"SPX\")":1.1826437,"TSM-US^P_BETA_LOCIDX(45055,44879,,\"SPX\")":1.1884301,"TSM-US^P_BETA_LOCIDX(45054,44876,,\"SPX\")":1.2084751,"TSM-US^P_BETA_LOCIDX(45051,44875,,\"SPX\")":1.2822471,"TSM-US^P_BETA_LOCIDX(45050,44874,,\"SPX\")":1.2573444,"TSM-US^P_BETA_LOCIDX(45049,44873,,\"SPX\")":1.2740518,"TSM-US^P_BETA_LOCIDX(45048,44872,,\"SPX\")":1.2708297,"TSM-US^P_BETA_LOCIDX(45047,44869,,\"SPX\")":1.2853523,"TSM-US^P_BETA_LOCIDX(45044,44868,,\"SPX\")":1.2793423,"TSM-US^P_BETA_LOCIDX(45043,44867,,\"SPX\")":1.2618608,"TSM-US^P_BETA_LOCIDX(45042,44866,,\"SPX\")":1.2717607,"TSM-US^P_BETA_LOCIDX(45041,44865,,\"SPX\")":1.2723714,"TSM-US^P_BETA_LOCIDX(45040,44862,,\"SPX\")":1.2401311,"TSM-US^P_BETA_LOCIDX(45037,44861,,\"SPX\")":1.2373117,"TSM-US^P_BETA_LOCIDX(45036,44860,,\"SPX\")":1.2371179,"TSM-US^P_BETA_LOCIDX(45035,44859,,\"SPX\")":1.2256223,"TSM-US^P_BETA_LOCIDX(45034,44858,,\"SPX\")":1.1898082,"TSM-US^P_BETA_LOCIDX(45033,44855,,\"SPX\")":1.1549628,"TSM-US^P_BETA_LOCIDX(45030,44854,,\"SPX\")":1.151382,"TSM-US^P_BETA_LOCIDX(45029,44853,,\"SPX\")":1.1495788,"TSM-US^P_BETA_LOCIDX(45028,44852,,\"SPX\")":1.1404884,"TSM-US^P_BETA_LOCIDX(45027,44851,,\"SPX\")":1.1110315,"TSM-US^P_BETA_LOCIDX(45026,44848,,\"SPX\")":1.131628,"TSM-US^P_BETA_LOCIDX(45022,44847,,\"SPX\")":1.1417706,"TSM-US^P_BETA_LOCIDX(45021,44846,,\"SPX\")":1.1396224,"TSM-US^P_BETA_LOCIDX(45020,44845,,\"SPX\")":1.1565952,"TSM-US^P_BETA_LOCIDX(45019,44844,,\"SPX\")":1.1671666,"TSM-US^P_BETA_LOCIDX(45016,44841,,\"SPX\")":1.210884,"TSM-US^P_BETA_LOCIDX(45015,44840,,\"SPX\")":1.2143309,"TSM-US^P_BETA_LOCIDX(45014,44839,,\"SPX\")":1.2141246,"TSM-US^P_BETA_LOCIDX(45013,44838,,\"SPX\")":1.2302526,"TSM-US^P_BETA_LOCIDX(45012,44837,,\"SPX\")":1.2037653,"TSM-US^P_BETA_LOCIDX(45009,44834,,\"SPX\")":1.2002919,"TSM-US^P_BETA_LOCIDX(45008,44833,,\"SPX\")":1.2217444,"TSM-US^P_BETA_LOCIDX(45007,44832,,\"SPX\")":1.1886755,"TSM-US^P_BETA_LOCIDX(45006,44831,,\"SPX\")":1.2033254,"TSM-US^P_BETA_LOCIDX(45005,44830,,\"SPX\")":1.1978803,"TSM-US^P_BETA_LOCIDX(45002,44827,,\"SPX\")":1.2028608,"TSM-US^P_BETA_LOCIDX(45001,44826,,\"SPX\")":1.2140087,"TSM-US^P_BETA_LOCIDX(45000,44825,,\"SPX\")":1.2029735,"TSM-US^P_BETA_LOCIDX(44999,44824,,\"SPX\")":1.1905274,"TSM-US^P_BETA_LOCIDX(44998,44823,,\"SPX\")":1.191334,"TSM-US^P_BETA_LOCIDX(44995,44820,,\"SPX\")":1.1898006,"TSM-US^P_BETA_LOCIDX(44994,44819,,\"SPX\")":1.1927309,"TSM-US^P_BETA_LOCIDX(44993,44818,,\"SPX\")":1.1929814,"TSM-US^P_BETA_LOCIDX(44992,44817,,\"SPX\")":1.1745055,"TSM-US^P_BETA_LOCIDX(44991,44816,,\"SPX\")":1.1774418,"TSM-US^P_BETA_LOCIDX(44988,44813,,\"SPX\")":1.175703,"TSM-US^P_BETA_LOCIDX(44987,44812,,\"SPX\")":1.1819528,"TSM-US^P_BETA_LOCIDX(44986,44811,,\"SPX\")":1.1652137,"TSM-US^P_BETA_LOCIDX(44985,44810,,\"SPX\")":1.1704843,"TSM-US^P_BETA_LOCIDX(44984,44806,,\"SPX\")":1.1692716,"TSM-US^P_BETA_LOCIDX(44981,44805,,\"SPX\")":1.1680001,"TSM-US^P_BETA_LOCIDX(44980,44804,,\"SPX\")":1.1585605,"TSM-US^P_BETA_LOCIDX(44979,44803,,\"SPX\")":1.1469351,"TSM-US^P_BETA_LOCIDX(44978,44802,,\"SPX\")":1.1505717,"TSM-US^P_BETA_LOCIDX(44974,44799,,\"SPX\")":1.139031,"TSM-US^P_BETA_LOCIDX(44973,44798,,\"SPX\")":1.142148,"TSM-US^P_BETA_LOCIDX(44972,44797,,\"SPX\")":1.1378009,"TSM-US^P_BETA_LOCIDX(44971,44796,,\"SPX\")":1.1428034,"TSM-US^P_BETA_LOCIDX(44970,44795,,\"SPX\")":1.1424307,"TSM-US^P_BETA_LOCIDX(44967,44792,,\"SPX\")":1.1501226,"TSM-US^P_BETA_LOCIDX(44966,44791,,\"SPX\")":1.151488,"TSM-US^P_BETA_LOCIDX(44965,44790,,\"SPX\")":1.1632862,"TSM-US^P_BETA_LOCIDX(44964,44789,,\"SPX\")":1.1654768,"TSM-US^P_BETA_LOCIDX(44963,44788,,\"SPX\")":1.1587603,"TSM-US^P_BETA_LOCIDX(44960,44785,,\"SPX\")":1.1493195,"TSM-US^P_BETA_LOCIDX(44959,44784,,\"SPX\")":1.1451893,"TSM-US^P_BETA_LOCIDX(44958,44783,,\"SPX\")":1.1563383,"TSM-US^P_BETA_LOCIDX(44957,44782,,\"SPX\")":1.1573397,"TSM-US^P_BETA_LOCIDX(44956,44781,,\"SPX\")":1.1709037,"TSM-US^P_BETA_LOCIDX(44953,44778,,\"SPX\")":1.1762704,"TSM-US^P_BETA_LOCIDX(44952,44777,,\"SPX\")":1.1762131,"TSM-US^P_BETA_LOCIDX(44951,44776,,\"SPX\")":1.168744,"TSM-US^P_BETA_LOCIDX(44950,44775,,\"SPX\")":1.1676941,"TSM-US^P_BETA_LOCIDX(44949,44774,,\"SPX\")":1.1697876,"TSM-US^P_BETA_LOCIDX(44946,44771,,\"SPX\")":1.1423509,"TSM-US^P_BETA_LOCIDX(44945,44770,,\"SPX\")":1.1351316,"TSM-US^P_BETA_LOCIDX(44944,44769,,\"SPX\")":1.1417484,"TSM-US^P_BETA_LOCIDX(44943,44768,,\"SPX\")":1.1595443,"TSM-US^P_BETA_LOCIDX(44939,44767,,\"SPX\")":1.1617712,"TSM-US^P_BETA_LOCIDX(44938,44764,,\"SPX\")":1.1650227,"TSM-US^P_BETA_LOCIDX(44937,44763,,\"SPX\")":1.1584663,"TSM-US^P_BETA_LOCIDX(44936,44762,,\"SPX\")":1.1621495,"TSM-US^P_BETA_LOCIDX(44935,44761,,\"SPX\")":1.1599904,"TSM-US^P_BETA_LOCIDX(44932,44760,,\"SPX\")":1.1654903,"TSM-US^P_BETA_LOCIDX(44931,44757,,\"SPX\")":1.162501,"TSM-US^P_BETA_LOCIDX(44930,44756,,\"SPX\")":1.1613494,"TSM-US^P_BETA_LOCIDX(44929,44755,,\"SPX\")":1.1492332,"TSM-US^P_BETA_LOCIDX(44925,44754,,\"SPX\")":1.1452274,"TSM-US^P_BETA_LOCIDX(44924,44753,,\"SPX\")":1.1505384,"TSM-US^P_BETA_LOCIDX(44923,44750,,\"SPX\")":1.1365801,"TSM-US^P_BETA_LOCIDX(44922,44749,,\"SPX\")":1.1637949,"TSM-US^P_BETA_LOCIDX(44918,44748,,\"SPX\")":1.1618297,"TSM-US^P_BETA_LOCIDX(44917,44747,,\"SPX\")":1.1637015,"TSM-US^P_BETA_LOCIDX(44916,44743,,\"SPX\")":1.1321708,"TSM-US^P_BETA_LOCIDX(44915,44742,,\"SPX\")":1.1342149,"TSM-US^P_BETA_LOCIDX(44914,44741,,\"SPX\")":1.1346694,"TSM-US^P_BETA_LOCIDX(44911,44740,,\"SPX\")":1.133069,"TSM-US^P_BETA_LOCIDX(44910,44739,,\"SPX\")":1.1311517,"TSM-US^P_BETA_LOCIDX(44909,44736,,\"SPX\")":1.1157076,"TSM-US^P_BETA_LOCIDX(44908,44735,,\"SPX\")":1.1096452,"TSM-US^P_BETA_LOCIDX(44907,44734,,\"SPX\")":1.1127197,"TSM-US^P_BETA_LOCIDX(44904,44733,,\"SPX\")":1.1189246,"TSM-US^P_BETA_LOCIDX(44903,44729,,\"SPX\")":1.1214628,"TSM-US^P_BETA_LOCIDX(44902,44728,,\"SPX\")":1.1352891,"TSM-US^P_BETA_LOCIDX(44901,44727,,\"SPX\")":1.1386024,"TSM-US^P_BETA_LOCIDX(44900,44726,,\"SPX\")":1.1305423,"TSM-US^P_BETA_LOCIDX(44897,44725,,\"SPX\")":1.1321688,"TSM-US^P_BETA_LOCIDX(44896,44722,,\"SPX\")":1.1218685,"TSM-US^P_BETA_LOCIDX(44895,44721,,\"SPX\")":1.1222982,"TSM-US^P_BETA_LOCIDX(44894,44720,,\"SPX\")":1.1066188,"TSM-US^P_BETA_LOCIDX(44893,44719,,\"SPX\")":1.106157,"TSM-US^P_BETA_LOCIDX(44890,44718,,\"SPX\")":1.100478,"TSM-US^P_BETA_LOCIDX(44888,44715,,\"SPX\")":1.1047304,"TSM-US^P_BETA_LOCIDX(44887,44714,,\"SPX\")":1.1055306,"TSM-US^P_BETA_LOCIDX(44886,44713,,\"SPX\")":1.096324,"TSM-US^P_BETA_LOCIDX(44883,44712,,\"SPX\")":1.0887283,"TSM-US^P_BETA_LOCIDX(44882,44708,,\"SPX\")":1.0911404,"TSM-US^P_BETA_LOCIDX(44881,44707,,\"SPX\")":1.0847778,"TSM-US^P_BETA_LOCIDX(44880,44706,,\"SPX\")":1.0868703,"TSM-US^P_BETA_LOCIDX(44879,44705,,\"SPX\")":1.0656453,"TSM-US^P_BETA_LOCIDX(44876,44704,,\"SPX\")":1.0589347,"TSM-US^P_BETA_LOCIDX(44875,44701,,\"SPX\")":1.0490849,"TSM-US^P_BETA_LOCIDX(44874,44700,,\"SPX\")":0.98182774,"TSM-US^P_BETA_LOCIDX(44873,44699,,\"SPX\")":0.98098284,"TSM-US^P_BETA_LOCIDX(44872,44698,,\"SPX\")":0.9845852,"TSM-US^P_BETA_LOCIDX(44869,44697,,\"SPX\")":0.9854033,"TSM-US^P_BETA_LOCIDX(44868,44694,,\"SPX\")":0.98660684,"TSM-US^P_BETA_LOCIDX(44867,44693,,\"SPX\")":0.9896242,"TSM-US^P_BETA_LOCIDX(44866,44692,,\"SPX\")":0.9938367,"TSM-US^P_BETA_LOCIDX(44865,44691,,\"SPX\")":0.9963241,"TSM-US^P_BETA_LOCIDX(44862,44690,,\"SPX\")":1.0102028,"TSM-US^P_BETA_LOCIDX(44861,44687,,\"SPX\")":1.0138316,"TSM-US^P_BETA_LOCIDX(44860,44686,,\"SPX\")":1.0170641,"TSM-US^P_BETA_LOCIDX(44859,44685,,\"SPX\")":1.0158061,"TSM-US^P_BETA_LOCIDX(44858,44684,,\"SPX\")":1.0238101,"TSM-US^P_BETA_LOCIDX(44855,44683,,\"SPX\")":1.0439944,"TSM-US^P_BETA_LOCIDX(44854,44680,,\"SPX\")":1.041994,"TSM-US^P_BETA_LOCIDX(44853,44679,,\"SPX\")":1.0680013,"TSM-US^P_BETA_LOCIDX(44852,44678,,\"SPX\")":1.0669743,"TSM-US^P_BETA_LOCIDX(44851,44677,,\"SPX\")":1.0809195,"TSM-US^P_BETA_LOCIDX(44848,44676,,\"SPX\")":1.0911506,"TSM-US^P_BETA_LOCIDX(44847,44673,,\"SPX\")":1.0730277,"TSM-US^P_BETA_LOCIDX(44846,44672,,\"SPX\")":1.0607376,"TSM-US^P_BETA_LOCIDX(44845,44671,,\"SPX\")":1.0614378,"TSM-US^P_BETA_LOCIDX(44844,44670,,\"SPX\")":1.0490925,"TSM-US^P_BETA_LOCIDX(44841,44669,,\"SPX\")":1.0448582,"TSM-US^P_BETA_LOCIDX(44840,44665,,\"SPX\")":1.0244281,"TSM-US^P_BETA_LOCIDX(44839,44664,,\"SPX\")":1.0391179,"TSM-US^P_BETA_LOCIDX(44838,44663,,\"SPX\")":1.0396227,"TSM-US^P_BETA_LOCIDX(44837,44662,,\"SPX\")":1.0179615,"TSM-US^P_BETA_LOCIDX(44834,44659,,\"SPX\")":1.0318207,"TSM-US^P_BETA_LOCIDX(44833,44658,,\"SPX\")":1.0327098,"TSM-US^P_BETA_LOCIDX(44832,44657,,\"SPX\")":1.0224437,"TSM-US^P_BETA_LOCIDX(44831,44656,,\"SPX\")":1.047775,"TSM-US^P_BETA_LOCIDX(44830,44655,,\"SPX\")":1.0516983,"TSM-US^P_BETA_LOCIDX(44827,44652,,\"SPX\")":1.0489067,"TSM-US^P_BETA_LOCIDX(44826,44651,,\"SPX\")":1.0494049,"TSM-US^P_BETA_LOCIDX(44825,44650,,\"SPX\")":1.0496217,"TSM-US^P_BETA_LOCIDX(44824,44649,,\"SPX\")":1.0599539,"TSM-US^P_BETA_LOCIDX(44823,44648,,\"SPX\")":1.0610994,"TSM-US^P_BETA_LOCIDX(44820,44645,,\"SPX\")":1.0583837,"TSM-US^P_BETA_LOCIDX(44819,44644,,\"SPX\")":1.0653235,"TSM-US^P_BETA_LOCIDX(44818,44643,,\"SPX\")":1.0631896,"TSM-US^P_BETA_LOCIDX(44817,44642,,\"SPX\")":1.0580324,"TSM-US^P_BETA_LOCIDX(44816,44641,,\"SPX\")":1.0676981,"TSM-US^P_BETA_LOCIDX(44813,44638,,\"SPX\")":1.0647578,"TSM-US^P_BETA_LOCIDX(44812,44637,,\"SPX\")":1.0621611,"TSM-US^P_BETA_LOCIDX(44811,44636,,\"SPX\")":1.0729277,"TSM-US^P_BETA_LOCIDX(44810,44635,,\"SPX\")":1.0904295,"TSM-US^P_BETA_LOCIDX(44806,44634,,\"SPX\")":1.0925857,"TSM-US^P_BETA_LOCIDX(44805,44631,,\"SPX\")":1.0979327,"TSM-US^P_BETA_LOCIDX(44804,44630,,\"SPX\")":1.1011435,"TSM-US^P_BETA_LOCIDX(44803,44629,,\"SPX\")":1.1249478,"TSM-US^P_BETA_LOCIDX(44802,44628,,\"SPX\")":1.125725,"TSM-US^P_BETA_LOCIDX(44799,44627,,\"SPX\")":1.1427945,"TSM-US^P_BETA_LOCIDX(44798,44624,,\"SPX\")":1.1574838,"TSM-US^P_BETA_LOCIDX(44797,44623,,\"SPX\")":1.1532824,"TSM-US^P_BETA_LOCIDX(44796,44622,,\"SPX\")":1.1504185,"TSM-US^P_BETA_LOCIDX(44795,44621,,\"SPX\")":1.1364954,"TSM-US^P_BETA_LOCIDX(44792,44620,,\"SPX\")":1.1413662,"TSM-US^P_BETA_LOCIDX(44791,44617,,\"SPX\")":1.1157917,"TSM-US^P_BETA_LOCIDX(44790,44616,,\"SPX\")":1.0911454,"TSM-US^P_BETA_LOCIDX(44789,44615,,\"SPX\")":1.0831674,"TSM-US^P_BETA_LOCIDX(44788,44614,,\"SPX\")":1.0866581,"TSM-US^P_BETA_LOCIDX(44785,44610,,\"SPX\")":1.0845243,"TSM-US^P_BETA_LOCIDX(44784,44609,,\"SPX\")":1.0898732,"TSM-US^P_BETA_LOCIDX(44783,44608,,\"SPX\")":1.0897449,"TSM-US^P_BETA_LOCIDX(44782,44607,,\"SPX\")":1.0888885,"TSM-US^P_BETA_LOCIDX(44781,44606,,\"SPX\")":1.086236,"TSM-US^P_BETA_LOCIDX(44778,44603,,\"SPX\")":1.090189,"TSM-US^P_BETA_LOCIDX(44777,44602,,\"SPX\")":1.0821772,"TSM-US^P_BETA_LOCIDX(44776,44601,,\"SPX\")":1.0827249,"TSM-US^P_BETA_LOCIDX(44775,44600,,\"SPX\")":1.0890636,"TSM-US^P_BETA_LOCIDX(44774,44599,,\"SPX\")":1.0886062,"TSM-US^P_BETA_LOCIDX(45845,45670,,\"SPX\")":1.4896824,"FIX-US^P_BETA_LOCIDX(45841,45665,,\"SPX\")":1.7657659,"FIX-US^P_BETA_LOCIDX(45840,45664,,\"SPX\")":1.7599282,"FIX-US^P_BETA_LOCIDX(45839,45663,,\"SPX\")":1.7600057,"FIX-US^P_BETA_LOCIDX(45838,45660,,\"SPX\")":1.7681465,"FIX-US^P_BETA_LOCIDX(45835,45659,,\"SPX\")":1.7683308,"FIX-US^P_BETA_LOCIDX(45834,45657,,\"SPX\")":1.7651706,"FIX-US^P_BETA_LOCIDX(45833,45656,,\"SPX\")":1.7607899,"FIX-US^P_BETA_LOCIDX(45832,45653,,\"SPX\")":1.7598553,"FIX-US^P_BETA_LOCIDX(45831,45652,,\"SPX\")":1.76013,"FIX-US^P_BETA_LOCIDX(45828,45650,,\"SPX\")":1.7578878,"FIX-US^P_BETA_LOCIDX(45826,45649,,\"SPX\")":1.7526948,"FIX-US^P_BETA_LOCIDX(45825,45646,,\"SPX\")":1.7479815,"FIX-US^P_BETA_LOCIDX(45824,45645,,\"SPX\")":1.7483938,"FIX-US^P_BETA_LOCIDX(45821,45644,,\"SPX\")":1.7457594,"FIX-US^P_BETA_LOCIDX(45820,45643,,\"SPX\")":1.747954,"FIX-US^P_BETA_LOCIDX(45819,45642,,\"SPX\")":1.7469878,"FIX-US^P_BETA_LOCIDX(45818,45639,,\"SPX\")":1.7491542,"FIX-US^P_BETA_LOCIDX(45817,45638,,\"SPX\")":1.7558177,"FIX-US^P_BETA_LOCIDX(45814,45637,,\"SPX\")":1.7598736,"FIX-US^P_BETA_LOCIDX(45813,45636,,\"SPX\")":1.7592062,"FIX-US^P_BETA_LOCIDX(45812,45635,,\"SPX\")":1.7730289,"FIX-US^P_BETA_LOCIDX(45811,45632,,\"SPX\")":1.7725337,"FIX-US^P_BETA_LOCIDX(45810,45631,,\"SPX\")":1.7668887,"FIX-US^P_BETA_LOCIDX(45807,45630,,\"SPX\")":1.7681723,"FIX-US^P_BETA_LOCIDX(45806,45629,,\"SPX\")":1.7683655,"FIX-US^P_BETA_LOCIDX(45805,45628,,\"SPX\")":1.7678219,"FIX-US^P_BETA_LOCIDX(45804,45625,,\"SPX\")":1.7667862,"FIX-US^P_BETA_LOCIDX(45800,45623,,\"SPX\")":1.7756736,"FIX-US^P_BETA_LOCIDX(45799,45622,,\"SPX\")":1.7842189,"FIX-US^P_BETA_LOCIDX(45798,45621,,\"SPX\")":1.784377,"FIX-US^P_BETA_LOCIDX(45797,45618,,\"SPX\")":1.7909756,"FIX-US^P_BETA_LOCIDX(45796,45617,,\"SPX\")":1.795925,"FIX-US^P_BETA_LOCIDX(45793,45616,,\"SPX\")":1.7960457,"FIX-US^P_BETA_LOCIDX(45792,45615,,\"SPX\")":1.8005894,"FIX-US^P_BETA_LOCIDX(45791,45614,,\"SPX\")":1.8036658,"FIX-US^P_BETA_LOCIDX(45790,45611,,\"SPX\")":1.7874804,"FIX-US^P_BETA_LOCIDX(45789,45610,,\"SPX\")":1.7848555,"FIX-US^P_BETA_LOCIDX(45786,45609,,\"SPX\")":1.807817,"FIX-US^P_BETA_LOCIDX(45785,45608,,\"SPX\")":1.8080307,"FIX-US^P_BETA_LOCIDX(45784,45607,,\"SPX\")":1.8073658,"FIX-US^P_BETA_LOCIDX(45783,45604,,\"SPX\")":1.8127675,"FIX-US^P_BETA_LOCIDX(45782,45603,,\"SPX\")":1.811885,"FIX-US^P_BETA_LOCIDX(45779,45602,,\"SPX\")":1.8305514,"FIX-US^P_BETA_LOCIDX(45778,45601,,\"SPX\")":1.8403031,"FIX-US^P_BETA_LOCIDX(45777,45600,,\"SPX\")":1.8318073,"FIX-US^P_BETA_LOCIDX(45776,45597,,\"SPX\")":1.8312154,"FIX-US^P_BETA_LOCIDX(45775,45596,,\"SPX\")":1.8097677,"FIX-US^P_BETA_LOCIDX(45772,45595,,\"SPX\")":1.8112228,"FIX-US^P_BETA_LOCIDX(45771,45594,,\"SPX\")":1.8009732,"FIX-US^P_BETA_LOCIDX(45770,45593,,\"SPX\")":1.7914459,"FIX-US^P_BETA_LOCIDX(45769,45590,,\"SPX\")":1.7815964,"FIX-US^P_BETA_LOCIDX(45768,45589,,\"SPX\")":1.7893127,"FIX-US^P_BETA_LOCIDX(45764,45588,,\"SPX\")":1.7735182,"FIX-US^P_BETA_LOCIDX(45763,45587,,\"SPX\")":1.7738019,"FIX-US^P_BETA_LOCIDX(45762,45586,,\"SPX\")":1.7887956,"FIX-US^P_BETA_LOCIDX(45761,45583,,\"SPX\")":1.7875372,"FIX-US^P_BETA_LOCIDX(45758,45582,,\"SPX\")":1.789822,"FIX-US^P_BETA_LOCIDX(45757,45581,,\"SPX\")":1.7880212,"FIX-US^P_BETA_LOCIDX(45756,45580,,\"SPX\")":1.797712,"FIX-US^P_BETA_LOCIDX(45755,45579,,\"SPX\")":1.9691982,"FIX-US^P_BETA_LOCIDX(45754,45576,,\"SPX\")":2.0009565,"FIX-US^P_BETA_LOCIDX(45751,45575,,\"SPX\")":2.0059674,"FIX-US^P_BETA_LOCIDX(45750,45574,,\"SPX\")":2.3514774,"FIX-US^P_BETA_LOCIDX(45749,45573,,\"SPX\")":2.4406044,"FIX-US^P_BETA_LOCIDX(45748,45572,,\"SPX\")":2.3943174,"FIX-US^P_BETA_LOCIDX(45747,45569,,\"SPX\")":2.3879707,"FIX-US^P_BETA_LOCIDX(45744,45568,,\"SPX\")":2.3985054,"FIX-US^P_BETA_LOCIDX(45743,45567,,\"SPX\")":2.44578,"FIX-US^P_BETA_LOCIDX(45742,45566,,\"SPX\")":2.4156733,"FIX-US^P_BETA_LOCIDX(45741,45565,,\"SPX\")":2.358007,"FIX-US^P_BETA_LOCIDX(45740,45562,,\"SPX\")":2.3630548,"FIX-US^P_BETA_LOCIDX(45737,45561,,\"SPX\")":2.2979472,"FIX-US^P_BETA_LOCIDX(45736,45560,,\"SPX\")":2.2963264,"FIX-US^P_BETA_LOCIDX(45735,45559,,\"SPX\")":2.2958379,"FIX-US^P_BETA_LOCIDX(45734,45558,,\"SPX\")":2.262127,"FIX-US^P_BETA_LOCIDX(45733,45555,,\"SPX\")":2.2629404,"FIX-US^P_BETA_LOCIDX(45730,45554,,\"SPX\")":2.3125567,"FIX-US^P_BETA_LOCIDX(45729,45553,,\"SPX\")":2.3274777,"FIX-US^P_BETA_LOCIDX(45728,45552,,\"SPX\")":2.3377533,"FIX-US^P_BETA_LOCIDX(45727,45551,,\"SPX\")":2.325382,"FIX-US^P_BETA_LOCIDX(45726,45548,,\"SPX\")":2.3795455,"FIX-US^P_BETA_LOCIDX(45723,45547,,\"SPX\")":2.4793043,"FIX-US^P_BETA_LOCIDX(45722,45546,,\"SPX\")":2.5287597,"FIX-US^P_BETA_LOCIDX(45721,45545,,\"SPX\")":2.5032825,"FIX-US^P_BETA_LOCIDX(45720,45544,,\"SPX\")":2.49311,"FIX-US^P_BETA_LOCIDX(45719,45541,,\"SPX\")":2.4504738,"FIX-US^P_BETA_LOCIDX(45716,45540,,\"SPX\")":2.4428616,"FIX-US^P_BETA_LOCIDX(45715,45539,,\"SPX\")":2.4841063,"FIX-US^P_BETA_LOCIDX(45714,45538,,\"SPX\")":2.6252127,"FIX-US^P_BETA_LOCIDX(45713,45534,,\"SPX\")":2.615584,"FIX-US^P_BETA_LOCIDX(45712,45533,,\"SPX\")":2.6392205,"FIX-US^P_BETA_LOCIDX(45709,45532,,\"SPX\")":2.6153288,"FIX-US^P_BETA_LOCIDX(45708,45531,,\"SPX\")":2.6076522,"FIX-US^P_BETA_LOCIDX(45707,45530,,\"SPX\")":2.588938,"FIX-US^P_BETA_LOCIDX(45706,45527,,\"SPX\")":2.5537744,"FIX-US^P_BETA_LOCIDX(45702,45526,,\"SPX\")":2.5501812,"FIX-US^P_BETA_LOCIDX(45701,45525,,\"SPX\")":2.5625238,"FIX-US^P_BETA_LOCIDX(45700,45524,,\"SPX\")":2.608472,"FIX-US^P_BETA_LOCIDX(45699,45523,,\"SPX\")":2.5507991,"FIX-US^P_BETA_LOCIDX(45698,45520,,\"SPX\")":2.5427847,"FIX-US^P_BETA_LOCIDX(45695,45519,,\"SPX\")":2.512214,"FIX-US^P_BETA_LOCIDX(45694,45518,,\"SPX\")":2.5208216,"FIX-US^P_BETA_LOCIDX(45693,45517,,\"SPX\")":2.4696476,"FIX-US^P_BETA_LOCIDX(45692,45516,,\"SPX\")":2.4567792,"FIX-US^P_BETA_LOCIDX(45691,45513,,\"SPX\")":2.465541,"FIX-US^P_BETA_LOCIDX(45688,45512,,\"SPX\")":2.4446516,"FIX-US^P_BETA_LOCIDX(45687,45511,,\"SPX\")":2.4696772,"FIX-US^P_BETA_LOCIDX(45686,45510,,\"SPX\")":2.471015,"FIX-US^P_BETA_LOCIDX(45685,45509,,\"SPX\")":2.306583,"FIX-US^P_BETA_LOCIDX(45684,45506,,\"SPX\")":2.3418608,"FIX-US^P_BETA_LOCIDX(45681,45505,,\"SPX\")":1.9638647,"FIX-US^P_BETA_LOCIDX(45680,45504,,\"SPX\")":2.0428944,"FIX-US^P_BETA_LOCIDX(45679,45503,,\"SPX\")":2.0630708,"FIX-US^P_BETA_LOCIDX(45678,45502,,\"SPX\")":2.0502634,"FIX-US^P_BETA_LOCIDX(45674,45499,,\"SPX\")":2.0623572,"FIX-US^P_BETA_LOCIDX(45673,45498,,\"SPX\")":2.0979235,"FIX-US^P_BETA_LOCIDX(45672,45497,,\"SPX\")":2.2030714,"FIX-US^P_BETA_LOCIDX(45671,45496,,\"SPX\")":2.1674588,"FIX-US^P_BETA_LOCIDX(45670,45495,,\"SPX\")":2.182556,"FIX-US^P_BETA_LOCIDX(45667,45492,,\"SPX\")":2.1664402,"FIX-US^P_BETA_LOCIDX(45665,45491,,\"SPX\")":2.1715462,"FIX-US^P_BETA_LOCIDX(45664,45490,,\"SPX\")":2.2487426,"FIX-US^P_BETA_LOCIDX(45663,45489,,\"SPX\")":2.2699206,"FIX-US^P_BETA_LOCIDX(45660,45488,,\"SPX\")":2.2676654,"FIX-US^P_BETA_LOCIDX(45659,45485,,\"SPX\")":2.245179,"FIX-US^P_BETA_LOCIDX(45657,45484,,\"SPX\")":2.2050836,"FIX-US^P_BETA_LOCIDX(45656,45483,,\"SPX\")":2.2060783,"FIX-US^P_BETA_LOCIDX(45653,45482,,\"SPX\")":2.2228162,"FIX-US^P_BETA_LOCIDX(45652,45481,,\"SPX\")":2.2309008,"FIX-US^P_BETA_LOCIDX(45650,45478,,\"SPX\")":2.2103086,"FIX-US^P_BETA_LOCIDX(45649,45476,,\"SPX\")":2.2544947,"FIX-US^P_BETA_LOCIDX(45646,45475,,\"SPX\")":2.2614534,"FIX-US^P_BETA_LOCIDX(45645,45474,,\"SPX\")":2.2735894,"FIX-US^P_BETA_LOCIDX(45644,45471,,\"SPX\")":2.2887404,"FIX-US^P_BETA_LOCIDX(45643,45470,,\"SPX\")":2.3530655,"FIX-US^P_BETA_LOCIDX(45642,45469,,\"SPX\")":2.3450549,"FIX-US^P_BETA_LOCIDX(45639,45468,,\"SPX\")":2.347546,"FIX-US^P_BETA_LOCIDX(45638,45467,,\"SPX\")":2.3408692,"FIX-US^P_BETA_LOCIDX(45637,45464,,\"SPX\")":2.3486192,"FIX-US^P_BETA_LOCIDX(45636,45463,,\"SPX\")":2.3460345,"FIX-US^P_BETA_LOCIDX(45635,45461,,\"SPX\")":2.3469086,"FIX-US^P_BETA_LOCIDX(45632,45460,,\"SPX\")":2.3060422,"FIX-US^P_BETA_LOCIDX(45631,45457,,\"SPX\")":2.3128648,"FIX-US^P_BETA_LOCIDX(45630,45456,,\"SPX\")":2.3130524,"FIX-US^P_BETA_LOCIDX(45629,45455,,\"SPX\")":2.3477168,"FIX-US^P_BETA_LOCIDX(45628,45454,,\"SPX\")":2.342819,"FIX-US^P_BETA_LOCIDX(45625,45453,,\"SPX\")":2.3453782,"FIX-US^P_BETA_LOCIDX(45623,45450,,\"SPX\")":2.3463204,"FIX-US^P_BETA_LOCIDX(45622,45449,,\"SPX\")":2.3375938,"FIX-US^P_BETA_LOCIDX(45621,45448,,\"SPX\")":2.3754208,"FIX-US^P_BETA_LOCIDX(45618,45447,,\"SPX\")":2.3728101,"FIX-US^P_BETA_LOCIDX(45617,45446,,\"SPX\")":2.374554,"FIX-US^P_BETA_LOCIDX(45616,45443,,\"SPX\")":2.3328867,"FIX-US^P_BETA_LOCIDX(45615,45442,,\"SPX\")":2.3292677,"FIX-US^P_BETA_LOCIDX(45614,45441,,\"SPX\")":2.3027384,"FIX-US^P_BETA_LOCIDX(45611,45440,,\"SPX\")":2.3023174,"FIX-US^P_BETA_LOCIDX(45610,45436,,\"SPX\")":2.3835418,"FIX-US^P_BETA_LOCIDX(45609,45435,,\"SPX\")":2.360838,"FIX-US^P_BETA_LOCIDX(45608,45434,,\"SPX\")":2.3532887,"FIX-US^P_BETA_LOCIDX(45607,45433,,\"SPX\")":2.354372,"FIX-US^P_BETA_LOCIDX(45604,45432,,\"SPX\")":2.3542433,"FIX-US^P_BETA_LOCIDX(45603,45429,,\"SPX\")":2.3438957,"FIX-US^P_BETA_LOCIDX(45602,45428,,\"SPX\")":2.364072,"FIX-US^P_BETA_LOCIDX(45601,45427,,\"SPX\")":2.3366997,"FIX-US^P_BETA_LOCIDX(45600,45426,,\"SPX\")":2.3002713,"FIX-US^P_BETA_LOCIDX(45597,45425,,\"SPX\")":2.3054044,"FIX-US^P_BETA_LOCIDX(45596,45422,,\"SPX\")":2.3066843,"FIX-US^P_BETA_LOCIDX(45595,45421,,\"SPX\")":2.4162235,"FIX-US^P_BETA_LOCIDX(45594,45420,,\"SPX\")":2.4116662,"FIX-US^P_BETA_LOCIDX(45593,45419,,\"SPX\")":2.4114811,"FIX-US^P_BETA_LOCIDX(45590,45418,,\"SPX\")":2.4504263,"FIX-US^P_BETA_LOCIDX(45589,45415,,\"SPX\")":2.4228246,"FIX-US^P_BETA_LOCIDX(45588,45414,,\"SPX\")":2.420013,"FIX-US^P_BETA_LOCIDX(45587,45413,,\"SPX\")":2.4496167,"FIX-US^P_BETA_LOCIDX(45586,45412,,\"SPX\")":2.3748477,"FIX-US^P_BETA_LOCIDX(45583,45411,,\"SPX\")":2.3872113,"FIX-US^P_BETA_LOCIDX(45582,45408,,\"SPX\")":2.332681,"FIX-US^P_BETA_LOCIDX(45581,45407,,\"SPX\")":2.3210924,"FIX-US^P_BETA_LOCIDX(45580,45406,,\"SPX\")":2.324538,"FIX-US^P_BETA_LOCIDX(45579,45405,,\"SPX\")":2.3502727,"FIX-US^P_BETA_LOCIDX(45576,45404,,\"SPX\")":2.353187,"FIX-US^P_BETA_LOCIDX(45575,45401,,\"SPX\")":2.3319345,"FIX-US^P_BETA_LOCIDX(45574,45400,,\"SPX\")":2.338529,"FIX-US^P_BETA_LOCIDX(45573,45399,,\"SPX\")":2.3410738,"FIX-US^P_BETA_LOCIDX(45572,45398,,\"SPX\")":2.3666208,"FIX-US^P_BETA_LOCIDX(45569,45397,,\"SPX\")":2.3817945,"FIX-US^P_BETA_LOCIDX(45568,45394,,\"SPX\")":2.336973,"FIX-US^P_BETA_LOCIDX(45567,45393,,\"SPX\")":2.3380022,"FIX-US^P_BETA_LOCIDX(45566,45392,,\"SPX\")":2.323578,"FIX-US^P_BETA_LOCIDX(45565,45391,,\"SPX\")":2.3424432,"FIX-US^P_BETA_LOCIDX(45562,45390,,\"SPX\")":2.3464634,"FIX-US^P_BETA_LOCIDX(45561,45387,,\"SPX\")":2.3530638,"FIX-US^P_BETA_LOCIDX(45560,45386,,\"SPX\")":2.3474097,"FIX-US^P_BETA_LOCIDX(45559,45385,,\"SPX\")":2.352624,"FIX-US^P_BETA_LOCIDX(45558,45384,,\"SPX\")":2.3538065,"FIX-US^P_BETA_LOCIDX(45555,45383,,\"SPX\")":2.350985,"FIX-US^P_BETA_LOCIDX(45554,45379,,\"SPX\")":2.3558831,"FIX-US^P_BETA_LOCIDX(45553,45378,,\"SPX\")":2.287791,"FIX-US^P_BETA_LOCIDX(45552,45377,,\"SPX\")":2.288337,"FIX-US^P_BETA_LOCIDX(45551,45376,,\"SPX\")":2.2896342,"FIX-US^P_BETA_LOCIDX(45548,45373,,\"SPX\")":2.2897341,"FIX-US^P_BETA_LOCIDX(45547,45372,,\"SPX\")":2.2887151,"FIX-US^P_BETA_LOCIDX(45546,45371,,\"SPX\")":2.2826834,"FIX-US^P_BETA_LOCIDX(45545,45370,,\"SPX\")":2.2439847,"FIX-US^P_BETA_LOCIDX(45544,45369,,\"SPX\")":2.229869,"FIX-US^P_BETA_LOCIDX(45541,45366,,\"SPX\")":2.2056553,"FIX-US^P_BETA_LOCIDX(45540,45365,,\"SPX\")":2.24934,"FIX-US^P_BETA_LOCIDX(45539,45364,,\"SPX\")":2.2438142,"FIX-US^P_BETA_LOCIDX(45538,45363,,\"SPX\")":2.2356417,"FIX-US^P_BETA_LOCIDX(45534,45362,,\"SPX\")":2.0764978,"FIX-US^P_BETA_LOCIDX(45533,45359,,\"SPX\")":2.0796168,"FIX-US^P_BETA_LOCIDX(45532,45358,,\"SPX\")":2.0599496,"FIX-US^P_BETA_LOCIDX(45531,45357,,\"SPX\")":2.0724688,"FIX-US^P_BETA_LOCIDX(45530,45356,,\"SPX\")":2.0658343,"FIX-US^P_BETA_LOCIDX(45527,45355,,\"SPX\")":2.0626798,"FIX-US^P_BETA_LOCIDX(45526,45352,,\"SPX\")":2.098473,"FIX-US^P_BETA_LOCIDX(45525,45351,,\"SPX\")":2.1129615,"FIX-US^P_BETA_LOCIDX(45524,45350,,\"SPX\")":2.0955632,"FIX-US^P_BETA_LOCIDX(45523,45349,,\"SPX\")":2.0969117,"FIX-US^P_BETA_LOCIDX(45520,45348,,\"SPX\")":2.0961611,"FIX-US^P_BETA_LOCIDX(45519,45345,,\"SPX\")":2.0938094,"FIX-US^P_BETA_LOCIDX(45518,45344,,\"SPX\")":2.063276,"FIX-US^P_BETA_LOCIDX(45517,45343,,\"SPX\")":2.0548563,"FIX-US^P_BETA_LOCIDX(45516,45342,,\"SPX\")":2.072049,"FIX-US^P_BETA_LOCIDX(45513,45338,,\"SPX\")":2.077379,"FIX-US^P_BETA_LOCIDX(45512,45337,,\"SPX\")":2.092259,"FIX-US^P_BETA_LOCIDX(45511,45336,,\"SPX\")":2.1120393,"FIX-US^P_BETA_LOCIDX(45510,45335,,\"SPX\")":2.0920258,"FIX-US^P_BETA_LOCIDX(45509,45334,,\"SPX\")":2.0821738,"FIX-US^P_BETA_LOCIDX(45506,45331,,\"SPX\")":2.281834,"FIX-US^P_BETA_LOCIDX(45505,45330,,\"SPX\")":2.2143776,"FIX-US^P_BETA_LOCIDX(45504,45329,,\"SPX\")":2.2461371,"FIX-US^P_BETA_LOCIDX(45503,45328,,\"SPX\")":2.1195943,"FIX-US^P_BETA_LOCIDX(45502,45327,,\"SPX\")":2.1202044,"FIX-US^P_BETA_LOCIDX(45499,45324,,\"SPX\")":2.1270607,"FIX-US^P_BETA_LOCIDX(45498,45323,,\"SPX\")":2.0802808,"FIX-US^P_BETA_LOCIDX(45497,45322,,\"SPX\")":2.034373,"FIX-US^P_BETA_LOCIDX(45496,45321,,\"SPX\")":1.8399822,"FIX-US^P_BETA_LOCIDX(45495,45320,,\"SPX\")":1.8693906,"FIX-US^P_BETA_LOCIDX(45492,45317,,\"SPX\")":1.8280096,"FIX-US^P_BETA_LOCIDX(45491,45316,,\"SPX\")":1.8691274,"FIX-US^P_BETA_LOCIDX(45490,45315,,\"SPX\")":1.8833001,"FIX-US^P_BETA_LOCIDX(45489,45314,,\"SPX\")":1.7079364,"FIX-US^P_BETA_LOCIDX(45488,45313,,\"SPX\")":1.7015103,"FIX-US^P_BETA_LOCIDX(45485,45310,,\"SPX\")":1.6572119,"FIX-US^P_BETA_LOCIDX(45484,45309,,\"SPX\")":1.6508828,"FIX-US^P_BETA_LOCIDX(45483,45308,,\"SPX\")":1.7214322,"FIX-US^P_BETA_LOCIDX(45482,45307,,\"SPX\")":1.706512,"FIX-US^P_BETA_LOCIDX(45481,45303,,\"SPX\")":1.7073741,"FIX-US^P_BETA_LOCIDX(45478,45302,,\"SPX\")":1.7024778,"FIX-US^P_BETA_LOCIDX(45476,45301,,\"SPX\")":1.7430232,"FIX-US^P_BETA_LOCIDX(45475,45300,,\"SPX\")":1.7059603,"FIX-US^P_BETA_LOCIDX(45474,45299,,\"SPX\")":1.6961876,"FIX-US^P_BETA_LOCIDX(45471,45296,,\"SPX\")":1.7044389,"FIX-US^P_BETA_LOCIDX(45470,45295,,\"SPX\")":1.6633211,"FIX-US^P_BETA_LOCIDX(45469,45294,,\"SPX\")":1.6953987,"FIX-US^P_BETA_LOCIDX(45468,45293,,\"SPX\")":1.7094363,"FIX-US^P_BETA_LOCIDX(45467,45289,,\"SPX\")":1.7098371,"FIX-US^P_BETA_LOCIDX(45464,45288,,\"SPX\")":1.7174916,"FIX-US^P_BETA_LOCIDX(45463,45287,,\"SPX\")":1.7080034,"FIX-US^P_BETA_LOCIDX(45461,45286,,\"SPX\")":1.6986314,"FIX-US^P_BETA_LOCIDX(45460,45282,,\"SPX\")":1.6962826,"FIX-US^P_BETA_LOCIDX(45457,45281,,\"SPX\")":1.6483232,"FIX-US^P_BETA_LOCIDX(45456,45280,,\"SPX\")":1.5807309,"FIX-US^P_BETA_LOCIDX(45455,45279,,\"SPX\")":1.5851909,"FIX-US^P_BETA_LOCIDX(45454,45278,,\"SPX\")":1.5241412,"FIX-US^P_BETA_LOCIDX(45453,45275,,\"SPX\")":1.5338346,"FIX-US^P_BETA_LOCIDX(45450,45274,,\"SPX\")":1.5374341,"FIX-US^P_BETA_LOCIDX(45449,45273,,\"SPX\")":1.5201824,"FIX-US^P_BETA_LOCIDX(45448,45272,,\"SPX\")":1.5092909,"FIX-US^P_BETA_LOCIDX(45447,45271,,\"SPX\")":1.434685,"FIX-US^P_BETA_LOCIDX(45446,45268,,\"SPX\")":1.4469241,"FIX-US^P_BETA_LOCIDX(45443,45267,,\"SPX\")":1.4439757,"FIX-US^P_BETA_LOCIDX(45442,45266,,\"SPX\")":1.4961431,"FIX-US^P_BETA_LOCIDX(45441,45265,,\"SPX\")":1.4944674,"FIX-US^P_BETA_LOCIDX(45440,45264,,\"SPX\")":1.5405332,"FIX-US^P_BETA_LOCIDX(45436,45261,,\"SPX\")":1.5411184,"FIX-US^P_BETA_LOCIDX(45435,45260,,\"SPX\")":1.5211618,"FIX-US^P_BETA_LOCIDX(45434,45259,,\"SPX\")":1.538481,"FIX-US^P_BETA_LOCIDX(45433,45258,,\"SPX\")":1.5455258,"FIX-US^P_BETA_LOCIDX(45432,45257,,\"SPX\")":1.5429664,"FIX-US^P_BETA_LOCIDX(45429,45254,,\"SPX\")":1.5434831,"FIX-US^P_BETA_LOCIDX(45428,45252,,\"SPX\")":1.5510341,"FIX-US^P_BETA_LOCIDX(45427,45251,,\"SPX\")":1.5237756,"FIX-US^P_BETA_LOCIDX(45426,45250,,\"SPX\")":1.5134414,"FIX-US^P_BETA_LOCIDX(45425,45247,,\"SPX\")":1.5163872,"FIX-US^P_BETA_LOCIDX(45422,45246,,\"SPX\")":1.5066878,"FIX-US^P_BETA_LOCIDX(45421,45245,,\"SPX\")":1.5065446,"FIX-US^P_BETA_LOCIDX(45420,45244,,\"SPX\")":1.6119225,"FIX-US^P_BETA_LOCIDX(45419,45243,,\"SPX\")":1.6105778,"FIX-US^P_BETA_LOCIDX(45418,45240,,\"SPX\")":1.5762212,"FIX-US^P_BETA_LOCIDX(45415,45239,,\"SPX\")":1.4928367,"FIX-US^P_BETA_LOCIDX(45414,45238,,\"SPX\")":1.4888214,"FIX-US^P_BETA_LOCIDX(45413,45237,,\"SPX\")":1.4816755,"FIX-US^P_BETA_LOCIDX(45412,45236,,\"SPX\")":1.4641864,"FIX-US^P_BETA_LOCIDX(45411,45233,,\"SPX\")":1.4913747,"FIX-US^P_BETA_LOCIDX(45408,45232,,\"SPX\")":1.4414003,"FIX-US^P_BETA_LOCIDX(45407,45231,,\"SPX\")":1.5076741,"FIX-US^P_BETA_LOCIDX(45406,45230,,\"SPX\")":1.5222408,"FIX-US^P_BETA_LOCIDX(45405,45229,,\"SPX\")":1.5214292,"FIX-US^P_BETA_LOCIDX(45404,45226,,\"SPX\")":1.3212496,"FIX-US^P_BETA_LOCIDX(45401,45225,,\"SPX\")":1.2746152,"FIX-US^P_BETA_LOCIDX(45400,45224,,\"SPX\")":1.2856574,"FIX-US^P_BETA_LOCIDX(45399,45223,,\"SPX\")":1.269372,"FIX-US^P_BETA_LOCIDX(45398,45222,,\"SPX\")":1.2605933,"FIX-US^P_BETA_LOCIDX(45397,45219,,\"SPX\")":1.2403884,"FIX-US^P_BETA_LOCIDX(45394,45218,,\"SPX\")":1.2667435,"FIX-US^P_BETA_LOCIDX(45393,45217,,\"SPX\")":1.3326864,"FIX-US^P_BETA_LOCIDX(45392,45216,,\"SPX\")":1.3215437,"FIX-US^P_BETA_LOCIDX(45391,45215,,\"SPX\")":1.3103459,"FIX-US^P_BETA_LOCIDX(45390,45212,,\"SPX\")":1.3458956,"FIX-US^P_BETA_LOCIDX(45387,45211,,\"SPX\")":1.3659235,"FIX-US^P_BETA_LOCIDX(45386,45210,,\"SPX\")":1.3372314,"FIX-US^P_BETA_LOCIDX(45385,45209,,\"SPX\")":1.299798,"FIX-US^P_BETA_LOCIDX(45384,45208,,\"SPX\")":1.2979078,"FIX-US^P_BETA_LOCIDX(45383,45205,,\"SPX\")":1.2781287,"FIX-US^P_BETA_LOCIDX(45379,45204,,\"SPX\")":1.2830846,"FIX-US^P_BETA_LOCIDX(45378,45203,,\"SPX\")":1.2751082,"FIX-US^P_BETA_LOCIDX(45377,45202,,\"SPX\")":1.2697347,"FIX-US^P_BETA_LOCIDX(45376,45201,,\"SPX\")":1.2752299,"FIX-US^P_BETA_LOCIDX(45373,45198,,\"SPX\")":1.2928352,"FIX-US^P_BETA_LOCIDX(45372,45197,,\"SPX\")":1.2965475,"FIX-US^P_BETA_LOCIDX(45371,45196,,\"SPX\")":1.288035,"FIX-US^P_BETA_LOCIDX(45370,45195,,\"SPX\")":1.2863058,"FIX-US^P_BETA_LOCIDX(45369,45194,,\"SPX\")":1.2911674,"FIX-US^P_BETA_LOCIDX(45366,45191,,\"SPX\")":1.2980192,"FIX-US^P_BETA_LOCIDX(45365,45190,,\"SPX\")":1.4094154,"FIX-US^P_BETA_LOCIDX(45364,45189,,\"SPX\")":1.4219754,"FIX-US^P_BETA_LOCIDX(45363,45188,,\"SPX\")":1.4232829,"FIX-US^P_BETA_LOCIDX(45362,45187,,\"SPX\")":1.4261286,"FIX-US^P_BETA_LOCIDX(45359,45184,,\"SPX\")":1.3940483,"FIX-US^P_BETA_LOCIDX(45358,45183,,\"SPX\")":1.3718439,"FIX-US^P_BETA_LOCIDX(45357,45182,,\"SPX\")":1.3911355,"FIX-US^P_BETA_LOCIDX(45356,45181,,\"SPX\")":1.3983406,"FIX-US^P_BETA_LOCIDX(45355,45180,,\"SPX\")":1.3849001,"FIX-US^P_BETA_LOCIDX(45352,45177,,\"SPX\")":1.3904427,"FIX-US^P_BETA_LOCIDX(45351,45176,,\"SPX\")":1.3742306,"FIX-US^P_BETA_LOCIDX(45350,45175,,\"SPX\")":1.3323513,"FIX-US^P_BETA_LOCIDX(45349,45174,,\"SPX\")":1.335894,"FIX-US^P_BETA_LOCIDX(45348,45170,,\"SPX\")":1.3343627,"FIX-US^P_BETA_LOCIDX(45345,45169,,\"SPX\")":1.3484812,"FIX-US^P_BETA_LOCIDX(45344,45168,,\"SPX\")":1.3568008,"FIX-US^P_BETA_LOCIDX(45343,45167,,\"SPX\")":1.3634713,"FIX-US^P_BETA_LOCIDX(45342,45166,,\"SPX\")":1.354234,"FIX-US^P_BETA_LOCIDX(45338,45163,,\"SPX\")":1.3570733,"FIX-US^P_BETA_LOCIDX(45337,45162,,\"SPX\")":1.3378011,"FIX-US^P_BETA_LOCIDX(45336,45161,,\"SPX\")":1.3314236,"FIX-US^P_BETA_LOCIDX(45335,45160,,\"SPX\")":1.2913194,"FIX-US^P_BETA_LOCIDX(45334,45159,,\"SPX\")":1.2657578,"FIX-US^P_BETA_LOCIDX(45331,45156,,\"SPX\")":1.2668072,"FIX-US^P_BETA_LOCIDX(45330,45155,,\"SPX\")":1.2909484,"FIX-US^P_BETA_LOCIDX(45329,45154,,\"SPX\")":1.2804055,"FIX-US^P_BETA_LOCIDX(45328,45153,,\"SPX\")":1.2321668,"FIX-US^P_BETA_LOCIDX(45327,45152,,\"SPX\")":1.2241874,"FIX-US^P_BETA_LOCIDX(45324,45149,,\"SPX\")":1.20551,"FIX-US^P_BETA_LOCIDX(45323,45148,,\"SPX\")":1.1861789,"FIX-US^P_BETA_LOCIDX(45322,45147,,\"SPX\")":1.1683812,"FIX-US^P_BETA_LOCIDX(45321,45146,,\"SPX\")":1.157117,"FIX-US^P_BETA_LOCIDX(45320,45145,,\"SPX\")":1.1775577,"FIX-US^P_BETA_LOCIDX(45317,45142,,\"SPX\")":1.150613,"FIX-US^P_BETA_LOCIDX(45316,45141,,\"SPX\")":1.1455485,"FIX-US^P_BETA_LOCIDX(45315,45140,,\"SPX\")":1.0871978,"FIX-US^P_BETA_LOCIDX(45314,45139,,\"SPX\")":1.0879308,"FIX-US^P_BETA_LOCIDX(45313,45138,,\"SPX\")":1.0981929,"FIX-US^P_BETA_LOCIDX(45310,45135,,\"SPX\")":1.146209,"FIX-US^P_BETA_LOCIDX(45309,45134,,\"SPX\")":1.1692507,"FIX-US^P_BETA_LOCIDX(45308,45133,,\"SPX\")":1.1716406,"FIX-US^P_BETA_LOCIDX(45307,45132,,\"SPX\")":1.1765147,"FIX-US^P_BETA_LOCIDX(45303,45131,,\"SPX\")":1.1792288,"FIX-US^P_BETA_LOCIDX(45302,45128,,\"SPX\")":1.1800112,"FIX-US^P_BETA_LOCIDX(45301,45127,,\"SPX\")":1.1962023,"FIX-US^P_BETA_LOCIDX(45300,45126,,\"SPX\")":1.1832527,"FIX-US^P_BETA_LOCIDX(45299,45125,,\"SPX\")":1.1985649,"FIX-US^P_BETA_LOCIDX(45296,45124,,\"SPX\")":1.2077122,"FIX-US^P_BETA_LOCIDX(45295,45121,,\"SPX\")":1.2130849,"FIX-US^P_BETA_LOCIDX(45294,45120,,\"SPX\")":1.216682,"FIX-US^P_BETA_LOCIDX(45293,45119,,\"SPX\")":1.1813434,"FIX-US^P_BETA_LOCIDX(45289,45118,,\"SPX\")":1.165408,"FIX-US^P_BETA_LOCIDX(45288,45117,,\"SPX\")":1.1688254,"FIX-US^P_BETA_LOCIDX(45287,45114,,\"SPX\")":1.1672714,"FIX-US^P_BETA_LOCIDX(45286,45113,,\"SPX\")":1.1758592,"FIX-US^P_BETA_LOCIDX(45282,45112,,\"SPX\")":1.1811916,"FIX-US^P_BETA_LOCIDX(45281,45110,,\"SPX\")":1.1806393,"FIX-US^P_BETA_LOCIDX(45280,45107,,\"SPX\")":1.1543512,"FIX-US^P_BETA_LOCIDX(45279,45106,,\"SPX\")":1.2051823,"FIX-US^P_BETA_LOCIDX(45278,45105,,\"SPX\")":1.1967655,"FIX-US^P_BETA_LOCIDX(45275,45104,,\"SPX\")":1.1870946,"FIX-US^P_BETA_LOCIDX(45274,45103,,\"SPX\")":1.1804676,"FIX-US^P_BETA_LOCIDX(45273,45100,,\"SPX\")":1.1772784,"FIX-US^P_BETA_LOCIDX(45272,45099,,\"SPX\")":1.1723856,"FIX-US^P_BETA_LOCIDX(45271,45098,,\"SPX\")":1.1401759,"FIX-US^P_BETA_LOCIDX(45268,45097,,\"SPX\")":1.1436921,"FIX-US^P_BETA_LOCIDX(45267,45093,,\"SPX\")":1.1336263,"FIX-US^P_BETA_LOCIDX(45266,45092,,\"SPX\")":1.1295538,"FIX-US^P_BETA_LOCIDX(45265,45091,,\"SPX\")":1.1248832,"FIX-US^P_BETA_LOCIDX(45264,45090,,\"SPX\")":1.1038246,"FIX-US^P_BETA_LOCIDX(45261,45089,,\"SPX\")":1.0769767,"FIX-US^P_BETA_LOCIDX(45260,45086,,\"SPX\")":1.0702411,"FIX-US^P_BETA_LOCIDX(45259,45085,,\"SPX\")":1.0607139,"FIX-US^P_BETA_LOCIDX(45258,45084,,\"SPX\")":1.0639732,"FIX-US^P_BETA_LOCIDX(45257,45083,,\"SPX\")":1.0778787,"FIX-US^P_BETA_LOCIDX(45254,45082,,\"SPX\")":1.0838693,"FIX-US^P_BETA_LOCIDX(45252,45079,,\"SPX\")":1.1369407,"FIX-US^P_BETA_LOCIDX(45251,45078,,\"SPX\")":1.1142058,"FIX-US^P_BETA_LOCIDX(45250,45077,,\"SPX\")":1.1284802,"FIX-US^P_BETA_LOCIDX(45247,45076,,\"SPX\")":1.1415056,"FIX-US^P_BETA_LOCIDX(45246,45072,,\"SPX\")":1.1104927,"FIX-US^P_BETA_LOCIDX(45245,45071,,\"SPX\")":1.1407523,"FIX-US^P_BETA_LOCIDX(45244,45070,,\"SPX\")":1.152409,"FIX-US^P_BETA_LOCIDX(45243,45069,,\"SPX\")":1.067074,"FIX-US^P_BETA_LOCIDX(45240,45068,,\"SPX\")":1.06862,"FIX-US^P_BETA_LOCIDX(45239,45065,,\"SPX\")":1.0847683,"FIX-US^P_BETA_LOCIDX(45238,45064,,\"SPX\")":1.1045628,"FIX-US^P_BETA_LOCIDX(45237,45063,,\"SPX\")":1.087347,"FIX-US^P_BETA_LOCIDX(45236,45062,,\"SPX\")":1.0901883,"FIX-US^P_BETA_LOCIDX(45233,45061,,\"SPX\")":1.092454,"FIX-US^P_BETA_LOCIDX(45232,45058,,\"SPX\")":1.106134,"FIX-US^P_BETA_LOCIDX(45231,45057,,\"SPX\")":1.128019,"FIX-US^P_BETA_LOCIDX(45230,45056,,\"SPX\")":1.1272761,"FIX-US^P_BETA_LOCIDX(45229,45055,,\"SPX\")":1.118541,"FIX-US^P_BETA_LOCIDX(45226,45054,,\"SPX\")":1.1066403,"FIX-US^P_BETA_LOCIDX(45225,45051,,\"SPX\")":1.231167,"FIX-US^P_BETA_LOCIDX(45224,45050,,\"SPX\")":1.2785714,"FIX-US^P_BETA_LOCIDX(45223,45049,,\"SPX\")":1.2748227,"FIX-US^P_BETA_LOCIDX(45222,45048,,\"SPX\")":1.2112509,"FIX-US^P_BETA_LOCIDX(45219,45047,,\"SPX\")":1.2118993,"FIX-US^P_BETA_LOCIDX(45218,45044,,\"SPX\")":1.2289001,"FIX-US^P_BETA_LOCIDX(45217,45043,,\"SPX\")":1.4863034,"FIX-US^P_BETA_LOCIDX(45216,45042,,\"SPX\")":1.4440451,"FIX-US^P_BETA_LOCIDX(45215,45041,,\"SPX\")":1.4315888,"FIX-US^P_BETA_LOCIDX(45212,45040,,\"SPX\")":1.4416238,"FIX-US^P_BETA_LOCIDX(45211,45037,,\"SPX\")":1.4144826,"FIX-US^P_BETA_LOCIDX(45210,45036,,\"SPX\")":1.3672913,"FIX-US^P_BETA_LOCIDX(45209,45035,,\"SPX\")":1.3707099,"FIX-US^P_BETA_LOCIDX(45208,45034,,\"SPX\")":1.3817714,"FIX-US^P_BETA_LOCIDX(45205,45033,,\"SPX\")":1.3866208,"FIX-US^P_BETA_LOCIDX(45204,45030,,\"SPX\")":1.3914386,"FIX-US^P_BETA_LOCIDX(45203,45029,,\"SPX\")":1.3690434,"FIX-US^P_BETA_LOCIDX(45202,45028,,\"SPX\")":1.3692517,"FIX-US^P_BETA_LOCIDX(45201,45027,,\"SPX\")":1.3968827,"FIX-US^P_BETA_LOCIDX(45198,45026,,\"SPX\")":1.3962197,"FIX-US^P_BETA_LOCIDX(45197,45022,,\"SPX\")":1.3679066,"FIX-US^P_BETA_LOCIDX(45196,45021,,\"SPX\")":1.3850975,"FIX-US^P_BETA_LOCIDX(45195,45020,,\"SPX\")":1.4211226,"FIX-US^P_BETA_LOCIDX(45194,45019,,\"SPX\")":1.435633,"FIX-US^P_BETA_LOCIDX(45191,45016,,\"SPX\")":1.4395896,"FIX-US^P_BETA_LOCIDX(45190,45015,,\"SPX\")":1.4250393,"FIX-US^P_BETA_LOCIDX(45189,45014,,\"SPX\")":1.3346443,"FIX-US^P_BETA_LOCIDX(45188,45013,,\"SPX\")":1.3216658,"FIX-US^P_BETA_LOCIDX(45187,45012,,\"SPX\")":1.3189795,"FIX-US^P_BETA_LOCIDX(45184,45009,,\"SPX\")":1.323568,"FIX-US^P_BETA_LOCIDX(45183,45008,,\"SPX\")":1.3334556,"FIX-US^P_BETA_LOCIDX(45182,45007,,\"SPX\")":1.313835,"FIX-US^P_BETA_LOCIDX(45181,45006,,\"SPX\")":1.3071036,"FIX-US^P_BETA_LOCIDX(45180,45005,,\"SPX\")":1.3369733,"FIX-US^P_BETA_LOCIDX(45177,45002,,\"SPX\")":1.376838,"FIX-US^P_BETA_LOCIDX(45176,45001,,\"SPX\")":1.367185,"FIX-US^P_BETA_LOCIDX(45175,45000,,\"SPX\")":1.3979032,"FIX-US^P_BETA_LOCIDX(45174,44999,,\"SPX\")":1.4288013,"FIX-US^P_BETA_LOCIDX(45170,44998,,\"SPX\")":1.4414867,"FIX-US^P_BETA_LOCIDX(45169,44995,,\"SPX\")":1.4573555,"FIX-US^P_BETA_LOCIDX(45168,44994,,\"SPX\")":1.4577105,"FIX-US^P_BETA_LOCIDX(45167,44993,,\"SPX\")":1.4607152,"FIX-US^P_BETA_LOCIDX(45166,44992,,\"SPX\")":1.448095,"FIX-US^P_BETA_LOCIDX(45163,44991,,\"SPX\")":1.457388,"FIX-US^P_BETA_LOCIDX(45162,44988,,\"SPX\")":1.4591733,"FIX-US^P_BETA_LOCIDX(45161,44987,,\"SPX\")":1.4627187,"FIX-US^P_BETA_LOCIDX(45160,44986,,\"SPX\")":1.4495001,"FIX-US^P_BETA_LOCIDX(45159,44985,,\"SPX\")":1.458582,"FIX-US^P_BETA_LOCIDX(45156,44984,,\"SPX\")":1.4643793,"FIX-US^P_BETA_LOCIDX(45155,44981,,\"SPX\")":1.3275517,"FIX-US^P_BETA_LOCIDX(45154,44980,,\"SPX\")":1.3567294,"FIX-US^P_BETA_LOCIDX(45153,44979,,\"SPX\")":1.3661481,"FIX-US^P_BETA_LOCIDX(45152,44978,,\"SPX\")":1.4128717,"FIX-US^P_BETA_LOCIDX(45149,44974,,\"SPX\")":1.4127047,"FIX-US^P_BETA_LOCIDX(45148,44973,,\"SPX\")":1.3625602,"FIX-US^P_BETA_LOCIDX(45147,44972,,\"SPX\")":1.3651222,"FIX-US^P_BETA_LOCIDX(45146,44971,,\"SPX\")":1.3528237,"FIX-US^P_BETA_LOCIDX(45145,44970,,\"SPX\")":1.3571559,"FIX-US^P_BETA_LOCIDX(45142,44967,,\"SPX\")":1.3520187,"FIX-US^P_BETA_LOCIDX(45141,44966,,\"SPX\")":1.3622392,"FIX-US^P_BETA_LOCIDX(45140,44965,,\"SPX\")":1.3631598,"FIX-US^P_BETA_LOCIDX(45139,44964,,\"SPX\")":1.3818132,"FIX-US^P_BETA_LOCIDX(45138,44963,,\"SPX\")":1.3857652,"FIX-US^P_BETA_LOCIDX(45135,44960,,\"SPX\")":1.3654377,"FIX-US^P_BETA_LOCIDX(45134,44959,,\"SPX\")":1.2916166,"FIX-US^P_BETA_LOCIDX(45133,44958,,\"SPX\")":1.2858156,"FIX-US^P_BETA_LOCIDX(45132,44957,,\"SPX\")":1.291734,"FIX-US^P_BETA_LOCIDX(45131,44956,,\"SPX\")":1.2830654,"FIX-US^P_BETA_LOCIDX(45128,44953,,\"SPX\")":1.2793945,"FIX-US^P_BETA_LOCIDX(45127,44952,,\"SPX\")":1.2722826,"FIX-US^P_BETA_LOCIDX(45126,44951,,\"SPX\")":1.2627661,"FIX-US^P_BETA_LOCIDX(45125,44950,,\"SPX\")":1.2616147,"FIX-US^P_BETA_LOCIDX(45124,44949,,\"SPX\")":1.2418369,"FIX-US^P_BETA_LOCIDX(45121,44946,,\"SPX\")":1.230757,"FIX-US^P_BETA_LOCIDX(45120,44945,,\"SPX\")":1.2528272,"FIX-US^P_BETA_LOCIDX(45119,44944,,\"SPX\")":1.2371835,"FIX-US^P_BETA_LOCIDX(45118,44943,,\"SPX\")":1.2531009,"FIX-US^P_BETA_LOCIDX(45117,44939,,\"SPX\")":1.2636796,"FIX-US^P_BETA_LOCIDX(45114,44938,,\"SPX\")":1.267776,"FIX-US^P_BETA_LOCIDX(45113,44937,,\"SPX\")":1.2648813,"FIX-US^P_BETA_LOCIDX(45112,44936,,\"SPX\")":1.2579759,"FIX-US^P_BETA_LOCIDX(45110,44935,,\"SPX\")":1.251825,"FIX-US^P_BETA_LOCIDX(45107,44932,,\"SPX\")":1.2227802,"FIX-US^P_BETA_LOCIDX(45106,44931,,\"SPX\")":1.2730764,"FIX-US^P_BETA_LOCIDX(45105,44930,,\"SPX\")":1.2453169,"FIX-US^P_BETA_LOCIDX(45104,44929,,\"SPX\")":1.2335061,"FIX-US^P_BETA_LOCIDX(45103,44925,,\"SPX\")":1.2511727,"FIX-US^P_BETA_LOCIDX(45100,44924,,\"SPX\")":1.2506697,"FIX-US^P_BETA_LOCIDX(45099,44923,,\"SPX\")":1.2549484,"FIX-US^P_BETA_LOCIDX(45098,44922,,\"SPX\")":1.261323,"FIX-US^P_BETA_LOCIDX(45097,44918,,\"SPX\")":1.2834642,"FIX-US^P_BETA_LOCIDX(45093,44917,,\"SPX\")":1.2586833,"FIX-US^P_BETA_LOCIDX(45092,44916,,\"SPX\")":1.2451345,"FIX-US^P_BETA_LOCIDX(45091,44915,,\"SPX\")":1.2478685,"FIX-US^P_BETA_LOCIDX(45090,44914,,\"SPX\")":1.233207,"FIX-US^P_BETA_LOCIDX(45089,44911,,\"SPX\")":1.2464386,"FIX-US^P_BETA_LOCIDX(45086,44910,,\"SPX\")":1.2258135,"FIX-US^P_BETA_LOCIDX(45085,44909,,\"SPX\")":1.2304304,"FIX-US^P_BETA_LOCIDX(45084,44908,,\"SPX\")":1.2345082,"FIX-US^P_BETA_LOCIDX(45083,44907,,\"SPX\")":1.2087209,"FIX-US^P_BETA_LOCIDX(45082,44904,,\"SPX\")":1.2053548,"FIX-US^P_BETA_LOCIDX(45079,44903,,\"SPX\")":1.1986591,"FIX-US^P_BETA_LOCIDX(45078,44902,,\"SPX\")":1.1691725,"FIX-US^P_BETA_LOCIDX(45077,44901,,\"SPX\")":1.1750133,"FIX-US^P_BETA_LOCIDX(45076,44900,,\"SPX\")":1.167983,"FIX-US^P_BETA_LOCIDX(45072,44897,,\"SPX\")":1.1679481,"FIX-US^P_BETA_LOCIDX(45071,44896,,\"SPX\")":1.1879277,"FIX-US^P_BETA_LOCIDX(45070,44895,,\"SPX\")":1.126836,"FIX-US^P_BETA_LOCIDX(45069,44894,,\"SPX\")":1.1210929,"FIX-US^P_BETA_LOCIDX(45068,44893,,\"SPX\")":1.1100672,"FIX-US^P_BETA_LOCIDX(45065,44890,,\"SPX\")":1.110071,"FIX-US^P_BETA_LOCIDX(45064,44888,,\"SPX\")":1.1012037,"FIX-US^P_BETA_LOCIDX(45063,44887,,\"SPX\")":1.0873677,"FIX-US^P_BETA_LOCIDX(45062,44886,,\"SPX\")":1.0937203,"FIX-US^P_BETA_LOCIDX(45061,44883,,\"SPX\")":1.0954977,"FIX-US^P_BETA_LOCIDX(45058,44882,,\"SPX\")":1.0891759,"FIX-US^P_BETA_LOCIDX(45057,44881,,\"SPX\")":1.0837493,"FIX-US^P_BETA_LOCIDX(45056,44880,,\"SPX\")":1.0730615,"FIX-US^P_BETA_LOCIDX(45055,44879,,\"SPX\")":1.0631115,"FIX-US^P_BETA_LOCIDX(45054,44876,,\"SPX\")":1.0451928,"FIX-US^P_BETA_LOCIDX(45051,44875,,\"SPX\")":1.0196786,"FIX-US^P_BETA_LOCIDX(45050,44874,,\"SPX\")":1.0112112,"FIX-US^P_BETA_LOCIDX(45049,44873,,\"SPX\")":1.0017126,"FIX-US^P_BETA_LOCIDX(45048,44872,,\"SPX\")":1.0074531,"FIX-US^P_BETA_LOCIDX(45047,44869,,\"SPX\")":1.0328897,"FIX-US^P_BETA_LOCIDX(45044,44868,,\"SPX\")":1.0217267,"FIX-US^P_BETA_LOCIDX(45043,44867,,\"SPX\")":1.041272,"FIX-US^P_BETA_LOCIDX(45042,44866,,\"SPX\")":0.9310889,"FIX-US^P_BETA_LOCIDX(45041,44865,,\"SPX\")":0.9236862,"FIX-US^P_BETA_LOCIDX(45040,44862,,\"SPX\")":0.9255565,"FIX-US^P_BETA_LOCIDX(45037,44861,,\"SPX\")":0.89165306,"FIX-US^P_BETA_LOCIDX(45036,44860,,\"SPX\")":0.89171493,"FIX-US^P_BETA_LOCIDX(45035,44859,,\"SPX\")":0.904502,"FIX-US^P_BETA_LOCIDX(45034,44858,,\"SPX\")":0.9076929,"FIX-US^P_BETA_LOCIDX(45033,44855,,\"SPX\")":0.9145472,"FIX-US^P_BETA_LOCIDX(45030,44854,,\"SPX\")":0.92509466,"FIX-US^P_BETA_LOCIDX(45029,44853,,\"SPX\")":0.92609185,"FIX-US^P_BETA_LOCIDX(45028,44852,,\"SPX\")":0.94014764,"FIX-US^P_BETA_LOCIDX(45027,44851,,\"SPX\")":0.9509373,"FIX-US^P_BETA_LOCIDX(45026,44848,,\"SPX\")":0.94769245,"FIX-US^P_BETA_LOCIDX(45022,44847,,\"SPX\")":0.94633615,"FIX-US^P_BETA_LOCIDX(45021,44846,,\"SPX\")":0.9518205,"FIX-US^P_BETA_LOCIDX(45020,44845,,\"SPX\")":0.93417764,"FIX-US^P_BETA_LOCIDX(45019,44844,,\"SPX\")":0.91678506,"FIX-US^P_BETA_LOCIDX(45016,44841,,\"SPX\")":0.91881764,"FIX-US^P_BETA_LOCIDX(45015,44840,,\"SPX\")":0.90779525,"FIX-US^P_BETA_LOCIDX(45014,44839,,\"SPX\")":0.91682875,"FIX-US^P_BETA_LOCIDX(45013,44838,,\"SPX\")":0.9228417,"FIX-US^P_BETA_LOCIDX(45012,44837,,\"SPX\")":0.9656383,"FIX-US^P_BETA_LOCIDX(45009,44834,,\"SPX\")":0.9525462,"FIX-US^P_BETA_LOCIDX(45008,44833,,\"SPX\")":0.96178675,"FIX-US^P_BETA_LOCIDX(45007,44832,,\"SPX\")":0.97544706,"FIX-US^P_BETA_LOCIDX(45006,44831,,\"SPX\")":0.9791711,"FIX-US^P_BETA_LOCIDX(45005,44830,,\"SPX\")":0.98340046,"FIX-US^P_BETA_LOCIDX(45002,44827,,\"SPX\")":0.98020405,"FIX-US^P_BETA_LOCIDX(45001,44826,,\"SPX\")":0.9759876,"FIX-US^P_BETA_LOCIDX(45000,44825,,\"SPX\")":0.9677455,"FIX-US^P_BETA_LOCIDX(44999,44824,,\"SPX\")":0.9512681,"FIX-US^P_BETA_LOCIDX(44998,44823,,\"SPX\")":0.9521227,"FIX-US^P_BETA_LOCIDX(44995,44820,,\"SPX\")":0.9466476,"FIX-US^P_BETA_LOCIDX(44994,44819,,\"SPX\")":0.9365771,"FIX-US^P_BETA_LOCIDX(44993,44818,,\"SPX\")":0.9234382,"FIX-US^P_BETA_LOCIDX(44992,44817,,\"SPX\")":0.903129,"FIX-US^P_BETA_LOCIDX(44991,44816,,\"SPX\")":0.9031175,"FIX-US^P_BETA_LOCIDX(44988,44813,,\"SPX\")":0.90263325,"FIX-US^P_BETA_LOCIDX(44987,44812,,\"SPX\")":0.8962326,"FIX-US^P_BETA_LOCIDX(44986,44811,,\"SPX\")":0.89999163,"FIX-US^P_BETA_LOCIDX(44985,44810,,\"SPX\")":0.905558,"FIX-US^P_BETA_LOCIDX(44984,44806,,\"SPX\")":0.903319,"FIX-US^P_BETA_LOCIDX(44981,44805,,\"SPX\")":0.90402997,"FIX-US^P_BETA_LOCIDX(44980,44804,,\"SPX\")":0.9386058,"FIX-US^P_BETA_LOCIDX(44979,44803,,\"SPX\")":0.92862165,"FIX-US^P_BETA_LOCIDX(44978,44802,,\"SPX\")":0.92657024,"FIX-US^P_BETA_LOCIDX(44974,44799,,\"SPX\")":0.9123004,"FIX-US^P_BETA_LOCIDX(44973,44798,,\"SPX\")":0.9218118,"FIX-US^P_BETA_LOCIDX(44972,44797,,\"SPX\")":0.9340097,"FIX-US^P_BETA_LOCIDX(44971,44796,,\"SPX\")":0.9333954,"FIX-US^P_BETA_LOCIDX(44970,44795,,\"SPX\")":0.93729144,"FIX-US^P_BETA_LOCIDX(44967,44792,,\"SPX\")":0.94100744,"FIX-US^P_BETA_LOCIDX(44966,44791,,\"SPX\")":0.9404612,"FIX-US^P_BETA_LOCIDX(44965,44790,,\"SPX\")":0.9376299,"FIX-US^P_BETA_LOCIDX(44964,44789,,\"SPX\")":0.93651664,"FIX-US^P_BETA_LOCIDX(44963,44788,,\"SPX\")":0.94008416,"FIX-US^P_BETA_LOCIDX(44960,44785,,\"SPX\")":0.95277506,"FIX-US^P_BETA_LOCIDX(44959,44784,,\"SPX\")":0.95686525,"FIX-US^P_BETA_LOCIDX(44958,44783,,\"SPX\")":0.9645973,"FIX-US^P_BETA_LOCIDX(44957,44782,,\"SPX\")":0.97040564,"FIX-US^P_BETA_LOCIDX(44956,44781,,\"SPX\")":0.9645802,"FIX-US^P_BETA_LOCIDX(44953,44778,,\"SPX\")":0.965002,"FIX-US^P_BETA_LOCIDX(44952,44777,,\"SPX\")":0.9663561,"FIX-US^P_BETA_LOCIDX(44951,44776,,\"SPX\")":0.9557831,"FIX-US^P_BETA_LOCIDX(44950,44775,,\"SPX\")":0.95618236,"FIX-US^P_BETA_LOCIDX(44949,44774,,\"SPX\")":0.9565706,"FIX-US^P_BETA_LOCIDX(44946,44771,,\"SPX\")":0.9913263,"FIX-US^P_BETA_LOCIDX(44945,44770,,\"SPX\")":1.0150956,"FIX-US^P_BETA_LOCIDX(44944,44769,,\"SPX\")":0.99654406,"FIX-US^P_BETA_LOCIDX(44943,44768,,\"SPX\")":0.99042237,"FIX-US^P_BETA_LOCIDX(44939,44767,,\"SPX\")":0.98649055,"FIX-US^P_BETA_LOCIDX(44938,44764,,\"SPX\")":0.98080254,"FIX-US^P_BETA_LOCIDX(44937,44763,,\"SPX\")":0.9799664,"FIX-US^P_BETA_LOCIDX(44936,44762,,\"SPX\")":0.980072,"FIX-US^P_BETA_LOCIDX(44935,44761,,\"SPX\")":1.0059885,"FIX-US^P_BETA_LOCIDX(44932,44760,,\"SPX\")":1.0079114,"FIX-US^P_BETA_LOCIDX(44931,44757,,\"SPX\")":1.0082921,"FIX-US^P_BETA_LOCIDX(44930,44756,,\"SPX\")":1.0004126,"FIX-US^P_BETA_LOCIDX(44929,44755,,\"SPX\")":1.0096972,"FIX-US^P_BETA_LOCIDX(44925,44754,,\"SPX\")":1.0155109,"FIX-US^P_BETA_LOCIDX(44924,44753,,\"SPX\")":1.0090264,"FIX-US^P_BETA_LOCIDX(44923,44750,,\"SPX\")":1.0092108,"FIX-US^P_BETA_LOCIDX(44922,44749,,\"SPX\")":1.0103784,"FIX-US^P_BETA_LOCIDX(44918,44748,,\"SPX\")":1.006641,"FIX-US^P_BETA_LOCIDX(44917,44747,,\"SPX\")":1.0073297,"FIX-US^P_BETA_LOCIDX(44916,44743,,\"SPX\")":1.0117512,"FIX-US^P_BETA_LOCIDX(44915,44742,,\"SPX\")":1.0056708,"FIX-US^P_BETA_LOCIDX(44914,44741,,\"SPX\")":1.0065379,"FIX-US^P_BETA_LOCIDX(44911,44740,,\"SPX\")":1.0095223,"FIX-US^P_BETA_LOCIDX(44910,44739,,\"SPX\")":1.0065651,"FIX-US^P_BETA_LOCIDX(44909,44736,,\"SPX\")":1.0228051,"FIX-US^P_BETA_LOCIDX(44908,44735,,\"SPX\")":1.0219364,"FIX-US^P_BETA_LOCIDX(44907,44734,,\"SPX\")":1.0206945,"FIX-US^P_BETA_LOCIDX(44904,44733,,\"SPX\")":1.017322,"FIX-US^P_BETA_LOCIDX(44903,44729,,\"SPX\")":1.0147455,"FIX-US^P_BETA_LOCIDX(44902,44728,,\"SPX\")":1.0943354,"FIX-US^P_BETA_LOCIDX(44901,44727,,\"SPX\")":1.074445,"FIX-US^P_BETA_LOCIDX(44900,44726,,\"SPX\")":1.0762601,"FIX-US^P_BETA_LOCIDX(44897,44725,,\"SPX\")":1.0534892,"FIX-US^P_BETA_LOCIDX(44896,44722,,\"SPX\")":1.0521499,"FIX-US^P_BETA_LOCIDX(44895,44721,,\"SPX\")":1.0395067,"FIX-US^P_BETA_LOCIDX(44894,44720,,\"SPX\")":1.0538607,"FIX-US^P_BETA_LOCIDX(44893,44719,,\"SPX\")":1.0521213,"FIX-US^P_BETA_LOCIDX(44890,44718,,\"SPX\")":1.0497258,"FIX-US^P_BETA_LOCIDX(44888,44715,,\"SPX\")":1.0461795,"FIX-US^P_BETA_LOCIDX(44887,44714,,\"SPX\")":1.0541745,"FIX-US^P_BETA_LOCIDX(44886,44713,,\"SPX\")":1.0588527,"FIX-US^P_BETA_LOCIDX(44883,44712,,\"SPX\")":1.063178,"FIX-US^P_BETA_LOCIDX(44882,44708,,\"SPX\")":1.0678458,"FIX-US^P_BETA_LOCIDX(44881,44707,,\"SPX\")":1.0682936,"FIX-US^P_BETA_LOCIDX(44880,44706,,\"SPX\")":1.0630534,"FIX-US^P_BETA_LOCIDX(44879,44705,,\"SPX\")":1.0557073,"FIX-US^P_BETA_LOCIDX(44876,44704,,\"SPX\")":1.056754,"FIX-US^P_BETA_LOCIDX(44875,44701,,\"SPX\")":1.0658358,"FIX-US^P_BETA_LOCIDX(44874,44700,,\"SPX\")":1.0867957,"FIX-US^P_BETA_LOCIDX(44873,44699,,\"SPX\")":1.0619491,"FIX-US^P_BETA_LOCIDX(44872,44698,,\"SPX\")":1.0618939,"FIX-US^P_BETA_LOCIDX(44869,44697,,\"SPX\")":1.059825,"FIX-US^P_BETA_LOCIDX(44868,44694,,\"SPX\")":1.0512016,"FIX-US^P_BETA_LOCIDX(44867,44693,,\"SPX\")":1.0549659,"FIX-US^P_BETA_LOCIDX(44866,44692,,\"SPX\")":1.0526367,"FIX-US^P_BETA_LOCIDX(44865,44691,,\"SPX\")":1.0507854,"FIX-US^P_BETA_LOCIDX(44862,44690,,\"SPX\")":1.0512336,"FIX-US^P_BETA_LOCIDX(44861,44687,,\"SPX\")":1.0568957,"FIX-US^P_BETA_LOCIDX(44860,44686,,\"SPX\")":1.0765637,"FIX-US^P_BETA_LOCIDX(44859,44685,,\"SPX\")":1.094716,"FIX-US^P_BETA_LOCIDX(44858,44684,,\"SPX\")":1.09839,"FIX-US^P_BETA_LOCIDX(44855,44683,,\"SPX\")":1.0955172,"FIX-US^P_BETA_LOCIDX(44854,44680,,\"SPX\")":1.0763625,"FIX-US^P_BETA_LOCIDX(44853,44679,,\"SPX\")":1.0570302,"FIX-US^P_BETA_LOCIDX(44852,44678,,\"SPX\")":1.0564078,"FIX-US^P_BETA_LOCIDX(44851,44677,,\"SPX\")":1.052173,"FIX-US^P_BETA_LOCIDX(44848,44676,,\"SPX\")":1.0495764,"FIX-US^P_BETA_LOCIDX(44847,44673,,\"SPX\")":1.0554361,"FIX-US^P_BETA_LOCIDX(44846,44672,,\"SPX\")":1.0649574,"FIX-US^P_BETA_LOCIDX(44845,44671,,\"SPX\")":1.0651389,"FIX-US^P_BETA_LOCIDX(44844,44670,,\"SPX\")":1.0684648,"FIX-US^P_BETA_LOCIDX(44841,44669,,\"SPX\")":1.0691835,"FIX-US^P_BETA_LOCIDX(44840,44665,,\"SPX\")":1.0686998,"FIX-US^P_BETA_LOCIDX(44839,44664,,\"SPX\")":1.0708195,"FIX-US^P_BETA_LOCIDX(44838,44663,,\"SPX\")":1.0688583,"FIX-US^P_BETA_LOCIDX(44837,44662,,\"SPX\")":1.0651324,"FIX-US^P_BETA_LOCIDX(44834,44659,,\"SPX\")":1.0372077,"FIX-US^P_BETA_LOCIDX(44833,44658,,\"SPX\")":1.0445093,"FIX-US^P_BETA_LOCIDX(44832,44657,,\"SPX\")":1.0403869,"FIX-US^P_BETA_LOCIDX(44831,44656,,\"SPX\")":1.0329337,"FIX-US^P_BETA_LOCIDX(44830,44655,,\"SPX\")":1.0281161,"FIX-US^P_BETA_LOCIDX(44827,44652,,\"SPX\")":1.0269346,"FIX-US^P_BETA_LOCIDX(44826,44651,,\"SPX\")":1.0222771,"FIX-US^P_BETA_LOCIDX(44825,44650,,\"SPX\")":1.0188178,"FIX-US^P_BETA_LOCIDX(44824,44649,,\"SPX\")":1.0317501,"FIX-US^P_BETA_LOCIDX(44823,44648,,\"SPX\")":1.0347809,"FIX-US^P_BETA_LOCIDX(44820,44645,,\"SPX\")":1.0280312,"FIX-US^P_BETA_LOCIDX(44819,44644,,\"SPX\")":1.0029693,"FIX-US^P_BETA_LOCIDX(44818,44643,,\"SPX\")":1.0125122,"FIX-US^P_BETA_LOCIDX(44817,44642,,\"SPX\")":1.0170729,"FIX-US^P_BETA_LOCIDX(44816,44641,,\"SPX\")":1.0426844,"FIX-US^P_BETA_LOCIDX(44813,44638,,\"SPX\")":1.0352106,"FIX-US^P_BETA_LOCIDX(44812,44637,,\"SPX\")":1.0322064,"FIX-US^P_BETA_LOCIDX(44811,44636,,\"SPX\")":1.0201691,"FIX-US^P_BETA_LOCIDX(44810,44635,,\"SPX\")":1.0053717,"FIX-US^P_BETA_LOCIDX(44806,44634,,\"SPX\")":1.0020982,"FIX-US^P_BETA_LOCIDX(44805,44631,,\"SPX\")":0.9975617,"FIX-US^P_BETA_LOCIDX(44804,44630,,\"SPX\")":0.99537164,"FIX-US^P_BETA_LOCIDX(44803,44629,,\"SPX\")":1.0091043,"FIX-US^P_BETA_LOCIDX(44802,44628,,\"SPX\")":0.9949489,"FIX-US^P_BETA_LOCIDX(44799,44627,,\"SPX\")":0.98184615,"FIX-US^P_BETA_LOCIDX(44798,44624,,\"SPX\")":0.9869641,"FIX-US^P_BETA_LOCIDX(44797,44623,,\"SPX\")":0.98204195,"FIX-US^P_BETA_LOCIDX(44796,44622,,\"SPX\")":0.99444073,"FIX-US^P_BETA_LOCIDX(44795,44621,,\"SPX\")":1.0017077,"FIX-US^P_BETA_LOCIDX(44792,44620,,\"SPX\")":0.9990288,"FIX-US^P_BETA_LOCIDX(44791,44617,,\"SPX\")":1.0051688,"FIX-US^P_BETA_LOCIDX(44790,44616,,\"SPX\")":0.9865126,"FIX-US^P_BETA_LOCIDX(44789,44615,,\"SPX\")":0.9877853,"FIX-US^P_BETA_LOCIDX(44788,44614,,\"SPX\")":0.99484974,"FIX-US^P_BETA_LOCIDX(44785,44610,,\"SPX\")":0.9939838,"FIX-US^P_BETA_LOCIDX(44784,44609,,\"SPX\")":0.98591816,"FIX-US^P_BETA_LOCIDX(44783,44608,,\"SPX\")":0.98623645,"FIX-US^P_BETA_LOCIDX(44782,44607,,\"SPX\")":0.9922192,"FIX-US^P_BETA_LOCIDX(44781,44606,,\"SPX\")":0.9882588,"FIX-US^P_BETA_LOCIDX(44778,44603,,\"SPX\")":0.9809931,"FIX-US^P_BETA_LOCIDX(44777,44602,,\"SPX\")":0.9872029,"FIX-US^P_BETA_LOCIDX(44776,44601,,\"SPX\")":0.9994856,"FIX-US^P_BETA_LOCIDX(44775,44600,,\"SPX\")":1.0105492,"FIX-US^P_BETA_LOCIDX(44774,44599,,\"SPX\")":1.0095161,"FIX-US^P_BETA_LOCIDX(45845,45670,,\"SPX\")":1.7638309,"FERG-US^P_BETA_LOCIDX(45841,45665,,\"SPX\")":0.9144162,"FERG-US^P_BETA_LOCIDX(45840,45664,,\"SPX\")":0.91586024,"FERG-US^P_BETA_LOCIDX(45839,45663,,\"SPX\")":0.9151354,"FERG-US^P_BETA_LOCIDX(45838,45660,,\"SPX\")":0.912491,"FERG-US^P_BETA_LOCIDX(45835,45659,,\"SPX\")":0.91376686,"FERG-US^P_BETA_LOCIDX(45834,45657,,\"SPX\")":0.91466683,"FERG-US^P_BETA_LOCIDX(45833,45656,,\"SPX\")":0.91886157,"FERG-US^P_BETA_LOCIDX(45832,45653,,\"SPX\")":0.92166334,"FERG-US^P_BETA_LOCIDX(45831,45652,,\"SPX\")":0.91887766,"FERG-US^P_BETA_LOCIDX(45828,45650,,\"SPX\")":0.9196471,"FERG-US^P_BETA_LOCIDX(45826,45649,,\"SPX\")":0.9155613,"FERG-US^P_BETA_LOCIDX(45825,45646,,\"SPX\")":0.9186608,"FERG-US^P_BETA_LOCIDX(45824,45645,,\"SPX\")":0.91899794,"FERG-US^P_BETA_LOCIDX(45821,45644,,\"SPX\")":0.9366864,"FERG-US^P_BETA_LOCIDX(45820,45643,,\"SPX\")":0.93879926,"FERG-US^P_BETA_LOCIDX(45819,45642,,\"SPX\")":0.93743324,"FERG-US^P_BETA_LOCIDX(45818,45639,,\"SPX\")":0.9361631,"FERG-US^P_BETA_LOCIDX(45817,45638,,\"SPX\")":0.93727577,"FERG-US^P_BETA_LOCIDX(45814,45637,,\"SPX\")":0.93279886,"FERG-US^P_BETA_LOCIDX(45813,45636,,\"SPX\")":0.95256996,"FERG-US^P_BETA_LOCIDX(45812,45635,,\"SPX\")":0.9503013,"FERG-US^P_BETA_LOCIDX(45811,45632,,\"SPX\")":0.9506882,"FERG-US^P_BETA_LOCIDX(45810,45631,,\"SPX\")":0.9195876,"FERG-US^P_BETA_LOCIDX(45807,45630,,\"SPX\")":0.92236286,"FERG-US^P_BETA_LOCIDX(45806,45629,,\"SPX\")":0.9229377,"FERG-US^P_BETA_LOCIDX(45805,45628,,\"SPX\")":0.9220204,"FERG-US^P_BETA_LOCIDX(45804,45625,,\"SPX\")":0.9243291,"FERG-US^P_BETA_LOCIDX(45800,45623,,\"SPX\")":0.91736084,"FERG-US^P_BETA_LOCIDX(45799,45622,,\"SPX\")":0.9135637,"FERG-US^P_BETA_LOCIDX(45798,45621,,\"SPX\")":0.9170307,"FERG-US^P_BETA_LOCIDX(45797,45618,,\"SPX\")":0.9165331,"FERG-US^P_BETA_LOCIDX(45796,45617,,\"SPX\")":0.91881925,"FERG-US^P_BETA_LOCIDX(45793,45616,,\"SPX\")":0.91898793,"FERG-US^P_BETA_LOCIDX(45792,45615,,\"SPX\")":0.9167719,"FERG-US^P_BETA_LOCIDX(45791,45614,,\"SPX\")":0.91221225,"FERG-US^P_BETA_LOCIDX(45790,45611,,\"SPX\")":0.9139829,"FERG-US^P_BETA_LOCIDX(45789,45610,,\"SPX\")":0.9158038,"FERG-US^P_BETA_LOCIDX(45786,45609,,\"SPX\")":0.91251975,"FERG-US^P_BETA_LOCIDX(45785,45608,,\"SPX\")":0.91345644,"FERG-US^P_BETA_LOCIDX(45784,45607,,\"SPX\")":0.9108617,"FERG-US^P_BETA_LOCIDX(45783,45604,,\"SPX\")":0.909164,"FERG-US^P_BETA_LOCIDX(45782,45603,,\"SPX\")":0.9038947,"FERG-US^P_BETA_LOCIDX(45779,45602,,\"SPX\")":0.9249525,"FERG-US^P_BETA_LOCIDX(45778,45601,,\"SPX\")":0.9278475,"FERG-US^P_BETA_LOCIDX(45777,45600,,\"SPX\")":0.9284659,"FERG-US^P_BETA_LOCIDX(45776,45597,,\"SPX\")":0.92903894,"FERG-US^P_BETA_LOCIDX(45775,45596,,\"SPX\")":0.9203992,"FERG-US^P_BETA_LOCIDX(45772,45595,,\"SPX\")":0.91874236,"FERG-US^P_BETA_LOCIDX(45771,45594,,\"SPX\")":0.9196819,"FERG-US^P_BETA_LOCIDX(45770,45593,,\"SPX\")":0.9048266,"FERG-US^P_BETA_LOCIDX(45769,45590,,\"SPX\")":0.9137922,"FERG-US^P_BETA_LOCIDX(45768,45589,,\"SPX\")":0.92091954,"FERG-US^P_BETA_LOCIDX(45764,45588,,\"SPX\")":0.91925675,"FERG-US^P_BETA_LOCIDX(45763,45587,,\"SPX\")":0.9182501,"FERG-US^P_BETA_LOCIDX(45762,45586,,\"SPX\")":0.92003906,"FERG-US^P_BETA_LOCIDX(45761,45583,,\"SPX\")":0.91897935,"FERG-US^P_BETA_LOCIDX(45758,45582,,\"SPX\")":0.91768754,"FERG-US^P_BETA_LOCIDX(45757,45581,,\"SPX\")":0.917816,"FERG-US^P_BETA_LOCIDX(45756,45580,,\"SPX\")":0.9382889,"FERG-US^P_BETA_LOCIDX(45755,45579,,\"SPX\")":0.7985783,"FERG-US^P_BETA_LOCIDX(45754,45576,,\"SPX\")":0.785792,"FERG-US^P_BETA_LOCIDX(45751,45575,,\"SPX\")":0.7838837,"FERG-US^P_BETA_LOCIDX(45750,45574,,\"SPX\")":0.933862,"FERG-US^P_BETA_LOCIDX(45749,45573,,\"SPX\")":0.96100557,"FERG-US^P_BETA_LOCIDX(45748,45572,,\"SPX\")":0.93786603,"FERG-US^P_BETA_LOCIDX(45747,45569,,\"SPX\")":0.9462283,"FERG-US^P_BETA_LOCIDX(45744,45568,,\"SPX\")":0.95225203,"FERG-US^P_BETA_LOCIDX(45743,45567,,\"SPX\")":0.9620868,"FERG-US^P_BETA_LOCIDX(45742,45566,,\"SPX\")":0.9465889,"FERG-US^P_BETA_LOCIDX(45741,45565,,\"SPX\")":0.94761264,"FERG-US^P_BETA_LOCIDX(45740,45562,,\"SPX\")":0.946789,"FERG-US^P_BETA_LOCIDX(45737,45561,,\"SPX\")":0.9547666,"FERG-US^P_BETA_LOCIDX(45736,45560,,\"SPX\")":0.9565293,"FERG-US^P_BETA_LOCIDX(45735,45559,,\"SPX\")":0.9574134,"FERG-US^P_BETA_LOCIDX(45734,45558,,\"SPX\")":0.9616466,"FERG-US^P_BETA_LOCIDX(45733,45555,,\"SPX\")":0.9888244,"FERG-US^P_BETA_LOCIDX(45730,45554,,\"SPX\")":0.9770895,"FERG-US^P_BETA_LOCIDX(45729,45553,,\"SPX\")":0.94889927,"FERG-US^P_BETA_LOCIDX(45728,45552,,\"SPX\")":0.96710575,"FERG-US^P_BETA_LOCIDX(45727,45551,,\"SPX\")":0.9761784,"FERG-US^P_BETA_LOCIDX(45726,45548,,\"SPX\")":0.945826,"FERG-US^P_BETA_LOCIDX(45723,45547,,\"SPX\")":0.9846397,"FERG-US^P_BETA_LOCIDX(45722,45546,,\"SPX\")":0.96380454,"FERG-US^P_BETA_LOCIDX(45721,45545,,\"SPX\")":0.96445966,"FERG-US^P_BETA_LOCIDX(45720,45544,,\"SPX\")":0.91423875,"FERG-US^P_BETA_LOCIDX(45719,45541,,\"SPX\")":0.8835758,"FERG-US^P_BETA_LOCIDX(45716,45540,,\"SPX\")":0.87446165,"FERG-US^P_BETA_LOCIDX(45715,45539,,\"SPX\")":0.8827763,"FERG-US^P_BETA_LOCIDX(45714,45538,,\"SPX\")":0.8958974,"FERG-US^P_BETA_LOCIDX(45713,45534,,\"SPX\")":0.89154714,"FERG-US^P_BETA_LOCIDX(45712,45533,,\"SPX\")":0.9043477,"FERG-US^P_BETA_LOCIDX(45709,45532,,\"SPX\")":0.9092319,"FERG-US^P_BETA_LOCIDX(45708,45531,,\"SPX\")":0.9003957,"FERG-US^P_BETA_LOCIDX(45707,45530,,\"SPX\")":0.88921136,"FERG-US^P_BETA_LOCIDX(45706,45527,,\"SPX\")":0.9166827,"FERG-US^P_BETA_LOCIDX(45702,45526,,\"SPX\")":0.91817206,"FERG-US^P_BETA_LOCIDX(45701,45525,,\"SPX\")":0.92892814,"FERG-US^P_BETA_LOCIDX(45700,45524,,\"SPX\")":0.9196251,"FERG-US^P_BETA_LOCIDX(45699,45523,,\"SPX\")":0.91270393,"FERG-US^P_BETA_LOCIDX(45698,45520,,\"SPX\")":0.9102464,"FERG-US^P_BETA_LOCIDX(45695,45519,,\"SPX\")":0.92841893,"FERG-US^P_BETA_LOCIDX(45694,45518,,\"SPX\")":0.9062185,"FERG-US^P_BETA_LOCIDX(45693,45517,,\"SPX\")":0.95379245,"FERG-US^P_BETA_LOCIDX(45692,45516,,\"SPX\")":0.94946605,"FERG-US^P_BETA_LOCIDX(45691,45513,,\"SPX\")":0.9729074,"FERG-US^P_BETA_LOCIDX(45688,45512,,\"SPX\")":0.9817735,"FERG-US^P_BETA_LOCIDX(45687,45511,,\"SPX\")":1.0026253,"FERG-US^P_BETA_LOCIDX(45686,45510,,\"SPX\")":1.0012983,"FERG-US^P_BETA_LOCIDX(45685,45509,,\"SPX\")":1.0177919,"FERG-US^P_BETA_LOCIDX(45684,45506,,\"SPX\")":1.0920486,"FERG-US^P_BETA_LOCIDX(45681,45505,,\"SPX\")":1.1710387,"FERG-US^P_BETA_LOCIDX(45680,45504,,\"SPX\")":1.174157,"FERG-US^P_BETA_LOCIDX(45679,45503,,\"SPX\")":1.1793855,"FERG-US^P_BETA_LOCIDX(45678,45502,,\"SPX\")":1.172004,"FERG-US^P_BETA_LOCIDX(45674,45499,,\"SPX\")":1.1718402,"FERG-US^P_BETA_LOCIDX(45673,45498,,\"SPX\")":1.1559014,"FERG-US^P_BETA_LOCIDX(45672,45497,,\"SPX\")":1.1345209,"FERG-US^P_BETA_LOCIDX(45671,45496,,\"SPX\")":1.1749625,"FERG-US^P_BETA_LOCIDX(45670,45495,,\"SPX\")":1.1777854,"FERG-US^P_BETA_LOCIDX(45667,45492,,\"SPX\")":1.1776291,"FERG-US^P_BETA_LOCIDX(45665,45491,,\"SPX\")":1.1839797,"FERG-US^P_BETA_LOCIDX(45664,45490,,\"SPX\")":1.1924766,"FERG-US^P_BETA_LOCIDX(45663,45489,,\"SPX\")":1.2229322,"FERG-US^P_BETA_LOCIDX(45660,45488,,\"SPX\")":1.227175,"FERG-US^P_BETA_LOCIDX(45659,45485,,\"SPX\")":1.2569516,"FERG-US^P_BETA_LOCIDX(45657,45484,,\"SPX\")":1.2281513,"FERG-US^P_BETA_LOCIDX(45656,45483,,\"SPX\")":1.2383928,"FERG-US^P_BETA_LOCIDX(45653,45482,,\"SPX\")":1.2442868,"FERG-US^P_BETA_LOCIDX(45652,45481,,\"SPX\")":1.2436339,"FERG-US^P_BETA_LOCIDX(45650,45478,,\"SPX\")":1.2437222,"FERG-US^P_BETA_LOCIDX(45649,45476,,\"SPX\")":1.2477168,"FERG-US^P_BETA_LOCIDX(45646,45475,,\"SPX\")":1.2579926,"FERG-US^P_BETA_LOCIDX(45645,45474,,\"SPX\")":1.2462549,"FERG-US^P_BETA_LOCIDX(45644,45471,,\"SPX\")":1.2407405,"FERG-US^P_BETA_LOCIDX(45643,45470,,\"SPX\")":1.2302772,"FERG-US^P_BETA_LOCIDX(45642,45469,,\"SPX\")":1.2310882,"FERG-US^P_BETA_LOCIDX(45639,45468,,\"SPX\")":1.2282866,"FERG-US^P_BETA_LOCIDX(45638,45467,,\"SPX\")":1.2257737,"FERG-US^P_BETA_LOCIDX(45637,45464,,\"SPX\")":1.2189181,"FERG-US^P_BETA_LOCIDX(45636,45463,,\"SPX\")":1.2412946,"FERG-US^P_BETA_LOCIDX(45635,45461,,\"SPX\")":1.1985224,"FERG-US^P_BETA_LOCIDX(45632,45460,,\"SPX\")":1.1987725,"FERG-US^P_BETA_LOCIDX(45631,45457,,\"SPX\")":1.2027895,"FERG-US^P_BETA_LOCIDX(45630,45456,,\"SPX\")":1.1918972,"FERG-US^P_BETA_LOCIDX(45629,45455,,\"SPX\")":1.2123228,"FERG-US^P_BETA_LOCIDX(45628,45454,,\"SPX\")":1.2155108,"FERG-US^P_BETA_LOCIDX(45625,45453,,\"SPX\")":1.2180364,"FERG-US^P_BETA_LOCIDX(45623,45450,,\"SPX\")":1.215848,"FERG-US^P_BETA_LOCIDX(45622,45449,,\"SPX\")":1.2216543,"FERG-US^P_BETA_LOCIDX(45621,45448,,\"SPX\")":1.2449719,"FERG-US^P_BETA_LOCIDX(45618,45447,,\"SPX\")":1.2366029,"FERG-US^P_BETA_LOCIDX(45617,45446,,\"SPX\")":1.2340736,"FERG-US^P_BETA_LOCIDX(45616,45443,,\"SPX\")":1.2229443,"FERG-US^P_BETA_LOCIDX(45615,45442,,\"SPX\")":1.2104138,"FERG-US^P_BETA_LOCIDX(45614,45441,,\"SPX\")":1.2090105,"FERG-US^P_BETA_LOCIDX(45611,45440,,\"SPX\")":1.2096627,"FERG-US^P_BETA_LOCIDX(45610,45436,,\"SPX\")":1.2092254,"FERG-US^P_BETA_LOCIDX(45609,45435,,\"SPX\")":1.20975,"FERG-US^P_BETA_LOCIDX(45608,45434,,\"SPX\")":1.2113038,"FERG-US^P_BETA_LOCIDX(45607,45433,,\"SPX\")":1.2065351,"FERG-US^P_BETA_LOCIDX(45604,45432,,\"SPX\")":1.2064542,"FERG-US^P_BETA_LOCIDX(45603,45429,,\"SPX\")":1.2122167,"FERG-US^P_BETA_LOCIDX(45602,45428,,\"SPX\")":1.2313316,"FERG-US^P_BETA_LOCIDX(45601,45427,,\"SPX\")":1.1855136,"FERG-US^P_BETA_LOCIDX(45600,45426,,\"SPX\")":1.1715343,"FERG-US^P_BETA_LOCIDX(45597,45425,,\"SPX\")":1.1748587,"FERG-US^P_BETA_LOCIDX(45596,45422,,\"SPX\")":1.1740298,"FERG-US^P_BETA_LOCIDX(45595,45421,,\"SPX\")":1.2290165,"FERG-US^P_BETA_LOCIDX(45594,45420,,\"SPX\")":1.2373806,"FERG-US^P_BETA_LOCIDX(45593,45419,,\"SPX\")":1.2383317,"FERG-US^P_BETA_LOCIDX(45590,45418,,\"SPX\")":1.2328492,"FERG-US^P_BETA_LOCIDX(45589,45415,,\"SPX\")":1.2379096,"FERG-US^P_BETA_LOCIDX(45588,45414,,\"SPX\")":1.2356739,"FERG-US^P_BETA_LOCIDX(45587,45413,,\"SPX\")":1.2418405,"FERG-US^P_BETA_LOCIDX(45586,45412,,\"SPX\")":1.2447214,"FERG-US^P_BETA_LOCIDX(45583,45411,,\"SPX\")":1.2392229,"FERG-US^P_BETA_LOCIDX(45582,45408,,\"SPX\")":1.2319839,"FERG-US^P_BETA_LOCIDX(45581,45407,,\"SPX\")":1.2170992,"FERG-US^P_BETA_LOCIDX(45580,45406,,\"SPX\")":1.214447,"FERG-US^P_BETA_LOCIDX(45579,45405,,\"SPX\")":1.2256287,"FERG-US^P_BETA_LOCIDX(45576,45404,,\"SPX\")":1.210774,"FERG-US^P_BETA_LOCIDX(45575,45401,,\"SPX\")":1.2016811,"FERG-US^P_BETA_LOCIDX(45574,45400,,\"SPX\")":1.2061251,"FERG-US^P_BETA_LOCIDX(45573,45399,,\"SPX\")":1.2082168,"FERG-US^P_BETA_LOCIDX(45572,45398,,\"SPX\")":1.2169143,"FERG-US^P_BETA_LOCIDX(45569,45397,,\"SPX\")":1.2175804,"FERG-US^P_BETA_LOCIDX(45568,45394,,\"SPX\")":1.1911505,"FERG-US^P_BETA_LOCIDX(45567,45393,,\"SPX\")":1.1732129,"FERG-US^P_BETA_LOCIDX(45566,45392,,\"SPX\")":1.1653466,"FERG-US^P_BETA_LOCIDX(45565,45391,,\"SPX\")":1.1850877,"FERG-US^P_BETA_LOCIDX(45562,45390,,\"SPX\")":1.1925249,"FERG-US^P_BETA_LOCIDX(45561,45387,,\"SPX\")":1.1930338,"FERG-US^P_BETA_LOCIDX(45560,45386,,\"SPX\")":1.1468492,"FERG-US^P_BETA_LOCIDX(45559,45385,,\"SPX\")":1.1457163,"FERG-US^P_BETA_LOCIDX(45558,45384,,\"SPX\")":1.1380634,"FERG-US^P_BETA_LOCIDX(45555,45383,,\"SPX\")":1.1346756,"FERG-US^P_BETA_LOCIDX(45554,45379,,\"SPX\")":1.1190434,"FERG-US^P_BETA_LOCIDX(45553,45378,,\"SPX\")":1.1188886,"FERG-US^P_BETA_LOCIDX(45552,45377,,\"SPX\")":1.1132578,"FERG-US^P_BETA_LOCIDX(45551,45376,,\"SPX\")":1.1200782,"FERG-US^P_BETA_LOCIDX(45548,45373,,\"SPX\")":1.1177018,"FERG-US^P_BETA_LOCIDX(45547,45372,,\"SPX\")":1.1170181,"FERG-US^P_BETA_LOCIDX(45546,45371,,\"SPX\")":1.1176448,"FERG-US^P_BETA_LOCIDX(45545,45370,,\"SPX\")":1.1555604,"FERG-US^P_BETA_LOCIDX(45544,45369,,\"SPX\")":1.1419241,"FERG-US^P_BETA_LOCIDX(45541,45366,,\"SPX\")":1.1727027,"FERG-US^P_BETA_LOCIDX(45540,45365,,\"SPX\")":1.1840466,"FERG-US^P_BETA_LOCIDX(45539,45364,,\"SPX\")":1.1763172,"FERG-US^P_BETA_LOCIDX(45538,45363,,\"SPX\")":1.1831499,"FERG-US^P_BETA_LOCIDX(45534,45362,,\"SPX\")":1.2077576,"FERG-US^P_BETA_LOCIDX(45533,45359,,\"SPX\")":1.2257434,"FERG-US^P_BETA_LOCIDX(45532,45358,,\"SPX\")":1.2175059,"FERG-US^P_BETA_LOCIDX(45531,45357,,\"SPX\")":1.1995295,"FERG-US^P_BETA_LOCIDX(45530,45356,,\"SPX\")":1.2757032,"FERG-US^P_BETA_LOCIDX(45527,45355,,\"SPX\")":1.2792541,"FERG-US^P_BETA_LOCIDX(45526,45352,,\"SPX\")":1.2686077,"FERG-US^P_BETA_LOCIDX(45525,45351,,\"SPX\")":1.2645326,"FERG-US^P_BETA_LOCIDX(45524,45350,,\"SPX\")":1.2516816,"FERG-US^P_BETA_LOCIDX(45523,45349,,\"SPX\")":1.251863,"FERG-US^P_BETA_LOCIDX(45520,45348,,\"SPX\")":1.2480166,"FERG-US^P_BETA_LOCIDX(45519,45345,,\"SPX\")":1.251087,"FERG-US^P_BETA_LOCIDX(45518,45344,,\"SPX\")":1.2366062,"FERG-US^P_BETA_LOCIDX(45517,45343,,\"SPX\")":1.2360173,"FERG-US^P_BETA_LOCIDX(45516,45342,,\"SPX\")":1.1817703,"FERG-US^P_BETA_LOCIDX(45513,45338,,\"SPX\")":1.17469,"FERG-US^P_BETA_LOCIDX(45512,45337,,\"SPX\")":1.186755,"FERG-US^P_BETA_LOCIDX(45511,45336,,\"SPX\")":1.2262069,"FERG-US^P_BETA_LOCIDX(45510,45335,,\"SPX\")":1.2404727,"FERG-US^P_BETA_LOCIDX(45509,45334,,\"SPX\")":1.2398089,"FERG-US^P_BETA_LOCIDX(45506,45331,,\"SPX\")":1.2285844,"FERG-US^P_BETA_LOCIDX(45505,45330,,\"SPX\")":1.143944,"FERG-US^P_BETA_LOCIDX(45504,45329,,\"SPX\")":1.1080215,"FERG-US^P_BETA_LOCIDX(45503,45328,,\"SPX\")":1.1112438,"FERG-US^P_BETA_LOCIDX(45502,45327,,\"SPX\")":1.124553,"FERG-US^P_BETA_LOCIDX(45499,45324,,\"SPX\")":1.1068734,"FERG-US^P_BETA_LOCIDX(45498,45323,,\"SPX\")":1.0973585,"FERG-US^P_BETA_LOCIDX(45497,45322,,\"SPX\")":1.1196057,"FERG-US^P_BETA_LOCIDX(45496,45321,,\"SPX\")":1.1505126,"FERG-US^P_BETA_LOCIDX(45495,45320,,\"SPX\")":1.1533866,"FERG-US^P_BETA_LOCIDX(45492,45317,,\"SPX\")":1.1484046,"FERG-US^P_BETA_LOCIDX(45491,45316,,\"SPX\")":1.1475723,"FERG-US^P_BETA_LOCIDX(45490,45315,,\"SPX\")":1.1544094,"FERG-US^P_BETA_LOCIDX(45489,45314,,\"SPX\")":1.1270032,"FERG-US^P_BETA_LOCIDX(45488,45313,,\"SPX\")":1.0859836,"FERG-US^P_BETA_LOCIDX(45485,45310,,\"SPX\")":1.0610957,"FERG-US^P_BETA_LOCIDX(45484,45309,,\"SPX\")":1.0549148,"FERG-US^P_BETA_LOCIDX(45483,45308,,\"SPX\")":1.114821,"FERG-US^P_BETA_LOCIDX(45482,45307,,\"SPX\")":1.0994972,"FERG-US^P_BETA_LOCIDX(45481,45303,,\"SPX\")":1.0976312,"FERG-US^P_BETA_LOCIDX(45478,45302,,\"SPX\")":1.0983781,"FERG-US^P_BETA_LOCIDX(45476,45301,,\"SPX\")":1.0944754,"FERG-US^P_BETA_LOCIDX(45475,45300,,\"SPX\")":1.099394,"FERG-US^P_BETA_LOCIDX(45474,45299,,\"SPX\")":1.0659486,"FERG-US^P_BETA_LOCIDX(45471,45296,,\"SPX\")":1.0714717,"FERG-US^P_BETA_LOCIDX(45470,45295,,\"SPX\")":1.0623479,"FERG-US^P_BETA_LOCIDX(45469,45294,,\"SPX\")":1.0876952,"FERG-US^P_BETA_LOCIDX(45468,45293,,\"SPX\")":1.1075039,"FERG-US^P_BETA_LOCIDX(45467,45289,,\"SPX\")":1.1148827,"FERG-US^P_BETA_LOCIDX(45464,45288,,\"SPX\")":1.1163552,"FERG-US^P_BETA_LOCIDX(45463,45287,,\"SPX\")":1.1165862,"FERG-US^P_BETA_LOCIDX(45461,45286,,\"SPX\")":1.099095,"FERG-US^P_BETA_LOCIDX(45460,45282,,\"SPX\")":1.098864,"FERG-US^P_BETA_LOCIDX(45457,45281,,\"SPX\")":1.1204242,"FERG-US^P_BETA_LOCIDX(45456,45280,,\"SPX\")":1.0975776,"FERG-US^P_BETA_LOCIDX(45455,45279,,\"SPX\")":1.0969834,"FERG-US^P_BETA_LOCIDX(45454,45278,,\"SPX\")":1.0597199,"FERG-US^P_BETA_LOCIDX(45453,45275,,\"SPX\")":1.0579917,"FERG-US^P_BETA_LOCIDX(45450,45274,,\"SPX\")":1.063524,"FERG-US^P_BETA_LOCIDX(45449,45273,,\"SPX\")":1.0446409,"FERG-US^P_BETA_LOCIDX(45448,45272,,\"SPX\")":1.0417097,"FERG-US^P_BETA_LOCIDX(45447,45271,,\"SPX\")":1.0242727,"FERG-US^P_BETA_LOCIDX(45446,45268,,\"SPX\")":1.0294684,"FERG-US^P_BETA_LOCIDX(45443,45267,,\"SPX\")":1.0457318,"FERG-US^P_BETA_LOCIDX(45442,45266,,\"SPX\")":1.0464848,"FERG-US^P_BETA_LOCIDX(45441,45265,,\"SPX\")":1.0534047,"FERG-US^P_BETA_LOCIDX(45440,45264,,\"SPX\")":1.0722901,"FERG-US^P_BETA_LOCIDX(45436,45261,,\"SPX\")":1.0695628,"FERG-US^P_BETA_LOCIDX(45435,45260,,\"SPX\")":1.078252,"FERG-US^P_BETA_LOCIDX(45434,45259,,\"SPX\")":1.0667259,"FERG-US^P_BETA_LOCIDX(45433,45258,,\"SPX\")":1.0630081,"FERG-US^P_BETA_LOCIDX(45432,45257,,\"SPX\")":1.0606272,"FERG-US^P_BETA_LOCIDX(45429,45254,,\"SPX\")":1.0608604,"FERG-US^P_BETA_LOCIDX(45428,45252,,\"SPX\")":1.0598357,"FERG-US^P_BETA_LOCIDX(45427,45251,,\"SPX\")":1.0330117,"FERG-US^P_BETA_LOCIDX(45426,45250,,\"SPX\")":1.0268481,"FERG-US^P_BETA_LOCIDX(45425,45247,,\"SPX\")":1.0334324,"FERG-US^P_BETA_LOCIDX(45422,45246,,\"SPX\")":1.0309455,"FERG-US^P_BETA_LOCIDX(45421,45245,,\"SPX\")":1.0302627,"FERG-US^P_BETA_LOCIDX(45420,45244,,\"SPX\")":1.0492283,"FERG-US^P_BETA_LOCIDX(45419,45243,,\"SPX\")":1.0483805,"FERG-US^P_BETA_LOCIDX(45418,45240,,\"SPX\")":1.0536551,"FERG-US^P_BETA_LOCIDX(45415,45239,,\"SPX\")":1.0470992,"FERG-US^P_BETA_LOCIDX(45414,45238,,\"SPX\")":1.0404521,"FERG-US^P_BETA_LOCIDX(45413,45237,,\"SPX\")":1.0415092,"FERG-US^P_BETA_LOCIDX(45412,45236,,\"SPX\")":1.0484045,"FERG-US^P_BETA_LOCIDX(45411,45233,,\"SPX\")":1.0173097,"FERG-US^P_BETA_LOCIDX(45408,45232,,\"SPX\")":1.0021346,"FERG-US^P_BETA_LOCIDX(45407,45231,,\"SPX\")":1.0311188,"FERG-US^P_BETA_LOCIDX(45406,45230,,\"SPX\")":1.0274307,"FERG-US^P_BETA_LOCIDX(45405,45229,,\"SPX\")":1.0245388,"FERG-US^P_BETA_LOCIDX(45404,45226,,\"SPX\")":1.0189867,"FERG-US^P_BETA_LOCIDX(45401,45225,,\"SPX\")":1.0045971,"FERG-US^P_BETA_LOCIDX(45400,45224,,\"SPX\")":0.9893091,"FERG-US^P_BETA_LOCIDX(45399,45223,,\"SPX\")":0.97991663,"FERG-US^P_BETA_LOCIDX(45398,45222,,\"SPX\")":0.9670122,"FERG-US^P_BETA_LOCIDX(45397,45219,,\"SPX\")":0.9713821,"FERG-US^P_BETA_LOCIDX(45394,45218,,\"SPX\")":1.0134991,"FERG-US^P_BETA_LOCIDX(45393,45217,,\"SPX\")":1.1038045,"FERG-US^P_BETA_LOCIDX(45392,45216,,\"SPX\")":1.1171368,"FERG-US^P_BETA_LOCIDX(45391,45215,,\"SPX\")":1.0735177,"FERG-US^P_BETA_LOCIDX(45390,45212,,\"SPX\")":1.0722765,"FERG-US^P_BETA_LOCIDX(45387,45211,,\"SPX\")":1.0735554,"FERG-US^P_BETA_LOCIDX(45386,45210,,\"SPX\")":1.0806293,"FERG-US^P_BETA_LOCIDX(45385,45209,,\"SPX\")":1.1348076,"FERG-US^P_BETA_LOCIDX(45384,45208,,\"SPX\")":1.1447159,"FERG-US^P_BETA_LOCIDX(45383,45205,,\"SPX\")":1.1501116,"FERG-US^P_BETA_LOCIDX(45379,45204,,\"SPX\")":1.1495563,"FERG-US^P_BETA_LOCIDX(45378,45203,,\"SPX\")":1.1480263,"FERG-US^P_BETA_LOCIDX(45377,45202,,\"SPX\")":1.1675655,"FERG-US^P_BETA_LOCIDX(45376,45201,,\"SPX\")":1.1760002,"FERG-US^P_BETA_LOCIDX(45373,45198,,\"SPX\")":1.179355,"FERG-US^P_BETA_LOCIDX(45372,45197,,\"SPX\")":1.1938084,"FERG-US^P_BETA_LOCIDX(45371,45196,,\"SPX\")":1.1830482,"FERG-US^P_BETA_LOCIDX(45370,45195,,\"SPX\")":1.0276392,"FERG-US^P_BETA_LOCIDX(45369,45194,,\"SPX\")":1.0072829,"FERG-US^P_BETA_LOCIDX(45366,45191,,\"SPX\")":1.0128989,"FERG-US^P_BETA_LOCIDX(45365,45190,,\"SPX\")":1.0293044,"FERG-US^P_BETA_LOCIDX(45364,45189,,\"SPX\")":1.0328221,"FERG-US^P_BETA_LOCIDX(45363,45188,,\"SPX\")":1.0370752,"FERG-US^P_BETA_LOCIDX(45362,45187,,\"SPX\")":1.0200601,"FERG-US^P_BETA_LOCIDX(45359,45184,,\"SPX\")":1.0204985,"FERG-US^P_BETA_LOCIDX(45358,45183,,\"SPX\")":1.0055281,"FERG-US^P_BETA_LOCIDX(45357,45182,,\"SPX\")":1.0150145,"FERG-US^P_BETA_LOCIDX(45356,45181,,\"SPX\")":1.0232615,"FERG-US^P_BETA_LOCIDX(45355,45180,,\"SPX\")":0.9320019,"FERG-US^P_BETA_LOCIDX(45352,45177,,\"SPX\")":0.9335809,"FERG-US^P_BETA_LOCIDX(45351,45176,,\"SPX\")":0.9380816,"FERG-US^P_BETA_LOCIDX(45350,45175,,\"SPX\")":0.9478577,"FERG-US^P_BETA_LOCIDX(45349,45174,,\"SPX\")":0.97227776,"FERG-US^P_BETA_LOCIDX(45348,45170,,\"SPX\")":0.9732976,"FERG-US^P_BETA_LOCIDX(45345,45169,,\"SPX\")":0.9885713,"FERG-US^P_BETA_LOCIDX(45344,45168,,\"SPX\")":0.9940753,"FERG-US^P_BETA_LOCIDX(45343,45167,,\"SPX\")":0.9752981,"FERG-US^P_BETA_LOCIDX(45342,45166,,\"SPX\")":0.9759207,"FERG-US^P_BETA_LOCIDX(45338,45163,,\"SPX\")":0.99799126,"FERG-US^P_BETA_LOCIDX(45337,45162,,\"SPX\")":1.0131159,"FERG-US^P_BETA_LOCIDX(45336,45161,,\"SPX\")":1.0070693,"FERG-US^P_BETA_LOCIDX(45335,45160,,\"SPX\")":1.0014111,"FERG-US^P_BETA_LOCIDX(45334,45159,,\"SPX\")":0.94234276,"FERG-US^P_BETA_LOCIDX(45331,45156,,\"SPX\")":0.9417299,"FERG-US^P_BETA_LOCIDX(45330,45155,,\"SPX\")":0.96322113,"FERG-US^P_BETA_LOCIDX(45329,45154,,\"SPX\")":0.9658112,"FERG-US^P_BETA_LOCIDX(45328,45153,,\"SPX\")":0.96301913,"FERG-US^P_BETA_LOCIDX(45327,45152,,\"SPX\")":0.9620645,"FERG-US^P_BETA_LOCIDX(45324,45149,,\"SPX\")":0.95427835,"FERG-US^P_BETA_LOCIDX(45323,45148,,\"SPX\")":0.96829426,"FERG-US^P_BETA_LOCIDX(45322,45147,,\"SPX\")":0.9607234,"FERG-US^P_BETA_LOCIDX(45321,45146,,\"SPX\")":0.9592207,"FERG-US^P_BETA_LOCIDX(45320,45145,,\"SPX\")":0.9707204,"FERG-US^P_BETA_LOCIDX(45317,45142,,\"SPX\")":0.9672049,"FERG-US^P_BETA_LOCIDX(45316,45141,,\"SPX\")":0.9686267,"FERG-US^P_BETA_LOCIDX(45315,45140,,\"SPX\")":0.9716338,"FERG-US^P_BETA_LOCIDX(45314,45139,,\"SPX\")":0.9697574,"FERG-US^P_BETA_LOCIDX(45313,45138,,\"SPX\")":0.97477114,"FERG-US^P_BETA_LOCIDX(45310,45135,,\"SPX\")":0.94938904,"FERG-US^P_BETA_LOCIDX(45309,45134,,\"SPX\")":0.9553001,"FERG-US^P_BETA_LOCIDX(45308,45133,,\"SPX\")":0.93528324,"FERG-US^P_BETA_LOCIDX(45307,45132,,\"SPX\")":0.9335201,"FERG-US^P_BETA_LOCIDX(45303,45131,,\"SPX\")":0.9350017,"FERG-US^P_BETA_LOCIDX(45302,45128,,\"SPX\")":0.9348423,"FERG-US^P_BETA_LOCIDX(45301,45127,,\"SPX\")":0.93291473,"FERG-US^P_BETA_LOCIDX(45300,45126,,\"SPX\")":0.9352096,"FERG-US^P_BETA_LOCIDX(45299,45125,,\"SPX\")":0.923421,"FERG-US^P_BETA_LOCIDX(45296,45124,,\"SPX\")":0.94676,"FERG-US^P_BETA_LOCIDX(45295,45121,,\"SPX\")":0.9480444,"FERG-US^P_BETA_LOCIDX(45294,45120,,\"SPX\")":0.95610726,"FERG-US^P_BETA_LOCIDX(45293,45119,,\"SPX\")":0.93968254,"FERG-US^P_BETA_LOCIDX(45289,45118,,\"SPX\")":0.9346213,"FERG-US^P_BETA_LOCIDX(45288,45117,,\"SPX\")":0.9350176,"FERG-US^P_BETA_LOCIDX(45287,45114,,\"SPX\")":0.92238665,"FERG-US^P_BETA_LOCIDX(45286,45113,,\"SPX\")":0.95408267,"FERG-US^P_BETA_LOCIDX(45282,45112,,\"SPX\")":0.9576732,"FERG-US^P_BETA_LOCIDX(45281,45110,,\"SPX\")":0.95603544,"FERG-US^P_BETA_LOCIDX(45280,45107,,\"SPX\")":0.9386549,"FERG-US^P_BETA_LOCIDX(45279,45106,,\"SPX\")":0.94597495,"FERG-US^P_BETA_LOCIDX(45278,45105,,\"SPX\")":0.9479367,"FERG-US^P_BETA_LOCIDX(45275,45104,,\"SPX\")":0.96924204,"FERG-US^P_BETA_LOCIDX(45274,45103,,\"SPX\")":0.96619314,"FERG-US^P_BETA_LOCIDX(45273,45100,,\"SPX\")":0.96975636,"FERG-US^P_BETA_LOCIDX(45272,45099,,\"SPX\")":0.98477507,"FERG-US^P_BETA_LOCIDX(45271,45098,,\"SPX\")":0.9679519,"FERG-US^P_BETA_LOCIDX(45268,45097,,\"SPX\")":0.96706164,"FERG-US^P_BETA_LOCIDX(45267,45093,,\"SPX\")":0.9654313,"FERG-US^P_BETA_LOCIDX(45266,45092,,\"SPX\")":0.94829124,"FERG-US^P_BETA_LOCIDX(45265,45091,,\"SPX\")":0.95280224,"FERG-US^P_BETA_LOCIDX(45264,45090,,\"SPX\")":0.96549815,"FERG-US^P_BETA_LOCIDX(45261,45089,,\"SPX\")":0.94994307,"FERG-US^P_BETA_LOCIDX(45260,45086,,\"SPX\")":0.9498304,"FERG-US^P_BETA_LOCIDX(45259,45085,,\"SPX\")":0.9284205,"FERG-US^P_BETA_LOCIDX(45258,45084,,\"SPX\")":0.93069005,"FERG-US^P_BETA_LOCIDX(45257,45083,,\"SPX\")":0.9308648,"FERG-US^P_BETA_LOCIDX(45254,45082,,\"SPX\")":0.9348583,"FERG-US^P_BETA_LOCIDX(45252,45079,,\"SPX\")":0.9362644,"FERG-US^P_BETA_LOCIDX(45251,45078,,\"SPX\")":0.93006635,"FERG-US^P_BETA_LOCIDX(45250,45077,,\"SPX\")":0.9385534,"FERG-US^P_BETA_LOCIDX(45247,45076,,\"SPX\")":0.9504973,"FERG-US^P_BETA_LOCIDX(45246,45072,,\"SPX\")":0.9732376,"FERG-US^P_BETA_LOCIDX(45245,45071,,\"SPX\")":0.96328807,"FERG-US^P_BETA_LOCIDX(45244,45070,,\"SPX\")":0.96356845,"FERG-US^P_BETA_LOCIDX(45243,45069,,\"SPX\")":0.9897283,"FERG-US^P_BETA_LOCIDX(45240,45068,,\"SPX\")":0.98994046,"FERG-US^P_BETA_LOCIDX(45239,45065,,\"SPX\")":0.9823097,"FERG-US^P_BETA_LOCIDX(45238,45064,,\"SPX\")":1.0105891,"FERG-US^P_BETA_LOCIDX(45237,45063,,\"SPX\")":1.0045968,"FERG-US^P_BETA_LOCIDX(45236,45062,,\"SPX\")":1.0130965,"FERG-US^P_BETA_LOCIDX(45233,45061,,\"SPX\")":1.0202978,"FERG-US^P_BETA_LOCIDX(45232,45058,,\"SPX\")":1.0236118,"FERG-US^P_BETA_LOCIDX(45231,45057,,\"SPX\")":1.0339817,"FERG-US^P_BETA_LOCIDX(45230,45056,,\"SPX\")":1.0147951,"FERG-US^P_BETA_LOCIDX(45229,45055,,\"SPX\")":1.0231915,"FERG-US^P_BETA_LOCIDX(45226,45054,,\"SPX\")":1.0226276,"FERG-US^P_BETA_LOCIDX(45225,45051,,\"SPX\")":1.0035893,"FERG-US^P_BETA_LOCIDX(45224,45050,,\"SPX\")":1.0367134,"FERG-US^P_BETA_LOCIDX(45223,45049,,\"SPX\")":1.0428096,"FERG-US^P_BETA_LOCIDX(45222,45048,,\"SPX\")":1.0736835,"FERG-US^P_BETA_LOCIDX(45219,45047,,\"SPX\")":1.0714233,"FERG-US^P_BETA_LOCIDX(45218,45044,,\"SPX\")":1.0846558,"FERG-US^P_BETA_LOCIDX(45217,45043,,\"SPX\")":1.0879943,"FERG-US^P_BETA_LOCIDX(45216,45042,,\"SPX\")":1.0218997,"FERG-US^P_BETA_LOCIDX(45215,45041,,\"SPX\")":1.0355436,"FERG-US^P_BETA_LOCIDX(45212,45040,,\"SPX\")":1.0861235,"FERG-US^P_BETA_LOCIDX(45211,45037,,\"SPX\")":1.0868498,"FERG-US^P_BETA_LOCIDX(45210,45036,,\"SPX\")":1.0600542,"FERG-US^P_BETA_LOCIDX(45209,45035,,\"SPX\")":1.0536704,"FERG-US^P_BETA_LOCIDX(45208,45034,,\"SPX\")":1.0577258,"FERG-US^P_BETA_LOCIDX(45205,45033,,\"SPX\")":1.0506381,"FERG-US^P_BETA_LOCIDX(45204,45030,,\"SPX\")":1.0503616,"FERG-US^P_BETA_LOCIDX(45203,45029,,\"SPX\")":1.0337412,"FERG-US^P_BETA_LOCIDX(45202,45028,,\"SPX\")":1.0254908,"FERG-US^P_BETA_LOCIDX(45201,45027,,\"SPX\")":1.0129379,"FERG-US^P_BETA_LOCIDX(45198,45026,,\"SPX\")":1.0125763,"FERG-US^P_BETA_LOCIDX(45197,45022,,\"SPX\")":1.0005429,"FERG-US^P_BETA_LOCIDX(45196,45021,,\"SPX\")":0.99574536,"FERG-US^P_BETA_LOCIDX(45195,45020,,\"SPX\")":1.0253993,"FERG-US^P_BETA_LOCIDX(45194,45019,,\"SPX\")":1.17087,"FERG-US^P_BETA_LOCIDX(45191,45016,,\"SPX\")":1.1706709,"FERG-US^P_BETA_LOCIDX(45190,45015,,\"SPX\")":1.1670306,"FERG-US^P_BETA_LOCIDX(45189,45014,,\"SPX\")":1.1578526,"FERG-US^P_BETA_LOCIDX(45188,45013,,\"SPX\")":1.1560408,"FERG-US^P_BETA_LOCIDX(45187,45012,,\"SPX\")":1.1579477,"FERG-US^P_BETA_LOCIDX(45184,45009,,\"SPX\")":1.1440332,"FERG-US^P_BETA_LOCIDX(45183,45008,,\"SPX\")":1.149482,"FERG-US^P_BETA_LOCIDX(45182,45007,,\"SPX\")":1.1682197,"FERG-US^P_BETA_LOCIDX(45181,45006,,\"SPX\")":1.1746492,"FERG-US^P_BETA_LOCIDX(45180,45005,,\"SPX\")":1.183404,"FERG-US^P_BETA_LOCIDX(45177,45002,,\"SPX\")":1.1689484,"FERG-US^P_BETA_LOCIDX(45176,45001,,\"SPX\")":1.1241249,"FERG-US^P_BETA_LOCIDX(45175,45000,,\"SPX\")":1.1529899,"FERG-US^P_BETA_LOCIDX(45174,44999,,\"SPX\")":1.1093446,"FERG-US^P_BETA_LOCIDX(45170,44998,,\"SPX\")":1.0911522,"FERG-US^P_BETA_LOCIDX(45169,44995,,\"SPX\")":1.091237,"FERG-US^P_BETA_LOCIDX(45168,44994,,\"SPX\")":1.0908505,"FERG-US^P_BETA_LOCIDX(45167,44993,,\"SPX\")":1.086128,"FERG-US^P_BETA_LOCIDX(45166,44992,,\"SPX\")":1.1331606,"FERG-US^P_BETA_LOCIDX(45163,44991,,\"SPX\")":1.132605,"FERG-US^P_BETA_LOCIDX(45162,44988,,\"SPX\")":1.1011437,"FERG-US^P_BETA_LOCIDX(45161,44987,,\"SPX\")":1.0904328,"FERG-US^P_BETA_LOCIDX(45160,44986,,\"SPX\")":1.0772492,"FERG-US^P_BETA_LOCIDX(45159,44985,,\"SPX\")":1.079216,"FERG-US^P_BETA_LOCIDX(45156,44984,,\"SPX\")":1.0921267,"FERG-US^P_BETA_LOCIDX(45155,44981,,\"SPX\")":1.0991315,"FERG-US^P_BETA_LOCIDX(45154,44980,,\"SPX\")":1.0872035,"FERG-US^P_BETA_LOCIDX(45153,44979,,\"SPX\")":1.0887102,"FERG-US^P_BETA_LOCIDX(45152,44978,,\"SPX\")":1.1189661,"FERG-US^P_BETA_LOCIDX(45149,44974,,\"SPX\")":1.1168933,"FERG-US^P_BETA_LOCIDX(45148,44973,,\"SPX\")":1.105827,"FERG-US^P_BETA_LOCIDX(45147,44972,,\"SPX\")":1.1088282,"FERG-US^P_BETA_LOCIDX(45146,44971,,\"SPX\")":1.1057091,"FERG-US^P_BETA_LOCIDX(45145,44970,,\"SPX\")":1.1133392,"FERG-US^P_BETA_LOCIDX(45142,44967,,\"SPX\")":1.1058385,"FERG-US^P_BETA_LOCIDX(45141,44966,,\"SPX\")":1.1012543,"FERG-US^P_BETA_LOCIDX(45140,44965,,\"SPX\")":1.0968277,"FERG-US^P_BETA_LOCIDX(45139,44964,,\"SPX\")":1.0912915,"FERG-US^P_BETA_LOCIDX(45138,44963,,\"SPX\")":1.1080769,"FERG-US^P_BETA_LOCIDX(45135,44960,,\"SPX\")":1.1024265,"FERG-US^P_BETA_LOCIDX(45134,44959,,\"SPX\")":1.1459502,"FERG-US^P_BETA_LOCIDX(45133,44958,,\"SPX\")":1.1624763,"FERG-US^P_BETA_LOCIDX(45132,44957,,\"SPX\")":1.1669564,"FERG-US^P_BETA_LOCIDX(45131,44956,,\"SPX\")":1.150547,"FERG-US^P_BETA_LOCIDX(45128,44953,,\"SPX\")":1.1488062,"FERG-US^P_BETA_LOCIDX(45127,44952,,\"SPX\")":1.1476355,"FERG-US^P_BETA_LOCIDX(45126,44951,,\"SPX\")":1.1513275,"FERG-US^P_BETA_LOCIDX(45125,44950,,\"SPX\")":1.1525744,"FERG-US^P_BETA_LOCIDX(45124,44949,,\"SPX\")":1.1500733,"FERG-US^P_BETA_LOCIDX(45121,44946,,\"SPX\")":1.1514417,"FERG-US^P_BETA_LOCIDX(45120,44945,,\"SPX\")":1.1606933,"FERG-US^P_BETA_LOCIDX(45119,44944,,\"SPX\")":1.1362009,"FERG-US^P_BETA_LOCIDX(45118,44943,,\"SPX\")":1.1335962,"FERG-US^P_BETA_LOCIDX(45117,44939,,\"SPX\")":1.1249259,"FERG-US^P_BETA_LOCIDX(45114,44938,,\"SPX\")":1.1273093,"FERG-US^P_BETA_LOCIDX(45113,44937,,\"SPX\")":1.0956212,"FERG-US^P_BETA_LOCIDX(45112,44936,,\"SPX\")":1.0721864,"FERG-US^P_BETA_LOCIDX(45110,44935,,\"SPX\")":1.0725113,"FERG-US^P_BETA_LOCIDX(45107,44932,,\"SPX\")":1.1155796,"FERG-US^P_BETA_LOCIDX(45106,44931,,\"SPX\")":1.082835,"FERG-US^P_BETA_LOCIDX(45105,44930,,\"SPX\")":1.0914006,"FERG-US^P_BETA_LOCIDX(45104,44929,,\"SPX\")":1.082857,"FERG-US^P_BETA_LOCIDX(45103,44925,,\"SPX\")":1.0740937,"FERG-US^P_BETA_LOCIDX(45100,44924,,\"SPX\")":1.0820194,"FERG-US^P_BETA_LOCIDX(45099,44923,,\"SPX\")":1.0782558,"FERG-US^P_BETA_LOCIDX(45098,44922,,\"SPX\")":1.0707486,"FERG-US^P_BETA_LOCIDX(45097,44918,,\"SPX\")":1.0815322,"FERG-US^P_BETA_LOCIDX(45093,44917,,\"SPX\")":1.0729681,"FERG-US^P_BETA_LOCIDX(45092,44916,,\"SPX\")":1.0627131,"FERG-US^P_BETA_LOCIDX(45091,44915,,\"SPX\")":1.0638138,"FERG-US^P_BETA_LOCIDX(45090,44914,,\"SPX\")":1.0473027,"FERG-US^P_BETA_LOCIDX(45089,44911,,\"SPX\")":1.0509968,"FERG-US^P_BETA_LOCIDX(45086,44910,,\"SPX\")":1.0759841,"FERG-US^P_BETA_LOCIDX(45085,44909,,\"SPX\")":1.0688449,"FERG-US^P_BETA_LOCIDX(45084,44908,,\"SPX\")":1.0826408,"FERG-US^P_BETA_LOCIDX(45083,44907,,\"SPX\")":1.0785193,"FERG-US^P_BETA_LOCIDX(45082,44904,,\"SPX\")":1.0680275,"FERG-US^P_BETA_LOCIDX(45079,44903,,\"SPX\")":1.0740755,"FERG-US^P_BETA_LOCIDX(45078,44902,,\"SPX\")":1.0731213,"FERG-US^P_BETA_LOCIDX(45077,44901,,\"SPX\")":0.98962504,"FERG-US^P_BETA_LOCIDX(45076,44900,,\"SPX\")":0.9743936,"FERG-US^P_BETA_LOCIDX(45072,44897,,\"SPX\")":0.9760094,"FERG-US^P_BETA_LOCIDX(45071,44896,,\"SPX\")":0.9623307,"FERG-US^P_BETA_LOCIDX(45070,44895,,\"SPX\")":0.94779176,"FERG-US^P_BETA_LOCIDX(45069,44894,,\"SPX\")":0.9506018,"FERG-US^P_BETA_LOCIDX(45068,44893,,\"SPX\")":0.94337595,"FERG-US^P_BETA_LOCIDX(45065,44890,,\"SPX\")":0.94355917,"FERG-US^P_BETA_LOCIDX(45064,44888,,\"SPX\")":0.93828225,"FERG-US^P_BETA_LOCIDX(45063,44887,,\"SPX\")":0.9386711,"FERG-US^P_BETA_LOCIDX(45062,44886,,\"SPX\")":0.9388331,"FERG-US^P_BETA_LOCIDX(45061,44883,,\"SPX\")":0.9364324,"FERG-US^P_BETA_LOCIDX(45058,44882,,\"SPX\")":0.93552846,"FERG-US^P_BETA_LOCIDX(45057,44881,,\"SPX\")":0.9522572,"FERG-US^P_BETA_LOCIDX(45056,44880,,\"SPX\")":0.9439444,"FERG-US^P_BETA_LOCIDX(45055,44879,,\"SPX\")":0.9397949,"FERG-US^P_BETA_LOCIDX(45054,44876,,\"SPX\")":0.9305593,"FERG-US^P_BETA_LOCIDX(45051,44875,,\"SPX\")":1.1240242,"FERG-US^P_BETA_LOCIDX(45050,44874,,\"SPX\")":1.1138154,"FERG-US^P_BETA_LOCIDX(45049,44873,,\"SPX\")":1.1123537,"FERG-US^P_BETA_LOCIDX(45048,44872,,\"SPX\")":1.1162628,"FERG-US^P_BETA_LOCIDX(45047,44869,,\"SPX\")":1.1114935,"FERG-US^P_BETA_LOCIDX(45044,44868,,\"SPX\")":1.1112177,"FERG-US^P_BETA_LOCIDX(45043,44867,,\"SPX\")":1.0908663,"FERG-US^P_BETA_LOCIDX(45042,44866,,\"SPX\")":1.0764476,"FERG-US^P_BETA_LOCIDX(45041,44865,,\"SPX\")":1.0795151,"FERG-US^P_BETA_LOCIDX(45040,44862,,\"SPX\")":1.0576499,"FERG-US^P_BETA_LOCIDX(45037,44861,,\"SPX\")":1.0665101,"FERG-US^P_BETA_LOCIDX(45036,44860,,\"SPX\")":1.0493672,"FERG-US^P_BETA_LOCIDX(45035,44859,,\"SPX\")":1.0708885,"FERG-US^P_BETA_LOCIDX(45034,44858,,\"SPX\")":1.0767192,"FERG-US^P_BETA_LOCIDX(45033,44855,,\"SPX\")":1.0615743,"FERG-US^P_BETA_LOCIDX(45030,44854,,\"SPX\")":1.0633026,"FERG-US^P_BETA_LOCIDX(45029,44853,,\"SPX\")":1.0811485,"FERG-US^P_BETA_LOCIDX(45028,44852,,\"SPX\")":1.0823036,"FERG-US^P_BETA_LOCIDX(45027,44851,,\"SPX\")":1.0896093,"FERG-US^P_BETA_LOCIDX(45026,44848,,\"SPX\")":1.1018984,"FERG-US^P_BETA_LOCIDX(45022,44847,,\"SPX\")":1.087153,"FERG-US^P_BETA_LOCIDX(45021,44846,,\"SPX\")":1.091504,"FERG-US^P_BETA_LOCIDX(45020,44845,,\"SPX\")":1.0907081,"FERG-US^P_BETA_LOCIDX(45019,44844,,\"SPX\")":1.0724851,"FERG-US^P_BETA_LOCIDX(45016,44841,,\"SPX\")":1.0773191,"FERG-US^P_BETA_LOCIDX(45015,44840,,\"SPX\")":1.0759686,"FERG-US^P_BETA_LOCIDX(45014,44839,,\"SPX\")":1.0784191,"FERG-US^P_BETA_LOCIDX(45013,44838,,\"SPX\")":1.118016,"FERG-US^P_BETA_LOCIDX(45012,44837,,\"SPX\")":1.1422595,"FERG-US^P_BETA_LOCIDX(45009,44834,,\"SPX\")":1.1382492,"FERG-US^P_BETA_LOCIDX(45008,44833,,\"SPX\")":1.1465276,"FERG-US^P_BETA_LOCIDX(45007,44832,,\"SPX\")":1.1564904,"FERG-US^P_BETA_LOCIDX(45006,44831,,\"SPX\")":1.1572936,"FERG-US^P_BETA_LOCIDX(45005,44830,,\"SPX\")":1.1510088,"FERG-US^P_BETA_LOCIDX(45002,44827,,\"SPX\")":1.1377673,"FERG-US^P_BETA_LOCIDX(45001,44826,,\"SPX\")":1.1385044,"FERG-US^P_BETA_LOCIDX(45000,44825,,\"SPX\")":1.1468998,"FERG-US^P_BETA_LOCIDX(44999,44824,,\"SPX\")":1.1410798,"FERG-US^P_BETA_LOCIDX(44998,44823,,\"SPX\")":1.1567874,"FERG-US^P_BETA_LOCIDX(44995,44820,,\"SPX\")":1.1590896,"FERG-US^P_BETA_LOCIDX(44994,44819,,\"SPX\")":1.1628846,"FERG-US^P_BETA_LOCIDX(44993,44818,,\"SPX\")":1.1607352,"FERG-US^P_BETA_LOCIDX(44992,44817,,\"SPX\")":1.1266384,"FERG-US^P_BETA_LOCIDX(44991,44816,,\"SPX\")":1.1136824,"FERG-US^P_BETA_LOCIDX(44988,44813,,\"SPX\")":1.1167569,"FERG-US^P_BETA_LOCIDX(44987,44812,,\"SPX\")":1.126791,"FERG-US^P_BETA_LOCIDX(44986,44811,,\"SPX\")":1.1219269,"FERG-US^P_BETA_LOCIDX(44985,44810,,\"SPX\")":1.122428,"FERG-US^P_BETA_LOCIDX(44984,44806,,\"SPX\")":1.1246349,"FERG-US^P_BETA_LOCIDX(44981,44805,,\"SPX\")":1.1229837,"FERG-US^P_BETA_LOCIDX(44980,44804,,\"SPX\")":1.1238045,"FERG-US^P_BETA_LOCIDX(44979,44803,,\"SPX\")":1.1214051,"FERG-US^P_BETA_LOCIDX(44978,44802,,\"SPX\")":1.1185682,"FERG-US^P_BETA_LOCIDX(44974,44799,,\"SPX\")":1.1013821,"FERG-US^P_BETA_LOCIDX(44973,44798,,\"SPX\")":1.0965182,"FERG-US^P_BETA_LOCIDX(44972,44797,,\"SPX\")":1.0986606,"FERG-US^P_BETA_LOCIDX(44971,44796,,\"SPX\")":1.0994977,"FERG-US^P_BETA_LOCIDX(44970,44795,,\"SPX\")":1.0878665,"FERG-US^P_BETA_LOCIDX(44967,44792,,\"SPX\")":1.092745,"FERG-US^P_BETA_LOCIDX(44966,44791,,\"SPX\")":1.0922946,"FERG-US^P_BETA_LOCIDX(44965,44790,,\"SPX\")":1.0935072,"FERG-US^P_BETA_LOCIDX(44964,44789,,\"SPX\")":1.0946599,"FERG-US^P_BETA_LOCIDX(44963,44788,,\"SPX\")":1.0963657,"FERG-US^P_BETA_LOCIDX(44960,44785,,\"SPX\")":1.0779804,"FERG-US^P_BETA_LOCIDX(44959,44784,,\"SPX\")":1.0789624,"FERG-US^P_BETA_LOCIDX(44958,44783,,\"SPX\")":1.0930712,"FERG-US^P_BETA_LOCIDX(44957,44782,,\"SPX\")":1.0962304,"FERG-US^P_BETA_LOCIDX(44956,44781,,\"SPX\")":1.0951267,"FERG-US^P_BETA_LOCIDX(44953,44778,,\"SPX\")":1.0992725,"FERG-US^P_BETA_LOCIDX(44952,44777,,\"SPX\")":1.0985955,"FERG-US^P_BETA_LOCIDX(44951,44776,,\"SPX\")":1.0851308,"FERG-US^P_BETA_LOCIDX(44950,44775,,\"SPX\")":1.0867087,"FERG-US^P_BETA_LOCIDX(44949,44774,,\"SPX\")":1.0872786,"FERG-US^P_BETA_LOCIDX(44946,44771,,\"SPX\")":1.1084344,"FERG-US^P_BETA_LOCIDX(44945,44770,,\"SPX\")":1.1112381,"FERG-US^P_BETA_LOCIDX(44944,44769,,\"SPX\")":1.1015605,"FERG-US^P_BETA_LOCIDX(44943,44768,,\"SPX\")":1.119456,"FERG-US^P_BETA_LOCIDX(44939,44767,,\"SPX\")":1.1191937,"FERG-US^P_BETA_LOCIDX(44938,44764,,\"SPX\")":1.1131722,"FERG-US^P_BETA_LOCIDX(44937,44763,,\"SPX\")":1.1132525,"FERG-US^P_BETA_LOCIDX(44936,44762,,\"SPX\")":1.1294825,"FERG-US^P_BETA_LOCIDX(44935,44761,,\"SPX\")":1.1220763,"FERG-US^P_BETA_LOCIDX(44932,44760,,\"SPX\")":1.1213279,"FERG-US^P_BETA_LOCIDX(44931,44757,,\"SPX\")":1.1135576,"FERG-US^P_BETA_LOCIDX(44930,44756,,\"SPX\")":1.1246586,"FERG-US^P_BETA_LOCIDX(44929,44755,,\"SPX\")":1.121247,"FERG-US^P_BETA_LOCIDX(44925,44754,,\"SPX\")":1.1228211,"FERG-US^P_BETA_LOCIDX(44924,44753,,\"SPX\")":1.1199889,"FERG-US^P_BETA_LOCIDX(44923,44750,,\"SPX\")":1.1192579,"FERG-US^P_BETA_LOCIDX(44922,44749,,\"SPX\")":1.1223024,"FERG-US^P_BETA_LOCIDX(44918,44748,,\"SPX\")":1.1259702,"FERG-US^P_BETA_LOCIDX(44917,44747,,\"SPX\")":1.1265558,"FERG-US^P_BETA_LOCIDX(44916,44743,,\"SPX\")":1.1214123,"FERG-US^P_BETA_LOCIDX(44915,44742,,\"SPX\")":1.1329632,"FERG-US^P_BETA_LOCIDX(44914,44741,,\"SPX\")":1.1328496,"FERG-US^P_BETA_LOCIDX(44911,44740,,\"SPX\")":1.1350883,"FERG-US^P_BETA_LOCIDX(44910,44739,,\"SPX\")":1.1308439,"FERG-US^P_BETA_LOCIDX(44909,44736,,\"SPX\")":1.1550297,"FERG-US^P_BETA_LOCIDX(44908,44735,,\"SPX\")":1.1491256,"FERG-US^P_BETA_LOCIDX(44907,44734,,\"SPX\")":1.14925,"FERG-US^P_BETA_LOCIDX(44904,44733,,\"SPX\")":1.136127,"FERG-US^P_BETA_LOCIDX(44903,44729,,\"SPX\")":1.1425986,"FERG-US^P_BETA_LOCIDX(44902,44728,,\"SPX\")":1.1476984,"FERG-US^P_BETA_LOCIDX(44901,44727,,\"SPX\")":1.1414074,"FERG-US^P_BETA_LOCIDX(44900,44726,,\"SPX\")":1.1760242,"FERG-US^P_BETA_LOCIDX(44897,44725,,\"SPX\")":1.1743954,"FERG-US^P_BETA_LOCIDX(44896,44722,,\"SPX\")":1.1756263,"FERG-US^P_BETA_LOCIDX(44895,44721,,\"SPX\")":1.1725899,"FERG-US^P_BETA_LOCIDX(44894,44720,,\"SPX\")":1.1846664,"FERG-US^P_BETA_LOCIDX(44893,44719,,\"SPX\")":1.1804744,"FERG-US^P_BETA_LOCIDX(44890,44718,,\"SPX\")":1.1750225,"FERG-US^P_BETA_LOCIDX(44888,44715,,\"SPX\")":1.1747324,"FERG-US^P_BETA_LOCIDX(44887,44714,,\"SPX\")":1.1804079,"FERG-US^P_BETA_LOCIDX(44886,44713,,\"SPX\")":1.1784594,"FERG-US^P_BETA_LOCIDX(44883,44712,,\"SPX\")":1.1810018,"FERG-US^P_BETA_LOCIDX(44882,44708,,\"SPX\")":1.1675905,"FERG-US^P_BETA_LOCIDX(44881,44707,,\"SPX\")":1.1570116,"FERG-US^P_BETA_LOCIDX(44880,44706,,\"SPX\")":1.151165,"FERG-US^P_BETA_LOCIDX(44879,44705,,\"SPX\")":1.1558129,"FERG-US^P_BETA_LOCIDX(44876,44704,,\"SPX\")":1.1470755,"FERG-US^P_BETA_LOCIDX(44875,44701,,\"SPX\")":1.1558175,"FERG-US^P_BETA_LOCIDX(44874,44700,,\"SPX\")":1.0640918,"FERG-US^P_BETA_LOCIDX(44873,44699,,\"SPX\")":1.0902588,"FERG-US^P_BETA_LOCIDX(44872,44698,,\"SPX\")":1.0932876,"FERG-US^P_BETA_LOCIDX(44869,44697,,\"SPX\")":1.0961039,"FERG-US^P_BETA_LOCIDX(44868,44694,,\"SPX\")":1.0798438,"FERG-US^P_BETA_LOCIDX(44867,44693,,\"SPX\")":1.0790884,"FERG-US^P_BETA_LOCIDX(44866,44692,,\"SPX\")":1.0803561,"FERG-US^P_BETA_LOCIDX(44865,44691,,\"SPX\")":1.083665,"FERG-US^P_BETA_LOCIDX(44862,44690,,\"SPX\")":1.0685045,"FERG-US^P_BETA_LOCIDX(44861,44687,,\"SPX\")":1.0837567,"FERG-US^P_BETA_LOCIDX(44860,44686,,\"SPX\")":1.088013,"FERG-US^P_BETA_LOCIDX(44859,44685,,\"SPX\")":1.0826474,"FERG-US^P_BETA_LOCIDX(44858,44684,,\"SPX\")":1.0737888,"FERG-US^P_BETA_LOCIDX(44855,44683,,\"SPX\")":1.0682855,"FERG-US^P_BETA_LOCIDX(44854,44680,,\"SPX\")":1.0579714,"FERG-US^P_BETA_LOCIDX(44853,44679,,\"SPX\")":1.0467861,"FERG-US^P_BETA_LOCIDX(44852,44678,,\"SPX\")":1.039818,"FERG-US^P_BETA_LOCIDX(44851,44677,,\"SPX\")":1.0509015,"FERG-US^P_BETA_LOCIDX(44848,44676,,\"SPX\")":1.0417565,"FERG-US^P_BETA_LOCIDX(44847,44673,,\"SPX\")":1.0348856,"FERG-US^P_BETA_LOCIDX(44846,44672,,\"SPX\")":1.035257,"FERG-US^P_BETA_LOCIDX(44845,44671,,\"SPX\")":1.0350043,"FERG-US^P_BETA_LOCIDX(44844,44670,,\"SPX\")":1.040196,"FERG-US^P_BETA_LOCIDX(44841,44669,,\"SPX\")":1.0436894,"FERG-US^P_BETA_LOCIDX(44840,44665,,\"SPX\")":1.0358993,"FERG-US^P_BETA_LOCIDX(44839,44664,,\"SPX\")":1.0486389,"FERG-US^P_BETA_LOCIDX(44838,44663,,\"SPX\")":1.0494645,"FERG-US^P_BETA_LOCIDX(44837,44662,,\"SPX\")":1.0179305,"FERG-US^P_BETA_LOCIDX(44834,44659,,\"SPX\")":0.9960914,"FERG-US^P_BETA_LOCIDX(44833,44658,,\"SPX\")":1.0020565,"FERG-US^P_BETA_LOCIDX(44832,44657,,\"SPX\")":1.0046638,"FERG-US^P_BETA_LOCIDX(44831,44656,,\"SPX\")":1.0007375,"FERG-US^P_BETA_LOCIDX(44830,44655,,\"SPX\")":0.9984304,"FERG-US^P_BETA_LOCIDX(44827,44652,,\"SPX\")":1.000152,"FERG-US^P_BETA_LOCIDX(44826,44651,,\"SPX\")":1.0086633,"FERG-US^P_BETA_LOCIDX(44825,44650,,\"SPX\")":1.0083158,"FERG-US^P_BETA_LOCIDX(44824,44649,,\"SPX\")":1.0085784,"FERG-US^P_BETA_LOCIDX(44823,44648,,\"SPX\")":0.9968786,"FERG-US^P_BETA_LOCIDX(44820,44645,,\"SPX\")":0.9878495,"FERG-US^P_BETA_LOCIDX(44819,44644,,\"SPX\")":0.96978784,"FERG-US^P_BETA_LOCIDX(44818,44643,,\"SPX\")":0.96696585,"FERG-US^P_BETA_LOCIDX(44817,44642,,\"SPX\")":0.96995205,"FERG-US^P_BETA_LOCIDX(44816,44641,,\"SPX\")":0.98934317,"FERG-US^P_BETA_LOCIDX(44813,44638,,\"SPX\")":0.9892594,"FERG-US^P_BETA_LOCIDX(44812,44637,,\"SPX\")":0.9841886,"FERG-US^P_BETA_LOCIDX(44811,44636,,\"SPX\")":0.96096593,"FERG-US^P_BETA_LOCIDX(44810,44635,,\"SPX\")":0.9054938,"FERG-US^P_BETA_LOCIDX(44806,44634,,\"SPX\")":0.8876695,"FERG-US^P_BETA_LOCIDX(44805,44631,,\"SPX\")":0.87763923,"FERG-US^P_BETA_LOCIDX(44804,44630,,\"SPX\")":0.8823441,"FERG-US^P_BETA_LOCIDX(44803,44629,,\"SPX\")":0.86341363,"FERG-US^P_BETA_LOCIDX(44802,44628,,\"SPX\")":0.8424686,"FERG-US^P_BETA_LOCIDX(44799,44627,,\"SPX\")":0.87654763,"FERG-US^P_BETA_LOCIDX(44798,44624,,\"SPX\")":0.88682175,"FERG-US^P_BETA_LOCIDX(44797,44623,,\"SPX\")":0.8884456,"FERG-US^P_BETA_LOCIDX(44796,44622,,\"SPX\")":0.8870772,"FERG-US^P_BETA_LOCIDX(44795,44621,,\"SPX\")":0.88280195,"FERG-US^P_BETA_LOCIDX(44792,44620,,\"SPX\")":0.8924059,"FERG-US^P_BETA_LOCIDX(44791,44617,,\"SPX\")":0.8909545,"FERG-US^P_BETA_LOCIDX(44790,44616,,\"SPX\")":0.8812483,"FERG-US^P_BETA_LOCIDX(44789,44615,,\"SPX\")":0.8682753,"FERG-US^P_BETA_LOCIDX(44788,44614,,\"SPX\")":0.86672753,"FERG-US^P_BETA_LOCIDX(44785,44610,,\"SPX\")":0.8629672,"FERG-US^P_BETA_LOCIDX(44784,44609,,\"SPX\")":0.8630122,"FERG-US^P_BETA_LOCIDX(44783,44608,,\"SPX\")":0.8632594,"FERG-US^P_BETA_LOCIDX(44782,44607,,\"SPX\")":0.8417861,"FERG-US^P_BETA_LOCIDX(44781,44606,,\"SPX\")":0.8384284,"FERG-US^P_BETA_LOCIDX(44778,44603,,\"SPX\")":0.8459648,"FERG-US^P_BETA_LOCIDX(44777,44602,,\"SPX\")":0.8404043,"FERG-US^P_BETA_LOCIDX(44776,44601,,\"SPX\")":0.83921164,"FERG-US^P_BETA_LOCIDX(44775,44600,,\"SPX\")":0.84876424,"FERG-US^P_BETA_LOCIDX(44774,44599,,\"SPX\")":0.84812987,"FERG-US^P_BETA_LOCIDX(45845,45670,,\"SPX\")":0.9125943,"HUBB-US^P_BETA_LOCIDX(45841,45665,,\"SPX\")":1.1300628,"HUBB-US^P_BETA_LOCIDX(45840,45664,,\"SPX\")":1.1332606,"HUBB-US^P_BETA_LOCIDX(45839,45663,,\"SPX\")":1.1352319,"HUBB-US^P_BETA_LOCIDX(45838,45660,,\"SPX\")":1.1408476,"HUBB-US^P_BETA_LOCIDX(45835,45659,,\"SPX\")":1.1404378,"HUBB-US^P_BETA_LOCIDX(45834,45657,,\"SPX\")":1.1399987,"HUBB-US^P_BETA_LOCIDX(45833,45656,,\"SPX\")":1.1368417,"HUBB-US^P_BETA_LOCIDX(45832,45653,,\"SPX\")":1.1383178,"HUBB-US^P_BETA_LOCIDX(45831,45652,,\"SPX\")":1.134985,"HUBB-US^P_BETA_LOCIDX(45828,45650,,\"SPX\")":1.1402165,"HUBB-US^P_BETA_LOCIDX(45826,45649,,\"SPX\")":1.1374155,"HUBB-US^P_BETA_LOCIDX(45825,45646,,\"SPX\")":1.1354353,"HUBB-US^P_BETA_LOCIDX(45824,45645,,\"SPX\")":1.1379957,"HUBB-US^P_BETA_LOCIDX(45821,45644,,\"SPX\")":1.1307553,"HUBB-US^P_BETA_LOCIDX(45820,45643,,\"SPX\")":1.1312176,"HUBB-US^P_BETA_LOCIDX(45819,45642,,\"SPX\")":1.1311667,"HUBB-US^P_BETA_LOCIDX(45818,45639,,\"SPX\")":1.1318032,"HUBB-US^P_BETA_LOCIDX(45817,45638,,\"SPX\")":1.134057,"HUBB-US^P_BETA_LOCIDX(45814,45637,,\"SPX\")":1.137122,"HUBB-US^P_BETA_LOCIDX(45813,45636,,\"SPX\")":1.1352963,"HUBB-US^P_BETA_LOCIDX(45812,45635,,\"SPX\")":1.1382788,"HUBB-US^P_BETA_LOCIDX(45811,45632,,\"SPX\")":1.137184,"HUBB-US^P_BETA_LOCIDX(45810,45631,,\"SPX\")":1.133803,"HUBB-US^P_BETA_LOCIDX(45807,45630,,\"SPX\")":1.1413132,"HUBB-US^P_BETA_LOCIDX(45806,45629,,\"SPX\")":1.1413343,"HUBB-US^P_BETA_LOCIDX(45805,45628,,\"SPX\")":1.1405545,"HUBB-US^P_BETA_LOCIDX(45804,45625,,\"SPX\")":1.1396729,"HUBB-US^P_BETA_LOCIDX(45800,45623,,\"SPX\")":1.1404097,"HUBB-US^P_BETA_LOCIDX(45799,45622,,\"SPX\")":1.140585,"HUBB-US^P_BETA_LOCIDX(45798,45621,,\"SPX\")":1.1413145,"HUBB-US^P_BETA_LOCIDX(45797,45618,,\"SPX\")":1.1427722,"HUBB-US^P_BETA_LOCIDX(45796,45617,,\"SPX\")":1.146424,"HUBB-US^P_BETA_LOCIDX(45793,45616,,\"SPX\")":1.1465874,"HUBB-US^P_BETA_LOCIDX(45792,45615,,\"SPX\")":1.1465592,"HUBB-US^P_BETA_LOCIDX(45791,45614,,\"SPX\")":1.1484514,"HUBB-US^P_BETA_LOCIDX(45790,45611,,\"SPX\")":1.1437924,"HUBB-US^P_BETA_LOCIDX(45789,45610,,\"SPX\")":1.1447845,"HUBB-US^P_BETA_LOCIDX(45786,45609,,\"SPX\")":1.1159608,"HUBB-US^P_BETA_LOCIDX(45785,45608,,\"SPX\")":1.1183566,"HUBB-US^P_BETA_LOCIDX(45784,45607,,\"SPX\")":1.1178954,"HUBB-US^P_BETA_LOCIDX(45783,45604,,\"SPX\")":1.1163766,"HUBB-US^P_BETA_LOCIDX(45782,45603,,\"SPX\")":1.1103994,"HUBB-US^P_BETA_LOCIDX(45779,45602,,\"SPX\")":1.1529522,"HUBB-US^P_BETA_LOCIDX(45778,45601,,\"SPX\")":1.1511683,"HUBB-US^P_BETA_LOCIDX(45777,45600,,\"SPX\")":1.1646224,"HUBB-US^P_BETA_LOCIDX(45776,45597,,\"SPX\")":1.1630754,"HUBB-US^P_BETA_LOCIDX(45775,45596,,\"SPX\")":1.1558075,"HUBB-US^P_BETA_LOCIDX(45772,45595,,\"SPX\")":1.1574641,"HUBB-US^P_BETA_LOCIDX(45771,45594,,\"SPX\")":1.1582893,"HUBB-US^P_BETA_LOCIDX(45770,45593,,\"SPX\")":1.1454047,"HUBB-US^P_BETA_LOCIDX(45769,45590,,\"SPX\")":1.1464535,"HUBB-US^P_BETA_LOCIDX(45768,45589,,\"SPX\")":1.1412228,"HUBB-US^P_BETA_LOCIDX(45764,45588,,\"SPX\")":1.1395717,"HUBB-US^P_BETA_LOCIDX(45763,45587,,\"SPX\")":1.139384,"HUBB-US^P_BETA_LOCIDX(45762,45586,,\"SPX\")":1.1428173,"HUBB-US^P_BETA_LOCIDX(45761,45583,,\"SPX\")":1.1416644,"HUBB-US^P_BETA_LOCIDX(45758,45582,,\"SPX\")":1.1469767,"HUBB-US^P_BETA_LOCIDX(45757,45581,,\"SPX\")":1.1370504,"HUBB-US^P_BETA_LOCIDX(45756,45580,,\"SPX\")":1.1560355,"HUBB-US^P_BETA_LOCIDX(45755,45579,,\"SPX\")":1.1572045,"HUBB-US^P_BETA_LOCIDX(45754,45576,,\"SPX\")":1.1880509,"HUBB-US^P_BETA_LOCIDX(45751,45575,,\"SPX\")":1.189269,"HUBB-US^P_BETA_LOCIDX(45750,45574,,\"SPX\")":1.4648788,"HUBB-US^P_BETA_LOCIDX(45749,45573,,\"SPX\")":1.5224488,"HUBB-US^P_BETA_LOCIDX(45748,45572,,\"SPX\")":1.4760008,"HUBB-US^P_BETA_LOCIDX(45747,45569,,\"SPX\")":1.4729666,"HUBB-US^P_BETA_LOCIDX(45744,45568,,\"SPX\")":1.4783906,"HUBB-US^P_BETA_LOCIDX(45743,45567,,\"SPX\")":1.4817529,"HUBB-US^P_BETA_LOCIDX(45742,45566,,\"SPX\")":1.467227,"HUBB-US^P_BETA_LOCIDX(45741,45565,,\"SPX\")":1.4629229,"HUBB-US^P_BETA_LOCIDX(45740,45562,,\"SPX\")":1.4605979,"HUBB-US^P_BETA_LOCIDX(45737,45561,,\"SPX\")":1.4462743,"HUBB-US^P_BETA_LOCIDX(45736,45560,,\"SPX\")":1.4459666,"HUBB-US^P_BETA_LOCIDX(45735,45559,,\"SPX\")":1.4433925,"HUBB-US^P_BETA_LOCIDX(45734,45558,,\"SPX\")":1.4391555,"HUBB-US^P_BETA_LOCIDX(45733,45555,,\"SPX\")":1.4303641,"HUBB-US^P_BETA_LOCIDX(45730,45554,,\"SPX\")":1.4436641,"HUBB-US^P_BETA_LOCIDX(45729,45553,,\"SPX\")":1.4479221,"HUBB-US^P_BETA_LOCIDX(45728,45552,,\"SPX\")":1.4683453,"HUBB-US^P_BETA_LOCIDX(45727,45551,,\"SPX\")":1.4824094,"HUBB-US^P_BETA_LOCIDX(45726,45548,,\"SPX\")":1.504345,"HUBB-US^P_BETA_LOCIDX(45723,45547,,\"SPX\")":1.4912056,"HUBB-US^P_BETA_LOCIDX(45722,45546,,\"SPX\")":1.5042857,"HUBB-US^P_BETA_LOCIDX(45721,45545,,\"SPX\")":1.5196223,"HUBB-US^P_BETA_LOCIDX(45720,45544,,\"SPX\")":1.5370828,"HUBB-US^P_BETA_LOCIDX(45719,45541,,\"SPX\")":1.4902975999999999,"HUBB-US^P_BETA_LOCIDX(45716,45540,,\"SPX\")":1.4516456,"HUBB-US^P_BETA_LOCIDX(45715,45539,,\"SPX\")":1.4863784,"HUBB-US^P_BETA_LOCIDX(45714,45538,,\"SPX\")":1.5491625,"HUBB-US^P_BETA_LOCIDX(45713,45534,,\"SPX\")":1.5456841,"HUBB-US^P_BETA_LOCIDX(45712,45533,,\"SPX\")":1.5554007,"HUBB-US^P_BETA_LOCIDX(45709,45532,,\"SPX\")":1.5349481,"HUBB-US^P_BETA_LOCIDX(45708,45531,,\"SPX\")":1.5272155,"HUBB-US^P_BETA_LOCIDX(45707,45530,,\"SPX\")":1.5251075,"HUBB-US^P_BETA_LOCIDX(45706,45527,,\"SPX\")":1.5322953,"HUBB-US^P_BETA_LOCIDX(45702,45526,,\"SPX\")":1.5025173,"HUBB-US^P_BETA_LOCIDX(45701,45525,,\"SPX\")":1.5046265,"HUBB-US^P_BETA_LOCIDX(45700,45524,,\"SPX\")":1.5208126,"HUBB-US^P_BETA_LOCIDX(45699,45523,,\"SPX\")":1.5053698,"HUBB-US^P_BETA_LOCIDX(45698,45520,,\"SPX\")":1.5016041,"HUBB-US^P_BETA_LOCIDX(45695,45519,,\"SPX\")":1.4713751,"HUBB-US^P_BETA_LOCIDX(45694,45518,,\"SPX\")":1.5139284,"HUBB-US^P_BETA_LOCIDX(45693,45517,,\"SPX\")":1.4804146,"HUBB-US^P_BETA_LOCIDX(45692,45516,,\"SPX\")":1.484084,"HUBB-US^P_BETA_LOCIDX(45691,45513,,\"SPX\")":1.5078619,"HUBB-US^P_BETA_LOCIDX(45688,45512,,\"SPX\")":1.5029113,"HUBB-US^P_BETA_LOCIDX(45687,45511,,\"SPX\")":1.4956765,"HUBB-US^P_BETA_LOCIDX(45686,45510,,\"SPX\")":1.4630718,"HUBB-US^P_BETA_LOCIDX(45685,45509,,\"SPX\")":1.3432612,"HUBB-US^P_BETA_LOCIDX(45684,45506,,\"SPX\")":1.3774816,"HUBB-US^P_BETA_LOCIDX(45681,45505,,\"SPX\")":1.29881,"HUBB-US^P_BETA_LOCIDX(45680,45504,,\"SPX\")":1.3328888,"HUBB-US^P_BETA_LOCIDX(45679,45503,,\"SPX\")":1.3143983,"HUBB-US^P_BETA_LOCIDX(45678,45502,,\"SPX\")":1.3114549,"HUBB-US^P_BETA_LOCIDX(45674,45499,,\"SPX\")":1.315242,"HUBB-US^P_BETA_LOCIDX(45673,45498,,\"SPX\")":1.3194449,"HUBB-US^P_BETA_LOCIDX(45672,45497,,\"SPX\")":1.3908552,"HUBB-US^P_BETA_LOCIDX(45671,45496,,\"SPX\")":1.4329132,"HUBB-US^P_BETA_LOCIDX(45670,45495,,\"SPX\")":1.4403535,"HUBB-US^P_BETA_LOCIDX(45667,45492,,\"SPX\")":1.4304352,"HUBB-US^P_BETA_LOCIDX(45665,45491,,\"SPX\")":1.397964,"HUBB-US^P_BETA_LOCIDX(45664,45490,,\"SPX\")":1.4602706,"HUBB-US^P_BETA_LOCIDX(45663,45489,,\"SPX\")":1.4812855,"HUBB-US^P_BETA_LOCIDX(45660,45488,,\"SPX\")":1.4700898,"HUBB-US^P_BETA_LOCIDX(45659,45485,,\"SPX\")":1.459094,"HUBB-US^P_BETA_LOCIDX(45657,45484,,\"SPX\")":1.4404038,"HUBB-US^P_BETA_LOCIDX(45656,45483,,\"SPX\")":1.4389291,"HUBB-US^P_BETA_LOCIDX(45653,45482,,\"SPX\")":1.445081,"HUBB-US^P_BETA_LOCIDX(45652,45481,,\"SPX\")":1.4437674,"HUBB-US^P_BETA_LOCIDX(45650,45478,,\"SPX\")":1.4413493,"HUBB-US^P_BETA_LOCIDX(45649,45476,,\"SPX\")":1.4465144,"HUBB-US^P_BETA_LOCIDX(45646,45475,,\"SPX\")":1.4603494,"HUBB-US^P_BETA_LOCIDX(45645,45474,,\"SPX\")":1.4674848,"HUBB-US^P_BETA_LOCIDX(45644,45471,,\"SPX\")":1.4703112,"HUBB-US^P_BETA_LOCIDX(45643,45470,,\"SPX\")":1.5072025,"HUBB-US^P_BETA_LOCIDX(45642,45469,,\"SPX\")":1.489491,"HUBB-US^P_BETA_LOCIDX(45639,45468,,\"SPX\")":1.486376,"HUBB-US^P_BETA_LOCIDX(45638,45467,,\"SPX\")":1.4815192,"HUBB-US^P_BETA_LOCIDX(45637,45464,,\"SPX\")":1.4857965,"HUBB-US^P_BETA_LOCIDX(45636,45463,,\"SPX\")":1.4868125,"HUBB-US^P_BETA_LOCIDX(45635,45461,,\"SPX\")":1.487434,"HUBB-US^P_BETA_LOCIDX(45632,45460,,\"SPX\")":1.4825637,"HUBB-US^P_BETA_LOCIDX(45631,45457,,\"SPX\")":1.4893138,"HUBB-US^P_BETA_LOCIDX(45630,45456,,\"SPX\")":1.4885501,"HUBB-US^P_BETA_LOCIDX(45629,45455,,\"SPX\")":1.504892,"HUBB-US^P_BETA_LOCIDX(45628,45454,,\"SPX\")":1.5033602,"HUBB-US^P_BETA_LOCIDX(45625,45453,,\"SPX\")":1.5053787,"HUBB-US^P_BETA_LOCIDX(45623,45450,,\"SPX\")":1.5079153,"HUBB-US^P_BETA_LOCIDX(45622,45449,,\"SPX\")":1.5141851,"HUBB-US^P_BETA_LOCIDX(45621,45448,,\"SPX\")":1.532537,"HUBB-US^P_BETA_LOCIDX(45618,45447,,\"SPX\")":1.5301766,"HUBB-US^P_BETA_LOCIDX(45617,45446,,\"SPX\")":1.5289466,"HUBB-US^P_BETA_LOCIDX(45616,45443,,\"SPX\")":1.50784,"HUBB-US^P_BETA_LOCIDX(45615,45442,,\"SPX\")":1.4961585,"HUBB-US^P_BETA_LOCIDX(45614,45441,,\"SPX\")":1.501679,"HUBB-US^P_BETA_LOCIDX(45611,45440,,\"SPX\")":1.5005313,"HUBB-US^P_BETA_LOCIDX(45610,45436,,\"SPX\")":1.538657,"HUBB-US^P_BETA_LOCIDX(45609,45435,,\"SPX\")":1.5122863,"HUBB-US^P_BETA_LOCIDX(45608,45434,,\"SPX\")":1.5137407,"HUBB-US^P_BETA_LOCIDX(45607,45433,,\"SPX\")":1.5044897,"HUBB-US^P_BETA_LOCIDX(45604,45432,,\"SPX\")":1.5042635,"HUBB-US^P_BETA_LOCIDX(45603,45429,,\"SPX\")":1.5054318,"HUBB-US^P_BETA_LOCIDX(45602,45428,,\"SPX\")":1.5321501,"HUBB-US^P_BETA_LOCIDX(45601,45427,,\"SPX\")":1.4175404,"HUBB-US^P_BETA_LOCIDX(45600,45426,,\"SPX\")":1.3885732,"HUBB-US^P_BETA_LOCIDX(45597,45425,,\"SPX\")":1.3912153,"HUBB-US^P_BETA_LOCIDX(45596,45422,,\"SPX\")":1.3938679,"HUBB-US^P_BETA_LOCIDX(45595,45421,,\"SPX\")":1.4469416,"HUBB-US^P_BETA_LOCIDX(45594,45420,,\"SPX\")":1.4381062,"HUBB-US^P_BETA_LOCIDX(45593,45419,,\"SPX\")":1.4404408,"HUBB-US^P_BETA_LOCIDX(45590,45418,,\"SPX\")":1.4465071,"HUBB-US^P_BETA_LOCIDX(45589,45415,,\"SPX\")":1.4450275,"HUBB-US^P_BETA_LOCIDX(45588,45414,,\"SPX\")":1.4300872,"HUBB-US^P_BETA_LOCIDX(45587,45413,,\"SPX\")":1.4294051,"HUBB-US^P_BETA_LOCIDX(45586,45412,,\"SPX\")":1.5636718,"HUBB-US^P_BETA_LOCIDX(45583,45411,,\"SPX\")":1.5636011,"HUBB-US^P_BETA_LOCIDX(45582,45408,,\"SPX\")":1.563546,"HUBB-US^P_BETA_LOCIDX(45581,45407,,\"SPX\")":1.5531161,"HUBB-US^P_BETA_LOCIDX(45580,45406,,\"SPX\")":1.553262,"HUBB-US^P_BETA_LOCIDX(45579,45405,,\"SPX\")":1.5466485,"HUBB-US^P_BETA_LOCIDX(45576,45404,,\"SPX\")":1.5430775,"HUBB-US^P_BETA_LOCIDX(45575,45401,,\"SPX\")":1.5275413,"HUBB-US^P_BETA_LOCIDX(45574,45400,,\"SPX\")":1.5209166,"HUBB-US^P_BETA_LOCIDX(45573,45399,,\"SPX\")":1.5182873,"HUBB-US^P_BETA_LOCIDX(45572,45398,,\"SPX\")":1.5308896,"HUBB-US^P_BETA_LOCIDX(45569,45397,,\"SPX\")":1.5427836,"HUBB-US^P_BETA_LOCIDX(45568,45394,,\"SPX\")":1.5251765,"HUBB-US^P_BETA_LOCIDX(45567,45393,,\"SPX\")":1.5154947,"HUBB-US^P_BETA_LOCIDX(45566,45392,,\"SPX\")":1.504562,"HUBB-US^P_BETA_LOCIDX(45565,45391,,\"SPX\")":1.5176873,"HUBB-US^P_BETA_LOCIDX(45562,45390,,\"SPX\")":1.5202231,"HUBB-US^P_BETA_LOCIDX(45561,45387,,\"SPX\")":1.5153548,"HUBB-US^P_BETA_LOCIDX(45560,45386,,\"SPX\")":1.5261587,"HUBB-US^P_BETA_LOCIDX(45559,45385,,\"SPX\")":1.5273932,"HUBB-US^P_BETA_LOCIDX(45558,45384,,\"SPX\")":1.5208806,"HUBB-US^P_BETA_LOCIDX(45555,45383,,\"SPX\")":1.5189687,"HUBB-US^P_BETA_LOCIDX(45554,45379,,\"SPX\")":1.5225523,"HUBB-US^P_BETA_LOCIDX(45553,45378,,\"SPX\")":1.5017451,"HUBB-US^P_BETA_LOCIDX(45552,45377,,\"SPX\")":1.5002519,"HUBB-US^P_BETA_LOCIDX(45551,45376,,\"SPX\")":1.5030783,"HUBB-US^P_BETA_LOCIDX(45548,45373,,\"SPX\")":1.5000962,"HUBB-US^P_BETA_LOCIDX(45547,45372,,\"SPX\")":1.5015333,"HUBB-US^P_BETA_LOCIDX(45546,45371,,\"SPX\")":1.5088842,"HUBB-US^P_BETA_LOCIDX(45545,45370,,\"SPX\")":1.4793254,"HUBB-US^P_BETA_LOCIDX(45544,45369,,\"SPX\")":1.4813498,"HUBB-US^P_BETA_LOCIDX(45541,45366,,\"SPX\")":1.4819777,"HUBB-US^P_BETA_LOCIDX(45540,45365,,\"SPX\")":1.5369235,"HUBB-US^P_BETA_LOCIDX(45539,45364,,\"SPX\")":1.5312885,"HUBB-US^P_BETA_LOCIDX(45538,45363,,\"SPX\")":1.539796,"HUBB-US^P_BETA_LOCIDX(45534,45362,,\"SPX\")":1.4910426,"HUBB-US^P_BETA_LOCIDX(45533,45359,,\"SPX\")":1.4845705,"HUBB-US^P_BETA_LOCIDX(45532,45358,,\"SPX\")":1.4845496,"HUBB-US^P_BETA_LOCIDX(45531,45357,,\"SPX\")":1.5018637,"HUBB-US^P_BETA_LOCIDX(45530,45356,,\"SPX\")":1.5039918,"HUBB-US^P_BETA_LOCIDX(45527,45355,,\"SPX\")":1.5033706,"HUBB-US^P_BETA_LOCIDX(45526,45352,,\"SPX\")":1.4979372,"HUBB-US^P_BETA_LOCIDX(45525,45351,,\"SPX\")":1.5350536,"HUBB-US^P_BETA_LOCIDX(45524,45350,,\"SPX\")":1.528292,"HUBB-US^P_BETA_LOCIDX(45523,45349,,\"SPX\")":1.5244141,"HUBB-US^P_BETA_LOCIDX(45520,45348,,\"SPX\")":1.5245576,"HUBB-US^P_BETA_LOCIDX(45519,45345,,\"SPX\")":1.5276953,"HUBB-US^P_BETA_LOCIDX(45518,45344,,\"SPX\")":1.5620803,"HUBB-US^P_BETA_LOCIDX(45517,45343,,\"SPX\")":1.5592444,"HUBB-US^P_BETA_LOCIDX(45516,45342,,\"SPX\")":1.6022087,"HUBB-US^P_BETA_LOCIDX(45513,45338,,\"SPX\")":1.5958295,"HUBB-US^P_BETA_LOCIDX(45512,45337,,\"SPX\")":1.5872425,"HUBB-US^P_BETA_LOCIDX(45511,45336,,\"SPX\")":1.5790813,"HUBB-US^P_BETA_LOCIDX(45510,45335,,\"SPX\")":1.5830349,"HUBB-US^P_BETA_LOCIDX(45509,45334,,\"SPX\")":1.6179198,"HUBB-US^P_BETA_LOCIDX(45506,45331,,\"SPX\")":1.8226564,"HUBB-US^P_BETA_LOCIDX(45505,45330,,\"SPX\")":1.8176122,"HUBB-US^P_BETA_LOCIDX(45504,45329,,\"SPX\")":1.782141,"HUBB-US^P_BETA_LOCIDX(45503,45328,,\"SPX\")":1.745178,"HUBB-US^P_BETA_LOCIDX(45502,45327,,\"SPX\")":1.7904054,"HUBB-US^P_BETA_LOCIDX(45499,45324,,\"SPX\")":1.8097712,"HUBB-US^P_BETA_LOCIDX(45498,45323,,\"SPX\")":1.7922412,"HUBB-US^P_BETA_LOCIDX(45497,45322,,\"SPX\")":1.7861055,"HUBB-US^P_BETA_LOCIDX(45496,45321,,\"SPX\")":1.7023735,"HUBB-US^P_BETA_LOCIDX(45495,45320,,\"SPX\")":1.7024888,"HUBB-US^P_BETA_LOCIDX(45492,45317,,\"SPX\")":1.6949546,"HUBB-US^P_BETA_LOCIDX(45491,45316,,\"SPX\")":1.7261904,"HUBB-US^P_BETA_LOCIDX(45490,45315,,\"SPX\")":1.7596176,"HUBB-US^P_BETA_LOCIDX(45489,45314,,\"SPX\")":1.6459233,"HUBB-US^P_BETA_LOCIDX(45488,45313,,\"SPX\")":1.6140769,"HUBB-US^P_BETA_LOCIDX(45485,45310,,\"SPX\")":1.6051227,"HUBB-US^P_BETA_LOCIDX(45484,45309,,\"SPX\")":1.6073748,"HUBB-US^P_BETA_LOCIDX(45483,45308,,\"SPX\")":1.6605829,"HUBB-US^P_BETA_LOCIDX(45482,45307,,\"SPX\")":1.6651424,"HUBB-US^P_BETA_LOCIDX(45481,45303,,\"SPX\")":1.6635547,"HUBB-US^P_BETA_LOCIDX(45478,45302,,\"SPX\")":1.6611104,"HUBB-US^P_BETA_LOCIDX(45476,45301,,\"SPX\")":1.6522108,"HUBB-US^P_BETA_LOCIDX(45475,45300,,\"SPX\")":1.6373792,"HUBB-US^P_BETA_LOCIDX(45474,45299,,\"SPX\")":1.6115109,"HUBB-US^P_BETA_LOCIDX(45471,45296,,\"SPX\")":1.616055,"HUBB-US^P_BETA_LOCIDX(45470,45295,,\"SPX\")":1.597758,"HUBB-US^P_BETA_LOCIDX(45469,45294,,\"SPX\")":1.6215115,"HUBB-US^P_BETA_LOCIDX(45468,45293,,\"SPX\")":1.6219801,"HUBB-US^P_BETA_LOCIDX(45467,45289,,\"SPX\")":1.6215738,"HUBB-US^P_BETA_LOCIDX(45464,45288,,\"SPX\")":1.6299497,"HUBB-US^P_BETA_LOCIDX(45463,45287,,\"SPX\")":1.6277792,"HUBB-US^P_BETA_LOCIDX(45461,45286,,\"SPX\")":1.6189721,"HUBB-US^P_BETA_LOCIDX(45460,45282,,\"SPX\")":1.6162246,"HUBB-US^P_BETA_LOCIDX(45457,45281,,\"SPX\")":1.5998437,"HUBB-US^P_BETA_LOCIDX(45456,45280,,\"SPX\")":1.549882,"HUBB-US^P_BETA_LOCIDX(45455,45279,,\"SPX\")":1.5390258,"HUBB-US^P_BETA_LOCIDX(45454,45278,,\"SPX\")":1.4962693,"HUBB-US^P_BETA_LOCIDX(45453,45275,,\"SPX\")":1.4989636,"HUBB-US^P_BETA_LOCIDX(45450,45274,,\"SPX\")":1.5074165,"HUBB-US^P_BETA_LOCIDX(45449,45273,,\"SPX\")":1.4396319,"HUBB-US^P_BETA_LOCIDX(45448,45272,,\"SPX\")":1.4338671,"HUBB-US^P_BETA_LOCIDX(45447,45271,,\"SPX\")":1.4240881,"HUBB-US^P_BETA_LOCIDX(45446,45268,,\"SPX\")":1.4262952,"HUBB-US^P_BETA_LOCIDX(45443,45267,,\"SPX\")":1.4234049,"HUBB-US^P_BETA_LOCIDX(45442,45266,,\"SPX\")":1.4278448,"HUBB-US^P_BETA_LOCIDX(45441,45265,,\"SPX\")":1.4453088,"HUBB-US^P_BETA_LOCIDX(45440,45264,,\"SPX\")":1.4214567,"HUBB-US^P_BETA_LOCIDX(45436,45261,,\"SPX\")":1.4169102,"HUBB-US^P_BETA_LOCIDX(45435,45260,,\"SPX\")":1.4022487,"HUBB-US^P_BETA_LOCIDX(45434,45259,,\"SPX\")":1.4146194,"HUBB-US^P_BETA_LOCIDX(45433,45258,,\"SPX\")":1.4129854,"HUBB-US^P_BETA_LOCIDX(45432,45257,,\"SPX\")":1.4092809,"HUBB-US^P_BETA_LOCIDX(45429,45254,,\"SPX\")":1.4098254,"HUBB-US^P_BETA_LOCIDX(45428,45252,,\"SPX\")":1.4105502,"HUBB-US^P_BETA_LOCIDX(45427,45251,,\"SPX\")":1.3975329,"HUBB-US^P_BETA_LOCIDX(45426,45250,,\"SPX\")":1.3997778,"HUBB-US^P_BETA_LOCIDX(45425,45247,,\"SPX\")":1.4063693,"HUBB-US^P_BETA_LOCIDX(45422,45246,,\"SPX\")":1.4028009,"HUBB-US^P_BETA_LOCIDX(45421,45245,,\"SPX\")":1.4019003,"HUBB-US^P_BETA_LOCIDX(45420,45244,,\"SPX\")":1.3527639,"HUBB-US^P_BETA_LOCIDX(45419,45243,,\"SPX\")":1.3527797,"HUBB-US^P_BETA_LOCIDX(45418,45240,,\"SPX\")":1.3389817,"HUBB-US^P_BETA_LOCIDX(45415,45239,,\"SPX\")":1.2943897,"HUBB-US^P_BETA_LOCIDX(45414,45238,,\"SPX\")":1.2913231,"HUBB-US^P_BETA_LOCIDX(45413,45237,,\"SPX\")":1.3085878,"HUBB-US^P_BETA_LOCIDX(45412,45236,,\"SPX\")":1.3157027,"HUBB-US^P_BETA_LOCIDX(45411,45233,,\"SPX\")":1.0938438,"HUBB-US^P_BETA_LOCIDX(45408,45232,,\"SPX\")":1.0483412,"HUBB-US^P_BETA_LOCIDX(45407,45231,,\"SPX\")":1.0778275,"HUBB-US^P_BETA_LOCIDX(45406,45230,,\"SPX\")":1.0465395,"HUBB-US^P_BETA_LOCIDX(45405,45229,,\"SPX\")":1.0372605,"HUBB-US^P_BETA_LOCIDX(45404,45226,,\"SPX\")":1.0270451,"HUBB-US^P_BETA_LOCIDX(45401,45225,,\"SPX\")":0.99278456,"HUBB-US^P_BETA_LOCIDX(45400,45224,,\"SPX\")":0.9761178,"HUBB-US^P_BETA_LOCIDX(45399,45223,,\"SPX\")":0.9767628,"HUBB-US^P_BETA_LOCIDX(45398,45222,,\"SPX\")":0.9651752,"HUBB-US^P_BETA_LOCIDX(45397,45219,,\"SPX\")":0.9729233,"HUBB-US^P_BETA_LOCIDX(45394,45218,,\"SPX\")":1.0144746,"HUBB-US^P_BETA_LOCIDX(45393,45217,,\"SPX\")":1.0672694,"HUBB-US^P_BETA_LOCIDX(45392,45216,,\"SPX\")":1.0810374,"HUBB-US^P_BETA_LOCIDX(45391,45215,,\"SPX\")":1.1144046,"HUBB-US^P_BETA_LOCIDX(45390,45212,,\"SPX\")":1.1582963,"HUBB-US^P_BETA_LOCIDX(45387,45211,,\"SPX\")":1.1539395,"HUBB-US^P_BETA_LOCIDX(45386,45210,,\"SPX\")":1.1596764,"HUBB-US^P_BETA_LOCIDX(45385,45209,,\"SPX\")":1.121589,"HUBB-US^P_BETA_LOCIDX(45384,45208,,\"SPX\")":1.115113,"HUBB-US^P_BETA_LOCIDX(45383,45205,,\"SPX\")":1.1528162,"HUBB-US^P_BETA_LOCIDX(45379,45204,,\"SPX\")":1.1685903,"HUBB-US^P_BETA_LOCIDX(45378,45203,,\"SPX\")":1.1639527,"HUBB-US^P_BETA_LOCIDX(45377,45202,,\"SPX\")":1.1666255,"HUBB-US^P_BETA_LOCIDX(45376,45201,,\"SPX\")":1.1722234,"HUBB-US^P_BETA_LOCIDX(45373,45198,,\"SPX\")":1.1738625,"HUBB-US^P_BETA_LOCIDX(45372,45197,,\"SPX\")":1.1767669,"HUBB-US^P_BETA_LOCIDX(45371,45196,,\"SPX\")":1.1676662,"HUBB-US^P_BETA_LOCIDX(45370,45195,,\"SPX\")":1.1433327,"HUBB-US^P_BETA_LOCIDX(45369,45194,,\"SPX\")":1.159363,"HUBB-US^P_BETA_LOCIDX(45366,45191,,\"SPX\")":1.1532091,"HUBB-US^P_BETA_LOCIDX(45365,45190,,\"SPX\")":1.1450732,"HUBB-US^P_BETA_LOCIDX(45364,45189,,\"SPX\")":1.1536205,"HUBB-US^P_BETA_LOCIDX(45363,45188,,\"SPX\")":1.1653534,"HUBB-US^P_BETA_LOCIDX(45362,45187,,\"SPX\")":1.1484151,"HUBB-US^P_BETA_LOCIDX(45359,45184,,\"SPX\")":1.1405969,"HUBB-US^P_BETA_LOCIDX(45358,45183,,\"SPX\")":1.1512688,"HUBB-US^P_BETA_LOCIDX(45357,45182,,\"SPX\")":1.150315,"HUBB-US^P_BETA_LOCIDX(45356,45181,,\"SPX\")":1.1591998,"HUBB-US^P_BETA_LOCIDX(45355,45180,,\"SPX\")":1.1390508,"HUBB-US^P_BETA_LOCIDX(45352,45177,,\"SPX\")":1.1423563,"HUBB-US^P_BETA_LOCIDX(45351,45176,,\"SPX\")":1.1224734,"HUBB-US^P_BETA_LOCIDX(45350,45175,,\"SPX\")":1.0897328,"HUBB-US^P_BETA_LOCIDX(45349,45174,,\"SPX\")":1.1244094,"HUBB-US^P_BETA_LOCIDX(45348,45170,,\"SPX\")":1.1258283,"HUBB-US^P_BETA_LOCIDX(45345,45169,,\"SPX\")":1.1361332,"HUBB-US^P_BETA_LOCIDX(45344,45168,,\"SPX\")":1.1339266,"HUBB-US^P_BETA_LOCIDX(45343,45167,,\"SPX\")":1.0913424,"HUBB-US^P_BETA_LOCIDX(45342,45166,,\"SPX\")":1.0924697,"HUBB-US^P_BETA_LOCIDX(45338,45163,,\"SPX\")":1.1017563,"HUBB-US^P_BETA_LOCIDX(45337,45162,,\"SPX\")":1.0829518,"HUBB-US^P_BETA_LOCIDX(45336,45161,,\"SPX\")":1.1204562,"HUBB-US^P_BETA_LOCIDX(45335,45160,,\"SPX\")":1.1077731,"HUBB-US^P_BETA_LOCIDX(45334,45159,,\"SPX\")":1.1006601,"HUBB-US^P_BETA_LOCIDX(45331,45156,,\"SPX\")":1.0962034,"HUBB-US^P_BETA_LOCIDX(45330,45155,,\"SPX\")":1.1061543,"HUBB-US^P_BETA_LOCIDX(45329,45154,,\"SPX\")":1.0972201,"HUBB-US^P_BETA_LOCIDX(45328,45153,,\"SPX\")":1.091531,"HUBB-US^P_BETA_LOCIDX(45327,45152,,\"SPX\")":1.0959061,"HUBB-US^P_BETA_LOCIDX(45324,45149,,\"SPX\")":1.0882206,"HUBB-US^P_BETA_LOCIDX(45323,45148,,\"SPX\")":1.0633342,"HUBB-US^P_BETA_LOCIDX(45322,45147,,\"SPX\")":1.0665009,"HUBB-US^P_BETA_LOCIDX(45321,45146,,\"SPX\")":1.0310036,"HUBB-US^P_BETA_LOCIDX(45320,45145,,\"SPX\")":1.0493351,"HUBB-US^P_BETA_LOCIDX(45317,45142,,\"SPX\")":1.0481999,"HUBB-US^P_BETA_LOCIDX(45316,45141,,\"SPX\")":1.0544486,"HUBB-US^P_BETA_LOCIDX(45315,45140,,\"SPX\")":1.031961,"HUBB-US^P_BETA_LOCIDX(45314,45139,,\"SPX\")":1.0254772,"HUBB-US^P_BETA_LOCIDX(45313,45138,,\"SPX\")":1.0313482,"HUBB-US^P_BETA_LOCIDX(45310,45135,,\"SPX\")":1.0207027,"HUBB-US^P_BETA_LOCIDX(45309,45134,,\"SPX\")":1.020237,"HUBB-US^P_BETA_LOCIDX(45308,45133,,\"SPX\")":1.0176938,"HUBB-US^P_BETA_LOCIDX(45307,45132,,\"SPX\")":0.9921533,"HUBB-US^P_BETA_LOCIDX(45303,45131,,\"SPX\")":0.990597,"HUBB-US^P_BETA_LOCIDX(45302,45128,,\"SPX\")":0.99086463,"HUBB-US^P_BETA_LOCIDX(45301,45127,,\"SPX\")":0.98274255,"HUBB-US^P_BETA_LOCIDX(45300,45126,,\"SPX\")":0.9911527,"HUBB-US^P_BETA_LOCIDX(45299,45125,,\"SPX\")":1.0054938,"HUBB-US^P_BETA_LOCIDX(45296,45124,,\"SPX\")":1.0043832,"HUBB-US^P_BETA_LOCIDX(45295,45121,,\"SPX\")":1.0075333,"HUBB-US^P_BETA_LOCIDX(45294,45120,,\"SPX\")":1.0113355,"HUBB-US^P_BETA_LOCIDX(45293,45119,,\"SPX\")":0.9753674,"HUBB-US^P_BETA_LOCIDX(45289,45118,,\"SPX\")":0.959892,"HUBB-US^P_BETA_LOCIDX(45288,45117,,\"SPX\")":0.96864325,"HUBB-US^P_BETA_LOCIDX(45287,45114,,\"SPX\")":0.9644956,"HUBB-US^P_BETA_LOCIDX(45286,45113,,\"SPX\")":0.9595079,"HUBB-US^P_BETA_LOCIDX(45282,45112,,\"SPX\")":0.9572786,"HUBB-US^P_BETA_LOCIDX(45281,45110,,\"SPX\")":0.9559572,"HUBB-US^P_BETA_LOCIDX(45280,45107,,\"SPX\")":0.95765144,"HUBB-US^P_BETA_LOCIDX(45279,45106,,\"SPX\")":0.98114604,"HUBB-US^P_BETA_LOCIDX(45278,45105,,\"SPX\")":0.98946846,"HUBB-US^P_BETA_LOCIDX(45275,45104,,\"SPX\")":0.9944295,"HUBB-US^P_BETA_LOCIDX(45274,45103,,\"SPX\")":0.98418623,"HUBB-US^P_BETA_LOCIDX(45273,45100,,\"SPX\")":0.9805088,"HUBB-US^P_BETA_LOCIDX(45272,45099,,\"SPX\")":1.0289283,"HUBB-US^P_BETA_LOCIDX(45271,45098,,\"SPX\")":1.0133097,"HUBB-US^P_BETA_LOCIDX(45268,45097,,\"SPX\")":0.99753773,"HUBB-US^P_BETA_LOCIDX(45267,45093,,\"SPX\")":0.99456215,"HUBB-US^P_BETA_LOCIDX(45266,45092,,\"SPX\")":1.0032254,"HUBB-US^P_BETA_LOCIDX(45265,45091,,\"SPX\")":1.0139496,"HUBB-US^P_BETA_LOCIDX(45264,45090,,\"SPX\")":1.0213991,"HUBB-US^P_BETA_LOCIDX(45261,45089,,\"SPX\")":1.031066,"HUBB-US^P_BETA_LOCIDX(45260,45086,,\"SPX\")":1.026458,"HUBB-US^P_BETA_LOCIDX(45259,45085,,\"SPX\")":1.0176003,"HUBB-US^P_BETA_LOCIDX(45258,45084,,\"SPX\")":0.9964331,"HUBB-US^P_BETA_LOCIDX(45257,45083,,\"SPX\")":0.99895954,"HUBB-US^P_BETA_LOCIDX(45254,45082,,\"SPX\")":0.9993365,"HUBB-US^P_BETA_LOCIDX(45252,45079,,\"SPX\")":1.0214515,"HUBB-US^P_BETA_LOCIDX(45251,45078,,\"SPX\")":1.0289677,"HUBB-US^P_BETA_LOCIDX(45250,45077,,\"SPX\")":1.0409148,"HUBB-US^P_BETA_LOCIDX(45247,45076,,\"SPX\")":1.0491556,"HUBB-US^P_BETA_LOCIDX(45246,45072,,\"SPX\")":1.0488534,"HUBB-US^P_BETA_LOCIDX(45245,45071,,\"SPX\")":1.0862005,"HUBB-US^P_BETA_LOCIDX(45244,45070,,\"SPX\")":1.0828745,"HUBB-US^P_BETA_LOCIDX(45243,45069,,\"SPX\")":1.1134298,"HUBB-US^P_BETA_LOCIDX(45240,45068,,\"SPX\")":1.1140537,"HUBB-US^P_BETA_LOCIDX(45239,45065,,\"SPX\")":1.1174713,"HUBB-US^P_BETA_LOCIDX(45238,45064,,\"SPX\")":1.1578423,"HUBB-US^P_BETA_LOCIDX(45237,45063,,\"SPX\")":1.1649973,"HUBB-US^P_BETA_LOCIDX(45236,45062,,\"SPX\")":1.1706549,"HUBB-US^P_BETA_LOCIDX(45233,45061,,\"SPX\")":1.1722435,"HUBB-US^P_BETA_LOCIDX(45232,45058,,\"SPX\")":1.1797435,"HUBB-US^P_BETA_LOCIDX(45231,45057,,\"SPX\")":1.2252021,"HUBB-US^P_BETA_LOCIDX(45230,45056,,\"SPX\")":1.1920115,"HUBB-US^P_BETA_LOCIDX(45229,45055,,\"SPX\")":1.240942,"HUBB-US^P_BETA_LOCIDX(45226,45054,,\"SPX\")":1.253993,"HUBB-US^P_BETA_LOCIDX(45225,45051,,\"SPX\")":1.2172432,"HUBB-US^P_BETA_LOCIDX(45224,45050,,\"SPX\")":1.2622857,"HUBB-US^P_BETA_LOCIDX(45223,45049,,\"SPX\")":1.3010548,"HUBB-US^P_BETA_LOCIDX(45222,45048,,\"SPX\")":1.2302021,"HUBB-US^P_BETA_LOCIDX(45219,45047,,\"SPX\")":1.230161,"HUBB-US^P_BETA_LOCIDX(45218,45044,,\"SPX\")":1.2223227,"HUBB-US^P_BETA_LOCIDX(45217,45043,,\"SPX\")":1.2203319,"HUBB-US^P_BETA_LOCIDX(45216,45042,,\"SPX\")":1.1799963,"HUBB-US^P_BETA_LOCIDX(45215,45041,,\"SPX\")":0.85311806,"HUBB-US^P_BETA_LOCIDX(45212,45040,,\"SPX\")":0.8221858,"HUBB-US^P_BETA_LOCIDX(45211,45037,,\"SPX\")":0.78427017,"HUBB-US^P_BETA_LOCIDX(45210,45036,,\"SPX\")":0.7851874,"HUBB-US^P_BETA_LOCIDX(45209,45035,,\"SPX\")":0.7836249,"HUBB-US^P_BETA_LOCIDX(45208,45034,,\"SPX\")":0.7901676,"HUBB-US^P_BETA_LOCIDX(45205,45033,,\"SPX\")":0.80423254,"HUBB-US^P_BETA_LOCIDX(45204,45030,,\"SPX\")":0.7637724,"HUBB-US^P_BETA_LOCIDX(45203,45029,,\"SPX\")":0.73098445,"HUBB-US^P_BETA_LOCIDX(45202,45028,,\"SPX\")":0.727427,"HUBB-US^P_BETA_LOCIDX(45201,45027,,\"SPX\")":0.71672326,"HUBB-US^P_BETA_LOCIDX(45198,45026,,\"SPX\")":0.7170519,"HUBB-US^P_BETA_LOCIDX(45197,45022,,\"SPX\")":0.7009033,"HUBB-US^P_BETA_LOCIDX(45196,45021,,\"SPX\")":0.71555924,"HUBB-US^P_BETA_LOCIDX(45195,45020,,\"SPX\")":0.7681168,"HUBB-US^P_BETA_LOCIDX(45194,45019,,\"SPX\")":0.7582564,"HUBB-US^P_BETA_LOCIDX(45191,45016,,\"SPX\")":0.74857724,"HUBB-US^P_BETA_LOCIDX(45190,45015,,\"SPX\")":0.7463006,"HUBB-US^P_BETA_LOCIDX(45189,45014,,\"SPX\")":0.72704536,"HUBB-US^P_BETA_LOCIDX(45188,45013,,\"SPX\")":0.70973,"HUBB-US^P_BETA_LOCIDX(45187,45012,,\"SPX\")":0.70144725,"HUBB-US^P_BETA_LOCIDX(45184,45009,,\"SPX\")":0.692877,"HUBB-US^P_BETA_LOCIDX(45183,45008,,\"SPX\")":0.6738162,"HUBB-US^P_BETA_LOCIDX(45182,45007,,\"SPX\")":0.70851433,"HUBB-US^P_BETA_LOCIDX(45181,45006,,\"SPX\")":0.6923196,"HUBB-US^P_BETA_LOCIDX(45180,45005,,\"SPX\")":0.69422853,"HUBB-US^P_BETA_LOCIDX(45177,45002,,\"SPX\")":0.74415135,"HUBB-US^P_BETA_LOCIDX(45176,45001,,\"SPX\")":0.78301126,"HUBB-US^P_BETA_LOCIDX(45175,45000,,\"SPX\")":0.85159016,"HUBB-US^P_BETA_LOCIDX(45174,44999,,\"SPX\")":0.91810405,"HUBB-US^P_BETA_LOCIDX(45170,44998,,\"SPX\")":0.8882187,"HUBB-US^P_BETA_LOCIDX(45169,44995,,\"SPX\")":0.9299613,"HUBB-US^P_BETA_LOCIDX(45168,44994,,\"SPX\")":0.93208784,"HUBB-US^P_BETA_LOCIDX(45167,44993,,\"SPX\")":0.9347349,"HUBB-US^P_BETA_LOCIDX(45166,44992,,\"SPX\")":0.95120406,"HUBB-US^P_BETA_LOCIDX(45163,44991,,\"SPX\")":0.95099825,"HUBB-US^P_BETA_LOCIDX(45162,44988,,\"SPX\")":0.934597,"HUBB-US^P_BETA_LOCIDX(45161,44987,,\"SPX\")":0.9412392,"HUBB-US^P_BETA_LOCIDX(45160,44986,,\"SPX\")":0.91451967,"HUBB-US^P_BETA_LOCIDX(45159,44985,,\"SPX\")":0.91472054,"HUBB-US^P_BETA_LOCIDX(45156,44984,,\"SPX\")":0.9075204,"HUBB-US^P_BETA_LOCIDX(45155,44981,,\"SPX\")":0.8766951,"HUBB-US^P_BETA_LOCIDX(45154,44980,,\"SPX\")":0.8647587,"HUBB-US^P_BETA_LOCIDX(45153,44979,,\"SPX\")":0.8717609,"HUBB-US^P_BETA_LOCIDX(45152,44978,,\"SPX\")":0.8585705,"HUBB-US^P_BETA_LOCIDX(45149,44974,,\"SPX\")":0.8514807,"HUBB-US^P_BETA_LOCIDX(45148,44973,,\"SPX\")":0.84120524,"HUBB-US^P_BETA_LOCIDX(45147,44972,,\"SPX\")":0.8455892,"HUBB-US^P_BETA_LOCIDX(45146,44971,,\"SPX\")":0.8242278,"HUBB-US^P_BETA_LOCIDX(45145,44970,,\"SPX\")":0.8335845,"HUBB-US^P_BETA_LOCIDX(45142,44967,,\"SPX\")":0.8252684,"HUBB-US^P_BETA_LOCIDX(45141,44966,,\"SPX\")":0.80701226,"HUBB-US^P_BETA_LOCIDX(45140,44965,,\"SPX\")":0.8210962,"HUBB-US^P_BETA_LOCIDX(45139,44964,,\"SPX\")":0.8212162,"HUBB-US^P_BETA_LOCIDX(45138,44963,,\"SPX\")":0.82021487,"HUBB-US^P_BETA_LOCIDX(45135,44960,,\"SPX\")":0.7859643,"HUBB-US^P_BETA_LOCIDX(45134,44959,,\"SPX\")":0.75887495,"HUBB-US^P_BETA_LOCIDX(45133,44958,,\"SPX\")":0.79293746,"HUBB-US^P_BETA_LOCIDX(45132,44957,,\"SPX\")":0.7607806,"HUBB-US^P_BETA_LOCIDX(45131,44956,,\"SPX\")":0.7666981,"HUBB-US^P_BETA_LOCIDX(45128,44953,,\"SPX\")":0.76794434,"HUBB-US^P_BETA_LOCIDX(45127,44952,,\"SPX\")":0.7686948,"HUBB-US^P_BETA_LOCIDX(45126,44951,,\"SPX\")":0.7735367,"HUBB-US^P_BETA_LOCIDX(45125,44950,,\"SPX\")":0.77025205,"HUBB-US^P_BETA_LOCIDX(45124,44949,,\"SPX\")":0.7500932,"HUBB-US^P_BETA_LOCIDX(45121,44946,,\"SPX\")":0.7279423,"HUBB-US^P_BETA_LOCIDX(45120,44945,,\"SPX\")":0.74082756,"HUBB-US^P_BETA_LOCIDX(45119,44944,,\"SPX\")":0.7435602,"HUBB-US^P_BETA_LOCIDX(45118,44943,,\"SPX\")":0.7603981,"HUBB-US^P_BETA_LOCIDX(45117,44939,,\"SPX\")":0.7705188,"HUBB-US^P_BETA_LOCIDX(45114,44938,,\"SPX\")":0.7636721,"HUBB-US^P_BETA_LOCIDX(45113,44937,,\"SPX\")":0.76130754,"HUBB-US^P_BETA_LOCIDX(45112,44936,,\"SPX\")":0.76566136,"HUBB-US^P_BETA_LOCIDX(45110,44935,,\"SPX\")":0.7622235,"HUBB-US^P_BETA_LOCIDX(45107,44932,,\"SPX\")":0.7622023,"HUBB-US^P_BETA_LOCIDX(45106,44931,,\"SPX\")":0.77924716,"HUBB-US^P_BETA_LOCIDX(45105,44930,,\"SPX\")":0.7564728,"HUBB-US^P_BETA_LOCIDX(45104,44929,,\"SPX\")":0.75540125,"HUBB-US^P_BETA_LOCIDX(45103,44925,,\"SPX\")":0.7548737,"HUBB-US^P_BETA_LOCIDX(45100,44924,,\"SPX\")":0.7415051,"HUBB-US^P_BETA_LOCIDX(45099,44923,,\"SPX\")":0.73724955,"HUBB-US^P_BETA_LOCIDX(45098,44922,,\"SPX\")":0.7363457,"HUBB-US^P_BETA_LOCIDX(45097,44918,,\"SPX\")":0.7398693,"HUBB-US^P_BETA_LOCIDX(45093,44917,,\"SPX\")":0.75850594,"HUBB-US^P_BETA_LOCIDX(45092,44916,,\"SPX\")":0.76084346,"HUBB-US^P_BETA_LOCIDX(45091,44915,,\"SPX\")":0.7540382,"HUBB-US^P_BETA_LOCIDX(45090,44914,,\"SPX\")":0.732525,"HUBB-US^P_BETA_LOCIDX(45089,44911,,\"SPX\")":0.7599604,"HUBB-US^P_BETA_LOCIDX(45086,44910,,\"SPX\")":0.7876645,"HUBB-US^P_BETA_LOCIDX(45085,44909,,\"SPX\")":0.8013708,"HUBB-US^P_BETA_LOCIDX(45084,44908,,\"SPX\")":0.79998565,"HUBB-US^P_BETA_LOCIDX(45083,44907,,\"SPX\")":0.820368,"HUBB-US^P_BETA_LOCIDX(45082,44904,,\"SPX\")":0.81861603,"HUBB-US^P_BETA_LOCIDX(45079,44903,,\"SPX\")":0.82415456,"HUBB-US^P_BETA_LOCIDX(45078,44902,,\"SPX\")":0.80815434,"HUBB-US^P_BETA_LOCIDX(45077,44901,,\"SPX\")":0.7925138,"HUBB-US^P_BETA_LOCIDX(45076,44900,,\"SPX\")":0.78462625,"HUBB-US^P_BETA_LOCIDX(45072,44897,,\"SPX\")":0.78567284,"HUBB-US^P_BETA_LOCIDX(45071,44896,,\"SPX\")":0.7823371,"HUBB-US^P_BETA_LOCIDX(45070,44895,,\"SPX\")":0.7423176,"HUBB-US^P_BETA_LOCIDX(45069,44894,,\"SPX\")":0.74341744,"HUBB-US^P_BETA_LOCIDX(45068,44893,,\"SPX\")":0.7586889,"HUBB-US^P_BETA_LOCIDX(45065,44890,,\"SPX\")":0.7583572,"HUBB-US^P_BETA_LOCIDX(45064,44888,,\"SPX\")":0.75079125,"HUBB-US^P_BETA_LOCIDX(45063,44887,,\"SPX\")":0.75276655,"HUBB-US^P_BETA_LOCIDX(45062,44886,,\"SPX\")":0.7435469,"HUBB-US^P_BETA_LOCIDX(45061,44883,,\"SPX\")":0.74262935,"HUBB-US^P_BETA_LOCIDX(45058,44882,,\"SPX\")":0.7405832,"HUBB-US^P_BETA_LOCIDX(45057,44881,,\"SPX\")":0.7421572,"HUBB-US^P_BETA_LOCIDX(45056,44880,,\"SPX\")":0.7387136,"HUBB-US^P_BETA_LOCIDX(45055,44879,,\"SPX\")":0.7377384,"HUBB-US^P_BETA_LOCIDX(45054,44876,,\"SPX\")":0.7243706,"HUBB-US^P_BETA_LOCIDX(45051,44875,,\"SPX\")":0.79461634,"HUBB-US^P_BETA_LOCIDX(45050,44874,,\"SPX\")":0.794805,"HUBB-US^P_BETA_LOCIDX(45049,44873,,\"SPX\")":0.7951491,"HUBB-US^P_BETA_LOCIDX(45048,44872,,\"SPX\")":0.78103065,"HUBB-US^P_BETA_LOCIDX(45047,44869,,\"SPX\")":0.8057673,"HUBB-US^P_BETA_LOCIDX(45044,44868,,\"SPX\")":0.8005546,"HUBB-US^P_BETA_LOCIDX(45043,44867,,\"SPX\")":0.7957016,"HUBB-US^P_BETA_LOCIDX(45042,44866,,\"SPX\")":0.78044283,"HUBB-US^P_BETA_LOCIDX(45041,44865,,\"SPX\")":0.7783597,"HUBB-US^P_BETA_LOCIDX(45040,44862,,\"SPX\")":0.862162,"HUBB-US^P_BETA_LOCIDX(45037,44861,,\"SPX\")":0.8573979,"HUBB-US^P_BETA_LOCIDX(45036,44860,,\"SPX\")":0.85269034,"HUBB-US^P_BETA_LOCIDX(45035,44859,,\"SPX\")":0.8982681,"HUBB-US^P_BETA_LOCIDX(45034,44858,,\"SPX\")":0.9099789,"HUBB-US^P_BETA_LOCIDX(45033,44855,,\"SPX\")":0.9089809,"HUBB-US^P_BETA_LOCIDX(45030,44854,,\"SPX\")":0.9156432,"HUBB-US^P_BETA_LOCIDX(45029,44853,,\"SPX\")":0.93651474,"HUBB-US^P_BETA_LOCIDX(45028,44852,,\"SPX\")":0.9551043,"HUBB-US^P_BETA_LOCIDX(45027,44851,,\"SPX\")":0.9636909,"HUBB-US^P_BETA_LOCIDX(45026,44848,,\"SPX\")":0.98379177,"HUBB-US^P_BETA_LOCIDX(45022,44847,,\"SPX\")":0.95909905,"HUBB-US^P_BETA_LOCIDX(45021,44846,,\"SPX\")":0.96320516,"HUBB-US^P_BETA_LOCIDX(45020,44845,,\"SPX\")":0.95795673,"HUBB-US^P_BETA_LOCIDX(45019,44844,,\"SPX\")":0.93530875,"HUBB-US^P_BETA_LOCIDX(45016,44841,,\"SPX\")":0.93316925,"HUBB-US^P_BETA_LOCIDX(45015,44840,,\"SPX\")":0.9337401,"HUBB-US^P_BETA_LOCIDX(45014,44839,,\"SPX\")":0.9337387,"HUBB-US^P_BETA_LOCIDX(45013,44838,,\"SPX\")":0.94837034,"HUBB-US^P_BETA_LOCIDX(45012,44837,,\"SPX\")":0.94323665,"HUBB-US^P_BETA_LOCIDX(45009,44834,,\"SPX\")":0.92364717,"HUBB-US^P_BETA_LOCIDX(45008,44833,,\"SPX\")":0.91437215,"HUBB-US^P_BETA_LOCIDX(45007,44832,,\"SPX\")":0.9202676,"HUBB-US^P_BETA_LOCIDX(45006,44831,,\"SPX\")":0.91492456,"HUBB-US^P_BETA_LOCIDX(45005,44830,,\"SPX\")":0.9161216,"HUBB-US^P_BETA_LOCIDX(45002,44827,,\"SPX\")":0.90430915,"HUBB-US^P_BETA_LOCIDX(45001,44826,,\"SPX\")":0.9011032,"HUBB-US^P_BETA_LOCIDX(45000,44825,,\"SPX\")":0.86731625,"HUBB-US^P_BETA_LOCIDX(44999,44824,,\"SPX\")":0.85658854,"HUBB-US^P_BETA_LOCIDX(44998,44823,,\"SPX\")":0.8487673,"HUBB-US^P_BETA_LOCIDX(44995,44820,,\"SPX\")":0.84796906,"HUBB-US^P_BETA_LOCIDX(44994,44819,,\"SPX\")":0.8288192,"HUBB-US^P_BETA_LOCIDX(44993,44818,,\"SPX\")":0.8253925,"HUBB-US^P_BETA_LOCIDX(44992,44817,,\"SPX\")":0.8036421,"HUBB-US^P_BETA_LOCIDX(44991,44816,,\"SPX\")":0.8011397,"HUBB-US^P_BETA_LOCIDX(44988,44813,,\"SPX\")":0.8055208,"HUBB-US^P_BETA_LOCIDX(44987,44812,,\"SPX\")":0.81021684,"HUBB-US^P_BETA_LOCIDX(44986,44811,,\"SPX\")":0.8229578,"HUBB-US^P_BETA_LOCIDX(44985,44810,,\"SPX\")":0.81992227,"HUBB-US^P_BETA_LOCIDX(44984,44806,,\"SPX\")":0.8207127,"HUBB-US^P_BETA_LOCIDX(44981,44805,,\"SPX\")":0.8225939,"HUBB-US^P_BETA_LOCIDX(44980,44804,,\"SPX\")":0.8307555,"HUBB-US^P_BETA_LOCIDX(44979,44803,,\"SPX\")":0.83566326,"HUBB-US^P_BETA_LOCIDX(44978,44802,,\"SPX\")":0.83371466,"HUBB-US^P_BETA_LOCIDX(44974,44799,,\"SPX\")":0.85811406,"HUBB-US^P_BETA_LOCIDX(44973,44798,,\"SPX\")":0.8597644,"HUBB-US^P_BETA_LOCIDX(44972,44797,,\"SPX\")":0.86287314,"HUBB-US^P_BETA_LOCIDX(44971,44796,,\"SPX\")":0.8615759,"HUBB-US^P_BETA_LOCIDX(44970,44795,,\"SPX\")":0.86041594,"HUBB-US^P_BETA_LOCIDX(44967,44792,,\"SPX\")":0.8552488,"HUBB-US^P_BETA_LOCIDX(44966,44791,,\"SPX\")":0.8555669,"HUBB-US^P_BETA_LOCIDX(44965,44790,,\"SPX\")":0.8579987,"HUBB-US^P_BETA_LOCIDX(44964,44789,,\"SPX\")":0.851627,"HUBB-US^P_BETA_LOCIDX(44963,44788,,\"SPX\")":0.85076034,"HUBB-US^P_BETA_LOCIDX(44960,44785,,\"SPX\")":0.85178614,"HUBB-US^P_BETA_LOCIDX(44959,44784,,\"SPX\")":0.8622152,"HUBB-US^P_BETA_LOCIDX(44958,44783,,\"SPX\")":0.8754206,"HUBB-US^P_BETA_LOCIDX(44957,44782,,\"SPX\")":0.86288977,"HUBB-US^P_BETA_LOCIDX(44956,44781,,\"SPX\")":0.87294525,"HUBB-US^P_BETA_LOCIDX(44953,44778,,\"SPX\")":0.8758793,"HUBB-US^P_BETA_LOCIDX(44952,44777,,\"SPX\")":0.8761312,"HUBB-US^P_BETA_LOCIDX(44951,44776,,\"SPX\")":0.8713096,"HUBB-US^P_BETA_LOCIDX(44950,44775,,\"SPX\")":0.87279624,"HUBB-US^P_BETA_LOCIDX(44949,44774,,\"SPX\")":0.87516093,"HUBB-US^P_BETA_LOCIDX(44946,44771,,\"SPX\")":0.8780013,"HUBB-US^P_BETA_LOCIDX(44945,44770,,\"SPX\")":0.89864457,"HUBB-US^P_BETA_LOCIDX(44944,44769,,\"SPX\")":0.8979011,"HUBB-US^P_BETA_LOCIDX(44943,44768,,\"SPX\")":0.876548,"HUBB-US^P_BETA_LOCIDX(44939,44767,,\"SPX\")":0.87456083,"HUBB-US^P_BETA_LOCIDX(44938,44764,,\"SPX\")":0.8744587,"HUBB-US^P_BETA_LOCIDX(44937,44763,,\"SPX\")":0.87765807,"HUBB-US^P_BETA_LOCIDX(44936,44762,,\"SPX\")":0.87902826,"HUBB-US^P_BETA_LOCIDX(44935,44761,,\"SPX\")":0.89953345,"HUBB-US^P_BETA_LOCIDX(44932,44760,,\"SPX\")":0.9094996,"HUBB-US^P_BETA_LOCIDX(44931,44757,,\"SPX\")":0.90811807,"HUBB-US^P_BETA_LOCIDX(44930,44756,,\"SPX\")":0.90146285,"HUBB-US^P_BETA_LOCIDX(44929,44755,,\"SPX\")":0.909153,"HUBB-US^P_BETA_LOCIDX(44925,44754,,\"SPX\")":0.9069999,"HUBB-US^P_BETA_LOCIDX(44924,44753,,\"SPX\")":0.90464723,"HUBB-US^P_BETA_LOCIDX(44923,44750,,\"SPX\")":0.9143831,"HUBB-US^P_BETA_LOCIDX(44922,44749,,\"SPX\")":0.9151153,"HUBB-US^P_BETA_LOCIDX(44918,44748,,\"SPX\")":0.9159394,"HUBB-US^P_BETA_LOCIDX(44917,44747,,\"SPX\")":0.916716,"HUBB-US^P_BETA_LOCIDX(44916,44743,,\"SPX\")":0.91350347,"HUBB-US^P_BETA_LOCIDX(44915,44742,,\"SPX\")":0.9137526,"HUBB-US^P_BETA_LOCIDX(44914,44741,,\"SPX\")":0.91428536,"HUBB-US^P_BETA_LOCIDX(44911,44740,,\"SPX\")":0.93143046,"HUBB-US^P_BETA_LOCIDX(44910,44739,,\"SPX\")":0.91820264,"HUBB-US^P_BETA_LOCIDX(44909,44736,,\"SPX\")":0.93420345,"HUBB-US^P_BETA_LOCIDX(44908,44735,,\"SPX\")":0.9256604,"HUBB-US^P_BETA_LOCIDX(44907,44734,,\"SPX\")":0.92783165,"HUBB-US^P_BETA_LOCIDX(44904,44733,,\"SPX\")":0.9177205,"HUBB-US^P_BETA_LOCIDX(44903,44729,,\"SPX\")":0.917184,"HUBB-US^P_BETA_LOCIDX(44902,44728,,\"SPX\")":0.93941116,"HUBB-US^P_BETA_LOCIDX(44901,44727,,\"SPX\")":0.93284285,"HUBB-US^P_BETA_LOCIDX(44900,44726,,\"SPX\")":0.93904436,"HUBB-US^P_BETA_LOCIDX(44897,44725,,\"SPX\")":0.97282743,"HUBB-US^P_BETA_LOCIDX(44896,44722,,\"SPX\")":0.9628256,"HUBB-US^P_BETA_LOCIDX(44895,44721,,\"SPX\")":0.9486477,"HUBB-US^P_BETA_LOCIDX(44894,44720,,\"SPX\")":0.9672199,"HUBB-US^P_BETA_LOCIDX(44893,44719,,\"SPX\")":0.9728129,"HUBB-US^P_BETA_LOCIDX(44890,44718,,\"SPX\")":0.9632527,"HUBB-US^P_BETA_LOCIDX(44888,44715,,\"SPX\")":0.9515831,"HUBB-US^P_BETA_LOCIDX(44887,44714,,\"SPX\")":0.95288545,"HUBB-US^P_BETA_LOCIDX(44886,44713,,\"SPX\")":0.95072913,"HUBB-US^P_BETA_LOCIDX(44883,44712,,\"SPX\")":0.9530348,"HUBB-US^P_BETA_LOCIDX(44882,44708,,\"SPX\")":0.95542085,"HUBB-US^P_BETA_LOCIDX(44881,44707,,\"SPX\")":0.95545274,"HUBB-US^P_BETA_LOCIDX(44880,44706,,\"SPX\")":0.94937277,"HUBB-US^P_BETA_LOCIDX(44879,44705,,\"SPX\")":0.95511115,"HUBB-US^P_BETA_LOCIDX(44876,44704,,\"SPX\")":0.9481737,"HUBB-US^P_BETA_LOCIDX(44875,44701,,\"SPX\")":0.9556273,"HUBB-US^P_BETA_LOCIDX(44874,44700,,\"SPX\")":0.9438516,"HUBB-US^P_BETA_LOCIDX(44873,44699,,\"SPX\")":0.9426013,"HUBB-US^P_BETA_LOCIDX(44872,44698,,\"SPX\")":0.93414795,"HUBB-US^P_BETA_LOCIDX(44869,44697,,\"SPX\")":0.93892664,"HUBB-US^P_BETA_LOCIDX(44868,44694,,\"SPX\")":0.9204523,"HUBB-US^P_BETA_LOCIDX(44867,44693,,\"SPX\")":0.9224661,"HUBB-US^P_BETA_LOCIDX(44866,44692,,\"SPX\")":0.92635036,"HUBB-US^P_BETA_LOCIDX(44865,44691,,\"SPX\")":0.92500323,"HUBB-US^P_BETA_LOCIDX(44862,44690,,\"SPX\")":0.89561826,"HUBB-US^P_BETA_LOCIDX(44861,44687,,\"SPX\")":0.9239207,"HUBB-US^P_BETA_LOCIDX(44860,44686,,\"SPX\")":0.9098237,"HUBB-US^P_BETA_LOCIDX(44859,44685,,\"SPX\")":0.90824604,"HUBB-US^P_BETA_LOCIDX(44858,44684,,\"SPX\")":0.8831728,"HUBB-US^P_BETA_LOCIDX(44855,44683,,\"SPX\")":0.87409097,"HUBB-US^P_BETA_LOCIDX(44854,44680,,\"SPX\")":0.8872515,"HUBB-US^P_BETA_LOCIDX(44853,44679,,\"SPX\")":0.8941738,"HUBB-US^P_BETA_LOCIDX(44852,44678,,\"SPX\")":0.8857062,"HUBB-US^P_BETA_LOCIDX(44851,44677,,\"SPX\")":0.8366541,"HUBB-US^P_BETA_LOCIDX(44848,44676,,\"SPX\")":0.8297098,"HUBB-US^P_BETA_LOCIDX(44847,44673,,\"SPX\")":0.80843115,"HUBB-US^P_BETA_LOCIDX(44846,44672,,\"SPX\")":0.8139368,"HUBB-US^P_BETA_LOCIDX(44845,44671,,\"SPX\")":0.8135182,"HUBB-US^P_BETA_LOCIDX(44844,44670,,\"SPX\")":0.82287353,"HUBB-US^P_BETA_LOCIDX(44841,44669,,\"SPX\")":0.8235665,"HUBB-US^P_BETA_LOCIDX(44840,44665,,\"SPX\")":0.81576264,"HUBB-US^P_BETA_LOCIDX(44839,44664,,\"SPX\")":0.81529635,"HUBB-US^P_BETA_LOCIDX(44838,44663,,\"SPX\")":0.81605893,"HUBB-US^P_BETA_LOCIDX(44837,44662,,\"SPX\")":0.8028185,"HUBB-US^P_BETA_LOCIDX(44834,44659,,\"SPX\")":0.80777496,"HUBB-US^P_BETA_LOCIDX(44833,44658,,\"SPX\")":0.81761503,"HUBB-US^P_BETA_LOCIDX(44832,44657,,\"SPX\")":0.81925297,"HUBB-US^P_BETA_LOCIDX(44831,44656,,\"SPX\")":0.8210663,"HUBB-US^P_BETA_LOCIDX(44830,44655,,\"SPX\")":0.8171726,"HUBB-US^P_BETA_LOCIDX(44827,44652,,\"SPX\")":0.819295,"HUBB-US^P_BETA_LOCIDX(44826,44651,,\"SPX\")":0.8325809,"HUBB-US^P_BETA_LOCIDX(44825,44650,,\"SPX\")":0.8290202,"HUBB-US^P_BETA_LOCIDX(44824,44649,,\"SPX\")":0.84782976,"HUBB-US^P_BETA_LOCIDX(44823,44648,,\"SPX\")":0.8444276,"HUBB-US^P_BETA_LOCIDX(44820,44645,,\"SPX\")":0.8405307,"HUBB-US^P_BETA_LOCIDX(44819,44644,,\"SPX\")":0.83717984,"HUBB-US^P_BETA_LOCIDX(44818,44643,,\"SPX\")":0.85164624,"HUBB-US^P_BETA_LOCIDX(44817,44642,,\"SPX\")":0.84184873,"HUBB-US^P_BETA_LOCIDX(44816,44641,,\"SPX\")":0.8595801,"HUBB-US^P_BETA_LOCIDX(44813,44638,,\"SPX\")":0.860129,"HUBB-US^P_BETA_LOCIDX(44812,44637,,\"SPX\")":0.8529105,"HUBB-US^P_BETA_LOCIDX(44811,44636,,\"SPX\")":0.8551918,"HUBB-US^P_BETA_LOCIDX(44810,44635,,\"SPX\")":0.846503,"HUBB-US^P_BETA_LOCIDX(44806,44634,,\"SPX\")":0.84595674,"HUBB-US^P_BETA_LOCIDX(44805,44631,,\"SPX\")":0.8453609,"HUBB-US^P_BETA_LOCIDX(44804,44630,,\"SPX\")":0.8455692,"HUBB-US^P_BETA_LOCIDX(44803,44629,,\"SPX\")":0.83597004,"HUBB-US^P_BETA_LOCIDX(44802,44628,,\"SPX\")":0.8277693,"HUBB-US^P_BETA_LOCIDX(44799,44627,,\"SPX\")":0.82474416,"HUBB-US^P_BETA_LOCIDX(44798,44624,,\"SPX\")":0.80283505,"HUBB-US^P_BETA_LOCIDX(44797,44623,,\"SPX\")":0.8022676,"HUBB-US^P_BETA_LOCIDX(44796,44622,,\"SPX\")":0.8120447,"HUBB-US^P_BETA_LOCIDX(44795,44621,,\"SPX\")":0.8126587,"HUBB-US^P_BETA_LOCIDX(44792,44620,,\"SPX\")":0.813055,"HUBB-US^P_BETA_LOCIDX(44791,44617,,\"SPX\")":0.82103074,"HUBB-US^P_BETA_LOCIDX(44790,44616,,\"SPX\")":0.81725115,"HUBB-US^P_BETA_LOCIDX(44789,44615,,\"SPX\")":0.81967056,"HUBB-US^P_BETA_LOCIDX(44788,44614,,\"SPX\")":0.82147807,"HUBB-US^P_BETA_LOCIDX(44785,44610,,\"SPX\")":0.8241776,"HUBB-US^P_BETA_LOCIDX(44784,44609,,\"SPX\")":0.83098704,"HUBB-US^P_BETA_LOCIDX(44783,44608,,\"SPX\")":0.8309374,"HUBB-US^P_BETA_LOCIDX(44782,44607,,\"SPX\")":0.8270167,"HUBB-US^P_BETA_LOCIDX(44781,44606,,\"SPX\")":0.8266735,"HUBB-US^P_BETA_LOCIDX(44778,44603,,\"SPX\")":0.8285524,"HUBB-US^P_BETA_LOCIDX(44777,44602,,\"SPX\")":0.8375977,"HUBB-US^P_BETA_LOCIDX(44776,44601,,\"SPX\")":0.84008193,"HUBB-US^P_BETA_LOCIDX(44775,44600,,\"SPX\")":0.8458071,"HUBB-US^P_BETA_LOCIDX(44774,44599,,\"SPX\")":0.84492403,"HUBB-US^P_BETA_LOCIDX(45845,45670,,\"SPX\")":1.1198941,"WCC-US^P_BETA_LOCIDX(45772,45595,,\"SPX\")":1.5713122,"WCC-US^P_BETA_LOCIDX(45267,45093,,\"SPX\")":1.5315527,"WCC-US^P_BETA_LOCIDX(45981,45811,,\"SPX\")":1.5706822,"WCC-US^P_BETA_LOCIDX(45912,45740,,\"SPX\")":1.5897161,"WCC-US^P_BETA_LOCIDX(45394,45218,,\"SPX\")":2.3436134,"WCC-US^P_BETA_LOCIDX(45597,45425,,\"SPX\")":1.4344026,"WCC-US^P_BETA_LOCIDX(45575,45401,,\"SPX\")":1.7228179,"WCC-US^P_BETA_LOCIDX(45897,45726,,\"SPX\")":1.5997704,"WCC-US^P_BETA_LOCIDX(45716,45540,,\"SPX\")":1.4989924,"WCC-US^P_BETA_LOCIDX(45771,45594,,\"SPX\")":1.5725402,"WCC-US^P_BETA_LOCIDX(45761,45583,,\"SPX\")":1.5890479,"WCC-US^P_BETA_LOCIDX(45491,45316,,\"SPX\")":2.5208707,"WCC-US^P_BETA_LOCIDX(45532,45358,,\"SPX\")":1.7091242,"WCC-US^P_BETA_LOCIDX(45982,45812,,\"SPX\")":1.541355,"WCC-US^P_BETA_LOCIDX(45443,45267,,\"SPX\")":2.4638383,"WCC-US^P_BETA_LOCIDX(45576,45404,,\"SPX\")":1.7682797,"WCC-US^P_BETA_LOCIDX(44965,44790,,\"SPX\")":1.3842474,"WCC-US^P_BETA_LOCIDX(45882,45709,,\"SPX\")":1.6209575,"WCC-US^P_BETA_LOCIDX(45993,45820,,\"SPX\")":1.5051643,"WCC-US^P_BETA_LOCIDX(45401,45225,,\"SPX\")":2.3168344,"WCC-US^P_BETA_LOCIDX(45071,44896,,\"SPX\")":1.7745007,"WCC-US^P_BETA_LOCIDX(45629,45455,,\"SPX\")":1.6157714,"WCC-US^P_BETA_LOCIDX(46043,45868,,\"SPX\")":1.6642401,"WCC-US^P_BETA_LOCIDX(45138,44963,,\"SPX\")":2.0071626,"WCC-US^P_BETA_LOCIDX(45268,45097,,\"SPX\")":1.541886,"WCC-US^P_BETA_LOCIDX(45806,45629,,\"SPX\")":1.5819286,"WCC-US^P_BETA_LOCIDX(45286,45113,,\"SPX\")":1.6048583,"WCC-US^P_BETA_LOCIDX(45034,44858,,\"SPX\")":1.4167728,"WCC-US^P_BETA_LOCIDX(45469,45294,,\"SPX\")":2.5071845,"WCC-US^P_BETA_LOCIDX(46020,45847,,\"SPX\")":1.6378177,"WCC-US^P_BETA_LOCIDX(45007,44832,,\"SPX\")":1.4478362,"WCC-US^P_BETA_LOCIDX(46048,45873,,\"SPX\")":1.6651129,"WCC-US^P_BETA_LOCIDX(45632,45460,,\"SPX\")":1.6042043,"WCC-US^P_BETA_LOCIDX(45404,45226,,\"SPX\")":2.4242861,"WCC-US^P_BETA_LOCIDX(45405,45229,,\"SPX\")":2.4211514,"WCC-US^P_BETA_LOCIDX(45139,44964,,\"SPX\")":2.0032747,"WCC-US^P_BETA_LOCIDX(45422,45246,,\"SPX\")":2.4480708,"WCC-US^P_BETA_LOCIDX(45855,45681,,\"SPX\")":1.6389569,"WCC-US^P_BETA_LOCIDX(45266,45092,,\"SPX\")":1.5630767,"WCC-US^P_BETA_LOCIDX(45813,45636,,\"SPX\")":1.5870264,"WCC-US^P_BETA_LOCIDX(45099,44923,,\"SPX\")":1.9279418,"WCC-US^P_BETA_LOCIDX(45105,44930,,\"SPX\")":1.9141237,"WCC-US^P_BETA_LOCIDX(45215,45041,,\"SPX\")":2.038653,"WCC-US^P_BETA_LOCIDX(45656,45483,,\"SPX\")":1.6424574,"WCC-US^P_BETA_LOCIDX(45758,45582,,\"SPX\")":1.5894939,"WCC-US^P_BETA_LOCIDX(45639,45468,,\"SPX\")":1.6311483,"WCC-US^P_BETA_LOCIDX(45729,45553,,\"SPX\")":1.6595944,"WCC-US^P_BETA_LOCIDX(45946,45775,,\"SPX\")":1.8152463,"WCC-US^P_BETA_LOCIDX(45691,45513,,\"SPX\")":1.5919766,"WCC-US^P_BETA_LOCIDX(45303,45131,,\"SPX\")":1.6916025,"WCC-US^P_BETA_LOCIDX(45152,44978,,\"SPX\")":2.0555143,"WCC-US^P_BETA_LOCIDX(45915,45741,,\"SPX\")":1.5830679,"WCC-US^P_BETA_LOCIDX(45590,45418,,\"SPX\")":1.7376184,"WCC-US^P_BETA_LOCIDX(46076,45898,,\"SPX\")":1.6191827,"WCC-US^P_BETA_LOCIDX(45594,45420,,\"SPX\")":1.7213457,"WCC-US^P_BETA_LOCIDX(45187,45012,,\"SPX\")":2.007151,"WCC-US^P_BETA_LOCIDX(45708,45531,,\"SPX\")":1.571828,"WCC-US^P_BETA_LOCIDX(45583,45411,,\"SPX\")":1.7988968,"WCC-US^P_BETA_LOCIDX(45036,44860,,\"SPX\")":1.4053743,"WCC-US^P_BETA_LOCIDX(45539,45364,,\"SPX\")":1.7436352,"WCC-US^P_BETA_LOCIDX(45154,44980,,\"SPX\")":2.055278,"WCC-US^P_BETA_LOCIDX(45419,45243,,\"SPX\")":2.4727402,"WCC-US^P_BETA_LOCIDX(45295,45121,,\"SPX\")":1.6932716,"WCC-US^P_BETA_LOCIDX(45510,45335,,\"SPX\")":2.2424726,"WCC-US^P_BETA_LOCIDX(45446,45268,,\"SPX\")":2.4845488,"WCC-US^P_BETA_LOCIDX(45091,44915,,\"SPX\")":1.9659022,"WCC-US^P_BETA_LOCIDX(45331,45156,,\"SPX\")":1.7144196,"WCC-US^P_BETA_LOCIDX(45764,45588,,\"SPX\")":1.5755063,"WCC-US^P_BETA_LOCIDX(45986,45814,,\"SPX\")":1.5137365,"WCC-US^P_BETA_LOCIDX(45847,45672,,\"SPX\")":1.6091928,"WCC-US^P_BETA_LOCIDX(45161,44987,,\"SPX\")":2.110988,"WCC-US^P_BETA_LOCIDX(45805,45628,,\"SPX\")":1.5839212,"WCC-US^P_BETA_LOCIDX(45741,45565,,\"SPX\")":1.6147434,"WCC-US^P_BETA_LOCIDX(45356,45181,,\"SPX\")":2.3637464,"WCC-US^P_BETA_LOCIDX(45877,45706,,\"SPX\")":1.6140423,"WCC-US^P_BETA_LOCIDX(45545,45370,,\"SPX\")":1.7188445,"WCC-US^P_BETA_LOCIDX(45246,45072,,\"SPX\")":1.8045517,"WCC-US^P_BETA_LOCIDX(45874,45700,,\"SPX\")":1.6122816,"WCC-US^P_BETA_LOCIDX(46007,45835,,\"SPX\")":1.6179888,"WCC-US^P_BETA_LOCIDX(45379,45204,,\"SPX\")":2.5573914,"WCC-US^P_BETA_LOCIDX(45562,45390,,\"SPX\")":1.7703557,"WCC-US^P_BETA_LOCIDX(45124,44949,,\"SPX\")":1.9359599,"WCC-US^P_BETA_LOCIDX(45672,45497,,\"SPX\")":1.547074,"WCC-US^P_BETA_LOCIDX(45485,45310,,\"SPX\")":2.4309487,"WCC-US^P_BETA_LOCIDX(45014,44839,,\"SPX\")":1.4870148,"WCC-US^P_BETA_LOCIDX(45694,45518,,\"SPX\")":1.6107973,"WCC-US^P_BETA_LOCIDX(45197,45022,,\"SPX\")":1.8415409,"WCC-US^P_BETA_LOCIDX(45625,45453,,\"SPX\")":1.612502,"WCC-US^P_BETA_LOCIDX(45894,45721,,\"SPX\")":1.6006805,"WCC-US^P_BETA_LOCIDX(46042,45867,,\"SPX\")":1.6445755,"WCC-US^P_BETA_LOCIDX(45768,45589,,\"SPX\")":1.5775704,"WCC-US^P_BETA_LOCIDX(45175,45000,,\"SPX\")":2.1314683,"WCC-US^P_BETA_LOCIDX(45072,44897,,\"SPX\")":1.8478295,"WCC-US^P_BETA_LOCIDX(45484,45309,,\"SPX\")":2.4145339,"WCC-US^P_BETA_LOCIDX(45119,44944,,\"SPX\")":1.9117513,"WCC-US^P_BETA_LOCIDX(45660,45488,,\"SPX\")":1.6639036,"WCC-US^P_BETA_LOCIDX(45429,45254,,\"SPX\")":2.4801295,"WCC-US^P_BETA_LOCIDX(45643,45470,,\"SPX\")":1.6446431,"WCC-US^P_BETA_LOCIDX(45322,45147,,\"SPX\")":1.6571541,"WCC-US^P_BETA_LOCIDX(45965,45792,,\"SPX\")":1.5063362,"WCC-US^P_BETA_LOCIDX(45057,44881,,\"SPX\")":1.6133829,"WCC-US^P_BETA_LOCIDX(45107,44932,,\"SPX\")":1.9023348,"WCC-US^P_BETA_LOCIDX(46035,45861,,\"SPX\")":1.703743,"WCC-US^P_BETA_LOCIDX(45610,45436,,\"SPX\")":1.6448846,"WCC-US^P_BETA_LOCIDX(45236,45062,,\"SPX\")":1.8937944,"WCC-US^P_BETA_LOCIDX(45929,45755,,\"SPX\")":1.5967108,"WCC-US^P_BETA_LOCIDX(45700,45524,,\"SPX\")":1.6027114,"WCC-US^P_BETA_LOCIDX(45784,45607,,\"SPX\")":1.580468,"WCC-US^P_BETA_LOCIDX(45588,45414,,\"SPX\")":1.7814882,"WCC-US^P_BETA_LOCIDX(45680,45504,,\"SPX\")":1.5289061,"WCC-US^P_BETA_LOCIDX(45387,45211,,\"SPX\")":2.4843645,"WCC-US^P_BETA_LOCIDX(45456,45280,,\"SPX\")":2.4905674,"WCC-US^P_BETA_LOCIDX(45146,44971,,\"SPX\")":2.0223136,"WCC-US^P_BETA_LOCIDX(45503,45328,,\"SPX\")":2.428182,"WCC-US^P_BETA_LOCIDX(45695,45519,,\"SPX\")":1.608368,"WCC-US^P_BETA_LOCIDX(45649,45476,,\"SPX\")":1.6695181,"WCC-US^P_BETA_LOCIDX(46017,45846,,\"SPX\")":1.6271598,"WCC-US^P_BETA_LOCIDX(45131,44956,,\"SPX\")":1.9195852,"WCC-US^P_BETA_LOCIDX(45776,45597,,\"SPX\")":1.6398586,"WCC-US^P_BETA_LOCIDX(45433,45258,,\"SPX\")":2.484067,"WCC-US^P_BETA_LOCIDX(45008,44833,,\"SPX\")":1.4413968,"WCC-US^P_BETA_LOCIDX(45833,45656,,\"SPX\")":1.5968384,"WCC-US^P_BETA_LOCIDX(45960,45789,,\"SPX\")":1.5138401,"WCC-US^P_BETA_LOCIDX(45831,45652,,\"SPX\")":1.5916533,"WCC-US^P_BETA_LOCIDX(45009,44834,,\"SPX\")":1.4468031,"WCC-US^P_BETA_LOCIDX(45992,45819,,\"SPX\")":1.5108231,"WCC-US^P_BETA_LOCIDX(45156,44984,,\"SPX\")":2.0984337,"WCC-US^P_BETA_LOCIDX(45155,44981,,\"SPX\")":2.0556612,"WCC-US^P_BETA_LOCIDX(45061,44883,,\"SPX\")":1.618477,"WCC-US^P_BETA_LOCIDX(45233,45061,,\"SPX\")":1.9077023,"WCC-US^P_BETA_LOCIDX(45579,45405,,\"SPX\")":1.7632987,"WCC-US^P_BETA_LOCIDX(45093,44917,,\"SPX\")":1.9696364,"WCC-US^P_BETA_LOCIDX(45272,45099,,\"SPX\")":1.5966922,"WCC-US^P_BETA_LOCIDX(45104,44929,,\"SPX\")":1.9150168,"WCC-US^P_BETA_LOCIDX(45854,45680,,\"SPX\")":1.63145,"WCC-US^P_BETA_LOCIDX(45324,45149,,\"SPX\")":1.6931926,"WCC-US^P_BETA_LOCIDX(45551,45376,,\"SPX\")":1.7141194,"WCC-US^P_BETA_LOCIDX(45043,44867,,\"SPX\")":1.4503804,"WCC-US^P_BETA_LOCIDX(45372,45197,,\"SPX\")":2.5475247,"WCC-US^P_BETA_LOCIDX(45517,45343,,\"SPX\")":1.6213298,"WCC-US^P_BETA_LOCIDX(45917,45743,,\"SPX\")":1.5866107,"WCC-US^P_BETA_LOCIDX(45903,45729,,\"SPX\")":1.5932584,"WCC-US^P_BETA_LOCIDX(45077,44901,,\"SPX\")":1.842809,"WCC-US^P_BETA_LOCIDX(45076,44900,,\"SPX\")":1.8487883,"WCC-US^P_BETA_LOCIDX(45812,45635,,\"SPX\")":1.5892577,"WCC-US^P_BETA_LOCIDX(45160,44986,,\"SPX\")":2.0912251,"WCC-US^P_BETA_LOCIDX(45463,45287,,\"SPX\")":2.5185735,"WCC-US^P_BETA_LOCIDX(45142,44967,,\"SPX\")":2.0445108,"WCC-US^P_BETA_LOCIDX(45938,45764,,\"SPX\")":1.7087996,"WCC-US^P_BETA_LOCIDX(45587,45413,,\"SPX\")":1.7922347,"WCC-US^P_BETA_LOCIDX(45467,45289,,\"SPX\")":2.5101497,"WCC-US^P_BETA_LOCIDX(45371,45196,,\"SPX\")":2.5446239,"WCC-US^P_BETA_LOCIDX(46051,45876,,\"SPX\")":1.6695749,"WCC-US^P_BETA_LOCIDX(45225,45051,,\"SPX\")":1.9191358,"WCC-US^P_BETA_LOCIDX(45793,45616,,\"SPX\")":1.5975224,"WCC-US^P_BETA_LOCIDX(45671,45496,,\"SPX\")":1.5905597,"WCC-US^P_BETA_LOCIDX(45548,45373,,\"SPX\")":1.7124578,"WCC-US^P_BETA_LOCIDX(45189,45014,,\"SPX\")":1.9992335,"WCC-US^P_BETA_LOCIDX(45450,45274,,\"SPX\")":2.5068078,"WCC-US^P_BETA_LOCIDX(44972,44797,,\"SPX\")":1.3862585,"WCC-US^P_BETA_LOCIDX(45889,45716,,\"SPX\")":1.6090498,"WCC-US^P_BETA_LOCIDX(44987,44812,,\"SPX\")":1.3713142,"WCC-US^P_BETA_LOCIDX(45383,45205,,\"SPX\")":2.5378091,"WCC-US^P_BETA_LOCIDX(45208,45034,,\"SPX\")":1.9588950999999999,"WCC-US^P_BETA_LOCIDX(45834,45657,,\"SPX\")":1.6063972,"WCC-US^P_BETA_LOCIDX(45223,45049,,\"SPX\")":2.1640768,"WCC-US^P_BETA_LOCIDX(45931,45757,,\"SPX\")":1.5211453,"WCC-US^P_BETA_LOCIDX(45519,45345,,\"SPX\")":1.6617988,"WCC-US^P_BETA_LOCIDX(45330,45155,,\"SPX\")":1.7148076,"WCC-US^P_BETA_LOCIDX(45288,45117,,\"SPX\")":1.622979,"WCC-US^P_BETA_LOCIDX(45534,45362,,\"SPX\")":1.6951758,"WCC-US^P_BETA_LOCIDX(45415,45239,,\"SPX\")":2.4022672,"WCC-US^P_BETA_LOCIDX(45670,45495,,\"SPX\")":1.5874196,"WCC-US^P_BETA_LOCIDX(45792,45615,,\"SPX\")":1.5970906,"WCC-US^P_BETA_LOCIDX(45397,45219,,\"SPX\")":2.3116992,"WCC-US^P_BETA_LOCIDX(46003,45833,,\"SPX\")":1.6283209,"WCC-US^P_BETA_LOCIDX(45821,45644,,\"SPX\")":1.5922251,"WCC-US^P_BETA_LOCIDX(45044,44868,,\"SPX\")":1.472733,"WCC-US^P_BETA_LOCIDX(45778,45601,,\"SPX\")":1.625605,"WCC-US^P_BETA_LOCIDX(45971,45798,,\"SPX\")":1.4770502,"WCC-US^P_BETA_LOCIDX(45945,45772,,\"SPX\")":1.8197353,"WCC-US^P_BETA_LOCIDX(44985,44810,,\"SPX\")":1.3783678,"WCC-US^P_BETA_LOCIDX(45743,45567,,\"SPX\")":1.6261389,"WCC-US^P_BETA_LOCIDX(45985,45813,,\"SPX\")":1.5039008,"WCC-US^P_BETA_LOCIDX(45476,45301,,\"SPX\")":2.5163848,"WCC-US^P_BETA_LOCIDX(45856,45684,,\"SPX\")":1.6400203,"WCC-US^P_BETA_LOCIDX(45961,45790,,\"SPX\")":1.4590948,"WCC-US^P_BETA_LOCIDX(45033,44855,,\"SPX\")":1.4382976,"WCC-US^P_BETA_LOCIDX(45191,45016,,\"SPX\")":1.9468123,"WCC-US^P_BETA_LOCIDX(45908,45734,,\"SPX\")":1.588623,"WCC-US^P_BETA_LOCIDX(45891,45720,,\"SPX\")":1.6118867,"WCC-US^P_BETA_LOCIDX(46062,45887,,\"SPX\")":1.6085519,"WCC-US^P_BETA_LOCIDX(46063,45888,,\"SPX\")":1.6413814,"WCC-US^P_BETA_LOCIDX(45196,45021,,\"SPX\")":1.8572952,"WCC-US^P_BETA_LOCIDX(45909,45735,,\"SPX\")":1.5888001,"WCC-US^P_BETA_LOCIDX(45994,45821,,\"SPX\")":1.5143135,"WCC-US^P_BETA_LOCIDX(44958,44783,,\"SPX\")":1.398682,"WCC-US^P_BETA_LOCIDX(45316,45141,,\"SPX\")":1.7414317,"WCC-US^P_BETA_LOCIDX(45737,45561,,\"SPX\")":1.6215783,"WCC-US^P_BETA_LOCIDX(45475,45300,,\"SPX\")":2.5108778,"WCC-US^P_BETA_LOCIDX(45028,44852,,\"SPX\")":1.4684048,"WCC-US^P_BETA_LOCIDX(45203,45029,,\"SPX\")":1.87492,"WCC-US^P_BETA_LOCIDX(45468,45293,,\"SPX\")":2.4897366,"WCC-US^P_BETA_LOCIDX(45526,45352,,\"SPX\")":1.6513054,"WCC-US^P_BETA_LOCIDX(45714,45538,,\"SPX\")":1.6596928,"WCC-US^P_BETA_LOCIDX(45888,45715,,\"SPX\")":1.5976446,"WCC-US^P_BETA_LOCIDX(45560,45386,,\"SPX\")":1.7425107,"WCC-US^P_BETA_LOCIDX(45281,45110,,\"SPX\")":1.6077386,"WCC-US^P_BETA_LOCIDX(45125,44950,,\"SPX\")":1.952389,"WCC-US^P_BETA_LOCIDX(45289,45118,,\"SPX\")":1.6235046,"WCC-US^P_BETA_LOCIDX(45804,45625,,\"SPX\")":1.591385,"WCC-US^P_BETA_LOCIDX(45470,45295,,\"SPX\")":2.498046,"WCC-US^P_BETA_LOCIDX(45159,44985,,\"SPX\")":2.0907264,"WCC-US^P_BETA_LOCIDX(45320,45145,,\"SPX\")":1.6854326,"WCC-US^P_BETA_LOCIDX(45327,45152,,\"SPX\")":1.7046914,"WCC-US^P_BETA_LOCIDX(44980,44804,,\"SPX\")":1.3759687,"WCC-US^P_BETA_LOCIDX(45271,45098,,\"SPX\")":1.5737329,"WCC-US^P_BETA_LOCIDX(45366,45191,,\"SPX\")":2.4631517,"WCC-US^P_BETA_LOCIDX(45870,45698,,\"SPX\")":1.6065726,"WCC-US^P_BETA_LOCIDX(45686,45510,,\"SPX\")":1.5862004,"WCC-US^P_BETA_LOCIDX(45064,44888,,\"SPX\")":1.6571298,"WCC-US^P_BETA_LOCIDX(45614,45441,,\"SPX\")":1.6228062,"WCC-US^P_BETA_LOCIDX(45489,45314,,\"SPX\")":2.4984367,"WCC-US^P_BETA_LOCIDX(45692,45516,,\"SPX\")":1.5878373,"WCC-US^P_BETA_LOCIDX(45930,45756,,\"SPX\")":1.5901587,"WCC-US^P_BETA_LOCIDX(45310,45135,,\"SPX\")":1.6842295,"WCC-US^P_BETA_LOCIDX(45000,44825,,\"SPX\")":1.4443464,"WCC-US^P_BETA_LOCIDX(46077,45902,,\"SPX\")":1.621755,"WCC-US^P_BETA_LOCIDX(46045,45870,,\"SPX\")":1.648873,"WCC-US^P_BETA_LOCIDX(45538,45363,,\"SPX\")":1.7550656,"WCC-US^P_BETA_LOCIDX(46034,45860,,\"SPX\")":1.7096764,"WCC-US^P_BETA_LOCIDX(45336,45161,,\"SPX\")":2.4138575,"WCC-US^P_BETA_LOCIDX(45957,45784,,\"SPX\")":1.7616779,"WCC-US^P_BETA_LOCIDX(45216,45042,,\"SPX\")":2.1033545,"WCC-US^P_BETA_LOCIDX(45495,45320,,\"SPX\")":2.4878573,"WCC-US^P_BETA_LOCIDX(44995,44820,,\"SPX\")":1.4389678,"WCC-US^P_BETA_LOCIDX(45083,44907,,\"SPX\")":1.9095367,"WCC-US^P_BETA_LOCIDX(45881,45708,,\"SPX\")":1.6219828,"WCC-US^P_BETA_LOCIDX(45863,45691,,\"SPX\")":1.608837,"WCC-US^P_BETA_LOCIDX(45975,45805,,\"SPX\")":1.4983556,"WCC-US^P_BETA_LOCIDX(45968,45797,,\"SPX\")":1.4820889,"WCC-US^P_BETA_LOCIDX(45390,45212,,\"SPX\")":2.4836037,"WCC-US^P_BETA_LOCIDX(45219,45047,,\"SPX\")":2.137464,"WCC-US^P_BETA_LOCIDX(46009,45839,,\"SPX\")":1.6195409,"WCC-US^P_BETA_LOCIDX(45359,45184,,\"SPX\")":2.3845496,"WCC-US^P_BETA_LOCIDX(44988,44813,,\"SPX\")":1.3678447,"WCC-US^P_BETA_LOCIDX(45278,45105,,\"SPX\")":1.598762,"WCC-US^P_BETA_LOCIDX(45435,45260,,\"SPX\")":2.4705021,"WCC-US^P_BETA_LOCIDX(44979,44803,,\"SPX\")":1.3858273,"WCC-US^P_BETA_LOCIDX(45818,45639,,\"SPX\")":1.5925983,"WCC-US^P_BETA_LOCIDX(45351,45176,,\"SPX\")":2.4312003,"WCC-US^P_BETA_LOCIDX(45937,45763,,\"SPX\")":1.609245,"WCC-US^P_BETA_LOCIDX(45205,45033,,\"SPX\")":1.9589059,"WCC-US^P_BETA_LOCIDX(46022,45849,,\"SPX\")":1.6473678,"WCC-US^P_BETA_LOCIDX(45740,45562,,\"SPX\")":1.6167521,"WCC-US^P_BETA_LOCIDX(45260,45086,,\"SPX\")":1.5954448,"WCC-US^P_BETA_LOCIDX(45712,45533,,\"SPX\")":1.6547219,"WCC-US^P_BETA_LOCIDX(46008,45838,,\"SPX\")":1.6589537,"WCC-US^P_BETA_LOCIDX(45566,45392,,\"SPX\")":1.7505116,"WCC-US^P_BETA_LOCIDX(45807,45630,,\"SPX\")":1.5820029,"WCC-US^P_BETA_LOCIDX(45653,45482,,\"SPX\")":1.6632112,"WCC-US^P_BETA_LOCIDX(45258,45084,,\"SPX\")":1.5796561,"WCC-US^P_BETA_LOCIDX(45779,45602,,\"SPX\")":1.6517382,"WCC-US^P_BETA_LOCIDX(45204,45030,,\"SPX\")":1.9246159,"WCC-US^P_BETA_LOCIDX(45600,45426,,\"SPX\")":1.4422395,"WCC-US^P_BETA_LOCIDX(45828,45650,,\"SPX\")":1.5874903,"WCC-US^P_BETA_LOCIDX(45905,45733,,\"SPX\")":1.5876297,"WCC-US^P_BETA_LOCIDX(45944,45771,,\"SPX\")":1.8430108,"WCC-US^P_BETA_LOCIDX(45309,45134,,\"SPX\")":1.6844021,"WCC-US^P_BETA_LOCIDX(45183,45008,,\"SPX\")":2.0016801,"WCC-US^P_BETA_LOCIDX(45589,45415,,\"SPX\")":1.7296708,"WCC-US^P_BETA_LOCIDX(45106,44931,,\"SPX\")":1.9026833,"WCC-US^P_BETA_LOCIDX(45728,45552,,\"SPX\")":1.6458361,"WCC-US^P_BETA_LOCIDX(45798,45621,,\"SPX\")":1.5947043,"WCC-US^P_BETA_LOCIDX(45181,45006,,\"SPX\")":2.0127194,"WCC-US^P_BETA_LOCIDX(45386,45210,,\"SPX\")":2.508973,"WCC-US^P_BETA_LOCIDX(45835,45659,,\"SPX\")":1.6075003,"WCC-US^P_BETA_LOCIDX(45245,45071,,\"SPX\")":1.8387979,"WCC-US^P_BETA_LOCIDX(45428,45252,,\"SPX\")":2.4780679,"WCC-US^P_BETA_LOCIDX(45294,45120,,\"SPX\")":1.6810044,"WCC-US^P_BETA_LOCIDX(45029,44853,,\"SPX\")":1.4526018,"WCC-US^P_BETA_LOCIDX(45567,45393,,\"SPX\")":1.731663,"WCC-US^P_BETA_LOCIDX(45062,44886,,\"SPX\")":1.6259799,"WCC-US^P_BETA_LOCIDX(45825,45646,,\"SPX\")":1.5872365,"WCC-US^P_BETA_LOCIDX(45425,45247,,\"SPX\")":2.444749,"WCC-US^P_BETA_LOCIDX(45667,45492,,\"SPX\")":1.5850588,"WCC-US^P_BETA_LOCIDX(45140,44965,,\"SPX\")":1.9862854,"WCC-US^P_BETA_LOCIDX(45547,45372,,\"SPX\")":1.7072761,"WCC-US^P_BETA_LOCIDX(45273,45100,,\"SPX\")":1.6063048,"WCC-US^P_BETA_LOCIDX(45657,45484,,\"SPX\")":1.6216954,"WCC-US^P_BETA_LOCIDX(45350,45175,,\"SPX\")":2.390593,"WCC-US^P_BETA_LOCIDX(45449,45273,,\"SPX\")":2.477702,"WCC-US^P_BETA_LOCIDX(45734,45558,,\"SPX\")":1.6124189,"WCC-US^P_BETA_LOCIDX(45302,45128,,\"SPX\")":1.692544,"WCC-US^P_BETA_LOCIDX(44992,44817,,\"SPX\")":1.3573356,"WCC-US^P_BETA_LOCIDX(45141,44966,,\"SPX\")":2.0522823,"WCC-US^P_BETA_LOCIDX(45078,44902,,\"SPX\")":1.8503926,"WCC-US^P_BETA_LOCIDX(45301,45127,,\"SPX\")":1.6724473,"WCC-US^P_BETA_LOCIDX(45506,45331,,\"SPX\")":2.481865,"WCC-US^P_BETA_LOCIDX(45202,45028,,\"SPX\")":1.8628178,"WCC-US^P_BETA_LOCIDX(45684,45506,,\"SPX\")":1.5139992,"WCC-US^P_BETA_LOCIDX(45113,44937,,\"SPX\")":1.9089596,"WCC-US^P_BETA_LOCIDX(45188,45013,,\"SPX\")":2.0067482,"WCC-US^P_BETA_LOCIDX(45015,44840,,\"SPX\")":1.489588,"WCC-US^P_BETA_LOCIDX(45474,45299,,\"SPX\")":2.487818,"WCC-US^P_BETA_LOCIDX(45861,45687,,\"SPX\")":1.6123115,"WCC-US^P_BETA_LOCIDX(45127,44952,,\"SPX\")":1.9343851,"WCC-US^P_BETA_LOCIDX(45132,44957,,\"SPX\")":1.9434353,"WCC-US^P_BETA_LOCIDX(45279,45106,,\"SPX\")":1.6010846,"WCC-US^P_BETA_LOCIDX(45883,45712,,\"SPX\")":1.60609,"WCC-US^P_BETA_LOCIDX(45342,45166,,\"SPX\")":2.4990356,"WCC-US^P_BETA_LOCIDX(45555,45383,,\"SPX\")":1.7367338,"WCC-US^P_BETA_LOCIDX(45239,45065,,\"SPX\")":1.807517,"WCC-US^P_BETA_LOCIDX(45226,45054,,\"SPX\")":1.8512112,"WCC-US^P_BETA_LOCIDX(45814,45637,,\"SPX\")":1.5862929,"WCC-US^P_BETA_LOCIDX(45454,45278,,\"SPX\")":2.4881725,"WCC-US^P_BETA_LOCIDX(46072,45896,,\"SPX\")":1.6013712,"WCC-US^P_BETA_LOCIDX(45497,45322,,\"SPX\")":2.4166057,"WCC-US^P_BETA_LOCIDX(45698,45520,,\"SPX\")":1.6077863,"WCC-US^P_BETA_LOCIDX(45544,45369,,\"SPX\")":1.723091,"WCC-US^P_BETA_LOCIDX(45511,45336,,\"SPX\")":1.7221613,"WCC-US^P_BETA_LOCIDX(45385,45209,,\"SPX\")":2.5185933,"WCC-US^P_BETA_LOCIDX(45411,45233,,\"SPX\")":2.428923,"WCC-US^P_BETA_LOCIDX(45618,45447,,\"SPX\")":1.626885,"WCC-US^P_BETA_LOCIDX(45261,45089,,\"SPX\")":1.6229706,"WCC-US^P_BETA_LOCIDX(45925,45751,,\"SPX\")":1.4730233,"WCC-US^P_BETA_LOCIDX(45645,45474,,\"SPX\")":1.6727718,"WCC-US^P_BETA_LOCIDX(45726,45548,,\"SPX\")":1.6639469,"WCC-US^P_BETA_LOCIDX(45251,45078,,\"SPX\")":1.6451375,"WCC-US^P_BETA_LOCIDX(45707,45530,,\"SPX\")":1.5588455,"WCC-US^P_BETA_LOCIDX(45573,45399,,\"SPX\")":1.7232131,"WCC-US^P_BETA_LOCIDX(45212,45040,,\"SPX\")":2.0223825,"WCC-US^P_BETA_LOCIDX(45338,45163,,\"SPX\")":2.50166,"WCC-US^P_BETA_LOCIDX(45063,44887,,\"SPX\")":1.6377918,"WCC-US^P_BETA_LOCIDX(45867,45693,,\"SPX\")":1.6082999,"WCC-US^P_BETA_LOCIDX(45231,45057,,\"SPX\")":1.8602515,"WCC-US^P_BETA_LOCIDX(45742,45566,,\"SPX\")":1.6178608,"WCC-US^P_BETA_LOCIDX(45068,44893,,\"SPX\")":1.6646744,"WCC-US^P_BETA_LOCIDX(44984,44806,,\"SPX\")":1.3711889,"WCC-US^P_BETA_LOCIDX(45174,44999,,\"SPX\")":2.1340115,"WCC-US^P_BETA_LOCIDX(45923,45749,,\"SPX\")":1.5721053,"WCC-US^P_BETA_LOCIDX(45558,45384,,\"SPX\")":1.7447648,"WCC-US^P_BETA_LOCIDX(45460,45282,,\"SPX\")":2.525685,"WCC-US^P_BETA_LOCIDX(45418,45240,,\"SPX\")":2.4508233,"WCC-US^P_BETA_LOCIDX(46066,45891,,\"SPX\")":1.6565274,"WCC-US^P_BETA_LOCIDX(44966,44791,,\"SPX\")":1.3861293,"WCC-US^P_BETA_LOCIDX(45442,45266,,\"SPX\")":2.480652,"WCC-US^P_BETA_LOCIDX(46044,45869,,\"SPX\")":1.6639497,"WCC-US^P_BETA_LOCIDX(45679,45503,,\"SPX\")":1.5378605,"WCC-US^P_BETA_LOCIDX(45520,45348,,\"SPX\")":1.6594905,"WCC-US^P_BETA_LOCIDX(45523,45349,,\"SPX\")":1.6544143,"WCC-US^P_BETA_LOCIDX(45135,44960,,\"SPX\")":1.9700154,"WCC-US^P_BETA_LOCIDX(45974,45804,,\"SPX\")":1.4726212,"WCC-US^P_BETA_LOCIDX(44960,44785,,\"SPX\")":1.3883523,"WCC-US^P_BETA_LOCIDX(45001,44826,,\"SPX\")":1.4388973,"WCC-US^P_BETA_LOCIDX(45275,45104,,\"SPX\")":1.6401561,"WCC-US^P_BETA_LOCIDX(45190,45015,,\"SPX\")":1.9550394,"WCC-US^P_BETA_LOCIDX(45730,45554,,\"SPX\")":1.6418762,"WCC-US^P_BETA_LOCIDX(46000,45828,,\"SPX\")":1.4989946,"WCC-US^P_BETA_LOCIDX(45791,45614,,\"SPX\")":1.5986302,"WCC-US^P_BETA_LOCIDX(44971,44796,,\"SPX\")":1.3819889,"WCC-US^P_BETA_LOCIDX(45498,45323,,\"SPX\")":2.46356,"WCC-US^P_BETA_LOCIDX(45085,44909,,\"SPX\")":1.8887457,"WCC-US^P_BETA_LOCIDX(45110,44935,,\"SPX\")":1.9216737,"WCC-US^P_BETA_LOCIDX(45777,45600,,\"SPX\")":1.644007,"WCC-US^P_BETA_LOCIDX(45568,45394,,\"SPX\")":1.7513529,"WCC-US^P_BETA_LOCIDX(45427,45251,,\"SPX\")":2.4692192,"WCC-US^P_BETA_LOCIDX(44967,44792,,\"SPX\")":1.3862667,"WCC-US^P_BETA_LOCIDX(46056,45881,,\"SPX\")":1.657347,"WCC-US^P_BETA_LOCIDX(45407,45231,,\"SPX\")":2.451222,"WCC-US^P_BETA_LOCIDX(45232,45058,,\"SPX\")":1.8645067,"WCC-US^P_BETA_LOCIDX(45782,45603,,\"SPX\")":1.567664,"WCC-US^P_BETA_LOCIDX(45595,45421,,\"SPX\")":1.7129182,"WCC-US^P_BETA_LOCIDX(45392,45216,,\"SPX\")":2.4207304,"WCC-US^P_BETA_LOCIDX(45681,45505,,\"SPX\")":1.5247972,"WCC-US^P_BETA_LOCIDX(44974,44799,,\"SPX\")":1.3661288,"WCC-US^P_BETA_LOCIDX(45337,45162,,\"SPX\")":2.434171,"WCC-US^P_BETA_LOCIDX(45964,45791,,\"SPX\")":1.4588349,"WCC-US^P_BETA_LOCIDX(45553,45378,,\"SPX\")":1.716143,"WCC-US^P_BETA_LOCIDX(45623,45450,,\"SPX\")":1.6074337,"WCC-US^P_BETA_LOCIDX(45307,45132,,\"SPX\")":1.690024,"WCC-US^P_BETA_LOCIDX(45377,45202,,\"SPX\")":2.5323012,"WCC-US^P_BETA_LOCIDX(45373,45198,,\"SPX\")":2.5517402,"WCC-US^P_BETA_LOCIDX(45176,45001,,\"SPX\")":2.0715446,"WCC-US^P_BETA_LOCIDX(45370,45195,,\"SPX\")":2.4716773,"WCC-US^P_BETA_LOCIDX(45478,45302,,\"SPX\")":2.4952416,"WCC-US^P_BETA_LOCIDX(45082,44904,,\"SPX\")":1.911761,"WCC-US^P_BETA_LOCIDX(45254,45082,,\"SPX\")":1.5760828,"WCC-US^P_BETA_LOCIDX(45652,45481,,\"SPX\")":1.6752688,"WCC-US^P_BETA_LOCIDX(45148,44973,,\"SPX\")":2.0137956,"WCC-US^P_BETA_LOCIDX(46071,45895,,\"SPX\")":1.6001456,"WCC-US^P_BETA_LOCIDX(45789,45610,,\"SPX\")":1.5929449,"WCC-US^P_BETA_LOCIDX(46036,45862,,\"SPX\")":1.6861168,"WCC-US^P_BETA_LOCIDX(45167,44993,,\"SPX\")":2.136146,"WCC-US^P_BETA_LOCIDX(45769,45590,,\"SPX\")":1.5636249,"WCC-US^P_BETA_LOCIDX(45565,45391,,\"SPX\")":1.760752,"WCC-US^P_BETA_LOCIDX(45408,45232,,\"SPX\")":2.4065952,"WCC-US^P_BETA_LOCIDX(45574,45400,,\"SPX\")":1.7205634,"WCC-US^P_BETA_LOCIDX(45890,45719,,\"SPX\")":1.6191639,"WCC-US^P_BETA_LOCIDX(45509,45334,,\"SPX\")":2.2502084,"WCC-US^P_BETA_LOCIDX(45817,45638,,\"SPX\")":1.5924844,"WCC-US^P_BETA_LOCIDX(45482,45307,,\"SPX\")":2.496356,"WCC-US^P_BETA_LOCIDX(45933,45761,,\"SPX\")":1.5895023,"WCC-US^P_BETA_LOCIDX(45050,44874,,\"SPX\")":1.4213935,"WCC-US^P_BETA_LOCIDX(45434,45259,,\"SPX\")":2.4793139,"WCC-US^P_BETA_LOCIDX(45932,45758,,\"SPX\")":1.5531175,"WCC-US^P_BETA_LOCIDX(45811,45632,,\"SPX\")":1.588227,"WCC-US^P_BETA_LOCIDX(45602,45428,,\"SPX\")":1.6790042,"WCC-US^P_BETA_LOCIDX(45177,45002,,\"SPX\")":2.1152394,"WCC-US^P_BETA_LOCIDX(45317,45142,,\"SPX\")":1.6737379,"WCC-US^P_BETA_LOCIDX(45943,45770,,\"SPX\")":1.8575366,"WCC-US^P_BETA_LOCIDX(45569,45397,,\"SPX\")":1.7441623,"WCC-US^P_BETA_LOCIDX(45229,45055,,\"SPX\")":1.8412148,"WCC-US^P_BETA_LOCIDX(45819,45642,,\"SPX\")":1.5929866,"WCC-US^P_BETA_LOCIDX(45293,45119,,\"SPX\")":1.6455889,"WCC-US^P_BETA_LOCIDX(45244,45070,,\"SPX\")":1.8493631,"WCC-US^P_BETA_LOCIDX(45343,45167,,\"SPX\")":2.491156,"WCC-US^P_BETA_LOCIDX(45559,45385,,\"SPX\")":1.7358476,"WCC-US^P_BETA_LOCIDX(45706,45527,,\"SPX\")":1.5806407,"WCC-US^P_BETA_LOCIDX(45128,44953,,\"SPX\")":1.9235423,"WCC-US^P_BETA_LOCIDX(45042,44866,,\"SPX\")":1.4254376,"WCC-US^P_BETA_LOCIDX(45210,45036,,\"SPX\")":1.9423143,"WCC-US^P_BETA_LOCIDX(45820,45643,,\"SPX\")":1.5931458,"WCC-US^P_BETA_LOCIDX(45593,45419,,\"SPX\")":1.7240542,"WCC-US^P_BETA_LOCIDX(45168,44994,,\"SPX\")":2.13536,"WCC-US^P_BETA_LOCIDX(45313,45138,,\"SPX\")":1.6880931,"WCC-US^P_BETA_LOCIDX(45642,45469,,\"SPX\")":1.6367098,"WCC-US^P_BETA_LOCIDX(45848,45673,,\"SPX\")":1.6258457,"WCC-US^P_BETA_LOCIDX(45775,45596,,\"SPX\")":1.5718853,"WCC-US^P_BETA_LOCIDX(45182,45007,,\"SPX\")":1.9810277,"WCC-US^P_BETA_LOCIDX(45169,44995,,\"SPX\")":2.1539865,"WCC-US^P_BETA_LOCIDX(45720,45544,,\"SPX\")":1.6270353,"WCC-US^P_BETA_LOCIDX(45621,45448,,\"SPX\")":1.6307187,"WCC-US^P_BETA_LOCIDX(45133,44958,,\"SPX\")":1.9380558,"WCC-US^P_BETA_LOCIDX(45413,45237,,\"SPX\")":2.360047,"WCC-US^P_BETA_LOCIDX(46038,45866,,\"SPX\")":1.6920696,"WCC-US^P_BETA_LOCIDX(44973,44798,,\"SPX\")":1.3780086,"WCC-US^P_BETA_LOCIDX(45999,45826,,\"SPX\")":1.4859551,"WCC-US^P_BETA_LOCIDX(45839,45663,,\"SPX\")":1.6038568,"WCC-US^P_BETA_LOCIDX(45358,45183,,\"SPX\")":2.3889647,"WCC-US^P_BETA_LOCIDX(45040,44862,,\"SPX\")":1.416481,"WCC-US^P_BETA_LOCIDX(45796,45617,,\"SPX\")":1.5971586,"WCC-US^P_BETA_LOCIDX(45464,45288,,\"SPX\")":2.5152073,"WCC-US^P_BETA_LOCIDX(45721,45545,,\"SPX\")":1.6608996,"WCC-US^P_BETA_LOCIDX(45364,45189,,\"SPX\")":2.419066,"WCC-US^P_BETA_LOCIDX(45952,45779,,\"SPX\")":1.8954408,"WCC-US^P_BETA_LOCIDX(45230,45056,,\"SPX\")":1.8409919,"WCC-US^P_BETA_LOCIDX(45384,45208,,\"SPX\")":2.5215626,"WCC-US^P_BETA_LOCIDX(45849,45674,,\"SPX\")":1.6289688,"WCC-US^P_BETA_LOCIDX(46049,45874,,\"SPX\")":1.6593162,"WCC-US^P_BETA_LOCIDX(45735,45559,,\"SPX\")":1.6264143,"WCC-US^P_BETA_LOCIDX(45315,45140,,\"SPX\")":1.6924622,"WCC-US^P_BETA_LOCIDX(45035,44859,,\"SPX\")":1.4090972,"WCC-US^P_BETA_LOCIDX(45328,45153,,\"SPX\")":1.7090256,"WCC-US^P_BETA_LOCIDX(45098,44922,,\"SPX\")":1.931753,"WCC-US^P_BETA_LOCIDX(45264,45090,,\"SPX\")":1.5794802,"WCC-US^P_BETA_LOCIDX(45646,45475,,\"SPX\")":1.6764537,"WCC-US^P_BETA_LOCIDX(45911,45737,,\"SPX\")":1.5881149,"WCC-US^P_BETA_LOCIDX(45736,45560,,\"SPX\")":1.6280034,"WCC-US^P_BETA_LOCIDX(45733,45555,,\"SPX\")":1.6227577,"WCC-US^P_BETA_LOCIDX(45147,44972,,\"SPX\")":2.023725,"WCC-US^P_BETA_LOCIDX(45334,45159,,\"SPX\")":1.7206124,"WCC-US^P_BETA_LOCIDX(45561,45387,,\"SPX\")":1.7599436,"WCC-US^P_BETA_LOCIDX(45978,45806,,\"SPX\")":1.579049,"WCC-US^P_BETA_LOCIDX(45875,45701,,\"SPX\")":1.6121987,"WCC-US^P_BETA_LOCIDX(45904,45730,,\"SPX\")":1.5835978,"WCC-US^P_BETA_LOCIDX(46010,45840,,\"SPX\")":1.6447299,"WCC-US^P_BETA_LOCIDX(45749,45573,,\"SPX\")":1.673596,"WCC-US^P_BETA_LOCIDX(45518,45344,,\"SPX\")":1.6196072,"WCC-US^P_BETA_LOCIDX(45936,45762,,\"SPX\")":1.5932298,"WCC-US^P_BETA_LOCIDX(45481,45303,,\"SPX\")":2.4964373,"WCC-US^P_BETA_LOCIDX(46015,45845,,\"SPX\")":1.6401527,"WCC-US^P_BETA_LOCIDX(45224,45050,,\"SPX\")":2.1571434,"WCC-US^P_BETA_LOCIDX(45531,45357,,\"SPX\")":1.7158467,"WCC-US^P_BETA_LOCIDX(45862,45688,,\"SPX\")":1.611314,"WCC-US^P_BETA_LOCIDX(45448,45272,,\"SPX\")":2.4717033,"WCC-US^P_BETA_LOCIDX(45090,44914,,\"SPX\")":1.9378608,"WCC-US^P_BETA_LOCIDX(45636,45463,,\"SPX\")":1.6387295,"WCC-US^P_BETA_LOCIDX(45488,45313,,\"SPX\")":2.4617715,"WCC-US^P_BETA_LOCIDX(45895,45722,,\"SPX\")":1.5909537,"WCC-US^P_BETA_LOCIDX(45218,45044,,\"SPX\")":2.1035128,"WCC-US^P_BETA_LOCIDX(45898,45727,,\"SPX\")":1.5940771,"WCC-US^P_BETA_LOCIDX(45582,45408,,\"SPX\")":1.7745054,"WCC-US^P_BETA_LOCIDX(45631,45457,,\"SPX\")":1.6137706,"WCC-US^P_BETA_LOCIDX(45722,45546,,\"SPX\")":1.6422374,"WCC-US^P_BETA_LOCIDX(45357,45182,,\"SPX\")":2.372616,"WCC-US^P_BETA_LOCIDX(45810,45631,,\"SPX\")":1.5810256,"WCC-US^P_BETA_LOCIDX(45097,44918,,\"SPX\")":1.9520773,"WCC-US^P_BETA_LOCIDX(45876,45702,,\"SPX\")":1.6178821,"WCC-US^P_BETA_LOCIDX(45580,45406,,\"SPX\")":1.7657033,"WCC-US^P_BETA_LOCIDX(45530,45356,,\"SPX\")":1.658755,"WCC-US^P_BETA_LOCIDX(45048,44872,,\"SPX\")":1.3567587,"WCC-US^P_BETA_LOCIDX(45432,45257,,\"SPX\")":2.4804597,"WCC-US^P_BETA_LOCIDX(45054,44876,,\"SPX\")":1.616066,"WCC-US^P_BETA_LOCIDX(45926,45754,,\"SPX\")":1.5941682,"WCC-US^P_BETA_LOCIDX(44957,44782,,\"SPX\")":1.3979744,"WCC-US^P_BETA_LOCIDX(45959,45786,,\"SPX\")":1.7441337,"WCC-US^P_BETA_LOCIDX(45846,45671,,\"SPX\")":1.6089531,"WCC-US^P_BETA_LOCIDX(46013,45841,,\"SPX\")":1.6363298,"WCC-US^P_BETA_LOCIDX(46057,45882,,\"SPX\")":1.6276455,"WCC-US^P_BETA_LOCIDX(45869,45695,,\"SPX\")":1.6101809,"WCC-US^P_BETA_LOCIDX(45541,45366,,\"SPX\")":1.7080529,"WCC-US^P_BETA_LOCIDX(45049,44873,,\"SPX\")":1.3574107,"WCC-US^P_BETA_LOCIDX(45447,45271,,\"SPX\")":2.4771094,"WCC-US^P_BETA_LOCIDX(45349,45174,,\"SPX\")":2.4186287,"WCC-US^P_BETA_LOCIDX(45070,44895,,\"SPX\")":1.6763213,"WCC-US^P_BETA_LOCIDX(45369,45194,,\"SPX\")":2.4683383,"WCC-US^P_BETA_LOCIDX(45616,45443,,\"SPX\")":1.6084627,"WCC-US^P_BETA_LOCIDX(45953,45782,,\"SPX\")":1.8104343,"WCC-US^P_BETA_LOCIDX(45047,44869,,\"SPX\")":1.3754481,"WCC-US^P_BETA_LOCIDX(45329,45154,,\"SPX\")":1.7221948,"WCC-US^P_BETA_LOCIDX(44998,44823,,\"SPX\")":1.4311047,"WCC-US^P_BETA_LOCIDX(45441,45265,,\"SPX\")":2.5196693,"WCC-US^P_BETA_LOCIDX(45490,45315,,\"SPX\")":2.5157764,"WCC-US^P_BETA_LOCIDX(45958,45785,,\"SPX\")":1.7635199,"WCC-US^P_BETA_LOCIDX(45265,45091,,\"SPX\")":1.5597894,"WCC-US^P_BETA_LOCIDX(45055,44879,,\"SPX\")":1.5911845,"WCC-US^P_BETA_LOCIDX(45841,45665,,\"SPX\")":1.6108652,"WCC-US^P_BETA_LOCIDX(45617,45446,,\"SPX\")":1.6250452,"WCC-US^P_BETA_LOCIDX(45259,45085,,\"SPX\")":1.5995214,"WCC-US^P_BETA_LOCIDX(46055,45880,,\"SPX\")":1.707871,"WCC-US^P_BETA_LOCIDX(45659,45485,,\"SPX\")":1.6760261,"WCC-US^P_BETA_LOCIDX(45457,45281,,\"SPX\")":2.5481138,"WCC-US^P_BETA_LOCIDX(45461,45286,,\"SPX\")":2.5222054,"WCC-US^P_BETA_LOCIDX(45217,45043,,\"SPX\")":2.1171117,"WCC-US^P_BETA_LOCIDX(45170,44998,,\"SPX\")":2.1252644,"WCC-US^P_BETA_LOCIDX(45887,45714,,\"SPX\")":1.6012696,"WCC-US^P_BETA_LOCIDX(45709,45532,,\"SPX\")":1.6293919,"WCC-US^P_BETA_LOCIDX(45664,45490,,\"SPX\")":1.6146755,"WCC-US^P_BETA_LOCIDX(45950,45777,,\"SPX\")":1.8130599,"WCC-US^P_BETA_LOCIDX(45554,45379,,\"SPX\")":1.7299787,"WCC-US^P_BETA_LOCIDX(45601,45427,,\"SPX\")":1.4407856,"WCC-US^P_BETA_LOCIDX(45663,45489,,\"SPX\")":1.6616337,"WCC-US^P_BETA_LOCIDX(45453,45275,,\"SPX\")":2.499398,"WCC-US^P_BETA_LOCIDX(45596,45422,,\"SPX\")":1.4448372,"WCC-US^P_BETA_LOCIDX(45406,45230,,\"SPX\")":2.4383767,"WCC-US^P_BETA_LOCIDX(45257,45083,,\"SPX\")":1.5810101,"WCC-US^P_BETA_LOCIDX(45868,45694,,\"SPX\")":1.6071802,"WCC-US^P_BETA_LOCIDX(45005,44830,,\"SPX\")":1.4412363,"WCC-US^P_BETA_LOCIDX(45866,45692,,\"SPX\")":1.605593,"WCC-US^P_BETA_LOCIDX(45603,45429,,\"SPX\")":1.6469792,"WCC-US^P_BETA_LOCIDX(45954,45783,,\"SPX\")":1.8350827,"WCC-US^P_BETA_LOCIDX(45785,45608,,\"SPX\")":1.5831939,"WCC-US^P_BETA_LOCIDX(45058,44882,,\"SPX\")":1.6203225,"WCC-US^P_BETA_LOCIDX(44978,44802,,\"SPX\")":1.381629,"WCC-US^P_BETA_LOCIDX(45118,44943,,\"SPX\")":1.9260995,"WCC-US^P_BETA_LOCIDX(45030,44854,,\"SPX\")":1.4458628,"WCC-US^P_BETA_LOCIDX(45365,45190,,\"SPX\")":2.4470115,"WCC-US^P_BETA_LOCIDX(45002,44827,,\"SPX\")":1.4511727,"WCC-US^P_BETA_LOCIDX(46052,45877,,\"SPX\")":1.6715176,"WCC-US^P_BETA_LOCIDX(45274,45103,,\"SPX\")":1.6375538,"WCC-US^P_BETA_LOCIDX(45492,45317,,\"SPX\")":2.5045965,"WCC-US^P_BETA_LOCIDX(45037,44861,,\"SPX\")":1.4123266,"WCC-US^P_BETA_LOCIDX(45194,45019,,\"SPX\")":1.9501717,"WCC-US^P_BETA_LOCIDX(45391,45215,,\"SPX\")":2.4144356,"WCC-US^P_BETA_LOCIDX(45378,45203,,\"SPX\")":2.5575871,"WCC-US^P_BETA_LOCIDX(46028,45854,,\"SPX\")":1.7077999,"WCC-US^P_BETA_LOCIDX(45120,44945,,\"SPX\")":1.919092,"WCC-US^P_BETA_LOCIDX(45608,45434,,\"SPX\")":1.6507732,"WCC-US^P_BETA_LOCIDX(45699,45523,,\"SPX\")":1.6096723,"WCC-US^P_BETA_LOCIDX(45019,44844,,\"SPX\")":1.5039951,"WCC-US^P_BETA_LOCIDX(45162,44988,,\"SPX\")":2.0648448,"WCC-US^P_BETA_LOCIDX(45719,45541,,\"SPX\")":1.5722266,"WCC-US^P_BETA_LOCIDX(45951,45778,,\"SPX\")":1.8112568,"WCC-US^P_BETA_LOCIDX(45840,45664,,\"SPX\")":1.6053171,"WCC-US^P_BETA_LOCIDX(45393,45217,,\"SPX\")":2.3984694,"WCC-US^P_BETA_LOCIDX(44991,44816,,\"SPX\")":1.3528812,"WCC-US^P_BETA_LOCIDX(45797,45618,,\"SPX\")":1.5919676,"WCC-US^P_BETA_LOCIDX(45607,45433,,\"SPX\")":1.6421341,"WCC-US^P_BETA_LOCIDX(45399,45223,,\"SPX\")":2.3104613,"WCC-US^P_BETA_LOCIDX(45308,45133,,\"SPX\")":1.6837982,"WCC-US^P_BETA_LOCIDX(45114,44938,,\"SPX\")":1.9433488,"WCC-US^P_BETA_LOCIDX(45756,45580,,\"SPX\")":1.6241509,"WCC-US^P_BETA_LOCIDX(45051,44875,,\"SPX\")":1.4810784,"WCC-US^P_BETA_LOCIDX(45344,45168,,\"SPX\")":2.4224687,"WCC-US^P_BETA_LOCIDX(45117,44939,,\"SPX\")":1.9461884,"WCC-US^P_BETA_LOCIDX(45041,44865,,\"SPX\")":1.4128673,"WCC-US^P_BETA_LOCIDX(46001,45831,,\"SPX\")":1.5345739,"WCC-US^P_BETA_LOCIDX(45376,45201,,\"SPX\")":2.5433867,"WCC-US^P_BETA_LOCIDX(45296,45124,,\"SPX\")":1.6865015,"WCC-US^P_BETA_LOCIDX(45540,45365,,\"SPX\")":1.7495551,"WCC-US^P_BETA_LOCIDX(46029,45855,,\"SPX\")":1.7302105,"WCC-US^P_BETA_LOCIDX(45902,45728,,\"SPX\")":1.5990503,"WCC-US^P_BETA_LOCIDX(45026,44848,,\"SPX\")":1.5305703,"WCC-US^P_BETA_LOCIDX(45335,45160,,\"SPX\")":2.3384595,"WCC-US^P_BETA_LOCIDX(45238,45064,,\"SPX\")":1.8480996,"WCC-US^P_BETA_LOCIDX(45799,45622,,\"SPX\")":1.5933766,"WCC-US^P_BETA_LOCIDX(45483,45308,,\"SPX\")":2.520873,"WCC-US^P_BETA_LOCIDX(46031,45859,,\"SPX\")":1.7066911,"WCC-US^P_BETA_LOCIDX(45086,44910,,\"SPX\")":1.8868089,"WCC-US^P_BETA_LOCIDX(45209,45035,,\"SPX\")":1.9435756,"WCC-US^P_BETA_LOCIDX(45153,44979,,\"SPX\")":2.0540476,"WCC-US^P_BETA_LOCIDX(45112,44936,,\"SPX\")":1.9264615,"WCC-US^P_BETA_LOCIDX(45995,45824,,\"SPX\")":1.5037024,"WCC-US^P_BETA_LOCIDX(45426,45250,,\"SPX\")":2.4439583,"WCC-US^P_BETA_LOCIDX(45838,45660,,\"SPX\")":1.6047648,"WCC-US^P_BETA_LOCIDX(45586,45412,,\"SPX\")":1.799979,"WCC-US^P_BETA_LOCIDX(45916,45742,,\"SPX\")":1.5824801,"WCC-US^P_BETA_LOCIDX(45638,45467,,\"SPX\")":1.6286343,"WCC-US^P_BETA_LOCIDX(46037,45863,,\"SPX\")":1.6926664,"WCC-US^P_BETA_LOCIDX(45751,45575,,\"SPX\")":1.6117218,"WCC-US^P_BETA_LOCIDX(46027,45853,,\"SPX\")":1.6945777,"WCC-US^P_BETA_LOCIDX(45860,45686,,\"SPX\")":1.6067157,"WCC-US^P_BETA_LOCIDX(45918,45744,,\"SPX\")":1.5843269,"WCC-US^P_BETA_LOCIDX(45020,44845,,\"SPX\")":1.5236155,"WCC-US^P_BETA_LOCIDX(44970,44795,,\"SPX\")":1.3843073,"WCC-US^P_BETA_LOCIDX(45512,45337,,\"SPX\")":1.6516047,"WCC-US^P_BETA_LOCIDX(45079,44903,,\"SPX\")":1.9077495,"WCC-US^P_BETA_LOCIDX(44956,44781,,\"SPX\")":1.3904394,"WCC-US^P_BETA_LOCIDX(44953,44778,,\"SPX\")":1.3930318,"WCC-US^P_BETA_LOCIDX(44952,44777,,\"SPX\")":1.391725,"WCC-US^P_BETA_LOCIDX(44951,44776,,\"SPX\")":1.3797331,"WCC-US^P_BETA_LOCIDX(44950,44775,,\"SPX\")":1.3798229,"WCC-US^P_BETA_LOCIDX(44949,44774,,\"SPX\")":1.3786278,"WCC-US^P_BETA_LOCIDX(44946,44771,,\"SPX\")":1.3912804,"WCC-US^P_BETA_LOCIDX(44945,44770,,\"SPX\")":1.3996384,"WCC-US^P_BETA_LOCIDX(44944,44769,,\"SPX\")":1.3953656,"WCC-US^P_BETA_LOCIDX(44943,44768,,\"SPX\")":1.3906739,"WCC-US^P_BETA_LOCIDX(44939,44767,,\"SPX\")":1.3907406,"WCC-US^P_BETA_LOCIDX(44938,44764,,\"SPX\")":1.3911572,"WCC-US^P_BETA_LOCIDX(44937,44763,,\"SPX\")":1.3866142,"WCC-US^P_BETA_LOCIDX(44936,44762,,\"SPX\")":1.405758,"WCC-US^P_BETA_LOCIDX(44935,44761,,\"SPX\")":1.418809,"WCC-US^P_BETA_LOCIDX(44932,44760,,\"SPX\")":1.41801,"WCC-US^P_BETA_LOCIDX(44931,44757,,\"SPX\")":1.4120469,"WCC-US^P_BETA_LOCIDX(44930,44756,,\"SPX\")":1.4128165,"WCC-US^P_BETA_LOCIDX(44929,44755,,\"SPX\")":1.4107369,"WCC-US^P_BETA_LOCIDX(44925,44754,,\"SPX\")":1.4075273,"WCC-US^P_BETA_LOCIDX(44924,44753,,\"SPX\")":1.406064,"WCC-US^P_BETA_LOCIDX(44923,44750,,\"SPX\")":1.3984928,"WCC-US^P_BETA_LOCIDX(44922,44749,,\"SPX\")":1.4104313,"WCC-US^P_BETA_LOCIDX(44918,44748,,\"SPX\")":1.4086556,"WCC-US^P_BETA_LOCIDX(44917,44747,,\"SPX\")":1.4049708,"WCC-US^P_BETA_LOCIDX(44916,44743,,\"SPX\")":1.3871497,"WCC-US^P_BETA_LOCIDX(44915,44742,,\"SPX\")":1.380485,"WCC-US^P_BETA_LOCIDX(44914,44741,,\"SPX\")":1.3815649,"WCC-US^P_BETA_LOCIDX(44911,44740,,\"SPX\")":1.3811332,"WCC-US^P_BETA_LOCIDX(44910,44739,,\"SPX\")":1.3855337,"WCC-US^P_BETA_LOCIDX(44909,44736,,\"SPX\")":1.4361509,"WCC-US^P_BETA_LOCIDX(44908,44735,,\"SPX\")":1.4271641,"WCC-US^P_BETA_LOCIDX(44907,44734,,\"SPX\")":1.4241043,"WCC-US^P_BETA_LOCIDX(44904,44733,,\"SPX\")":1.3976125,"WCC-US^P_BETA_LOCIDX(44903,44729,,\"SPX\")":1.393879,"WCC-US^P_BETA_LOCIDX(44902,44728,,\"SPX\")":1.4491524,"WCC-US^P_BETA_LOCIDX(44901,44727,,\"SPX\")":1.4421781,"WCC-US^P_BETA_LOCIDX(44900,44726,,\"SPX\")":1.4507284,"WCC-US^P_BETA_LOCIDX(44897,44725,,\"SPX\")":1.433605,"WCC-US^P_BETA_LOCIDX(44896,44722,,\"SPX\")":1.4405166,"WCC-US^P_BETA_LOCIDX(44895,44721,,\"SPX\")":1.429699,"WCC-US^P_BETA_LOCIDX(44894,44720,,\"SPX\")":1.4645818,"WCC-US^P_BETA_LOCIDX(44893,44719,,\"SPX\")":1.4804856,"WCC-US^P_BETA_LOCIDX(44890,44718,,\"SPX\")":1.4741893,"WCC-US^P_BETA_LOCIDX(44888,44715,,\"SPX\")":1.4525937,"WCC-US^P_BETA_LOCIDX(44887,44714,,\"SPX\")":1.4575508,"WCC-US^P_BETA_LOCIDX(44886,44713,,\"SPX\")":1.4455365,"WCC-US^P_BETA_LOCIDX(44883,44712,,\"SPX\")":1.4451514,"WCC-US^P_BETA_LOCIDX(44882,44708,,\"SPX\")":1.4452639,"WCC-US^P_BETA_LOCIDX(44881,44707,,\"SPX\")":1.4599452,"WCC-US^P_BETA_LOCIDX(44880,44706,,\"SPX\")":1.4621813,"WCC-US^P_BETA_LOCIDX(44879,44705,,\"SPX\")":1.479522,"WCC-US^P_BETA_LOCIDX(44876,44704,,\"SPX\")":1.4713337,"WCC-US^P_BETA_LOCIDX(44875,44701,,\"SPX\")":1.4632268,"WCC-US^P_BETA_LOCIDX(44874,44700,,\"SPX\")":1.5249313,"WCC-US^P_BETA_LOCIDX(44873,44699,,\"SPX\")":1.5113807,"WCC-US^P_BETA_LOCIDX(44872,44698,,\"SPX\")":1.5123675,"WCC-US^P_BETA_LOCIDX(44869,44697,,\"SPX\")":1.5193907,"WCC-US^P_BETA_LOCIDX(44868,44694,,\"SPX\")":1.5164047,"WCC-US^P_BETA_LOCIDX(44867,44693,,\"SPX\")":1.4695638,"WCC-US^P_BETA_LOCIDX(44866,44692,,\"SPX\")":1.5015454,"WCC-US^P_BETA_LOCIDX(44865,44691,,\"SPX\")":1.502463,"WCC-US^P_BETA_LOCIDX(44862,44690,,\"SPX\")":1.5254865,"WCC-US^P_BETA_LOCIDX(44861,44687,,\"SPX\")":1.5336317,"WCC-US^P_BETA_LOCIDX(44860,44686,,\"SPX\")":1.4116026,"WCC-US^P_BETA_LOCIDX(44859,44685,,\"SPX\")":1.4156154,"WCC-US^P_BETA_LOCIDX(44858,44684,,\"SPX\")":1.4222522,"WCC-US^P_BETA_LOCIDX(44855,44683,,\"SPX\")":1.4149146,"WCC-US^P_BETA_LOCIDX(44854,44680,,\"SPX\")":1.3834244,"WCC-US^P_BETA_LOCIDX(44853,44679,,\"SPX\")":1.3769178,"WCC-US^P_BETA_LOCIDX(44852,44678,,\"SPX\")":1.3758967,"WCC-US^P_BETA_LOCIDX(44851,44677,,\"SPX\")":1.3787768,"WCC-US^P_BETA_LOCIDX(44848,44676,,\"SPX\")":1.3592415,"WCC-US^P_BETA_LOCIDX(44847,44673,,\"SPX\")":1.3551638,"WCC-US^P_BETA_LOCIDX(44846,44672,,\"SPX\")":1.3417311,"WCC-US^P_BETA_LOCIDX(44845,44671,,\"SPX\")":1.3412414,"WCC-US^P_BETA_LOCIDX(44844,44670,,\"SPX\")":1.3555148,"WCC-US^P_BETA_LOCIDX(44841,44669,,\"SPX\")":1.3553294,"WCC-US^P_BETA_LOCIDX(44840,44665,,\"SPX\")":1.358164,"WCC-US^P_BETA_LOCIDX(44839,44664,,\"SPX\")":1.362232,"WCC-US^P_BETA_LOCIDX(44838,44663,,\"SPX\")":1.3604292,"WCC-US^P_BETA_LOCIDX(44837,44662,,\"SPX\")":1.3458867,"WCC-US^P_BETA_LOCIDX(44834,44659,,\"SPX\")":1.3535509,"WCC-US^P_BETA_LOCIDX(44833,44658,,\"SPX\")":1.3614377,"WCC-US^P_BETA_LOCIDX(44832,44657,,\"SPX\")":1.3676951,"WCC-US^P_BETA_LOCIDX(44831,44656,,\"SPX\")":1.3680497,"WCC-US^P_BETA_LOCIDX(44830,44655,,\"SPX\")":1.3578359,"WCC-US^P_BETA_LOCIDX(44827,44652,,\"SPX\")":1.3534923,"WCC-US^P_BETA_LOCIDX(44826,44651,,\"SPX\")":1.3365432,"WCC-US^P_BETA_LOCIDX(44825,44650,,\"SPX\")":1.3337307,"WCC-US^P_BETA_LOCIDX(44824,44649,,\"SPX\")":1.3366278,"WCC-US^P_BETA_LOCIDX(44823,44648,,\"SPX\")":1.3292534,"WCC-US^P_BETA_LOCIDX(44820,44645,,\"SPX\")":1.3260964,"WCC-US^P_BETA_LOCIDX(44819,44644,,\"SPX\")":1.3180405,"WCC-US^P_BETA_LOCIDX(44818,44643,,\"SPX\")":1.3184122,"WCC-US^P_BETA_LOCIDX(44817,44642,,\"SPX\")":1.3167537,"WCC-US^P_BETA_LOCIDX(44816,44641,,\"SPX\")":1.3513348,"WCC-US^P_BETA_LOCIDX(44813,44638,,\"SPX\")":1.3502399,"WCC-US^P_BETA_LOCIDX(44812,44637,,\"SPX\")":1.3357265,"WCC-US^P_BETA_LOCIDX(44811,44636,,\"SPX\")":1.3513108,"WCC-US^P_BETA_LOCIDX(44810,44635,,\"SPX\")":1.3524092,"WCC-US^P_BETA_LOCIDX(44806,44634,,\"SPX\")":1.3508735,"WCC-US^P_BETA_LOCIDX(44805,44631,,\"SPX\")":1.3362329,"WCC-US^P_BETA_LOCIDX(44804,44630,,\"SPX\")":1.3341047,"WCC-US^P_BETA_LOCIDX(44803,44629,,\"SPX\")":1.3387587,"WCC-US^P_BETA_LOCIDX(44802,44628,,\"SPX\")":1.3233702,"WCC-US^P_BETA_LOCIDX(44799,44627,,\"SPX\")":1.3503845,"WCC-US^P_BETA_LOCIDX(44798,44624,,\"SPX\")":1.3647691,"WCC-US^P_BETA_LOCIDX(44797,44623,,\"SPX\")":1.3539652,"WCC-US^P_BETA_LOCIDX(44796,44622,,\"SPX\")":1.3674903,"WCC-US^P_BETA_LOCIDX(44795,44621,,\"SPX\")":1.3819253,"WCC-US^P_BETA_LOCIDX(44792,44620,,\"SPX\")":1.3818479,"WCC-US^P_BETA_LOCIDX(44791,44617,,\"SPX\")":1.361347,"WCC-US^P_BETA_LOCIDX(44790,44616,,\"SPX\")":1.3696506,"WCC-US^P_BETA_LOCIDX(44789,44615,,\"SPX\")":1.3822216,"WCC-US^P_BETA_LOCIDX(44788,44614,,\"SPX\")":1.376155,"WCC-US^P_BETA_LOCIDX(44785,44610,,\"SPX\")":1.3724835,"WCC-US^P_BETA_LOCIDX(44784,44609,,\"SPX\")":1.3938278,"WCC-US^P_BETA_LOCIDX(44783,44608,,\"SPX\")":1.393303,"WCC-US^P_BETA_LOCIDX(44782,44607,,\"SPX\")":1.42008,"WCC-US^P_BETA_LOCIDX(44781,44606,,\"SPX\")":1.4196383,"WCC-US^P_BETA_LOCIDX(44778,44603,,\"SPX\")":1.4226336,"WCC-US^P_BETA_LOCIDX(44777,44602,,\"SPX\")":1.425402,"WCC-US^P_BETA_LOCIDX(44776,44601,,\"SPX\")":1.4345828,"WCC-US^P_BETA_LOCIDX(44775,44600,,\"SPX\")":1.4464582,"WCC-US^P_BETA_LOCIDX(44774,44599,,\"SPX\")":1.4444002,"WCC-US^P_BETA_LOCIDX(45919,45747,,\"SPX\")":1.5700153,"CRH-US^P_BETA_LOCIDX(45533,45359,,\"SPX\")":1.4445219,"CRH-US^P_BETA_LOCIDX(45183,45008,,\"SPX\")":1.0231038,"CRH-US^P_BETA_LOCIDX(45351,45176,,\"SPX\")":1.2046798,"CRH-US^P_BETA_LOCIDX(45930,45757,,\"SPX\")":1.3863037,"CRH-US^P_BETA_LOCIDX(45982,45813,,\"SPX\")":1.0776421,"CRH-US^P_BETA_LOCIDX(45412,45236,,\"SPX\")":1.1255054,"CRH-US^P_BETA_LOCIDX(45030,44854,,\"SPX\")":1.135328,"CRH-US^P_BETA_LOCIDX(45873,45699,,\"SPX\")":1.2732589,"CRH-US^P_BETA_LOCIDX(45506,45331,,\"SPX\")":1.3219154,"CRH-US^P_BETA_LOCIDX(45757,45581,,\"SPX\")":1.2556114,"CRH-US^P_BETA_LOCIDX(45240,45068,,\"SPX\")":1.2649453,"CRH-US^P_BETA_LOCIDX(45225,45051,,\"SPX\")":1.2359563,"CRH-US^P_BETA_LOCIDX(45014,44839,,\"SPX\")":1.1779103,"CRH-US^P_BETA_LOCIDX(45834,45657,,\"SPX\")":1.269484,"CRH-US^P_BETA_LOCIDX(45678,45502,,\"SPX\")":1.2313724,"CRH-US^P_BETA_LOCIDX(45552,45377,,\"SPX\")":1.3496414,"CRH-US^P_BETA_LOCIDX(45714,45538,,\"SPX\")":1.0688381,"CRH-US^P_BETA_LOCIDX(45112,44936,,\"SPX\")":1.0259328,"CRH-US^P_BETA_LOCIDX(45078,44902,,\"SPX\")":1.0209008,"CRH-US^P_BETA_LOCIDX(46021,45848,,\"SPX\")":1.1082423,"CRH-US^P_BETA_LOCIDX(45218,45044,,\"SPX\")":1.2221119,"CRH-US^P_BETA_LOCIDX(45414,45238,,\"SPX\")":1.1499484,"CRH-US^P_BETA_LOCIDX(45337,45162,,\"SPX\")":1.2557231,"CRH-US^P_BETA_LOCIDX(45348,45170,,\"SPX\")":1.1969365,"CRH-US^P_BETA_LOCIDX(45925,45751,,\"SPX\")":1.2121625,"CRH-US^P_BETA_LOCIDX(45372,45197,,\"SPX\")":1.2211345,"CRH-US^P_BETA_LOCIDX(45558,45384,,\"SPX\")":1.3736727,"CRH-US^P_BETA_LOCIDX(45622,45449,,\"SPX\")":1.2604331,"CRH-US^P_BETA_LOCIDX(45503,45328,,\"SPX\")":1.2402911,"CRH-US^P_BETA_LOCIDX(45330,45155,,\"SPX\")":1.2269434,"CRH-US^P_BETA_LOCIDX(45849,45674,,\"SPX\")":1.2786847,"CRH-US^P_BETA_LOCIDX(45615,45442,,\"SPX\")":1.251322,"CRH-US^P_BETA_LOCIDX(45582,45408,,\"SPX\")":1.3607997,"CRH-US^P_BETA_LOCIDX(45387,45211,,\"SPX\")":1.1701695,"CRH-US^P_BETA_LOCIDX(44987,44812,,\"SPX\")":1.2454621,"CRH-US^P_BETA_LOCIDX(45909,45736,,\"SPX\")":1.2277306,"CRH-US^P_BETA_LOCIDX(45936,45763,,\"SPX\")":1.3134166,"CRH-US^P_BETA_LOCIDX(45961,45791,,\"SPX\")":1.1411998,"CRH-US^P_BETA_LOCIDX(45989,45820,,\"SPX\")":1.1854112,"CRH-US^P_BETA_LOCIDX(45904,45730,,\"SPX\")":1.2342027,"CRH-US^P_BETA_LOCIDX(45597,45425,,\"SPX\")":1.2878035,"CRH-US^P_BETA_LOCIDX(45505,45330,,\"SPX\")":1.2936913,"CRH-US^P_BETA_LOCIDX(45160,44986,,\"SPX\")":1.0668352,"CRH-US^P_BETA_LOCIDX(45349,45174,,\"SPX\")":1.1964505,"CRH-US^P_BETA_LOCIDX(45908,45734,,\"SPX\")":1.233485,"CRH-US^P_BETA_LOCIDX(45545,45370,,\"SPX\")":1.355443,"CRH-US^P_BETA_LOCIDX(45910,45737,,\"SPX\")":1.2265953,"CRH-US^P_BETA_LOCIDX(45964,45792,,\"SPX\")":1.1400793,"CRH-US^P_BETA_LOCIDX(45993,45824,,\"SPX\")":1.1400934,"CRH-US^P_BETA_LOCIDX(45932,45758,,\"SPX\")":1.3008221,"CRH-US^P_BETA_LOCIDX(45233,45061,,\"SPX\")":1.2379813,"CRH-US^P_BETA_LOCIDX(45833,45656,,\"SPX\")":1.2700185,"CRH-US^P_BETA_LOCIDX(45147,44972,,\"SPX\")":1.0623907,"CRH-US^P_BETA_LOCIDX(45579,45405,,\"SPX\")":1.3845949,"CRH-US^P_BETA_LOCIDX(45041,44865,,\"SPX\")":1.123608,"CRH-US^P_BETA_LOCIDX(45938,45768,,\"SPX\")":1.3913804,"CRH-US^P_BETA_LOCIDX(46021,45853,,\"SPX\")":1.1091973,"CRH-US^P_BETA_LOCIDX(45846,45671,,\"SPX\")":1.2830789,"CRH-US^P_BETA_LOCIDX(45636,45463,,\"SPX\")":1.2628044,"CRH-US^P_BETA_LOCIDX(45280,45107,,\"SPX\")":1.2207875,"CRH-US^P_BETA_LOCIDX(44971,44796,,\"SPX\")":1.208479,"CRH-US^P_BETA_LOCIDX(45693,45517,,\"SPX\")":1.0667881,"CRH-US^P_BETA_LOCIDX(45912,45741,,\"SPX\")":1.2219864,"CRH-US^P_BETA_LOCIDX(45939,45769,,\"SPX\")":1.4268101,"CRH-US^P_BETA_LOCIDX(45966,45796,,\"SPX\")":1.1188762,"CRH-US^P_BETA_LOCIDX(46022,45854,,\"SPX\")":1.1079104,"CRH-US^P_BETA_LOCIDX(45005,44830,,\"SPX\")":1.2154254,"CRH-US^P_BETA_LOCIDX(45758,45582,,\"SPX\")":1.2534299,"CRH-US^P_BETA_LOCIDX(45203,45029,,\"SPX\")":1.0319428,"CRH-US^P_BETA_LOCIDX(45251,45078,,\"SPX\")":1.1545297,"CRH-US^P_BETA_LOCIDX(45267,45093,,\"SPX\")":1.1763699,"CRH-US^P_BETA_LOCIDX(45588,45414,,\"SPX\")":1.3646939,"CRH-US^P_BETA_LOCIDX(45915,45742,,\"SPX\")":1.2209564,"CRH-US^P_BETA_LOCIDX(45995,45826,,\"SPX\")":1.1571763,"CRH-US^P_BETA_LOCIDX(46020,45847,,\"SPX\")":1.1135874,"CRH-US^P_BETA_LOCIDX(45126,44951,,\"SPX\")":1.0805665,"CRH-US^P_BETA_LOCIDX(45954,45783,,\"SPX\")":1.2208827,"CRH-US^P_BETA_LOCIDX(45448,45272,,\"SPX\")":1.2760651,"CRH-US^P_BETA_LOCIDX(45603,45429,,\"SPX\")":1.2598822,"CRH-US^P_BETA_LOCIDX(45862,45688,,\"SPX\")":1.2791624,"CRH-US^P_BETA_LOCIDX(45727,45551,,\"SPX\")":1.268093,"CRH-US^P_BETA_LOCIDX(45940,45770,,\"SPX\")":1.3098342,"CRH-US^P_BETA_LOCIDX(45968,45798,,\"SPX\")":1.0934885,"CRH-US^P_BETA_LOCIDX(46024,45856,,\"SPX\")":1.123775,"CRH-US^P_BETA_LOCIDX(45972,45800,,\"SPX\")":1.070908,"CRH-US^P_BETA_LOCIDX(46028,45860,,\"SPX\")":1.1268582,"CRH-US^P_BETA_LOCIDX(45156,44984,,\"SPX\")":1.0778266,"CRH-US^P_BETA_LOCIDX(45264,45090,,\"SPX\")":1.1661656,"CRH-US^P_BETA_LOCIDX(45450,45274,,\"SPX\")":1.2651378,"CRH-US^P_BETA_LOCIDX(45163,44991,,\"SPX\")":1.0469213,"CRH-US^P_BETA_LOCIDX(45854,45680,,\"SPX\")":1.2712417,"CRH-US^P_BETA_LOCIDX(45744,45568,,\"SPX\")":1.4005665,"CRH-US^P_BETA_LOCIDX(45720,45544,,\"SPX\")":1.1224482,"CRH-US^P_BETA_LOCIDX(45719,45541,,\"SPX\")":1.0209184,"CRH-US^P_BETA_LOCIDX(45965,45792,,\"SPX\")":1.1304411,"CRH-US^P_BETA_LOCIDX(45672,45497,,\"SPX\")":1.2360847,"CRH-US^P_BETA_LOCIDX(45258,45084,,\"SPX\")":1.1475993,"CRH-US^P_BETA_LOCIDX(45194,45019,,\"SPX\")":1.056596,"CRH-US^P_BETA_LOCIDX(45068,44893,,\"SPX\")":0.9495382,"CRH-US^P_BETA_LOCIDX(45084,44908,,\"SPX\")":1.0512515,"CRH-US^P_BETA_LOCIDX(45457,45281,,\"SPX\")":1.2776804,"CRH-US^P_BETA_LOCIDX(45422,45246,,\"SPX\")":1.1939256,"CRH-US^P_BETA_LOCIDX(45159,44985,,\"SPX\")":1.0694027,"CRH-US^P_BETA_LOCIDX(45117,44939,,\"SPX\")":1.0393705,"CRH-US^P_BETA_LOCIDX(45012,44837,,\"SPX\")":1.2116635,"CRH-US^P_BETA_LOCIDX(45874,45700,,\"SPX\")":1.2725192,"CRH-US^P_BETA_LOCIDX(45642,45469,,\"SPX\")":1.2368149,"CRH-US^P_BETA_LOCIDX(45772,45595,,\"SPX\")":1.2515498,"CRH-US^P_BETA_LOCIDX(45918,45747,,\"SPX\")":1.1876134,"CRH-US^P_BETA_LOCIDX(45946,45776,,\"SPX\")":1.2318312,"CRH-US^P_BETA_LOCIDX(46000,45832,,\"SPX\")":1.0916172,"CRH-US^P_BETA_LOCIDX(46029,45861,,\"SPX\")":1.1603193,"CRH-US^P_BETA_LOCIDX(45604,45432,,\"SPX\")":1.2584902,"CRH-US^P_BETA_LOCIDX(45593,45419,,\"SPX\")":1.3486437,"CRH-US^P_BETA_LOCIDX(45065,44890,,\"SPX\")":0.94907564,"CRH-US^P_BETA_LOCIDX(45587,45413,,\"SPX\")":1.3661073,"CRH-US^P_BETA_LOCIDX(45583,45411,,\"SPX\")":1.3545257,"CRH-US^P_BETA_LOCIDX(45967,45796,,\"SPX\")":1.1084607,"CRH-US^P_BETA_LOCIDX(45551,45376,,\"SPX\")":1.3448509,"CRH-US^P_BETA_LOCIDX(45560,45386,,\"SPX\")":1.3736559,"CRH-US^P_BETA_LOCIDX(45602,45428,,\"SPX\")":1.2723447,"CRH-US^P_BETA_LOCIDX(45868,45694,,\"SPX\")":1.2781467,"CRH-US^P_BETA_LOCIDX(45691,45513,,\"SPX\")":1.0583985,"CRH-US^P_BETA_LOCIDX(45573,45399,,\"SPX\")":1.3765285,"CRH-US^P_BETA_LOCIDX(45498,45323,,\"SPX\")":1.2350942,"CRH-US^P_BETA_LOCIDX(45611,45440,,\"SPX\")":1.258147,"CRH-US^P_BETA_LOCIDX(45889,45716,,\"SPX\")":1.2858769,"CRH-US^P_BETA_LOCIDX(45364,45189,,\"SPX\")":1.1649652,"CRH-US^P_BETA_LOCIDX(45754,45576,,\"SPX\")":1.2825809,"CRH-US^P_BETA_LOCIDX(45890,45719,,\"SPX\")":1.2908081,"CRH-US^P_BETA_LOCIDX(45168,44994,,\"SPX\")":1.044829,"CRH-US^P_BETA_LOCIDX(45847,45672,,\"SPX\")":1.2851086,"CRH-US^P_BETA_LOCIDX(44988,44813,,\"SPX\")":1.2328988,"CRH-US^P_BETA_LOCIDX(45973,45804,,\"SPX\")":1.0635575,"CRH-US^P_BETA_LOCIDX(46030,45862,,\"SPX\")":1.154961,"CRH-US^P_BETA_LOCIDX(45762,45586,,\"SPX\")":1.2550012,"CRH-US^P_BETA_LOCIDX(45659,45485,,\"SPX\")":1.2759999,"CRH-US^P_BETA_LOCIDX(45390,45212,,\"SPX\")":1.1573323,"CRH-US^P_BETA_LOCIDX(45119,44944,,\"SPX\")":1.0505004,"CRH-US^P_BETA_LOCIDX(45959,45786,,\"SPX\")":1.1562663,"CRH-US^P_BETA_LOCIDX(45358,45183,,\"SPX\")":1.1861864,"CRH-US^P_BETA_LOCIDX(45274,45103,,\"SPX\")":1.2310659,"CRH-US^P_BETA_LOCIDX(45881,45708,,\"SPX\")":1.2816297,"CRH-US^P_BETA_LOCIDX(45793,45616,,\"SPX\")":1.2704589,"CRH-US^P_BETA_LOCIDX(45608,45434,,\"SPX\")":1.2683691,"CRH-US^P_BETA_LOCIDX(45673,45498,,\"SPX\")":1.2274996,"CRH-US^P_BETA_LOCIDX(45594,45420,,\"SPX\")":1.3493677,"CRH-US^P_BETA_LOCIDX(45937,45763,,\"SPX\")":1.3216112,"CRH-US^P_BETA_LOCIDX(45296,45124,,\"SPX\")":1.2070115,"CRH-US^P_BETA_LOCIDX(45652,45481,,\"SPX\")":1.2438085,"CRH-US^P_BETA_LOCIDX(45282,45112,,\"SPX\")":1.2292613,"CRH-US^P_BETA_LOCIDX(45271,45098,,\"SPX\")":1.1871988,"CRH-US^P_BETA_LOCIDX(45307,45132,,\"SPX\")":1.2617711,"CRH-US^P_BETA_LOCIDX(45919,45748,,\"SPX\")":1.1890059,"CRH-US^P_BETA_LOCIDX(45947,45777,,\"SPX\")":1.2324361,"CRH-US^P_BETA_LOCIDX(46001,45833,,\"SPX\")":1.087233,"CRH-US^P_BETA_LOCIDX(45376,45201,,\"SPX\")":1.2031254,"CRH-US^P_BETA_LOCIDX(45734,45558,,\"SPX\")":1.2957746,"CRH-US^P_BETA_LOCIDX(44970,44795,,\"SPX\")":1.2150537,"CRH-US^P_BETA_LOCIDX(45581,45407,,\"SPX\")":1.3618298,"CRH-US^P_BETA_LOCIDX(45070,44895,,\"SPX\")":0.95411414,"CRH-US^P_BETA_LOCIDX(45945,45772,,\"SPX\")":1.2252338,"CRH-US^P_BETA_LOCIDX(45215,45041,,\"SPX\")":1.0873111,"CRH-US^P_BETA_LOCIDX(45824,45645,,\"SPX\")":1.2585326,"CRH-US^P_BETA_LOCIDX(46003,45833,,\"SPX\")":1.0782889,"CRH-US^P_BETA_LOCIDX(45715,45539,,\"SPX\")":1.0284317,"CRH-US^P_BETA_LOCIDX(45845,45670,,\"SPX\")":1.283162,"CRH-US^P_BETA_LOCIDX(44991,44816,,\"SPX\")":1.2318171,"CRH-US^P_BETA_LOCIDX(45576,45404,,\"SPX\")":1.3835617,"CRH-US^P_BETA_LOCIDX(45538,45363,,\"SPX\")":1.4541324,"CRH-US^P_BETA_LOCIDX(45373,45198,,\"SPX\")":1.2261469,"CRH-US^P_BETA_LOCIDX(45392,45216,,\"SPX\")":1.1393741,"CRH-US^P_BETA_LOCIDX(45546,45371,,\"SPX\")":1.3354571,"CRH-US^P_BETA_LOCIDX(45922,45749,,\"SPX\")":1.1895698,"CRH-US^P_BETA_LOCIDX(45974,45805,,\"SPX\")":1.1090814,"CRH-US^P_BETA_LOCIDX(46031,45863,,\"SPX\")":1.1998643,"CRH-US^P_BETA_LOCIDX(45863,45691,,\"SPX\")":1.2821358,"CRH-US^P_BETA_LOCIDX(45436,45261,,\"SPX\")":1.32458,"CRH-US^P_BETA_LOCIDX(45429,45254,,\"SPX\")":1.3196088,"CRH-US^P_BETA_LOCIDX(45639,45468,,\"SPX\")":1.231022,"CRH-US^P_BETA_LOCIDX(45986,45814,,\"SPX\")":1.1476933,"CRH-US^P_BETA_LOCIDX(45217,45043,,\"SPX\")":1.1610416,"CRH-US^P_BETA_LOCIDX(45022,44847,,\"SPX\")":1.1775161,"CRH-US^P_BETA_LOCIDX(45407,45231,,\"SPX\")":1.1061383,"CRH-US^P_BETA_LOCIDX(45425,45247,,\"SPX\")":1.1993669,"CRH-US^P_BETA_LOCIDX(45127,44952,,\"SPX\")":1.0688523,"CRH-US^P_BETA_LOCIDX(45488,45313,,\"SPX\")":1.1375971,"CRH-US^P_BETA_LOCIDX(45483,45308,,\"SPX\")":1.2034687,"CRH-US^P_BETA_LOCIDX(45471,45296,,\"SPX\")":1.2629406,"CRH-US^P_BETA_LOCIDX(45995,45824,,\"SPX\")":1.1460917,"CRH-US^P_BETA_LOCIDX(45302,45128,,\"SPX\")":1.2495861,"CRH-US^P_BETA_LOCIDX(45903,45729,,\"SPX\")":1.2501596,"CRH-US^P_BETA_LOCIDX(45118,44943,,\"SPX\")":1.0452074,"CRH-US^P_BETA_LOCIDX(45338,45163,,\"SPX\")":1.230267,"CRH-US^P_BETA_LOCIDX(45442,45266,,\"SPX\")":1.2661607,"CRH-US^P_BETA_LOCIDX(45910,45736,,\"SPX\")":1.2278353,"CRH-US^P_BETA_LOCIDX(45016,44841,,\"SPX\")":1.1619811,"CRH-US^P_BETA_LOCIDX(45950,45778,,\"SPX\")":1.212934,"CRH-US^P_BETA_LOCIDX(45968,45797,,\"SPX\")":1.1076082,"CRH-US^P_BETA_LOCIDX(45747,45569,,\"SPX\")":1.3939159,"CRH-US^P_BETA_LOCIDX(45547,45372,,\"SPX\")":1.337734,"CRH-US^P_BETA_LOCIDX(45660,45488,,\"SPX\")":1.2677768,"CRH-US^P_BETA_LOCIDX(45960,45789,,\"SPX\")":1.1577036,"CRH-US^P_BETA_LOCIDX(45209,45035,,\"SPX\")":1.0425444,"CRH-US^P_BETA_LOCIDX(45750,45574,,\"SPX\")":1.3427843,"CRH-US^P_BETA_LOCIDX(45315,45140,,\"SPX\")":1.2383739,"CRH-US^P_BETA_LOCIDX(45859,45685,,\"SPX\")":1.2707196,"CRH-US^P_BETA_LOCIDX(46002,45834,,\"SPX\")":1.0826775,"CRH-US^P_BETA_LOCIDX(45566,45392,,\"SPX\")":1.3850803,"CRH-US^P_BETA_LOCIDX(46000,45828,,\"SPX\")":1.1093367,"CRH-US^P_BETA_LOCIDX(45077,44901,,\"SPX\")":1.0073582,"CRH-US^P_BETA_LOCIDX(45492,45317,,\"SPX\")":1.1643167,"CRH-US^P_BETA_LOCIDX(44967,44792,,\"SPX\")":1.213911,"CRH-US^P_BETA_LOCIDX(45219,45047,,\"SPX\")":1.1940968,"CRH-US^P_BETA_LOCIDX(45460,45282,,\"SPX\")":1.291125,"CRH-US^P_BETA_LOCIDX(45674,45499,,\"SPX\")":1.2389473,"CRH-US^P_BETA_LOCIDX(45295,45121,,\"SPX\")":1.2046822,"CRH-US^P_BETA_LOCIDX(45534,45362,,\"SPX\")":1.4537016,"CRH-US^P_BETA_LOCIDX(45167,44993,,\"SPX\")":1.0494716,"CRH-US^P_BETA_LOCIDX(45161,44987,,\"SPX\")":1.0712407,"CRH-US^P_BETA_LOCIDX(45027,44851,,\"SPX\")":1.1661155,"CRH-US^P_BETA_LOCIDX(45924,45751,,\"SPX\")":1.2117052,"CRH-US^P_BETA_LOCIDX(45975,45806,,\"SPX\")":1.0767213,"CRH-US^P_BETA_LOCIDX(46003,45835,,\"SPX\")":1.0804046,"CRH-US^P_BETA_LOCIDX(46034,45866,,\"SPX\")":1.1863252,"CRH-US^P_BETA_LOCIDX(45476,45301,,\"SPX\")":1.2158258,"CRH-US^P_BETA_LOCIDX(45966,45793,,\"SPX\")":1.1225258,"CRH-US^P_BETA_LOCIDX(45882,45709,,\"SPX\")":1.2777334,"CRH-US^P_BETA_LOCIDX(45987,45817,,\"SPX\")":1.1923795,"CRH-US^P_BETA_LOCIDX(45713,45534,,\"SPX\")":1.0900859,"CRH-US^P_BETA_LOCIDX(46006,45834,,\"SPX\")":1.0694807,"CRH-US^P_BETA_LOCIDX(45273,45100,,\"SPX\")":1.2221043,"CRH-US^P_BETA_LOCIDX(45614,45441,,\"SPX\")":1.2584747,"CRH-US^P_BETA_LOCIDX(45026,44848,,\"SPX\")":1.1781477,"CRH-US^P_BETA_LOCIDX(45524,45350,,\"SPX\")":1.465975,"CRH-US^P_BETA_LOCIDX(45797,45618,,\"SPX\")":1.2730572,"CRH-US^P_BETA_LOCIDX(45825,45646,,\"SPX\")":1.2573684,"CRH-US^P_BETA_LOCIDX(45751,45575,,\"SPX\")":1.28267,"CRH-US^P_BETA_LOCIDX(44960,44785,,\"SPX\")":1.21104,"CRH-US^P_BETA_LOCIDX(45896,45723,,\"SPX\")":1.2505145,"CRH-US^P_BETA_LOCIDX(45981,45811,,\"SPX\")":1.0650162,"CRH-US^P_BETA_LOCIDX(45224,45050,,\"SPX\")":1.1917362,"CRH-US^P_BETA_LOCIDX(45523,45349,,\"SPX\")":1.4668175,"CRH-US^P_BETA_LOCIDX(45657,45484,,\"SPX\")":1.2379225,"CRH-US^P_BETA_LOCIDX(45805,45628,,\"SPX\")":1.2667227,"CRH-US^P_BETA_LOCIDX(45931,45757,,\"SPX\")":1.3853129,"CRH-US^P_BETA_LOCIDX(45650,45478,,\"SPX\")":1.2418287,"CRH-US^P_BETA_LOCIDX(45852,45678,,\"SPX\")":1.2750276,"CRH-US^P_BETA_LOCIDX(45499,45324,,\"SPX\")":1.245322,"CRH-US^P_BETA_LOCIDX(45694,45518,,\"SPX\")":1.0784501,"CRH-US^P_BETA_LOCIDX(45420,45244,,\"SPX\")":1.1406072,"CRH-US^P_BETA_LOCIDX(45288,45117,,\"SPX\")":1.2038382,"CRH-US^P_BETA_LOCIDX(45320,45145,,\"SPX\")":1.2635508,"CRH-US^P_BETA_LOCIDX(45838,45660,,\"SPX\")":1.2741203,"CRH-US^P_BETA_LOCIDX(45057,44881,,\"SPX\")":0.94783276,"CRH-US^P_BETA_LOCIDX(45729,45553,,\"SPX\")":1.3165526,"CRH-US^P_BETA_LOCIDX(45712,45533,,\"SPX\")":1.0921973,"CRH-US^P_BETA_LOCIDX(45951,45779,,\"SPX\")":1.2100611,"CRH-US^P_BETA_LOCIDX(46006,45838,,\"SPX\")":1.0618521,"CRH-US^P_BETA_LOCIDX(45565,45391,,\"SPX\")":1.3751018,"CRH-US^P_BETA_LOCIDX(45853,45679,,\"SPX\")":1.2736784,"CRH-US^P_BETA_LOCIDX(45086,44910,,\"SPX\")":1.053611,"CRH-US^P_BETA_LOCIDX(45154,44980,,\"SPX\")":1.0715562,"CRH-US^P_BETA_LOCIDX(45569,45397,,\"SPX\")":1.4132462,"CRH-US^P_BETA_LOCIDX(45973,45800,,\"SPX\")":1.070107,"CRH-US^P_BETA_LOCIDX(45860,45686,,\"SPX\")":1.2759197,"CRH-US^P_BETA_LOCIDX(45831,45652,,\"SPX\")":1.2671096,"CRH-US^P_BETA_LOCIDX(45887,45714,,\"SPX\")":1.2804137,"CRH-US^P_BETA_LOCIDX(46007,45835,,\"SPX\")":1.0788438,"CRH-US^P_BETA_LOCIDX(45923,45750,,\"SPX\")":1.1868906,"CRH-US^P_BETA_LOCIDX(45945,45775,,\"SPX\")":1.2227421,"CRH-US^P_BETA_LOCIDX(45967,45797,,\"SPX\")":1.1083454,"CRH-US^P_BETA_LOCIDX(45992,45821,,\"SPX\")":1.1770445,"CRH-US^P_BETA_LOCIDX(46014,45846,,\"SPX\")":1.1062016,"CRH-US^P_BETA_LOCIDX(46038,45870,,\"SPX\")":1.2229832,"CRH-US^P_BETA_LOCIDX(45698,45520,,\"SPX\")":1.0584093,"CRH-US^P_BETA_LOCIDX(45495,45320,,\"SPX\")":1.1832677,"CRH-US^P_BETA_LOCIDX(44994,44819,,\"SPX\")":1.2294842,"CRH-US^P_BETA_LOCIDX(45512,45337,,\"SPX\")":1.3917531,"CRH-US^P_BETA_LOCIDX(45061,44883,,\"SPX\")":0.94586307,"CRH-US^P_BETA_LOCIDX(45090,44914,,\"SPX\")":1.041338,"CRH-US^P_BETA_LOCIDX(45497,45322,,\"SPX\")":1.2001628,"CRH-US^P_BETA_LOCIDX(45064,44888,,\"SPX\")":0.9532054,"CRH-US^P_BETA_LOCIDX(45532,45358,,\"SPX\")":1.428039,"CRH-US^P_BETA_LOCIDX(45247,45076,,\"SPX\")":1.2160203,"CRH-US^P_BETA_LOCIDX(45071,44896,,\"SPX\")":1.0089326,"CRH-US^P_BETA_LOCIDX(45384,45208,,\"SPX\")":1.1695601,"CRH-US^P_BETA_LOCIDX(45944,45771,,\"SPX\")":1.275456,"CRH-US^P_BETA_LOCIDX(45708,45531,,\"SPX\")":1.0830516,"CRH-US^P_BETA_LOCIDX(45237,45063,,\"SPX\")":1.2382343,"CRH-US^P_BETA_LOCIDX(45120,44945,,\"SPX\")":1.0564581,"CRH-US^P_BETA_LOCIDX(45888,45715,,\"SPX\")":1.2771695,"CRH-US^P_BETA_LOCIDX(45093,44917,,\"SPX\")":1.0503072,"CRH-US^P_BETA_LOCIDX(45278,45105,,\"SPX\")":1.2013808,"CRH-US^P_BETA_LOCIDX(45352,45177,,\"SPX\")":1.1845012,"CRH-US^P_BETA_LOCIDX(45743,45567,,\"SPX\")":1.3680358,"CRH-US^P_BETA_LOCIDX(45749,45573,,\"SPX\")":1.4178003,"CRH-US^P_BETA_LOCIDX(45322,45147,,\"SPX\")":1.2235742,"CRH-US^P_BETA_LOCIDX(44995,44820,,\"SPX\")":1.2313502,"CRH-US^P_BETA_LOCIDX(45930,45756,,\"SPX\")":1.2589328,"CRH-US^P_BETA_LOCIDX(45835,45659,,\"SPX\")":1.27409,"CRH-US^P_BETA_LOCIDX(45317,45142,,\"SPX\")":1.2540414,"CRH-US^P_BETA_LOCIDX(45994,45821,,\"SPX\")":1.1800507,"CRH-US^P_BETA_LOCIDX(45222,45048,,\"SPX\")":1.194343,"CRH-US^P_BETA_LOCIDX(45957,45784,,\"SPX\")":1.152565,"CRH-US^P_BETA_LOCIDX(45875,45701,,\"SPX\")":1.2714416,"CRH-US^P_BETA_LOCIDX(45266,45092,,\"SPX\")":1.1646327,"CRH-US^P_BETA_LOCIDX(45618,45447,,\"SPX\")":1.2648726,"CRH-US^P_BETA_LOCIDX(45702,45526,,\"SPX\")":1.0605674,"CRH-US^P_BETA_LOCIDX(45265,45091,,\"SPX\")":1.1677773,"CRH-US^P_BETA_LOCIDX(45909,45735,,\"SPX\")":1.2331374,"CRH-US^P_BETA_LOCIDX(45530,45356,,\"SPX\")":1.4469777,"CRH-US^P_BETA_LOCIDX(45516,45342,,\"SPX\")":1.404328,"CRH-US^P_BETA_LOCIDX(45866,45692,,\"SPX\")":1.2803131,"CRH-US^P_BETA_LOCIDX(46035,45861,,\"SPX\")":1.216635,"CRH-US^P_BETA_LOCIDX(46028,45854,,\"SPX\")":1.1115065,"CRH-US^P_BETA_LOCIDX(45029,44853,,\"SPX\")":1.1384214,"CRH-US^P_BETA_LOCIDX(45131,44956,,\"SPX\")":1.06807,"CRH-US^P_BETA_LOCIDX(45943,45770,,\"SPX\")":1.2938459,"CRH-US^P_BETA_LOCIDX(45861,45687,,\"SPX\")":1.2792962,"CRH-US^P_BETA_LOCIDX(45205,45033,,\"SPX\")":1.0430025,"CRH-US^P_BETA_LOCIDX(45756,45580,,\"SPX\")":1.2213948,"CRH-US^P_BETA_LOCIDX(45056,44880,,\"SPX\")":0.94906306,"CRH-US^P_BETA_LOCIDX(45985,45813,,\"SPX\")":1.0903139,"CRH-US^P_BETA_LOCIDX(45490,45315,,\"SPX\")":1.1879208,"CRH-US^P_BETA_LOCIDX(44965,44790,,\"SPX\")":1.2209847,"CRH-US^P_BETA_LOCIDX(45518,45344,,\"SPX\")":1.4000049,"CRH-US^P_BETA_LOCIDX(45482,45307,,\"SPX\")":1.2116297,"CRH-US^P_BETA_LOCIDX(45048,44872,,\"SPX\")":1.0697771,"CRH-US^P_BETA_LOCIDX(45561,45387,,\"SPX\")":1.3849826,"CRH-US^P_BETA_LOCIDX(45840,45664,,\"SPX\")":1.2787681,"CRH-US^P_BETA_LOCIDX(45526,45352,,\"SPX\")":1.421706,"CRH-US^P_BETA_LOCIDX(45464,45288,,\"SPX\")":1.2999384,"CRH-US^P_BETA_LOCIDX(45236,45062,,\"SPX\")":1.237774,"CRH-US^P_BETA_LOCIDX(45138,44963,,\"SPX\")":1.0538392,"CRH-US^P_BETA_LOCIDX(45162,44988,,\"SPX\")":1.0067326,"CRH-US^P_BETA_LOCIDX(45644,45471,,\"SPX\")":1.2436353,"CRH-US^P_BETA_LOCIDX(44992,44817,,\"SPX\")":1.2217749,"CRH-US^P_BETA_LOCIDX(45880,45707,,\"SPX\")":1.2676158,"CRH-US^P_BETA_LOCIDX(44986,44811,,\"SPX\")":1.2196034,"CRH-US^P_BETA_LOCIDX(45989,45818,,\"SPX\")":1.1890173,"CRH-US^P_BETA_LOCIDX(46009,45839,,\"SPX\")":1.139518,"CRH-US^P_BETA_LOCIDX(45820,45643,,\"SPX\")":1.2547206,"CRH-US^P_BETA_LOCIDX(44979,44803,,\"SPX\")":1.2104304,"CRH-US^P_BETA_LOCIDX(45812,45635,,\"SPX\")":1.2638359,"CRH-US^P_BETA_LOCIDX(45531,45357,,\"SPX\")":1.4341859,"CRH-US^P_BETA_LOCIDX(45811,45632,,\"SPX\")":1.2637653,"CRH-US^P_BETA_LOCIDX(46036,45862,,\"SPX\")":1.253867,"CRH-US^P_BETA_LOCIDX(45475,45300,,\"SPX\")":1.2037605,"CRH-US^P_BETA_LOCIDX(45379,45204,,\"SPX\")":1.1654608,"CRH-US^P_BETA_LOCIDX(45898,45727,,\"SPX\")":1.2466087,"CRH-US^P_BETA_LOCIDX(45798,45621,,\"SPX\")":1.2704287,"CRH-US^P_BETA_LOCIDX(45810,45631,,\"SPX\")":1.2649276,"CRH-US^P_BETA_LOCIDX(45559,45385,,\"SPX\")":1.3762084,"CRH-US^P_BETA_LOCIDX(45231,45057,,\"SPX\")":1.3209192,"CRH-US^P_BETA_LOCIDX(45002,44827,,\"SPX\")":1.2291298,"CRH-US^P_BETA_LOCIDX(45184,45009,,\"SPX\")":1.0385938,"CRH-US^P_BETA_LOCIDX(45415,45239,,\"SPX\")":1.1422755,"CRH-US^P_BETA_LOCIDX(45097,44918,,\"SPX\")":1.0582262,"CRH-US^P_BETA_LOCIDX(45926,45754,,\"SPX\")":1.2443094,"CRH-US^P_BETA_LOCIDX(45595,45421,,\"SPX\")":1.3374953,"CRH-US^P_BETA_LOCIDX(45058,44882,,\"SPX\")":0.9454408,"CRH-US^P_BETA_LOCIDX(45268,45097,,\"SPX\")":1.1881175,"CRH-US^P_BETA_LOCIDX(45755,45579,,\"SPX\")":1.2723222,"CRH-US^P_BETA_LOCIDX(45244,45070,,\"SPX\")":1.1956869,"CRH-US^P_BETA_LOCIDX(45828,45650,,\"SPX\")":1.2612481,"CRH-US^P_BETA_LOCIDX(45019,44844,,\"SPX\")":1.1592957,"CRH-US^P_BETA_LOCIDX(45054,44876,,\"SPX\")":0.9789685,"CRH-US^P_BETA_LOCIDX(45789,45610,,\"SPX\")":1.2714424,"CRH-US^P_BETA_LOCIDX(45971,45798,,\"SPX\")":1.0720739,"CRH-US^P_BETA_LOCIDX(46002,45832,,\"SPX\")":1.0961792,"CRH-US^P_BETA_LOCIDX(45091,44915,,\"SPX\")":1.0517458,"CRH-US^P_BETA_LOCIDX(45174,44999,,\"SPX\")":1.0608333,"CRH-US^P_BETA_LOCIDX(45146,44971,,\"SPX\")":1.0515409,"WCC-US^P_BETA_LOCIDX(45201,45027,,\"SPX\")":1.8664862,"WCC-US^P_BETA_LOCIDX(45750,45574,,\"SPX\")":1.8175014,"WCC-US^P_BETA_LOCIDX(45352,45177,,\"SPX\")":2.429819,"WCC-US^P_BETA_LOCIDX(45323,45148,,\"SPX\")":1.6540444,"WCC-US^P_BETA_LOCIDX(45845,45670,,\"SPX\")":1.6109542,"WCC-US^P_BETA_LOCIDX(45455,45279,,\"SPX\")":2.4915202,"WCC-US^P_BETA_LOCIDX(45611,45440,,\"SPX\")":1.6283478,"WCC-US^P_BETA_LOCIDX(45006,44831,,\"SPX\")":1.4436017,"WCC-US^P_BETA_LOCIDX(45973,45800,,\"SPX\")":1.4310662,"WCC-US^P_BETA_LOCIDX(45145,44970,,\"SPX\")":2.0317395,"WCC-US^P_BETA_LOCIDX(45702,45526,,\"SPX\")":1.5723176,"WCC-US^P_BETA_LOCIDX(45222,45048,,\"SPX\")":2.1353972,"WCC-US^P_BETA_LOCIDX(45650,45478,,\"SPX\")":1.656507,"WCC-US^P_BETA_LOCIDX(45989,45818,,\"SPX\")":1.5162756,"WCC-US^P_BETA_LOCIDX(45628,45454,,\"SPX\")":1.6096319,"WCC-US^P_BETA_LOCIDX(45516,45342,,\"SPX\")":1.634206,"WCC-US^P_BETA_LOCIDX(45166,44992,,\"SPX\")":2.097113,"WCC-US^P_BETA_LOCIDX(46014,45842,,\"SPX\")":1.6260579,"WCC-US^P_BETA_LOCIDX(45496,45321,,\"SPX\")":2.4875414,"WCC-US^P_BETA_LOCIDX(45701,45525,,\"SPX\")":1.5812984,"WCC-US^P_BETA_LOCIDX(45996,45825,,\"SPX\")":1.5042348,"WCC-US^P_BETA_LOCIDX(45237,45063,,\"SPX\")":1.8691112,"WCC-US^P_BETA_LOCIDX(45069,44894,,\"SPX\")":1.6676526,"WCC-US^P_BETA_LOCIDX(45678,45502,,\"SPX\")":1.5410546,"WCC-US^P_BETA_LOCIDX(45873,45699,,\"SPX\")":1.6114734,"WCC-US^P_BETA_LOCIDX(46024,45852,,\"SPX\")":1.6481557,"WCC-US^P_BETA_LOCIDX(45436,45261,,\"SPX\")":2.480262,"WCC-US^P_BETA_LOCIDX(45644,45471,,\"SPX\")":1.668605,"WCC-US^P_BETA_LOCIDX(45674,45499,,\"SPX\")":1.5214089,"WCC-US^P_BETA_LOCIDX(46058,45883,,\"SPX\")":1.5974506,"WCC-US^P_BETA_LOCIDX(45762,45586,,\"SPX\")":1.5914382,"WCC-US^P_BETA_LOCIDX(45471,45296,,\"SPX\")":2.494084,"WCC-US^P_BETA_LOCIDX(45615,45442,,\"SPX\")":1.5904111,"WCC-US^P_BETA_LOCIDX(45987,45817,,\"SPX\")":1.5154393,"WCC-US^P_BETA_LOCIDX(45527,45355,,\"SPX\")":1.6639004,"WCC-US^P_BETA_LOCIDX(45972,45799,,\"SPX\")":1.4364243,"WCC-US^P_BETA_LOCIDX(45546,45371,,\"SPX\")":1.7104125,"WCC-US^P_BETA_LOCIDX(45195,45020,,\"SPX\")":1.9068215,"WCC-US^P_BETA_LOCIDX(45400,45224,,\"SPX\")":2.3174195,"WCC-US^P_BETA_LOCIDX(46078,45903,,\"SPX\")":1.6180214,"WCC-US^P_BETA_LOCIDX(45282,45112,,\"SPX\")":1.6088413,"WCC-US^P_BETA_LOCIDX(45924,45750,,\"SPX\")":1.5675021,"WCC-US^P_BETA_LOCIDX(45533,45359,,\"SPX\")":1.6879297,"WCC-US^P_BETA_LOCIDX(45947,45776,,\"SPX\")":1.7970551,"WCC-US^P_BETA_LOCIDX(45525,45351,,\"SPX\")":1.6676226,"WCC-US^P_BETA_LOCIDX(45012,44837,,\"SPX\")":1.4784985,"WCC-US^P_BETA_LOCIDX(45763,45587,,\"SPX\")":1.5738664,"WCC-US^P_BETA_LOCIDX(45552,45377,,\"SPX\")":1.7133483,"WCC-US^P_BETA_LOCIDX(45362,45187,,\"SPX\")":2.4212499,"WCC-US^P_BETA_LOCIDX(45300,45126,,\"SPX\")":1.6781824,"WCC-US^P_BETA_LOCIDX(45979,45807,,\"SPX\")":1.560907,"WCC-US^P_BETA_LOCIDX(45755,45579,,\"SPX\")":1.5992565,"WCC-US^P_BETA_LOCIDX(46002,45832,,\"SPX\")":1.5349922,"WCC-US^P_BETA_LOCIDX(46021,45848,,\"SPX\")":1.6374538,"WCC-US^P_BETA_LOCIDX(45022,44847,,\"SPX\")":1.5245754,"WCC-US^P_BETA_LOCIDX(46065,45890,,\"SPX\")":1.6488979,"WCC-US^P_BETA_LOCIDX(45502,45327,,\"SPX\")":2.4386032,"WCC-US^P_BETA_LOCIDX(45092,44916,,\"SPX\")":1.9696586,"WCC-US^P_BETA_LOCIDX(45790,45611,,\"SPX\")":1.596511,"WCC-US^P_BETA_LOCIDX(45089,44911,,\"SPX\")":1.91214,"WCC-US^P_BETA_LOCIDX(45420,45244,,\"SPX\")":2.4811087,"WCC-US^P_BETA_LOCIDX(45250,45077,,\"SPX\")":1.6785958,"WCC-US^P_BETA_LOCIDX(45180,45005,,\"SPX\")":2.0308905,"WCC-US^P_BETA_LOCIDX(45027,44851,,\"SPX\")":1.4986299,"WCC-US^P_BETA_LOCIDX(45939,45768,,\"SPX\")":1.7145252,"WCC-US^P_BETA_LOCIDX(45314,45139,,\"SPX\")":1.6777712,"WCC-US^P_BETA_LOCIDX(45016,44841,,\"SPX\")":1.4889733,"WCC-US^P_BETA_LOCIDX(45622,45449,,\"SPX\")":1.6057533,"WCC-US^P_BETA_LOCIDX(44986,44811,,\"SPX\")":1.3767757,"WCC-US^P_BETA_LOCIDX(45103,44925,,\"SPX\")":1.8932759,"WCC-US^P_BETA_LOCIDX(44959,44784,,\"SPX\")":1.3953829,"WCC-US^P_BETA_LOCIDX(45287,45114,,\"SPX\")":1.6104934,"WCC-US^P_BETA_LOCIDX(45800,45623,,\"SPX\")":1.5958529,"WCC-US^P_BETA_LOCIDX(45021,44846,,\"SPX\")":1.5312843,"WCC-US^P_BETA_LOCIDX(45126,44951,,\"SPX\")":1.9513998,"WCC-US^P_BETA_LOCIDX(45504,45329,,\"SPX\")":2.3947842,"WCC-US^P_BETA_LOCIDX(45604,45432,,\"SPX\")":1.6420593,"WCC-US^P_BETA_LOCIDX(45783,45604,,\"SPX\")":1.579256,"WCC-US^P_BETA_LOCIDX(45134,44959,,\"SPX\")":1.9315196,"WCC-US^P_BETA_LOCIDX(45149,44974,,\"SPX\")":2.0616927,"WCC-US^P_BETA_LOCIDX(45240,45068,,\"SPX\")":1.8041105,"WCC-US^P_BETA_LOCIDX(45922,45748,,\"SPX\")":1.573175,"WCC-US^P_BETA_LOCIDX(45852,45678,,\"SPX\")":1.6377407,"WCC-US^P_BETA_LOCIDX(44999,44824,,\"SPX\")":1.4250302,"WCC-US^P_BETA_LOCIDX(45757,45581,,\"SPX\")":1.6093645,"WCC-US^P_BETA_LOCIDX(45748,45572,,\"SPX\")":1.6447507,"WCC-US^P_BETA_LOCIDX(44981,44805,,\"SPX\")":1.369342,"WCC-US^P_BETA_LOCIDX(45880,45707,,\"SPX\")":1.6131424,"WCC-US^P_BETA_LOCIDX(45896,45723,,\"SPX\")":1.596582,"WCC-US^P_BETA_LOCIDX(45727,45551,,\"SPX\")":1.6343696,"WCC-US^P_BETA_LOCIDX(44994,44819,,\"SPX\")":1.4191524,"WCC-US^P_BETA_LOCIDX(45280,45107,,\"SPX\")":1.6032727,"WCC-US^P_BETA_LOCIDX(46059,45884,,\"SPX\")":1.6538326,"WCC-US^P_BETA_LOCIDX(45513,45338,,\"SPX\")":1.6357623,"WCC-US^P_BETA_LOCIDX(45687,45511,,\"SPX\")":1.5899863,"WCC-US^P_BETA_LOCIDX(45635,45461,,\"SPX\")":1.6262755,"WCC-US^P_BETA_LOCIDX(45715,45539,,\"SPX\")":1.5436382,"WCC-US^P_BETA_LOCIDX(45685,45509,,\"SPX\")":1.5050555,"WCC-US^P_BETA_LOCIDX(45398,45222,,\"SPX\")":2.3064678,"WCC-US^P_BETA_LOCIDX(45693,45517,,\"SPX\")":1.5920533,"WCC-US^P_BETA_LOCIDX(45363,45188,,\"SPX\")":2.4266682,"WCC-US^P_BETA_LOCIDX(45826,45649,,\"SPX\")":1.5867984,"WCC-US^P_BETA_LOCIDX(45665,45491,,\"SPX\")":1.5881547,"WCC-US^P_BETA_LOCIDX(45859,45685,,\"SPX\")":1.6073142,"WCC-US^P_BETA_LOCIDX(45084,44908,,\"SPX\")":1.8982009,"WCC-US^P_BETA_LOCIDX(45832,45653,,\"SPX\")":1.5931064,"WCC-US^P_BETA_LOCIDX(45499,45324,,\"SPX\")":2.4722266,"WCC-US^P_BETA_LOCIDX(45966,45793,,\"SPX\")":1.5237888,"WCC-US^P_BETA_LOCIDX(45065,44890,,\"SPX\")":1.6642668,"WCC-US^P_BETA_LOCIDX(45940,45769,,\"SPX\")":1.8020757,"WCC-US^P_BETA_LOCIDX(45412,45236,,\"SPX\")":2.3735063,"WCC-US^P_BETA_LOCIDX(45013,44838,,\"SPX\")":1.4882637,"WCC-US^P_BETA_LOCIDX(44964,44789,,\"SPX\")":1.3837155,"WCC-US^P_BETA_LOCIDX(45345,45169,,\"SPX\")":2.4222248,"WCC-US^P_BETA_LOCIDX(45910,45736,,\"SPX\")":1.5850958,"WCC-US^P_BETA_LOCIDX(46070,45894,,\"SPX\")":1.5950423,"WCC-US^P_BETA_LOCIDX(44963,44788,,\"SPX\")":1.3898816,"WCC-US^P_BETA_LOCIDX(45348,45170,,\"SPX\")":2.4197807,"WCC-US^P_BETA_LOCIDX(45198,45026,,\"SPX\")":1.8676258,"WCC-US^P_BETA_LOCIDX(45572,45398,,\"SPX\")":1.7455697,"WCC-US^P_BETA_LOCIDX(45770,45593,,\"SPX\")":1.5657382,"WCC-US^P_BETA_LOCIDX(45786,45609,,\"SPX\")":1.5815653,"WCC-US^P_BETA_LOCIDX(45211,45037,,\"SPX\")":1.964159,"WCC-US^P_BETA_LOCIDX(45505,45330,,\"SPX\")":2.5255356,"WCC-US^P_BETA_LOCIDX(45247,45076,,\"SPX\")":1.6820108,"WCC-US^P_BETA_LOCIDX(45713,45534,,\"SPX\")":1.6599762,"WCC-US^P_BETA_LOCIDX(45754,45576,,\"SPX\")":1.6110951,"WCC-US^P_BETA_LOCIDX(45243,45069,,\"SPX\")":1.8043741,"WCC-US^P_BETA_LOCIDX(45980,45810,,\"SPX\")":1.5598199,"WCC-US^P_BETA_LOCIDX(46030,45856,,\"SPX\")":1.7118286,"WCC-US^P_BETA_LOCIDX(45637,45464,,\"SPX\")":1.6225739,"WCC-US^P_BETA_LOCIDX(45824,45645,,\"SPX\")":1.5834777,"WCC-US^P_BETA_LOCIDX(45747,45569,,\"SPX\")":1.6325635,"WCC-US^P_BETA_LOCIDX(45321,45146,,\"SPX\")":1.6972599,"WCC-US^P_BETA_LOCIDX(45744,45568,,\"SPX\")":1.6438606,"WCC-US^P_BETA_LOCIDX(45723,45547,,\"SPX\")":1.633507,"WCC-US^P_BETA_LOCIDX(45673,45498,,\"SPX\")":1.5287355,"WCC-US^P_BETA_LOCIDX(45440,45264,,\"SPX\")":2.462166,"WCC-US^P_BETA_LOCIDX(46006,45834,,\"SPX\")":1.6276169,"WCC-US^P_BETA_LOCIDX(45355,45180,,\"SPX\")":2.4304624,"WCC-US^P_BETA_LOCIDX(45121,44946,,\"SPX\")":1.9265252,"WCC-US^P_BETA_LOCIDX(45884,45713,,\"SPX\")":1.6036259,"WCC-US^P_BETA_LOCIDX(45163,44991,,\"SPX\")":2.0892348,"WCC-US^P_BETA_LOCIDX(45967,45796,,\"SPX\")":1.4830191,"WCC-US^P_BETA_LOCIDX(45630,45456,,\"SPX\")":1.6074429,"WCC-US^P_BETA_LOCIDX(46050,45875,,\"SPX\")":1.6530248,"WCC-US^P_BETA_LOCIDX(45581,45407,,\"SPX\")":1.7802893,"WCC-US^P_BETA_LOCIDX(45252,45079,,\"SPX\")":1.6762348,"WCC-US^P_BETA_LOCIDX(45299,45125,,\"SPX\")":1.6896877,"WCC-US^P_BETA_LOCIDX(46064,45889,,\"SPX\")":1.6530362,"WCC-US^P_BETA_LOCIDX(45853,45679,,\"SPX\")":1.6300983,"WCC-US^P_BETA_LOCIDX(45100,44924,,\"SPX\")":1.8994136,"WCC-US^P_BETA_LOCIDX(45609,45435,,\"SPX\")":1.6507249,"WCC-US^P_BETA_LOCIDX(45056,44880,,\"SPX\")":1.5909281,"WCC-US^P_BETA_LOCIDX(45184,45009,,\"SPX\")":1.9843323,"WCC-US^P_BETA_LOCIDX(45414,45238,,\"SPX\")":2.4279945,"WCC-US^P_BETA_LOCIDX(44993,44818,,\"SPX\")":1.4056234,"WCC-US^P_BETA_LOCIDX(45421,45245,,\"SPX\")":2.44733,"WCC-US^P_BETA_LOCIDX(45688,45512,,\"SPX\")":1.5913956,"WCC-US^P_BETA_LOCIDX(45524,45350,,\"SPX\")":1.6558979,"WCC-US^P_BETA_LOCIDX(46073,45897,,\"SPX\")":1.5787586}]]></FdsFormulaCache>
</file>

<file path=customXml/itemProps1.xml><?xml version="1.0" encoding="utf-8"?>
<ds:datastoreItem xmlns:ds="http://schemas.openxmlformats.org/officeDocument/2006/customXml" ds:itemID="{24E11E38-F2BC-4D76-B9D9-22B868CD4DD6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5BC7BEAE-93D8-4E65-ACFD-69A11475E83F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Rogers</dc:creator>
  <cp:lastModifiedBy>Matthew Branman</cp:lastModifiedBy>
  <dcterms:created xsi:type="dcterms:W3CDTF">2023-12-28T18:31:12Z</dcterms:created>
  <dcterms:modified xsi:type="dcterms:W3CDTF">2026-02-25T19:03:07Z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